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768" yWindow="1368" windowWidth="28404" windowHeight="18144" tabRatio="600" firstSheet="0" activeTab="0" autoFilterDateGrouping="1"/>
  </bookViews>
  <sheets>
    <sheet name="使い方" sheetId="1" state="visible" r:id="rId1"/>
    <sheet name="StockList_MS2" sheetId="2" state="visible" r:id="rId2"/>
    <sheet name="DATA_MS2" sheetId="3" state="visible" r:id="rId3"/>
    <sheet name="TRADE_MS2" sheetId="4" state="visible" r:id="rId4"/>
    <sheet name="RANK_MS2" sheetId="5" state="visible" r:id="rId5"/>
  </sheets>
  <definedNames>
    <definedName name="_xlnm._FilterDatabase" localSheetId="1" hidden="1">'StockList_MS2'!$A$1:$B$1</definedName>
    <definedName name="_xlnm._FilterDatabase" localSheetId="2" hidden="1">'DATA_MS2'!$A$2:$AA$2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"/>
  </numFmts>
  <fonts count="8">
    <font>
      <name val="游ゴシック"/>
      <charset val="128"/>
      <family val="2"/>
      <color theme="1"/>
      <sz val="14"/>
      <scheme val="minor"/>
    </font>
    <font>
      <name val="游ゴシック"/>
      <charset val="128"/>
      <family val="2"/>
      <sz val="7"/>
      <scheme val="minor"/>
    </font>
    <font>
      <name val="Meiryo"/>
      <b val="1"/>
      <sz val="18"/>
    </font>
    <font>
      <name val="Meiryo"/>
      <i val="1"/>
      <color rgb="00555555"/>
      <sz val="18"/>
    </font>
    <font>
      <name val="Meiryo"/>
      <b val="1"/>
      <color rgb="00FFFFFF"/>
      <sz val="18"/>
    </font>
    <font>
      <name val="Meiryo"/>
      <color rgb="000000FF"/>
      <sz val="18"/>
    </font>
    <font>
      <name val="Meiryo"/>
      <color rgb="00000000"/>
      <sz val="18"/>
    </font>
    <font>
      <name val="Meiryo"/>
      <color rgb="000563C1"/>
      <sz val="18"/>
      <u val="single"/>
    </font>
  </fonts>
  <fills count="5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BDD7EE"/>
      </patternFill>
    </fill>
    <fill>
      <patternFill patternType="solid">
        <fgColor rgb="00F2F7FC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 applyAlignment="1">
      <alignment vertical="center"/>
    </xf>
  </cellStyleXfs>
  <cellXfs count="20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0" fillId="3" borderId="0" pivotButton="0" quotePrefix="0" xfId="0"/>
    <xf numFmtId="0" fontId="6" fillId="4" borderId="1" applyAlignment="1" pivotButton="0" quotePrefix="0" xfId="0">
      <alignment horizontal="center" vertical="center" wrapText="1"/>
    </xf>
    <xf numFmtId="0" fontId="7" fillId="4" borderId="1" applyAlignment="1" pivotButton="0" quotePrefix="0" xfId="0">
      <alignment horizontal="center" vertical="center" wrapText="1"/>
    </xf>
    <xf numFmtId="0" fontId="6" fillId="4" borderId="1" applyAlignment="1" pivotButton="0" quotePrefix="0" xfId="0">
      <alignment horizontal="left" vertical="center"/>
    </xf>
    <xf numFmtId="164" fontId="5" fillId="4" borderId="1" applyAlignment="1" pivotButton="0" quotePrefix="0" xfId="0">
      <alignment horizontal="right" vertical="center"/>
    </xf>
    <xf numFmtId="3" fontId="5" fillId="4" borderId="1" applyAlignment="1" pivotButton="0" quotePrefix="0" xfId="0">
      <alignment horizontal="right" vertical="center"/>
    </xf>
    <xf numFmtId="164" fontId="6" fillId="4" borderId="1" applyAlignment="1" pivotButton="0" quotePrefix="0" xfId="0">
      <alignment horizontal="right" vertical="center"/>
    </xf>
    <xf numFmtId="0" fontId="6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3" fontId="5" fillId="0" borderId="1" applyAlignment="1" pivotButton="0" quotePrefix="0" xfId="0">
      <alignment horizontal="right" vertical="center"/>
    </xf>
    <xf numFmtId="164" fontId="6" fillId="0" borderId="1" applyAlignment="1" pivotButton="0" quotePrefix="0" xfId="0">
      <alignment horizontal="right" vertic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20"/>
  <sheetViews>
    <sheetView showGridLines="0" tabSelected="1" workbookViewId="0">
      <selection activeCell="B3" sqref="B3"/>
    </sheetView>
  </sheetViews>
  <sheetFormatPr baseColWidth="8" defaultRowHeight="22.2"/>
  <cols>
    <col width="100" customWidth="1" style="1" min="1" max="1"/>
  </cols>
  <sheetData>
    <row r="1">
      <c r="A1" s="2" t="inlineStr">
        <is>
          <t>ATR デイトレ管理ブック（MS2）</t>
        </is>
      </c>
    </row>
    <row r="2">
      <c r="A2" s="3" t="inlineStr"/>
    </row>
    <row r="3">
      <c r="A3" s="3" t="inlineStr">
        <is>
          <t>楽天証券 MARKETSPEED II RSS（RssMarket 関数）を使った日本株デイトレ用テンプレートです。</t>
        </is>
      </c>
    </row>
    <row r="4">
      <c r="A4" s="3" t="inlineStr"/>
    </row>
    <row r="5">
      <c r="A5" s="3" t="inlineStr">
        <is>
          <t>【シート構成】</t>
        </is>
      </c>
    </row>
    <row r="6">
      <c r="A6" s="3" t="inlineStr">
        <is>
          <t xml:space="preserve">　① StockList_MS2 … 銘柄コード・銘柄名を入力（最大350）</t>
        </is>
      </c>
    </row>
    <row r="7">
      <c r="A7" s="3" t="inlineStr">
        <is>
          <t xml:space="preserve">　② DATA_MS2      … メイン表。列順＝No / 銘柄コード(株探) / 銘柄名 / 現在値〜</t>
        </is>
      </c>
    </row>
    <row r="8">
      <c r="A8" s="3" t="inlineStr">
        <is>
          <t xml:space="preserve">　③ TRADE_MS2     … 抽出トレードと結果ログ（マクロ出力）</t>
        </is>
      </c>
    </row>
    <row r="9">
      <c r="A9" s="3" t="inlineStr">
        <is>
          <t xml:space="preserve">　④ RANK_MS2      … 銘柄別成績（A=株探 / D=銘柄名）</t>
        </is>
      </c>
    </row>
    <row r="10">
      <c r="A10" s="3" t="inlineStr"/>
    </row>
    <row r="11">
      <c r="A11" s="3" t="inlineStr">
        <is>
          <t>【使い方】</t>
        </is>
      </c>
    </row>
    <row r="12">
      <c r="A12" s="3" t="inlineStr">
        <is>
          <t xml:space="preserve">　A. 数式：StockList に銘柄→ DATA_MS2 の D〜K（青字）に株価→ L〜AA が自動計算。</t>
        </is>
      </c>
    </row>
    <row r="13">
      <c r="A13" s="3" t="inlineStr">
        <is>
          <t xml:space="preserve">　B. ボタン：VBEで旧モジュールを削除し MS2_Core.bas をインポート →</t>
        </is>
      </c>
    </row>
    <row r="14">
      <c r="A14" s="3" t="inlineStr">
        <is>
          <t xml:space="preserve">　　 MS2_Build_Menu 実行で「操作パネル_MS2」にボタン作成。</t>
        </is>
      </c>
    </row>
    <row r="15">
      <c r="A15" s="3" t="inlineStr"/>
    </row>
    <row r="16">
      <c r="A16" s="3" t="inlineStr">
        <is>
          <t>【注意】</t>
        </is>
      </c>
    </row>
    <row r="17">
      <c r="A17" s="3" t="inlineStr">
        <is>
          <t xml:space="preserve">　・DATA_MS2 の入力列は D〜K（現在値/高値/安値/終値/出来高/前日高値/前日安値/前日終値）。</t>
        </is>
      </c>
    </row>
    <row r="18">
      <c r="A18" s="3" t="inlineStr">
        <is>
          <t xml:space="preserve">　・A列=No、B列=銘柄コード(株探リンク)、C列=銘柄名（StockList連動）。</t>
        </is>
      </c>
    </row>
    <row r="19">
      <c r="A19" s="3" t="inlineStr">
        <is>
          <t xml:space="preserve">　・1行目は色付きの空白帯（タイトル記入用）。見出しは2行目、データは3行目〜。</t>
        </is>
      </c>
    </row>
    <row r="20">
      <c r="A20" s="3" t="inlineStr">
        <is>
          <t xml:space="preserve">　・K列ATR… は M列に移動（ATR(14・5分足)）。厳密な14期間ATRは ATR更新マクロで蓄積。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style="1" min="1" max="1"/>
    <col width="30" customWidth="1" style="1" min="2" max="2"/>
  </cols>
  <sheetData>
    <row r="1" ht="46" customHeight="1" s="1">
      <c r="A1" s="4" t="inlineStr">
        <is>
          <t>銘柄コード</t>
        </is>
      </c>
      <c r="B1" s="4" t="inlineStr">
        <is>
          <t>銘柄名</t>
        </is>
      </c>
    </row>
    <row r="2" ht="26" customHeight="1" s="1">
      <c r="A2" s="5" t="inlineStr">
        <is>
          <t>7203</t>
        </is>
      </c>
      <c r="B2" s="5" t="inlineStr">
        <is>
          <t>トヨタ自動車</t>
        </is>
      </c>
    </row>
    <row r="3" ht="26" customHeight="1" s="1">
      <c r="A3" s="5" t="inlineStr">
        <is>
          <t>6758</t>
        </is>
      </c>
      <c r="B3" s="5" t="inlineStr">
        <is>
          <t>ソニーグループ</t>
        </is>
      </c>
    </row>
    <row r="4" ht="26" customHeight="1" s="1">
      <c r="A4" s="5" t="inlineStr">
        <is>
          <t>9984</t>
        </is>
      </c>
      <c r="B4" s="5" t="inlineStr">
        <is>
          <t>ソフトバンクG</t>
        </is>
      </c>
    </row>
    <row r="5" ht="26" customHeight="1" s="1">
      <c r="A5" s="5" t="inlineStr">
        <is>
          <t>8306</t>
        </is>
      </c>
      <c r="B5" s="5" t="inlineStr">
        <is>
          <t>三菱UFJ</t>
        </is>
      </c>
    </row>
    <row r="6" ht="26" customHeight="1" s="1">
      <c r="A6" s="5" t="inlineStr">
        <is>
          <t>6501</t>
        </is>
      </c>
      <c r="B6" s="5" t="inlineStr">
        <is>
          <t>日立製作所</t>
        </is>
      </c>
    </row>
    <row r="7" ht="26" customHeight="1" s="1">
      <c r="A7" s="5" t="n"/>
      <c r="B7" s="5" t="n"/>
    </row>
    <row r="8" ht="26" customHeight="1" s="1">
      <c r="A8" s="5" t="n"/>
      <c r="B8" s="5" t="n"/>
    </row>
    <row r="9" ht="26" customHeight="1" s="1">
      <c r="A9" s="5" t="n"/>
      <c r="B9" s="5" t="n"/>
    </row>
    <row r="10" ht="26" customHeight="1" s="1">
      <c r="A10" s="5" t="n"/>
      <c r="B10" s="5" t="n"/>
    </row>
    <row r="11" ht="26" customHeight="1" s="1">
      <c r="A11" s="5" t="n"/>
      <c r="B11" s="5" t="n"/>
    </row>
    <row r="12" ht="26" customHeight="1" s="1">
      <c r="A12" s="5" t="n"/>
      <c r="B12" s="5" t="n"/>
    </row>
    <row r="13" ht="26" customHeight="1" s="1">
      <c r="A13" s="5" t="n"/>
      <c r="B13" s="5" t="n"/>
    </row>
    <row r="14" ht="26" customHeight="1" s="1">
      <c r="A14" s="5" t="n"/>
      <c r="B14" s="5" t="n"/>
    </row>
    <row r="15" ht="26" customHeight="1" s="1">
      <c r="A15" s="5" t="n"/>
      <c r="B15" s="5" t="n"/>
    </row>
    <row r="16" ht="26" customHeight="1" s="1">
      <c r="A16" s="5" t="n"/>
      <c r="B16" s="5" t="n"/>
    </row>
    <row r="17" ht="26" customHeight="1" s="1">
      <c r="A17" s="5" t="n"/>
      <c r="B17" s="5" t="n"/>
    </row>
    <row r="18" ht="26" customHeight="1" s="1">
      <c r="A18" s="5" t="n"/>
      <c r="B18" s="5" t="n"/>
    </row>
    <row r="19" ht="26" customHeight="1" s="1">
      <c r="A19" s="5" t="n"/>
      <c r="B19" s="5" t="n"/>
    </row>
    <row r="20" ht="26" customHeight="1" s="1">
      <c r="A20" s="5" t="n"/>
      <c r="B20" s="5" t="n"/>
    </row>
    <row r="21" ht="26" customHeight="1" s="1">
      <c r="A21" s="5" t="n"/>
      <c r="B21" s="5" t="n"/>
    </row>
    <row r="22" ht="26" customHeight="1" s="1">
      <c r="A22" s="5" t="n"/>
      <c r="B22" s="5" t="n"/>
    </row>
    <row r="23" ht="26" customHeight="1" s="1">
      <c r="A23" s="5" t="n"/>
      <c r="B23" s="5" t="n"/>
    </row>
    <row r="24" ht="26" customHeight="1" s="1">
      <c r="A24" s="5" t="n"/>
      <c r="B24" s="5" t="n"/>
    </row>
    <row r="25" ht="26" customHeight="1" s="1">
      <c r="A25" s="5" t="n"/>
      <c r="B25" s="5" t="n"/>
    </row>
    <row r="26" ht="26" customHeight="1" s="1">
      <c r="A26" s="5" t="n"/>
      <c r="B26" s="5" t="n"/>
    </row>
    <row r="27" ht="26" customHeight="1" s="1">
      <c r="A27" s="5" t="n"/>
      <c r="B27" s="5" t="n"/>
    </row>
    <row r="28" ht="26" customHeight="1" s="1">
      <c r="A28" s="5" t="n"/>
      <c r="B28" s="5" t="n"/>
    </row>
    <row r="29" ht="26" customHeight="1" s="1">
      <c r="A29" s="5" t="n"/>
      <c r="B29" s="5" t="n"/>
    </row>
    <row r="30" ht="26" customHeight="1" s="1">
      <c r="A30" s="5" t="n"/>
      <c r="B30" s="5" t="n"/>
    </row>
    <row r="31" ht="26" customHeight="1" s="1">
      <c r="A31" s="5" t="n"/>
      <c r="B31" s="5" t="n"/>
    </row>
    <row r="32" ht="26" customHeight="1" s="1">
      <c r="A32" s="5" t="n"/>
      <c r="B32" s="5" t="n"/>
    </row>
    <row r="33" ht="26" customHeight="1" s="1">
      <c r="A33" s="5" t="n"/>
      <c r="B33" s="5" t="n"/>
    </row>
    <row r="34" ht="26" customHeight="1" s="1">
      <c r="A34" s="5" t="n"/>
      <c r="B34" s="5" t="n"/>
    </row>
    <row r="35" ht="26" customHeight="1" s="1">
      <c r="A35" s="5" t="n"/>
      <c r="B35" s="5" t="n"/>
    </row>
    <row r="36" ht="26" customHeight="1" s="1">
      <c r="A36" s="5" t="n"/>
      <c r="B36" s="5" t="n"/>
    </row>
    <row r="37" ht="26" customHeight="1" s="1">
      <c r="A37" s="5" t="n"/>
      <c r="B37" s="5" t="n"/>
    </row>
    <row r="38" ht="26" customHeight="1" s="1">
      <c r="A38" s="5" t="n"/>
      <c r="B38" s="5" t="n"/>
    </row>
    <row r="39" ht="26" customHeight="1" s="1">
      <c r="A39" s="5" t="n"/>
      <c r="B39" s="5" t="n"/>
    </row>
    <row r="40" ht="26" customHeight="1" s="1">
      <c r="A40" s="5" t="n"/>
      <c r="B40" s="5" t="n"/>
    </row>
    <row r="41" ht="26" customHeight="1" s="1">
      <c r="A41" s="5" t="n"/>
      <c r="B41" s="5" t="n"/>
    </row>
    <row r="42" ht="26" customHeight="1" s="1">
      <c r="A42" s="5" t="n"/>
      <c r="B42" s="5" t="n"/>
    </row>
    <row r="43" ht="26" customHeight="1" s="1">
      <c r="A43" s="5" t="n"/>
      <c r="B43" s="5" t="n"/>
    </row>
    <row r="44" ht="26" customHeight="1" s="1">
      <c r="A44" s="5" t="n"/>
      <c r="B44" s="5" t="n"/>
    </row>
    <row r="45" ht="26" customHeight="1" s="1">
      <c r="A45" s="5" t="n"/>
      <c r="B45" s="5" t="n"/>
    </row>
    <row r="46" ht="26" customHeight="1" s="1">
      <c r="A46" s="5" t="n"/>
      <c r="B46" s="5" t="n"/>
    </row>
    <row r="47" ht="26" customHeight="1" s="1">
      <c r="A47" s="5" t="n"/>
      <c r="B47" s="5" t="n"/>
    </row>
    <row r="48" ht="26" customHeight="1" s="1">
      <c r="A48" s="5" t="n"/>
      <c r="B48" s="5" t="n"/>
    </row>
    <row r="49" ht="26" customHeight="1" s="1">
      <c r="A49" s="5" t="n"/>
      <c r="B49" s="5" t="n"/>
    </row>
    <row r="50" ht="26" customHeight="1" s="1">
      <c r="A50" s="5" t="n"/>
      <c r="B50" s="5" t="n"/>
    </row>
    <row r="51" ht="26" customHeight="1" s="1">
      <c r="A51" s="5" t="n"/>
      <c r="B51" s="5" t="n"/>
    </row>
    <row r="52" ht="26" customHeight="1" s="1">
      <c r="A52" s="5" t="n"/>
      <c r="B52" s="5" t="n"/>
    </row>
    <row r="53" ht="26" customHeight="1" s="1">
      <c r="A53" s="5" t="n"/>
      <c r="B53" s="5" t="n"/>
    </row>
    <row r="54" ht="26" customHeight="1" s="1">
      <c r="A54" s="5" t="n"/>
      <c r="B54" s="5" t="n"/>
    </row>
    <row r="55" ht="26" customHeight="1" s="1">
      <c r="A55" s="5" t="n"/>
      <c r="B55" s="5" t="n"/>
    </row>
    <row r="56" ht="26" customHeight="1" s="1">
      <c r="A56" s="5" t="n"/>
      <c r="B56" s="5" t="n"/>
    </row>
    <row r="57" ht="26" customHeight="1" s="1">
      <c r="A57" s="5" t="n"/>
      <c r="B57" s="5" t="n"/>
    </row>
    <row r="58" ht="26" customHeight="1" s="1">
      <c r="A58" s="5" t="n"/>
      <c r="B58" s="5" t="n"/>
    </row>
    <row r="59" ht="26" customHeight="1" s="1">
      <c r="A59" s="5" t="n"/>
      <c r="B59" s="5" t="n"/>
    </row>
    <row r="60" ht="26" customHeight="1" s="1">
      <c r="A60" s="5" t="n"/>
      <c r="B60" s="5" t="n"/>
    </row>
    <row r="61" ht="26" customHeight="1" s="1">
      <c r="A61" s="5" t="n"/>
      <c r="B61" s="5" t="n"/>
    </row>
    <row r="62" ht="26" customHeight="1" s="1">
      <c r="A62" s="5" t="n"/>
      <c r="B62" s="5" t="n"/>
    </row>
    <row r="63" ht="26" customHeight="1" s="1">
      <c r="A63" s="5" t="n"/>
      <c r="B63" s="5" t="n"/>
    </row>
    <row r="64" ht="26" customHeight="1" s="1">
      <c r="A64" s="5" t="n"/>
      <c r="B64" s="5" t="n"/>
    </row>
    <row r="65" ht="26" customHeight="1" s="1">
      <c r="A65" s="5" t="n"/>
      <c r="B65" s="5" t="n"/>
    </row>
    <row r="66" ht="26" customHeight="1" s="1">
      <c r="A66" s="5" t="n"/>
      <c r="B66" s="5" t="n"/>
    </row>
    <row r="67" ht="26" customHeight="1" s="1">
      <c r="A67" s="5" t="n"/>
      <c r="B67" s="5" t="n"/>
    </row>
    <row r="68" ht="26" customHeight="1" s="1">
      <c r="A68" s="5" t="n"/>
      <c r="B68" s="5" t="n"/>
    </row>
    <row r="69" ht="26" customHeight="1" s="1">
      <c r="A69" s="5" t="n"/>
      <c r="B69" s="5" t="n"/>
    </row>
    <row r="70" ht="26" customHeight="1" s="1">
      <c r="A70" s="5" t="n"/>
      <c r="B70" s="5" t="n"/>
    </row>
    <row r="71" ht="26" customHeight="1" s="1">
      <c r="A71" s="5" t="n"/>
      <c r="B71" s="5" t="n"/>
    </row>
    <row r="72" ht="26" customHeight="1" s="1">
      <c r="A72" s="5" t="n"/>
      <c r="B72" s="5" t="n"/>
    </row>
    <row r="73" ht="26" customHeight="1" s="1">
      <c r="A73" s="5" t="n"/>
      <c r="B73" s="5" t="n"/>
    </row>
    <row r="74" ht="26" customHeight="1" s="1">
      <c r="A74" s="5" t="n"/>
      <c r="B74" s="5" t="n"/>
    </row>
    <row r="75" ht="26" customHeight="1" s="1">
      <c r="A75" s="5" t="n"/>
      <c r="B75" s="5" t="n"/>
    </row>
    <row r="76" ht="26" customHeight="1" s="1">
      <c r="A76" s="5" t="n"/>
      <c r="B76" s="5" t="n"/>
    </row>
    <row r="77" ht="26" customHeight="1" s="1">
      <c r="A77" s="5" t="n"/>
      <c r="B77" s="5" t="n"/>
    </row>
    <row r="78" ht="26" customHeight="1" s="1">
      <c r="A78" s="5" t="n"/>
      <c r="B78" s="5" t="n"/>
    </row>
    <row r="79" ht="26" customHeight="1" s="1">
      <c r="A79" s="5" t="n"/>
      <c r="B79" s="5" t="n"/>
    </row>
    <row r="80" ht="26" customHeight="1" s="1">
      <c r="A80" s="5" t="n"/>
      <c r="B80" s="5" t="n"/>
    </row>
    <row r="81" ht="26" customHeight="1" s="1">
      <c r="A81" s="5" t="n"/>
      <c r="B81" s="5" t="n"/>
    </row>
    <row r="82" ht="26" customHeight="1" s="1">
      <c r="A82" s="5" t="n"/>
      <c r="B82" s="5" t="n"/>
    </row>
    <row r="83" ht="26" customHeight="1" s="1">
      <c r="A83" s="5" t="n"/>
      <c r="B83" s="5" t="n"/>
    </row>
    <row r="84" ht="26" customHeight="1" s="1">
      <c r="A84" s="5" t="n"/>
      <c r="B84" s="5" t="n"/>
    </row>
    <row r="85" ht="26" customHeight="1" s="1">
      <c r="A85" s="5" t="n"/>
      <c r="B85" s="5" t="n"/>
    </row>
    <row r="86" ht="26" customHeight="1" s="1">
      <c r="A86" s="5" t="n"/>
      <c r="B86" s="5" t="n"/>
    </row>
    <row r="87" ht="26" customHeight="1" s="1">
      <c r="A87" s="5" t="n"/>
      <c r="B87" s="5" t="n"/>
    </row>
    <row r="88" ht="26" customHeight="1" s="1">
      <c r="A88" s="5" t="n"/>
      <c r="B88" s="5" t="n"/>
    </row>
    <row r="89" ht="26" customHeight="1" s="1">
      <c r="A89" s="5" t="n"/>
      <c r="B89" s="5" t="n"/>
    </row>
    <row r="90" ht="26" customHeight="1" s="1">
      <c r="A90" s="5" t="n"/>
      <c r="B90" s="5" t="n"/>
    </row>
    <row r="91" ht="26" customHeight="1" s="1">
      <c r="A91" s="5" t="n"/>
      <c r="B91" s="5" t="n"/>
    </row>
    <row r="92" ht="26" customHeight="1" s="1">
      <c r="A92" s="5" t="n"/>
      <c r="B92" s="5" t="n"/>
    </row>
    <row r="93" ht="26" customHeight="1" s="1">
      <c r="A93" s="5" t="n"/>
      <c r="B93" s="5" t="n"/>
    </row>
    <row r="94" ht="26" customHeight="1" s="1">
      <c r="A94" s="5" t="n"/>
      <c r="B94" s="5" t="n"/>
    </row>
    <row r="95" ht="26" customHeight="1" s="1">
      <c r="A95" s="5" t="n"/>
      <c r="B95" s="5" t="n"/>
    </row>
    <row r="96" ht="26" customHeight="1" s="1">
      <c r="A96" s="5" t="n"/>
      <c r="B96" s="5" t="n"/>
    </row>
    <row r="97" ht="26" customHeight="1" s="1">
      <c r="A97" s="5" t="n"/>
      <c r="B97" s="5" t="n"/>
    </row>
    <row r="98" ht="26" customHeight="1" s="1">
      <c r="A98" s="5" t="n"/>
      <c r="B98" s="5" t="n"/>
    </row>
    <row r="99" ht="26" customHeight="1" s="1">
      <c r="A99" s="5" t="n"/>
      <c r="B99" s="5" t="n"/>
    </row>
    <row r="100" ht="26" customHeight="1" s="1">
      <c r="A100" s="5" t="n"/>
      <c r="B100" s="5" t="n"/>
    </row>
    <row r="101" ht="26" customHeight="1" s="1">
      <c r="A101" s="5" t="n"/>
      <c r="B101" s="5" t="n"/>
    </row>
    <row r="102" ht="26" customHeight="1" s="1">
      <c r="A102" s="5" t="n"/>
      <c r="B102" s="5" t="n"/>
    </row>
    <row r="103" ht="26" customHeight="1" s="1">
      <c r="A103" s="5" t="n"/>
      <c r="B103" s="5" t="n"/>
    </row>
    <row r="104" ht="26" customHeight="1" s="1">
      <c r="A104" s="5" t="n"/>
      <c r="B104" s="5" t="n"/>
    </row>
    <row r="105" ht="26" customHeight="1" s="1">
      <c r="A105" s="5" t="n"/>
      <c r="B105" s="5" t="n"/>
    </row>
    <row r="106" ht="26" customHeight="1" s="1">
      <c r="A106" s="5" t="n"/>
      <c r="B106" s="5" t="n"/>
    </row>
    <row r="107" ht="26" customHeight="1" s="1">
      <c r="A107" s="5" t="n"/>
      <c r="B107" s="5" t="n"/>
    </row>
    <row r="108" ht="26" customHeight="1" s="1">
      <c r="A108" s="5" t="n"/>
      <c r="B108" s="5" t="n"/>
    </row>
    <row r="109" ht="26" customHeight="1" s="1">
      <c r="A109" s="5" t="n"/>
      <c r="B109" s="5" t="n"/>
    </row>
    <row r="110" ht="26" customHeight="1" s="1">
      <c r="A110" s="5" t="n"/>
      <c r="B110" s="5" t="n"/>
    </row>
    <row r="111" ht="26" customHeight="1" s="1">
      <c r="A111" s="5" t="n"/>
      <c r="B111" s="5" t="n"/>
    </row>
    <row r="112" ht="26" customHeight="1" s="1">
      <c r="A112" s="5" t="n"/>
      <c r="B112" s="5" t="n"/>
    </row>
    <row r="113" ht="26" customHeight="1" s="1">
      <c r="A113" s="5" t="n"/>
      <c r="B113" s="5" t="n"/>
    </row>
    <row r="114" ht="26" customHeight="1" s="1">
      <c r="A114" s="5" t="n"/>
      <c r="B114" s="5" t="n"/>
    </row>
    <row r="115" ht="26" customHeight="1" s="1">
      <c r="A115" s="5" t="n"/>
      <c r="B115" s="5" t="n"/>
    </row>
    <row r="116" ht="26" customHeight="1" s="1">
      <c r="A116" s="5" t="n"/>
      <c r="B116" s="5" t="n"/>
    </row>
    <row r="117" ht="26" customHeight="1" s="1">
      <c r="A117" s="5" t="n"/>
      <c r="B117" s="5" t="n"/>
    </row>
    <row r="118" ht="26" customHeight="1" s="1">
      <c r="A118" s="5" t="n"/>
      <c r="B118" s="5" t="n"/>
    </row>
    <row r="119" ht="26" customHeight="1" s="1">
      <c r="A119" s="5" t="n"/>
      <c r="B119" s="5" t="n"/>
    </row>
    <row r="120" ht="26" customHeight="1" s="1">
      <c r="A120" s="5" t="n"/>
      <c r="B120" s="5" t="n"/>
    </row>
    <row r="121" ht="26" customHeight="1" s="1">
      <c r="A121" s="5" t="n"/>
      <c r="B121" s="5" t="n"/>
    </row>
    <row r="122" ht="26" customHeight="1" s="1">
      <c r="A122" s="5" t="n"/>
      <c r="B122" s="5" t="n"/>
    </row>
    <row r="123" ht="26" customHeight="1" s="1">
      <c r="A123" s="5" t="n"/>
      <c r="B123" s="5" t="n"/>
    </row>
    <row r="124" ht="26" customHeight="1" s="1">
      <c r="A124" s="5" t="n"/>
      <c r="B124" s="5" t="n"/>
    </row>
    <row r="125" ht="26" customHeight="1" s="1">
      <c r="A125" s="5" t="n"/>
      <c r="B125" s="5" t="n"/>
    </row>
    <row r="126" ht="26" customHeight="1" s="1">
      <c r="A126" s="5" t="n"/>
      <c r="B126" s="5" t="n"/>
    </row>
    <row r="127" ht="26" customHeight="1" s="1">
      <c r="A127" s="5" t="n"/>
      <c r="B127" s="5" t="n"/>
    </row>
    <row r="128" ht="26" customHeight="1" s="1">
      <c r="A128" s="5" t="n"/>
      <c r="B128" s="5" t="n"/>
    </row>
    <row r="129" ht="26" customHeight="1" s="1">
      <c r="A129" s="5" t="n"/>
      <c r="B129" s="5" t="n"/>
    </row>
    <row r="130" ht="26" customHeight="1" s="1">
      <c r="A130" s="5" t="n"/>
      <c r="B130" s="5" t="n"/>
    </row>
    <row r="131" ht="26" customHeight="1" s="1">
      <c r="A131" s="5" t="n"/>
      <c r="B131" s="5" t="n"/>
    </row>
    <row r="132" ht="26" customHeight="1" s="1">
      <c r="A132" s="5" t="n"/>
      <c r="B132" s="5" t="n"/>
    </row>
    <row r="133" ht="26" customHeight="1" s="1">
      <c r="A133" s="5" t="n"/>
      <c r="B133" s="5" t="n"/>
    </row>
    <row r="134" ht="26" customHeight="1" s="1">
      <c r="A134" s="5" t="n"/>
      <c r="B134" s="5" t="n"/>
    </row>
    <row r="135" ht="26" customHeight="1" s="1">
      <c r="A135" s="5" t="n"/>
      <c r="B135" s="5" t="n"/>
    </row>
    <row r="136" ht="26" customHeight="1" s="1">
      <c r="A136" s="5" t="n"/>
      <c r="B136" s="5" t="n"/>
    </row>
    <row r="137" ht="26" customHeight="1" s="1">
      <c r="A137" s="5" t="n"/>
      <c r="B137" s="5" t="n"/>
    </row>
    <row r="138" ht="26" customHeight="1" s="1">
      <c r="A138" s="5" t="n"/>
      <c r="B138" s="5" t="n"/>
    </row>
    <row r="139" ht="26" customHeight="1" s="1">
      <c r="A139" s="5" t="n"/>
      <c r="B139" s="5" t="n"/>
    </row>
    <row r="140" ht="26" customHeight="1" s="1">
      <c r="A140" s="5" t="n"/>
      <c r="B140" s="5" t="n"/>
    </row>
    <row r="141" ht="26" customHeight="1" s="1">
      <c r="A141" s="5" t="n"/>
      <c r="B141" s="5" t="n"/>
    </row>
    <row r="142" ht="26" customHeight="1" s="1">
      <c r="A142" s="5" t="n"/>
      <c r="B142" s="5" t="n"/>
    </row>
    <row r="143" ht="26" customHeight="1" s="1">
      <c r="A143" s="5" t="n"/>
      <c r="B143" s="5" t="n"/>
    </row>
    <row r="144" ht="26" customHeight="1" s="1">
      <c r="A144" s="5" t="n"/>
      <c r="B144" s="5" t="n"/>
    </row>
    <row r="145" ht="26" customHeight="1" s="1">
      <c r="A145" s="5" t="n"/>
      <c r="B145" s="5" t="n"/>
    </row>
    <row r="146" ht="26" customHeight="1" s="1">
      <c r="A146" s="5" t="n"/>
      <c r="B146" s="5" t="n"/>
    </row>
    <row r="147" ht="26" customHeight="1" s="1">
      <c r="A147" s="5" t="n"/>
      <c r="B147" s="5" t="n"/>
    </row>
    <row r="148" ht="26" customHeight="1" s="1">
      <c r="A148" s="5" t="n"/>
      <c r="B148" s="5" t="n"/>
    </row>
    <row r="149" ht="26" customHeight="1" s="1">
      <c r="A149" s="5" t="n"/>
      <c r="B149" s="5" t="n"/>
    </row>
    <row r="150" ht="26" customHeight="1" s="1">
      <c r="A150" s="5" t="n"/>
      <c r="B150" s="5" t="n"/>
    </row>
    <row r="151" ht="26" customHeight="1" s="1">
      <c r="A151" s="5" t="n"/>
      <c r="B151" s="5" t="n"/>
    </row>
    <row r="152" ht="26" customHeight="1" s="1">
      <c r="A152" s="5" t="n"/>
      <c r="B152" s="5" t="n"/>
    </row>
    <row r="153" ht="26" customHeight="1" s="1">
      <c r="A153" s="5" t="n"/>
      <c r="B153" s="5" t="n"/>
    </row>
    <row r="154" ht="26" customHeight="1" s="1">
      <c r="A154" s="5" t="n"/>
      <c r="B154" s="5" t="n"/>
    </row>
    <row r="155" ht="26" customHeight="1" s="1">
      <c r="A155" s="5" t="n"/>
      <c r="B155" s="5" t="n"/>
    </row>
    <row r="156" ht="26" customHeight="1" s="1">
      <c r="A156" s="5" t="n"/>
      <c r="B156" s="5" t="n"/>
    </row>
    <row r="157" ht="26" customHeight="1" s="1">
      <c r="A157" s="5" t="n"/>
      <c r="B157" s="5" t="n"/>
    </row>
    <row r="158" ht="26" customHeight="1" s="1">
      <c r="A158" s="5" t="n"/>
      <c r="B158" s="5" t="n"/>
    </row>
    <row r="159" ht="26" customHeight="1" s="1">
      <c r="A159" s="5" t="n"/>
      <c r="B159" s="5" t="n"/>
    </row>
    <row r="160" ht="26" customHeight="1" s="1">
      <c r="A160" s="5" t="n"/>
      <c r="B160" s="5" t="n"/>
    </row>
    <row r="161" ht="26" customHeight="1" s="1">
      <c r="A161" s="5" t="n"/>
      <c r="B161" s="5" t="n"/>
    </row>
    <row r="162" ht="26" customHeight="1" s="1">
      <c r="A162" s="5" t="n"/>
      <c r="B162" s="5" t="n"/>
    </row>
    <row r="163" ht="26" customHeight="1" s="1">
      <c r="A163" s="5" t="n"/>
      <c r="B163" s="5" t="n"/>
    </row>
    <row r="164" ht="26" customHeight="1" s="1">
      <c r="A164" s="5" t="n"/>
      <c r="B164" s="5" t="n"/>
    </row>
    <row r="165" ht="26" customHeight="1" s="1">
      <c r="A165" s="5" t="n"/>
      <c r="B165" s="5" t="n"/>
    </row>
    <row r="166" ht="26" customHeight="1" s="1">
      <c r="A166" s="5" t="n"/>
      <c r="B166" s="5" t="n"/>
    </row>
    <row r="167" ht="26" customHeight="1" s="1">
      <c r="A167" s="5" t="n"/>
      <c r="B167" s="5" t="n"/>
    </row>
    <row r="168" ht="26" customHeight="1" s="1">
      <c r="A168" s="5" t="n"/>
      <c r="B168" s="5" t="n"/>
    </row>
    <row r="169" ht="26" customHeight="1" s="1">
      <c r="A169" s="5" t="n"/>
      <c r="B169" s="5" t="n"/>
    </row>
    <row r="170" ht="26" customHeight="1" s="1">
      <c r="A170" s="5" t="n"/>
      <c r="B170" s="5" t="n"/>
    </row>
    <row r="171" ht="26" customHeight="1" s="1">
      <c r="A171" s="5" t="n"/>
      <c r="B171" s="5" t="n"/>
    </row>
    <row r="172" ht="26" customHeight="1" s="1">
      <c r="A172" s="5" t="n"/>
      <c r="B172" s="5" t="n"/>
    </row>
    <row r="173" ht="26" customHeight="1" s="1">
      <c r="A173" s="5" t="n"/>
      <c r="B173" s="5" t="n"/>
    </row>
    <row r="174" ht="26" customHeight="1" s="1">
      <c r="A174" s="5" t="n"/>
      <c r="B174" s="5" t="n"/>
    </row>
    <row r="175" ht="26" customHeight="1" s="1">
      <c r="A175" s="5" t="n"/>
      <c r="B175" s="5" t="n"/>
    </row>
    <row r="176" ht="26" customHeight="1" s="1">
      <c r="A176" s="5" t="n"/>
      <c r="B176" s="5" t="n"/>
    </row>
    <row r="177" ht="26" customHeight="1" s="1">
      <c r="A177" s="5" t="n"/>
      <c r="B177" s="5" t="n"/>
    </row>
    <row r="178" ht="26" customHeight="1" s="1">
      <c r="A178" s="5" t="n"/>
      <c r="B178" s="5" t="n"/>
    </row>
    <row r="179" ht="26" customHeight="1" s="1">
      <c r="A179" s="5" t="n"/>
      <c r="B179" s="5" t="n"/>
    </row>
    <row r="180" ht="26" customHeight="1" s="1">
      <c r="A180" s="5" t="n"/>
      <c r="B180" s="5" t="n"/>
    </row>
    <row r="181" ht="26" customHeight="1" s="1">
      <c r="A181" s="5" t="n"/>
      <c r="B181" s="5" t="n"/>
    </row>
    <row r="182" ht="26" customHeight="1" s="1">
      <c r="A182" s="5" t="n"/>
      <c r="B182" s="5" t="n"/>
    </row>
    <row r="183" ht="26" customHeight="1" s="1">
      <c r="A183" s="5" t="n"/>
      <c r="B183" s="5" t="n"/>
    </row>
    <row r="184" ht="26" customHeight="1" s="1">
      <c r="A184" s="5" t="n"/>
      <c r="B184" s="5" t="n"/>
    </row>
    <row r="185" ht="26" customHeight="1" s="1">
      <c r="A185" s="5" t="n"/>
      <c r="B185" s="5" t="n"/>
    </row>
    <row r="186" ht="26" customHeight="1" s="1">
      <c r="A186" s="5" t="n"/>
      <c r="B186" s="5" t="n"/>
    </row>
    <row r="187" ht="26" customHeight="1" s="1">
      <c r="A187" s="5" t="n"/>
      <c r="B187" s="5" t="n"/>
    </row>
    <row r="188" ht="26" customHeight="1" s="1">
      <c r="A188" s="5" t="n"/>
      <c r="B188" s="5" t="n"/>
    </row>
    <row r="189" ht="26" customHeight="1" s="1">
      <c r="A189" s="5" t="n"/>
      <c r="B189" s="5" t="n"/>
    </row>
    <row r="190" ht="26" customHeight="1" s="1">
      <c r="A190" s="5" t="n"/>
      <c r="B190" s="5" t="n"/>
    </row>
    <row r="191" ht="26" customHeight="1" s="1">
      <c r="A191" s="5" t="n"/>
      <c r="B191" s="5" t="n"/>
    </row>
    <row r="192" ht="26" customHeight="1" s="1">
      <c r="A192" s="5" t="n"/>
      <c r="B192" s="5" t="n"/>
    </row>
    <row r="193" ht="26" customHeight="1" s="1">
      <c r="A193" s="5" t="n"/>
      <c r="B193" s="5" t="n"/>
    </row>
    <row r="194" ht="26" customHeight="1" s="1">
      <c r="A194" s="5" t="n"/>
      <c r="B194" s="5" t="n"/>
    </row>
    <row r="195" ht="26" customHeight="1" s="1">
      <c r="A195" s="5" t="n"/>
      <c r="B195" s="5" t="n"/>
    </row>
    <row r="196" ht="26" customHeight="1" s="1">
      <c r="A196" s="5" t="n"/>
      <c r="B196" s="5" t="n"/>
    </row>
    <row r="197" ht="26" customHeight="1" s="1">
      <c r="A197" s="5" t="n"/>
      <c r="B197" s="5" t="n"/>
    </row>
    <row r="198" ht="26" customHeight="1" s="1">
      <c r="A198" s="5" t="n"/>
      <c r="B198" s="5" t="n"/>
    </row>
    <row r="199" ht="26" customHeight="1" s="1">
      <c r="A199" s="5" t="n"/>
      <c r="B199" s="5" t="n"/>
    </row>
    <row r="200" ht="26" customHeight="1" s="1">
      <c r="A200" s="5" t="n"/>
      <c r="B200" s="5" t="n"/>
    </row>
    <row r="201" ht="26" customHeight="1" s="1">
      <c r="A201" s="5" t="n"/>
      <c r="B201" s="5" t="n"/>
    </row>
    <row r="202" ht="26" customHeight="1" s="1">
      <c r="A202" s="5" t="n"/>
      <c r="B202" s="5" t="n"/>
    </row>
    <row r="203" ht="26" customHeight="1" s="1">
      <c r="A203" s="5" t="n"/>
      <c r="B203" s="5" t="n"/>
    </row>
    <row r="204" ht="26" customHeight="1" s="1">
      <c r="A204" s="5" t="n"/>
      <c r="B204" s="5" t="n"/>
    </row>
    <row r="205" ht="26" customHeight="1" s="1">
      <c r="A205" s="5" t="n"/>
      <c r="B205" s="5" t="n"/>
    </row>
    <row r="206" ht="26" customHeight="1" s="1">
      <c r="A206" s="5" t="n"/>
      <c r="B206" s="5" t="n"/>
    </row>
    <row r="207" ht="26" customHeight="1" s="1">
      <c r="A207" s="5" t="n"/>
      <c r="B207" s="5" t="n"/>
    </row>
    <row r="208" ht="26" customHeight="1" s="1">
      <c r="A208" s="5" t="n"/>
      <c r="B208" s="5" t="n"/>
    </row>
    <row r="209" ht="26" customHeight="1" s="1">
      <c r="A209" s="5" t="n"/>
      <c r="B209" s="5" t="n"/>
    </row>
    <row r="210" ht="26" customHeight="1" s="1">
      <c r="A210" s="5" t="n"/>
      <c r="B210" s="5" t="n"/>
    </row>
    <row r="211" ht="26" customHeight="1" s="1">
      <c r="A211" s="5" t="n"/>
      <c r="B211" s="5" t="n"/>
    </row>
    <row r="212" ht="26" customHeight="1" s="1">
      <c r="A212" s="5" t="n"/>
      <c r="B212" s="5" t="n"/>
    </row>
    <row r="213" ht="26" customHeight="1" s="1">
      <c r="A213" s="5" t="n"/>
      <c r="B213" s="5" t="n"/>
    </row>
    <row r="214" ht="26" customHeight="1" s="1">
      <c r="A214" s="5" t="n"/>
      <c r="B214" s="5" t="n"/>
    </row>
    <row r="215" ht="26" customHeight="1" s="1">
      <c r="A215" s="5" t="n"/>
      <c r="B215" s="5" t="n"/>
    </row>
    <row r="216" ht="26" customHeight="1" s="1">
      <c r="A216" s="5" t="n"/>
      <c r="B216" s="5" t="n"/>
    </row>
    <row r="217" ht="26" customHeight="1" s="1">
      <c r="A217" s="5" t="n"/>
      <c r="B217" s="5" t="n"/>
    </row>
    <row r="218" ht="26" customHeight="1" s="1">
      <c r="A218" s="5" t="n"/>
      <c r="B218" s="5" t="n"/>
    </row>
    <row r="219" ht="26" customHeight="1" s="1">
      <c r="A219" s="5" t="n"/>
      <c r="B219" s="5" t="n"/>
    </row>
    <row r="220" ht="26" customHeight="1" s="1">
      <c r="A220" s="5" t="n"/>
      <c r="B220" s="5" t="n"/>
    </row>
    <row r="221" ht="26" customHeight="1" s="1">
      <c r="A221" s="5" t="n"/>
      <c r="B221" s="5" t="n"/>
    </row>
    <row r="222" ht="26" customHeight="1" s="1">
      <c r="A222" s="5" t="n"/>
      <c r="B222" s="5" t="n"/>
    </row>
    <row r="223" ht="26" customHeight="1" s="1">
      <c r="A223" s="5" t="n"/>
      <c r="B223" s="5" t="n"/>
    </row>
    <row r="224" ht="26" customHeight="1" s="1">
      <c r="A224" s="5" t="n"/>
      <c r="B224" s="5" t="n"/>
    </row>
    <row r="225" ht="26" customHeight="1" s="1">
      <c r="A225" s="5" t="n"/>
      <c r="B225" s="5" t="n"/>
    </row>
    <row r="226" ht="26" customHeight="1" s="1">
      <c r="A226" s="5" t="n"/>
      <c r="B226" s="5" t="n"/>
    </row>
    <row r="227" ht="26" customHeight="1" s="1">
      <c r="A227" s="5" t="n"/>
      <c r="B227" s="5" t="n"/>
    </row>
    <row r="228" ht="26" customHeight="1" s="1">
      <c r="A228" s="5" t="n"/>
      <c r="B228" s="5" t="n"/>
    </row>
    <row r="229" ht="26" customHeight="1" s="1">
      <c r="A229" s="5" t="n"/>
      <c r="B229" s="5" t="n"/>
    </row>
    <row r="230" ht="26" customHeight="1" s="1">
      <c r="A230" s="5" t="n"/>
      <c r="B230" s="5" t="n"/>
    </row>
    <row r="231" ht="26" customHeight="1" s="1">
      <c r="A231" s="5" t="n"/>
      <c r="B231" s="5" t="n"/>
    </row>
    <row r="232" ht="26" customHeight="1" s="1">
      <c r="A232" s="5" t="n"/>
      <c r="B232" s="5" t="n"/>
    </row>
    <row r="233" ht="26" customHeight="1" s="1">
      <c r="A233" s="5" t="n"/>
      <c r="B233" s="5" t="n"/>
    </row>
    <row r="234" ht="26" customHeight="1" s="1">
      <c r="A234" s="5" t="n"/>
      <c r="B234" s="5" t="n"/>
    </row>
    <row r="235" ht="26" customHeight="1" s="1">
      <c r="A235" s="5" t="n"/>
      <c r="B235" s="5" t="n"/>
    </row>
    <row r="236" ht="26" customHeight="1" s="1">
      <c r="A236" s="5" t="n"/>
      <c r="B236" s="5" t="n"/>
    </row>
    <row r="237" ht="26" customHeight="1" s="1">
      <c r="A237" s="5" t="n"/>
      <c r="B237" s="5" t="n"/>
    </row>
    <row r="238" ht="26" customHeight="1" s="1">
      <c r="A238" s="5" t="n"/>
      <c r="B238" s="5" t="n"/>
    </row>
    <row r="239" ht="26" customHeight="1" s="1">
      <c r="A239" s="5" t="n"/>
      <c r="B239" s="5" t="n"/>
    </row>
    <row r="240" ht="26" customHeight="1" s="1">
      <c r="A240" s="5" t="n"/>
      <c r="B240" s="5" t="n"/>
    </row>
    <row r="241" ht="26" customHeight="1" s="1">
      <c r="A241" s="5" t="n"/>
      <c r="B241" s="5" t="n"/>
    </row>
    <row r="242" ht="26" customHeight="1" s="1">
      <c r="A242" s="5" t="n"/>
      <c r="B242" s="5" t="n"/>
    </row>
    <row r="243" ht="26" customHeight="1" s="1">
      <c r="A243" s="5" t="n"/>
      <c r="B243" s="5" t="n"/>
    </row>
    <row r="244" ht="26" customHeight="1" s="1">
      <c r="A244" s="5" t="n"/>
      <c r="B244" s="5" t="n"/>
    </row>
    <row r="245" ht="26" customHeight="1" s="1">
      <c r="A245" s="5" t="n"/>
      <c r="B245" s="5" t="n"/>
    </row>
    <row r="246" ht="26" customHeight="1" s="1">
      <c r="A246" s="5" t="n"/>
      <c r="B246" s="5" t="n"/>
    </row>
    <row r="247" ht="26" customHeight="1" s="1">
      <c r="A247" s="5" t="n"/>
      <c r="B247" s="5" t="n"/>
    </row>
    <row r="248" ht="26" customHeight="1" s="1">
      <c r="A248" s="5" t="n"/>
      <c r="B248" s="5" t="n"/>
    </row>
    <row r="249" ht="26" customHeight="1" s="1">
      <c r="A249" s="5" t="n"/>
      <c r="B249" s="5" t="n"/>
    </row>
    <row r="250" ht="26" customHeight="1" s="1">
      <c r="A250" s="5" t="n"/>
      <c r="B250" s="5" t="n"/>
    </row>
    <row r="251" ht="26" customHeight="1" s="1">
      <c r="A251" s="5" t="n"/>
      <c r="B251" s="5" t="n"/>
    </row>
    <row r="252" ht="26" customHeight="1" s="1">
      <c r="A252" s="5" t="n"/>
      <c r="B252" s="5" t="n"/>
    </row>
    <row r="253" ht="26" customHeight="1" s="1">
      <c r="A253" s="5" t="n"/>
      <c r="B253" s="5" t="n"/>
    </row>
    <row r="254" ht="26" customHeight="1" s="1">
      <c r="A254" s="5" t="n"/>
      <c r="B254" s="5" t="n"/>
    </row>
    <row r="255" ht="26" customHeight="1" s="1">
      <c r="A255" s="5" t="n"/>
      <c r="B255" s="5" t="n"/>
    </row>
    <row r="256" ht="26" customHeight="1" s="1">
      <c r="A256" s="5" t="n"/>
      <c r="B256" s="5" t="n"/>
    </row>
    <row r="257" ht="26" customHeight="1" s="1">
      <c r="A257" s="5" t="n"/>
      <c r="B257" s="5" t="n"/>
    </row>
    <row r="258" ht="26" customHeight="1" s="1">
      <c r="A258" s="5" t="n"/>
      <c r="B258" s="5" t="n"/>
    </row>
    <row r="259" ht="26" customHeight="1" s="1">
      <c r="A259" s="5" t="n"/>
      <c r="B259" s="5" t="n"/>
    </row>
    <row r="260" ht="26" customHeight="1" s="1">
      <c r="A260" s="5" t="n"/>
      <c r="B260" s="5" t="n"/>
    </row>
    <row r="261" ht="26" customHeight="1" s="1">
      <c r="A261" s="5" t="n"/>
      <c r="B261" s="5" t="n"/>
    </row>
    <row r="262" ht="26" customHeight="1" s="1">
      <c r="A262" s="5" t="n"/>
      <c r="B262" s="5" t="n"/>
    </row>
    <row r="263" ht="26" customHeight="1" s="1">
      <c r="A263" s="5" t="n"/>
      <c r="B263" s="5" t="n"/>
    </row>
    <row r="264" ht="26" customHeight="1" s="1">
      <c r="A264" s="5" t="n"/>
      <c r="B264" s="5" t="n"/>
    </row>
    <row r="265" ht="26" customHeight="1" s="1">
      <c r="A265" s="5" t="n"/>
      <c r="B265" s="5" t="n"/>
    </row>
    <row r="266" ht="26" customHeight="1" s="1">
      <c r="A266" s="5" t="n"/>
      <c r="B266" s="5" t="n"/>
    </row>
    <row r="267" ht="26" customHeight="1" s="1">
      <c r="A267" s="5" t="n"/>
      <c r="B267" s="5" t="n"/>
    </row>
    <row r="268" ht="26" customHeight="1" s="1">
      <c r="A268" s="5" t="n"/>
      <c r="B268" s="5" t="n"/>
    </row>
    <row r="269" ht="26" customHeight="1" s="1">
      <c r="A269" s="5" t="n"/>
      <c r="B269" s="5" t="n"/>
    </row>
    <row r="270" ht="26" customHeight="1" s="1">
      <c r="A270" s="5" t="n"/>
      <c r="B270" s="5" t="n"/>
    </row>
    <row r="271" ht="26" customHeight="1" s="1">
      <c r="A271" s="5" t="n"/>
      <c r="B271" s="5" t="n"/>
    </row>
    <row r="272" ht="26" customHeight="1" s="1">
      <c r="A272" s="5" t="n"/>
      <c r="B272" s="5" t="n"/>
    </row>
    <row r="273" ht="26" customHeight="1" s="1">
      <c r="A273" s="5" t="n"/>
      <c r="B273" s="5" t="n"/>
    </row>
    <row r="274" ht="26" customHeight="1" s="1">
      <c r="A274" s="5" t="n"/>
      <c r="B274" s="5" t="n"/>
    </row>
    <row r="275" ht="26" customHeight="1" s="1">
      <c r="A275" s="5" t="n"/>
      <c r="B275" s="5" t="n"/>
    </row>
    <row r="276" ht="26" customHeight="1" s="1">
      <c r="A276" s="5" t="n"/>
      <c r="B276" s="5" t="n"/>
    </row>
    <row r="277" ht="26" customHeight="1" s="1">
      <c r="A277" s="5" t="n"/>
      <c r="B277" s="5" t="n"/>
    </row>
    <row r="278" ht="26" customHeight="1" s="1">
      <c r="A278" s="5" t="n"/>
      <c r="B278" s="5" t="n"/>
    </row>
    <row r="279" ht="26" customHeight="1" s="1">
      <c r="A279" s="5" t="n"/>
      <c r="B279" s="5" t="n"/>
    </row>
    <row r="280" ht="26" customHeight="1" s="1">
      <c r="A280" s="5" t="n"/>
      <c r="B280" s="5" t="n"/>
    </row>
    <row r="281" ht="26" customHeight="1" s="1">
      <c r="A281" s="5" t="n"/>
      <c r="B281" s="5" t="n"/>
    </row>
    <row r="282" ht="26" customHeight="1" s="1">
      <c r="A282" s="5" t="n"/>
      <c r="B282" s="5" t="n"/>
    </row>
    <row r="283" ht="26" customHeight="1" s="1">
      <c r="A283" s="5" t="n"/>
      <c r="B283" s="5" t="n"/>
    </row>
    <row r="284" ht="26" customHeight="1" s="1">
      <c r="A284" s="5" t="n"/>
      <c r="B284" s="5" t="n"/>
    </row>
    <row r="285" ht="26" customHeight="1" s="1">
      <c r="A285" s="5" t="n"/>
      <c r="B285" s="5" t="n"/>
    </row>
    <row r="286" ht="26" customHeight="1" s="1">
      <c r="A286" s="5" t="n"/>
      <c r="B286" s="5" t="n"/>
    </row>
    <row r="287" ht="26" customHeight="1" s="1">
      <c r="A287" s="5" t="n"/>
      <c r="B287" s="5" t="n"/>
    </row>
    <row r="288" ht="26" customHeight="1" s="1">
      <c r="A288" s="5" t="n"/>
      <c r="B288" s="5" t="n"/>
    </row>
    <row r="289" ht="26" customHeight="1" s="1">
      <c r="A289" s="5" t="n"/>
      <c r="B289" s="5" t="n"/>
    </row>
    <row r="290" ht="26" customHeight="1" s="1">
      <c r="A290" s="5" t="n"/>
      <c r="B290" s="5" t="n"/>
    </row>
    <row r="291" ht="26" customHeight="1" s="1">
      <c r="A291" s="5" t="n"/>
      <c r="B291" s="5" t="n"/>
    </row>
    <row r="292" ht="26" customHeight="1" s="1">
      <c r="A292" s="5" t="n"/>
      <c r="B292" s="5" t="n"/>
    </row>
    <row r="293" ht="26" customHeight="1" s="1">
      <c r="A293" s="5" t="n"/>
      <c r="B293" s="5" t="n"/>
    </row>
    <row r="294" ht="26" customHeight="1" s="1">
      <c r="A294" s="5" t="n"/>
      <c r="B294" s="5" t="n"/>
    </row>
    <row r="295" ht="26" customHeight="1" s="1">
      <c r="A295" s="5" t="n"/>
      <c r="B295" s="5" t="n"/>
    </row>
    <row r="296" ht="26" customHeight="1" s="1">
      <c r="A296" s="5" t="n"/>
      <c r="B296" s="5" t="n"/>
    </row>
    <row r="297" ht="26" customHeight="1" s="1">
      <c r="A297" s="5" t="n"/>
      <c r="B297" s="5" t="n"/>
    </row>
    <row r="298" ht="26" customHeight="1" s="1">
      <c r="A298" s="5" t="n"/>
      <c r="B298" s="5" t="n"/>
    </row>
    <row r="299" ht="26" customHeight="1" s="1">
      <c r="A299" s="5" t="n"/>
      <c r="B299" s="5" t="n"/>
    </row>
    <row r="300" ht="26" customHeight="1" s="1">
      <c r="A300" s="5" t="n"/>
      <c r="B300" s="5" t="n"/>
    </row>
    <row r="301" ht="26" customHeight="1" s="1">
      <c r="A301" s="5" t="n"/>
      <c r="B301" s="5" t="n"/>
    </row>
    <row r="302" ht="26" customHeight="1" s="1">
      <c r="A302" s="5" t="n"/>
      <c r="B302" s="5" t="n"/>
    </row>
    <row r="303" ht="26" customHeight="1" s="1">
      <c r="A303" s="5" t="n"/>
      <c r="B303" s="5" t="n"/>
    </row>
    <row r="304" ht="26" customHeight="1" s="1">
      <c r="A304" s="5" t="n"/>
      <c r="B304" s="5" t="n"/>
    </row>
    <row r="305" ht="26" customHeight="1" s="1">
      <c r="A305" s="5" t="n"/>
      <c r="B305" s="5" t="n"/>
    </row>
    <row r="306" ht="26" customHeight="1" s="1">
      <c r="A306" s="5" t="n"/>
      <c r="B306" s="5" t="n"/>
    </row>
    <row r="307" ht="26" customHeight="1" s="1">
      <c r="A307" s="5" t="n"/>
      <c r="B307" s="5" t="n"/>
    </row>
    <row r="308" ht="26" customHeight="1" s="1">
      <c r="A308" s="5" t="n"/>
      <c r="B308" s="5" t="n"/>
    </row>
    <row r="309" ht="26" customHeight="1" s="1">
      <c r="A309" s="5" t="n"/>
      <c r="B309" s="5" t="n"/>
    </row>
    <row r="310" ht="26" customHeight="1" s="1">
      <c r="A310" s="5" t="n"/>
      <c r="B310" s="5" t="n"/>
    </row>
    <row r="311" ht="26" customHeight="1" s="1">
      <c r="A311" s="5" t="n"/>
      <c r="B311" s="5" t="n"/>
    </row>
    <row r="312" ht="26" customHeight="1" s="1">
      <c r="A312" s="5" t="n"/>
      <c r="B312" s="5" t="n"/>
    </row>
    <row r="313" ht="26" customHeight="1" s="1">
      <c r="A313" s="5" t="n"/>
      <c r="B313" s="5" t="n"/>
    </row>
    <row r="314" ht="26" customHeight="1" s="1">
      <c r="A314" s="5" t="n"/>
      <c r="B314" s="5" t="n"/>
    </row>
    <row r="315" ht="26" customHeight="1" s="1">
      <c r="A315" s="5" t="n"/>
      <c r="B315" s="5" t="n"/>
    </row>
    <row r="316" ht="26" customHeight="1" s="1">
      <c r="A316" s="5" t="n"/>
      <c r="B316" s="5" t="n"/>
    </row>
    <row r="317" ht="26" customHeight="1" s="1">
      <c r="A317" s="5" t="n"/>
      <c r="B317" s="5" t="n"/>
    </row>
    <row r="318" ht="26" customHeight="1" s="1">
      <c r="A318" s="5" t="n"/>
      <c r="B318" s="5" t="n"/>
    </row>
    <row r="319" ht="26" customHeight="1" s="1">
      <c r="A319" s="5" t="n"/>
      <c r="B319" s="5" t="n"/>
    </row>
    <row r="320" ht="26" customHeight="1" s="1">
      <c r="A320" s="5" t="n"/>
      <c r="B320" s="5" t="n"/>
    </row>
    <row r="321" ht="26" customHeight="1" s="1">
      <c r="A321" s="5" t="n"/>
      <c r="B321" s="5" t="n"/>
    </row>
    <row r="322" ht="26" customHeight="1" s="1">
      <c r="A322" s="5" t="n"/>
      <c r="B322" s="5" t="n"/>
    </row>
    <row r="323" ht="26" customHeight="1" s="1">
      <c r="A323" s="5" t="n"/>
      <c r="B323" s="5" t="n"/>
    </row>
    <row r="324" ht="26" customHeight="1" s="1">
      <c r="A324" s="5" t="n"/>
      <c r="B324" s="5" t="n"/>
    </row>
    <row r="325" ht="26" customHeight="1" s="1">
      <c r="A325" s="5" t="n"/>
      <c r="B325" s="5" t="n"/>
    </row>
    <row r="326" ht="26" customHeight="1" s="1">
      <c r="A326" s="5" t="n"/>
      <c r="B326" s="5" t="n"/>
    </row>
    <row r="327" ht="26" customHeight="1" s="1">
      <c r="A327" s="5" t="n"/>
      <c r="B327" s="5" t="n"/>
    </row>
    <row r="328" ht="26" customHeight="1" s="1">
      <c r="A328" s="5" t="n"/>
      <c r="B328" s="5" t="n"/>
    </row>
    <row r="329" ht="26" customHeight="1" s="1">
      <c r="A329" s="5" t="n"/>
      <c r="B329" s="5" t="n"/>
    </row>
    <row r="330" ht="26" customHeight="1" s="1">
      <c r="A330" s="5" t="n"/>
      <c r="B330" s="5" t="n"/>
    </row>
    <row r="331" ht="26" customHeight="1" s="1">
      <c r="A331" s="5" t="n"/>
      <c r="B331" s="5" t="n"/>
    </row>
    <row r="332" ht="26" customHeight="1" s="1">
      <c r="A332" s="5" t="n"/>
      <c r="B332" s="5" t="n"/>
    </row>
    <row r="333" ht="26" customHeight="1" s="1">
      <c r="A333" s="5" t="n"/>
      <c r="B333" s="5" t="n"/>
    </row>
    <row r="334" ht="26" customHeight="1" s="1">
      <c r="A334" s="5" t="n"/>
      <c r="B334" s="5" t="n"/>
    </row>
    <row r="335" ht="26" customHeight="1" s="1">
      <c r="A335" s="5" t="n"/>
      <c r="B335" s="5" t="n"/>
    </row>
    <row r="336" ht="26" customHeight="1" s="1">
      <c r="A336" s="5" t="n"/>
      <c r="B336" s="5" t="n"/>
    </row>
    <row r="337" ht="26" customHeight="1" s="1">
      <c r="A337" s="5" t="n"/>
      <c r="B337" s="5" t="n"/>
    </row>
    <row r="338" ht="26" customHeight="1" s="1">
      <c r="A338" s="5" t="n"/>
      <c r="B338" s="5" t="n"/>
    </row>
    <row r="339" ht="26" customHeight="1" s="1">
      <c r="A339" s="5" t="n"/>
      <c r="B339" s="5" t="n"/>
    </row>
    <row r="340" ht="26" customHeight="1" s="1">
      <c r="A340" s="5" t="n"/>
      <c r="B340" s="5" t="n"/>
    </row>
    <row r="341" ht="26" customHeight="1" s="1">
      <c r="A341" s="5" t="n"/>
      <c r="B341" s="5" t="n"/>
    </row>
    <row r="342" ht="26" customHeight="1" s="1">
      <c r="A342" s="5" t="n"/>
      <c r="B342" s="5" t="n"/>
    </row>
    <row r="343" ht="26" customHeight="1" s="1">
      <c r="A343" s="5" t="n"/>
      <c r="B343" s="5" t="n"/>
    </row>
    <row r="344" ht="26" customHeight="1" s="1">
      <c r="A344" s="5" t="n"/>
      <c r="B344" s="5" t="n"/>
    </row>
    <row r="345" ht="26" customHeight="1" s="1">
      <c r="A345" s="5" t="n"/>
      <c r="B345" s="5" t="n"/>
    </row>
    <row r="346" ht="26" customHeight="1" s="1">
      <c r="A346" s="5" t="n"/>
      <c r="B346" s="5" t="n"/>
    </row>
    <row r="347" ht="26" customHeight="1" s="1">
      <c r="A347" s="5" t="n"/>
      <c r="B347" s="5" t="n"/>
    </row>
    <row r="348" ht="26" customHeight="1" s="1">
      <c r="A348" s="5" t="n"/>
      <c r="B348" s="5" t="n"/>
    </row>
    <row r="349" ht="26" customHeight="1" s="1">
      <c r="A349" s="5" t="n"/>
      <c r="B349" s="5" t="n"/>
    </row>
    <row r="350" ht="26" customHeight="1" s="1">
      <c r="A350" s="5" t="n"/>
      <c r="B350" s="5" t="n"/>
    </row>
    <row r="351" ht="26" customHeight="1" s="1">
      <c r="A351" s="5" t="n"/>
      <c r="B351" s="5" t="n"/>
    </row>
    <row r="353">
      <c r="A353" s="3" t="inlineStr">
        <is>
          <t>※ サンプルを、監視したい銘柄コード（4桁）と銘柄名に書き換えてください。</t>
        </is>
      </c>
    </row>
  </sheetData>
  <autoFilter ref="A1:B1"/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A354"/>
  <sheetViews>
    <sheetView workbookViewId="0">
      <pane xSplit="3" ySplit="2" topLeftCell="D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style="1" min="1" max="1"/>
    <col width="16" customWidth="1" style="1" min="2" max="2"/>
    <col width="20" customWidth="1" style="1" min="3" max="3"/>
    <col width="12" customWidth="1" style="1" min="4" max="4"/>
    <col width="12" customWidth="1" style="1" min="5" max="5"/>
    <col width="12" customWidth="1" style="1" min="6" max="6"/>
    <col width="12" customWidth="1" style="1" min="7" max="7"/>
    <col width="14" customWidth="1" style="1" min="8" max="8"/>
    <col width="12" customWidth="1" style="1" min="9" max="9"/>
    <col width="12" customWidth="1" style="1" min="10" max="10"/>
    <col width="12" customWidth="1" style="1" min="11" max="11"/>
    <col width="12" customWidth="1" style="1" min="12" max="12"/>
    <col width="15" customWidth="1" style="1" min="13" max="13"/>
    <col width="12" customWidth="1" style="1" min="14" max="14"/>
    <col width="12" customWidth="1" style="1" min="15" max="15"/>
    <col width="12" customWidth="1" style="1" min="16" max="16"/>
    <col width="12" customWidth="1" style="1" min="17" max="17"/>
    <col width="12" customWidth="1" style="1" min="18" max="18"/>
    <col width="12" customWidth="1" style="1" min="19" max="19"/>
    <col width="12" customWidth="1" style="1" min="20" max="20"/>
    <col width="12" customWidth="1" style="1" min="21" max="21"/>
    <col width="12" customWidth="1" style="1" min="22" max="22"/>
    <col width="12" customWidth="1" style="1" min="23" max="23"/>
    <col width="11" customWidth="1" style="1" min="24" max="24"/>
    <col width="12" customWidth="1" style="1" min="25" max="25"/>
    <col width="12" customWidth="1" style="1" min="26" max="26"/>
    <col width="12" customWidth="1" style="1" min="27" max="27"/>
  </cols>
  <sheetData>
    <row r="1" ht="44" customHeight="1" s="1">
      <c r="A1" s="6" t="n"/>
      <c r="B1" s="7" t="n"/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</row>
    <row r="2" ht="46" customHeight="1" s="1">
      <c r="A2" s="4" t="inlineStr">
        <is>
          <t>No</t>
        </is>
      </c>
      <c r="B2" s="4" t="inlineStr">
        <is>
          <t>銘柄コード（株探）</t>
        </is>
      </c>
      <c r="C2" s="4" t="inlineStr">
        <is>
          <t>銘柄名</t>
        </is>
      </c>
      <c r="D2" s="4" t="inlineStr">
        <is>
          <t>現在値</t>
        </is>
      </c>
      <c r="E2" s="4" t="inlineStr">
        <is>
          <t>高値</t>
        </is>
      </c>
      <c r="F2" s="4" t="inlineStr">
        <is>
          <t>安値</t>
        </is>
      </c>
      <c r="G2" s="4" t="inlineStr">
        <is>
          <t>終値</t>
        </is>
      </c>
      <c r="H2" s="4" t="inlineStr">
        <is>
          <t>出来高</t>
        </is>
      </c>
      <c r="I2" s="4" t="inlineStr">
        <is>
          <t>前日高値</t>
        </is>
      </c>
      <c r="J2" s="4" t="inlineStr">
        <is>
          <t>前日安値</t>
        </is>
      </c>
      <c r="K2" s="4" t="inlineStr">
        <is>
          <t>前日終値</t>
        </is>
      </c>
      <c r="L2" s="4" t="inlineStr">
        <is>
          <t>寄り方向</t>
        </is>
      </c>
      <c r="M2" s="4" t="inlineStr">
        <is>
          <t>ATR(14・5分足)</t>
        </is>
      </c>
      <c r="N2" s="4" t="inlineStr">
        <is>
          <t>ゾーン</t>
        </is>
      </c>
      <c r="O2" s="4" t="inlineStr">
        <is>
          <t>STOP-BUY</t>
        </is>
      </c>
      <c r="P2" s="4" t="inlineStr">
        <is>
          <t>STOP-SELL</t>
        </is>
      </c>
      <c r="Q2" s="4" t="inlineStr">
        <is>
          <t>売買種別</t>
        </is>
      </c>
      <c r="R2" s="4" t="inlineStr">
        <is>
          <t>Entry</t>
        </is>
      </c>
      <c r="S2" s="4" t="inlineStr">
        <is>
          <t>SL</t>
        </is>
      </c>
      <c r="T2" s="4" t="inlineStr">
        <is>
          <t>TP1</t>
        </is>
      </c>
      <c r="U2" s="4" t="inlineStr">
        <is>
          <t>TP2</t>
        </is>
      </c>
      <c r="V2" s="4" t="inlineStr">
        <is>
          <t>TP3</t>
        </is>
      </c>
      <c r="W2" s="4" t="inlineStr">
        <is>
          <t>2回目戻し</t>
        </is>
      </c>
      <c r="X2" s="4" t="inlineStr">
        <is>
          <t>時間帯</t>
        </is>
      </c>
      <c r="Y2" s="4" t="inlineStr">
        <is>
          <t>ボラフィルタ</t>
        </is>
      </c>
      <c r="Z2" s="4" t="inlineStr">
        <is>
          <t>ダマシ除去</t>
        </is>
      </c>
      <c r="AA2" s="4" t="inlineStr">
        <is>
          <t>トレンド方向</t>
        </is>
      </c>
    </row>
    <row r="3" ht="26" customHeight="1" s="1">
      <c r="A3" s="8">
        <f>IF(B3="","",ROW()-2)</f>
        <v/>
      </c>
      <c r="B3" s="9">
        <f>IF('StockList_MS2'!A2="","",HYPERLINK("https://kabutan.jp/stock/?code="&amp;'StockList_MS2'!A2,'StockList_MS2'!A2))</f>
        <v/>
      </c>
      <c r="C3" s="10">
        <f>IF('StockList_MS2'!A2="","",'StockList_MS2'!B2)</f>
        <v/>
      </c>
      <c r="D3" s="11" t="n">
        <v>2500</v>
      </c>
      <c r="E3" s="11" t="n">
        <v>2545</v>
      </c>
      <c r="F3" s="11" t="n">
        <v>2470</v>
      </c>
      <c r="G3" s="11" t="n">
        <v>2495</v>
      </c>
      <c r="H3" s="12" t="n">
        <v>15000000</v>
      </c>
      <c r="I3" s="11" t="n">
        <v>2520</v>
      </c>
      <c r="J3" s="11" t="n">
        <v>2460</v>
      </c>
      <c r="K3" s="11" t="n">
        <v>2490</v>
      </c>
      <c r="L3" s="8">
        <f>IF(D3="","",IF(D3&gt;K3,"BUY-DAY","SELL-DAY"))</f>
        <v/>
      </c>
      <c r="M3" s="13">
        <f>IF(D3="","",MAX(E3-F3,ABS(E3-K3),ABS(F3-K3)))</f>
        <v/>
      </c>
      <c r="N3" s="8">
        <f>IF(D3="","",IF(AND(H3&gt;0,H3&gt;(H3/3)*2.5),"VOL-OK","VOL-NG"))</f>
        <v/>
      </c>
      <c r="O3" s="8">
        <f>IF(D3="","",IF(D3&gt;I3,"ON","OFF"))</f>
        <v/>
      </c>
      <c r="P3" s="8">
        <f>IF(D3="","",IF(D3&lt;J3,"ON","OFF"))</f>
        <v/>
      </c>
      <c r="Q3" s="8">
        <f>IF(OR(D3="",M3&lt;=0),"",IF(AND(L3="BUY-DAY",N3="VOL-OK",P3="ON",Z3="OK",AA3&lt;&gt;"DOWN"),"BUY",IF(AND(L3="SELL-DAY",N3="VOL-OK",O3="ON",Z3="OK",AA3&lt;&gt;"UP"),"SELL","")))</f>
        <v/>
      </c>
      <c r="R3" s="13">
        <f>IF(Q3="","",D3)</f>
        <v/>
      </c>
      <c r="S3" s="13">
        <f>IF(Q3="","",IF(Q3="BUY",D3-M3*1.5,D3+M3*1.5))</f>
        <v/>
      </c>
      <c r="T3" s="13">
        <f>IF(Q3="","",IF(Q3="BUY",D3+M3*1.5,D3-M3*1.5))</f>
        <v/>
      </c>
      <c r="U3" s="13">
        <f>IF(Q3="","",IF(Q3="BUY",D3+M3*2,D3-M3*2))</f>
        <v/>
      </c>
      <c r="V3" s="13">
        <f>IF(Q3="","",IF(Q3="BUY",D3+M3*3,D3-M3*3))</f>
        <v/>
      </c>
      <c r="W3" s="8">
        <f>IF(OR(D3="",M3&lt;=0),"",IF(AND(D3&gt;G3,ABS(D3-G3)&lt;M3*0.5),"2ND","1ST"))</f>
        <v/>
      </c>
      <c r="X3" s="8">
        <f>IF(OR(D3="",M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" s="8">
        <f>IF(OR(D3="",M3&lt;=0),"",IF(M3&gt;D3*0.05,"VOL-HIGH","VOL-NORMAL"))</f>
        <v/>
      </c>
      <c r="Z3" s="8">
        <f>IF(OR(D3="",M3&lt;=0),"",IF(AND(N3="VOL-OK",Y3="VOL-NORMAL",W3="2ND"),"OK","NG"))</f>
        <v/>
      </c>
      <c r="AA3" s="8">
        <f>IF(OR(D3="",M3&lt;=0),"",IF(AND(E3&gt;I3,F3&gt;J3),"UP",IF(AND(E3&lt;I3,F3&lt;J3),"DOWN","FLAT")))</f>
        <v/>
      </c>
    </row>
    <row r="4" ht="26" customHeight="1" s="1">
      <c r="A4" s="14">
        <f>IF(B4="","",ROW()-2)</f>
        <v/>
      </c>
      <c r="B4" s="15">
        <f>IF('StockList_MS2'!A3="","",HYPERLINK("https://kabutan.jp/stock/?code="&amp;'StockList_MS2'!A3,'StockList_MS2'!A3))</f>
        <v/>
      </c>
      <c r="C4" s="16">
        <f>IF('StockList_MS2'!A3="","",'StockList_MS2'!B3)</f>
        <v/>
      </c>
      <c r="D4" s="17" t="n"/>
      <c r="E4" s="17" t="n"/>
      <c r="F4" s="17" t="n"/>
      <c r="G4" s="17" t="n"/>
      <c r="H4" s="18" t="n"/>
      <c r="I4" s="17" t="n"/>
      <c r="J4" s="17" t="n"/>
      <c r="K4" s="17" t="n"/>
      <c r="L4" s="14">
        <f>IF(D4="","",IF(D4&gt;K4,"BUY-DAY","SELL-DAY"))</f>
        <v/>
      </c>
      <c r="M4" s="19">
        <f>IF(D4="","",MAX(E4-F4,ABS(E4-K4),ABS(F4-K4)))</f>
        <v/>
      </c>
      <c r="N4" s="14">
        <f>IF(D4="","",IF(AND(H4&gt;0,H4&gt;(H4/3)*2.5),"VOL-OK","VOL-NG"))</f>
        <v/>
      </c>
      <c r="O4" s="14">
        <f>IF(D4="","",IF(D4&gt;I4,"ON","OFF"))</f>
        <v/>
      </c>
      <c r="P4" s="14">
        <f>IF(D4="","",IF(D4&lt;J4,"ON","OFF"))</f>
        <v/>
      </c>
      <c r="Q4" s="14">
        <f>IF(OR(D4="",M4&lt;=0),"",IF(AND(L4="BUY-DAY",N4="VOL-OK",P4="ON",Z4="OK",AA4&lt;&gt;"DOWN"),"BUY",IF(AND(L4="SELL-DAY",N4="VOL-OK",O4="ON",Z4="OK",AA4&lt;&gt;"UP"),"SELL","")))</f>
        <v/>
      </c>
      <c r="R4" s="19">
        <f>IF(Q4="","",D4)</f>
        <v/>
      </c>
      <c r="S4" s="19">
        <f>IF(Q4="","",IF(Q4="BUY",D4-M4*1.5,D4+M4*1.5))</f>
        <v/>
      </c>
      <c r="T4" s="19">
        <f>IF(Q4="","",IF(Q4="BUY",D4+M4*1.5,D4-M4*1.5))</f>
        <v/>
      </c>
      <c r="U4" s="19">
        <f>IF(Q4="","",IF(Q4="BUY",D4+M4*2,D4-M4*2))</f>
        <v/>
      </c>
      <c r="V4" s="19">
        <f>IF(Q4="","",IF(Q4="BUY",D4+M4*3,D4-M4*3))</f>
        <v/>
      </c>
      <c r="W4" s="14">
        <f>IF(OR(D4="",M4&lt;=0),"",IF(AND(D4&gt;G4,ABS(D4-G4)&lt;M4*0.5),"2ND","1ST"))</f>
        <v/>
      </c>
      <c r="X4" s="14">
        <f>IF(OR(D4="",M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" s="14">
        <f>IF(OR(D4="",M4&lt;=0),"",IF(M4&gt;D4*0.05,"VOL-HIGH","VOL-NORMAL"))</f>
        <v/>
      </c>
      <c r="Z4" s="14">
        <f>IF(OR(D4="",M4&lt;=0),"",IF(AND(N4="VOL-OK",Y4="VOL-NORMAL",W4="2ND"),"OK","NG"))</f>
        <v/>
      </c>
      <c r="AA4" s="14">
        <f>IF(OR(D4="",M4&lt;=0),"",IF(AND(E4&gt;I4,F4&gt;J4),"UP",IF(AND(E4&lt;I4,F4&lt;J4),"DOWN","FLAT")))</f>
        <v/>
      </c>
    </row>
    <row r="5" ht="26" customHeight="1" s="1">
      <c r="A5" s="8">
        <f>IF(B5="","",ROW()-2)</f>
        <v/>
      </c>
      <c r="B5" s="9">
        <f>IF('StockList_MS2'!A4="","",HYPERLINK("https://kabutan.jp/stock/?code="&amp;'StockList_MS2'!A4,'StockList_MS2'!A4))</f>
        <v/>
      </c>
      <c r="C5" s="10">
        <f>IF('StockList_MS2'!A4="","",'StockList_MS2'!B4)</f>
        <v/>
      </c>
      <c r="D5" s="11" t="n"/>
      <c r="E5" s="11" t="n"/>
      <c r="F5" s="11" t="n"/>
      <c r="G5" s="11" t="n"/>
      <c r="H5" s="12" t="n"/>
      <c r="I5" s="11" t="n"/>
      <c r="J5" s="11" t="n"/>
      <c r="K5" s="11" t="n"/>
      <c r="L5" s="8">
        <f>IF(D5="","",IF(D5&gt;K5,"BUY-DAY","SELL-DAY"))</f>
        <v/>
      </c>
      <c r="M5" s="13">
        <f>IF(D5="","",MAX(E5-F5,ABS(E5-K5),ABS(F5-K5)))</f>
        <v/>
      </c>
      <c r="N5" s="8">
        <f>IF(D5="","",IF(AND(H5&gt;0,H5&gt;(H5/3)*2.5),"VOL-OK","VOL-NG"))</f>
        <v/>
      </c>
      <c r="O5" s="8">
        <f>IF(D5="","",IF(D5&gt;I5,"ON","OFF"))</f>
        <v/>
      </c>
      <c r="P5" s="8">
        <f>IF(D5="","",IF(D5&lt;J5,"ON","OFF"))</f>
        <v/>
      </c>
      <c r="Q5" s="8">
        <f>IF(OR(D5="",M5&lt;=0),"",IF(AND(L5="BUY-DAY",N5="VOL-OK",P5="ON",Z5="OK",AA5&lt;&gt;"DOWN"),"BUY",IF(AND(L5="SELL-DAY",N5="VOL-OK",O5="ON",Z5="OK",AA5&lt;&gt;"UP"),"SELL","")))</f>
        <v/>
      </c>
      <c r="R5" s="13">
        <f>IF(Q5="","",D5)</f>
        <v/>
      </c>
      <c r="S5" s="13">
        <f>IF(Q5="","",IF(Q5="BUY",D5-M5*1.5,D5+M5*1.5))</f>
        <v/>
      </c>
      <c r="T5" s="13">
        <f>IF(Q5="","",IF(Q5="BUY",D5+M5*1.5,D5-M5*1.5))</f>
        <v/>
      </c>
      <c r="U5" s="13">
        <f>IF(Q5="","",IF(Q5="BUY",D5+M5*2,D5-M5*2))</f>
        <v/>
      </c>
      <c r="V5" s="13">
        <f>IF(Q5="","",IF(Q5="BUY",D5+M5*3,D5-M5*3))</f>
        <v/>
      </c>
      <c r="W5" s="8">
        <f>IF(OR(D5="",M5&lt;=0),"",IF(AND(D5&gt;G5,ABS(D5-G5)&lt;M5*0.5),"2ND","1ST"))</f>
        <v/>
      </c>
      <c r="X5" s="8">
        <f>IF(OR(D5="",M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" s="8">
        <f>IF(OR(D5="",M5&lt;=0),"",IF(M5&gt;D5*0.05,"VOL-HIGH","VOL-NORMAL"))</f>
        <v/>
      </c>
      <c r="Z5" s="8">
        <f>IF(OR(D5="",M5&lt;=0),"",IF(AND(N5="VOL-OK",Y5="VOL-NORMAL",W5="2ND"),"OK","NG"))</f>
        <v/>
      </c>
      <c r="AA5" s="8">
        <f>IF(OR(D5="",M5&lt;=0),"",IF(AND(E5&gt;I5,F5&gt;J5),"UP",IF(AND(E5&lt;I5,F5&lt;J5),"DOWN","FLAT")))</f>
        <v/>
      </c>
    </row>
    <row r="6" ht="26" customHeight="1" s="1">
      <c r="A6" s="14">
        <f>IF(B6="","",ROW()-2)</f>
        <v/>
      </c>
      <c r="B6" s="15">
        <f>IF('StockList_MS2'!A5="","",HYPERLINK("https://kabutan.jp/stock/?code="&amp;'StockList_MS2'!A5,'StockList_MS2'!A5))</f>
        <v/>
      </c>
      <c r="C6" s="16">
        <f>IF('StockList_MS2'!A5="","",'StockList_MS2'!B5)</f>
        <v/>
      </c>
      <c r="D6" s="17" t="n"/>
      <c r="E6" s="17" t="n"/>
      <c r="F6" s="17" t="n"/>
      <c r="G6" s="17" t="n"/>
      <c r="H6" s="18" t="n"/>
      <c r="I6" s="17" t="n"/>
      <c r="J6" s="17" t="n"/>
      <c r="K6" s="17" t="n"/>
      <c r="L6" s="14">
        <f>IF(D6="","",IF(D6&gt;K6,"BUY-DAY","SELL-DAY"))</f>
        <v/>
      </c>
      <c r="M6" s="19">
        <f>IF(D6="","",MAX(E6-F6,ABS(E6-K6),ABS(F6-K6)))</f>
        <v/>
      </c>
      <c r="N6" s="14">
        <f>IF(D6="","",IF(AND(H6&gt;0,H6&gt;(H6/3)*2.5),"VOL-OK","VOL-NG"))</f>
        <v/>
      </c>
      <c r="O6" s="14">
        <f>IF(D6="","",IF(D6&gt;I6,"ON","OFF"))</f>
        <v/>
      </c>
      <c r="P6" s="14">
        <f>IF(D6="","",IF(D6&lt;J6,"ON","OFF"))</f>
        <v/>
      </c>
      <c r="Q6" s="14">
        <f>IF(OR(D6="",M6&lt;=0),"",IF(AND(L6="BUY-DAY",N6="VOL-OK",P6="ON",Z6="OK",AA6&lt;&gt;"DOWN"),"BUY",IF(AND(L6="SELL-DAY",N6="VOL-OK",O6="ON",Z6="OK",AA6&lt;&gt;"UP"),"SELL","")))</f>
        <v/>
      </c>
      <c r="R6" s="19">
        <f>IF(Q6="","",D6)</f>
        <v/>
      </c>
      <c r="S6" s="19">
        <f>IF(Q6="","",IF(Q6="BUY",D6-M6*1.5,D6+M6*1.5))</f>
        <v/>
      </c>
      <c r="T6" s="19">
        <f>IF(Q6="","",IF(Q6="BUY",D6+M6*1.5,D6-M6*1.5))</f>
        <v/>
      </c>
      <c r="U6" s="19">
        <f>IF(Q6="","",IF(Q6="BUY",D6+M6*2,D6-M6*2))</f>
        <v/>
      </c>
      <c r="V6" s="19">
        <f>IF(Q6="","",IF(Q6="BUY",D6+M6*3,D6-M6*3))</f>
        <v/>
      </c>
      <c r="W6" s="14">
        <f>IF(OR(D6="",M6&lt;=0),"",IF(AND(D6&gt;G6,ABS(D6-G6)&lt;M6*0.5),"2ND","1ST"))</f>
        <v/>
      </c>
      <c r="X6" s="14">
        <f>IF(OR(D6="",M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" s="14">
        <f>IF(OR(D6="",M6&lt;=0),"",IF(M6&gt;D6*0.05,"VOL-HIGH","VOL-NORMAL"))</f>
        <v/>
      </c>
      <c r="Z6" s="14">
        <f>IF(OR(D6="",M6&lt;=0),"",IF(AND(N6="VOL-OK",Y6="VOL-NORMAL",W6="2ND"),"OK","NG"))</f>
        <v/>
      </c>
      <c r="AA6" s="14">
        <f>IF(OR(D6="",M6&lt;=0),"",IF(AND(E6&gt;I6,F6&gt;J6),"UP",IF(AND(E6&lt;I6,F6&lt;J6),"DOWN","FLAT")))</f>
        <v/>
      </c>
    </row>
    <row r="7" ht="26" customHeight="1" s="1">
      <c r="A7" s="8">
        <f>IF(B7="","",ROW()-2)</f>
        <v/>
      </c>
      <c r="B7" s="9">
        <f>IF('StockList_MS2'!A6="","",HYPERLINK("https://kabutan.jp/stock/?code="&amp;'StockList_MS2'!A6,'StockList_MS2'!A6))</f>
        <v/>
      </c>
      <c r="C7" s="10">
        <f>IF('StockList_MS2'!A6="","",'StockList_MS2'!B6)</f>
        <v/>
      </c>
      <c r="D7" s="11" t="n"/>
      <c r="E7" s="11" t="n"/>
      <c r="F7" s="11" t="n"/>
      <c r="G7" s="11" t="n"/>
      <c r="H7" s="12" t="n"/>
      <c r="I7" s="11" t="n"/>
      <c r="J7" s="11" t="n"/>
      <c r="K7" s="11" t="n"/>
      <c r="L7" s="8">
        <f>IF(D7="","",IF(D7&gt;K7,"BUY-DAY","SELL-DAY"))</f>
        <v/>
      </c>
      <c r="M7" s="13">
        <f>IF(D7="","",MAX(E7-F7,ABS(E7-K7),ABS(F7-K7)))</f>
        <v/>
      </c>
      <c r="N7" s="8">
        <f>IF(D7="","",IF(AND(H7&gt;0,H7&gt;(H7/3)*2.5),"VOL-OK","VOL-NG"))</f>
        <v/>
      </c>
      <c r="O7" s="8">
        <f>IF(D7="","",IF(D7&gt;I7,"ON","OFF"))</f>
        <v/>
      </c>
      <c r="P7" s="8">
        <f>IF(D7="","",IF(D7&lt;J7,"ON","OFF"))</f>
        <v/>
      </c>
      <c r="Q7" s="8">
        <f>IF(OR(D7="",M7&lt;=0),"",IF(AND(L7="BUY-DAY",N7="VOL-OK",P7="ON",Z7="OK",AA7&lt;&gt;"DOWN"),"BUY",IF(AND(L7="SELL-DAY",N7="VOL-OK",O7="ON",Z7="OK",AA7&lt;&gt;"UP"),"SELL","")))</f>
        <v/>
      </c>
      <c r="R7" s="13">
        <f>IF(Q7="","",D7)</f>
        <v/>
      </c>
      <c r="S7" s="13">
        <f>IF(Q7="","",IF(Q7="BUY",D7-M7*1.5,D7+M7*1.5))</f>
        <v/>
      </c>
      <c r="T7" s="13">
        <f>IF(Q7="","",IF(Q7="BUY",D7+M7*1.5,D7-M7*1.5))</f>
        <v/>
      </c>
      <c r="U7" s="13">
        <f>IF(Q7="","",IF(Q7="BUY",D7+M7*2,D7-M7*2))</f>
        <v/>
      </c>
      <c r="V7" s="13">
        <f>IF(Q7="","",IF(Q7="BUY",D7+M7*3,D7-M7*3))</f>
        <v/>
      </c>
      <c r="W7" s="8">
        <f>IF(OR(D7="",M7&lt;=0),"",IF(AND(D7&gt;G7,ABS(D7-G7)&lt;M7*0.5),"2ND","1ST"))</f>
        <v/>
      </c>
      <c r="X7" s="8">
        <f>IF(OR(D7="",M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" s="8">
        <f>IF(OR(D7="",M7&lt;=0),"",IF(M7&gt;D7*0.05,"VOL-HIGH","VOL-NORMAL"))</f>
        <v/>
      </c>
      <c r="Z7" s="8">
        <f>IF(OR(D7="",M7&lt;=0),"",IF(AND(N7="VOL-OK",Y7="VOL-NORMAL",W7="2ND"),"OK","NG"))</f>
        <v/>
      </c>
      <c r="AA7" s="8">
        <f>IF(OR(D7="",M7&lt;=0),"",IF(AND(E7&gt;I7,F7&gt;J7),"UP",IF(AND(E7&lt;I7,F7&lt;J7),"DOWN","FLAT")))</f>
        <v/>
      </c>
    </row>
    <row r="8" ht="26" customHeight="1" s="1">
      <c r="A8" s="14">
        <f>IF(B8="","",ROW()-2)</f>
        <v/>
      </c>
      <c r="B8" s="15">
        <f>IF('StockList_MS2'!A7="","",HYPERLINK("https://kabutan.jp/stock/?code="&amp;'StockList_MS2'!A7,'StockList_MS2'!A7))</f>
        <v/>
      </c>
      <c r="C8" s="16">
        <f>IF('StockList_MS2'!A7="","",'StockList_MS2'!B7)</f>
        <v/>
      </c>
      <c r="D8" s="17" t="n"/>
      <c r="E8" s="17" t="n"/>
      <c r="F8" s="17" t="n"/>
      <c r="G8" s="17" t="n"/>
      <c r="H8" s="18" t="n"/>
      <c r="I8" s="17" t="n"/>
      <c r="J8" s="17" t="n"/>
      <c r="K8" s="17" t="n"/>
      <c r="L8" s="14">
        <f>IF(D8="","",IF(D8&gt;K8,"BUY-DAY","SELL-DAY"))</f>
        <v/>
      </c>
      <c r="M8" s="19">
        <f>IF(D8="","",MAX(E8-F8,ABS(E8-K8),ABS(F8-K8)))</f>
        <v/>
      </c>
      <c r="N8" s="14">
        <f>IF(D8="","",IF(AND(H8&gt;0,H8&gt;(H8/3)*2.5),"VOL-OK","VOL-NG"))</f>
        <v/>
      </c>
      <c r="O8" s="14">
        <f>IF(D8="","",IF(D8&gt;I8,"ON","OFF"))</f>
        <v/>
      </c>
      <c r="P8" s="14">
        <f>IF(D8="","",IF(D8&lt;J8,"ON","OFF"))</f>
        <v/>
      </c>
      <c r="Q8" s="14">
        <f>IF(OR(D8="",M8&lt;=0),"",IF(AND(L8="BUY-DAY",N8="VOL-OK",P8="ON",Z8="OK",AA8&lt;&gt;"DOWN"),"BUY",IF(AND(L8="SELL-DAY",N8="VOL-OK",O8="ON",Z8="OK",AA8&lt;&gt;"UP"),"SELL","")))</f>
        <v/>
      </c>
      <c r="R8" s="19">
        <f>IF(Q8="","",D8)</f>
        <v/>
      </c>
      <c r="S8" s="19">
        <f>IF(Q8="","",IF(Q8="BUY",D8-M8*1.5,D8+M8*1.5))</f>
        <v/>
      </c>
      <c r="T8" s="19">
        <f>IF(Q8="","",IF(Q8="BUY",D8+M8*1.5,D8-M8*1.5))</f>
        <v/>
      </c>
      <c r="U8" s="19">
        <f>IF(Q8="","",IF(Q8="BUY",D8+M8*2,D8-M8*2))</f>
        <v/>
      </c>
      <c r="V8" s="19">
        <f>IF(Q8="","",IF(Q8="BUY",D8+M8*3,D8-M8*3))</f>
        <v/>
      </c>
      <c r="W8" s="14">
        <f>IF(OR(D8="",M8&lt;=0),"",IF(AND(D8&gt;G8,ABS(D8-G8)&lt;M8*0.5),"2ND","1ST"))</f>
        <v/>
      </c>
      <c r="X8" s="14">
        <f>IF(OR(D8="",M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" s="14">
        <f>IF(OR(D8="",M8&lt;=0),"",IF(M8&gt;D8*0.05,"VOL-HIGH","VOL-NORMAL"))</f>
        <v/>
      </c>
      <c r="Z8" s="14">
        <f>IF(OR(D8="",M8&lt;=0),"",IF(AND(N8="VOL-OK",Y8="VOL-NORMAL",W8="2ND"),"OK","NG"))</f>
        <v/>
      </c>
      <c r="AA8" s="14">
        <f>IF(OR(D8="",M8&lt;=0),"",IF(AND(E8&gt;I8,F8&gt;J8),"UP",IF(AND(E8&lt;I8,F8&lt;J8),"DOWN","FLAT")))</f>
        <v/>
      </c>
    </row>
    <row r="9" ht="26" customHeight="1" s="1">
      <c r="A9" s="8">
        <f>IF(B9="","",ROW()-2)</f>
        <v/>
      </c>
      <c r="B9" s="9">
        <f>IF('StockList_MS2'!A8="","",HYPERLINK("https://kabutan.jp/stock/?code="&amp;'StockList_MS2'!A8,'StockList_MS2'!A8))</f>
        <v/>
      </c>
      <c r="C9" s="10">
        <f>IF('StockList_MS2'!A8="","",'StockList_MS2'!B8)</f>
        <v/>
      </c>
      <c r="D9" s="11" t="n"/>
      <c r="E9" s="11" t="n"/>
      <c r="F9" s="11" t="n"/>
      <c r="G9" s="11" t="n"/>
      <c r="H9" s="12" t="n"/>
      <c r="I9" s="11" t="n"/>
      <c r="J9" s="11" t="n"/>
      <c r="K9" s="11" t="n"/>
      <c r="L9" s="8">
        <f>IF(D9="","",IF(D9&gt;K9,"BUY-DAY","SELL-DAY"))</f>
        <v/>
      </c>
      <c r="M9" s="13">
        <f>IF(D9="","",MAX(E9-F9,ABS(E9-K9),ABS(F9-K9)))</f>
        <v/>
      </c>
      <c r="N9" s="8">
        <f>IF(D9="","",IF(AND(H9&gt;0,H9&gt;(H9/3)*2.5),"VOL-OK","VOL-NG"))</f>
        <v/>
      </c>
      <c r="O9" s="8">
        <f>IF(D9="","",IF(D9&gt;I9,"ON","OFF"))</f>
        <v/>
      </c>
      <c r="P9" s="8">
        <f>IF(D9="","",IF(D9&lt;J9,"ON","OFF"))</f>
        <v/>
      </c>
      <c r="Q9" s="8">
        <f>IF(OR(D9="",M9&lt;=0),"",IF(AND(L9="BUY-DAY",N9="VOL-OK",P9="ON",Z9="OK",AA9&lt;&gt;"DOWN"),"BUY",IF(AND(L9="SELL-DAY",N9="VOL-OK",O9="ON",Z9="OK",AA9&lt;&gt;"UP"),"SELL","")))</f>
        <v/>
      </c>
      <c r="R9" s="13">
        <f>IF(Q9="","",D9)</f>
        <v/>
      </c>
      <c r="S9" s="13">
        <f>IF(Q9="","",IF(Q9="BUY",D9-M9*1.5,D9+M9*1.5))</f>
        <v/>
      </c>
      <c r="T9" s="13">
        <f>IF(Q9="","",IF(Q9="BUY",D9+M9*1.5,D9-M9*1.5))</f>
        <v/>
      </c>
      <c r="U9" s="13">
        <f>IF(Q9="","",IF(Q9="BUY",D9+M9*2,D9-M9*2))</f>
        <v/>
      </c>
      <c r="V9" s="13">
        <f>IF(Q9="","",IF(Q9="BUY",D9+M9*3,D9-M9*3))</f>
        <v/>
      </c>
      <c r="W9" s="8">
        <f>IF(OR(D9="",M9&lt;=0),"",IF(AND(D9&gt;G9,ABS(D9-G9)&lt;M9*0.5),"2ND","1ST"))</f>
        <v/>
      </c>
      <c r="X9" s="8">
        <f>IF(OR(D9="",M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" s="8">
        <f>IF(OR(D9="",M9&lt;=0),"",IF(M9&gt;D9*0.05,"VOL-HIGH","VOL-NORMAL"))</f>
        <v/>
      </c>
      <c r="Z9" s="8">
        <f>IF(OR(D9="",M9&lt;=0),"",IF(AND(N9="VOL-OK",Y9="VOL-NORMAL",W9="2ND"),"OK","NG"))</f>
        <v/>
      </c>
      <c r="AA9" s="8">
        <f>IF(OR(D9="",M9&lt;=0),"",IF(AND(E9&gt;I9,F9&gt;J9),"UP",IF(AND(E9&lt;I9,F9&lt;J9),"DOWN","FLAT")))</f>
        <v/>
      </c>
    </row>
    <row r="10" ht="26" customHeight="1" s="1">
      <c r="A10" s="14">
        <f>IF(B10="","",ROW()-2)</f>
        <v/>
      </c>
      <c r="B10" s="15">
        <f>IF('StockList_MS2'!A9="","",HYPERLINK("https://kabutan.jp/stock/?code="&amp;'StockList_MS2'!A9,'StockList_MS2'!A9))</f>
        <v/>
      </c>
      <c r="C10" s="16">
        <f>IF('StockList_MS2'!A9="","",'StockList_MS2'!B9)</f>
        <v/>
      </c>
      <c r="D10" s="17" t="n"/>
      <c r="E10" s="17" t="n"/>
      <c r="F10" s="17" t="n"/>
      <c r="G10" s="17" t="n"/>
      <c r="H10" s="18" t="n"/>
      <c r="I10" s="17" t="n"/>
      <c r="J10" s="17" t="n"/>
      <c r="K10" s="17" t="n"/>
      <c r="L10" s="14">
        <f>IF(D10="","",IF(D10&gt;K10,"BUY-DAY","SELL-DAY"))</f>
        <v/>
      </c>
      <c r="M10" s="19">
        <f>IF(D10="","",MAX(E10-F10,ABS(E10-K10),ABS(F10-K10)))</f>
        <v/>
      </c>
      <c r="N10" s="14">
        <f>IF(D10="","",IF(AND(H10&gt;0,H10&gt;(H10/3)*2.5),"VOL-OK","VOL-NG"))</f>
        <v/>
      </c>
      <c r="O10" s="14">
        <f>IF(D10="","",IF(D10&gt;I10,"ON","OFF"))</f>
        <v/>
      </c>
      <c r="P10" s="14">
        <f>IF(D10="","",IF(D10&lt;J10,"ON","OFF"))</f>
        <v/>
      </c>
      <c r="Q10" s="14">
        <f>IF(OR(D10="",M10&lt;=0),"",IF(AND(L10="BUY-DAY",N10="VOL-OK",P10="ON",Z10="OK",AA10&lt;&gt;"DOWN"),"BUY",IF(AND(L10="SELL-DAY",N10="VOL-OK",O10="ON",Z10="OK",AA10&lt;&gt;"UP"),"SELL","")))</f>
        <v/>
      </c>
      <c r="R10" s="19">
        <f>IF(Q10="","",D10)</f>
        <v/>
      </c>
      <c r="S10" s="19">
        <f>IF(Q10="","",IF(Q10="BUY",D10-M10*1.5,D10+M10*1.5))</f>
        <v/>
      </c>
      <c r="T10" s="19">
        <f>IF(Q10="","",IF(Q10="BUY",D10+M10*1.5,D10-M10*1.5))</f>
        <v/>
      </c>
      <c r="U10" s="19">
        <f>IF(Q10="","",IF(Q10="BUY",D10+M10*2,D10-M10*2))</f>
        <v/>
      </c>
      <c r="V10" s="19">
        <f>IF(Q10="","",IF(Q10="BUY",D10+M10*3,D10-M10*3))</f>
        <v/>
      </c>
      <c r="W10" s="14">
        <f>IF(OR(D10="",M10&lt;=0),"",IF(AND(D10&gt;G10,ABS(D10-G10)&lt;M10*0.5),"2ND","1ST"))</f>
        <v/>
      </c>
      <c r="X10" s="14">
        <f>IF(OR(D10="",M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" s="14">
        <f>IF(OR(D10="",M10&lt;=0),"",IF(M10&gt;D10*0.05,"VOL-HIGH","VOL-NORMAL"))</f>
        <v/>
      </c>
      <c r="Z10" s="14">
        <f>IF(OR(D10="",M10&lt;=0),"",IF(AND(N10="VOL-OK",Y10="VOL-NORMAL",W10="2ND"),"OK","NG"))</f>
        <v/>
      </c>
      <c r="AA10" s="14">
        <f>IF(OR(D10="",M10&lt;=0),"",IF(AND(E10&gt;I10,F10&gt;J10),"UP",IF(AND(E10&lt;I10,F10&lt;J10),"DOWN","FLAT")))</f>
        <v/>
      </c>
    </row>
    <row r="11" ht="26" customHeight="1" s="1">
      <c r="A11" s="8">
        <f>IF(B11="","",ROW()-2)</f>
        <v/>
      </c>
      <c r="B11" s="9">
        <f>IF('StockList_MS2'!A10="","",HYPERLINK("https://kabutan.jp/stock/?code="&amp;'StockList_MS2'!A10,'StockList_MS2'!A10))</f>
        <v/>
      </c>
      <c r="C11" s="10">
        <f>IF('StockList_MS2'!A10="","",'StockList_MS2'!B10)</f>
        <v/>
      </c>
      <c r="D11" s="11" t="n"/>
      <c r="E11" s="11" t="n"/>
      <c r="F11" s="11" t="n"/>
      <c r="G11" s="11" t="n"/>
      <c r="H11" s="12" t="n"/>
      <c r="I11" s="11" t="n"/>
      <c r="J11" s="11" t="n"/>
      <c r="K11" s="11" t="n"/>
      <c r="L11" s="8">
        <f>IF(D11="","",IF(D11&gt;K11,"BUY-DAY","SELL-DAY"))</f>
        <v/>
      </c>
      <c r="M11" s="13">
        <f>IF(D11="","",MAX(E11-F11,ABS(E11-K11),ABS(F11-K11)))</f>
        <v/>
      </c>
      <c r="N11" s="8">
        <f>IF(D11="","",IF(AND(H11&gt;0,H11&gt;(H11/3)*2.5),"VOL-OK","VOL-NG"))</f>
        <v/>
      </c>
      <c r="O11" s="8">
        <f>IF(D11="","",IF(D11&gt;I11,"ON","OFF"))</f>
        <v/>
      </c>
      <c r="P11" s="8">
        <f>IF(D11="","",IF(D11&lt;J11,"ON","OFF"))</f>
        <v/>
      </c>
      <c r="Q11" s="8">
        <f>IF(OR(D11="",M11&lt;=0),"",IF(AND(L11="BUY-DAY",N11="VOL-OK",P11="ON",Z11="OK",AA11&lt;&gt;"DOWN"),"BUY",IF(AND(L11="SELL-DAY",N11="VOL-OK",O11="ON",Z11="OK",AA11&lt;&gt;"UP"),"SELL","")))</f>
        <v/>
      </c>
      <c r="R11" s="13">
        <f>IF(Q11="","",D11)</f>
        <v/>
      </c>
      <c r="S11" s="13">
        <f>IF(Q11="","",IF(Q11="BUY",D11-M11*1.5,D11+M11*1.5))</f>
        <v/>
      </c>
      <c r="T11" s="13">
        <f>IF(Q11="","",IF(Q11="BUY",D11+M11*1.5,D11-M11*1.5))</f>
        <v/>
      </c>
      <c r="U11" s="13">
        <f>IF(Q11="","",IF(Q11="BUY",D11+M11*2,D11-M11*2))</f>
        <v/>
      </c>
      <c r="V11" s="13">
        <f>IF(Q11="","",IF(Q11="BUY",D11+M11*3,D11-M11*3))</f>
        <v/>
      </c>
      <c r="W11" s="8">
        <f>IF(OR(D11="",M11&lt;=0),"",IF(AND(D11&gt;G11,ABS(D11-G11)&lt;M11*0.5),"2ND","1ST"))</f>
        <v/>
      </c>
      <c r="X11" s="8">
        <f>IF(OR(D11="",M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" s="8">
        <f>IF(OR(D11="",M11&lt;=0),"",IF(M11&gt;D11*0.05,"VOL-HIGH","VOL-NORMAL"))</f>
        <v/>
      </c>
      <c r="Z11" s="8">
        <f>IF(OR(D11="",M11&lt;=0),"",IF(AND(N11="VOL-OK",Y11="VOL-NORMAL",W11="2ND"),"OK","NG"))</f>
        <v/>
      </c>
      <c r="AA11" s="8">
        <f>IF(OR(D11="",M11&lt;=0),"",IF(AND(E11&gt;I11,F11&gt;J11),"UP",IF(AND(E11&lt;I11,F11&lt;J11),"DOWN","FLAT")))</f>
        <v/>
      </c>
    </row>
    <row r="12" ht="26" customHeight="1" s="1">
      <c r="A12" s="14">
        <f>IF(B12="","",ROW()-2)</f>
        <v/>
      </c>
      <c r="B12" s="15">
        <f>IF('StockList_MS2'!A11="","",HYPERLINK("https://kabutan.jp/stock/?code="&amp;'StockList_MS2'!A11,'StockList_MS2'!A11))</f>
        <v/>
      </c>
      <c r="C12" s="16">
        <f>IF('StockList_MS2'!A11="","",'StockList_MS2'!B11)</f>
        <v/>
      </c>
      <c r="D12" s="17" t="n"/>
      <c r="E12" s="17" t="n"/>
      <c r="F12" s="17" t="n"/>
      <c r="G12" s="17" t="n"/>
      <c r="H12" s="18" t="n"/>
      <c r="I12" s="17" t="n"/>
      <c r="J12" s="17" t="n"/>
      <c r="K12" s="17" t="n"/>
      <c r="L12" s="14">
        <f>IF(D12="","",IF(D12&gt;K12,"BUY-DAY","SELL-DAY"))</f>
        <v/>
      </c>
      <c r="M12" s="19">
        <f>IF(D12="","",MAX(E12-F12,ABS(E12-K12),ABS(F12-K12)))</f>
        <v/>
      </c>
      <c r="N12" s="14">
        <f>IF(D12="","",IF(AND(H12&gt;0,H12&gt;(H12/3)*2.5),"VOL-OK","VOL-NG"))</f>
        <v/>
      </c>
      <c r="O12" s="14">
        <f>IF(D12="","",IF(D12&gt;I12,"ON","OFF"))</f>
        <v/>
      </c>
      <c r="P12" s="14">
        <f>IF(D12="","",IF(D12&lt;J12,"ON","OFF"))</f>
        <v/>
      </c>
      <c r="Q12" s="14">
        <f>IF(OR(D12="",M12&lt;=0),"",IF(AND(L12="BUY-DAY",N12="VOL-OK",P12="ON",Z12="OK",AA12&lt;&gt;"DOWN"),"BUY",IF(AND(L12="SELL-DAY",N12="VOL-OK",O12="ON",Z12="OK",AA12&lt;&gt;"UP"),"SELL","")))</f>
        <v/>
      </c>
      <c r="R12" s="19">
        <f>IF(Q12="","",D12)</f>
        <v/>
      </c>
      <c r="S12" s="19">
        <f>IF(Q12="","",IF(Q12="BUY",D12-M12*1.5,D12+M12*1.5))</f>
        <v/>
      </c>
      <c r="T12" s="19">
        <f>IF(Q12="","",IF(Q12="BUY",D12+M12*1.5,D12-M12*1.5))</f>
        <v/>
      </c>
      <c r="U12" s="19">
        <f>IF(Q12="","",IF(Q12="BUY",D12+M12*2,D12-M12*2))</f>
        <v/>
      </c>
      <c r="V12" s="19">
        <f>IF(Q12="","",IF(Q12="BUY",D12+M12*3,D12-M12*3))</f>
        <v/>
      </c>
      <c r="W12" s="14">
        <f>IF(OR(D12="",M12&lt;=0),"",IF(AND(D12&gt;G12,ABS(D12-G12)&lt;M12*0.5),"2ND","1ST"))</f>
        <v/>
      </c>
      <c r="X12" s="14">
        <f>IF(OR(D12="",M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" s="14">
        <f>IF(OR(D12="",M12&lt;=0),"",IF(M12&gt;D12*0.05,"VOL-HIGH","VOL-NORMAL"))</f>
        <v/>
      </c>
      <c r="Z12" s="14">
        <f>IF(OR(D12="",M12&lt;=0),"",IF(AND(N12="VOL-OK",Y12="VOL-NORMAL",W12="2ND"),"OK","NG"))</f>
        <v/>
      </c>
      <c r="AA12" s="14">
        <f>IF(OR(D12="",M12&lt;=0),"",IF(AND(E12&gt;I12,F12&gt;J12),"UP",IF(AND(E12&lt;I12,F12&lt;J12),"DOWN","FLAT")))</f>
        <v/>
      </c>
    </row>
    <row r="13" ht="26" customHeight="1" s="1">
      <c r="A13" s="8">
        <f>IF(B13="","",ROW()-2)</f>
        <v/>
      </c>
      <c r="B13" s="9">
        <f>IF('StockList_MS2'!A12="","",HYPERLINK("https://kabutan.jp/stock/?code="&amp;'StockList_MS2'!A12,'StockList_MS2'!A12))</f>
        <v/>
      </c>
      <c r="C13" s="10">
        <f>IF('StockList_MS2'!A12="","",'StockList_MS2'!B12)</f>
        <v/>
      </c>
      <c r="D13" s="11" t="n"/>
      <c r="E13" s="11" t="n"/>
      <c r="F13" s="11" t="n"/>
      <c r="G13" s="11" t="n"/>
      <c r="H13" s="12" t="n"/>
      <c r="I13" s="11" t="n"/>
      <c r="J13" s="11" t="n"/>
      <c r="K13" s="11" t="n"/>
      <c r="L13" s="8">
        <f>IF(D13="","",IF(D13&gt;K13,"BUY-DAY","SELL-DAY"))</f>
        <v/>
      </c>
      <c r="M13" s="13">
        <f>IF(D13="","",MAX(E13-F13,ABS(E13-K13),ABS(F13-K13)))</f>
        <v/>
      </c>
      <c r="N13" s="8">
        <f>IF(D13="","",IF(AND(H13&gt;0,H13&gt;(H13/3)*2.5),"VOL-OK","VOL-NG"))</f>
        <v/>
      </c>
      <c r="O13" s="8">
        <f>IF(D13="","",IF(D13&gt;I13,"ON","OFF"))</f>
        <v/>
      </c>
      <c r="P13" s="8">
        <f>IF(D13="","",IF(D13&lt;J13,"ON","OFF"))</f>
        <v/>
      </c>
      <c r="Q13" s="8">
        <f>IF(OR(D13="",M13&lt;=0),"",IF(AND(L13="BUY-DAY",N13="VOL-OK",P13="ON",Z13="OK",AA13&lt;&gt;"DOWN"),"BUY",IF(AND(L13="SELL-DAY",N13="VOL-OK",O13="ON",Z13="OK",AA13&lt;&gt;"UP"),"SELL","")))</f>
        <v/>
      </c>
      <c r="R13" s="13">
        <f>IF(Q13="","",D13)</f>
        <v/>
      </c>
      <c r="S13" s="13">
        <f>IF(Q13="","",IF(Q13="BUY",D13-M13*1.5,D13+M13*1.5))</f>
        <v/>
      </c>
      <c r="T13" s="13">
        <f>IF(Q13="","",IF(Q13="BUY",D13+M13*1.5,D13-M13*1.5))</f>
        <v/>
      </c>
      <c r="U13" s="13">
        <f>IF(Q13="","",IF(Q13="BUY",D13+M13*2,D13-M13*2))</f>
        <v/>
      </c>
      <c r="V13" s="13">
        <f>IF(Q13="","",IF(Q13="BUY",D13+M13*3,D13-M13*3))</f>
        <v/>
      </c>
      <c r="W13" s="8">
        <f>IF(OR(D13="",M13&lt;=0),"",IF(AND(D13&gt;G13,ABS(D13-G13)&lt;M13*0.5),"2ND","1ST"))</f>
        <v/>
      </c>
      <c r="X13" s="8">
        <f>IF(OR(D13="",M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" s="8">
        <f>IF(OR(D13="",M13&lt;=0),"",IF(M13&gt;D13*0.05,"VOL-HIGH","VOL-NORMAL"))</f>
        <v/>
      </c>
      <c r="Z13" s="8">
        <f>IF(OR(D13="",M13&lt;=0),"",IF(AND(N13="VOL-OK",Y13="VOL-NORMAL",W13="2ND"),"OK","NG"))</f>
        <v/>
      </c>
      <c r="AA13" s="8">
        <f>IF(OR(D13="",M13&lt;=0),"",IF(AND(E13&gt;I13,F13&gt;J13),"UP",IF(AND(E13&lt;I13,F13&lt;J13),"DOWN","FLAT")))</f>
        <v/>
      </c>
    </row>
    <row r="14" ht="26" customHeight="1" s="1">
      <c r="A14" s="14">
        <f>IF(B14="","",ROW()-2)</f>
        <v/>
      </c>
      <c r="B14" s="15">
        <f>IF('StockList_MS2'!A13="","",HYPERLINK("https://kabutan.jp/stock/?code="&amp;'StockList_MS2'!A13,'StockList_MS2'!A13))</f>
        <v/>
      </c>
      <c r="C14" s="16">
        <f>IF('StockList_MS2'!A13="","",'StockList_MS2'!B13)</f>
        <v/>
      </c>
      <c r="D14" s="17" t="n"/>
      <c r="E14" s="17" t="n"/>
      <c r="F14" s="17" t="n"/>
      <c r="G14" s="17" t="n"/>
      <c r="H14" s="18" t="n"/>
      <c r="I14" s="17" t="n"/>
      <c r="J14" s="17" t="n"/>
      <c r="K14" s="17" t="n"/>
      <c r="L14" s="14">
        <f>IF(D14="","",IF(D14&gt;K14,"BUY-DAY","SELL-DAY"))</f>
        <v/>
      </c>
      <c r="M14" s="19">
        <f>IF(D14="","",MAX(E14-F14,ABS(E14-K14),ABS(F14-K14)))</f>
        <v/>
      </c>
      <c r="N14" s="14">
        <f>IF(D14="","",IF(AND(H14&gt;0,H14&gt;(H14/3)*2.5),"VOL-OK","VOL-NG"))</f>
        <v/>
      </c>
      <c r="O14" s="14">
        <f>IF(D14="","",IF(D14&gt;I14,"ON","OFF"))</f>
        <v/>
      </c>
      <c r="P14" s="14">
        <f>IF(D14="","",IF(D14&lt;J14,"ON","OFF"))</f>
        <v/>
      </c>
      <c r="Q14" s="14">
        <f>IF(OR(D14="",M14&lt;=0),"",IF(AND(L14="BUY-DAY",N14="VOL-OK",P14="ON",Z14="OK",AA14&lt;&gt;"DOWN"),"BUY",IF(AND(L14="SELL-DAY",N14="VOL-OK",O14="ON",Z14="OK",AA14&lt;&gt;"UP"),"SELL","")))</f>
        <v/>
      </c>
      <c r="R14" s="19">
        <f>IF(Q14="","",D14)</f>
        <v/>
      </c>
      <c r="S14" s="19">
        <f>IF(Q14="","",IF(Q14="BUY",D14-M14*1.5,D14+M14*1.5))</f>
        <v/>
      </c>
      <c r="T14" s="19">
        <f>IF(Q14="","",IF(Q14="BUY",D14+M14*1.5,D14-M14*1.5))</f>
        <v/>
      </c>
      <c r="U14" s="19">
        <f>IF(Q14="","",IF(Q14="BUY",D14+M14*2,D14-M14*2))</f>
        <v/>
      </c>
      <c r="V14" s="19">
        <f>IF(Q14="","",IF(Q14="BUY",D14+M14*3,D14-M14*3))</f>
        <v/>
      </c>
      <c r="W14" s="14">
        <f>IF(OR(D14="",M14&lt;=0),"",IF(AND(D14&gt;G14,ABS(D14-G14)&lt;M14*0.5),"2ND","1ST"))</f>
        <v/>
      </c>
      <c r="X14" s="14">
        <f>IF(OR(D14="",M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" s="14">
        <f>IF(OR(D14="",M14&lt;=0),"",IF(M14&gt;D14*0.05,"VOL-HIGH","VOL-NORMAL"))</f>
        <v/>
      </c>
      <c r="Z14" s="14">
        <f>IF(OR(D14="",M14&lt;=0),"",IF(AND(N14="VOL-OK",Y14="VOL-NORMAL",W14="2ND"),"OK","NG"))</f>
        <v/>
      </c>
      <c r="AA14" s="14">
        <f>IF(OR(D14="",M14&lt;=0),"",IF(AND(E14&gt;I14,F14&gt;J14),"UP",IF(AND(E14&lt;I14,F14&lt;J14),"DOWN","FLAT")))</f>
        <v/>
      </c>
    </row>
    <row r="15" ht="26" customHeight="1" s="1">
      <c r="A15" s="8">
        <f>IF(B15="","",ROW()-2)</f>
        <v/>
      </c>
      <c r="B15" s="9">
        <f>IF('StockList_MS2'!A14="","",HYPERLINK("https://kabutan.jp/stock/?code="&amp;'StockList_MS2'!A14,'StockList_MS2'!A14))</f>
        <v/>
      </c>
      <c r="C15" s="10">
        <f>IF('StockList_MS2'!A14="","",'StockList_MS2'!B14)</f>
        <v/>
      </c>
      <c r="D15" s="11" t="n"/>
      <c r="E15" s="11" t="n"/>
      <c r="F15" s="11" t="n"/>
      <c r="G15" s="11" t="n"/>
      <c r="H15" s="12" t="n"/>
      <c r="I15" s="11" t="n"/>
      <c r="J15" s="11" t="n"/>
      <c r="K15" s="11" t="n"/>
      <c r="L15" s="8">
        <f>IF(D15="","",IF(D15&gt;K15,"BUY-DAY","SELL-DAY"))</f>
        <v/>
      </c>
      <c r="M15" s="13">
        <f>IF(D15="","",MAX(E15-F15,ABS(E15-K15),ABS(F15-K15)))</f>
        <v/>
      </c>
      <c r="N15" s="8">
        <f>IF(D15="","",IF(AND(H15&gt;0,H15&gt;(H15/3)*2.5),"VOL-OK","VOL-NG"))</f>
        <v/>
      </c>
      <c r="O15" s="8">
        <f>IF(D15="","",IF(D15&gt;I15,"ON","OFF"))</f>
        <v/>
      </c>
      <c r="P15" s="8">
        <f>IF(D15="","",IF(D15&lt;J15,"ON","OFF"))</f>
        <v/>
      </c>
      <c r="Q15" s="8">
        <f>IF(OR(D15="",M15&lt;=0),"",IF(AND(L15="BUY-DAY",N15="VOL-OK",P15="ON",Z15="OK",AA15&lt;&gt;"DOWN"),"BUY",IF(AND(L15="SELL-DAY",N15="VOL-OK",O15="ON",Z15="OK",AA15&lt;&gt;"UP"),"SELL","")))</f>
        <v/>
      </c>
      <c r="R15" s="13">
        <f>IF(Q15="","",D15)</f>
        <v/>
      </c>
      <c r="S15" s="13">
        <f>IF(Q15="","",IF(Q15="BUY",D15-M15*1.5,D15+M15*1.5))</f>
        <v/>
      </c>
      <c r="T15" s="13">
        <f>IF(Q15="","",IF(Q15="BUY",D15+M15*1.5,D15-M15*1.5))</f>
        <v/>
      </c>
      <c r="U15" s="13">
        <f>IF(Q15="","",IF(Q15="BUY",D15+M15*2,D15-M15*2))</f>
        <v/>
      </c>
      <c r="V15" s="13">
        <f>IF(Q15="","",IF(Q15="BUY",D15+M15*3,D15-M15*3))</f>
        <v/>
      </c>
      <c r="W15" s="8">
        <f>IF(OR(D15="",M15&lt;=0),"",IF(AND(D15&gt;G15,ABS(D15-G15)&lt;M15*0.5),"2ND","1ST"))</f>
        <v/>
      </c>
      <c r="X15" s="8">
        <f>IF(OR(D15="",M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" s="8">
        <f>IF(OR(D15="",M15&lt;=0),"",IF(M15&gt;D15*0.05,"VOL-HIGH","VOL-NORMAL"))</f>
        <v/>
      </c>
      <c r="Z15" s="8">
        <f>IF(OR(D15="",M15&lt;=0),"",IF(AND(N15="VOL-OK",Y15="VOL-NORMAL",W15="2ND"),"OK","NG"))</f>
        <v/>
      </c>
      <c r="AA15" s="8">
        <f>IF(OR(D15="",M15&lt;=0),"",IF(AND(E15&gt;I15,F15&gt;J15),"UP",IF(AND(E15&lt;I15,F15&lt;J15),"DOWN","FLAT")))</f>
        <v/>
      </c>
    </row>
    <row r="16" ht="26" customHeight="1" s="1">
      <c r="A16" s="14">
        <f>IF(B16="","",ROW()-2)</f>
        <v/>
      </c>
      <c r="B16" s="15">
        <f>IF('StockList_MS2'!A15="","",HYPERLINK("https://kabutan.jp/stock/?code="&amp;'StockList_MS2'!A15,'StockList_MS2'!A15))</f>
        <v/>
      </c>
      <c r="C16" s="16">
        <f>IF('StockList_MS2'!A15="","",'StockList_MS2'!B15)</f>
        <v/>
      </c>
      <c r="D16" s="17" t="n"/>
      <c r="E16" s="17" t="n"/>
      <c r="F16" s="17" t="n"/>
      <c r="G16" s="17" t="n"/>
      <c r="H16" s="18" t="n"/>
      <c r="I16" s="17" t="n"/>
      <c r="J16" s="17" t="n"/>
      <c r="K16" s="17" t="n"/>
      <c r="L16" s="14">
        <f>IF(D16="","",IF(D16&gt;K16,"BUY-DAY","SELL-DAY"))</f>
        <v/>
      </c>
      <c r="M16" s="19">
        <f>IF(D16="","",MAX(E16-F16,ABS(E16-K16),ABS(F16-K16)))</f>
        <v/>
      </c>
      <c r="N16" s="14">
        <f>IF(D16="","",IF(AND(H16&gt;0,H16&gt;(H16/3)*2.5),"VOL-OK","VOL-NG"))</f>
        <v/>
      </c>
      <c r="O16" s="14">
        <f>IF(D16="","",IF(D16&gt;I16,"ON","OFF"))</f>
        <v/>
      </c>
      <c r="P16" s="14">
        <f>IF(D16="","",IF(D16&lt;J16,"ON","OFF"))</f>
        <v/>
      </c>
      <c r="Q16" s="14">
        <f>IF(OR(D16="",M16&lt;=0),"",IF(AND(L16="BUY-DAY",N16="VOL-OK",P16="ON",Z16="OK",AA16&lt;&gt;"DOWN"),"BUY",IF(AND(L16="SELL-DAY",N16="VOL-OK",O16="ON",Z16="OK",AA16&lt;&gt;"UP"),"SELL","")))</f>
        <v/>
      </c>
      <c r="R16" s="19">
        <f>IF(Q16="","",D16)</f>
        <v/>
      </c>
      <c r="S16" s="19">
        <f>IF(Q16="","",IF(Q16="BUY",D16-M16*1.5,D16+M16*1.5))</f>
        <v/>
      </c>
      <c r="T16" s="19">
        <f>IF(Q16="","",IF(Q16="BUY",D16+M16*1.5,D16-M16*1.5))</f>
        <v/>
      </c>
      <c r="U16" s="19">
        <f>IF(Q16="","",IF(Q16="BUY",D16+M16*2,D16-M16*2))</f>
        <v/>
      </c>
      <c r="V16" s="19">
        <f>IF(Q16="","",IF(Q16="BUY",D16+M16*3,D16-M16*3))</f>
        <v/>
      </c>
      <c r="W16" s="14">
        <f>IF(OR(D16="",M16&lt;=0),"",IF(AND(D16&gt;G16,ABS(D16-G16)&lt;M16*0.5),"2ND","1ST"))</f>
        <v/>
      </c>
      <c r="X16" s="14">
        <f>IF(OR(D16="",M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" s="14">
        <f>IF(OR(D16="",M16&lt;=0),"",IF(M16&gt;D16*0.05,"VOL-HIGH","VOL-NORMAL"))</f>
        <v/>
      </c>
      <c r="Z16" s="14">
        <f>IF(OR(D16="",M16&lt;=0),"",IF(AND(N16="VOL-OK",Y16="VOL-NORMAL",W16="2ND"),"OK","NG"))</f>
        <v/>
      </c>
      <c r="AA16" s="14">
        <f>IF(OR(D16="",M16&lt;=0),"",IF(AND(E16&gt;I16,F16&gt;J16),"UP",IF(AND(E16&lt;I16,F16&lt;J16),"DOWN","FLAT")))</f>
        <v/>
      </c>
    </row>
    <row r="17" ht="26" customHeight="1" s="1">
      <c r="A17" s="8">
        <f>IF(B17="","",ROW()-2)</f>
        <v/>
      </c>
      <c r="B17" s="9">
        <f>IF('StockList_MS2'!A16="","",HYPERLINK("https://kabutan.jp/stock/?code="&amp;'StockList_MS2'!A16,'StockList_MS2'!A16))</f>
        <v/>
      </c>
      <c r="C17" s="10">
        <f>IF('StockList_MS2'!A16="","",'StockList_MS2'!B16)</f>
        <v/>
      </c>
      <c r="D17" s="11" t="n"/>
      <c r="E17" s="11" t="n"/>
      <c r="F17" s="11" t="n"/>
      <c r="G17" s="11" t="n"/>
      <c r="H17" s="12" t="n"/>
      <c r="I17" s="11" t="n"/>
      <c r="J17" s="11" t="n"/>
      <c r="K17" s="11" t="n"/>
      <c r="L17" s="8">
        <f>IF(D17="","",IF(D17&gt;K17,"BUY-DAY","SELL-DAY"))</f>
        <v/>
      </c>
      <c r="M17" s="13">
        <f>IF(D17="","",MAX(E17-F17,ABS(E17-K17),ABS(F17-K17)))</f>
        <v/>
      </c>
      <c r="N17" s="8">
        <f>IF(D17="","",IF(AND(H17&gt;0,H17&gt;(H17/3)*2.5),"VOL-OK","VOL-NG"))</f>
        <v/>
      </c>
      <c r="O17" s="8">
        <f>IF(D17="","",IF(D17&gt;I17,"ON","OFF"))</f>
        <v/>
      </c>
      <c r="P17" s="8">
        <f>IF(D17="","",IF(D17&lt;J17,"ON","OFF"))</f>
        <v/>
      </c>
      <c r="Q17" s="8">
        <f>IF(OR(D17="",M17&lt;=0),"",IF(AND(L17="BUY-DAY",N17="VOL-OK",P17="ON",Z17="OK",AA17&lt;&gt;"DOWN"),"BUY",IF(AND(L17="SELL-DAY",N17="VOL-OK",O17="ON",Z17="OK",AA17&lt;&gt;"UP"),"SELL","")))</f>
        <v/>
      </c>
      <c r="R17" s="13">
        <f>IF(Q17="","",D17)</f>
        <v/>
      </c>
      <c r="S17" s="13">
        <f>IF(Q17="","",IF(Q17="BUY",D17-M17*1.5,D17+M17*1.5))</f>
        <v/>
      </c>
      <c r="T17" s="13">
        <f>IF(Q17="","",IF(Q17="BUY",D17+M17*1.5,D17-M17*1.5))</f>
        <v/>
      </c>
      <c r="U17" s="13">
        <f>IF(Q17="","",IF(Q17="BUY",D17+M17*2,D17-M17*2))</f>
        <v/>
      </c>
      <c r="V17" s="13">
        <f>IF(Q17="","",IF(Q17="BUY",D17+M17*3,D17-M17*3))</f>
        <v/>
      </c>
      <c r="W17" s="8">
        <f>IF(OR(D17="",M17&lt;=0),"",IF(AND(D17&gt;G17,ABS(D17-G17)&lt;M17*0.5),"2ND","1ST"))</f>
        <v/>
      </c>
      <c r="X17" s="8">
        <f>IF(OR(D17="",M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" s="8">
        <f>IF(OR(D17="",M17&lt;=0),"",IF(M17&gt;D17*0.05,"VOL-HIGH","VOL-NORMAL"))</f>
        <v/>
      </c>
      <c r="Z17" s="8">
        <f>IF(OR(D17="",M17&lt;=0),"",IF(AND(N17="VOL-OK",Y17="VOL-NORMAL",W17="2ND"),"OK","NG"))</f>
        <v/>
      </c>
      <c r="AA17" s="8">
        <f>IF(OR(D17="",M17&lt;=0),"",IF(AND(E17&gt;I17,F17&gt;J17),"UP",IF(AND(E17&lt;I17,F17&lt;J17),"DOWN","FLAT")))</f>
        <v/>
      </c>
    </row>
    <row r="18" ht="26" customHeight="1" s="1">
      <c r="A18" s="14">
        <f>IF(B18="","",ROW()-2)</f>
        <v/>
      </c>
      <c r="B18" s="15">
        <f>IF('StockList_MS2'!A17="","",HYPERLINK("https://kabutan.jp/stock/?code="&amp;'StockList_MS2'!A17,'StockList_MS2'!A17))</f>
        <v/>
      </c>
      <c r="C18" s="16">
        <f>IF('StockList_MS2'!A17="","",'StockList_MS2'!B17)</f>
        <v/>
      </c>
      <c r="D18" s="17" t="n"/>
      <c r="E18" s="17" t="n"/>
      <c r="F18" s="17" t="n"/>
      <c r="G18" s="17" t="n"/>
      <c r="H18" s="18" t="n"/>
      <c r="I18" s="17" t="n"/>
      <c r="J18" s="17" t="n"/>
      <c r="K18" s="17" t="n"/>
      <c r="L18" s="14">
        <f>IF(D18="","",IF(D18&gt;K18,"BUY-DAY","SELL-DAY"))</f>
        <v/>
      </c>
      <c r="M18" s="19">
        <f>IF(D18="","",MAX(E18-F18,ABS(E18-K18),ABS(F18-K18)))</f>
        <v/>
      </c>
      <c r="N18" s="14">
        <f>IF(D18="","",IF(AND(H18&gt;0,H18&gt;(H18/3)*2.5),"VOL-OK","VOL-NG"))</f>
        <v/>
      </c>
      <c r="O18" s="14">
        <f>IF(D18="","",IF(D18&gt;I18,"ON","OFF"))</f>
        <v/>
      </c>
      <c r="P18" s="14">
        <f>IF(D18="","",IF(D18&lt;J18,"ON","OFF"))</f>
        <v/>
      </c>
      <c r="Q18" s="14">
        <f>IF(OR(D18="",M18&lt;=0),"",IF(AND(L18="BUY-DAY",N18="VOL-OK",P18="ON",Z18="OK",AA18&lt;&gt;"DOWN"),"BUY",IF(AND(L18="SELL-DAY",N18="VOL-OK",O18="ON",Z18="OK",AA18&lt;&gt;"UP"),"SELL","")))</f>
        <v/>
      </c>
      <c r="R18" s="19">
        <f>IF(Q18="","",D18)</f>
        <v/>
      </c>
      <c r="S18" s="19">
        <f>IF(Q18="","",IF(Q18="BUY",D18-M18*1.5,D18+M18*1.5))</f>
        <v/>
      </c>
      <c r="T18" s="19">
        <f>IF(Q18="","",IF(Q18="BUY",D18+M18*1.5,D18-M18*1.5))</f>
        <v/>
      </c>
      <c r="U18" s="19">
        <f>IF(Q18="","",IF(Q18="BUY",D18+M18*2,D18-M18*2))</f>
        <v/>
      </c>
      <c r="V18" s="19">
        <f>IF(Q18="","",IF(Q18="BUY",D18+M18*3,D18-M18*3))</f>
        <v/>
      </c>
      <c r="W18" s="14">
        <f>IF(OR(D18="",M18&lt;=0),"",IF(AND(D18&gt;G18,ABS(D18-G18)&lt;M18*0.5),"2ND","1ST"))</f>
        <v/>
      </c>
      <c r="X18" s="14">
        <f>IF(OR(D18="",M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" s="14">
        <f>IF(OR(D18="",M18&lt;=0),"",IF(M18&gt;D18*0.05,"VOL-HIGH","VOL-NORMAL"))</f>
        <v/>
      </c>
      <c r="Z18" s="14">
        <f>IF(OR(D18="",M18&lt;=0),"",IF(AND(N18="VOL-OK",Y18="VOL-NORMAL",W18="2ND"),"OK","NG"))</f>
        <v/>
      </c>
      <c r="AA18" s="14">
        <f>IF(OR(D18="",M18&lt;=0),"",IF(AND(E18&gt;I18,F18&gt;J18),"UP",IF(AND(E18&lt;I18,F18&lt;J18),"DOWN","FLAT")))</f>
        <v/>
      </c>
    </row>
    <row r="19" ht="26" customHeight="1" s="1">
      <c r="A19" s="8">
        <f>IF(B19="","",ROW()-2)</f>
        <v/>
      </c>
      <c r="B19" s="9">
        <f>IF('StockList_MS2'!A18="","",HYPERLINK("https://kabutan.jp/stock/?code="&amp;'StockList_MS2'!A18,'StockList_MS2'!A18))</f>
        <v/>
      </c>
      <c r="C19" s="10">
        <f>IF('StockList_MS2'!A18="","",'StockList_MS2'!B18)</f>
        <v/>
      </c>
      <c r="D19" s="11" t="n"/>
      <c r="E19" s="11" t="n"/>
      <c r="F19" s="11" t="n"/>
      <c r="G19" s="11" t="n"/>
      <c r="H19" s="12" t="n"/>
      <c r="I19" s="11" t="n"/>
      <c r="J19" s="11" t="n"/>
      <c r="K19" s="11" t="n"/>
      <c r="L19" s="8">
        <f>IF(D19="","",IF(D19&gt;K19,"BUY-DAY","SELL-DAY"))</f>
        <v/>
      </c>
      <c r="M19" s="13">
        <f>IF(D19="","",MAX(E19-F19,ABS(E19-K19),ABS(F19-K19)))</f>
        <v/>
      </c>
      <c r="N19" s="8">
        <f>IF(D19="","",IF(AND(H19&gt;0,H19&gt;(H19/3)*2.5),"VOL-OK","VOL-NG"))</f>
        <v/>
      </c>
      <c r="O19" s="8">
        <f>IF(D19="","",IF(D19&gt;I19,"ON","OFF"))</f>
        <v/>
      </c>
      <c r="P19" s="8">
        <f>IF(D19="","",IF(D19&lt;J19,"ON","OFF"))</f>
        <v/>
      </c>
      <c r="Q19" s="8">
        <f>IF(OR(D19="",M19&lt;=0),"",IF(AND(L19="BUY-DAY",N19="VOL-OK",P19="ON",Z19="OK",AA19&lt;&gt;"DOWN"),"BUY",IF(AND(L19="SELL-DAY",N19="VOL-OK",O19="ON",Z19="OK",AA19&lt;&gt;"UP"),"SELL","")))</f>
        <v/>
      </c>
      <c r="R19" s="13">
        <f>IF(Q19="","",D19)</f>
        <v/>
      </c>
      <c r="S19" s="13">
        <f>IF(Q19="","",IF(Q19="BUY",D19-M19*1.5,D19+M19*1.5))</f>
        <v/>
      </c>
      <c r="T19" s="13">
        <f>IF(Q19="","",IF(Q19="BUY",D19+M19*1.5,D19-M19*1.5))</f>
        <v/>
      </c>
      <c r="U19" s="13">
        <f>IF(Q19="","",IF(Q19="BUY",D19+M19*2,D19-M19*2))</f>
        <v/>
      </c>
      <c r="V19" s="13">
        <f>IF(Q19="","",IF(Q19="BUY",D19+M19*3,D19-M19*3))</f>
        <v/>
      </c>
      <c r="W19" s="8">
        <f>IF(OR(D19="",M19&lt;=0),"",IF(AND(D19&gt;G19,ABS(D19-G19)&lt;M19*0.5),"2ND","1ST"))</f>
        <v/>
      </c>
      <c r="X19" s="8">
        <f>IF(OR(D19="",M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" s="8">
        <f>IF(OR(D19="",M19&lt;=0),"",IF(M19&gt;D19*0.05,"VOL-HIGH","VOL-NORMAL"))</f>
        <v/>
      </c>
      <c r="Z19" s="8">
        <f>IF(OR(D19="",M19&lt;=0),"",IF(AND(N19="VOL-OK",Y19="VOL-NORMAL",W19="2ND"),"OK","NG"))</f>
        <v/>
      </c>
      <c r="AA19" s="8">
        <f>IF(OR(D19="",M19&lt;=0),"",IF(AND(E19&gt;I19,F19&gt;J19),"UP",IF(AND(E19&lt;I19,F19&lt;J19),"DOWN","FLAT")))</f>
        <v/>
      </c>
    </row>
    <row r="20" ht="26" customHeight="1" s="1">
      <c r="A20" s="14">
        <f>IF(B20="","",ROW()-2)</f>
        <v/>
      </c>
      <c r="B20" s="15">
        <f>IF('StockList_MS2'!A19="","",HYPERLINK("https://kabutan.jp/stock/?code="&amp;'StockList_MS2'!A19,'StockList_MS2'!A19))</f>
        <v/>
      </c>
      <c r="C20" s="16">
        <f>IF('StockList_MS2'!A19="","",'StockList_MS2'!B19)</f>
        <v/>
      </c>
      <c r="D20" s="17" t="n"/>
      <c r="E20" s="17" t="n"/>
      <c r="F20" s="17" t="n"/>
      <c r="G20" s="17" t="n"/>
      <c r="H20" s="18" t="n"/>
      <c r="I20" s="17" t="n"/>
      <c r="J20" s="17" t="n"/>
      <c r="K20" s="17" t="n"/>
      <c r="L20" s="14">
        <f>IF(D20="","",IF(D20&gt;K20,"BUY-DAY","SELL-DAY"))</f>
        <v/>
      </c>
      <c r="M20" s="19">
        <f>IF(D20="","",MAX(E20-F20,ABS(E20-K20),ABS(F20-K20)))</f>
        <v/>
      </c>
      <c r="N20" s="14">
        <f>IF(D20="","",IF(AND(H20&gt;0,H20&gt;(H20/3)*2.5),"VOL-OK","VOL-NG"))</f>
        <v/>
      </c>
      <c r="O20" s="14">
        <f>IF(D20="","",IF(D20&gt;I20,"ON","OFF"))</f>
        <v/>
      </c>
      <c r="P20" s="14">
        <f>IF(D20="","",IF(D20&lt;J20,"ON","OFF"))</f>
        <v/>
      </c>
      <c r="Q20" s="14">
        <f>IF(OR(D20="",M20&lt;=0),"",IF(AND(L20="BUY-DAY",N20="VOL-OK",P20="ON",Z20="OK",AA20&lt;&gt;"DOWN"),"BUY",IF(AND(L20="SELL-DAY",N20="VOL-OK",O20="ON",Z20="OK",AA20&lt;&gt;"UP"),"SELL","")))</f>
        <v/>
      </c>
      <c r="R20" s="19">
        <f>IF(Q20="","",D20)</f>
        <v/>
      </c>
      <c r="S20" s="19">
        <f>IF(Q20="","",IF(Q20="BUY",D20-M20*1.5,D20+M20*1.5))</f>
        <v/>
      </c>
      <c r="T20" s="19">
        <f>IF(Q20="","",IF(Q20="BUY",D20+M20*1.5,D20-M20*1.5))</f>
        <v/>
      </c>
      <c r="U20" s="19">
        <f>IF(Q20="","",IF(Q20="BUY",D20+M20*2,D20-M20*2))</f>
        <v/>
      </c>
      <c r="V20" s="19">
        <f>IF(Q20="","",IF(Q20="BUY",D20+M20*3,D20-M20*3))</f>
        <v/>
      </c>
      <c r="W20" s="14">
        <f>IF(OR(D20="",M20&lt;=0),"",IF(AND(D20&gt;G20,ABS(D20-G20)&lt;M20*0.5),"2ND","1ST"))</f>
        <v/>
      </c>
      <c r="X20" s="14">
        <f>IF(OR(D20="",M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" s="14">
        <f>IF(OR(D20="",M20&lt;=0),"",IF(M20&gt;D20*0.05,"VOL-HIGH","VOL-NORMAL"))</f>
        <v/>
      </c>
      <c r="Z20" s="14">
        <f>IF(OR(D20="",M20&lt;=0),"",IF(AND(N20="VOL-OK",Y20="VOL-NORMAL",W20="2ND"),"OK","NG"))</f>
        <v/>
      </c>
      <c r="AA20" s="14">
        <f>IF(OR(D20="",M20&lt;=0),"",IF(AND(E20&gt;I20,F20&gt;J20),"UP",IF(AND(E20&lt;I20,F20&lt;J20),"DOWN","FLAT")))</f>
        <v/>
      </c>
    </row>
    <row r="21" ht="26" customHeight="1" s="1">
      <c r="A21" s="8">
        <f>IF(B21="","",ROW()-2)</f>
        <v/>
      </c>
      <c r="B21" s="9">
        <f>IF('StockList_MS2'!A20="","",HYPERLINK("https://kabutan.jp/stock/?code="&amp;'StockList_MS2'!A20,'StockList_MS2'!A20))</f>
        <v/>
      </c>
      <c r="C21" s="10">
        <f>IF('StockList_MS2'!A20="","",'StockList_MS2'!B20)</f>
        <v/>
      </c>
      <c r="D21" s="11" t="n"/>
      <c r="E21" s="11" t="n"/>
      <c r="F21" s="11" t="n"/>
      <c r="G21" s="11" t="n"/>
      <c r="H21" s="12" t="n"/>
      <c r="I21" s="11" t="n"/>
      <c r="J21" s="11" t="n"/>
      <c r="K21" s="11" t="n"/>
      <c r="L21" s="8">
        <f>IF(D21="","",IF(D21&gt;K21,"BUY-DAY","SELL-DAY"))</f>
        <v/>
      </c>
      <c r="M21" s="13">
        <f>IF(D21="","",MAX(E21-F21,ABS(E21-K21),ABS(F21-K21)))</f>
        <v/>
      </c>
      <c r="N21" s="8">
        <f>IF(D21="","",IF(AND(H21&gt;0,H21&gt;(H21/3)*2.5),"VOL-OK","VOL-NG"))</f>
        <v/>
      </c>
      <c r="O21" s="8">
        <f>IF(D21="","",IF(D21&gt;I21,"ON","OFF"))</f>
        <v/>
      </c>
      <c r="P21" s="8">
        <f>IF(D21="","",IF(D21&lt;J21,"ON","OFF"))</f>
        <v/>
      </c>
      <c r="Q21" s="8">
        <f>IF(OR(D21="",M21&lt;=0),"",IF(AND(L21="BUY-DAY",N21="VOL-OK",P21="ON",Z21="OK",AA21&lt;&gt;"DOWN"),"BUY",IF(AND(L21="SELL-DAY",N21="VOL-OK",O21="ON",Z21="OK",AA21&lt;&gt;"UP"),"SELL","")))</f>
        <v/>
      </c>
      <c r="R21" s="13">
        <f>IF(Q21="","",D21)</f>
        <v/>
      </c>
      <c r="S21" s="13">
        <f>IF(Q21="","",IF(Q21="BUY",D21-M21*1.5,D21+M21*1.5))</f>
        <v/>
      </c>
      <c r="T21" s="13">
        <f>IF(Q21="","",IF(Q21="BUY",D21+M21*1.5,D21-M21*1.5))</f>
        <v/>
      </c>
      <c r="U21" s="13">
        <f>IF(Q21="","",IF(Q21="BUY",D21+M21*2,D21-M21*2))</f>
        <v/>
      </c>
      <c r="V21" s="13">
        <f>IF(Q21="","",IF(Q21="BUY",D21+M21*3,D21-M21*3))</f>
        <v/>
      </c>
      <c r="W21" s="8">
        <f>IF(OR(D21="",M21&lt;=0),"",IF(AND(D21&gt;G21,ABS(D21-G21)&lt;M21*0.5),"2ND","1ST"))</f>
        <v/>
      </c>
      <c r="X21" s="8">
        <f>IF(OR(D21="",M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" s="8">
        <f>IF(OR(D21="",M21&lt;=0),"",IF(M21&gt;D21*0.05,"VOL-HIGH","VOL-NORMAL"))</f>
        <v/>
      </c>
      <c r="Z21" s="8">
        <f>IF(OR(D21="",M21&lt;=0),"",IF(AND(N21="VOL-OK",Y21="VOL-NORMAL",W21="2ND"),"OK","NG"))</f>
        <v/>
      </c>
      <c r="AA21" s="8">
        <f>IF(OR(D21="",M21&lt;=0),"",IF(AND(E21&gt;I21,F21&gt;J21),"UP",IF(AND(E21&lt;I21,F21&lt;J21),"DOWN","FLAT")))</f>
        <v/>
      </c>
    </row>
    <row r="22" ht="26" customHeight="1" s="1">
      <c r="A22" s="14">
        <f>IF(B22="","",ROW()-2)</f>
        <v/>
      </c>
      <c r="B22" s="15">
        <f>IF('StockList_MS2'!A21="","",HYPERLINK("https://kabutan.jp/stock/?code="&amp;'StockList_MS2'!A21,'StockList_MS2'!A21))</f>
        <v/>
      </c>
      <c r="C22" s="16">
        <f>IF('StockList_MS2'!A21="","",'StockList_MS2'!B21)</f>
        <v/>
      </c>
      <c r="D22" s="17" t="n"/>
      <c r="E22" s="17" t="n"/>
      <c r="F22" s="17" t="n"/>
      <c r="G22" s="17" t="n"/>
      <c r="H22" s="18" t="n"/>
      <c r="I22" s="17" t="n"/>
      <c r="J22" s="17" t="n"/>
      <c r="K22" s="17" t="n"/>
      <c r="L22" s="14">
        <f>IF(D22="","",IF(D22&gt;K22,"BUY-DAY","SELL-DAY"))</f>
        <v/>
      </c>
      <c r="M22" s="19">
        <f>IF(D22="","",MAX(E22-F22,ABS(E22-K22),ABS(F22-K22)))</f>
        <v/>
      </c>
      <c r="N22" s="14">
        <f>IF(D22="","",IF(AND(H22&gt;0,H22&gt;(H22/3)*2.5),"VOL-OK","VOL-NG"))</f>
        <v/>
      </c>
      <c r="O22" s="14">
        <f>IF(D22="","",IF(D22&gt;I22,"ON","OFF"))</f>
        <v/>
      </c>
      <c r="P22" s="14">
        <f>IF(D22="","",IF(D22&lt;J22,"ON","OFF"))</f>
        <v/>
      </c>
      <c r="Q22" s="14">
        <f>IF(OR(D22="",M22&lt;=0),"",IF(AND(L22="BUY-DAY",N22="VOL-OK",P22="ON",Z22="OK",AA22&lt;&gt;"DOWN"),"BUY",IF(AND(L22="SELL-DAY",N22="VOL-OK",O22="ON",Z22="OK",AA22&lt;&gt;"UP"),"SELL","")))</f>
        <v/>
      </c>
      <c r="R22" s="19">
        <f>IF(Q22="","",D22)</f>
        <v/>
      </c>
      <c r="S22" s="19">
        <f>IF(Q22="","",IF(Q22="BUY",D22-M22*1.5,D22+M22*1.5))</f>
        <v/>
      </c>
      <c r="T22" s="19">
        <f>IF(Q22="","",IF(Q22="BUY",D22+M22*1.5,D22-M22*1.5))</f>
        <v/>
      </c>
      <c r="U22" s="19">
        <f>IF(Q22="","",IF(Q22="BUY",D22+M22*2,D22-M22*2))</f>
        <v/>
      </c>
      <c r="V22" s="19">
        <f>IF(Q22="","",IF(Q22="BUY",D22+M22*3,D22-M22*3))</f>
        <v/>
      </c>
      <c r="W22" s="14">
        <f>IF(OR(D22="",M22&lt;=0),"",IF(AND(D22&gt;G22,ABS(D22-G22)&lt;M22*0.5),"2ND","1ST"))</f>
        <v/>
      </c>
      <c r="X22" s="14">
        <f>IF(OR(D22="",M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" s="14">
        <f>IF(OR(D22="",M22&lt;=0),"",IF(M22&gt;D22*0.05,"VOL-HIGH","VOL-NORMAL"))</f>
        <v/>
      </c>
      <c r="Z22" s="14">
        <f>IF(OR(D22="",M22&lt;=0),"",IF(AND(N22="VOL-OK",Y22="VOL-NORMAL",W22="2ND"),"OK","NG"))</f>
        <v/>
      </c>
      <c r="AA22" s="14">
        <f>IF(OR(D22="",M22&lt;=0),"",IF(AND(E22&gt;I22,F22&gt;J22),"UP",IF(AND(E22&lt;I22,F22&lt;J22),"DOWN","FLAT")))</f>
        <v/>
      </c>
    </row>
    <row r="23" ht="26" customHeight="1" s="1">
      <c r="A23" s="8">
        <f>IF(B23="","",ROW()-2)</f>
        <v/>
      </c>
      <c r="B23" s="9">
        <f>IF('StockList_MS2'!A22="","",HYPERLINK("https://kabutan.jp/stock/?code="&amp;'StockList_MS2'!A22,'StockList_MS2'!A22))</f>
        <v/>
      </c>
      <c r="C23" s="10">
        <f>IF('StockList_MS2'!A22="","",'StockList_MS2'!B22)</f>
        <v/>
      </c>
      <c r="D23" s="11" t="n"/>
      <c r="E23" s="11" t="n"/>
      <c r="F23" s="11" t="n"/>
      <c r="G23" s="11" t="n"/>
      <c r="H23" s="12" t="n"/>
      <c r="I23" s="11" t="n"/>
      <c r="J23" s="11" t="n"/>
      <c r="K23" s="11" t="n"/>
      <c r="L23" s="8">
        <f>IF(D23="","",IF(D23&gt;K23,"BUY-DAY","SELL-DAY"))</f>
        <v/>
      </c>
      <c r="M23" s="13">
        <f>IF(D23="","",MAX(E23-F23,ABS(E23-K23),ABS(F23-K23)))</f>
        <v/>
      </c>
      <c r="N23" s="8">
        <f>IF(D23="","",IF(AND(H23&gt;0,H23&gt;(H23/3)*2.5),"VOL-OK","VOL-NG"))</f>
        <v/>
      </c>
      <c r="O23" s="8">
        <f>IF(D23="","",IF(D23&gt;I23,"ON","OFF"))</f>
        <v/>
      </c>
      <c r="P23" s="8">
        <f>IF(D23="","",IF(D23&lt;J23,"ON","OFF"))</f>
        <v/>
      </c>
      <c r="Q23" s="8">
        <f>IF(OR(D23="",M23&lt;=0),"",IF(AND(L23="BUY-DAY",N23="VOL-OK",P23="ON",Z23="OK",AA23&lt;&gt;"DOWN"),"BUY",IF(AND(L23="SELL-DAY",N23="VOL-OK",O23="ON",Z23="OK",AA23&lt;&gt;"UP"),"SELL","")))</f>
        <v/>
      </c>
      <c r="R23" s="13">
        <f>IF(Q23="","",D23)</f>
        <v/>
      </c>
      <c r="S23" s="13">
        <f>IF(Q23="","",IF(Q23="BUY",D23-M23*1.5,D23+M23*1.5))</f>
        <v/>
      </c>
      <c r="T23" s="13">
        <f>IF(Q23="","",IF(Q23="BUY",D23+M23*1.5,D23-M23*1.5))</f>
        <v/>
      </c>
      <c r="U23" s="13">
        <f>IF(Q23="","",IF(Q23="BUY",D23+M23*2,D23-M23*2))</f>
        <v/>
      </c>
      <c r="V23" s="13">
        <f>IF(Q23="","",IF(Q23="BUY",D23+M23*3,D23-M23*3))</f>
        <v/>
      </c>
      <c r="W23" s="8">
        <f>IF(OR(D23="",M23&lt;=0),"",IF(AND(D23&gt;G23,ABS(D23-G23)&lt;M23*0.5),"2ND","1ST"))</f>
        <v/>
      </c>
      <c r="X23" s="8">
        <f>IF(OR(D23="",M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" s="8">
        <f>IF(OR(D23="",M23&lt;=0),"",IF(M23&gt;D23*0.05,"VOL-HIGH","VOL-NORMAL"))</f>
        <v/>
      </c>
      <c r="Z23" s="8">
        <f>IF(OR(D23="",M23&lt;=0),"",IF(AND(N23="VOL-OK",Y23="VOL-NORMAL",W23="2ND"),"OK","NG"))</f>
        <v/>
      </c>
      <c r="AA23" s="8">
        <f>IF(OR(D23="",M23&lt;=0),"",IF(AND(E23&gt;I23,F23&gt;J23),"UP",IF(AND(E23&lt;I23,F23&lt;J23),"DOWN","FLAT")))</f>
        <v/>
      </c>
    </row>
    <row r="24" ht="26" customHeight="1" s="1">
      <c r="A24" s="14">
        <f>IF(B24="","",ROW()-2)</f>
        <v/>
      </c>
      <c r="B24" s="15">
        <f>IF('StockList_MS2'!A23="","",HYPERLINK("https://kabutan.jp/stock/?code="&amp;'StockList_MS2'!A23,'StockList_MS2'!A23))</f>
        <v/>
      </c>
      <c r="C24" s="16">
        <f>IF('StockList_MS2'!A23="","",'StockList_MS2'!B23)</f>
        <v/>
      </c>
      <c r="D24" s="17" t="n"/>
      <c r="E24" s="17" t="n"/>
      <c r="F24" s="17" t="n"/>
      <c r="G24" s="17" t="n"/>
      <c r="H24" s="18" t="n"/>
      <c r="I24" s="17" t="n"/>
      <c r="J24" s="17" t="n"/>
      <c r="K24" s="17" t="n"/>
      <c r="L24" s="14">
        <f>IF(D24="","",IF(D24&gt;K24,"BUY-DAY","SELL-DAY"))</f>
        <v/>
      </c>
      <c r="M24" s="19">
        <f>IF(D24="","",MAX(E24-F24,ABS(E24-K24),ABS(F24-K24)))</f>
        <v/>
      </c>
      <c r="N24" s="14">
        <f>IF(D24="","",IF(AND(H24&gt;0,H24&gt;(H24/3)*2.5),"VOL-OK","VOL-NG"))</f>
        <v/>
      </c>
      <c r="O24" s="14">
        <f>IF(D24="","",IF(D24&gt;I24,"ON","OFF"))</f>
        <v/>
      </c>
      <c r="P24" s="14">
        <f>IF(D24="","",IF(D24&lt;J24,"ON","OFF"))</f>
        <v/>
      </c>
      <c r="Q24" s="14">
        <f>IF(OR(D24="",M24&lt;=0),"",IF(AND(L24="BUY-DAY",N24="VOL-OK",P24="ON",Z24="OK",AA24&lt;&gt;"DOWN"),"BUY",IF(AND(L24="SELL-DAY",N24="VOL-OK",O24="ON",Z24="OK",AA24&lt;&gt;"UP"),"SELL","")))</f>
        <v/>
      </c>
      <c r="R24" s="19">
        <f>IF(Q24="","",D24)</f>
        <v/>
      </c>
      <c r="S24" s="19">
        <f>IF(Q24="","",IF(Q24="BUY",D24-M24*1.5,D24+M24*1.5))</f>
        <v/>
      </c>
      <c r="T24" s="19">
        <f>IF(Q24="","",IF(Q24="BUY",D24+M24*1.5,D24-M24*1.5))</f>
        <v/>
      </c>
      <c r="U24" s="19">
        <f>IF(Q24="","",IF(Q24="BUY",D24+M24*2,D24-M24*2))</f>
        <v/>
      </c>
      <c r="V24" s="19">
        <f>IF(Q24="","",IF(Q24="BUY",D24+M24*3,D24-M24*3))</f>
        <v/>
      </c>
      <c r="W24" s="14">
        <f>IF(OR(D24="",M24&lt;=0),"",IF(AND(D24&gt;G24,ABS(D24-G24)&lt;M24*0.5),"2ND","1ST"))</f>
        <v/>
      </c>
      <c r="X24" s="14">
        <f>IF(OR(D24="",M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" s="14">
        <f>IF(OR(D24="",M24&lt;=0),"",IF(M24&gt;D24*0.05,"VOL-HIGH","VOL-NORMAL"))</f>
        <v/>
      </c>
      <c r="Z24" s="14">
        <f>IF(OR(D24="",M24&lt;=0),"",IF(AND(N24="VOL-OK",Y24="VOL-NORMAL",W24="2ND"),"OK","NG"))</f>
        <v/>
      </c>
      <c r="AA24" s="14">
        <f>IF(OR(D24="",M24&lt;=0),"",IF(AND(E24&gt;I24,F24&gt;J24),"UP",IF(AND(E24&lt;I24,F24&lt;J24),"DOWN","FLAT")))</f>
        <v/>
      </c>
    </row>
    <row r="25" ht="26" customHeight="1" s="1">
      <c r="A25" s="8">
        <f>IF(B25="","",ROW()-2)</f>
        <v/>
      </c>
      <c r="B25" s="9">
        <f>IF('StockList_MS2'!A24="","",HYPERLINK("https://kabutan.jp/stock/?code="&amp;'StockList_MS2'!A24,'StockList_MS2'!A24))</f>
        <v/>
      </c>
      <c r="C25" s="10">
        <f>IF('StockList_MS2'!A24="","",'StockList_MS2'!B24)</f>
        <v/>
      </c>
      <c r="D25" s="11" t="n"/>
      <c r="E25" s="11" t="n"/>
      <c r="F25" s="11" t="n"/>
      <c r="G25" s="11" t="n"/>
      <c r="H25" s="12" t="n"/>
      <c r="I25" s="11" t="n"/>
      <c r="J25" s="11" t="n"/>
      <c r="K25" s="11" t="n"/>
      <c r="L25" s="8">
        <f>IF(D25="","",IF(D25&gt;K25,"BUY-DAY","SELL-DAY"))</f>
        <v/>
      </c>
      <c r="M25" s="13">
        <f>IF(D25="","",MAX(E25-F25,ABS(E25-K25),ABS(F25-K25)))</f>
        <v/>
      </c>
      <c r="N25" s="8">
        <f>IF(D25="","",IF(AND(H25&gt;0,H25&gt;(H25/3)*2.5),"VOL-OK","VOL-NG"))</f>
        <v/>
      </c>
      <c r="O25" s="8">
        <f>IF(D25="","",IF(D25&gt;I25,"ON","OFF"))</f>
        <v/>
      </c>
      <c r="P25" s="8">
        <f>IF(D25="","",IF(D25&lt;J25,"ON","OFF"))</f>
        <v/>
      </c>
      <c r="Q25" s="8">
        <f>IF(OR(D25="",M25&lt;=0),"",IF(AND(L25="BUY-DAY",N25="VOL-OK",P25="ON",Z25="OK",AA25&lt;&gt;"DOWN"),"BUY",IF(AND(L25="SELL-DAY",N25="VOL-OK",O25="ON",Z25="OK",AA25&lt;&gt;"UP"),"SELL","")))</f>
        <v/>
      </c>
      <c r="R25" s="13">
        <f>IF(Q25="","",D25)</f>
        <v/>
      </c>
      <c r="S25" s="13">
        <f>IF(Q25="","",IF(Q25="BUY",D25-M25*1.5,D25+M25*1.5))</f>
        <v/>
      </c>
      <c r="T25" s="13">
        <f>IF(Q25="","",IF(Q25="BUY",D25+M25*1.5,D25-M25*1.5))</f>
        <v/>
      </c>
      <c r="U25" s="13">
        <f>IF(Q25="","",IF(Q25="BUY",D25+M25*2,D25-M25*2))</f>
        <v/>
      </c>
      <c r="V25" s="13">
        <f>IF(Q25="","",IF(Q25="BUY",D25+M25*3,D25-M25*3))</f>
        <v/>
      </c>
      <c r="W25" s="8">
        <f>IF(OR(D25="",M25&lt;=0),"",IF(AND(D25&gt;G25,ABS(D25-G25)&lt;M25*0.5),"2ND","1ST"))</f>
        <v/>
      </c>
      <c r="X25" s="8">
        <f>IF(OR(D25="",M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" s="8">
        <f>IF(OR(D25="",M25&lt;=0),"",IF(M25&gt;D25*0.05,"VOL-HIGH","VOL-NORMAL"))</f>
        <v/>
      </c>
      <c r="Z25" s="8">
        <f>IF(OR(D25="",M25&lt;=0),"",IF(AND(N25="VOL-OK",Y25="VOL-NORMAL",W25="2ND"),"OK","NG"))</f>
        <v/>
      </c>
      <c r="AA25" s="8">
        <f>IF(OR(D25="",M25&lt;=0),"",IF(AND(E25&gt;I25,F25&gt;J25),"UP",IF(AND(E25&lt;I25,F25&lt;J25),"DOWN","FLAT")))</f>
        <v/>
      </c>
    </row>
    <row r="26" ht="26" customHeight="1" s="1">
      <c r="A26" s="14">
        <f>IF(B26="","",ROW()-2)</f>
        <v/>
      </c>
      <c r="B26" s="15">
        <f>IF('StockList_MS2'!A25="","",HYPERLINK("https://kabutan.jp/stock/?code="&amp;'StockList_MS2'!A25,'StockList_MS2'!A25))</f>
        <v/>
      </c>
      <c r="C26" s="16">
        <f>IF('StockList_MS2'!A25="","",'StockList_MS2'!B25)</f>
        <v/>
      </c>
      <c r="D26" s="17" t="n"/>
      <c r="E26" s="17" t="n"/>
      <c r="F26" s="17" t="n"/>
      <c r="G26" s="17" t="n"/>
      <c r="H26" s="18" t="n"/>
      <c r="I26" s="17" t="n"/>
      <c r="J26" s="17" t="n"/>
      <c r="K26" s="17" t="n"/>
      <c r="L26" s="14">
        <f>IF(D26="","",IF(D26&gt;K26,"BUY-DAY","SELL-DAY"))</f>
        <v/>
      </c>
      <c r="M26" s="19">
        <f>IF(D26="","",MAX(E26-F26,ABS(E26-K26),ABS(F26-K26)))</f>
        <v/>
      </c>
      <c r="N26" s="14">
        <f>IF(D26="","",IF(AND(H26&gt;0,H26&gt;(H26/3)*2.5),"VOL-OK","VOL-NG"))</f>
        <v/>
      </c>
      <c r="O26" s="14">
        <f>IF(D26="","",IF(D26&gt;I26,"ON","OFF"))</f>
        <v/>
      </c>
      <c r="P26" s="14">
        <f>IF(D26="","",IF(D26&lt;J26,"ON","OFF"))</f>
        <v/>
      </c>
      <c r="Q26" s="14">
        <f>IF(OR(D26="",M26&lt;=0),"",IF(AND(L26="BUY-DAY",N26="VOL-OK",P26="ON",Z26="OK",AA26&lt;&gt;"DOWN"),"BUY",IF(AND(L26="SELL-DAY",N26="VOL-OK",O26="ON",Z26="OK",AA26&lt;&gt;"UP"),"SELL","")))</f>
        <v/>
      </c>
      <c r="R26" s="19">
        <f>IF(Q26="","",D26)</f>
        <v/>
      </c>
      <c r="S26" s="19">
        <f>IF(Q26="","",IF(Q26="BUY",D26-M26*1.5,D26+M26*1.5))</f>
        <v/>
      </c>
      <c r="T26" s="19">
        <f>IF(Q26="","",IF(Q26="BUY",D26+M26*1.5,D26-M26*1.5))</f>
        <v/>
      </c>
      <c r="U26" s="19">
        <f>IF(Q26="","",IF(Q26="BUY",D26+M26*2,D26-M26*2))</f>
        <v/>
      </c>
      <c r="V26" s="19">
        <f>IF(Q26="","",IF(Q26="BUY",D26+M26*3,D26-M26*3))</f>
        <v/>
      </c>
      <c r="W26" s="14">
        <f>IF(OR(D26="",M26&lt;=0),"",IF(AND(D26&gt;G26,ABS(D26-G26)&lt;M26*0.5),"2ND","1ST"))</f>
        <v/>
      </c>
      <c r="X26" s="14">
        <f>IF(OR(D26="",M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" s="14">
        <f>IF(OR(D26="",M26&lt;=0),"",IF(M26&gt;D26*0.05,"VOL-HIGH","VOL-NORMAL"))</f>
        <v/>
      </c>
      <c r="Z26" s="14">
        <f>IF(OR(D26="",M26&lt;=0),"",IF(AND(N26="VOL-OK",Y26="VOL-NORMAL",W26="2ND"),"OK","NG"))</f>
        <v/>
      </c>
      <c r="AA26" s="14">
        <f>IF(OR(D26="",M26&lt;=0),"",IF(AND(E26&gt;I26,F26&gt;J26),"UP",IF(AND(E26&lt;I26,F26&lt;J26),"DOWN","FLAT")))</f>
        <v/>
      </c>
    </row>
    <row r="27" ht="26" customHeight="1" s="1">
      <c r="A27" s="8">
        <f>IF(B27="","",ROW()-2)</f>
        <v/>
      </c>
      <c r="B27" s="9">
        <f>IF('StockList_MS2'!A26="","",HYPERLINK("https://kabutan.jp/stock/?code="&amp;'StockList_MS2'!A26,'StockList_MS2'!A26))</f>
        <v/>
      </c>
      <c r="C27" s="10">
        <f>IF('StockList_MS2'!A26="","",'StockList_MS2'!B26)</f>
        <v/>
      </c>
      <c r="D27" s="11" t="n"/>
      <c r="E27" s="11" t="n"/>
      <c r="F27" s="11" t="n"/>
      <c r="G27" s="11" t="n"/>
      <c r="H27" s="12" t="n"/>
      <c r="I27" s="11" t="n"/>
      <c r="J27" s="11" t="n"/>
      <c r="K27" s="11" t="n"/>
      <c r="L27" s="8">
        <f>IF(D27="","",IF(D27&gt;K27,"BUY-DAY","SELL-DAY"))</f>
        <v/>
      </c>
      <c r="M27" s="13">
        <f>IF(D27="","",MAX(E27-F27,ABS(E27-K27),ABS(F27-K27)))</f>
        <v/>
      </c>
      <c r="N27" s="8">
        <f>IF(D27="","",IF(AND(H27&gt;0,H27&gt;(H27/3)*2.5),"VOL-OK","VOL-NG"))</f>
        <v/>
      </c>
      <c r="O27" s="8">
        <f>IF(D27="","",IF(D27&gt;I27,"ON","OFF"))</f>
        <v/>
      </c>
      <c r="P27" s="8">
        <f>IF(D27="","",IF(D27&lt;J27,"ON","OFF"))</f>
        <v/>
      </c>
      <c r="Q27" s="8">
        <f>IF(OR(D27="",M27&lt;=0),"",IF(AND(L27="BUY-DAY",N27="VOL-OK",P27="ON",Z27="OK",AA27&lt;&gt;"DOWN"),"BUY",IF(AND(L27="SELL-DAY",N27="VOL-OK",O27="ON",Z27="OK",AA27&lt;&gt;"UP"),"SELL","")))</f>
        <v/>
      </c>
      <c r="R27" s="13">
        <f>IF(Q27="","",D27)</f>
        <v/>
      </c>
      <c r="S27" s="13">
        <f>IF(Q27="","",IF(Q27="BUY",D27-M27*1.5,D27+M27*1.5))</f>
        <v/>
      </c>
      <c r="T27" s="13">
        <f>IF(Q27="","",IF(Q27="BUY",D27+M27*1.5,D27-M27*1.5))</f>
        <v/>
      </c>
      <c r="U27" s="13">
        <f>IF(Q27="","",IF(Q27="BUY",D27+M27*2,D27-M27*2))</f>
        <v/>
      </c>
      <c r="V27" s="13">
        <f>IF(Q27="","",IF(Q27="BUY",D27+M27*3,D27-M27*3))</f>
        <v/>
      </c>
      <c r="W27" s="8">
        <f>IF(OR(D27="",M27&lt;=0),"",IF(AND(D27&gt;G27,ABS(D27-G27)&lt;M27*0.5),"2ND","1ST"))</f>
        <v/>
      </c>
      <c r="X27" s="8">
        <f>IF(OR(D27="",M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" s="8">
        <f>IF(OR(D27="",M27&lt;=0),"",IF(M27&gt;D27*0.05,"VOL-HIGH","VOL-NORMAL"))</f>
        <v/>
      </c>
      <c r="Z27" s="8">
        <f>IF(OR(D27="",M27&lt;=0),"",IF(AND(N27="VOL-OK",Y27="VOL-NORMAL",W27="2ND"),"OK","NG"))</f>
        <v/>
      </c>
      <c r="AA27" s="8">
        <f>IF(OR(D27="",M27&lt;=0),"",IF(AND(E27&gt;I27,F27&gt;J27),"UP",IF(AND(E27&lt;I27,F27&lt;J27),"DOWN","FLAT")))</f>
        <v/>
      </c>
    </row>
    <row r="28" ht="26" customHeight="1" s="1">
      <c r="A28" s="14">
        <f>IF(B28="","",ROW()-2)</f>
        <v/>
      </c>
      <c r="B28" s="15">
        <f>IF('StockList_MS2'!A27="","",HYPERLINK("https://kabutan.jp/stock/?code="&amp;'StockList_MS2'!A27,'StockList_MS2'!A27))</f>
        <v/>
      </c>
      <c r="C28" s="16">
        <f>IF('StockList_MS2'!A27="","",'StockList_MS2'!B27)</f>
        <v/>
      </c>
      <c r="D28" s="17" t="n"/>
      <c r="E28" s="17" t="n"/>
      <c r="F28" s="17" t="n"/>
      <c r="G28" s="17" t="n"/>
      <c r="H28" s="18" t="n"/>
      <c r="I28" s="17" t="n"/>
      <c r="J28" s="17" t="n"/>
      <c r="K28" s="17" t="n"/>
      <c r="L28" s="14">
        <f>IF(D28="","",IF(D28&gt;K28,"BUY-DAY","SELL-DAY"))</f>
        <v/>
      </c>
      <c r="M28" s="19">
        <f>IF(D28="","",MAX(E28-F28,ABS(E28-K28),ABS(F28-K28)))</f>
        <v/>
      </c>
      <c r="N28" s="14">
        <f>IF(D28="","",IF(AND(H28&gt;0,H28&gt;(H28/3)*2.5),"VOL-OK","VOL-NG"))</f>
        <v/>
      </c>
      <c r="O28" s="14">
        <f>IF(D28="","",IF(D28&gt;I28,"ON","OFF"))</f>
        <v/>
      </c>
      <c r="P28" s="14">
        <f>IF(D28="","",IF(D28&lt;J28,"ON","OFF"))</f>
        <v/>
      </c>
      <c r="Q28" s="14">
        <f>IF(OR(D28="",M28&lt;=0),"",IF(AND(L28="BUY-DAY",N28="VOL-OK",P28="ON",Z28="OK",AA28&lt;&gt;"DOWN"),"BUY",IF(AND(L28="SELL-DAY",N28="VOL-OK",O28="ON",Z28="OK",AA28&lt;&gt;"UP"),"SELL","")))</f>
        <v/>
      </c>
      <c r="R28" s="19">
        <f>IF(Q28="","",D28)</f>
        <v/>
      </c>
      <c r="S28" s="19">
        <f>IF(Q28="","",IF(Q28="BUY",D28-M28*1.5,D28+M28*1.5))</f>
        <v/>
      </c>
      <c r="T28" s="19">
        <f>IF(Q28="","",IF(Q28="BUY",D28+M28*1.5,D28-M28*1.5))</f>
        <v/>
      </c>
      <c r="U28" s="19">
        <f>IF(Q28="","",IF(Q28="BUY",D28+M28*2,D28-M28*2))</f>
        <v/>
      </c>
      <c r="V28" s="19">
        <f>IF(Q28="","",IF(Q28="BUY",D28+M28*3,D28-M28*3))</f>
        <v/>
      </c>
      <c r="W28" s="14">
        <f>IF(OR(D28="",M28&lt;=0),"",IF(AND(D28&gt;G28,ABS(D28-G28)&lt;M28*0.5),"2ND","1ST"))</f>
        <v/>
      </c>
      <c r="X28" s="14">
        <f>IF(OR(D28="",M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" s="14">
        <f>IF(OR(D28="",M28&lt;=0),"",IF(M28&gt;D28*0.05,"VOL-HIGH","VOL-NORMAL"))</f>
        <v/>
      </c>
      <c r="Z28" s="14">
        <f>IF(OR(D28="",M28&lt;=0),"",IF(AND(N28="VOL-OK",Y28="VOL-NORMAL",W28="2ND"),"OK","NG"))</f>
        <v/>
      </c>
      <c r="AA28" s="14">
        <f>IF(OR(D28="",M28&lt;=0),"",IF(AND(E28&gt;I28,F28&gt;J28),"UP",IF(AND(E28&lt;I28,F28&lt;J28),"DOWN","FLAT")))</f>
        <v/>
      </c>
    </row>
    <row r="29" ht="26" customHeight="1" s="1">
      <c r="A29" s="8">
        <f>IF(B29="","",ROW()-2)</f>
        <v/>
      </c>
      <c r="B29" s="9">
        <f>IF('StockList_MS2'!A28="","",HYPERLINK("https://kabutan.jp/stock/?code="&amp;'StockList_MS2'!A28,'StockList_MS2'!A28))</f>
        <v/>
      </c>
      <c r="C29" s="10">
        <f>IF('StockList_MS2'!A28="","",'StockList_MS2'!B28)</f>
        <v/>
      </c>
      <c r="D29" s="11" t="n"/>
      <c r="E29" s="11" t="n"/>
      <c r="F29" s="11" t="n"/>
      <c r="G29" s="11" t="n"/>
      <c r="H29" s="12" t="n"/>
      <c r="I29" s="11" t="n"/>
      <c r="J29" s="11" t="n"/>
      <c r="K29" s="11" t="n"/>
      <c r="L29" s="8">
        <f>IF(D29="","",IF(D29&gt;K29,"BUY-DAY","SELL-DAY"))</f>
        <v/>
      </c>
      <c r="M29" s="13">
        <f>IF(D29="","",MAX(E29-F29,ABS(E29-K29),ABS(F29-K29)))</f>
        <v/>
      </c>
      <c r="N29" s="8">
        <f>IF(D29="","",IF(AND(H29&gt;0,H29&gt;(H29/3)*2.5),"VOL-OK","VOL-NG"))</f>
        <v/>
      </c>
      <c r="O29" s="8">
        <f>IF(D29="","",IF(D29&gt;I29,"ON","OFF"))</f>
        <v/>
      </c>
      <c r="P29" s="8">
        <f>IF(D29="","",IF(D29&lt;J29,"ON","OFF"))</f>
        <v/>
      </c>
      <c r="Q29" s="8">
        <f>IF(OR(D29="",M29&lt;=0),"",IF(AND(L29="BUY-DAY",N29="VOL-OK",P29="ON",Z29="OK",AA29&lt;&gt;"DOWN"),"BUY",IF(AND(L29="SELL-DAY",N29="VOL-OK",O29="ON",Z29="OK",AA29&lt;&gt;"UP"),"SELL","")))</f>
        <v/>
      </c>
      <c r="R29" s="13">
        <f>IF(Q29="","",D29)</f>
        <v/>
      </c>
      <c r="S29" s="13">
        <f>IF(Q29="","",IF(Q29="BUY",D29-M29*1.5,D29+M29*1.5))</f>
        <v/>
      </c>
      <c r="T29" s="13">
        <f>IF(Q29="","",IF(Q29="BUY",D29+M29*1.5,D29-M29*1.5))</f>
        <v/>
      </c>
      <c r="U29" s="13">
        <f>IF(Q29="","",IF(Q29="BUY",D29+M29*2,D29-M29*2))</f>
        <v/>
      </c>
      <c r="V29" s="13">
        <f>IF(Q29="","",IF(Q29="BUY",D29+M29*3,D29-M29*3))</f>
        <v/>
      </c>
      <c r="W29" s="8">
        <f>IF(OR(D29="",M29&lt;=0),"",IF(AND(D29&gt;G29,ABS(D29-G29)&lt;M29*0.5),"2ND","1ST"))</f>
        <v/>
      </c>
      <c r="X29" s="8">
        <f>IF(OR(D29="",M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" s="8">
        <f>IF(OR(D29="",M29&lt;=0),"",IF(M29&gt;D29*0.05,"VOL-HIGH","VOL-NORMAL"))</f>
        <v/>
      </c>
      <c r="Z29" s="8">
        <f>IF(OR(D29="",M29&lt;=0),"",IF(AND(N29="VOL-OK",Y29="VOL-NORMAL",W29="2ND"),"OK","NG"))</f>
        <v/>
      </c>
      <c r="AA29" s="8">
        <f>IF(OR(D29="",M29&lt;=0),"",IF(AND(E29&gt;I29,F29&gt;J29),"UP",IF(AND(E29&lt;I29,F29&lt;J29),"DOWN","FLAT")))</f>
        <v/>
      </c>
    </row>
    <row r="30" ht="26" customHeight="1" s="1">
      <c r="A30" s="14">
        <f>IF(B30="","",ROW()-2)</f>
        <v/>
      </c>
      <c r="B30" s="15">
        <f>IF('StockList_MS2'!A29="","",HYPERLINK("https://kabutan.jp/stock/?code="&amp;'StockList_MS2'!A29,'StockList_MS2'!A29))</f>
        <v/>
      </c>
      <c r="C30" s="16">
        <f>IF('StockList_MS2'!A29="","",'StockList_MS2'!B29)</f>
        <v/>
      </c>
      <c r="D30" s="17" t="n"/>
      <c r="E30" s="17" t="n"/>
      <c r="F30" s="17" t="n"/>
      <c r="G30" s="17" t="n"/>
      <c r="H30" s="18" t="n"/>
      <c r="I30" s="17" t="n"/>
      <c r="J30" s="17" t="n"/>
      <c r="K30" s="17" t="n"/>
      <c r="L30" s="14">
        <f>IF(D30="","",IF(D30&gt;K30,"BUY-DAY","SELL-DAY"))</f>
        <v/>
      </c>
      <c r="M30" s="19">
        <f>IF(D30="","",MAX(E30-F30,ABS(E30-K30),ABS(F30-K30)))</f>
        <v/>
      </c>
      <c r="N30" s="14">
        <f>IF(D30="","",IF(AND(H30&gt;0,H30&gt;(H30/3)*2.5),"VOL-OK","VOL-NG"))</f>
        <v/>
      </c>
      <c r="O30" s="14">
        <f>IF(D30="","",IF(D30&gt;I30,"ON","OFF"))</f>
        <v/>
      </c>
      <c r="P30" s="14">
        <f>IF(D30="","",IF(D30&lt;J30,"ON","OFF"))</f>
        <v/>
      </c>
      <c r="Q30" s="14">
        <f>IF(OR(D30="",M30&lt;=0),"",IF(AND(L30="BUY-DAY",N30="VOL-OK",P30="ON",Z30="OK",AA30&lt;&gt;"DOWN"),"BUY",IF(AND(L30="SELL-DAY",N30="VOL-OK",O30="ON",Z30="OK",AA30&lt;&gt;"UP"),"SELL","")))</f>
        <v/>
      </c>
      <c r="R30" s="19">
        <f>IF(Q30="","",D30)</f>
        <v/>
      </c>
      <c r="S30" s="19">
        <f>IF(Q30="","",IF(Q30="BUY",D30-M30*1.5,D30+M30*1.5))</f>
        <v/>
      </c>
      <c r="T30" s="19">
        <f>IF(Q30="","",IF(Q30="BUY",D30+M30*1.5,D30-M30*1.5))</f>
        <v/>
      </c>
      <c r="U30" s="19">
        <f>IF(Q30="","",IF(Q30="BUY",D30+M30*2,D30-M30*2))</f>
        <v/>
      </c>
      <c r="V30" s="19">
        <f>IF(Q30="","",IF(Q30="BUY",D30+M30*3,D30-M30*3))</f>
        <v/>
      </c>
      <c r="W30" s="14">
        <f>IF(OR(D30="",M30&lt;=0),"",IF(AND(D30&gt;G30,ABS(D30-G30)&lt;M30*0.5),"2ND","1ST"))</f>
        <v/>
      </c>
      <c r="X30" s="14">
        <f>IF(OR(D30="",M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" s="14">
        <f>IF(OR(D30="",M30&lt;=0),"",IF(M30&gt;D30*0.05,"VOL-HIGH","VOL-NORMAL"))</f>
        <v/>
      </c>
      <c r="Z30" s="14">
        <f>IF(OR(D30="",M30&lt;=0),"",IF(AND(N30="VOL-OK",Y30="VOL-NORMAL",W30="2ND"),"OK","NG"))</f>
        <v/>
      </c>
      <c r="AA30" s="14">
        <f>IF(OR(D30="",M30&lt;=0),"",IF(AND(E30&gt;I30,F30&gt;J30),"UP",IF(AND(E30&lt;I30,F30&lt;J30),"DOWN","FLAT")))</f>
        <v/>
      </c>
    </row>
    <row r="31" ht="26" customHeight="1" s="1">
      <c r="A31" s="8">
        <f>IF(B31="","",ROW()-2)</f>
        <v/>
      </c>
      <c r="B31" s="9">
        <f>IF('StockList_MS2'!A30="","",HYPERLINK("https://kabutan.jp/stock/?code="&amp;'StockList_MS2'!A30,'StockList_MS2'!A30))</f>
        <v/>
      </c>
      <c r="C31" s="10">
        <f>IF('StockList_MS2'!A30="","",'StockList_MS2'!B30)</f>
        <v/>
      </c>
      <c r="D31" s="11" t="n"/>
      <c r="E31" s="11" t="n"/>
      <c r="F31" s="11" t="n"/>
      <c r="G31" s="11" t="n"/>
      <c r="H31" s="12" t="n"/>
      <c r="I31" s="11" t="n"/>
      <c r="J31" s="11" t="n"/>
      <c r="K31" s="11" t="n"/>
      <c r="L31" s="8">
        <f>IF(D31="","",IF(D31&gt;K31,"BUY-DAY","SELL-DAY"))</f>
        <v/>
      </c>
      <c r="M31" s="13">
        <f>IF(D31="","",MAX(E31-F31,ABS(E31-K31),ABS(F31-K31)))</f>
        <v/>
      </c>
      <c r="N31" s="8">
        <f>IF(D31="","",IF(AND(H31&gt;0,H31&gt;(H31/3)*2.5),"VOL-OK","VOL-NG"))</f>
        <v/>
      </c>
      <c r="O31" s="8">
        <f>IF(D31="","",IF(D31&gt;I31,"ON","OFF"))</f>
        <v/>
      </c>
      <c r="P31" s="8">
        <f>IF(D31="","",IF(D31&lt;J31,"ON","OFF"))</f>
        <v/>
      </c>
      <c r="Q31" s="8">
        <f>IF(OR(D31="",M31&lt;=0),"",IF(AND(L31="BUY-DAY",N31="VOL-OK",P31="ON",Z31="OK",AA31&lt;&gt;"DOWN"),"BUY",IF(AND(L31="SELL-DAY",N31="VOL-OK",O31="ON",Z31="OK",AA31&lt;&gt;"UP"),"SELL","")))</f>
        <v/>
      </c>
      <c r="R31" s="13">
        <f>IF(Q31="","",D31)</f>
        <v/>
      </c>
      <c r="S31" s="13">
        <f>IF(Q31="","",IF(Q31="BUY",D31-M31*1.5,D31+M31*1.5))</f>
        <v/>
      </c>
      <c r="T31" s="13">
        <f>IF(Q31="","",IF(Q31="BUY",D31+M31*1.5,D31-M31*1.5))</f>
        <v/>
      </c>
      <c r="U31" s="13">
        <f>IF(Q31="","",IF(Q31="BUY",D31+M31*2,D31-M31*2))</f>
        <v/>
      </c>
      <c r="V31" s="13">
        <f>IF(Q31="","",IF(Q31="BUY",D31+M31*3,D31-M31*3))</f>
        <v/>
      </c>
      <c r="W31" s="8">
        <f>IF(OR(D31="",M31&lt;=0),"",IF(AND(D31&gt;G31,ABS(D31-G31)&lt;M31*0.5),"2ND","1ST"))</f>
        <v/>
      </c>
      <c r="X31" s="8">
        <f>IF(OR(D31="",M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" s="8">
        <f>IF(OR(D31="",M31&lt;=0),"",IF(M31&gt;D31*0.05,"VOL-HIGH","VOL-NORMAL"))</f>
        <v/>
      </c>
      <c r="Z31" s="8">
        <f>IF(OR(D31="",M31&lt;=0),"",IF(AND(N31="VOL-OK",Y31="VOL-NORMAL",W31="2ND"),"OK","NG"))</f>
        <v/>
      </c>
      <c r="AA31" s="8">
        <f>IF(OR(D31="",M31&lt;=0),"",IF(AND(E31&gt;I31,F31&gt;J31),"UP",IF(AND(E31&lt;I31,F31&lt;J31),"DOWN","FLAT")))</f>
        <v/>
      </c>
    </row>
    <row r="32" ht="26" customHeight="1" s="1">
      <c r="A32" s="14">
        <f>IF(B32="","",ROW()-2)</f>
        <v/>
      </c>
      <c r="B32" s="15">
        <f>IF('StockList_MS2'!A31="","",HYPERLINK("https://kabutan.jp/stock/?code="&amp;'StockList_MS2'!A31,'StockList_MS2'!A31))</f>
        <v/>
      </c>
      <c r="C32" s="16">
        <f>IF('StockList_MS2'!A31="","",'StockList_MS2'!B31)</f>
        <v/>
      </c>
      <c r="D32" s="17" t="n"/>
      <c r="E32" s="17" t="n"/>
      <c r="F32" s="17" t="n"/>
      <c r="G32" s="17" t="n"/>
      <c r="H32" s="18" t="n"/>
      <c r="I32" s="17" t="n"/>
      <c r="J32" s="17" t="n"/>
      <c r="K32" s="17" t="n"/>
      <c r="L32" s="14">
        <f>IF(D32="","",IF(D32&gt;K32,"BUY-DAY","SELL-DAY"))</f>
        <v/>
      </c>
      <c r="M32" s="19">
        <f>IF(D32="","",MAX(E32-F32,ABS(E32-K32),ABS(F32-K32)))</f>
        <v/>
      </c>
      <c r="N32" s="14">
        <f>IF(D32="","",IF(AND(H32&gt;0,H32&gt;(H32/3)*2.5),"VOL-OK","VOL-NG"))</f>
        <v/>
      </c>
      <c r="O32" s="14">
        <f>IF(D32="","",IF(D32&gt;I32,"ON","OFF"))</f>
        <v/>
      </c>
      <c r="P32" s="14">
        <f>IF(D32="","",IF(D32&lt;J32,"ON","OFF"))</f>
        <v/>
      </c>
      <c r="Q32" s="14">
        <f>IF(OR(D32="",M32&lt;=0),"",IF(AND(L32="BUY-DAY",N32="VOL-OK",P32="ON",Z32="OK",AA32&lt;&gt;"DOWN"),"BUY",IF(AND(L32="SELL-DAY",N32="VOL-OK",O32="ON",Z32="OK",AA32&lt;&gt;"UP"),"SELL","")))</f>
        <v/>
      </c>
      <c r="R32" s="19">
        <f>IF(Q32="","",D32)</f>
        <v/>
      </c>
      <c r="S32" s="19">
        <f>IF(Q32="","",IF(Q32="BUY",D32-M32*1.5,D32+M32*1.5))</f>
        <v/>
      </c>
      <c r="T32" s="19">
        <f>IF(Q32="","",IF(Q32="BUY",D32+M32*1.5,D32-M32*1.5))</f>
        <v/>
      </c>
      <c r="U32" s="19">
        <f>IF(Q32="","",IF(Q32="BUY",D32+M32*2,D32-M32*2))</f>
        <v/>
      </c>
      <c r="V32" s="19">
        <f>IF(Q32="","",IF(Q32="BUY",D32+M32*3,D32-M32*3))</f>
        <v/>
      </c>
      <c r="W32" s="14">
        <f>IF(OR(D32="",M32&lt;=0),"",IF(AND(D32&gt;G32,ABS(D32-G32)&lt;M32*0.5),"2ND","1ST"))</f>
        <v/>
      </c>
      <c r="X32" s="14">
        <f>IF(OR(D32="",M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" s="14">
        <f>IF(OR(D32="",M32&lt;=0),"",IF(M32&gt;D32*0.05,"VOL-HIGH","VOL-NORMAL"))</f>
        <v/>
      </c>
      <c r="Z32" s="14">
        <f>IF(OR(D32="",M32&lt;=0),"",IF(AND(N32="VOL-OK",Y32="VOL-NORMAL",W32="2ND"),"OK","NG"))</f>
        <v/>
      </c>
      <c r="AA32" s="14">
        <f>IF(OR(D32="",M32&lt;=0),"",IF(AND(E32&gt;I32,F32&gt;J32),"UP",IF(AND(E32&lt;I32,F32&lt;J32),"DOWN","FLAT")))</f>
        <v/>
      </c>
    </row>
    <row r="33" ht="26" customHeight="1" s="1">
      <c r="A33" s="8">
        <f>IF(B33="","",ROW()-2)</f>
        <v/>
      </c>
      <c r="B33" s="9">
        <f>IF('StockList_MS2'!A32="","",HYPERLINK("https://kabutan.jp/stock/?code="&amp;'StockList_MS2'!A32,'StockList_MS2'!A32))</f>
        <v/>
      </c>
      <c r="C33" s="10">
        <f>IF('StockList_MS2'!A32="","",'StockList_MS2'!B32)</f>
        <v/>
      </c>
      <c r="D33" s="11" t="n"/>
      <c r="E33" s="11" t="n"/>
      <c r="F33" s="11" t="n"/>
      <c r="G33" s="11" t="n"/>
      <c r="H33" s="12" t="n"/>
      <c r="I33" s="11" t="n"/>
      <c r="J33" s="11" t="n"/>
      <c r="K33" s="11" t="n"/>
      <c r="L33" s="8">
        <f>IF(D33="","",IF(D33&gt;K33,"BUY-DAY","SELL-DAY"))</f>
        <v/>
      </c>
      <c r="M33" s="13">
        <f>IF(D33="","",MAX(E33-F33,ABS(E33-K33),ABS(F33-K33)))</f>
        <v/>
      </c>
      <c r="N33" s="8">
        <f>IF(D33="","",IF(AND(H33&gt;0,H33&gt;(H33/3)*2.5),"VOL-OK","VOL-NG"))</f>
        <v/>
      </c>
      <c r="O33" s="8">
        <f>IF(D33="","",IF(D33&gt;I33,"ON","OFF"))</f>
        <v/>
      </c>
      <c r="P33" s="8">
        <f>IF(D33="","",IF(D33&lt;J33,"ON","OFF"))</f>
        <v/>
      </c>
      <c r="Q33" s="8">
        <f>IF(OR(D33="",M33&lt;=0),"",IF(AND(L33="BUY-DAY",N33="VOL-OK",P33="ON",Z33="OK",AA33&lt;&gt;"DOWN"),"BUY",IF(AND(L33="SELL-DAY",N33="VOL-OK",O33="ON",Z33="OK",AA33&lt;&gt;"UP"),"SELL","")))</f>
        <v/>
      </c>
      <c r="R33" s="13">
        <f>IF(Q33="","",D33)</f>
        <v/>
      </c>
      <c r="S33" s="13">
        <f>IF(Q33="","",IF(Q33="BUY",D33-M33*1.5,D33+M33*1.5))</f>
        <v/>
      </c>
      <c r="T33" s="13">
        <f>IF(Q33="","",IF(Q33="BUY",D33+M33*1.5,D33-M33*1.5))</f>
        <v/>
      </c>
      <c r="U33" s="13">
        <f>IF(Q33="","",IF(Q33="BUY",D33+M33*2,D33-M33*2))</f>
        <v/>
      </c>
      <c r="V33" s="13">
        <f>IF(Q33="","",IF(Q33="BUY",D33+M33*3,D33-M33*3))</f>
        <v/>
      </c>
      <c r="W33" s="8">
        <f>IF(OR(D33="",M33&lt;=0),"",IF(AND(D33&gt;G33,ABS(D33-G33)&lt;M33*0.5),"2ND","1ST"))</f>
        <v/>
      </c>
      <c r="X33" s="8">
        <f>IF(OR(D33="",M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" s="8">
        <f>IF(OR(D33="",M33&lt;=0),"",IF(M33&gt;D33*0.05,"VOL-HIGH","VOL-NORMAL"))</f>
        <v/>
      </c>
      <c r="Z33" s="8">
        <f>IF(OR(D33="",M33&lt;=0),"",IF(AND(N33="VOL-OK",Y33="VOL-NORMAL",W33="2ND"),"OK","NG"))</f>
        <v/>
      </c>
      <c r="AA33" s="8">
        <f>IF(OR(D33="",M33&lt;=0),"",IF(AND(E33&gt;I33,F33&gt;J33),"UP",IF(AND(E33&lt;I33,F33&lt;J33),"DOWN","FLAT")))</f>
        <v/>
      </c>
    </row>
    <row r="34" ht="26" customHeight="1" s="1">
      <c r="A34" s="14">
        <f>IF(B34="","",ROW()-2)</f>
        <v/>
      </c>
      <c r="B34" s="15">
        <f>IF('StockList_MS2'!A33="","",HYPERLINK("https://kabutan.jp/stock/?code="&amp;'StockList_MS2'!A33,'StockList_MS2'!A33))</f>
        <v/>
      </c>
      <c r="C34" s="16">
        <f>IF('StockList_MS2'!A33="","",'StockList_MS2'!B33)</f>
        <v/>
      </c>
      <c r="D34" s="17" t="n"/>
      <c r="E34" s="17" t="n"/>
      <c r="F34" s="17" t="n"/>
      <c r="G34" s="17" t="n"/>
      <c r="H34" s="18" t="n"/>
      <c r="I34" s="17" t="n"/>
      <c r="J34" s="17" t="n"/>
      <c r="K34" s="17" t="n"/>
      <c r="L34" s="14">
        <f>IF(D34="","",IF(D34&gt;K34,"BUY-DAY","SELL-DAY"))</f>
        <v/>
      </c>
      <c r="M34" s="19">
        <f>IF(D34="","",MAX(E34-F34,ABS(E34-K34),ABS(F34-K34)))</f>
        <v/>
      </c>
      <c r="N34" s="14">
        <f>IF(D34="","",IF(AND(H34&gt;0,H34&gt;(H34/3)*2.5),"VOL-OK","VOL-NG"))</f>
        <v/>
      </c>
      <c r="O34" s="14">
        <f>IF(D34="","",IF(D34&gt;I34,"ON","OFF"))</f>
        <v/>
      </c>
      <c r="P34" s="14">
        <f>IF(D34="","",IF(D34&lt;J34,"ON","OFF"))</f>
        <v/>
      </c>
      <c r="Q34" s="14">
        <f>IF(OR(D34="",M34&lt;=0),"",IF(AND(L34="BUY-DAY",N34="VOL-OK",P34="ON",Z34="OK",AA34&lt;&gt;"DOWN"),"BUY",IF(AND(L34="SELL-DAY",N34="VOL-OK",O34="ON",Z34="OK",AA34&lt;&gt;"UP"),"SELL","")))</f>
        <v/>
      </c>
      <c r="R34" s="19">
        <f>IF(Q34="","",D34)</f>
        <v/>
      </c>
      <c r="S34" s="19">
        <f>IF(Q34="","",IF(Q34="BUY",D34-M34*1.5,D34+M34*1.5))</f>
        <v/>
      </c>
      <c r="T34" s="19">
        <f>IF(Q34="","",IF(Q34="BUY",D34+M34*1.5,D34-M34*1.5))</f>
        <v/>
      </c>
      <c r="U34" s="19">
        <f>IF(Q34="","",IF(Q34="BUY",D34+M34*2,D34-M34*2))</f>
        <v/>
      </c>
      <c r="V34" s="19">
        <f>IF(Q34="","",IF(Q34="BUY",D34+M34*3,D34-M34*3))</f>
        <v/>
      </c>
      <c r="W34" s="14">
        <f>IF(OR(D34="",M34&lt;=0),"",IF(AND(D34&gt;G34,ABS(D34-G34)&lt;M34*0.5),"2ND","1ST"))</f>
        <v/>
      </c>
      <c r="X34" s="14">
        <f>IF(OR(D34="",M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" s="14">
        <f>IF(OR(D34="",M34&lt;=0),"",IF(M34&gt;D34*0.05,"VOL-HIGH","VOL-NORMAL"))</f>
        <v/>
      </c>
      <c r="Z34" s="14">
        <f>IF(OR(D34="",M34&lt;=0),"",IF(AND(N34="VOL-OK",Y34="VOL-NORMAL",W34="2ND"),"OK","NG"))</f>
        <v/>
      </c>
      <c r="AA34" s="14">
        <f>IF(OR(D34="",M34&lt;=0),"",IF(AND(E34&gt;I34,F34&gt;J34),"UP",IF(AND(E34&lt;I34,F34&lt;J34),"DOWN","FLAT")))</f>
        <v/>
      </c>
    </row>
    <row r="35" ht="26" customHeight="1" s="1">
      <c r="A35" s="8">
        <f>IF(B35="","",ROW()-2)</f>
        <v/>
      </c>
      <c r="B35" s="9">
        <f>IF('StockList_MS2'!A34="","",HYPERLINK("https://kabutan.jp/stock/?code="&amp;'StockList_MS2'!A34,'StockList_MS2'!A34))</f>
        <v/>
      </c>
      <c r="C35" s="10">
        <f>IF('StockList_MS2'!A34="","",'StockList_MS2'!B34)</f>
        <v/>
      </c>
      <c r="D35" s="11" t="n"/>
      <c r="E35" s="11" t="n"/>
      <c r="F35" s="11" t="n"/>
      <c r="G35" s="11" t="n"/>
      <c r="H35" s="12" t="n"/>
      <c r="I35" s="11" t="n"/>
      <c r="J35" s="11" t="n"/>
      <c r="K35" s="11" t="n"/>
      <c r="L35" s="8">
        <f>IF(D35="","",IF(D35&gt;K35,"BUY-DAY","SELL-DAY"))</f>
        <v/>
      </c>
      <c r="M35" s="13">
        <f>IF(D35="","",MAX(E35-F35,ABS(E35-K35),ABS(F35-K35)))</f>
        <v/>
      </c>
      <c r="N35" s="8">
        <f>IF(D35="","",IF(AND(H35&gt;0,H35&gt;(H35/3)*2.5),"VOL-OK","VOL-NG"))</f>
        <v/>
      </c>
      <c r="O35" s="8">
        <f>IF(D35="","",IF(D35&gt;I35,"ON","OFF"))</f>
        <v/>
      </c>
      <c r="P35" s="8">
        <f>IF(D35="","",IF(D35&lt;J35,"ON","OFF"))</f>
        <v/>
      </c>
      <c r="Q35" s="8">
        <f>IF(OR(D35="",M35&lt;=0),"",IF(AND(L35="BUY-DAY",N35="VOL-OK",P35="ON",Z35="OK",AA35&lt;&gt;"DOWN"),"BUY",IF(AND(L35="SELL-DAY",N35="VOL-OK",O35="ON",Z35="OK",AA35&lt;&gt;"UP"),"SELL","")))</f>
        <v/>
      </c>
      <c r="R35" s="13">
        <f>IF(Q35="","",D35)</f>
        <v/>
      </c>
      <c r="S35" s="13">
        <f>IF(Q35="","",IF(Q35="BUY",D35-M35*1.5,D35+M35*1.5))</f>
        <v/>
      </c>
      <c r="T35" s="13">
        <f>IF(Q35="","",IF(Q35="BUY",D35+M35*1.5,D35-M35*1.5))</f>
        <v/>
      </c>
      <c r="U35" s="13">
        <f>IF(Q35="","",IF(Q35="BUY",D35+M35*2,D35-M35*2))</f>
        <v/>
      </c>
      <c r="V35" s="13">
        <f>IF(Q35="","",IF(Q35="BUY",D35+M35*3,D35-M35*3))</f>
        <v/>
      </c>
      <c r="W35" s="8">
        <f>IF(OR(D35="",M35&lt;=0),"",IF(AND(D35&gt;G35,ABS(D35-G35)&lt;M35*0.5),"2ND","1ST"))</f>
        <v/>
      </c>
      <c r="X35" s="8">
        <f>IF(OR(D35="",M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5" s="8">
        <f>IF(OR(D35="",M35&lt;=0),"",IF(M35&gt;D35*0.05,"VOL-HIGH","VOL-NORMAL"))</f>
        <v/>
      </c>
      <c r="Z35" s="8">
        <f>IF(OR(D35="",M35&lt;=0),"",IF(AND(N35="VOL-OK",Y35="VOL-NORMAL",W35="2ND"),"OK","NG"))</f>
        <v/>
      </c>
      <c r="AA35" s="8">
        <f>IF(OR(D35="",M35&lt;=0),"",IF(AND(E35&gt;I35,F35&gt;J35),"UP",IF(AND(E35&lt;I35,F35&lt;J35),"DOWN","FLAT")))</f>
        <v/>
      </c>
    </row>
    <row r="36" ht="26" customHeight="1" s="1">
      <c r="A36" s="14">
        <f>IF(B36="","",ROW()-2)</f>
        <v/>
      </c>
      <c r="B36" s="15">
        <f>IF('StockList_MS2'!A35="","",HYPERLINK("https://kabutan.jp/stock/?code="&amp;'StockList_MS2'!A35,'StockList_MS2'!A35))</f>
        <v/>
      </c>
      <c r="C36" s="16">
        <f>IF('StockList_MS2'!A35="","",'StockList_MS2'!B35)</f>
        <v/>
      </c>
      <c r="D36" s="17" t="n"/>
      <c r="E36" s="17" t="n"/>
      <c r="F36" s="17" t="n"/>
      <c r="G36" s="17" t="n"/>
      <c r="H36" s="18" t="n"/>
      <c r="I36" s="17" t="n"/>
      <c r="J36" s="17" t="n"/>
      <c r="K36" s="17" t="n"/>
      <c r="L36" s="14">
        <f>IF(D36="","",IF(D36&gt;K36,"BUY-DAY","SELL-DAY"))</f>
        <v/>
      </c>
      <c r="M36" s="19">
        <f>IF(D36="","",MAX(E36-F36,ABS(E36-K36),ABS(F36-K36)))</f>
        <v/>
      </c>
      <c r="N36" s="14">
        <f>IF(D36="","",IF(AND(H36&gt;0,H36&gt;(H36/3)*2.5),"VOL-OK","VOL-NG"))</f>
        <v/>
      </c>
      <c r="O36" s="14">
        <f>IF(D36="","",IF(D36&gt;I36,"ON","OFF"))</f>
        <v/>
      </c>
      <c r="P36" s="14">
        <f>IF(D36="","",IF(D36&lt;J36,"ON","OFF"))</f>
        <v/>
      </c>
      <c r="Q36" s="14">
        <f>IF(OR(D36="",M36&lt;=0),"",IF(AND(L36="BUY-DAY",N36="VOL-OK",P36="ON",Z36="OK",AA36&lt;&gt;"DOWN"),"BUY",IF(AND(L36="SELL-DAY",N36="VOL-OK",O36="ON",Z36="OK",AA36&lt;&gt;"UP"),"SELL","")))</f>
        <v/>
      </c>
      <c r="R36" s="19">
        <f>IF(Q36="","",D36)</f>
        <v/>
      </c>
      <c r="S36" s="19">
        <f>IF(Q36="","",IF(Q36="BUY",D36-M36*1.5,D36+M36*1.5))</f>
        <v/>
      </c>
      <c r="T36" s="19">
        <f>IF(Q36="","",IF(Q36="BUY",D36+M36*1.5,D36-M36*1.5))</f>
        <v/>
      </c>
      <c r="U36" s="19">
        <f>IF(Q36="","",IF(Q36="BUY",D36+M36*2,D36-M36*2))</f>
        <v/>
      </c>
      <c r="V36" s="19">
        <f>IF(Q36="","",IF(Q36="BUY",D36+M36*3,D36-M36*3))</f>
        <v/>
      </c>
      <c r="W36" s="14">
        <f>IF(OR(D36="",M36&lt;=0),"",IF(AND(D36&gt;G36,ABS(D36-G36)&lt;M36*0.5),"2ND","1ST"))</f>
        <v/>
      </c>
      <c r="X36" s="14">
        <f>IF(OR(D36="",M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6" s="14">
        <f>IF(OR(D36="",M36&lt;=0),"",IF(M36&gt;D36*0.05,"VOL-HIGH","VOL-NORMAL"))</f>
        <v/>
      </c>
      <c r="Z36" s="14">
        <f>IF(OR(D36="",M36&lt;=0),"",IF(AND(N36="VOL-OK",Y36="VOL-NORMAL",W36="2ND"),"OK","NG"))</f>
        <v/>
      </c>
      <c r="AA36" s="14">
        <f>IF(OR(D36="",M36&lt;=0),"",IF(AND(E36&gt;I36,F36&gt;J36),"UP",IF(AND(E36&lt;I36,F36&lt;J36),"DOWN","FLAT")))</f>
        <v/>
      </c>
    </row>
    <row r="37" ht="26" customHeight="1" s="1">
      <c r="A37" s="8">
        <f>IF(B37="","",ROW()-2)</f>
        <v/>
      </c>
      <c r="B37" s="9">
        <f>IF('StockList_MS2'!A36="","",HYPERLINK("https://kabutan.jp/stock/?code="&amp;'StockList_MS2'!A36,'StockList_MS2'!A36))</f>
        <v/>
      </c>
      <c r="C37" s="10">
        <f>IF('StockList_MS2'!A36="","",'StockList_MS2'!B36)</f>
        <v/>
      </c>
      <c r="D37" s="11" t="n"/>
      <c r="E37" s="11" t="n"/>
      <c r="F37" s="11" t="n"/>
      <c r="G37" s="11" t="n"/>
      <c r="H37" s="12" t="n"/>
      <c r="I37" s="11" t="n"/>
      <c r="J37" s="11" t="n"/>
      <c r="K37" s="11" t="n"/>
      <c r="L37" s="8">
        <f>IF(D37="","",IF(D37&gt;K37,"BUY-DAY","SELL-DAY"))</f>
        <v/>
      </c>
      <c r="M37" s="13">
        <f>IF(D37="","",MAX(E37-F37,ABS(E37-K37),ABS(F37-K37)))</f>
        <v/>
      </c>
      <c r="N37" s="8">
        <f>IF(D37="","",IF(AND(H37&gt;0,H37&gt;(H37/3)*2.5),"VOL-OK","VOL-NG"))</f>
        <v/>
      </c>
      <c r="O37" s="8">
        <f>IF(D37="","",IF(D37&gt;I37,"ON","OFF"))</f>
        <v/>
      </c>
      <c r="P37" s="8">
        <f>IF(D37="","",IF(D37&lt;J37,"ON","OFF"))</f>
        <v/>
      </c>
      <c r="Q37" s="8">
        <f>IF(OR(D37="",M37&lt;=0),"",IF(AND(L37="BUY-DAY",N37="VOL-OK",P37="ON",Z37="OK",AA37&lt;&gt;"DOWN"),"BUY",IF(AND(L37="SELL-DAY",N37="VOL-OK",O37="ON",Z37="OK",AA37&lt;&gt;"UP"),"SELL","")))</f>
        <v/>
      </c>
      <c r="R37" s="13">
        <f>IF(Q37="","",D37)</f>
        <v/>
      </c>
      <c r="S37" s="13">
        <f>IF(Q37="","",IF(Q37="BUY",D37-M37*1.5,D37+M37*1.5))</f>
        <v/>
      </c>
      <c r="T37" s="13">
        <f>IF(Q37="","",IF(Q37="BUY",D37+M37*1.5,D37-M37*1.5))</f>
        <v/>
      </c>
      <c r="U37" s="13">
        <f>IF(Q37="","",IF(Q37="BUY",D37+M37*2,D37-M37*2))</f>
        <v/>
      </c>
      <c r="V37" s="13">
        <f>IF(Q37="","",IF(Q37="BUY",D37+M37*3,D37-M37*3))</f>
        <v/>
      </c>
      <c r="W37" s="8">
        <f>IF(OR(D37="",M37&lt;=0),"",IF(AND(D37&gt;G37,ABS(D37-G37)&lt;M37*0.5),"2ND","1ST"))</f>
        <v/>
      </c>
      <c r="X37" s="8">
        <f>IF(OR(D37="",M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7" s="8">
        <f>IF(OR(D37="",M37&lt;=0),"",IF(M37&gt;D37*0.05,"VOL-HIGH","VOL-NORMAL"))</f>
        <v/>
      </c>
      <c r="Z37" s="8">
        <f>IF(OR(D37="",M37&lt;=0),"",IF(AND(N37="VOL-OK",Y37="VOL-NORMAL",W37="2ND"),"OK","NG"))</f>
        <v/>
      </c>
      <c r="AA37" s="8">
        <f>IF(OR(D37="",M37&lt;=0),"",IF(AND(E37&gt;I37,F37&gt;J37),"UP",IF(AND(E37&lt;I37,F37&lt;J37),"DOWN","FLAT")))</f>
        <v/>
      </c>
    </row>
    <row r="38" ht="26" customHeight="1" s="1">
      <c r="A38" s="14">
        <f>IF(B38="","",ROW()-2)</f>
        <v/>
      </c>
      <c r="B38" s="15">
        <f>IF('StockList_MS2'!A37="","",HYPERLINK("https://kabutan.jp/stock/?code="&amp;'StockList_MS2'!A37,'StockList_MS2'!A37))</f>
        <v/>
      </c>
      <c r="C38" s="16">
        <f>IF('StockList_MS2'!A37="","",'StockList_MS2'!B37)</f>
        <v/>
      </c>
      <c r="D38" s="17" t="n"/>
      <c r="E38" s="17" t="n"/>
      <c r="F38" s="17" t="n"/>
      <c r="G38" s="17" t="n"/>
      <c r="H38" s="18" t="n"/>
      <c r="I38" s="17" t="n"/>
      <c r="J38" s="17" t="n"/>
      <c r="K38" s="17" t="n"/>
      <c r="L38" s="14">
        <f>IF(D38="","",IF(D38&gt;K38,"BUY-DAY","SELL-DAY"))</f>
        <v/>
      </c>
      <c r="M38" s="19">
        <f>IF(D38="","",MAX(E38-F38,ABS(E38-K38),ABS(F38-K38)))</f>
        <v/>
      </c>
      <c r="N38" s="14">
        <f>IF(D38="","",IF(AND(H38&gt;0,H38&gt;(H38/3)*2.5),"VOL-OK","VOL-NG"))</f>
        <v/>
      </c>
      <c r="O38" s="14">
        <f>IF(D38="","",IF(D38&gt;I38,"ON","OFF"))</f>
        <v/>
      </c>
      <c r="P38" s="14">
        <f>IF(D38="","",IF(D38&lt;J38,"ON","OFF"))</f>
        <v/>
      </c>
      <c r="Q38" s="14">
        <f>IF(OR(D38="",M38&lt;=0),"",IF(AND(L38="BUY-DAY",N38="VOL-OK",P38="ON",Z38="OK",AA38&lt;&gt;"DOWN"),"BUY",IF(AND(L38="SELL-DAY",N38="VOL-OK",O38="ON",Z38="OK",AA38&lt;&gt;"UP"),"SELL","")))</f>
        <v/>
      </c>
      <c r="R38" s="19">
        <f>IF(Q38="","",D38)</f>
        <v/>
      </c>
      <c r="S38" s="19">
        <f>IF(Q38="","",IF(Q38="BUY",D38-M38*1.5,D38+M38*1.5))</f>
        <v/>
      </c>
      <c r="T38" s="19">
        <f>IF(Q38="","",IF(Q38="BUY",D38+M38*1.5,D38-M38*1.5))</f>
        <v/>
      </c>
      <c r="U38" s="19">
        <f>IF(Q38="","",IF(Q38="BUY",D38+M38*2,D38-M38*2))</f>
        <v/>
      </c>
      <c r="V38" s="19">
        <f>IF(Q38="","",IF(Q38="BUY",D38+M38*3,D38-M38*3))</f>
        <v/>
      </c>
      <c r="W38" s="14">
        <f>IF(OR(D38="",M38&lt;=0),"",IF(AND(D38&gt;G38,ABS(D38-G38)&lt;M38*0.5),"2ND","1ST"))</f>
        <v/>
      </c>
      <c r="X38" s="14">
        <f>IF(OR(D38="",M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8" s="14">
        <f>IF(OR(D38="",M38&lt;=0),"",IF(M38&gt;D38*0.05,"VOL-HIGH","VOL-NORMAL"))</f>
        <v/>
      </c>
      <c r="Z38" s="14">
        <f>IF(OR(D38="",M38&lt;=0),"",IF(AND(N38="VOL-OK",Y38="VOL-NORMAL",W38="2ND"),"OK","NG"))</f>
        <v/>
      </c>
      <c r="AA38" s="14">
        <f>IF(OR(D38="",M38&lt;=0),"",IF(AND(E38&gt;I38,F38&gt;J38),"UP",IF(AND(E38&lt;I38,F38&lt;J38),"DOWN","FLAT")))</f>
        <v/>
      </c>
    </row>
    <row r="39" ht="26" customHeight="1" s="1">
      <c r="A39" s="8">
        <f>IF(B39="","",ROW()-2)</f>
        <v/>
      </c>
      <c r="B39" s="9">
        <f>IF('StockList_MS2'!A38="","",HYPERLINK("https://kabutan.jp/stock/?code="&amp;'StockList_MS2'!A38,'StockList_MS2'!A38))</f>
        <v/>
      </c>
      <c r="C39" s="10">
        <f>IF('StockList_MS2'!A38="","",'StockList_MS2'!B38)</f>
        <v/>
      </c>
      <c r="D39" s="11" t="n"/>
      <c r="E39" s="11" t="n"/>
      <c r="F39" s="11" t="n"/>
      <c r="G39" s="11" t="n"/>
      <c r="H39" s="12" t="n"/>
      <c r="I39" s="11" t="n"/>
      <c r="J39" s="11" t="n"/>
      <c r="K39" s="11" t="n"/>
      <c r="L39" s="8">
        <f>IF(D39="","",IF(D39&gt;K39,"BUY-DAY","SELL-DAY"))</f>
        <v/>
      </c>
      <c r="M39" s="13">
        <f>IF(D39="","",MAX(E39-F39,ABS(E39-K39),ABS(F39-K39)))</f>
        <v/>
      </c>
      <c r="N39" s="8">
        <f>IF(D39="","",IF(AND(H39&gt;0,H39&gt;(H39/3)*2.5),"VOL-OK","VOL-NG"))</f>
        <v/>
      </c>
      <c r="O39" s="8">
        <f>IF(D39="","",IF(D39&gt;I39,"ON","OFF"))</f>
        <v/>
      </c>
      <c r="P39" s="8">
        <f>IF(D39="","",IF(D39&lt;J39,"ON","OFF"))</f>
        <v/>
      </c>
      <c r="Q39" s="8">
        <f>IF(OR(D39="",M39&lt;=0),"",IF(AND(L39="BUY-DAY",N39="VOL-OK",P39="ON",Z39="OK",AA39&lt;&gt;"DOWN"),"BUY",IF(AND(L39="SELL-DAY",N39="VOL-OK",O39="ON",Z39="OK",AA39&lt;&gt;"UP"),"SELL","")))</f>
        <v/>
      </c>
      <c r="R39" s="13">
        <f>IF(Q39="","",D39)</f>
        <v/>
      </c>
      <c r="S39" s="13">
        <f>IF(Q39="","",IF(Q39="BUY",D39-M39*1.5,D39+M39*1.5))</f>
        <v/>
      </c>
      <c r="T39" s="13">
        <f>IF(Q39="","",IF(Q39="BUY",D39+M39*1.5,D39-M39*1.5))</f>
        <v/>
      </c>
      <c r="U39" s="13">
        <f>IF(Q39="","",IF(Q39="BUY",D39+M39*2,D39-M39*2))</f>
        <v/>
      </c>
      <c r="V39" s="13">
        <f>IF(Q39="","",IF(Q39="BUY",D39+M39*3,D39-M39*3))</f>
        <v/>
      </c>
      <c r="W39" s="8">
        <f>IF(OR(D39="",M39&lt;=0),"",IF(AND(D39&gt;G39,ABS(D39-G39)&lt;M39*0.5),"2ND","1ST"))</f>
        <v/>
      </c>
      <c r="X39" s="8">
        <f>IF(OR(D39="",M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9" s="8">
        <f>IF(OR(D39="",M39&lt;=0),"",IF(M39&gt;D39*0.05,"VOL-HIGH","VOL-NORMAL"))</f>
        <v/>
      </c>
      <c r="Z39" s="8">
        <f>IF(OR(D39="",M39&lt;=0),"",IF(AND(N39="VOL-OK",Y39="VOL-NORMAL",W39="2ND"),"OK","NG"))</f>
        <v/>
      </c>
      <c r="AA39" s="8">
        <f>IF(OR(D39="",M39&lt;=0),"",IF(AND(E39&gt;I39,F39&gt;J39),"UP",IF(AND(E39&lt;I39,F39&lt;J39),"DOWN","FLAT")))</f>
        <v/>
      </c>
    </row>
    <row r="40" ht="26" customHeight="1" s="1">
      <c r="A40" s="14">
        <f>IF(B40="","",ROW()-2)</f>
        <v/>
      </c>
      <c r="B40" s="15">
        <f>IF('StockList_MS2'!A39="","",HYPERLINK("https://kabutan.jp/stock/?code="&amp;'StockList_MS2'!A39,'StockList_MS2'!A39))</f>
        <v/>
      </c>
      <c r="C40" s="16">
        <f>IF('StockList_MS2'!A39="","",'StockList_MS2'!B39)</f>
        <v/>
      </c>
      <c r="D40" s="17" t="n"/>
      <c r="E40" s="17" t="n"/>
      <c r="F40" s="17" t="n"/>
      <c r="G40" s="17" t="n"/>
      <c r="H40" s="18" t="n"/>
      <c r="I40" s="17" t="n"/>
      <c r="J40" s="17" t="n"/>
      <c r="K40" s="17" t="n"/>
      <c r="L40" s="14">
        <f>IF(D40="","",IF(D40&gt;K40,"BUY-DAY","SELL-DAY"))</f>
        <v/>
      </c>
      <c r="M40" s="19">
        <f>IF(D40="","",MAX(E40-F40,ABS(E40-K40),ABS(F40-K40)))</f>
        <v/>
      </c>
      <c r="N40" s="14">
        <f>IF(D40="","",IF(AND(H40&gt;0,H40&gt;(H40/3)*2.5),"VOL-OK","VOL-NG"))</f>
        <v/>
      </c>
      <c r="O40" s="14">
        <f>IF(D40="","",IF(D40&gt;I40,"ON","OFF"))</f>
        <v/>
      </c>
      <c r="P40" s="14">
        <f>IF(D40="","",IF(D40&lt;J40,"ON","OFF"))</f>
        <v/>
      </c>
      <c r="Q40" s="14">
        <f>IF(OR(D40="",M40&lt;=0),"",IF(AND(L40="BUY-DAY",N40="VOL-OK",P40="ON",Z40="OK",AA40&lt;&gt;"DOWN"),"BUY",IF(AND(L40="SELL-DAY",N40="VOL-OK",O40="ON",Z40="OK",AA40&lt;&gt;"UP"),"SELL","")))</f>
        <v/>
      </c>
      <c r="R40" s="19">
        <f>IF(Q40="","",D40)</f>
        <v/>
      </c>
      <c r="S40" s="19">
        <f>IF(Q40="","",IF(Q40="BUY",D40-M40*1.5,D40+M40*1.5))</f>
        <v/>
      </c>
      <c r="T40" s="19">
        <f>IF(Q40="","",IF(Q40="BUY",D40+M40*1.5,D40-M40*1.5))</f>
        <v/>
      </c>
      <c r="U40" s="19">
        <f>IF(Q40="","",IF(Q40="BUY",D40+M40*2,D40-M40*2))</f>
        <v/>
      </c>
      <c r="V40" s="19">
        <f>IF(Q40="","",IF(Q40="BUY",D40+M40*3,D40-M40*3))</f>
        <v/>
      </c>
      <c r="W40" s="14">
        <f>IF(OR(D40="",M40&lt;=0),"",IF(AND(D40&gt;G40,ABS(D40-G40)&lt;M40*0.5),"2ND","1ST"))</f>
        <v/>
      </c>
      <c r="X40" s="14">
        <f>IF(OR(D40="",M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0" s="14">
        <f>IF(OR(D40="",M40&lt;=0),"",IF(M40&gt;D40*0.05,"VOL-HIGH","VOL-NORMAL"))</f>
        <v/>
      </c>
      <c r="Z40" s="14">
        <f>IF(OR(D40="",M40&lt;=0),"",IF(AND(N40="VOL-OK",Y40="VOL-NORMAL",W40="2ND"),"OK","NG"))</f>
        <v/>
      </c>
      <c r="AA40" s="14">
        <f>IF(OR(D40="",M40&lt;=0),"",IF(AND(E40&gt;I40,F40&gt;J40),"UP",IF(AND(E40&lt;I40,F40&lt;J40),"DOWN","FLAT")))</f>
        <v/>
      </c>
    </row>
    <row r="41" ht="26" customHeight="1" s="1">
      <c r="A41" s="8">
        <f>IF(B41="","",ROW()-2)</f>
        <v/>
      </c>
      <c r="B41" s="9">
        <f>IF('StockList_MS2'!A40="","",HYPERLINK("https://kabutan.jp/stock/?code="&amp;'StockList_MS2'!A40,'StockList_MS2'!A40))</f>
        <v/>
      </c>
      <c r="C41" s="10">
        <f>IF('StockList_MS2'!A40="","",'StockList_MS2'!B40)</f>
        <v/>
      </c>
      <c r="D41" s="11" t="n"/>
      <c r="E41" s="11" t="n"/>
      <c r="F41" s="11" t="n"/>
      <c r="G41" s="11" t="n"/>
      <c r="H41" s="12" t="n"/>
      <c r="I41" s="11" t="n"/>
      <c r="J41" s="11" t="n"/>
      <c r="K41" s="11" t="n"/>
      <c r="L41" s="8">
        <f>IF(D41="","",IF(D41&gt;K41,"BUY-DAY","SELL-DAY"))</f>
        <v/>
      </c>
      <c r="M41" s="13">
        <f>IF(D41="","",MAX(E41-F41,ABS(E41-K41),ABS(F41-K41)))</f>
        <v/>
      </c>
      <c r="N41" s="8">
        <f>IF(D41="","",IF(AND(H41&gt;0,H41&gt;(H41/3)*2.5),"VOL-OK","VOL-NG"))</f>
        <v/>
      </c>
      <c r="O41" s="8">
        <f>IF(D41="","",IF(D41&gt;I41,"ON","OFF"))</f>
        <v/>
      </c>
      <c r="P41" s="8">
        <f>IF(D41="","",IF(D41&lt;J41,"ON","OFF"))</f>
        <v/>
      </c>
      <c r="Q41" s="8">
        <f>IF(OR(D41="",M41&lt;=0),"",IF(AND(L41="BUY-DAY",N41="VOL-OK",P41="ON",Z41="OK",AA41&lt;&gt;"DOWN"),"BUY",IF(AND(L41="SELL-DAY",N41="VOL-OK",O41="ON",Z41="OK",AA41&lt;&gt;"UP"),"SELL","")))</f>
        <v/>
      </c>
      <c r="R41" s="13">
        <f>IF(Q41="","",D41)</f>
        <v/>
      </c>
      <c r="S41" s="13">
        <f>IF(Q41="","",IF(Q41="BUY",D41-M41*1.5,D41+M41*1.5))</f>
        <v/>
      </c>
      <c r="T41" s="13">
        <f>IF(Q41="","",IF(Q41="BUY",D41+M41*1.5,D41-M41*1.5))</f>
        <v/>
      </c>
      <c r="U41" s="13">
        <f>IF(Q41="","",IF(Q41="BUY",D41+M41*2,D41-M41*2))</f>
        <v/>
      </c>
      <c r="V41" s="13">
        <f>IF(Q41="","",IF(Q41="BUY",D41+M41*3,D41-M41*3))</f>
        <v/>
      </c>
      <c r="W41" s="8">
        <f>IF(OR(D41="",M41&lt;=0),"",IF(AND(D41&gt;G41,ABS(D41-G41)&lt;M41*0.5),"2ND","1ST"))</f>
        <v/>
      </c>
      <c r="X41" s="8">
        <f>IF(OR(D41="",M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1" s="8">
        <f>IF(OR(D41="",M41&lt;=0),"",IF(M41&gt;D41*0.05,"VOL-HIGH","VOL-NORMAL"))</f>
        <v/>
      </c>
      <c r="Z41" s="8">
        <f>IF(OR(D41="",M41&lt;=0),"",IF(AND(N41="VOL-OK",Y41="VOL-NORMAL",W41="2ND"),"OK","NG"))</f>
        <v/>
      </c>
      <c r="AA41" s="8">
        <f>IF(OR(D41="",M41&lt;=0),"",IF(AND(E41&gt;I41,F41&gt;J41),"UP",IF(AND(E41&lt;I41,F41&lt;J41),"DOWN","FLAT")))</f>
        <v/>
      </c>
    </row>
    <row r="42" ht="26" customHeight="1" s="1">
      <c r="A42" s="14">
        <f>IF(B42="","",ROW()-2)</f>
        <v/>
      </c>
      <c r="B42" s="15">
        <f>IF('StockList_MS2'!A41="","",HYPERLINK("https://kabutan.jp/stock/?code="&amp;'StockList_MS2'!A41,'StockList_MS2'!A41))</f>
        <v/>
      </c>
      <c r="C42" s="16">
        <f>IF('StockList_MS2'!A41="","",'StockList_MS2'!B41)</f>
        <v/>
      </c>
      <c r="D42" s="17" t="n"/>
      <c r="E42" s="17" t="n"/>
      <c r="F42" s="17" t="n"/>
      <c r="G42" s="17" t="n"/>
      <c r="H42" s="18" t="n"/>
      <c r="I42" s="17" t="n"/>
      <c r="J42" s="17" t="n"/>
      <c r="K42" s="17" t="n"/>
      <c r="L42" s="14">
        <f>IF(D42="","",IF(D42&gt;K42,"BUY-DAY","SELL-DAY"))</f>
        <v/>
      </c>
      <c r="M42" s="19">
        <f>IF(D42="","",MAX(E42-F42,ABS(E42-K42),ABS(F42-K42)))</f>
        <v/>
      </c>
      <c r="N42" s="14">
        <f>IF(D42="","",IF(AND(H42&gt;0,H42&gt;(H42/3)*2.5),"VOL-OK","VOL-NG"))</f>
        <v/>
      </c>
      <c r="O42" s="14">
        <f>IF(D42="","",IF(D42&gt;I42,"ON","OFF"))</f>
        <v/>
      </c>
      <c r="P42" s="14">
        <f>IF(D42="","",IF(D42&lt;J42,"ON","OFF"))</f>
        <v/>
      </c>
      <c r="Q42" s="14">
        <f>IF(OR(D42="",M42&lt;=0),"",IF(AND(L42="BUY-DAY",N42="VOL-OK",P42="ON",Z42="OK",AA42&lt;&gt;"DOWN"),"BUY",IF(AND(L42="SELL-DAY",N42="VOL-OK",O42="ON",Z42="OK",AA42&lt;&gt;"UP"),"SELL","")))</f>
        <v/>
      </c>
      <c r="R42" s="19">
        <f>IF(Q42="","",D42)</f>
        <v/>
      </c>
      <c r="S42" s="19">
        <f>IF(Q42="","",IF(Q42="BUY",D42-M42*1.5,D42+M42*1.5))</f>
        <v/>
      </c>
      <c r="T42" s="19">
        <f>IF(Q42="","",IF(Q42="BUY",D42+M42*1.5,D42-M42*1.5))</f>
        <v/>
      </c>
      <c r="U42" s="19">
        <f>IF(Q42="","",IF(Q42="BUY",D42+M42*2,D42-M42*2))</f>
        <v/>
      </c>
      <c r="V42" s="19">
        <f>IF(Q42="","",IF(Q42="BUY",D42+M42*3,D42-M42*3))</f>
        <v/>
      </c>
      <c r="W42" s="14">
        <f>IF(OR(D42="",M42&lt;=0),"",IF(AND(D42&gt;G42,ABS(D42-G42)&lt;M42*0.5),"2ND","1ST"))</f>
        <v/>
      </c>
      <c r="X42" s="14">
        <f>IF(OR(D42="",M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2" s="14">
        <f>IF(OR(D42="",M42&lt;=0),"",IF(M42&gt;D42*0.05,"VOL-HIGH","VOL-NORMAL"))</f>
        <v/>
      </c>
      <c r="Z42" s="14">
        <f>IF(OR(D42="",M42&lt;=0),"",IF(AND(N42="VOL-OK",Y42="VOL-NORMAL",W42="2ND"),"OK","NG"))</f>
        <v/>
      </c>
      <c r="AA42" s="14">
        <f>IF(OR(D42="",M42&lt;=0),"",IF(AND(E42&gt;I42,F42&gt;J42),"UP",IF(AND(E42&lt;I42,F42&lt;J42),"DOWN","FLAT")))</f>
        <v/>
      </c>
    </row>
    <row r="43" ht="26" customHeight="1" s="1">
      <c r="A43" s="8">
        <f>IF(B43="","",ROW()-2)</f>
        <v/>
      </c>
      <c r="B43" s="9">
        <f>IF('StockList_MS2'!A42="","",HYPERLINK("https://kabutan.jp/stock/?code="&amp;'StockList_MS2'!A42,'StockList_MS2'!A42))</f>
        <v/>
      </c>
      <c r="C43" s="10">
        <f>IF('StockList_MS2'!A42="","",'StockList_MS2'!B42)</f>
        <v/>
      </c>
      <c r="D43" s="11" t="n"/>
      <c r="E43" s="11" t="n"/>
      <c r="F43" s="11" t="n"/>
      <c r="G43" s="11" t="n"/>
      <c r="H43" s="12" t="n"/>
      <c r="I43" s="11" t="n"/>
      <c r="J43" s="11" t="n"/>
      <c r="K43" s="11" t="n"/>
      <c r="L43" s="8">
        <f>IF(D43="","",IF(D43&gt;K43,"BUY-DAY","SELL-DAY"))</f>
        <v/>
      </c>
      <c r="M43" s="13">
        <f>IF(D43="","",MAX(E43-F43,ABS(E43-K43),ABS(F43-K43)))</f>
        <v/>
      </c>
      <c r="N43" s="8">
        <f>IF(D43="","",IF(AND(H43&gt;0,H43&gt;(H43/3)*2.5),"VOL-OK","VOL-NG"))</f>
        <v/>
      </c>
      <c r="O43" s="8">
        <f>IF(D43="","",IF(D43&gt;I43,"ON","OFF"))</f>
        <v/>
      </c>
      <c r="P43" s="8">
        <f>IF(D43="","",IF(D43&lt;J43,"ON","OFF"))</f>
        <v/>
      </c>
      <c r="Q43" s="8">
        <f>IF(OR(D43="",M43&lt;=0),"",IF(AND(L43="BUY-DAY",N43="VOL-OK",P43="ON",Z43="OK",AA43&lt;&gt;"DOWN"),"BUY",IF(AND(L43="SELL-DAY",N43="VOL-OK",O43="ON",Z43="OK",AA43&lt;&gt;"UP"),"SELL","")))</f>
        <v/>
      </c>
      <c r="R43" s="13">
        <f>IF(Q43="","",D43)</f>
        <v/>
      </c>
      <c r="S43" s="13">
        <f>IF(Q43="","",IF(Q43="BUY",D43-M43*1.5,D43+M43*1.5))</f>
        <v/>
      </c>
      <c r="T43" s="13">
        <f>IF(Q43="","",IF(Q43="BUY",D43+M43*1.5,D43-M43*1.5))</f>
        <v/>
      </c>
      <c r="U43" s="13">
        <f>IF(Q43="","",IF(Q43="BUY",D43+M43*2,D43-M43*2))</f>
        <v/>
      </c>
      <c r="V43" s="13">
        <f>IF(Q43="","",IF(Q43="BUY",D43+M43*3,D43-M43*3))</f>
        <v/>
      </c>
      <c r="W43" s="8">
        <f>IF(OR(D43="",M43&lt;=0),"",IF(AND(D43&gt;G43,ABS(D43-G43)&lt;M43*0.5),"2ND","1ST"))</f>
        <v/>
      </c>
      <c r="X43" s="8">
        <f>IF(OR(D43="",M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3" s="8">
        <f>IF(OR(D43="",M43&lt;=0),"",IF(M43&gt;D43*0.05,"VOL-HIGH","VOL-NORMAL"))</f>
        <v/>
      </c>
      <c r="Z43" s="8">
        <f>IF(OR(D43="",M43&lt;=0),"",IF(AND(N43="VOL-OK",Y43="VOL-NORMAL",W43="2ND"),"OK","NG"))</f>
        <v/>
      </c>
      <c r="AA43" s="8">
        <f>IF(OR(D43="",M43&lt;=0),"",IF(AND(E43&gt;I43,F43&gt;J43),"UP",IF(AND(E43&lt;I43,F43&lt;J43),"DOWN","FLAT")))</f>
        <v/>
      </c>
    </row>
    <row r="44" ht="26" customHeight="1" s="1">
      <c r="A44" s="14">
        <f>IF(B44="","",ROW()-2)</f>
        <v/>
      </c>
      <c r="B44" s="15">
        <f>IF('StockList_MS2'!A43="","",HYPERLINK("https://kabutan.jp/stock/?code="&amp;'StockList_MS2'!A43,'StockList_MS2'!A43))</f>
        <v/>
      </c>
      <c r="C44" s="16">
        <f>IF('StockList_MS2'!A43="","",'StockList_MS2'!B43)</f>
        <v/>
      </c>
      <c r="D44" s="17" t="n"/>
      <c r="E44" s="17" t="n"/>
      <c r="F44" s="17" t="n"/>
      <c r="G44" s="17" t="n"/>
      <c r="H44" s="18" t="n"/>
      <c r="I44" s="17" t="n"/>
      <c r="J44" s="17" t="n"/>
      <c r="K44" s="17" t="n"/>
      <c r="L44" s="14">
        <f>IF(D44="","",IF(D44&gt;K44,"BUY-DAY","SELL-DAY"))</f>
        <v/>
      </c>
      <c r="M44" s="19">
        <f>IF(D44="","",MAX(E44-F44,ABS(E44-K44),ABS(F44-K44)))</f>
        <v/>
      </c>
      <c r="N44" s="14">
        <f>IF(D44="","",IF(AND(H44&gt;0,H44&gt;(H44/3)*2.5),"VOL-OK","VOL-NG"))</f>
        <v/>
      </c>
      <c r="O44" s="14">
        <f>IF(D44="","",IF(D44&gt;I44,"ON","OFF"))</f>
        <v/>
      </c>
      <c r="P44" s="14">
        <f>IF(D44="","",IF(D44&lt;J44,"ON","OFF"))</f>
        <v/>
      </c>
      <c r="Q44" s="14">
        <f>IF(OR(D44="",M44&lt;=0),"",IF(AND(L44="BUY-DAY",N44="VOL-OK",P44="ON",Z44="OK",AA44&lt;&gt;"DOWN"),"BUY",IF(AND(L44="SELL-DAY",N44="VOL-OK",O44="ON",Z44="OK",AA44&lt;&gt;"UP"),"SELL","")))</f>
        <v/>
      </c>
      <c r="R44" s="19">
        <f>IF(Q44="","",D44)</f>
        <v/>
      </c>
      <c r="S44" s="19">
        <f>IF(Q44="","",IF(Q44="BUY",D44-M44*1.5,D44+M44*1.5))</f>
        <v/>
      </c>
      <c r="T44" s="19">
        <f>IF(Q44="","",IF(Q44="BUY",D44+M44*1.5,D44-M44*1.5))</f>
        <v/>
      </c>
      <c r="U44" s="19">
        <f>IF(Q44="","",IF(Q44="BUY",D44+M44*2,D44-M44*2))</f>
        <v/>
      </c>
      <c r="V44" s="19">
        <f>IF(Q44="","",IF(Q44="BUY",D44+M44*3,D44-M44*3))</f>
        <v/>
      </c>
      <c r="W44" s="14">
        <f>IF(OR(D44="",M44&lt;=0),"",IF(AND(D44&gt;G44,ABS(D44-G44)&lt;M44*0.5),"2ND","1ST"))</f>
        <v/>
      </c>
      <c r="X44" s="14">
        <f>IF(OR(D44="",M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4" s="14">
        <f>IF(OR(D44="",M44&lt;=0),"",IF(M44&gt;D44*0.05,"VOL-HIGH","VOL-NORMAL"))</f>
        <v/>
      </c>
      <c r="Z44" s="14">
        <f>IF(OR(D44="",M44&lt;=0),"",IF(AND(N44="VOL-OK",Y44="VOL-NORMAL",W44="2ND"),"OK","NG"))</f>
        <v/>
      </c>
      <c r="AA44" s="14">
        <f>IF(OR(D44="",M44&lt;=0),"",IF(AND(E44&gt;I44,F44&gt;J44),"UP",IF(AND(E44&lt;I44,F44&lt;J44),"DOWN","FLAT")))</f>
        <v/>
      </c>
    </row>
    <row r="45" ht="26" customHeight="1" s="1">
      <c r="A45" s="8">
        <f>IF(B45="","",ROW()-2)</f>
        <v/>
      </c>
      <c r="B45" s="9">
        <f>IF('StockList_MS2'!A44="","",HYPERLINK("https://kabutan.jp/stock/?code="&amp;'StockList_MS2'!A44,'StockList_MS2'!A44))</f>
        <v/>
      </c>
      <c r="C45" s="10">
        <f>IF('StockList_MS2'!A44="","",'StockList_MS2'!B44)</f>
        <v/>
      </c>
      <c r="D45" s="11" t="n"/>
      <c r="E45" s="11" t="n"/>
      <c r="F45" s="11" t="n"/>
      <c r="G45" s="11" t="n"/>
      <c r="H45" s="12" t="n"/>
      <c r="I45" s="11" t="n"/>
      <c r="J45" s="11" t="n"/>
      <c r="K45" s="11" t="n"/>
      <c r="L45" s="8">
        <f>IF(D45="","",IF(D45&gt;K45,"BUY-DAY","SELL-DAY"))</f>
        <v/>
      </c>
      <c r="M45" s="13">
        <f>IF(D45="","",MAX(E45-F45,ABS(E45-K45),ABS(F45-K45)))</f>
        <v/>
      </c>
      <c r="N45" s="8">
        <f>IF(D45="","",IF(AND(H45&gt;0,H45&gt;(H45/3)*2.5),"VOL-OK","VOL-NG"))</f>
        <v/>
      </c>
      <c r="O45" s="8">
        <f>IF(D45="","",IF(D45&gt;I45,"ON","OFF"))</f>
        <v/>
      </c>
      <c r="P45" s="8">
        <f>IF(D45="","",IF(D45&lt;J45,"ON","OFF"))</f>
        <v/>
      </c>
      <c r="Q45" s="8">
        <f>IF(OR(D45="",M45&lt;=0),"",IF(AND(L45="BUY-DAY",N45="VOL-OK",P45="ON",Z45="OK",AA45&lt;&gt;"DOWN"),"BUY",IF(AND(L45="SELL-DAY",N45="VOL-OK",O45="ON",Z45="OK",AA45&lt;&gt;"UP"),"SELL","")))</f>
        <v/>
      </c>
      <c r="R45" s="13">
        <f>IF(Q45="","",D45)</f>
        <v/>
      </c>
      <c r="S45" s="13">
        <f>IF(Q45="","",IF(Q45="BUY",D45-M45*1.5,D45+M45*1.5))</f>
        <v/>
      </c>
      <c r="T45" s="13">
        <f>IF(Q45="","",IF(Q45="BUY",D45+M45*1.5,D45-M45*1.5))</f>
        <v/>
      </c>
      <c r="U45" s="13">
        <f>IF(Q45="","",IF(Q45="BUY",D45+M45*2,D45-M45*2))</f>
        <v/>
      </c>
      <c r="V45" s="13">
        <f>IF(Q45="","",IF(Q45="BUY",D45+M45*3,D45-M45*3))</f>
        <v/>
      </c>
      <c r="W45" s="8">
        <f>IF(OR(D45="",M45&lt;=0),"",IF(AND(D45&gt;G45,ABS(D45-G45)&lt;M45*0.5),"2ND","1ST"))</f>
        <v/>
      </c>
      <c r="X45" s="8">
        <f>IF(OR(D45="",M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5" s="8">
        <f>IF(OR(D45="",M45&lt;=0),"",IF(M45&gt;D45*0.05,"VOL-HIGH","VOL-NORMAL"))</f>
        <v/>
      </c>
      <c r="Z45" s="8">
        <f>IF(OR(D45="",M45&lt;=0),"",IF(AND(N45="VOL-OK",Y45="VOL-NORMAL",W45="2ND"),"OK","NG"))</f>
        <v/>
      </c>
      <c r="AA45" s="8">
        <f>IF(OR(D45="",M45&lt;=0),"",IF(AND(E45&gt;I45,F45&gt;J45),"UP",IF(AND(E45&lt;I45,F45&lt;J45),"DOWN","FLAT")))</f>
        <v/>
      </c>
    </row>
    <row r="46" ht="26" customHeight="1" s="1">
      <c r="A46" s="14">
        <f>IF(B46="","",ROW()-2)</f>
        <v/>
      </c>
      <c r="B46" s="15">
        <f>IF('StockList_MS2'!A45="","",HYPERLINK("https://kabutan.jp/stock/?code="&amp;'StockList_MS2'!A45,'StockList_MS2'!A45))</f>
        <v/>
      </c>
      <c r="C46" s="16">
        <f>IF('StockList_MS2'!A45="","",'StockList_MS2'!B45)</f>
        <v/>
      </c>
      <c r="D46" s="17" t="n"/>
      <c r="E46" s="17" t="n"/>
      <c r="F46" s="17" t="n"/>
      <c r="G46" s="17" t="n"/>
      <c r="H46" s="18" t="n"/>
      <c r="I46" s="17" t="n"/>
      <c r="J46" s="17" t="n"/>
      <c r="K46" s="17" t="n"/>
      <c r="L46" s="14">
        <f>IF(D46="","",IF(D46&gt;K46,"BUY-DAY","SELL-DAY"))</f>
        <v/>
      </c>
      <c r="M46" s="19">
        <f>IF(D46="","",MAX(E46-F46,ABS(E46-K46),ABS(F46-K46)))</f>
        <v/>
      </c>
      <c r="N46" s="14">
        <f>IF(D46="","",IF(AND(H46&gt;0,H46&gt;(H46/3)*2.5),"VOL-OK","VOL-NG"))</f>
        <v/>
      </c>
      <c r="O46" s="14">
        <f>IF(D46="","",IF(D46&gt;I46,"ON","OFF"))</f>
        <v/>
      </c>
      <c r="P46" s="14">
        <f>IF(D46="","",IF(D46&lt;J46,"ON","OFF"))</f>
        <v/>
      </c>
      <c r="Q46" s="14">
        <f>IF(OR(D46="",M46&lt;=0),"",IF(AND(L46="BUY-DAY",N46="VOL-OK",P46="ON",Z46="OK",AA46&lt;&gt;"DOWN"),"BUY",IF(AND(L46="SELL-DAY",N46="VOL-OK",O46="ON",Z46="OK",AA46&lt;&gt;"UP"),"SELL","")))</f>
        <v/>
      </c>
      <c r="R46" s="19">
        <f>IF(Q46="","",D46)</f>
        <v/>
      </c>
      <c r="S46" s="19">
        <f>IF(Q46="","",IF(Q46="BUY",D46-M46*1.5,D46+M46*1.5))</f>
        <v/>
      </c>
      <c r="T46" s="19">
        <f>IF(Q46="","",IF(Q46="BUY",D46+M46*1.5,D46-M46*1.5))</f>
        <v/>
      </c>
      <c r="U46" s="19">
        <f>IF(Q46="","",IF(Q46="BUY",D46+M46*2,D46-M46*2))</f>
        <v/>
      </c>
      <c r="V46" s="19">
        <f>IF(Q46="","",IF(Q46="BUY",D46+M46*3,D46-M46*3))</f>
        <v/>
      </c>
      <c r="W46" s="14">
        <f>IF(OR(D46="",M46&lt;=0),"",IF(AND(D46&gt;G46,ABS(D46-G46)&lt;M46*0.5),"2ND","1ST"))</f>
        <v/>
      </c>
      <c r="X46" s="14">
        <f>IF(OR(D46="",M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6" s="14">
        <f>IF(OR(D46="",M46&lt;=0),"",IF(M46&gt;D46*0.05,"VOL-HIGH","VOL-NORMAL"))</f>
        <v/>
      </c>
      <c r="Z46" s="14">
        <f>IF(OR(D46="",M46&lt;=0),"",IF(AND(N46="VOL-OK",Y46="VOL-NORMAL",W46="2ND"),"OK","NG"))</f>
        <v/>
      </c>
      <c r="AA46" s="14">
        <f>IF(OR(D46="",M46&lt;=0),"",IF(AND(E46&gt;I46,F46&gt;J46),"UP",IF(AND(E46&lt;I46,F46&lt;J46),"DOWN","FLAT")))</f>
        <v/>
      </c>
    </row>
    <row r="47" ht="26" customHeight="1" s="1">
      <c r="A47" s="8">
        <f>IF(B47="","",ROW()-2)</f>
        <v/>
      </c>
      <c r="B47" s="9">
        <f>IF('StockList_MS2'!A46="","",HYPERLINK("https://kabutan.jp/stock/?code="&amp;'StockList_MS2'!A46,'StockList_MS2'!A46))</f>
        <v/>
      </c>
      <c r="C47" s="10">
        <f>IF('StockList_MS2'!A46="","",'StockList_MS2'!B46)</f>
        <v/>
      </c>
      <c r="D47" s="11" t="n"/>
      <c r="E47" s="11" t="n"/>
      <c r="F47" s="11" t="n"/>
      <c r="G47" s="11" t="n"/>
      <c r="H47" s="12" t="n"/>
      <c r="I47" s="11" t="n"/>
      <c r="J47" s="11" t="n"/>
      <c r="K47" s="11" t="n"/>
      <c r="L47" s="8">
        <f>IF(D47="","",IF(D47&gt;K47,"BUY-DAY","SELL-DAY"))</f>
        <v/>
      </c>
      <c r="M47" s="13">
        <f>IF(D47="","",MAX(E47-F47,ABS(E47-K47),ABS(F47-K47)))</f>
        <v/>
      </c>
      <c r="N47" s="8">
        <f>IF(D47="","",IF(AND(H47&gt;0,H47&gt;(H47/3)*2.5),"VOL-OK","VOL-NG"))</f>
        <v/>
      </c>
      <c r="O47" s="8">
        <f>IF(D47="","",IF(D47&gt;I47,"ON","OFF"))</f>
        <v/>
      </c>
      <c r="P47" s="8">
        <f>IF(D47="","",IF(D47&lt;J47,"ON","OFF"))</f>
        <v/>
      </c>
      <c r="Q47" s="8">
        <f>IF(OR(D47="",M47&lt;=0),"",IF(AND(L47="BUY-DAY",N47="VOL-OK",P47="ON",Z47="OK",AA47&lt;&gt;"DOWN"),"BUY",IF(AND(L47="SELL-DAY",N47="VOL-OK",O47="ON",Z47="OK",AA47&lt;&gt;"UP"),"SELL","")))</f>
        <v/>
      </c>
      <c r="R47" s="13">
        <f>IF(Q47="","",D47)</f>
        <v/>
      </c>
      <c r="S47" s="13">
        <f>IF(Q47="","",IF(Q47="BUY",D47-M47*1.5,D47+M47*1.5))</f>
        <v/>
      </c>
      <c r="T47" s="13">
        <f>IF(Q47="","",IF(Q47="BUY",D47+M47*1.5,D47-M47*1.5))</f>
        <v/>
      </c>
      <c r="U47" s="13">
        <f>IF(Q47="","",IF(Q47="BUY",D47+M47*2,D47-M47*2))</f>
        <v/>
      </c>
      <c r="V47" s="13">
        <f>IF(Q47="","",IF(Q47="BUY",D47+M47*3,D47-M47*3))</f>
        <v/>
      </c>
      <c r="W47" s="8">
        <f>IF(OR(D47="",M47&lt;=0),"",IF(AND(D47&gt;G47,ABS(D47-G47)&lt;M47*0.5),"2ND","1ST"))</f>
        <v/>
      </c>
      <c r="X47" s="8">
        <f>IF(OR(D47="",M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7" s="8">
        <f>IF(OR(D47="",M47&lt;=0),"",IF(M47&gt;D47*0.05,"VOL-HIGH","VOL-NORMAL"))</f>
        <v/>
      </c>
      <c r="Z47" s="8">
        <f>IF(OR(D47="",M47&lt;=0),"",IF(AND(N47="VOL-OK",Y47="VOL-NORMAL",W47="2ND"),"OK","NG"))</f>
        <v/>
      </c>
      <c r="AA47" s="8">
        <f>IF(OR(D47="",M47&lt;=0),"",IF(AND(E47&gt;I47,F47&gt;J47),"UP",IF(AND(E47&lt;I47,F47&lt;J47),"DOWN","FLAT")))</f>
        <v/>
      </c>
    </row>
    <row r="48" ht="26" customHeight="1" s="1">
      <c r="A48" s="14">
        <f>IF(B48="","",ROW()-2)</f>
        <v/>
      </c>
      <c r="B48" s="15">
        <f>IF('StockList_MS2'!A47="","",HYPERLINK("https://kabutan.jp/stock/?code="&amp;'StockList_MS2'!A47,'StockList_MS2'!A47))</f>
        <v/>
      </c>
      <c r="C48" s="16">
        <f>IF('StockList_MS2'!A47="","",'StockList_MS2'!B47)</f>
        <v/>
      </c>
      <c r="D48" s="17" t="n"/>
      <c r="E48" s="17" t="n"/>
      <c r="F48" s="17" t="n"/>
      <c r="G48" s="17" t="n"/>
      <c r="H48" s="18" t="n"/>
      <c r="I48" s="17" t="n"/>
      <c r="J48" s="17" t="n"/>
      <c r="K48" s="17" t="n"/>
      <c r="L48" s="14">
        <f>IF(D48="","",IF(D48&gt;K48,"BUY-DAY","SELL-DAY"))</f>
        <v/>
      </c>
      <c r="M48" s="19">
        <f>IF(D48="","",MAX(E48-F48,ABS(E48-K48),ABS(F48-K48)))</f>
        <v/>
      </c>
      <c r="N48" s="14">
        <f>IF(D48="","",IF(AND(H48&gt;0,H48&gt;(H48/3)*2.5),"VOL-OK","VOL-NG"))</f>
        <v/>
      </c>
      <c r="O48" s="14">
        <f>IF(D48="","",IF(D48&gt;I48,"ON","OFF"))</f>
        <v/>
      </c>
      <c r="P48" s="14">
        <f>IF(D48="","",IF(D48&lt;J48,"ON","OFF"))</f>
        <v/>
      </c>
      <c r="Q48" s="14">
        <f>IF(OR(D48="",M48&lt;=0),"",IF(AND(L48="BUY-DAY",N48="VOL-OK",P48="ON",Z48="OK",AA48&lt;&gt;"DOWN"),"BUY",IF(AND(L48="SELL-DAY",N48="VOL-OK",O48="ON",Z48="OK",AA48&lt;&gt;"UP"),"SELL","")))</f>
        <v/>
      </c>
      <c r="R48" s="19">
        <f>IF(Q48="","",D48)</f>
        <v/>
      </c>
      <c r="S48" s="19">
        <f>IF(Q48="","",IF(Q48="BUY",D48-M48*1.5,D48+M48*1.5))</f>
        <v/>
      </c>
      <c r="T48" s="19">
        <f>IF(Q48="","",IF(Q48="BUY",D48+M48*1.5,D48-M48*1.5))</f>
        <v/>
      </c>
      <c r="U48" s="19">
        <f>IF(Q48="","",IF(Q48="BUY",D48+M48*2,D48-M48*2))</f>
        <v/>
      </c>
      <c r="V48" s="19">
        <f>IF(Q48="","",IF(Q48="BUY",D48+M48*3,D48-M48*3))</f>
        <v/>
      </c>
      <c r="W48" s="14">
        <f>IF(OR(D48="",M48&lt;=0),"",IF(AND(D48&gt;G48,ABS(D48-G48)&lt;M48*0.5),"2ND","1ST"))</f>
        <v/>
      </c>
      <c r="X48" s="14">
        <f>IF(OR(D48="",M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8" s="14">
        <f>IF(OR(D48="",M48&lt;=0),"",IF(M48&gt;D48*0.05,"VOL-HIGH","VOL-NORMAL"))</f>
        <v/>
      </c>
      <c r="Z48" s="14">
        <f>IF(OR(D48="",M48&lt;=0),"",IF(AND(N48="VOL-OK",Y48="VOL-NORMAL",W48="2ND"),"OK","NG"))</f>
        <v/>
      </c>
      <c r="AA48" s="14">
        <f>IF(OR(D48="",M48&lt;=0),"",IF(AND(E48&gt;I48,F48&gt;J48),"UP",IF(AND(E48&lt;I48,F48&lt;J48),"DOWN","FLAT")))</f>
        <v/>
      </c>
    </row>
    <row r="49" ht="26" customHeight="1" s="1">
      <c r="A49" s="8">
        <f>IF(B49="","",ROW()-2)</f>
        <v/>
      </c>
      <c r="B49" s="9">
        <f>IF('StockList_MS2'!A48="","",HYPERLINK("https://kabutan.jp/stock/?code="&amp;'StockList_MS2'!A48,'StockList_MS2'!A48))</f>
        <v/>
      </c>
      <c r="C49" s="10">
        <f>IF('StockList_MS2'!A48="","",'StockList_MS2'!B48)</f>
        <v/>
      </c>
      <c r="D49" s="11" t="n"/>
      <c r="E49" s="11" t="n"/>
      <c r="F49" s="11" t="n"/>
      <c r="G49" s="11" t="n"/>
      <c r="H49" s="12" t="n"/>
      <c r="I49" s="11" t="n"/>
      <c r="J49" s="11" t="n"/>
      <c r="K49" s="11" t="n"/>
      <c r="L49" s="8">
        <f>IF(D49="","",IF(D49&gt;K49,"BUY-DAY","SELL-DAY"))</f>
        <v/>
      </c>
      <c r="M49" s="13">
        <f>IF(D49="","",MAX(E49-F49,ABS(E49-K49),ABS(F49-K49)))</f>
        <v/>
      </c>
      <c r="N49" s="8">
        <f>IF(D49="","",IF(AND(H49&gt;0,H49&gt;(H49/3)*2.5),"VOL-OK","VOL-NG"))</f>
        <v/>
      </c>
      <c r="O49" s="8">
        <f>IF(D49="","",IF(D49&gt;I49,"ON","OFF"))</f>
        <v/>
      </c>
      <c r="P49" s="8">
        <f>IF(D49="","",IF(D49&lt;J49,"ON","OFF"))</f>
        <v/>
      </c>
      <c r="Q49" s="8">
        <f>IF(OR(D49="",M49&lt;=0),"",IF(AND(L49="BUY-DAY",N49="VOL-OK",P49="ON",Z49="OK",AA49&lt;&gt;"DOWN"),"BUY",IF(AND(L49="SELL-DAY",N49="VOL-OK",O49="ON",Z49="OK",AA49&lt;&gt;"UP"),"SELL","")))</f>
        <v/>
      </c>
      <c r="R49" s="13">
        <f>IF(Q49="","",D49)</f>
        <v/>
      </c>
      <c r="S49" s="13">
        <f>IF(Q49="","",IF(Q49="BUY",D49-M49*1.5,D49+M49*1.5))</f>
        <v/>
      </c>
      <c r="T49" s="13">
        <f>IF(Q49="","",IF(Q49="BUY",D49+M49*1.5,D49-M49*1.5))</f>
        <v/>
      </c>
      <c r="U49" s="13">
        <f>IF(Q49="","",IF(Q49="BUY",D49+M49*2,D49-M49*2))</f>
        <v/>
      </c>
      <c r="V49" s="13">
        <f>IF(Q49="","",IF(Q49="BUY",D49+M49*3,D49-M49*3))</f>
        <v/>
      </c>
      <c r="W49" s="8">
        <f>IF(OR(D49="",M49&lt;=0),"",IF(AND(D49&gt;G49,ABS(D49-G49)&lt;M49*0.5),"2ND","1ST"))</f>
        <v/>
      </c>
      <c r="X49" s="8">
        <f>IF(OR(D49="",M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49" s="8">
        <f>IF(OR(D49="",M49&lt;=0),"",IF(M49&gt;D49*0.05,"VOL-HIGH","VOL-NORMAL"))</f>
        <v/>
      </c>
      <c r="Z49" s="8">
        <f>IF(OR(D49="",M49&lt;=0),"",IF(AND(N49="VOL-OK",Y49="VOL-NORMAL",W49="2ND"),"OK","NG"))</f>
        <v/>
      </c>
      <c r="AA49" s="8">
        <f>IF(OR(D49="",M49&lt;=0),"",IF(AND(E49&gt;I49,F49&gt;J49),"UP",IF(AND(E49&lt;I49,F49&lt;J49),"DOWN","FLAT")))</f>
        <v/>
      </c>
    </row>
    <row r="50" ht="26" customHeight="1" s="1">
      <c r="A50" s="14">
        <f>IF(B50="","",ROW()-2)</f>
        <v/>
      </c>
      <c r="B50" s="15">
        <f>IF('StockList_MS2'!A49="","",HYPERLINK("https://kabutan.jp/stock/?code="&amp;'StockList_MS2'!A49,'StockList_MS2'!A49))</f>
        <v/>
      </c>
      <c r="C50" s="16">
        <f>IF('StockList_MS2'!A49="","",'StockList_MS2'!B49)</f>
        <v/>
      </c>
      <c r="D50" s="17" t="n"/>
      <c r="E50" s="17" t="n"/>
      <c r="F50" s="17" t="n"/>
      <c r="G50" s="17" t="n"/>
      <c r="H50" s="18" t="n"/>
      <c r="I50" s="17" t="n"/>
      <c r="J50" s="17" t="n"/>
      <c r="K50" s="17" t="n"/>
      <c r="L50" s="14">
        <f>IF(D50="","",IF(D50&gt;K50,"BUY-DAY","SELL-DAY"))</f>
        <v/>
      </c>
      <c r="M50" s="19">
        <f>IF(D50="","",MAX(E50-F50,ABS(E50-K50),ABS(F50-K50)))</f>
        <v/>
      </c>
      <c r="N50" s="14">
        <f>IF(D50="","",IF(AND(H50&gt;0,H50&gt;(H50/3)*2.5),"VOL-OK","VOL-NG"))</f>
        <v/>
      </c>
      <c r="O50" s="14">
        <f>IF(D50="","",IF(D50&gt;I50,"ON","OFF"))</f>
        <v/>
      </c>
      <c r="P50" s="14">
        <f>IF(D50="","",IF(D50&lt;J50,"ON","OFF"))</f>
        <v/>
      </c>
      <c r="Q50" s="14">
        <f>IF(OR(D50="",M50&lt;=0),"",IF(AND(L50="BUY-DAY",N50="VOL-OK",P50="ON",Z50="OK",AA50&lt;&gt;"DOWN"),"BUY",IF(AND(L50="SELL-DAY",N50="VOL-OK",O50="ON",Z50="OK",AA50&lt;&gt;"UP"),"SELL","")))</f>
        <v/>
      </c>
      <c r="R50" s="19">
        <f>IF(Q50="","",D50)</f>
        <v/>
      </c>
      <c r="S50" s="19">
        <f>IF(Q50="","",IF(Q50="BUY",D50-M50*1.5,D50+M50*1.5))</f>
        <v/>
      </c>
      <c r="T50" s="19">
        <f>IF(Q50="","",IF(Q50="BUY",D50+M50*1.5,D50-M50*1.5))</f>
        <v/>
      </c>
      <c r="U50" s="19">
        <f>IF(Q50="","",IF(Q50="BUY",D50+M50*2,D50-M50*2))</f>
        <v/>
      </c>
      <c r="V50" s="19">
        <f>IF(Q50="","",IF(Q50="BUY",D50+M50*3,D50-M50*3))</f>
        <v/>
      </c>
      <c r="W50" s="14">
        <f>IF(OR(D50="",M50&lt;=0),"",IF(AND(D50&gt;G50,ABS(D50-G50)&lt;M50*0.5),"2ND","1ST"))</f>
        <v/>
      </c>
      <c r="X50" s="14">
        <f>IF(OR(D50="",M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0" s="14">
        <f>IF(OR(D50="",M50&lt;=0),"",IF(M50&gt;D50*0.05,"VOL-HIGH","VOL-NORMAL"))</f>
        <v/>
      </c>
      <c r="Z50" s="14">
        <f>IF(OR(D50="",M50&lt;=0),"",IF(AND(N50="VOL-OK",Y50="VOL-NORMAL",W50="2ND"),"OK","NG"))</f>
        <v/>
      </c>
      <c r="AA50" s="14">
        <f>IF(OR(D50="",M50&lt;=0),"",IF(AND(E50&gt;I50,F50&gt;J50),"UP",IF(AND(E50&lt;I50,F50&lt;J50),"DOWN","FLAT")))</f>
        <v/>
      </c>
    </row>
    <row r="51" ht="26" customHeight="1" s="1">
      <c r="A51" s="8">
        <f>IF(B51="","",ROW()-2)</f>
        <v/>
      </c>
      <c r="B51" s="9">
        <f>IF('StockList_MS2'!A50="","",HYPERLINK("https://kabutan.jp/stock/?code="&amp;'StockList_MS2'!A50,'StockList_MS2'!A50))</f>
        <v/>
      </c>
      <c r="C51" s="10">
        <f>IF('StockList_MS2'!A50="","",'StockList_MS2'!B50)</f>
        <v/>
      </c>
      <c r="D51" s="11" t="n"/>
      <c r="E51" s="11" t="n"/>
      <c r="F51" s="11" t="n"/>
      <c r="G51" s="11" t="n"/>
      <c r="H51" s="12" t="n"/>
      <c r="I51" s="11" t="n"/>
      <c r="J51" s="11" t="n"/>
      <c r="K51" s="11" t="n"/>
      <c r="L51" s="8">
        <f>IF(D51="","",IF(D51&gt;K51,"BUY-DAY","SELL-DAY"))</f>
        <v/>
      </c>
      <c r="M51" s="13">
        <f>IF(D51="","",MAX(E51-F51,ABS(E51-K51),ABS(F51-K51)))</f>
        <v/>
      </c>
      <c r="N51" s="8">
        <f>IF(D51="","",IF(AND(H51&gt;0,H51&gt;(H51/3)*2.5),"VOL-OK","VOL-NG"))</f>
        <v/>
      </c>
      <c r="O51" s="8">
        <f>IF(D51="","",IF(D51&gt;I51,"ON","OFF"))</f>
        <v/>
      </c>
      <c r="P51" s="8">
        <f>IF(D51="","",IF(D51&lt;J51,"ON","OFF"))</f>
        <v/>
      </c>
      <c r="Q51" s="8">
        <f>IF(OR(D51="",M51&lt;=0),"",IF(AND(L51="BUY-DAY",N51="VOL-OK",P51="ON",Z51="OK",AA51&lt;&gt;"DOWN"),"BUY",IF(AND(L51="SELL-DAY",N51="VOL-OK",O51="ON",Z51="OK",AA51&lt;&gt;"UP"),"SELL","")))</f>
        <v/>
      </c>
      <c r="R51" s="13">
        <f>IF(Q51="","",D51)</f>
        <v/>
      </c>
      <c r="S51" s="13">
        <f>IF(Q51="","",IF(Q51="BUY",D51-M51*1.5,D51+M51*1.5))</f>
        <v/>
      </c>
      <c r="T51" s="13">
        <f>IF(Q51="","",IF(Q51="BUY",D51+M51*1.5,D51-M51*1.5))</f>
        <v/>
      </c>
      <c r="U51" s="13">
        <f>IF(Q51="","",IF(Q51="BUY",D51+M51*2,D51-M51*2))</f>
        <v/>
      </c>
      <c r="V51" s="13">
        <f>IF(Q51="","",IF(Q51="BUY",D51+M51*3,D51-M51*3))</f>
        <v/>
      </c>
      <c r="W51" s="8">
        <f>IF(OR(D51="",M51&lt;=0),"",IF(AND(D51&gt;G51,ABS(D51-G51)&lt;M51*0.5),"2ND","1ST"))</f>
        <v/>
      </c>
      <c r="X51" s="8">
        <f>IF(OR(D51="",M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1" s="8">
        <f>IF(OR(D51="",M51&lt;=0),"",IF(M51&gt;D51*0.05,"VOL-HIGH","VOL-NORMAL"))</f>
        <v/>
      </c>
      <c r="Z51" s="8">
        <f>IF(OR(D51="",M51&lt;=0),"",IF(AND(N51="VOL-OK",Y51="VOL-NORMAL",W51="2ND"),"OK","NG"))</f>
        <v/>
      </c>
      <c r="AA51" s="8">
        <f>IF(OR(D51="",M51&lt;=0),"",IF(AND(E51&gt;I51,F51&gt;J51),"UP",IF(AND(E51&lt;I51,F51&lt;J51),"DOWN","FLAT")))</f>
        <v/>
      </c>
    </row>
    <row r="52" ht="26" customHeight="1" s="1">
      <c r="A52" s="14">
        <f>IF(B52="","",ROW()-2)</f>
        <v/>
      </c>
      <c r="B52" s="15">
        <f>IF('StockList_MS2'!A51="","",HYPERLINK("https://kabutan.jp/stock/?code="&amp;'StockList_MS2'!A51,'StockList_MS2'!A51))</f>
        <v/>
      </c>
      <c r="C52" s="16">
        <f>IF('StockList_MS2'!A51="","",'StockList_MS2'!B51)</f>
        <v/>
      </c>
      <c r="D52" s="17" t="n"/>
      <c r="E52" s="17" t="n"/>
      <c r="F52" s="17" t="n"/>
      <c r="G52" s="17" t="n"/>
      <c r="H52" s="18" t="n"/>
      <c r="I52" s="17" t="n"/>
      <c r="J52" s="17" t="n"/>
      <c r="K52" s="17" t="n"/>
      <c r="L52" s="14">
        <f>IF(D52="","",IF(D52&gt;K52,"BUY-DAY","SELL-DAY"))</f>
        <v/>
      </c>
      <c r="M52" s="19">
        <f>IF(D52="","",MAX(E52-F52,ABS(E52-K52),ABS(F52-K52)))</f>
        <v/>
      </c>
      <c r="N52" s="14">
        <f>IF(D52="","",IF(AND(H52&gt;0,H52&gt;(H52/3)*2.5),"VOL-OK","VOL-NG"))</f>
        <v/>
      </c>
      <c r="O52" s="14">
        <f>IF(D52="","",IF(D52&gt;I52,"ON","OFF"))</f>
        <v/>
      </c>
      <c r="P52" s="14">
        <f>IF(D52="","",IF(D52&lt;J52,"ON","OFF"))</f>
        <v/>
      </c>
      <c r="Q52" s="14">
        <f>IF(OR(D52="",M52&lt;=0),"",IF(AND(L52="BUY-DAY",N52="VOL-OK",P52="ON",Z52="OK",AA52&lt;&gt;"DOWN"),"BUY",IF(AND(L52="SELL-DAY",N52="VOL-OK",O52="ON",Z52="OK",AA52&lt;&gt;"UP"),"SELL","")))</f>
        <v/>
      </c>
      <c r="R52" s="19">
        <f>IF(Q52="","",D52)</f>
        <v/>
      </c>
      <c r="S52" s="19">
        <f>IF(Q52="","",IF(Q52="BUY",D52-M52*1.5,D52+M52*1.5))</f>
        <v/>
      </c>
      <c r="T52" s="19">
        <f>IF(Q52="","",IF(Q52="BUY",D52+M52*1.5,D52-M52*1.5))</f>
        <v/>
      </c>
      <c r="U52" s="19">
        <f>IF(Q52="","",IF(Q52="BUY",D52+M52*2,D52-M52*2))</f>
        <v/>
      </c>
      <c r="V52" s="19">
        <f>IF(Q52="","",IF(Q52="BUY",D52+M52*3,D52-M52*3))</f>
        <v/>
      </c>
      <c r="W52" s="14">
        <f>IF(OR(D52="",M52&lt;=0),"",IF(AND(D52&gt;G52,ABS(D52-G52)&lt;M52*0.5),"2ND","1ST"))</f>
        <v/>
      </c>
      <c r="X52" s="14">
        <f>IF(OR(D52="",M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2" s="14">
        <f>IF(OR(D52="",M52&lt;=0),"",IF(M52&gt;D52*0.05,"VOL-HIGH","VOL-NORMAL"))</f>
        <v/>
      </c>
      <c r="Z52" s="14">
        <f>IF(OR(D52="",M52&lt;=0),"",IF(AND(N52="VOL-OK",Y52="VOL-NORMAL",W52="2ND"),"OK","NG"))</f>
        <v/>
      </c>
      <c r="AA52" s="14">
        <f>IF(OR(D52="",M52&lt;=0),"",IF(AND(E52&gt;I52,F52&gt;J52),"UP",IF(AND(E52&lt;I52,F52&lt;J52),"DOWN","FLAT")))</f>
        <v/>
      </c>
    </row>
    <row r="53" ht="26" customHeight="1" s="1">
      <c r="A53" s="8">
        <f>IF(B53="","",ROW()-2)</f>
        <v/>
      </c>
      <c r="B53" s="9">
        <f>IF('StockList_MS2'!A52="","",HYPERLINK("https://kabutan.jp/stock/?code="&amp;'StockList_MS2'!A52,'StockList_MS2'!A52))</f>
        <v/>
      </c>
      <c r="C53" s="10">
        <f>IF('StockList_MS2'!A52="","",'StockList_MS2'!B52)</f>
        <v/>
      </c>
      <c r="D53" s="11" t="n"/>
      <c r="E53" s="11" t="n"/>
      <c r="F53" s="11" t="n"/>
      <c r="G53" s="11" t="n"/>
      <c r="H53" s="12" t="n"/>
      <c r="I53" s="11" t="n"/>
      <c r="J53" s="11" t="n"/>
      <c r="K53" s="11" t="n"/>
      <c r="L53" s="8">
        <f>IF(D53="","",IF(D53&gt;K53,"BUY-DAY","SELL-DAY"))</f>
        <v/>
      </c>
      <c r="M53" s="13">
        <f>IF(D53="","",MAX(E53-F53,ABS(E53-K53),ABS(F53-K53)))</f>
        <v/>
      </c>
      <c r="N53" s="8">
        <f>IF(D53="","",IF(AND(H53&gt;0,H53&gt;(H53/3)*2.5),"VOL-OK","VOL-NG"))</f>
        <v/>
      </c>
      <c r="O53" s="8">
        <f>IF(D53="","",IF(D53&gt;I53,"ON","OFF"))</f>
        <v/>
      </c>
      <c r="P53" s="8">
        <f>IF(D53="","",IF(D53&lt;J53,"ON","OFF"))</f>
        <v/>
      </c>
      <c r="Q53" s="8">
        <f>IF(OR(D53="",M53&lt;=0),"",IF(AND(L53="BUY-DAY",N53="VOL-OK",P53="ON",Z53="OK",AA53&lt;&gt;"DOWN"),"BUY",IF(AND(L53="SELL-DAY",N53="VOL-OK",O53="ON",Z53="OK",AA53&lt;&gt;"UP"),"SELL","")))</f>
        <v/>
      </c>
      <c r="R53" s="13">
        <f>IF(Q53="","",D53)</f>
        <v/>
      </c>
      <c r="S53" s="13">
        <f>IF(Q53="","",IF(Q53="BUY",D53-M53*1.5,D53+M53*1.5))</f>
        <v/>
      </c>
      <c r="T53" s="13">
        <f>IF(Q53="","",IF(Q53="BUY",D53+M53*1.5,D53-M53*1.5))</f>
        <v/>
      </c>
      <c r="U53" s="13">
        <f>IF(Q53="","",IF(Q53="BUY",D53+M53*2,D53-M53*2))</f>
        <v/>
      </c>
      <c r="V53" s="13">
        <f>IF(Q53="","",IF(Q53="BUY",D53+M53*3,D53-M53*3))</f>
        <v/>
      </c>
      <c r="W53" s="8">
        <f>IF(OR(D53="",M53&lt;=0),"",IF(AND(D53&gt;G53,ABS(D53-G53)&lt;M53*0.5),"2ND","1ST"))</f>
        <v/>
      </c>
      <c r="X53" s="8">
        <f>IF(OR(D53="",M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3" s="8">
        <f>IF(OR(D53="",M53&lt;=0),"",IF(M53&gt;D53*0.05,"VOL-HIGH","VOL-NORMAL"))</f>
        <v/>
      </c>
      <c r="Z53" s="8">
        <f>IF(OR(D53="",M53&lt;=0),"",IF(AND(N53="VOL-OK",Y53="VOL-NORMAL",W53="2ND"),"OK","NG"))</f>
        <v/>
      </c>
      <c r="AA53" s="8">
        <f>IF(OR(D53="",M53&lt;=0),"",IF(AND(E53&gt;I53,F53&gt;J53),"UP",IF(AND(E53&lt;I53,F53&lt;J53),"DOWN","FLAT")))</f>
        <v/>
      </c>
    </row>
    <row r="54" ht="26" customHeight="1" s="1">
      <c r="A54" s="14">
        <f>IF(B54="","",ROW()-2)</f>
        <v/>
      </c>
      <c r="B54" s="15">
        <f>IF('StockList_MS2'!A53="","",HYPERLINK("https://kabutan.jp/stock/?code="&amp;'StockList_MS2'!A53,'StockList_MS2'!A53))</f>
        <v/>
      </c>
      <c r="C54" s="16">
        <f>IF('StockList_MS2'!A53="","",'StockList_MS2'!B53)</f>
        <v/>
      </c>
      <c r="D54" s="17" t="n"/>
      <c r="E54" s="17" t="n"/>
      <c r="F54" s="17" t="n"/>
      <c r="G54" s="17" t="n"/>
      <c r="H54" s="18" t="n"/>
      <c r="I54" s="17" t="n"/>
      <c r="J54" s="17" t="n"/>
      <c r="K54" s="17" t="n"/>
      <c r="L54" s="14">
        <f>IF(D54="","",IF(D54&gt;K54,"BUY-DAY","SELL-DAY"))</f>
        <v/>
      </c>
      <c r="M54" s="19">
        <f>IF(D54="","",MAX(E54-F54,ABS(E54-K54),ABS(F54-K54)))</f>
        <v/>
      </c>
      <c r="N54" s="14">
        <f>IF(D54="","",IF(AND(H54&gt;0,H54&gt;(H54/3)*2.5),"VOL-OK","VOL-NG"))</f>
        <v/>
      </c>
      <c r="O54" s="14">
        <f>IF(D54="","",IF(D54&gt;I54,"ON","OFF"))</f>
        <v/>
      </c>
      <c r="P54" s="14">
        <f>IF(D54="","",IF(D54&lt;J54,"ON","OFF"))</f>
        <v/>
      </c>
      <c r="Q54" s="14">
        <f>IF(OR(D54="",M54&lt;=0),"",IF(AND(L54="BUY-DAY",N54="VOL-OK",P54="ON",Z54="OK",AA54&lt;&gt;"DOWN"),"BUY",IF(AND(L54="SELL-DAY",N54="VOL-OK",O54="ON",Z54="OK",AA54&lt;&gt;"UP"),"SELL","")))</f>
        <v/>
      </c>
      <c r="R54" s="19">
        <f>IF(Q54="","",D54)</f>
        <v/>
      </c>
      <c r="S54" s="19">
        <f>IF(Q54="","",IF(Q54="BUY",D54-M54*1.5,D54+M54*1.5))</f>
        <v/>
      </c>
      <c r="T54" s="19">
        <f>IF(Q54="","",IF(Q54="BUY",D54+M54*1.5,D54-M54*1.5))</f>
        <v/>
      </c>
      <c r="U54" s="19">
        <f>IF(Q54="","",IF(Q54="BUY",D54+M54*2,D54-M54*2))</f>
        <v/>
      </c>
      <c r="V54" s="19">
        <f>IF(Q54="","",IF(Q54="BUY",D54+M54*3,D54-M54*3))</f>
        <v/>
      </c>
      <c r="W54" s="14">
        <f>IF(OR(D54="",M54&lt;=0),"",IF(AND(D54&gt;G54,ABS(D54-G54)&lt;M54*0.5),"2ND","1ST"))</f>
        <v/>
      </c>
      <c r="X54" s="14">
        <f>IF(OR(D54="",M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4" s="14">
        <f>IF(OR(D54="",M54&lt;=0),"",IF(M54&gt;D54*0.05,"VOL-HIGH","VOL-NORMAL"))</f>
        <v/>
      </c>
      <c r="Z54" s="14">
        <f>IF(OR(D54="",M54&lt;=0),"",IF(AND(N54="VOL-OK",Y54="VOL-NORMAL",W54="2ND"),"OK","NG"))</f>
        <v/>
      </c>
      <c r="AA54" s="14">
        <f>IF(OR(D54="",M54&lt;=0),"",IF(AND(E54&gt;I54,F54&gt;J54),"UP",IF(AND(E54&lt;I54,F54&lt;J54),"DOWN","FLAT")))</f>
        <v/>
      </c>
    </row>
    <row r="55" ht="26" customHeight="1" s="1">
      <c r="A55" s="8">
        <f>IF(B55="","",ROW()-2)</f>
        <v/>
      </c>
      <c r="B55" s="9">
        <f>IF('StockList_MS2'!A54="","",HYPERLINK("https://kabutan.jp/stock/?code="&amp;'StockList_MS2'!A54,'StockList_MS2'!A54))</f>
        <v/>
      </c>
      <c r="C55" s="10">
        <f>IF('StockList_MS2'!A54="","",'StockList_MS2'!B54)</f>
        <v/>
      </c>
      <c r="D55" s="11" t="n"/>
      <c r="E55" s="11" t="n"/>
      <c r="F55" s="11" t="n"/>
      <c r="G55" s="11" t="n"/>
      <c r="H55" s="12" t="n"/>
      <c r="I55" s="11" t="n"/>
      <c r="J55" s="11" t="n"/>
      <c r="K55" s="11" t="n"/>
      <c r="L55" s="8">
        <f>IF(D55="","",IF(D55&gt;K55,"BUY-DAY","SELL-DAY"))</f>
        <v/>
      </c>
      <c r="M55" s="13">
        <f>IF(D55="","",MAX(E55-F55,ABS(E55-K55),ABS(F55-K55)))</f>
        <v/>
      </c>
      <c r="N55" s="8">
        <f>IF(D55="","",IF(AND(H55&gt;0,H55&gt;(H55/3)*2.5),"VOL-OK","VOL-NG"))</f>
        <v/>
      </c>
      <c r="O55" s="8">
        <f>IF(D55="","",IF(D55&gt;I55,"ON","OFF"))</f>
        <v/>
      </c>
      <c r="P55" s="8">
        <f>IF(D55="","",IF(D55&lt;J55,"ON","OFF"))</f>
        <v/>
      </c>
      <c r="Q55" s="8">
        <f>IF(OR(D55="",M55&lt;=0),"",IF(AND(L55="BUY-DAY",N55="VOL-OK",P55="ON",Z55="OK",AA55&lt;&gt;"DOWN"),"BUY",IF(AND(L55="SELL-DAY",N55="VOL-OK",O55="ON",Z55="OK",AA55&lt;&gt;"UP"),"SELL","")))</f>
        <v/>
      </c>
      <c r="R55" s="13">
        <f>IF(Q55="","",D55)</f>
        <v/>
      </c>
      <c r="S55" s="13">
        <f>IF(Q55="","",IF(Q55="BUY",D55-M55*1.5,D55+M55*1.5))</f>
        <v/>
      </c>
      <c r="T55" s="13">
        <f>IF(Q55="","",IF(Q55="BUY",D55+M55*1.5,D55-M55*1.5))</f>
        <v/>
      </c>
      <c r="U55" s="13">
        <f>IF(Q55="","",IF(Q55="BUY",D55+M55*2,D55-M55*2))</f>
        <v/>
      </c>
      <c r="V55" s="13">
        <f>IF(Q55="","",IF(Q55="BUY",D55+M55*3,D55-M55*3))</f>
        <v/>
      </c>
      <c r="W55" s="8">
        <f>IF(OR(D55="",M55&lt;=0),"",IF(AND(D55&gt;G55,ABS(D55-G55)&lt;M55*0.5),"2ND","1ST"))</f>
        <v/>
      </c>
      <c r="X55" s="8">
        <f>IF(OR(D55="",M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5" s="8">
        <f>IF(OR(D55="",M55&lt;=0),"",IF(M55&gt;D55*0.05,"VOL-HIGH","VOL-NORMAL"))</f>
        <v/>
      </c>
      <c r="Z55" s="8">
        <f>IF(OR(D55="",M55&lt;=0),"",IF(AND(N55="VOL-OK",Y55="VOL-NORMAL",W55="2ND"),"OK","NG"))</f>
        <v/>
      </c>
      <c r="AA55" s="8">
        <f>IF(OR(D55="",M55&lt;=0),"",IF(AND(E55&gt;I55,F55&gt;J55),"UP",IF(AND(E55&lt;I55,F55&lt;J55),"DOWN","FLAT")))</f>
        <v/>
      </c>
    </row>
    <row r="56" ht="26" customHeight="1" s="1">
      <c r="A56" s="14">
        <f>IF(B56="","",ROW()-2)</f>
        <v/>
      </c>
      <c r="B56" s="15">
        <f>IF('StockList_MS2'!A55="","",HYPERLINK("https://kabutan.jp/stock/?code="&amp;'StockList_MS2'!A55,'StockList_MS2'!A55))</f>
        <v/>
      </c>
      <c r="C56" s="16">
        <f>IF('StockList_MS2'!A55="","",'StockList_MS2'!B55)</f>
        <v/>
      </c>
      <c r="D56" s="17" t="n"/>
      <c r="E56" s="17" t="n"/>
      <c r="F56" s="17" t="n"/>
      <c r="G56" s="17" t="n"/>
      <c r="H56" s="18" t="n"/>
      <c r="I56" s="17" t="n"/>
      <c r="J56" s="17" t="n"/>
      <c r="K56" s="17" t="n"/>
      <c r="L56" s="14">
        <f>IF(D56="","",IF(D56&gt;K56,"BUY-DAY","SELL-DAY"))</f>
        <v/>
      </c>
      <c r="M56" s="19">
        <f>IF(D56="","",MAX(E56-F56,ABS(E56-K56),ABS(F56-K56)))</f>
        <v/>
      </c>
      <c r="N56" s="14">
        <f>IF(D56="","",IF(AND(H56&gt;0,H56&gt;(H56/3)*2.5),"VOL-OK","VOL-NG"))</f>
        <v/>
      </c>
      <c r="O56" s="14">
        <f>IF(D56="","",IF(D56&gt;I56,"ON","OFF"))</f>
        <v/>
      </c>
      <c r="P56" s="14">
        <f>IF(D56="","",IF(D56&lt;J56,"ON","OFF"))</f>
        <v/>
      </c>
      <c r="Q56" s="14">
        <f>IF(OR(D56="",M56&lt;=0),"",IF(AND(L56="BUY-DAY",N56="VOL-OK",P56="ON",Z56="OK",AA56&lt;&gt;"DOWN"),"BUY",IF(AND(L56="SELL-DAY",N56="VOL-OK",O56="ON",Z56="OK",AA56&lt;&gt;"UP"),"SELL","")))</f>
        <v/>
      </c>
      <c r="R56" s="19">
        <f>IF(Q56="","",D56)</f>
        <v/>
      </c>
      <c r="S56" s="19">
        <f>IF(Q56="","",IF(Q56="BUY",D56-M56*1.5,D56+M56*1.5))</f>
        <v/>
      </c>
      <c r="T56" s="19">
        <f>IF(Q56="","",IF(Q56="BUY",D56+M56*1.5,D56-M56*1.5))</f>
        <v/>
      </c>
      <c r="U56" s="19">
        <f>IF(Q56="","",IF(Q56="BUY",D56+M56*2,D56-M56*2))</f>
        <v/>
      </c>
      <c r="V56" s="19">
        <f>IF(Q56="","",IF(Q56="BUY",D56+M56*3,D56-M56*3))</f>
        <v/>
      </c>
      <c r="W56" s="14">
        <f>IF(OR(D56="",M56&lt;=0),"",IF(AND(D56&gt;G56,ABS(D56-G56)&lt;M56*0.5),"2ND","1ST"))</f>
        <v/>
      </c>
      <c r="X56" s="14">
        <f>IF(OR(D56="",M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6" s="14">
        <f>IF(OR(D56="",M56&lt;=0),"",IF(M56&gt;D56*0.05,"VOL-HIGH","VOL-NORMAL"))</f>
        <v/>
      </c>
      <c r="Z56" s="14">
        <f>IF(OR(D56="",M56&lt;=0),"",IF(AND(N56="VOL-OK",Y56="VOL-NORMAL",W56="2ND"),"OK","NG"))</f>
        <v/>
      </c>
      <c r="AA56" s="14">
        <f>IF(OR(D56="",M56&lt;=0),"",IF(AND(E56&gt;I56,F56&gt;J56),"UP",IF(AND(E56&lt;I56,F56&lt;J56),"DOWN","FLAT")))</f>
        <v/>
      </c>
    </row>
    <row r="57" ht="26" customHeight="1" s="1">
      <c r="A57" s="8">
        <f>IF(B57="","",ROW()-2)</f>
        <v/>
      </c>
      <c r="B57" s="9">
        <f>IF('StockList_MS2'!A56="","",HYPERLINK("https://kabutan.jp/stock/?code="&amp;'StockList_MS2'!A56,'StockList_MS2'!A56))</f>
        <v/>
      </c>
      <c r="C57" s="10">
        <f>IF('StockList_MS2'!A56="","",'StockList_MS2'!B56)</f>
        <v/>
      </c>
      <c r="D57" s="11" t="n"/>
      <c r="E57" s="11" t="n"/>
      <c r="F57" s="11" t="n"/>
      <c r="G57" s="11" t="n"/>
      <c r="H57" s="12" t="n"/>
      <c r="I57" s="11" t="n"/>
      <c r="J57" s="11" t="n"/>
      <c r="K57" s="11" t="n"/>
      <c r="L57" s="8">
        <f>IF(D57="","",IF(D57&gt;K57,"BUY-DAY","SELL-DAY"))</f>
        <v/>
      </c>
      <c r="M57" s="13">
        <f>IF(D57="","",MAX(E57-F57,ABS(E57-K57),ABS(F57-K57)))</f>
        <v/>
      </c>
      <c r="N57" s="8">
        <f>IF(D57="","",IF(AND(H57&gt;0,H57&gt;(H57/3)*2.5),"VOL-OK","VOL-NG"))</f>
        <v/>
      </c>
      <c r="O57" s="8">
        <f>IF(D57="","",IF(D57&gt;I57,"ON","OFF"))</f>
        <v/>
      </c>
      <c r="P57" s="8">
        <f>IF(D57="","",IF(D57&lt;J57,"ON","OFF"))</f>
        <v/>
      </c>
      <c r="Q57" s="8">
        <f>IF(OR(D57="",M57&lt;=0),"",IF(AND(L57="BUY-DAY",N57="VOL-OK",P57="ON",Z57="OK",AA57&lt;&gt;"DOWN"),"BUY",IF(AND(L57="SELL-DAY",N57="VOL-OK",O57="ON",Z57="OK",AA57&lt;&gt;"UP"),"SELL","")))</f>
        <v/>
      </c>
      <c r="R57" s="13">
        <f>IF(Q57="","",D57)</f>
        <v/>
      </c>
      <c r="S57" s="13">
        <f>IF(Q57="","",IF(Q57="BUY",D57-M57*1.5,D57+M57*1.5))</f>
        <v/>
      </c>
      <c r="T57" s="13">
        <f>IF(Q57="","",IF(Q57="BUY",D57+M57*1.5,D57-M57*1.5))</f>
        <v/>
      </c>
      <c r="U57" s="13">
        <f>IF(Q57="","",IF(Q57="BUY",D57+M57*2,D57-M57*2))</f>
        <v/>
      </c>
      <c r="V57" s="13">
        <f>IF(Q57="","",IF(Q57="BUY",D57+M57*3,D57-M57*3))</f>
        <v/>
      </c>
      <c r="W57" s="8">
        <f>IF(OR(D57="",M57&lt;=0),"",IF(AND(D57&gt;G57,ABS(D57-G57)&lt;M57*0.5),"2ND","1ST"))</f>
        <v/>
      </c>
      <c r="X57" s="8">
        <f>IF(OR(D57="",M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7" s="8">
        <f>IF(OR(D57="",M57&lt;=0),"",IF(M57&gt;D57*0.05,"VOL-HIGH","VOL-NORMAL"))</f>
        <v/>
      </c>
      <c r="Z57" s="8">
        <f>IF(OR(D57="",M57&lt;=0),"",IF(AND(N57="VOL-OK",Y57="VOL-NORMAL",W57="2ND"),"OK","NG"))</f>
        <v/>
      </c>
      <c r="AA57" s="8">
        <f>IF(OR(D57="",M57&lt;=0),"",IF(AND(E57&gt;I57,F57&gt;J57),"UP",IF(AND(E57&lt;I57,F57&lt;J57),"DOWN","FLAT")))</f>
        <v/>
      </c>
    </row>
    <row r="58" ht="26" customHeight="1" s="1">
      <c r="A58" s="14">
        <f>IF(B58="","",ROW()-2)</f>
        <v/>
      </c>
      <c r="B58" s="15">
        <f>IF('StockList_MS2'!A57="","",HYPERLINK("https://kabutan.jp/stock/?code="&amp;'StockList_MS2'!A57,'StockList_MS2'!A57))</f>
        <v/>
      </c>
      <c r="C58" s="16">
        <f>IF('StockList_MS2'!A57="","",'StockList_MS2'!B57)</f>
        <v/>
      </c>
      <c r="D58" s="17" t="n"/>
      <c r="E58" s="17" t="n"/>
      <c r="F58" s="17" t="n"/>
      <c r="G58" s="17" t="n"/>
      <c r="H58" s="18" t="n"/>
      <c r="I58" s="17" t="n"/>
      <c r="J58" s="17" t="n"/>
      <c r="K58" s="17" t="n"/>
      <c r="L58" s="14">
        <f>IF(D58="","",IF(D58&gt;K58,"BUY-DAY","SELL-DAY"))</f>
        <v/>
      </c>
      <c r="M58" s="19">
        <f>IF(D58="","",MAX(E58-F58,ABS(E58-K58),ABS(F58-K58)))</f>
        <v/>
      </c>
      <c r="N58" s="14">
        <f>IF(D58="","",IF(AND(H58&gt;0,H58&gt;(H58/3)*2.5),"VOL-OK","VOL-NG"))</f>
        <v/>
      </c>
      <c r="O58" s="14">
        <f>IF(D58="","",IF(D58&gt;I58,"ON","OFF"))</f>
        <v/>
      </c>
      <c r="P58" s="14">
        <f>IF(D58="","",IF(D58&lt;J58,"ON","OFF"))</f>
        <v/>
      </c>
      <c r="Q58" s="14">
        <f>IF(OR(D58="",M58&lt;=0),"",IF(AND(L58="BUY-DAY",N58="VOL-OK",P58="ON",Z58="OK",AA58&lt;&gt;"DOWN"),"BUY",IF(AND(L58="SELL-DAY",N58="VOL-OK",O58="ON",Z58="OK",AA58&lt;&gt;"UP"),"SELL","")))</f>
        <v/>
      </c>
      <c r="R58" s="19">
        <f>IF(Q58="","",D58)</f>
        <v/>
      </c>
      <c r="S58" s="19">
        <f>IF(Q58="","",IF(Q58="BUY",D58-M58*1.5,D58+M58*1.5))</f>
        <v/>
      </c>
      <c r="T58" s="19">
        <f>IF(Q58="","",IF(Q58="BUY",D58+M58*1.5,D58-M58*1.5))</f>
        <v/>
      </c>
      <c r="U58" s="19">
        <f>IF(Q58="","",IF(Q58="BUY",D58+M58*2,D58-M58*2))</f>
        <v/>
      </c>
      <c r="V58" s="19">
        <f>IF(Q58="","",IF(Q58="BUY",D58+M58*3,D58-M58*3))</f>
        <v/>
      </c>
      <c r="W58" s="14">
        <f>IF(OR(D58="",M58&lt;=0),"",IF(AND(D58&gt;G58,ABS(D58-G58)&lt;M58*0.5),"2ND","1ST"))</f>
        <v/>
      </c>
      <c r="X58" s="14">
        <f>IF(OR(D58="",M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8" s="14">
        <f>IF(OR(D58="",M58&lt;=0),"",IF(M58&gt;D58*0.05,"VOL-HIGH","VOL-NORMAL"))</f>
        <v/>
      </c>
      <c r="Z58" s="14">
        <f>IF(OR(D58="",M58&lt;=0),"",IF(AND(N58="VOL-OK",Y58="VOL-NORMAL",W58="2ND"),"OK","NG"))</f>
        <v/>
      </c>
      <c r="AA58" s="14">
        <f>IF(OR(D58="",M58&lt;=0),"",IF(AND(E58&gt;I58,F58&gt;J58),"UP",IF(AND(E58&lt;I58,F58&lt;J58),"DOWN","FLAT")))</f>
        <v/>
      </c>
    </row>
    <row r="59" ht="26" customHeight="1" s="1">
      <c r="A59" s="8">
        <f>IF(B59="","",ROW()-2)</f>
        <v/>
      </c>
      <c r="B59" s="9">
        <f>IF('StockList_MS2'!A58="","",HYPERLINK("https://kabutan.jp/stock/?code="&amp;'StockList_MS2'!A58,'StockList_MS2'!A58))</f>
        <v/>
      </c>
      <c r="C59" s="10">
        <f>IF('StockList_MS2'!A58="","",'StockList_MS2'!B58)</f>
        <v/>
      </c>
      <c r="D59" s="11" t="n"/>
      <c r="E59" s="11" t="n"/>
      <c r="F59" s="11" t="n"/>
      <c r="G59" s="11" t="n"/>
      <c r="H59" s="12" t="n"/>
      <c r="I59" s="11" t="n"/>
      <c r="J59" s="11" t="n"/>
      <c r="K59" s="11" t="n"/>
      <c r="L59" s="8">
        <f>IF(D59="","",IF(D59&gt;K59,"BUY-DAY","SELL-DAY"))</f>
        <v/>
      </c>
      <c r="M59" s="13">
        <f>IF(D59="","",MAX(E59-F59,ABS(E59-K59),ABS(F59-K59)))</f>
        <v/>
      </c>
      <c r="N59" s="8">
        <f>IF(D59="","",IF(AND(H59&gt;0,H59&gt;(H59/3)*2.5),"VOL-OK","VOL-NG"))</f>
        <v/>
      </c>
      <c r="O59" s="8">
        <f>IF(D59="","",IF(D59&gt;I59,"ON","OFF"))</f>
        <v/>
      </c>
      <c r="P59" s="8">
        <f>IF(D59="","",IF(D59&lt;J59,"ON","OFF"))</f>
        <v/>
      </c>
      <c r="Q59" s="8">
        <f>IF(OR(D59="",M59&lt;=0),"",IF(AND(L59="BUY-DAY",N59="VOL-OK",P59="ON",Z59="OK",AA59&lt;&gt;"DOWN"),"BUY",IF(AND(L59="SELL-DAY",N59="VOL-OK",O59="ON",Z59="OK",AA59&lt;&gt;"UP"),"SELL","")))</f>
        <v/>
      </c>
      <c r="R59" s="13">
        <f>IF(Q59="","",D59)</f>
        <v/>
      </c>
      <c r="S59" s="13">
        <f>IF(Q59="","",IF(Q59="BUY",D59-M59*1.5,D59+M59*1.5))</f>
        <v/>
      </c>
      <c r="T59" s="13">
        <f>IF(Q59="","",IF(Q59="BUY",D59+M59*1.5,D59-M59*1.5))</f>
        <v/>
      </c>
      <c r="U59" s="13">
        <f>IF(Q59="","",IF(Q59="BUY",D59+M59*2,D59-M59*2))</f>
        <v/>
      </c>
      <c r="V59" s="13">
        <f>IF(Q59="","",IF(Q59="BUY",D59+M59*3,D59-M59*3))</f>
        <v/>
      </c>
      <c r="W59" s="8">
        <f>IF(OR(D59="",M59&lt;=0),"",IF(AND(D59&gt;G59,ABS(D59-G59)&lt;M59*0.5),"2ND","1ST"))</f>
        <v/>
      </c>
      <c r="X59" s="8">
        <f>IF(OR(D59="",M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59" s="8">
        <f>IF(OR(D59="",M59&lt;=0),"",IF(M59&gt;D59*0.05,"VOL-HIGH","VOL-NORMAL"))</f>
        <v/>
      </c>
      <c r="Z59" s="8">
        <f>IF(OR(D59="",M59&lt;=0),"",IF(AND(N59="VOL-OK",Y59="VOL-NORMAL",W59="2ND"),"OK","NG"))</f>
        <v/>
      </c>
      <c r="AA59" s="8">
        <f>IF(OR(D59="",M59&lt;=0),"",IF(AND(E59&gt;I59,F59&gt;J59),"UP",IF(AND(E59&lt;I59,F59&lt;J59),"DOWN","FLAT")))</f>
        <v/>
      </c>
    </row>
    <row r="60" ht="26" customHeight="1" s="1">
      <c r="A60" s="14">
        <f>IF(B60="","",ROW()-2)</f>
        <v/>
      </c>
      <c r="B60" s="15">
        <f>IF('StockList_MS2'!A59="","",HYPERLINK("https://kabutan.jp/stock/?code="&amp;'StockList_MS2'!A59,'StockList_MS2'!A59))</f>
        <v/>
      </c>
      <c r="C60" s="16">
        <f>IF('StockList_MS2'!A59="","",'StockList_MS2'!B59)</f>
        <v/>
      </c>
      <c r="D60" s="17" t="n"/>
      <c r="E60" s="17" t="n"/>
      <c r="F60" s="17" t="n"/>
      <c r="G60" s="17" t="n"/>
      <c r="H60" s="18" t="n"/>
      <c r="I60" s="17" t="n"/>
      <c r="J60" s="17" t="n"/>
      <c r="K60" s="17" t="n"/>
      <c r="L60" s="14">
        <f>IF(D60="","",IF(D60&gt;K60,"BUY-DAY","SELL-DAY"))</f>
        <v/>
      </c>
      <c r="M60" s="19">
        <f>IF(D60="","",MAX(E60-F60,ABS(E60-K60),ABS(F60-K60)))</f>
        <v/>
      </c>
      <c r="N60" s="14">
        <f>IF(D60="","",IF(AND(H60&gt;0,H60&gt;(H60/3)*2.5),"VOL-OK","VOL-NG"))</f>
        <v/>
      </c>
      <c r="O60" s="14">
        <f>IF(D60="","",IF(D60&gt;I60,"ON","OFF"))</f>
        <v/>
      </c>
      <c r="P60" s="14">
        <f>IF(D60="","",IF(D60&lt;J60,"ON","OFF"))</f>
        <v/>
      </c>
      <c r="Q60" s="14">
        <f>IF(OR(D60="",M60&lt;=0),"",IF(AND(L60="BUY-DAY",N60="VOL-OK",P60="ON",Z60="OK",AA60&lt;&gt;"DOWN"),"BUY",IF(AND(L60="SELL-DAY",N60="VOL-OK",O60="ON",Z60="OK",AA60&lt;&gt;"UP"),"SELL","")))</f>
        <v/>
      </c>
      <c r="R60" s="19">
        <f>IF(Q60="","",D60)</f>
        <v/>
      </c>
      <c r="S60" s="19">
        <f>IF(Q60="","",IF(Q60="BUY",D60-M60*1.5,D60+M60*1.5))</f>
        <v/>
      </c>
      <c r="T60" s="19">
        <f>IF(Q60="","",IF(Q60="BUY",D60+M60*1.5,D60-M60*1.5))</f>
        <v/>
      </c>
      <c r="U60" s="19">
        <f>IF(Q60="","",IF(Q60="BUY",D60+M60*2,D60-M60*2))</f>
        <v/>
      </c>
      <c r="V60" s="19">
        <f>IF(Q60="","",IF(Q60="BUY",D60+M60*3,D60-M60*3))</f>
        <v/>
      </c>
      <c r="W60" s="14">
        <f>IF(OR(D60="",M60&lt;=0),"",IF(AND(D60&gt;G60,ABS(D60-G60)&lt;M60*0.5),"2ND","1ST"))</f>
        <v/>
      </c>
      <c r="X60" s="14">
        <f>IF(OR(D60="",M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0" s="14">
        <f>IF(OR(D60="",M60&lt;=0),"",IF(M60&gt;D60*0.05,"VOL-HIGH","VOL-NORMAL"))</f>
        <v/>
      </c>
      <c r="Z60" s="14">
        <f>IF(OR(D60="",M60&lt;=0),"",IF(AND(N60="VOL-OK",Y60="VOL-NORMAL",W60="2ND"),"OK","NG"))</f>
        <v/>
      </c>
      <c r="AA60" s="14">
        <f>IF(OR(D60="",M60&lt;=0),"",IF(AND(E60&gt;I60,F60&gt;J60),"UP",IF(AND(E60&lt;I60,F60&lt;J60),"DOWN","FLAT")))</f>
        <v/>
      </c>
    </row>
    <row r="61" ht="26" customHeight="1" s="1">
      <c r="A61" s="8">
        <f>IF(B61="","",ROW()-2)</f>
        <v/>
      </c>
      <c r="B61" s="9">
        <f>IF('StockList_MS2'!A60="","",HYPERLINK("https://kabutan.jp/stock/?code="&amp;'StockList_MS2'!A60,'StockList_MS2'!A60))</f>
        <v/>
      </c>
      <c r="C61" s="10">
        <f>IF('StockList_MS2'!A60="","",'StockList_MS2'!B60)</f>
        <v/>
      </c>
      <c r="D61" s="11" t="n"/>
      <c r="E61" s="11" t="n"/>
      <c r="F61" s="11" t="n"/>
      <c r="G61" s="11" t="n"/>
      <c r="H61" s="12" t="n"/>
      <c r="I61" s="11" t="n"/>
      <c r="J61" s="11" t="n"/>
      <c r="K61" s="11" t="n"/>
      <c r="L61" s="8">
        <f>IF(D61="","",IF(D61&gt;K61,"BUY-DAY","SELL-DAY"))</f>
        <v/>
      </c>
      <c r="M61" s="13">
        <f>IF(D61="","",MAX(E61-F61,ABS(E61-K61),ABS(F61-K61)))</f>
        <v/>
      </c>
      <c r="N61" s="8">
        <f>IF(D61="","",IF(AND(H61&gt;0,H61&gt;(H61/3)*2.5),"VOL-OK","VOL-NG"))</f>
        <v/>
      </c>
      <c r="O61" s="8">
        <f>IF(D61="","",IF(D61&gt;I61,"ON","OFF"))</f>
        <v/>
      </c>
      <c r="P61" s="8">
        <f>IF(D61="","",IF(D61&lt;J61,"ON","OFF"))</f>
        <v/>
      </c>
      <c r="Q61" s="8">
        <f>IF(OR(D61="",M61&lt;=0),"",IF(AND(L61="BUY-DAY",N61="VOL-OK",P61="ON",Z61="OK",AA61&lt;&gt;"DOWN"),"BUY",IF(AND(L61="SELL-DAY",N61="VOL-OK",O61="ON",Z61="OK",AA61&lt;&gt;"UP"),"SELL","")))</f>
        <v/>
      </c>
      <c r="R61" s="13">
        <f>IF(Q61="","",D61)</f>
        <v/>
      </c>
      <c r="S61" s="13">
        <f>IF(Q61="","",IF(Q61="BUY",D61-M61*1.5,D61+M61*1.5))</f>
        <v/>
      </c>
      <c r="T61" s="13">
        <f>IF(Q61="","",IF(Q61="BUY",D61+M61*1.5,D61-M61*1.5))</f>
        <v/>
      </c>
      <c r="U61" s="13">
        <f>IF(Q61="","",IF(Q61="BUY",D61+M61*2,D61-M61*2))</f>
        <v/>
      </c>
      <c r="V61" s="13">
        <f>IF(Q61="","",IF(Q61="BUY",D61+M61*3,D61-M61*3))</f>
        <v/>
      </c>
      <c r="W61" s="8">
        <f>IF(OR(D61="",M61&lt;=0),"",IF(AND(D61&gt;G61,ABS(D61-G61)&lt;M61*0.5),"2ND","1ST"))</f>
        <v/>
      </c>
      <c r="X61" s="8">
        <f>IF(OR(D61="",M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1" s="8">
        <f>IF(OR(D61="",M61&lt;=0),"",IF(M61&gt;D61*0.05,"VOL-HIGH","VOL-NORMAL"))</f>
        <v/>
      </c>
      <c r="Z61" s="8">
        <f>IF(OR(D61="",M61&lt;=0),"",IF(AND(N61="VOL-OK",Y61="VOL-NORMAL",W61="2ND"),"OK","NG"))</f>
        <v/>
      </c>
      <c r="AA61" s="8">
        <f>IF(OR(D61="",M61&lt;=0),"",IF(AND(E61&gt;I61,F61&gt;J61),"UP",IF(AND(E61&lt;I61,F61&lt;J61),"DOWN","FLAT")))</f>
        <v/>
      </c>
    </row>
    <row r="62" ht="26" customHeight="1" s="1">
      <c r="A62" s="14">
        <f>IF(B62="","",ROW()-2)</f>
        <v/>
      </c>
      <c r="B62" s="15">
        <f>IF('StockList_MS2'!A61="","",HYPERLINK("https://kabutan.jp/stock/?code="&amp;'StockList_MS2'!A61,'StockList_MS2'!A61))</f>
        <v/>
      </c>
      <c r="C62" s="16">
        <f>IF('StockList_MS2'!A61="","",'StockList_MS2'!B61)</f>
        <v/>
      </c>
      <c r="D62" s="17" t="n"/>
      <c r="E62" s="17" t="n"/>
      <c r="F62" s="17" t="n"/>
      <c r="G62" s="17" t="n"/>
      <c r="H62" s="18" t="n"/>
      <c r="I62" s="17" t="n"/>
      <c r="J62" s="17" t="n"/>
      <c r="K62" s="17" t="n"/>
      <c r="L62" s="14">
        <f>IF(D62="","",IF(D62&gt;K62,"BUY-DAY","SELL-DAY"))</f>
        <v/>
      </c>
      <c r="M62" s="19">
        <f>IF(D62="","",MAX(E62-F62,ABS(E62-K62),ABS(F62-K62)))</f>
        <v/>
      </c>
      <c r="N62" s="14">
        <f>IF(D62="","",IF(AND(H62&gt;0,H62&gt;(H62/3)*2.5),"VOL-OK","VOL-NG"))</f>
        <v/>
      </c>
      <c r="O62" s="14">
        <f>IF(D62="","",IF(D62&gt;I62,"ON","OFF"))</f>
        <v/>
      </c>
      <c r="P62" s="14">
        <f>IF(D62="","",IF(D62&lt;J62,"ON","OFF"))</f>
        <v/>
      </c>
      <c r="Q62" s="14">
        <f>IF(OR(D62="",M62&lt;=0),"",IF(AND(L62="BUY-DAY",N62="VOL-OK",P62="ON",Z62="OK",AA62&lt;&gt;"DOWN"),"BUY",IF(AND(L62="SELL-DAY",N62="VOL-OK",O62="ON",Z62="OK",AA62&lt;&gt;"UP"),"SELL","")))</f>
        <v/>
      </c>
      <c r="R62" s="19">
        <f>IF(Q62="","",D62)</f>
        <v/>
      </c>
      <c r="S62" s="19">
        <f>IF(Q62="","",IF(Q62="BUY",D62-M62*1.5,D62+M62*1.5))</f>
        <v/>
      </c>
      <c r="T62" s="19">
        <f>IF(Q62="","",IF(Q62="BUY",D62+M62*1.5,D62-M62*1.5))</f>
        <v/>
      </c>
      <c r="U62" s="19">
        <f>IF(Q62="","",IF(Q62="BUY",D62+M62*2,D62-M62*2))</f>
        <v/>
      </c>
      <c r="V62" s="19">
        <f>IF(Q62="","",IF(Q62="BUY",D62+M62*3,D62-M62*3))</f>
        <v/>
      </c>
      <c r="W62" s="14">
        <f>IF(OR(D62="",M62&lt;=0),"",IF(AND(D62&gt;G62,ABS(D62-G62)&lt;M62*0.5),"2ND","1ST"))</f>
        <v/>
      </c>
      <c r="X62" s="14">
        <f>IF(OR(D62="",M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2" s="14">
        <f>IF(OR(D62="",M62&lt;=0),"",IF(M62&gt;D62*0.05,"VOL-HIGH","VOL-NORMAL"))</f>
        <v/>
      </c>
      <c r="Z62" s="14">
        <f>IF(OR(D62="",M62&lt;=0),"",IF(AND(N62="VOL-OK",Y62="VOL-NORMAL",W62="2ND"),"OK","NG"))</f>
        <v/>
      </c>
      <c r="AA62" s="14">
        <f>IF(OR(D62="",M62&lt;=0),"",IF(AND(E62&gt;I62,F62&gt;J62),"UP",IF(AND(E62&lt;I62,F62&lt;J62),"DOWN","FLAT")))</f>
        <v/>
      </c>
    </row>
    <row r="63" ht="26" customHeight="1" s="1">
      <c r="A63" s="8">
        <f>IF(B63="","",ROW()-2)</f>
        <v/>
      </c>
      <c r="B63" s="9">
        <f>IF('StockList_MS2'!A62="","",HYPERLINK("https://kabutan.jp/stock/?code="&amp;'StockList_MS2'!A62,'StockList_MS2'!A62))</f>
        <v/>
      </c>
      <c r="C63" s="10">
        <f>IF('StockList_MS2'!A62="","",'StockList_MS2'!B62)</f>
        <v/>
      </c>
      <c r="D63" s="11" t="n"/>
      <c r="E63" s="11" t="n"/>
      <c r="F63" s="11" t="n"/>
      <c r="G63" s="11" t="n"/>
      <c r="H63" s="12" t="n"/>
      <c r="I63" s="11" t="n"/>
      <c r="J63" s="11" t="n"/>
      <c r="K63" s="11" t="n"/>
      <c r="L63" s="8">
        <f>IF(D63="","",IF(D63&gt;K63,"BUY-DAY","SELL-DAY"))</f>
        <v/>
      </c>
      <c r="M63" s="13">
        <f>IF(D63="","",MAX(E63-F63,ABS(E63-K63),ABS(F63-K63)))</f>
        <v/>
      </c>
      <c r="N63" s="8">
        <f>IF(D63="","",IF(AND(H63&gt;0,H63&gt;(H63/3)*2.5),"VOL-OK","VOL-NG"))</f>
        <v/>
      </c>
      <c r="O63" s="8">
        <f>IF(D63="","",IF(D63&gt;I63,"ON","OFF"))</f>
        <v/>
      </c>
      <c r="P63" s="8">
        <f>IF(D63="","",IF(D63&lt;J63,"ON","OFF"))</f>
        <v/>
      </c>
      <c r="Q63" s="8">
        <f>IF(OR(D63="",M63&lt;=0),"",IF(AND(L63="BUY-DAY",N63="VOL-OK",P63="ON",Z63="OK",AA63&lt;&gt;"DOWN"),"BUY",IF(AND(L63="SELL-DAY",N63="VOL-OK",O63="ON",Z63="OK",AA63&lt;&gt;"UP"),"SELL","")))</f>
        <v/>
      </c>
      <c r="R63" s="13">
        <f>IF(Q63="","",D63)</f>
        <v/>
      </c>
      <c r="S63" s="13">
        <f>IF(Q63="","",IF(Q63="BUY",D63-M63*1.5,D63+M63*1.5))</f>
        <v/>
      </c>
      <c r="T63" s="13">
        <f>IF(Q63="","",IF(Q63="BUY",D63+M63*1.5,D63-M63*1.5))</f>
        <v/>
      </c>
      <c r="U63" s="13">
        <f>IF(Q63="","",IF(Q63="BUY",D63+M63*2,D63-M63*2))</f>
        <v/>
      </c>
      <c r="V63" s="13">
        <f>IF(Q63="","",IF(Q63="BUY",D63+M63*3,D63-M63*3))</f>
        <v/>
      </c>
      <c r="W63" s="8">
        <f>IF(OR(D63="",M63&lt;=0),"",IF(AND(D63&gt;G63,ABS(D63-G63)&lt;M63*0.5),"2ND","1ST"))</f>
        <v/>
      </c>
      <c r="X63" s="8">
        <f>IF(OR(D63="",M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3" s="8">
        <f>IF(OR(D63="",M63&lt;=0),"",IF(M63&gt;D63*0.05,"VOL-HIGH","VOL-NORMAL"))</f>
        <v/>
      </c>
      <c r="Z63" s="8">
        <f>IF(OR(D63="",M63&lt;=0),"",IF(AND(N63="VOL-OK",Y63="VOL-NORMAL",W63="2ND"),"OK","NG"))</f>
        <v/>
      </c>
      <c r="AA63" s="8">
        <f>IF(OR(D63="",M63&lt;=0),"",IF(AND(E63&gt;I63,F63&gt;J63),"UP",IF(AND(E63&lt;I63,F63&lt;J63),"DOWN","FLAT")))</f>
        <v/>
      </c>
    </row>
    <row r="64" ht="26" customHeight="1" s="1">
      <c r="A64" s="14">
        <f>IF(B64="","",ROW()-2)</f>
        <v/>
      </c>
      <c r="B64" s="15">
        <f>IF('StockList_MS2'!A63="","",HYPERLINK("https://kabutan.jp/stock/?code="&amp;'StockList_MS2'!A63,'StockList_MS2'!A63))</f>
        <v/>
      </c>
      <c r="C64" s="16">
        <f>IF('StockList_MS2'!A63="","",'StockList_MS2'!B63)</f>
        <v/>
      </c>
      <c r="D64" s="17" t="n"/>
      <c r="E64" s="17" t="n"/>
      <c r="F64" s="17" t="n"/>
      <c r="G64" s="17" t="n"/>
      <c r="H64" s="18" t="n"/>
      <c r="I64" s="17" t="n"/>
      <c r="J64" s="17" t="n"/>
      <c r="K64" s="17" t="n"/>
      <c r="L64" s="14">
        <f>IF(D64="","",IF(D64&gt;K64,"BUY-DAY","SELL-DAY"))</f>
        <v/>
      </c>
      <c r="M64" s="19">
        <f>IF(D64="","",MAX(E64-F64,ABS(E64-K64),ABS(F64-K64)))</f>
        <v/>
      </c>
      <c r="N64" s="14">
        <f>IF(D64="","",IF(AND(H64&gt;0,H64&gt;(H64/3)*2.5),"VOL-OK","VOL-NG"))</f>
        <v/>
      </c>
      <c r="O64" s="14">
        <f>IF(D64="","",IF(D64&gt;I64,"ON","OFF"))</f>
        <v/>
      </c>
      <c r="P64" s="14">
        <f>IF(D64="","",IF(D64&lt;J64,"ON","OFF"))</f>
        <v/>
      </c>
      <c r="Q64" s="14">
        <f>IF(OR(D64="",M64&lt;=0),"",IF(AND(L64="BUY-DAY",N64="VOL-OK",P64="ON",Z64="OK",AA64&lt;&gt;"DOWN"),"BUY",IF(AND(L64="SELL-DAY",N64="VOL-OK",O64="ON",Z64="OK",AA64&lt;&gt;"UP"),"SELL","")))</f>
        <v/>
      </c>
      <c r="R64" s="19">
        <f>IF(Q64="","",D64)</f>
        <v/>
      </c>
      <c r="S64" s="19">
        <f>IF(Q64="","",IF(Q64="BUY",D64-M64*1.5,D64+M64*1.5))</f>
        <v/>
      </c>
      <c r="T64" s="19">
        <f>IF(Q64="","",IF(Q64="BUY",D64+M64*1.5,D64-M64*1.5))</f>
        <v/>
      </c>
      <c r="U64" s="19">
        <f>IF(Q64="","",IF(Q64="BUY",D64+M64*2,D64-M64*2))</f>
        <v/>
      </c>
      <c r="V64" s="19">
        <f>IF(Q64="","",IF(Q64="BUY",D64+M64*3,D64-M64*3))</f>
        <v/>
      </c>
      <c r="W64" s="14">
        <f>IF(OR(D64="",M64&lt;=0),"",IF(AND(D64&gt;G64,ABS(D64-G64)&lt;M64*0.5),"2ND","1ST"))</f>
        <v/>
      </c>
      <c r="X64" s="14">
        <f>IF(OR(D64="",M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4" s="14">
        <f>IF(OR(D64="",M64&lt;=0),"",IF(M64&gt;D64*0.05,"VOL-HIGH","VOL-NORMAL"))</f>
        <v/>
      </c>
      <c r="Z64" s="14">
        <f>IF(OR(D64="",M64&lt;=0),"",IF(AND(N64="VOL-OK",Y64="VOL-NORMAL",W64="2ND"),"OK","NG"))</f>
        <v/>
      </c>
      <c r="AA64" s="14">
        <f>IF(OR(D64="",M64&lt;=0),"",IF(AND(E64&gt;I64,F64&gt;J64),"UP",IF(AND(E64&lt;I64,F64&lt;J64),"DOWN","FLAT")))</f>
        <v/>
      </c>
    </row>
    <row r="65" ht="26" customHeight="1" s="1">
      <c r="A65" s="8">
        <f>IF(B65="","",ROW()-2)</f>
        <v/>
      </c>
      <c r="B65" s="9">
        <f>IF('StockList_MS2'!A64="","",HYPERLINK("https://kabutan.jp/stock/?code="&amp;'StockList_MS2'!A64,'StockList_MS2'!A64))</f>
        <v/>
      </c>
      <c r="C65" s="10">
        <f>IF('StockList_MS2'!A64="","",'StockList_MS2'!B64)</f>
        <v/>
      </c>
      <c r="D65" s="11" t="n"/>
      <c r="E65" s="11" t="n"/>
      <c r="F65" s="11" t="n"/>
      <c r="G65" s="11" t="n"/>
      <c r="H65" s="12" t="n"/>
      <c r="I65" s="11" t="n"/>
      <c r="J65" s="11" t="n"/>
      <c r="K65" s="11" t="n"/>
      <c r="L65" s="8">
        <f>IF(D65="","",IF(D65&gt;K65,"BUY-DAY","SELL-DAY"))</f>
        <v/>
      </c>
      <c r="M65" s="13">
        <f>IF(D65="","",MAX(E65-F65,ABS(E65-K65),ABS(F65-K65)))</f>
        <v/>
      </c>
      <c r="N65" s="8">
        <f>IF(D65="","",IF(AND(H65&gt;0,H65&gt;(H65/3)*2.5),"VOL-OK","VOL-NG"))</f>
        <v/>
      </c>
      <c r="O65" s="8">
        <f>IF(D65="","",IF(D65&gt;I65,"ON","OFF"))</f>
        <v/>
      </c>
      <c r="P65" s="8">
        <f>IF(D65="","",IF(D65&lt;J65,"ON","OFF"))</f>
        <v/>
      </c>
      <c r="Q65" s="8">
        <f>IF(OR(D65="",M65&lt;=0),"",IF(AND(L65="BUY-DAY",N65="VOL-OK",P65="ON",Z65="OK",AA65&lt;&gt;"DOWN"),"BUY",IF(AND(L65="SELL-DAY",N65="VOL-OK",O65="ON",Z65="OK",AA65&lt;&gt;"UP"),"SELL","")))</f>
        <v/>
      </c>
      <c r="R65" s="13">
        <f>IF(Q65="","",D65)</f>
        <v/>
      </c>
      <c r="S65" s="13">
        <f>IF(Q65="","",IF(Q65="BUY",D65-M65*1.5,D65+M65*1.5))</f>
        <v/>
      </c>
      <c r="T65" s="13">
        <f>IF(Q65="","",IF(Q65="BUY",D65+M65*1.5,D65-M65*1.5))</f>
        <v/>
      </c>
      <c r="U65" s="13">
        <f>IF(Q65="","",IF(Q65="BUY",D65+M65*2,D65-M65*2))</f>
        <v/>
      </c>
      <c r="V65" s="13">
        <f>IF(Q65="","",IF(Q65="BUY",D65+M65*3,D65-M65*3))</f>
        <v/>
      </c>
      <c r="W65" s="8">
        <f>IF(OR(D65="",M65&lt;=0),"",IF(AND(D65&gt;G65,ABS(D65-G65)&lt;M65*0.5),"2ND","1ST"))</f>
        <v/>
      </c>
      <c r="X65" s="8">
        <f>IF(OR(D65="",M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5" s="8">
        <f>IF(OR(D65="",M65&lt;=0),"",IF(M65&gt;D65*0.05,"VOL-HIGH","VOL-NORMAL"))</f>
        <v/>
      </c>
      <c r="Z65" s="8">
        <f>IF(OR(D65="",M65&lt;=0),"",IF(AND(N65="VOL-OK",Y65="VOL-NORMAL",W65="2ND"),"OK","NG"))</f>
        <v/>
      </c>
      <c r="AA65" s="8">
        <f>IF(OR(D65="",M65&lt;=0),"",IF(AND(E65&gt;I65,F65&gt;J65),"UP",IF(AND(E65&lt;I65,F65&lt;J65),"DOWN","FLAT")))</f>
        <v/>
      </c>
    </row>
    <row r="66" ht="26" customHeight="1" s="1">
      <c r="A66" s="14">
        <f>IF(B66="","",ROW()-2)</f>
        <v/>
      </c>
      <c r="B66" s="15">
        <f>IF('StockList_MS2'!A65="","",HYPERLINK("https://kabutan.jp/stock/?code="&amp;'StockList_MS2'!A65,'StockList_MS2'!A65))</f>
        <v/>
      </c>
      <c r="C66" s="16">
        <f>IF('StockList_MS2'!A65="","",'StockList_MS2'!B65)</f>
        <v/>
      </c>
      <c r="D66" s="17" t="n"/>
      <c r="E66" s="17" t="n"/>
      <c r="F66" s="17" t="n"/>
      <c r="G66" s="17" t="n"/>
      <c r="H66" s="18" t="n"/>
      <c r="I66" s="17" t="n"/>
      <c r="J66" s="17" t="n"/>
      <c r="K66" s="17" t="n"/>
      <c r="L66" s="14">
        <f>IF(D66="","",IF(D66&gt;K66,"BUY-DAY","SELL-DAY"))</f>
        <v/>
      </c>
      <c r="M66" s="19">
        <f>IF(D66="","",MAX(E66-F66,ABS(E66-K66),ABS(F66-K66)))</f>
        <v/>
      </c>
      <c r="N66" s="14">
        <f>IF(D66="","",IF(AND(H66&gt;0,H66&gt;(H66/3)*2.5),"VOL-OK","VOL-NG"))</f>
        <v/>
      </c>
      <c r="O66" s="14">
        <f>IF(D66="","",IF(D66&gt;I66,"ON","OFF"))</f>
        <v/>
      </c>
      <c r="P66" s="14">
        <f>IF(D66="","",IF(D66&lt;J66,"ON","OFF"))</f>
        <v/>
      </c>
      <c r="Q66" s="14">
        <f>IF(OR(D66="",M66&lt;=0),"",IF(AND(L66="BUY-DAY",N66="VOL-OK",P66="ON",Z66="OK",AA66&lt;&gt;"DOWN"),"BUY",IF(AND(L66="SELL-DAY",N66="VOL-OK",O66="ON",Z66="OK",AA66&lt;&gt;"UP"),"SELL","")))</f>
        <v/>
      </c>
      <c r="R66" s="19">
        <f>IF(Q66="","",D66)</f>
        <v/>
      </c>
      <c r="S66" s="19">
        <f>IF(Q66="","",IF(Q66="BUY",D66-M66*1.5,D66+M66*1.5))</f>
        <v/>
      </c>
      <c r="T66" s="19">
        <f>IF(Q66="","",IF(Q66="BUY",D66+M66*1.5,D66-M66*1.5))</f>
        <v/>
      </c>
      <c r="U66" s="19">
        <f>IF(Q66="","",IF(Q66="BUY",D66+M66*2,D66-M66*2))</f>
        <v/>
      </c>
      <c r="V66" s="19">
        <f>IF(Q66="","",IF(Q66="BUY",D66+M66*3,D66-M66*3))</f>
        <v/>
      </c>
      <c r="W66" s="14">
        <f>IF(OR(D66="",M66&lt;=0),"",IF(AND(D66&gt;G66,ABS(D66-G66)&lt;M66*0.5),"2ND","1ST"))</f>
        <v/>
      </c>
      <c r="X66" s="14">
        <f>IF(OR(D66="",M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6" s="14">
        <f>IF(OR(D66="",M66&lt;=0),"",IF(M66&gt;D66*0.05,"VOL-HIGH","VOL-NORMAL"))</f>
        <v/>
      </c>
      <c r="Z66" s="14">
        <f>IF(OR(D66="",M66&lt;=0),"",IF(AND(N66="VOL-OK",Y66="VOL-NORMAL",W66="2ND"),"OK","NG"))</f>
        <v/>
      </c>
      <c r="AA66" s="14">
        <f>IF(OR(D66="",M66&lt;=0),"",IF(AND(E66&gt;I66,F66&gt;J66),"UP",IF(AND(E66&lt;I66,F66&lt;J66),"DOWN","FLAT")))</f>
        <v/>
      </c>
    </row>
    <row r="67" ht="26" customHeight="1" s="1">
      <c r="A67" s="8">
        <f>IF(B67="","",ROW()-2)</f>
        <v/>
      </c>
      <c r="B67" s="9">
        <f>IF('StockList_MS2'!A66="","",HYPERLINK("https://kabutan.jp/stock/?code="&amp;'StockList_MS2'!A66,'StockList_MS2'!A66))</f>
        <v/>
      </c>
      <c r="C67" s="10">
        <f>IF('StockList_MS2'!A66="","",'StockList_MS2'!B66)</f>
        <v/>
      </c>
      <c r="D67" s="11" t="n"/>
      <c r="E67" s="11" t="n"/>
      <c r="F67" s="11" t="n"/>
      <c r="G67" s="11" t="n"/>
      <c r="H67" s="12" t="n"/>
      <c r="I67" s="11" t="n"/>
      <c r="J67" s="11" t="n"/>
      <c r="K67" s="11" t="n"/>
      <c r="L67" s="8">
        <f>IF(D67="","",IF(D67&gt;K67,"BUY-DAY","SELL-DAY"))</f>
        <v/>
      </c>
      <c r="M67" s="13">
        <f>IF(D67="","",MAX(E67-F67,ABS(E67-K67),ABS(F67-K67)))</f>
        <v/>
      </c>
      <c r="N67" s="8">
        <f>IF(D67="","",IF(AND(H67&gt;0,H67&gt;(H67/3)*2.5),"VOL-OK","VOL-NG"))</f>
        <v/>
      </c>
      <c r="O67" s="8">
        <f>IF(D67="","",IF(D67&gt;I67,"ON","OFF"))</f>
        <v/>
      </c>
      <c r="P67" s="8">
        <f>IF(D67="","",IF(D67&lt;J67,"ON","OFF"))</f>
        <v/>
      </c>
      <c r="Q67" s="8">
        <f>IF(OR(D67="",M67&lt;=0),"",IF(AND(L67="BUY-DAY",N67="VOL-OK",P67="ON",Z67="OK",AA67&lt;&gt;"DOWN"),"BUY",IF(AND(L67="SELL-DAY",N67="VOL-OK",O67="ON",Z67="OK",AA67&lt;&gt;"UP"),"SELL","")))</f>
        <v/>
      </c>
      <c r="R67" s="13">
        <f>IF(Q67="","",D67)</f>
        <v/>
      </c>
      <c r="S67" s="13">
        <f>IF(Q67="","",IF(Q67="BUY",D67-M67*1.5,D67+M67*1.5))</f>
        <v/>
      </c>
      <c r="T67" s="13">
        <f>IF(Q67="","",IF(Q67="BUY",D67+M67*1.5,D67-M67*1.5))</f>
        <v/>
      </c>
      <c r="U67" s="13">
        <f>IF(Q67="","",IF(Q67="BUY",D67+M67*2,D67-M67*2))</f>
        <v/>
      </c>
      <c r="V67" s="13">
        <f>IF(Q67="","",IF(Q67="BUY",D67+M67*3,D67-M67*3))</f>
        <v/>
      </c>
      <c r="W67" s="8">
        <f>IF(OR(D67="",M67&lt;=0),"",IF(AND(D67&gt;G67,ABS(D67-G67)&lt;M67*0.5),"2ND","1ST"))</f>
        <v/>
      </c>
      <c r="X67" s="8">
        <f>IF(OR(D67="",M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7" s="8">
        <f>IF(OR(D67="",M67&lt;=0),"",IF(M67&gt;D67*0.05,"VOL-HIGH","VOL-NORMAL"))</f>
        <v/>
      </c>
      <c r="Z67" s="8">
        <f>IF(OR(D67="",M67&lt;=0),"",IF(AND(N67="VOL-OK",Y67="VOL-NORMAL",W67="2ND"),"OK","NG"))</f>
        <v/>
      </c>
      <c r="AA67" s="8">
        <f>IF(OR(D67="",M67&lt;=0),"",IF(AND(E67&gt;I67,F67&gt;J67),"UP",IF(AND(E67&lt;I67,F67&lt;J67),"DOWN","FLAT")))</f>
        <v/>
      </c>
    </row>
    <row r="68" ht="26" customHeight="1" s="1">
      <c r="A68" s="14">
        <f>IF(B68="","",ROW()-2)</f>
        <v/>
      </c>
      <c r="B68" s="15">
        <f>IF('StockList_MS2'!A67="","",HYPERLINK("https://kabutan.jp/stock/?code="&amp;'StockList_MS2'!A67,'StockList_MS2'!A67))</f>
        <v/>
      </c>
      <c r="C68" s="16">
        <f>IF('StockList_MS2'!A67="","",'StockList_MS2'!B67)</f>
        <v/>
      </c>
      <c r="D68" s="17" t="n"/>
      <c r="E68" s="17" t="n"/>
      <c r="F68" s="17" t="n"/>
      <c r="G68" s="17" t="n"/>
      <c r="H68" s="18" t="n"/>
      <c r="I68" s="17" t="n"/>
      <c r="J68" s="17" t="n"/>
      <c r="K68" s="17" t="n"/>
      <c r="L68" s="14">
        <f>IF(D68="","",IF(D68&gt;K68,"BUY-DAY","SELL-DAY"))</f>
        <v/>
      </c>
      <c r="M68" s="19">
        <f>IF(D68="","",MAX(E68-F68,ABS(E68-K68),ABS(F68-K68)))</f>
        <v/>
      </c>
      <c r="N68" s="14">
        <f>IF(D68="","",IF(AND(H68&gt;0,H68&gt;(H68/3)*2.5),"VOL-OK","VOL-NG"))</f>
        <v/>
      </c>
      <c r="O68" s="14">
        <f>IF(D68="","",IF(D68&gt;I68,"ON","OFF"))</f>
        <v/>
      </c>
      <c r="P68" s="14">
        <f>IF(D68="","",IF(D68&lt;J68,"ON","OFF"))</f>
        <v/>
      </c>
      <c r="Q68" s="14">
        <f>IF(OR(D68="",M68&lt;=0),"",IF(AND(L68="BUY-DAY",N68="VOL-OK",P68="ON",Z68="OK",AA68&lt;&gt;"DOWN"),"BUY",IF(AND(L68="SELL-DAY",N68="VOL-OK",O68="ON",Z68="OK",AA68&lt;&gt;"UP"),"SELL","")))</f>
        <v/>
      </c>
      <c r="R68" s="19">
        <f>IF(Q68="","",D68)</f>
        <v/>
      </c>
      <c r="S68" s="19">
        <f>IF(Q68="","",IF(Q68="BUY",D68-M68*1.5,D68+M68*1.5))</f>
        <v/>
      </c>
      <c r="T68" s="19">
        <f>IF(Q68="","",IF(Q68="BUY",D68+M68*1.5,D68-M68*1.5))</f>
        <v/>
      </c>
      <c r="U68" s="19">
        <f>IF(Q68="","",IF(Q68="BUY",D68+M68*2,D68-M68*2))</f>
        <v/>
      </c>
      <c r="V68" s="19">
        <f>IF(Q68="","",IF(Q68="BUY",D68+M68*3,D68-M68*3))</f>
        <v/>
      </c>
      <c r="W68" s="14">
        <f>IF(OR(D68="",M68&lt;=0),"",IF(AND(D68&gt;G68,ABS(D68-G68)&lt;M68*0.5),"2ND","1ST"))</f>
        <v/>
      </c>
      <c r="X68" s="14">
        <f>IF(OR(D68="",M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8" s="14">
        <f>IF(OR(D68="",M68&lt;=0),"",IF(M68&gt;D68*0.05,"VOL-HIGH","VOL-NORMAL"))</f>
        <v/>
      </c>
      <c r="Z68" s="14">
        <f>IF(OR(D68="",M68&lt;=0),"",IF(AND(N68="VOL-OK",Y68="VOL-NORMAL",W68="2ND"),"OK","NG"))</f>
        <v/>
      </c>
      <c r="AA68" s="14">
        <f>IF(OR(D68="",M68&lt;=0),"",IF(AND(E68&gt;I68,F68&gt;J68),"UP",IF(AND(E68&lt;I68,F68&lt;J68),"DOWN","FLAT")))</f>
        <v/>
      </c>
    </row>
    <row r="69" ht="26" customHeight="1" s="1">
      <c r="A69" s="8">
        <f>IF(B69="","",ROW()-2)</f>
        <v/>
      </c>
      <c r="B69" s="9">
        <f>IF('StockList_MS2'!A68="","",HYPERLINK("https://kabutan.jp/stock/?code="&amp;'StockList_MS2'!A68,'StockList_MS2'!A68))</f>
        <v/>
      </c>
      <c r="C69" s="10">
        <f>IF('StockList_MS2'!A68="","",'StockList_MS2'!B68)</f>
        <v/>
      </c>
      <c r="D69" s="11" t="n"/>
      <c r="E69" s="11" t="n"/>
      <c r="F69" s="11" t="n"/>
      <c r="G69" s="11" t="n"/>
      <c r="H69" s="12" t="n"/>
      <c r="I69" s="11" t="n"/>
      <c r="J69" s="11" t="n"/>
      <c r="K69" s="11" t="n"/>
      <c r="L69" s="8">
        <f>IF(D69="","",IF(D69&gt;K69,"BUY-DAY","SELL-DAY"))</f>
        <v/>
      </c>
      <c r="M69" s="13">
        <f>IF(D69="","",MAX(E69-F69,ABS(E69-K69),ABS(F69-K69)))</f>
        <v/>
      </c>
      <c r="N69" s="8">
        <f>IF(D69="","",IF(AND(H69&gt;0,H69&gt;(H69/3)*2.5),"VOL-OK","VOL-NG"))</f>
        <v/>
      </c>
      <c r="O69" s="8">
        <f>IF(D69="","",IF(D69&gt;I69,"ON","OFF"))</f>
        <v/>
      </c>
      <c r="P69" s="8">
        <f>IF(D69="","",IF(D69&lt;J69,"ON","OFF"))</f>
        <v/>
      </c>
      <c r="Q69" s="8">
        <f>IF(OR(D69="",M69&lt;=0),"",IF(AND(L69="BUY-DAY",N69="VOL-OK",P69="ON",Z69="OK",AA69&lt;&gt;"DOWN"),"BUY",IF(AND(L69="SELL-DAY",N69="VOL-OK",O69="ON",Z69="OK",AA69&lt;&gt;"UP"),"SELL","")))</f>
        <v/>
      </c>
      <c r="R69" s="13">
        <f>IF(Q69="","",D69)</f>
        <v/>
      </c>
      <c r="S69" s="13">
        <f>IF(Q69="","",IF(Q69="BUY",D69-M69*1.5,D69+M69*1.5))</f>
        <v/>
      </c>
      <c r="T69" s="13">
        <f>IF(Q69="","",IF(Q69="BUY",D69+M69*1.5,D69-M69*1.5))</f>
        <v/>
      </c>
      <c r="U69" s="13">
        <f>IF(Q69="","",IF(Q69="BUY",D69+M69*2,D69-M69*2))</f>
        <v/>
      </c>
      <c r="V69" s="13">
        <f>IF(Q69="","",IF(Q69="BUY",D69+M69*3,D69-M69*3))</f>
        <v/>
      </c>
      <c r="W69" s="8">
        <f>IF(OR(D69="",M69&lt;=0),"",IF(AND(D69&gt;G69,ABS(D69-G69)&lt;M69*0.5),"2ND","1ST"))</f>
        <v/>
      </c>
      <c r="X69" s="8">
        <f>IF(OR(D69="",M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69" s="8">
        <f>IF(OR(D69="",M69&lt;=0),"",IF(M69&gt;D69*0.05,"VOL-HIGH","VOL-NORMAL"))</f>
        <v/>
      </c>
      <c r="Z69" s="8">
        <f>IF(OR(D69="",M69&lt;=0),"",IF(AND(N69="VOL-OK",Y69="VOL-NORMAL",W69="2ND"),"OK","NG"))</f>
        <v/>
      </c>
      <c r="AA69" s="8">
        <f>IF(OR(D69="",M69&lt;=0),"",IF(AND(E69&gt;I69,F69&gt;J69),"UP",IF(AND(E69&lt;I69,F69&lt;J69),"DOWN","FLAT")))</f>
        <v/>
      </c>
    </row>
    <row r="70" ht="26" customHeight="1" s="1">
      <c r="A70" s="14">
        <f>IF(B70="","",ROW()-2)</f>
        <v/>
      </c>
      <c r="B70" s="15">
        <f>IF('StockList_MS2'!A69="","",HYPERLINK("https://kabutan.jp/stock/?code="&amp;'StockList_MS2'!A69,'StockList_MS2'!A69))</f>
        <v/>
      </c>
      <c r="C70" s="16">
        <f>IF('StockList_MS2'!A69="","",'StockList_MS2'!B69)</f>
        <v/>
      </c>
      <c r="D70" s="17" t="n"/>
      <c r="E70" s="17" t="n"/>
      <c r="F70" s="17" t="n"/>
      <c r="G70" s="17" t="n"/>
      <c r="H70" s="18" t="n"/>
      <c r="I70" s="17" t="n"/>
      <c r="J70" s="17" t="n"/>
      <c r="K70" s="17" t="n"/>
      <c r="L70" s="14">
        <f>IF(D70="","",IF(D70&gt;K70,"BUY-DAY","SELL-DAY"))</f>
        <v/>
      </c>
      <c r="M70" s="19">
        <f>IF(D70="","",MAX(E70-F70,ABS(E70-K70),ABS(F70-K70)))</f>
        <v/>
      </c>
      <c r="N70" s="14">
        <f>IF(D70="","",IF(AND(H70&gt;0,H70&gt;(H70/3)*2.5),"VOL-OK","VOL-NG"))</f>
        <v/>
      </c>
      <c r="O70" s="14">
        <f>IF(D70="","",IF(D70&gt;I70,"ON","OFF"))</f>
        <v/>
      </c>
      <c r="P70" s="14">
        <f>IF(D70="","",IF(D70&lt;J70,"ON","OFF"))</f>
        <v/>
      </c>
      <c r="Q70" s="14">
        <f>IF(OR(D70="",M70&lt;=0),"",IF(AND(L70="BUY-DAY",N70="VOL-OK",P70="ON",Z70="OK",AA70&lt;&gt;"DOWN"),"BUY",IF(AND(L70="SELL-DAY",N70="VOL-OK",O70="ON",Z70="OK",AA70&lt;&gt;"UP"),"SELL","")))</f>
        <v/>
      </c>
      <c r="R70" s="19">
        <f>IF(Q70="","",D70)</f>
        <v/>
      </c>
      <c r="S70" s="19">
        <f>IF(Q70="","",IF(Q70="BUY",D70-M70*1.5,D70+M70*1.5))</f>
        <v/>
      </c>
      <c r="T70" s="19">
        <f>IF(Q70="","",IF(Q70="BUY",D70+M70*1.5,D70-M70*1.5))</f>
        <v/>
      </c>
      <c r="U70" s="19">
        <f>IF(Q70="","",IF(Q70="BUY",D70+M70*2,D70-M70*2))</f>
        <v/>
      </c>
      <c r="V70" s="19">
        <f>IF(Q70="","",IF(Q70="BUY",D70+M70*3,D70-M70*3))</f>
        <v/>
      </c>
      <c r="W70" s="14">
        <f>IF(OR(D70="",M70&lt;=0),"",IF(AND(D70&gt;G70,ABS(D70-G70)&lt;M70*0.5),"2ND","1ST"))</f>
        <v/>
      </c>
      <c r="X70" s="14">
        <f>IF(OR(D70="",M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0" s="14">
        <f>IF(OR(D70="",M70&lt;=0),"",IF(M70&gt;D70*0.05,"VOL-HIGH","VOL-NORMAL"))</f>
        <v/>
      </c>
      <c r="Z70" s="14">
        <f>IF(OR(D70="",M70&lt;=0),"",IF(AND(N70="VOL-OK",Y70="VOL-NORMAL",W70="2ND"),"OK","NG"))</f>
        <v/>
      </c>
      <c r="AA70" s="14">
        <f>IF(OR(D70="",M70&lt;=0),"",IF(AND(E70&gt;I70,F70&gt;J70),"UP",IF(AND(E70&lt;I70,F70&lt;J70),"DOWN","FLAT")))</f>
        <v/>
      </c>
    </row>
    <row r="71" ht="26" customHeight="1" s="1">
      <c r="A71" s="8">
        <f>IF(B71="","",ROW()-2)</f>
        <v/>
      </c>
      <c r="B71" s="9">
        <f>IF('StockList_MS2'!A70="","",HYPERLINK("https://kabutan.jp/stock/?code="&amp;'StockList_MS2'!A70,'StockList_MS2'!A70))</f>
        <v/>
      </c>
      <c r="C71" s="10">
        <f>IF('StockList_MS2'!A70="","",'StockList_MS2'!B70)</f>
        <v/>
      </c>
      <c r="D71" s="11" t="n"/>
      <c r="E71" s="11" t="n"/>
      <c r="F71" s="11" t="n"/>
      <c r="G71" s="11" t="n"/>
      <c r="H71" s="12" t="n"/>
      <c r="I71" s="11" t="n"/>
      <c r="J71" s="11" t="n"/>
      <c r="K71" s="11" t="n"/>
      <c r="L71" s="8">
        <f>IF(D71="","",IF(D71&gt;K71,"BUY-DAY","SELL-DAY"))</f>
        <v/>
      </c>
      <c r="M71" s="13">
        <f>IF(D71="","",MAX(E71-F71,ABS(E71-K71),ABS(F71-K71)))</f>
        <v/>
      </c>
      <c r="N71" s="8">
        <f>IF(D71="","",IF(AND(H71&gt;0,H71&gt;(H71/3)*2.5),"VOL-OK","VOL-NG"))</f>
        <v/>
      </c>
      <c r="O71" s="8">
        <f>IF(D71="","",IF(D71&gt;I71,"ON","OFF"))</f>
        <v/>
      </c>
      <c r="P71" s="8">
        <f>IF(D71="","",IF(D71&lt;J71,"ON","OFF"))</f>
        <v/>
      </c>
      <c r="Q71" s="8">
        <f>IF(OR(D71="",M71&lt;=0),"",IF(AND(L71="BUY-DAY",N71="VOL-OK",P71="ON",Z71="OK",AA71&lt;&gt;"DOWN"),"BUY",IF(AND(L71="SELL-DAY",N71="VOL-OK",O71="ON",Z71="OK",AA71&lt;&gt;"UP"),"SELL","")))</f>
        <v/>
      </c>
      <c r="R71" s="13">
        <f>IF(Q71="","",D71)</f>
        <v/>
      </c>
      <c r="S71" s="13">
        <f>IF(Q71="","",IF(Q71="BUY",D71-M71*1.5,D71+M71*1.5))</f>
        <v/>
      </c>
      <c r="T71" s="13">
        <f>IF(Q71="","",IF(Q71="BUY",D71+M71*1.5,D71-M71*1.5))</f>
        <v/>
      </c>
      <c r="U71" s="13">
        <f>IF(Q71="","",IF(Q71="BUY",D71+M71*2,D71-M71*2))</f>
        <v/>
      </c>
      <c r="V71" s="13">
        <f>IF(Q71="","",IF(Q71="BUY",D71+M71*3,D71-M71*3))</f>
        <v/>
      </c>
      <c r="W71" s="8">
        <f>IF(OR(D71="",M71&lt;=0),"",IF(AND(D71&gt;G71,ABS(D71-G71)&lt;M71*0.5),"2ND","1ST"))</f>
        <v/>
      </c>
      <c r="X71" s="8">
        <f>IF(OR(D71="",M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1" s="8">
        <f>IF(OR(D71="",M71&lt;=0),"",IF(M71&gt;D71*0.05,"VOL-HIGH","VOL-NORMAL"))</f>
        <v/>
      </c>
      <c r="Z71" s="8">
        <f>IF(OR(D71="",M71&lt;=0),"",IF(AND(N71="VOL-OK",Y71="VOL-NORMAL",W71="2ND"),"OK","NG"))</f>
        <v/>
      </c>
      <c r="AA71" s="8">
        <f>IF(OR(D71="",M71&lt;=0),"",IF(AND(E71&gt;I71,F71&gt;J71),"UP",IF(AND(E71&lt;I71,F71&lt;J71),"DOWN","FLAT")))</f>
        <v/>
      </c>
    </row>
    <row r="72" ht="26" customHeight="1" s="1">
      <c r="A72" s="14">
        <f>IF(B72="","",ROW()-2)</f>
        <v/>
      </c>
      <c r="B72" s="15">
        <f>IF('StockList_MS2'!A71="","",HYPERLINK("https://kabutan.jp/stock/?code="&amp;'StockList_MS2'!A71,'StockList_MS2'!A71))</f>
        <v/>
      </c>
      <c r="C72" s="16">
        <f>IF('StockList_MS2'!A71="","",'StockList_MS2'!B71)</f>
        <v/>
      </c>
      <c r="D72" s="17" t="n"/>
      <c r="E72" s="17" t="n"/>
      <c r="F72" s="17" t="n"/>
      <c r="G72" s="17" t="n"/>
      <c r="H72" s="18" t="n"/>
      <c r="I72" s="17" t="n"/>
      <c r="J72" s="17" t="n"/>
      <c r="K72" s="17" t="n"/>
      <c r="L72" s="14">
        <f>IF(D72="","",IF(D72&gt;K72,"BUY-DAY","SELL-DAY"))</f>
        <v/>
      </c>
      <c r="M72" s="19">
        <f>IF(D72="","",MAX(E72-F72,ABS(E72-K72),ABS(F72-K72)))</f>
        <v/>
      </c>
      <c r="N72" s="14">
        <f>IF(D72="","",IF(AND(H72&gt;0,H72&gt;(H72/3)*2.5),"VOL-OK","VOL-NG"))</f>
        <v/>
      </c>
      <c r="O72" s="14">
        <f>IF(D72="","",IF(D72&gt;I72,"ON","OFF"))</f>
        <v/>
      </c>
      <c r="P72" s="14">
        <f>IF(D72="","",IF(D72&lt;J72,"ON","OFF"))</f>
        <v/>
      </c>
      <c r="Q72" s="14">
        <f>IF(OR(D72="",M72&lt;=0),"",IF(AND(L72="BUY-DAY",N72="VOL-OK",P72="ON",Z72="OK",AA72&lt;&gt;"DOWN"),"BUY",IF(AND(L72="SELL-DAY",N72="VOL-OK",O72="ON",Z72="OK",AA72&lt;&gt;"UP"),"SELL","")))</f>
        <v/>
      </c>
      <c r="R72" s="19">
        <f>IF(Q72="","",D72)</f>
        <v/>
      </c>
      <c r="S72" s="19">
        <f>IF(Q72="","",IF(Q72="BUY",D72-M72*1.5,D72+M72*1.5))</f>
        <v/>
      </c>
      <c r="T72" s="19">
        <f>IF(Q72="","",IF(Q72="BUY",D72+M72*1.5,D72-M72*1.5))</f>
        <v/>
      </c>
      <c r="U72" s="19">
        <f>IF(Q72="","",IF(Q72="BUY",D72+M72*2,D72-M72*2))</f>
        <v/>
      </c>
      <c r="V72" s="19">
        <f>IF(Q72="","",IF(Q72="BUY",D72+M72*3,D72-M72*3))</f>
        <v/>
      </c>
      <c r="W72" s="14">
        <f>IF(OR(D72="",M72&lt;=0),"",IF(AND(D72&gt;G72,ABS(D72-G72)&lt;M72*0.5),"2ND","1ST"))</f>
        <v/>
      </c>
      <c r="X72" s="14">
        <f>IF(OR(D72="",M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2" s="14">
        <f>IF(OR(D72="",M72&lt;=0),"",IF(M72&gt;D72*0.05,"VOL-HIGH","VOL-NORMAL"))</f>
        <v/>
      </c>
      <c r="Z72" s="14">
        <f>IF(OR(D72="",M72&lt;=0),"",IF(AND(N72="VOL-OK",Y72="VOL-NORMAL",W72="2ND"),"OK","NG"))</f>
        <v/>
      </c>
      <c r="AA72" s="14">
        <f>IF(OR(D72="",M72&lt;=0),"",IF(AND(E72&gt;I72,F72&gt;J72),"UP",IF(AND(E72&lt;I72,F72&lt;J72),"DOWN","FLAT")))</f>
        <v/>
      </c>
    </row>
    <row r="73" ht="26" customHeight="1" s="1">
      <c r="A73" s="8">
        <f>IF(B73="","",ROW()-2)</f>
        <v/>
      </c>
      <c r="B73" s="9">
        <f>IF('StockList_MS2'!A72="","",HYPERLINK("https://kabutan.jp/stock/?code="&amp;'StockList_MS2'!A72,'StockList_MS2'!A72))</f>
        <v/>
      </c>
      <c r="C73" s="10">
        <f>IF('StockList_MS2'!A72="","",'StockList_MS2'!B72)</f>
        <v/>
      </c>
      <c r="D73" s="11" t="n"/>
      <c r="E73" s="11" t="n"/>
      <c r="F73" s="11" t="n"/>
      <c r="G73" s="11" t="n"/>
      <c r="H73" s="12" t="n"/>
      <c r="I73" s="11" t="n"/>
      <c r="J73" s="11" t="n"/>
      <c r="K73" s="11" t="n"/>
      <c r="L73" s="8">
        <f>IF(D73="","",IF(D73&gt;K73,"BUY-DAY","SELL-DAY"))</f>
        <v/>
      </c>
      <c r="M73" s="13">
        <f>IF(D73="","",MAX(E73-F73,ABS(E73-K73),ABS(F73-K73)))</f>
        <v/>
      </c>
      <c r="N73" s="8">
        <f>IF(D73="","",IF(AND(H73&gt;0,H73&gt;(H73/3)*2.5),"VOL-OK","VOL-NG"))</f>
        <v/>
      </c>
      <c r="O73" s="8">
        <f>IF(D73="","",IF(D73&gt;I73,"ON","OFF"))</f>
        <v/>
      </c>
      <c r="P73" s="8">
        <f>IF(D73="","",IF(D73&lt;J73,"ON","OFF"))</f>
        <v/>
      </c>
      <c r="Q73" s="8">
        <f>IF(OR(D73="",M73&lt;=0),"",IF(AND(L73="BUY-DAY",N73="VOL-OK",P73="ON",Z73="OK",AA73&lt;&gt;"DOWN"),"BUY",IF(AND(L73="SELL-DAY",N73="VOL-OK",O73="ON",Z73="OK",AA73&lt;&gt;"UP"),"SELL","")))</f>
        <v/>
      </c>
      <c r="R73" s="13">
        <f>IF(Q73="","",D73)</f>
        <v/>
      </c>
      <c r="S73" s="13">
        <f>IF(Q73="","",IF(Q73="BUY",D73-M73*1.5,D73+M73*1.5))</f>
        <v/>
      </c>
      <c r="T73" s="13">
        <f>IF(Q73="","",IF(Q73="BUY",D73+M73*1.5,D73-M73*1.5))</f>
        <v/>
      </c>
      <c r="U73" s="13">
        <f>IF(Q73="","",IF(Q73="BUY",D73+M73*2,D73-M73*2))</f>
        <v/>
      </c>
      <c r="V73" s="13">
        <f>IF(Q73="","",IF(Q73="BUY",D73+M73*3,D73-M73*3))</f>
        <v/>
      </c>
      <c r="W73" s="8">
        <f>IF(OR(D73="",M73&lt;=0),"",IF(AND(D73&gt;G73,ABS(D73-G73)&lt;M73*0.5),"2ND","1ST"))</f>
        <v/>
      </c>
      <c r="X73" s="8">
        <f>IF(OR(D73="",M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3" s="8">
        <f>IF(OR(D73="",M73&lt;=0),"",IF(M73&gt;D73*0.05,"VOL-HIGH","VOL-NORMAL"))</f>
        <v/>
      </c>
      <c r="Z73" s="8">
        <f>IF(OR(D73="",M73&lt;=0),"",IF(AND(N73="VOL-OK",Y73="VOL-NORMAL",W73="2ND"),"OK","NG"))</f>
        <v/>
      </c>
      <c r="AA73" s="8">
        <f>IF(OR(D73="",M73&lt;=0),"",IF(AND(E73&gt;I73,F73&gt;J73),"UP",IF(AND(E73&lt;I73,F73&lt;J73),"DOWN","FLAT")))</f>
        <v/>
      </c>
    </row>
    <row r="74" ht="26" customHeight="1" s="1">
      <c r="A74" s="14">
        <f>IF(B74="","",ROW()-2)</f>
        <v/>
      </c>
      <c r="B74" s="15">
        <f>IF('StockList_MS2'!A73="","",HYPERLINK("https://kabutan.jp/stock/?code="&amp;'StockList_MS2'!A73,'StockList_MS2'!A73))</f>
        <v/>
      </c>
      <c r="C74" s="16">
        <f>IF('StockList_MS2'!A73="","",'StockList_MS2'!B73)</f>
        <v/>
      </c>
      <c r="D74" s="17" t="n"/>
      <c r="E74" s="17" t="n"/>
      <c r="F74" s="17" t="n"/>
      <c r="G74" s="17" t="n"/>
      <c r="H74" s="18" t="n"/>
      <c r="I74" s="17" t="n"/>
      <c r="J74" s="17" t="n"/>
      <c r="K74" s="17" t="n"/>
      <c r="L74" s="14">
        <f>IF(D74="","",IF(D74&gt;K74,"BUY-DAY","SELL-DAY"))</f>
        <v/>
      </c>
      <c r="M74" s="19">
        <f>IF(D74="","",MAX(E74-F74,ABS(E74-K74),ABS(F74-K74)))</f>
        <v/>
      </c>
      <c r="N74" s="14">
        <f>IF(D74="","",IF(AND(H74&gt;0,H74&gt;(H74/3)*2.5),"VOL-OK","VOL-NG"))</f>
        <v/>
      </c>
      <c r="O74" s="14">
        <f>IF(D74="","",IF(D74&gt;I74,"ON","OFF"))</f>
        <v/>
      </c>
      <c r="P74" s="14">
        <f>IF(D74="","",IF(D74&lt;J74,"ON","OFF"))</f>
        <v/>
      </c>
      <c r="Q74" s="14">
        <f>IF(OR(D74="",M74&lt;=0),"",IF(AND(L74="BUY-DAY",N74="VOL-OK",P74="ON",Z74="OK",AA74&lt;&gt;"DOWN"),"BUY",IF(AND(L74="SELL-DAY",N74="VOL-OK",O74="ON",Z74="OK",AA74&lt;&gt;"UP"),"SELL","")))</f>
        <v/>
      </c>
      <c r="R74" s="19">
        <f>IF(Q74="","",D74)</f>
        <v/>
      </c>
      <c r="S74" s="19">
        <f>IF(Q74="","",IF(Q74="BUY",D74-M74*1.5,D74+M74*1.5))</f>
        <v/>
      </c>
      <c r="T74" s="19">
        <f>IF(Q74="","",IF(Q74="BUY",D74+M74*1.5,D74-M74*1.5))</f>
        <v/>
      </c>
      <c r="U74" s="19">
        <f>IF(Q74="","",IF(Q74="BUY",D74+M74*2,D74-M74*2))</f>
        <v/>
      </c>
      <c r="V74" s="19">
        <f>IF(Q74="","",IF(Q74="BUY",D74+M74*3,D74-M74*3))</f>
        <v/>
      </c>
      <c r="W74" s="14">
        <f>IF(OR(D74="",M74&lt;=0),"",IF(AND(D74&gt;G74,ABS(D74-G74)&lt;M74*0.5),"2ND","1ST"))</f>
        <v/>
      </c>
      <c r="X74" s="14">
        <f>IF(OR(D74="",M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4" s="14">
        <f>IF(OR(D74="",M74&lt;=0),"",IF(M74&gt;D74*0.05,"VOL-HIGH","VOL-NORMAL"))</f>
        <v/>
      </c>
      <c r="Z74" s="14">
        <f>IF(OR(D74="",M74&lt;=0),"",IF(AND(N74="VOL-OK",Y74="VOL-NORMAL",W74="2ND"),"OK","NG"))</f>
        <v/>
      </c>
      <c r="AA74" s="14">
        <f>IF(OR(D74="",M74&lt;=0),"",IF(AND(E74&gt;I74,F74&gt;J74),"UP",IF(AND(E74&lt;I74,F74&lt;J74),"DOWN","FLAT")))</f>
        <v/>
      </c>
    </row>
    <row r="75" ht="26" customHeight="1" s="1">
      <c r="A75" s="8">
        <f>IF(B75="","",ROW()-2)</f>
        <v/>
      </c>
      <c r="B75" s="9">
        <f>IF('StockList_MS2'!A74="","",HYPERLINK("https://kabutan.jp/stock/?code="&amp;'StockList_MS2'!A74,'StockList_MS2'!A74))</f>
        <v/>
      </c>
      <c r="C75" s="10">
        <f>IF('StockList_MS2'!A74="","",'StockList_MS2'!B74)</f>
        <v/>
      </c>
      <c r="D75" s="11" t="n"/>
      <c r="E75" s="11" t="n"/>
      <c r="F75" s="11" t="n"/>
      <c r="G75" s="11" t="n"/>
      <c r="H75" s="12" t="n"/>
      <c r="I75" s="11" t="n"/>
      <c r="J75" s="11" t="n"/>
      <c r="K75" s="11" t="n"/>
      <c r="L75" s="8">
        <f>IF(D75="","",IF(D75&gt;K75,"BUY-DAY","SELL-DAY"))</f>
        <v/>
      </c>
      <c r="M75" s="13">
        <f>IF(D75="","",MAX(E75-F75,ABS(E75-K75),ABS(F75-K75)))</f>
        <v/>
      </c>
      <c r="N75" s="8">
        <f>IF(D75="","",IF(AND(H75&gt;0,H75&gt;(H75/3)*2.5),"VOL-OK","VOL-NG"))</f>
        <v/>
      </c>
      <c r="O75" s="8">
        <f>IF(D75="","",IF(D75&gt;I75,"ON","OFF"))</f>
        <v/>
      </c>
      <c r="P75" s="8">
        <f>IF(D75="","",IF(D75&lt;J75,"ON","OFF"))</f>
        <v/>
      </c>
      <c r="Q75" s="8">
        <f>IF(OR(D75="",M75&lt;=0),"",IF(AND(L75="BUY-DAY",N75="VOL-OK",P75="ON",Z75="OK",AA75&lt;&gt;"DOWN"),"BUY",IF(AND(L75="SELL-DAY",N75="VOL-OK",O75="ON",Z75="OK",AA75&lt;&gt;"UP"),"SELL","")))</f>
        <v/>
      </c>
      <c r="R75" s="13">
        <f>IF(Q75="","",D75)</f>
        <v/>
      </c>
      <c r="S75" s="13">
        <f>IF(Q75="","",IF(Q75="BUY",D75-M75*1.5,D75+M75*1.5))</f>
        <v/>
      </c>
      <c r="T75" s="13">
        <f>IF(Q75="","",IF(Q75="BUY",D75+M75*1.5,D75-M75*1.5))</f>
        <v/>
      </c>
      <c r="U75" s="13">
        <f>IF(Q75="","",IF(Q75="BUY",D75+M75*2,D75-M75*2))</f>
        <v/>
      </c>
      <c r="V75" s="13">
        <f>IF(Q75="","",IF(Q75="BUY",D75+M75*3,D75-M75*3))</f>
        <v/>
      </c>
      <c r="W75" s="8">
        <f>IF(OR(D75="",M75&lt;=0),"",IF(AND(D75&gt;G75,ABS(D75-G75)&lt;M75*0.5),"2ND","1ST"))</f>
        <v/>
      </c>
      <c r="X75" s="8">
        <f>IF(OR(D75="",M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5" s="8">
        <f>IF(OR(D75="",M75&lt;=0),"",IF(M75&gt;D75*0.05,"VOL-HIGH","VOL-NORMAL"))</f>
        <v/>
      </c>
      <c r="Z75" s="8">
        <f>IF(OR(D75="",M75&lt;=0),"",IF(AND(N75="VOL-OK",Y75="VOL-NORMAL",W75="2ND"),"OK","NG"))</f>
        <v/>
      </c>
      <c r="AA75" s="8">
        <f>IF(OR(D75="",M75&lt;=0),"",IF(AND(E75&gt;I75,F75&gt;J75),"UP",IF(AND(E75&lt;I75,F75&lt;J75),"DOWN","FLAT")))</f>
        <v/>
      </c>
    </row>
    <row r="76" ht="26" customHeight="1" s="1">
      <c r="A76" s="14">
        <f>IF(B76="","",ROW()-2)</f>
        <v/>
      </c>
      <c r="B76" s="15">
        <f>IF('StockList_MS2'!A75="","",HYPERLINK("https://kabutan.jp/stock/?code="&amp;'StockList_MS2'!A75,'StockList_MS2'!A75))</f>
        <v/>
      </c>
      <c r="C76" s="16">
        <f>IF('StockList_MS2'!A75="","",'StockList_MS2'!B75)</f>
        <v/>
      </c>
      <c r="D76" s="17" t="n"/>
      <c r="E76" s="17" t="n"/>
      <c r="F76" s="17" t="n"/>
      <c r="G76" s="17" t="n"/>
      <c r="H76" s="18" t="n"/>
      <c r="I76" s="17" t="n"/>
      <c r="J76" s="17" t="n"/>
      <c r="K76" s="17" t="n"/>
      <c r="L76" s="14">
        <f>IF(D76="","",IF(D76&gt;K76,"BUY-DAY","SELL-DAY"))</f>
        <v/>
      </c>
      <c r="M76" s="19">
        <f>IF(D76="","",MAX(E76-F76,ABS(E76-K76),ABS(F76-K76)))</f>
        <v/>
      </c>
      <c r="N76" s="14">
        <f>IF(D76="","",IF(AND(H76&gt;0,H76&gt;(H76/3)*2.5),"VOL-OK","VOL-NG"))</f>
        <v/>
      </c>
      <c r="O76" s="14">
        <f>IF(D76="","",IF(D76&gt;I76,"ON","OFF"))</f>
        <v/>
      </c>
      <c r="P76" s="14">
        <f>IF(D76="","",IF(D76&lt;J76,"ON","OFF"))</f>
        <v/>
      </c>
      <c r="Q76" s="14">
        <f>IF(OR(D76="",M76&lt;=0),"",IF(AND(L76="BUY-DAY",N76="VOL-OK",P76="ON",Z76="OK",AA76&lt;&gt;"DOWN"),"BUY",IF(AND(L76="SELL-DAY",N76="VOL-OK",O76="ON",Z76="OK",AA76&lt;&gt;"UP"),"SELL","")))</f>
        <v/>
      </c>
      <c r="R76" s="19">
        <f>IF(Q76="","",D76)</f>
        <v/>
      </c>
      <c r="S76" s="19">
        <f>IF(Q76="","",IF(Q76="BUY",D76-M76*1.5,D76+M76*1.5))</f>
        <v/>
      </c>
      <c r="T76" s="19">
        <f>IF(Q76="","",IF(Q76="BUY",D76+M76*1.5,D76-M76*1.5))</f>
        <v/>
      </c>
      <c r="U76" s="19">
        <f>IF(Q76="","",IF(Q76="BUY",D76+M76*2,D76-M76*2))</f>
        <v/>
      </c>
      <c r="V76" s="19">
        <f>IF(Q76="","",IF(Q76="BUY",D76+M76*3,D76-M76*3))</f>
        <v/>
      </c>
      <c r="W76" s="14">
        <f>IF(OR(D76="",M76&lt;=0),"",IF(AND(D76&gt;G76,ABS(D76-G76)&lt;M76*0.5),"2ND","1ST"))</f>
        <v/>
      </c>
      <c r="X76" s="14">
        <f>IF(OR(D76="",M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6" s="14">
        <f>IF(OR(D76="",M76&lt;=0),"",IF(M76&gt;D76*0.05,"VOL-HIGH","VOL-NORMAL"))</f>
        <v/>
      </c>
      <c r="Z76" s="14">
        <f>IF(OR(D76="",M76&lt;=0),"",IF(AND(N76="VOL-OK",Y76="VOL-NORMAL",W76="2ND"),"OK","NG"))</f>
        <v/>
      </c>
      <c r="AA76" s="14">
        <f>IF(OR(D76="",M76&lt;=0),"",IF(AND(E76&gt;I76,F76&gt;J76),"UP",IF(AND(E76&lt;I76,F76&lt;J76),"DOWN","FLAT")))</f>
        <v/>
      </c>
    </row>
    <row r="77" ht="26" customHeight="1" s="1">
      <c r="A77" s="8">
        <f>IF(B77="","",ROW()-2)</f>
        <v/>
      </c>
      <c r="B77" s="9">
        <f>IF('StockList_MS2'!A76="","",HYPERLINK("https://kabutan.jp/stock/?code="&amp;'StockList_MS2'!A76,'StockList_MS2'!A76))</f>
        <v/>
      </c>
      <c r="C77" s="10">
        <f>IF('StockList_MS2'!A76="","",'StockList_MS2'!B76)</f>
        <v/>
      </c>
      <c r="D77" s="11" t="n"/>
      <c r="E77" s="11" t="n"/>
      <c r="F77" s="11" t="n"/>
      <c r="G77" s="11" t="n"/>
      <c r="H77" s="12" t="n"/>
      <c r="I77" s="11" t="n"/>
      <c r="J77" s="11" t="n"/>
      <c r="K77" s="11" t="n"/>
      <c r="L77" s="8">
        <f>IF(D77="","",IF(D77&gt;K77,"BUY-DAY","SELL-DAY"))</f>
        <v/>
      </c>
      <c r="M77" s="13">
        <f>IF(D77="","",MAX(E77-F77,ABS(E77-K77),ABS(F77-K77)))</f>
        <v/>
      </c>
      <c r="N77" s="8">
        <f>IF(D77="","",IF(AND(H77&gt;0,H77&gt;(H77/3)*2.5),"VOL-OK","VOL-NG"))</f>
        <v/>
      </c>
      <c r="O77" s="8">
        <f>IF(D77="","",IF(D77&gt;I77,"ON","OFF"))</f>
        <v/>
      </c>
      <c r="P77" s="8">
        <f>IF(D77="","",IF(D77&lt;J77,"ON","OFF"))</f>
        <v/>
      </c>
      <c r="Q77" s="8">
        <f>IF(OR(D77="",M77&lt;=0),"",IF(AND(L77="BUY-DAY",N77="VOL-OK",P77="ON",Z77="OK",AA77&lt;&gt;"DOWN"),"BUY",IF(AND(L77="SELL-DAY",N77="VOL-OK",O77="ON",Z77="OK",AA77&lt;&gt;"UP"),"SELL","")))</f>
        <v/>
      </c>
      <c r="R77" s="13">
        <f>IF(Q77="","",D77)</f>
        <v/>
      </c>
      <c r="S77" s="13">
        <f>IF(Q77="","",IF(Q77="BUY",D77-M77*1.5,D77+M77*1.5))</f>
        <v/>
      </c>
      <c r="T77" s="13">
        <f>IF(Q77="","",IF(Q77="BUY",D77+M77*1.5,D77-M77*1.5))</f>
        <v/>
      </c>
      <c r="U77" s="13">
        <f>IF(Q77="","",IF(Q77="BUY",D77+M77*2,D77-M77*2))</f>
        <v/>
      </c>
      <c r="V77" s="13">
        <f>IF(Q77="","",IF(Q77="BUY",D77+M77*3,D77-M77*3))</f>
        <v/>
      </c>
      <c r="W77" s="8">
        <f>IF(OR(D77="",M77&lt;=0),"",IF(AND(D77&gt;G77,ABS(D77-G77)&lt;M77*0.5),"2ND","1ST"))</f>
        <v/>
      </c>
      <c r="X77" s="8">
        <f>IF(OR(D77="",M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7" s="8">
        <f>IF(OR(D77="",M77&lt;=0),"",IF(M77&gt;D77*0.05,"VOL-HIGH","VOL-NORMAL"))</f>
        <v/>
      </c>
      <c r="Z77" s="8">
        <f>IF(OR(D77="",M77&lt;=0),"",IF(AND(N77="VOL-OK",Y77="VOL-NORMAL",W77="2ND"),"OK","NG"))</f>
        <v/>
      </c>
      <c r="AA77" s="8">
        <f>IF(OR(D77="",M77&lt;=0),"",IF(AND(E77&gt;I77,F77&gt;J77),"UP",IF(AND(E77&lt;I77,F77&lt;J77),"DOWN","FLAT")))</f>
        <v/>
      </c>
    </row>
    <row r="78" ht="26" customHeight="1" s="1">
      <c r="A78" s="14">
        <f>IF(B78="","",ROW()-2)</f>
        <v/>
      </c>
      <c r="B78" s="15">
        <f>IF('StockList_MS2'!A77="","",HYPERLINK("https://kabutan.jp/stock/?code="&amp;'StockList_MS2'!A77,'StockList_MS2'!A77))</f>
        <v/>
      </c>
      <c r="C78" s="16">
        <f>IF('StockList_MS2'!A77="","",'StockList_MS2'!B77)</f>
        <v/>
      </c>
      <c r="D78" s="17" t="n"/>
      <c r="E78" s="17" t="n"/>
      <c r="F78" s="17" t="n"/>
      <c r="G78" s="17" t="n"/>
      <c r="H78" s="18" t="n"/>
      <c r="I78" s="17" t="n"/>
      <c r="J78" s="17" t="n"/>
      <c r="K78" s="17" t="n"/>
      <c r="L78" s="14">
        <f>IF(D78="","",IF(D78&gt;K78,"BUY-DAY","SELL-DAY"))</f>
        <v/>
      </c>
      <c r="M78" s="19">
        <f>IF(D78="","",MAX(E78-F78,ABS(E78-K78),ABS(F78-K78)))</f>
        <v/>
      </c>
      <c r="N78" s="14">
        <f>IF(D78="","",IF(AND(H78&gt;0,H78&gt;(H78/3)*2.5),"VOL-OK","VOL-NG"))</f>
        <v/>
      </c>
      <c r="O78" s="14">
        <f>IF(D78="","",IF(D78&gt;I78,"ON","OFF"))</f>
        <v/>
      </c>
      <c r="P78" s="14">
        <f>IF(D78="","",IF(D78&lt;J78,"ON","OFF"))</f>
        <v/>
      </c>
      <c r="Q78" s="14">
        <f>IF(OR(D78="",M78&lt;=0),"",IF(AND(L78="BUY-DAY",N78="VOL-OK",P78="ON",Z78="OK",AA78&lt;&gt;"DOWN"),"BUY",IF(AND(L78="SELL-DAY",N78="VOL-OK",O78="ON",Z78="OK",AA78&lt;&gt;"UP"),"SELL","")))</f>
        <v/>
      </c>
      <c r="R78" s="19">
        <f>IF(Q78="","",D78)</f>
        <v/>
      </c>
      <c r="S78" s="19">
        <f>IF(Q78="","",IF(Q78="BUY",D78-M78*1.5,D78+M78*1.5))</f>
        <v/>
      </c>
      <c r="T78" s="19">
        <f>IF(Q78="","",IF(Q78="BUY",D78+M78*1.5,D78-M78*1.5))</f>
        <v/>
      </c>
      <c r="U78" s="19">
        <f>IF(Q78="","",IF(Q78="BUY",D78+M78*2,D78-M78*2))</f>
        <v/>
      </c>
      <c r="V78" s="19">
        <f>IF(Q78="","",IF(Q78="BUY",D78+M78*3,D78-M78*3))</f>
        <v/>
      </c>
      <c r="W78" s="14">
        <f>IF(OR(D78="",M78&lt;=0),"",IF(AND(D78&gt;G78,ABS(D78-G78)&lt;M78*0.5),"2ND","1ST"))</f>
        <v/>
      </c>
      <c r="X78" s="14">
        <f>IF(OR(D78="",M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8" s="14">
        <f>IF(OR(D78="",M78&lt;=0),"",IF(M78&gt;D78*0.05,"VOL-HIGH","VOL-NORMAL"))</f>
        <v/>
      </c>
      <c r="Z78" s="14">
        <f>IF(OR(D78="",M78&lt;=0),"",IF(AND(N78="VOL-OK",Y78="VOL-NORMAL",W78="2ND"),"OK","NG"))</f>
        <v/>
      </c>
      <c r="AA78" s="14">
        <f>IF(OR(D78="",M78&lt;=0),"",IF(AND(E78&gt;I78,F78&gt;J78),"UP",IF(AND(E78&lt;I78,F78&lt;J78),"DOWN","FLAT")))</f>
        <v/>
      </c>
    </row>
    <row r="79" ht="26" customHeight="1" s="1">
      <c r="A79" s="8">
        <f>IF(B79="","",ROW()-2)</f>
        <v/>
      </c>
      <c r="B79" s="9">
        <f>IF('StockList_MS2'!A78="","",HYPERLINK("https://kabutan.jp/stock/?code="&amp;'StockList_MS2'!A78,'StockList_MS2'!A78))</f>
        <v/>
      </c>
      <c r="C79" s="10">
        <f>IF('StockList_MS2'!A78="","",'StockList_MS2'!B78)</f>
        <v/>
      </c>
      <c r="D79" s="11" t="n"/>
      <c r="E79" s="11" t="n"/>
      <c r="F79" s="11" t="n"/>
      <c r="G79" s="11" t="n"/>
      <c r="H79" s="12" t="n"/>
      <c r="I79" s="11" t="n"/>
      <c r="J79" s="11" t="n"/>
      <c r="K79" s="11" t="n"/>
      <c r="L79" s="8">
        <f>IF(D79="","",IF(D79&gt;K79,"BUY-DAY","SELL-DAY"))</f>
        <v/>
      </c>
      <c r="M79" s="13">
        <f>IF(D79="","",MAX(E79-F79,ABS(E79-K79),ABS(F79-K79)))</f>
        <v/>
      </c>
      <c r="N79" s="8">
        <f>IF(D79="","",IF(AND(H79&gt;0,H79&gt;(H79/3)*2.5),"VOL-OK","VOL-NG"))</f>
        <v/>
      </c>
      <c r="O79" s="8">
        <f>IF(D79="","",IF(D79&gt;I79,"ON","OFF"))</f>
        <v/>
      </c>
      <c r="P79" s="8">
        <f>IF(D79="","",IF(D79&lt;J79,"ON","OFF"))</f>
        <v/>
      </c>
      <c r="Q79" s="8">
        <f>IF(OR(D79="",M79&lt;=0),"",IF(AND(L79="BUY-DAY",N79="VOL-OK",P79="ON",Z79="OK",AA79&lt;&gt;"DOWN"),"BUY",IF(AND(L79="SELL-DAY",N79="VOL-OK",O79="ON",Z79="OK",AA79&lt;&gt;"UP"),"SELL","")))</f>
        <v/>
      </c>
      <c r="R79" s="13">
        <f>IF(Q79="","",D79)</f>
        <v/>
      </c>
      <c r="S79" s="13">
        <f>IF(Q79="","",IF(Q79="BUY",D79-M79*1.5,D79+M79*1.5))</f>
        <v/>
      </c>
      <c r="T79" s="13">
        <f>IF(Q79="","",IF(Q79="BUY",D79+M79*1.5,D79-M79*1.5))</f>
        <v/>
      </c>
      <c r="U79" s="13">
        <f>IF(Q79="","",IF(Q79="BUY",D79+M79*2,D79-M79*2))</f>
        <v/>
      </c>
      <c r="V79" s="13">
        <f>IF(Q79="","",IF(Q79="BUY",D79+M79*3,D79-M79*3))</f>
        <v/>
      </c>
      <c r="W79" s="8">
        <f>IF(OR(D79="",M79&lt;=0),"",IF(AND(D79&gt;G79,ABS(D79-G79)&lt;M79*0.5),"2ND","1ST"))</f>
        <v/>
      </c>
      <c r="X79" s="8">
        <f>IF(OR(D79="",M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79" s="8">
        <f>IF(OR(D79="",M79&lt;=0),"",IF(M79&gt;D79*0.05,"VOL-HIGH","VOL-NORMAL"))</f>
        <v/>
      </c>
      <c r="Z79" s="8">
        <f>IF(OR(D79="",M79&lt;=0),"",IF(AND(N79="VOL-OK",Y79="VOL-NORMAL",W79="2ND"),"OK","NG"))</f>
        <v/>
      </c>
      <c r="AA79" s="8">
        <f>IF(OR(D79="",M79&lt;=0),"",IF(AND(E79&gt;I79,F79&gt;J79),"UP",IF(AND(E79&lt;I79,F79&lt;J79),"DOWN","FLAT")))</f>
        <v/>
      </c>
    </row>
    <row r="80" ht="26" customHeight="1" s="1">
      <c r="A80" s="14">
        <f>IF(B80="","",ROW()-2)</f>
        <v/>
      </c>
      <c r="B80" s="15">
        <f>IF('StockList_MS2'!A79="","",HYPERLINK("https://kabutan.jp/stock/?code="&amp;'StockList_MS2'!A79,'StockList_MS2'!A79))</f>
        <v/>
      </c>
      <c r="C80" s="16">
        <f>IF('StockList_MS2'!A79="","",'StockList_MS2'!B79)</f>
        <v/>
      </c>
      <c r="D80" s="17" t="n"/>
      <c r="E80" s="17" t="n"/>
      <c r="F80" s="17" t="n"/>
      <c r="G80" s="17" t="n"/>
      <c r="H80" s="18" t="n"/>
      <c r="I80" s="17" t="n"/>
      <c r="J80" s="17" t="n"/>
      <c r="K80" s="17" t="n"/>
      <c r="L80" s="14">
        <f>IF(D80="","",IF(D80&gt;K80,"BUY-DAY","SELL-DAY"))</f>
        <v/>
      </c>
      <c r="M80" s="19">
        <f>IF(D80="","",MAX(E80-F80,ABS(E80-K80),ABS(F80-K80)))</f>
        <v/>
      </c>
      <c r="N80" s="14">
        <f>IF(D80="","",IF(AND(H80&gt;0,H80&gt;(H80/3)*2.5),"VOL-OK","VOL-NG"))</f>
        <v/>
      </c>
      <c r="O80" s="14">
        <f>IF(D80="","",IF(D80&gt;I80,"ON","OFF"))</f>
        <v/>
      </c>
      <c r="P80" s="14">
        <f>IF(D80="","",IF(D80&lt;J80,"ON","OFF"))</f>
        <v/>
      </c>
      <c r="Q80" s="14">
        <f>IF(OR(D80="",M80&lt;=0),"",IF(AND(L80="BUY-DAY",N80="VOL-OK",P80="ON",Z80="OK",AA80&lt;&gt;"DOWN"),"BUY",IF(AND(L80="SELL-DAY",N80="VOL-OK",O80="ON",Z80="OK",AA80&lt;&gt;"UP"),"SELL","")))</f>
        <v/>
      </c>
      <c r="R80" s="19">
        <f>IF(Q80="","",D80)</f>
        <v/>
      </c>
      <c r="S80" s="19">
        <f>IF(Q80="","",IF(Q80="BUY",D80-M80*1.5,D80+M80*1.5))</f>
        <v/>
      </c>
      <c r="T80" s="19">
        <f>IF(Q80="","",IF(Q80="BUY",D80+M80*1.5,D80-M80*1.5))</f>
        <v/>
      </c>
      <c r="U80" s="19">
        <f>IF(Q80="","",IF(Q80="BUY",D80+M80*2,D80-M80*2))</f>
        <v/>
      </c>
      <c r="V80" s="19">
        <f>IF(Q80="","",IF(Q80="BUY",D80+M80*3,D80-M80*3))</f>
        <v/>
      </c>
      <c r="W80" s="14">
        <f>IF(OR(D80="",M80&lt;=0),"",IF(AND(D80&gt;G80,ABS(D80-G80)&lt;M80*0.5),"2ND","1ST"))</f>
        <v/>
      </c>
      <c r="X80" s="14">
        <f>IF(OR(D80="",M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0" s="14">
        <f>IF(OR(D80="",M80&lt;=0),"",IF(M80&gt;D80*0.05,"VOL-HIGH","VOL-NORMAL"))</f>
        <v/>
      </c>
      <c r="Z80" s="14">
        <f>IF(OR(D80="",M80&lt;=0),"",IF(AND(N80="VOL-OK",Y80="VOL-NORMAL",W80="2ND"),"OK","NG"))</f>
        <v/>
      </c>
      <c r="AA80" s="14">
        <f>IF(OR(D80="",M80&lt;=0),"",IF(AND(E80&gt;I80,F80&gt;J80),"UP",IF(AND(E80&lt;I80,F80&lt;J80),"DOWN","FLAT")))</f>
        <v/>
      </c>
    </row>
    <row r="81" ht="26" customHeight="1" s="1">
      <c r="A81" s="8">
        <f>IF(B81="","",ROW()-2)</f>
        <v/>
      </c>
      <c r="B81" s="9">
        <f>IF('StockList_MS2'!A80="","",HYPERLINK("https://kabutan.jp/stock/?code="&amp;'StockList_MS2'!A80,'StockList_MS2'!A80))</f>
        <v/>
      </c>
      <c r="C81" s="10">
        <f>IF('StockList_MS2'!A80="","",'StockList_MS2'!B80)</f>
        <v/>
      </c>
      <c r="D81" s="11" t="n"/>
      <c r="E81" s="11" t="n"/>
      <c r="F81" s="11" t="n"/>
      <c r="G81" s="11" t="n"/>
      <c r="H81" s="12" t="n"/>
      <c r="I81" s="11" t="n"/>
      <c r="J81" s="11" t="n"/>
      <c r="K81" s="11" t="n"/>
      <c r="L81" s="8">
        <f>IF(D81="","",IF(D81&gt;K81,"BUY-DAY","SELL-DAY"))</f>
        <v/>
      </c>
      <c r="M81" s="13">
        <f>IF(D81="","",MAX(E81-F81,ABS(E81-K81),ABS(F81-K81)))</f>
        <v/>
      </c>
      <c r="N81" s="8">
        <f>IF(D81="","",IF(AND(H81&gt;0,H81&gt;(H81/3)*2.5),"VOL-OK","VOL-NG"))</f>
        <v/>
      </c>
      <c r="O81" s="8">
        <f>IF(D81="","",IF(D81&gt;I81,"ON","OFF"))</f>
        <v/>
      </c>
      <c r="P81" s="8">
        <f>IF(D81="","",IF(D81&lt;J81,"ON","OFF"))</f>
        <v/>
      </c>
      <c r="Q81" s="8">
        <f>IF(OR(D81="",M81&lt;=0),"",IF(AND(L81="BUY-DAY",N81="VOL-OK",P81="ON",Z81="OK",AA81&lt;&gt;"DOWN"),"BUY",IF(AND(L81="SELL-DAY",N81="VOL-OK",O81="ON",Z81="OK",AA81&lt;&gt;"UP"),"SELL","")))</f>
        <v/>
      </c>
      <c r="R81" s="13">
        <f>IF(Q81="","",D81)</f>
        <v/>
      </c>
      <c r="S81" s="13">
        <f>IF(Q81="","",IF(Q81="BUY",D81-M81*1.5,D81+M81*1.5))</f>
        <v/>
      </c>
      <c r="T81" s="13">
        <f>IF(Q81="","",IF(Q81="BUY",D81+M81*1.5,D81-M81*1.5))</f>
        <v/>
      </c>
      <c r="U81" s="13">
        <f>IF(Q81="","",IF(Q81="BUY",D81+M81*2,D81-M81*2))</f>
        <v/>
      </c>
      <c r="V81" s="13">
        <f>IF(Q81="","",IF(Q81="BUY",D81+M81*3,D81-M81*3))</f>
        <v/>
      </c>
      <c r="W81" s="8">
        <f>IF(OR(D81="",M81&lt;=0),"",IF(AND(D81&gt;G81,ABS(D81-G81)&lt;M81*0.5),"2ND","1ST"))</f>
        <v/>
      </c>
      <c r="X81" s="8">
        <f>IF(OR(D81="",M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1" s="8">
        <f>IF(OR(D81="",M81&lt;=0),"",IF(M81&gt;D81*0.05,"VOL-HIGH","VOL-NORMAL"))</f>
        <v/>
      </c>
      <c r="Z81" s="8">
        <f>IF(OR(D81="",M81&lt;=0),"",IF(AND(N81="VOL-OK",Y81="VOL-NORMAL",W81="2ND"),"OK","NG"))</f>
        <v/>
      </c>
      <c r="AA81" s="8">
        <f>IF(OR(D81="",M81&lt;=0),"",IF(AND(E81&gt;I81,F81&gt;J81),"UP",IF(AND(E81&lt;I81,F81&lt;J81),"DOWN","FLAT")))</f>
        <v/>
      </c>
    </row>
    <row r="82" ht="26" customHeight="1" s="1">
      <c r="A82" s="14">
        <f>IF(B82="","",ROW()-2)</f>
        <v/>
      </c>
      <c r="B82" s="15">
        <f>IF('StockList_MS2'!A81="","",HYPERLINK("https://kabutan.jp/stock/?code="&amp;'StockList_MS2'!A81,'StockList_MS2'!A81))</f>
        <v/>
      </c>
      <c r="C82" s="16">
        <f>IF('StockList_MS2'!A81="","",'StockList_MS2'!B81)</f>
        <v/>
      </c>
      <c r="D82" s="17" t="n"/>
      <c r="E82" s="17" t="n"/>
      <c r="F82" s="17" t="n"/>
      <c r="G82" s="17" t="n"/>
      <c r="H82" s="18" t="n"/>
      <c r="I82" s="17" t="n"/>
      <c r="J82" s="17" t="n"/>
      <c r="K82" s="17" t="n"/>
      <c r="L82" s="14">
        <f>IF(D82="","",IF(D82&gt;K82,"BUY-DAY","SELL-DAY"))</f>
        <v/>
      </c>
      <c r="M82" s="19">
        <f>IF(D82="","",MAX(E82-F82,ABS(E82-K82),ABS(F82-K82)))</f>
        <v/>
      </c>
      <c r="N82" s="14">
        <f>IF(D82="","",IF(AND(H82&gt;0,H82&gt;(H82/3)*2.5),"VOL-OK","VOL-NG"))</f>
        <v/>
      </c>
      <c r="O82" s="14">
        <f>IF(D82="","",IF(D82&gt;I82,"ON","OFF"))</f>
        <v/>
      </c>
      <c r="P82" s="14">
        <f>IF(D82="","",IF(D82&lt;J82,"ON","OFF"))</f>
        <v/>
      </c>
      <c r="Q82" s="14">
        <f>IF(OR(D82="",M82&lt;=0),"",IF(AND(L82="BUY-DAY",N82="VOL-OK",P82="ON",Z82="OK",AA82&lt;&gt;"DOWN"),"BUY",IF(AND(L82="SELL-DAY",N82="VOL-OK",O82="ON",Z82="OK",AA82&lt;&gt;"UP"),"SELL","")))</f>
        <v/>
      </c>
      <c r="R82" s="19">
        <f>IF(Q82="","",D82)</f>
        <v/>
      </c>
      <c r="S82" s="19">
        <f>IF(Q82="","",IF(Q82="BUY",D82-M82*1.5,D82+M82*1.5))</f>
        <v/>
      </c>
      <c r="T82" s="19">
        <f>IF(Q82="","",IF(Q82="BUY",D82+M82*1.5,D82-M82*1.5))</f>
        <v/>
      </c>
      <c r="U82" s="19">
        <f>IF(Q82="","",IF(Q82="BUY",D82+M82*2,D82-M82*2))</f>
        <v/>
      </c>
      <c r="V82" s="19">
        <f>IF(Q82="","",IF(Q82="BUY",D82+M82*3,D82-M82*3))</f>
        <v/>
      </c>
      <c r="W82" s="14">
        <f>IF(OR(D82="",M82&lt;=0),"",IF(AND(D82&gt;G82,ABS(D82-G82)&lt;M82*0.5),"2ND","1ST"))</f>
        <v/>
      </c>
      <c r="X82" s="14">
        <f>IF(OR(D82="",M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2" s="14">
        <f>IF(OR(D82="",M82&lt;=0),"",IF(M82&gt;D82*0.05,"VOL-HIGH","VOL-NORMAL"))</f>
        <v/>
      </c>
      <c r="Z82" s="14">
        <f>IF(OR(D82="",M82&lt;=0),"",IF(AND(N82="VOL-OK",Y82="VOL-NORMAL",W82="2ND"),"OK","NG"))</f>
        <v/>
      </c>
      <c r="AA82" s="14">
        <f>IF(OR(D82="",M82&lt;=0),"",IF(AND(E82&gt;I82,F82&gt;J82),"UP",IF(AND(E82&lt;I82,F82&lt;J82),"DOWN","FLAT")))</f>
        <v/>
      </c>
    </row>
    <row r="83" ht="26" customHeight="1" s="1">
      <c r="A83" s="8">
        <f>IF(B83="","",ROW()-2)</f>
        <v/>
      </c>
      <c r="B83" s="9">
        <f>IF('StockList_MS2'!A82="","",HYPERLINK("https://kabutan.jp/stock/?code="&amp;'StockList_MS2'!A82,'StockList_MS2'!A82))</f>
        <v/>
      </c>
      <c r="C83" s="10">
        <f>IF('StockList_MS2'!A82="","",'StockList_MS2'!B82)</f>
        <v/>
      </c>
      <c r="D83" s="11" t="n"/>
      <c r="E83" s="11" t="n"/>
      <c r="F83" s="11" t="n"/>
      <c r="G83" s="11" t="n"/>
      <c r="H83" s="12" t="n"/>
      <c r="I83" s="11" t="n"/>
      <c r="J83" s="11" t="n"/>
      <c r="K83" s="11" t="n"/>
      <c r="L83" s="8">
        <f>IF(D83="","",IF(D83&gt;K83,"BUY-DAY","SELL-DAY"))</f>
        <v/>
      </c>
      <c r="M83" s="13">
        <f>IF(D83="","",MAX(E83-F83,ABS(E83-K83),ABS(F83-K83)))</f>
        <v/>
      </c>
      <c r="N83" s="8">
        <f>IF(D83="","",IF(AND(H83&gt;0,H83&gt;(H83/3)*2.5),"VOL-OK","VOL-NG"))</f>
        <v/>
      </c>
      <c r="O83" s="8">
        <f>IF(D83="","",IF(D83&gt;I83,"ON","OFF"))</f>
        <v/>
      </c>
      <c r="P83" s="8">
        <f>IF(D83="","",IF(D83&lt;J83,"ON","OFF"))</f>
        <v/>
      </c>
      <c r="Q83" s="8">
        <f>IF(OR(D83="",M83&lt;=0),"",IF(AND(L83="BUY-DAY",N83="VOL-OK",P83="ON",Z83="OK",AA83&lt;&gt;"DOWN"),"BUY",IF(AND(L83="SELL-DAY",N83="VOL-OK",O83="ON",Z83="OK",AA83&lt;&gt;"UP"),"SELL","")))</f>
        <v/>
      </c>
      <c r="R83" s="13">
        <f>IF(Q83="","",D83)</f>
        <v/>
      </c>
      <c r="S83" s="13">
        <f>IF(Q83="","",IF(Q83="BUY",D83-M83*1.5,D83+M83*1.5))</f>
        <v/>
      </c>
      <c r="T83" s="13">
        <f>IF(Q83="","",IF(Q83="BUY",D83+M83*1.5,D83-M83*1.5))</f>
        <v/>
      </c>
      <c r="U83" s="13">
        <f>IF(Q83="","",IF(Q83="BUY",D83+M83*2,D83-M83*2))</f>
        <v/>
      </c>
      <c r="V83" s="13">
        <f>IF(Q83="","",IF(Q83="BUY",D83+M83*3,D83-M83*3))</f>
        <v/>
      </c>
      <c r="W83" s="8">
        <f>IF(OR(D83="",M83&lt;=0),"",IF(AND(D83&gt;G83,ABS(D83-G83)&lt;M83*0.5),"2ND","1ST"))</f>
        <v/>
      </c>
      <c r="X83" s="8">
        <f>IF(OR(D83="",M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3" s="8">
        <f>IF(OR(D83="",M83&lt;=0),"",IF(M83&gt;D83*0.05,"VOL-HIGH","VOL-NORMAL"))</f>
        <v/>
      </c>
      <c r="Z83" s="8">
        <f>IF(OR(D83="",M83&lt;=0),"",IF(AND(N83="VOL-OK",Y83="VOL-NORMAL",W83="2ND"),"OK","NG"))</f>
        <v/>
      </c>
      <c r="AA83" s="8">
        <f>IF(OR(D83="",M83&lt;=0),"",IF(AND(E83&gt;I83,F83&gt;J83),"UP",IF(AND(E83&lt;I83,F83&lt;J83),"DOWN","FLAT")))</f>
        <v/>
      </c>
    </row>
    <row r="84" ht="26" customHeight="1" s="1">
      <c r="A84" s="14">
        <f>IF(B84="","",ROW()-2)</f>
        <v/>
      </c>
      <c r="B84" s="15">
        <f>IF('StockList_MS2'!A83="","",HYPERLINK("https://kabutan.jp/stock/?code="&amp;'StockList_MS2'!A83,'StockList_MS2'!A83))</f>
        <v/>
      </c>
      <c r="C84" s="16">
        <f>IF('StockList_MS2'!A83="","",'StockList_MS2'!B83)</f>
        <v/>
      </c>
      <c r="D84" s="17" t="n"/>
      <c r="E84" s="17" t="n"/>
      <c r="F84" s="17" t="n"/>
      <c r="G84" s="17" t="n"/>
      <c r="H84" s="18" t="n"/>
      <c r="I84" s="17" t="n"/>
      <c r="J84" s="17" t="n"/>
      <c r="K84" s="17" t="n"/>
      <c r="L84" s="14">
        <f>IF(D84="","",IF(D84&gt;K84,"BUY-DAY","SELL-DAY"))</f>
        <v/>
      </c>
      <c r="M84" s="19">
        <f>IF(D84="","",MAX(E84-F84,ABS(E84-K84),ABS(F84-K84)))</f>
        <v/>
      </c>
      <c r="N84" s="14">
        <f>IF(D84="","",IF(AND(H84&gt;0,H84&gt;(H84/3)*2.5),"VOL-OK","VOL-NG"))</f>
        <v/>
      </c>
      <c r="O84" s="14">
        <f>IF(D84="","",IF(D84&gt;I84,"ON","OFF"))</f>
        <v/>
      </c>
      <c r="P84" s="14">
        <f>IF(D84="","",IF(D84&lt;J84,"ON","OFF"))</f>
        <v/>
      </c>
      <c r="Q84" s="14">
        <f>IF(OR(D84="",M84&lt;=0),"",IF(AND(L84="BUY-DAY",N84="VOL-OK",P84="ON",Z84="OK",AA84&lt;&gt;"DOWN"),"BUY",IF(AND(L84="SELL-DAY",N84="VOL-OK",O84="ON",Z84="OK",AA84&lt;&gt;"UP"),"SELL","")))</f>
        <v/>
      </c>
      <c r="R84" s="19">
        <f>IF(Q84="","",D84)</f>
        <v/>
      </c>
      <c r="S84" s="19">
        <f>IF(Q84="","",IF(Q84="BUY",D84-M84*1.5,D84+M84*1.5))</f>
        <v/>
      </c>
      <c r="T84" s="19">
        <f>IF(Q84="","",IF(Q84="BUY",D84+M84*1.5,D84-M84*1.5))</f>
        <v/>
      </c>
      <c r="U84" s="19">
        <f>IF(Q84="","",IF(Q84="BUY",D84+M84*2,D84-M84*2))</f>
        <v/>
      </c>
      <c r="V84" s="19">
        <f>IF(Q84="","",IF(Q84="BUY",D84+M84*3,D84-M84*3))</f>
        <v/>
      </c>
      <c r="W84" s="14">
        <f>IF(OR(D84="",M84&lt;=0),"",IF(AND(D84&gt;G84,ABS(D84-G84)&lt;M84*0.5),"2ND","1ST"))</f>
        <v/>
      </c>
      <c r="X84" s="14">
        <f>IF(OR(D84="",M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4" s="14">
        <f>IF(OR(D84="",M84&lt;=0),"",IF(M84&gt;D84*0.05,"VOL-HIGH","VOL-NORMAL"))</f>
        <v/>
      </c>
      <c r="Z84" s="14">
        <f>IF(OR(D84="",M84&lt;=0),"",IF(AND(N84="VOL-OK",Y84="VOL-NORMAL",W84="2ND"),"OK","NG"))</f>
        <v/>
      </c>
      <c r="AA84" s="14">
        <f>IF(OR(D84="",M84&lt;=0),"",IF(AND(E84&gt;I84,F84&gt;J84),"UP",IF(AND(E84&lt;I84,F84&lt;J84),"DOWN","FLAT")))</f>
        <v/>
      </c>
    </row>
    <row r="85" ht="26" customHeight="1" s="1">
      <c r="A85" s="8">
        <f>IF(B85="","",ROW()-2)</f>
        <v/>
      </c>
      <c r="B85" s="9">
        <f>IF('StockList_MS2'!A84="","",HYPERLINK("https://kabutan.jp/stock/?code="&amp;'StockList_MS2'!A84,'StockList_MS2'!A84))</f>
        <v/>
      </c>
      <c r="C85" s="10">
        <f>IF('StockList_MS2'!A84="","",'StockList_MS2'!B84)</f>
        <v/>
      </c>
      <c r="D85" s="11" t="n"/>
      <c r="E85" s="11" t="n"/>
      <c r="F85" s="11" t="n"/>
      <c r="G85" s="11" t="n"/>
      <c r="H85" s="12" t="n"/>
      <c r="I85" s="11" t="n"/>
      <c r="J85" s="11" t="n"/>
      <c r="K85" s="11" t="n"/>
      <c r="L85" s="8">
        <f>IF(D85="","",IF(D85&gt;K85,"BUY-DAY","SELL-DAY"))</f>
        <v/>
      </c>
      <c r="M85" s="13">
        <f>IF(D85="","",MAX(E85-F85,ABS(E85-K85),ABS(F85-K85)))</f>
        <v/>
      </c>
      <c r="N85" s="8">
        <f>IF(D85="","",IF(AND(H85&gt;0,H85&gt;(H85/3)*2.5),"VOL-OK","VOL-NG"))</f>
        <v/>
      </c>
      <c r="O85" s="8">
        <f>IF(D85="","",IF(D85&gt;I85,"ON","OFF"))</f>
        <v/>
      </c>
      <c r="P85" s="8">
        <f>IF(D85="","",IF(D85&lt;J85,"ON","OFF"))</f>
        <v/>
      </c>
      <c r="Q85" s="8">
        <f>IF(OR(D85="",M85&lt;=0),"",IF(AND(L85="BUY-DAY",N85="VOL-OK",P85="ON",Z85="OK",AA85&lt;&gt;"DOWN"),"BUY",IF(AND(L85="SELL-DAY",N85="VOL-OK",O85="ON",Z85="OK",AA85&lt;&gt;"UP"),"SELL","")))</f>
        <v/>
      </c>
      <c r="R85" s="13">
        <f>IF(Q85="","",D85)</f>
        <v/>
      </c>
      <c r="S85" s="13">
        <f>IF(Q85="","",IF(Q85="BUY",D85-M85*1.5,D85+M85*1.5))</f>
        <v/>
      </c>
      <c r="T85" s="13">
        <f>IF(Q85="","",IF(Q85="BUY",D85+M85*1.5,D85-M85*1.5))</f>
        <v/>
      </c>
      <c r="U85" s="13">
        <f>IF(Q85="","",IF(Q85="BUY",D85+M85*2,D85-M85*2))</f>
        <v/>
      </c>
      <c r="V85" s="13">
        <f>IF(Q85="","",IF(Q85="BUY",D85+M85*3,D85-M85*3))</f>
        <v/>
      </c>
      <c r="W85" s="8">
        <f>IF(OR(D85="",M85&lt;=0),"",IF(AND(D85&gt;G85,ABS(D85-G85)&lt;M85*0.5),"2ND","1ST"))</f>
        <v/>
      </c>
      <c r="X85" s="8">
        <f>IF(OR(D85="",M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5" s="8">
        <f>IF(OR(D85="",M85&lt;=0),"",IF(M85&gt;D85*0.05,"VOL-HIGH","VOL-NORMAL"))</f>
        <v/>
      </c>
      <c r="Z85" s="8">
        <f>IF(OR(D85="",M85&lt;=0),"",IF(AND(N85="VOL-OK",Y85="VOL-NORMAL",W85="2ND"),"OK","NG"))</f>
        <v/>
      </c>
      <c r="AA85" s="8">
        <f>IF(OR(D85="",M85&lt;=0),"",IF(AND(E85&gt;I85,F85&gt;J85),"UP",IF(AND(E85&lt;I85,F85&lt;J85),"DOWN","FLAT")))</f>
        <v/>
      </c>
    </row>
    <row r="86" ht="26" customHeight="1" s="1">
      <c r="A86" s="14">
        <f>IF(B86="","",ROW()-2)</f>
        <v/>
      </c>
      <c r="B86" s="15">
        <f>IF('StockList_MS2'!A85="","",HYPERLINK("https://kabutan.jp/stock/?code="&amp;'StockList_MS2'!A85,'StockList_MS2'!A85))</f>
        <v/>
      </c>
      <c r="C86" s="16">
        <f>IF('StockList_MS2'!A85="","",'StockList_MS2'!B85)</f>
        <v/>
      </c>
      <c r="D86" s="17" t="n"/>
      <c r="E86" s="17" t="n"/>
      <c r="F86" s="17" t="n"/>
      <c r="G86" s="17" t="n"/>
      <c r="H86" s="18" t="n"/>
      <c r="I86" s="17" t="n"/>
      <c r="J86" s="17" t="n"/>
      <c r="K86" s="17" t="n"/>
      <c r="L86" s="14">
        <f>IF(D86="","",IF(D86&gt;K86,"BUY-DAY","SELL-DAY"))</f>
        <v/>
      </c>
      <c r="M86" s="19">
        <f>IF(D86="","",MAX(E86-F86,ABS(E86-K86),ABS(F86-K86)))</f>
        <v/>
      </c>
      <c r="N86" s="14">
        <f>IF(D86="","",IF(AND(H86&gt;0,H86&gt;(H86/3)*2.5),"VOL-OK","VOL-NG"))</f>
        <v/>
      </c>
      <c r="O86" s="14">
        <f>IF(D86="","",IF(D86&gt;I86,"ON","OFF"))</f>
        <v/>
      </c>
      <c r="P86" s="14">
        <f>IF(D86="","",IF(D86&lt;J86,"ON","OFF"))</f>
        <v/>
      </c>
      <c r="Q86" s="14">
        <f>IF(OR(D86="",M86&lt;=0),"",IF(AND(L86="BUY-DAY",N86="VOL-OK",P86="ON",Z86="OK",AA86&lt;&gt;"DOWN"),"BUY",IF(AND(L86="SELL-DAY",N86="VOL-OK",O86="ON",Z86="OK",AA86&lt;&gt;"UP"),"SELL","")))</f>
        <v/>
      </c>
      <c r="R86" s="19">
        <f>IF(Q86="","",D86)</f>
        <v/>
      </c>
      <c r="S86" s="19">
        <f>IF(Q86="","",IF(Q86="BUY",D86-M86*1.5,D86+M86*1.5))</f>
        <v/>
      </c>
      <c r="T86" s="19">
        <f>IF(Q86="","",IF(Q86="BUY",D86+M86*1.5,D86-M86*1.5))</f>
        <v/>
      </c>
      <c r="U86" s="19">
        <f>IF(Q86="","",IF(Q86="BUY",D86+M86*2,D86-M86*2))</f>
        <v/>
      </c>
      <c r="V86" s="19">
        <f>IF(Q86="","",IF(Q86="BUY",D86+M86*3,D86-M86*3))</f>
        <v/>
      </c>
      <c r="W86" s="14">
        <f>IF(OR(D86="",M86&lt;=0),"",IF(AND(D86&gt;G86,ABS(D86-G86)&lt;M86*0.5),"2ND","1ST"))</f>
        <v/>
      </c>
      <c r="X86" s="14">
        <f>IF(OR(D86="",M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6" s="14">
        <f>IF(OR(D86="",M86&lt;=0),"",IF(M86&gt;D86*0.05,"VOL-HIGH","VOL-NORMAL"))</f>
        <v/>
      </c>
      <c r="Z86" s="14">
        <f>IF(OR(D86="",M86&lt;=0),"",IF(AND(N86="VOL-OK",Y86="VOL-NORMAL",W86="2ND"),"OK","NG"))</f>
        <v/>
      </c>
      <c r="AA86" s="14">
        <f>IF(OR(D86="",M86&lt;=0),"",IF(AND(E86&gt;I86,F86&gt;J86),"UP",IF(AND(E86&lt;I86,F86&lt;J86),"DOWN","FLAT")))</f>
        <v/>
      </c>
    </row>
    <row r="87" ht="26" customHeight="1" s="1">
      <c r="A87" s="8">
        <f>IF(B87="","",ROW()-2)</f>
        <v/>
      </c>
      <c r="B87" s="9">
        <f>IF('StockList_MS2'!A86="","",HYPERLINK("https://kabutan.jp/stock/?code="&amp;'StockList_MS2'!A86,'StockList_MS2'!A86))</f>
        <v/>
      </c>
      <c r="C87" s="10">
        <f>IF('StockList_MS2'!A86="","",'StockList_MS2'!B86)</f>
        <v/>
      </c>
      <c r="D87" s="11" t="n"/>
      <c r="E87" s="11" t="n"/>
      <c r="F87" s="11" t="n"/>
      <c r="G87" s="11" t="n"/>
      <c r="H87" s="12" t="n"/>
      <c r="I87" s="11" t="n"/>
      <c r="J87" s="11" t="n"/>
      <c r="K87" s="11" t="n"/>
      <c r="L87" s="8">
        <f>IF(D87="","",IF(D87&gt;K87,"BUY-DAY","SELL-DAY"))</f>
        <v/>
      </c>
      <c r="M87" s="13">
        <f>IF(D87="","",MAX(E87-F87,ABS(E87-K87),ABS(F87-K87)))</f>
        <v/>
      </c>
      <c r="N87" s="8">
        <f>IF(D87="","",IF(AND(H87&gt;0,H87&gt;(H87/3)*2.5),"VOL-OK","VOL-NG"))</f>
        <v/>
      </c>
      <c r="O87" s="8">
        <f>IF(D87="","",IF(D87&gt;I87,"ON","OFF"))</f>
        <v/>
      </c>
      <c r="P87" s="8">
        <f>IF(D87="","",IF(D87&lt;J87,"ON","OFF"))</f>
        <v/>
      </c>
      <c r="Q87" s="8">
        <f>IF(OR(D87="",M87&lt;=0),"",IF(AND(L87="BUY-DAY",N87="VOL-OK",P87="ON",Z87="OK",AA87&lt;&gt;"DOWN"),"BUY",IF(AND(L87="SELL-DAY",N87="VOL-OK",O87="ON",Z87="OK",AA87&lt;&gt;"UP"),"SELL","")))</f>
        <v/>
      </c>
      <c r="R87" s="13">
        <f>IF(Q87="","",D87)</f>
        <v/>
      </c>
      <c r="S87" s="13">
        <f>IF(Q87="","",IF(Q87="BUY",D87-M87*1.5,D87+M87*1.5))</f>
        <v/>
      </c>
      <c r="T87" s="13">
        <f>IF(Q87="","",IF(Q87="BUY",D87+M87*1.5,D87-M87*1.5))</f>
        <v/>
      </c>
      <c r="U87" s="13">
        <f>IF(Q87="","",IF(Q87="BUY",D87+M87*2,D87-M87*2))</f>
        <v/>
      </c>
      <c r="V87" s="13">
        <f>IF(Q87="","",IF(Q87="BUY",D87+M87*3,D87-M87*3))</f>
        <v/>
      </c>
      <c r="W87" s="8">
        <f>IF(OR(D87="",M87&lt;=0),"",IF(AND(D87&gt;G87,ABS(D87-G87)&lt;M87*0.5),"2ND","1ST"))</f>
        <v/>
      </c>
      <c r="X87" s="8">
        <f>IF(OR(D87="",M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7" s="8">
        <f>IF(OR(D87="",M87&lt;=0),"",IF(M87&gt;D87*0.05,"VOL-HIGH","VOL-NORMAL"))</f>
        <v/>
      </c>
      <c r="Z87" s="8">
        <f>IF(OR(D87="",M87&lt;=0),"",IF(AND(N87="VOL-OK",Y87="VOL-NORMAL",W87="2ND"),"OK","NG"))</f>
        <v/>
      </c>
      <c r="AA87" s="8">
        <f>IF(OR(D87="",M87&lt;=0),"",IF(AND(E87&gt;I87,F87&gt;J87),"UP",IF(AND(E87&lt;I87,F87&lt;J87),"DOWN","FLAT")))</f>
        <v/>
      </c>
    </row>
    <row r="88" ht="26" customHeight="1" s="1">
      <c r="A88" s="14">
        <f>IF(B88="","",ROW()-2)</f>
        <v/>
      </c>
      <c r="B88" s="15">
        <f>IF('StockList_MS2'!A87="","",HYPERLINK("https://kabutan.jp/stock/?code="&amp;'StockList_MS2'!A87,'StockList_MS2'!A87))</f>
        <v/>
      </c>
      <c r="C88" s="16">
        <f>IF('StockList_MS2'!A87="","",'StockList_MS2'!B87)</f>
        <v/>
      </c>
      <c r="D88" s="17" t="n"/>
      <c r="E88" s="17" t="n"/>
      <c r="F88" s="17" t="n"/>
      <c r="G88" s="17" t="n"/>
      <c r="H88" s="18" t="n"/>
      <c r="I88" s="17" t="n"/>
      <c r="J88" s="17" t="n"/>
      <c r="K88" s="17" t="n"/>
      <c r="L88" s="14">
        <f>IF(D88="","",IF(D88&gt;K88,"BUY-DAY","SELL-DAY"))</f>
        <v/>
      </c>
      <c r="M88" s="19">
        <f>IF(D88="","",MAX(E88-F88,ABS(E88-K88),ABS(F88-K88)))</f>
        <v/>
      </c>
      <c r="N88" s="14">
        <f>IF(D88="","",IF(AND(H88&gt;0,H88&gt;(H88/3)*2.5),"VOL-OK","VOL-NG"))</f>
        <v/>
      </c>
      <c r="O88" s="14">
        <f>IF(D88="","",IF(D88&gt;I88,"ON","OFF"))</f>
        <v/>
      </c>
      <c r="P88" s="14">
        <f>IF(D88="","",IF(D88&lt;J88,"ON","OFF"))</f>
        <v/>
      </c>
      <c r="Q88" s="14">
        <f>IF(OR(D88="",M88&lt;=0),"",IF(AND(L88="BUY-DAY",N88="VOL-OK",P88="ON",Z88="OK",AA88&lt;&gt;"DOWN"),"BUY",IF(AND(L88="SELL-DAY",N88="VOL-OK",O88="ON",Z88="OK",AA88&lt;&gt;"UP"),"SELL","")))</f>
        <v/>
      </c>
      <c r="R88" s="19">
        <f>IF(Q88="","",D88)</f>
        <v/>
      </c>
      <c r="S88" s="19">
        <f>IF(Q88="","",IF(Q88="BUY",D88-M88*1.5,D88+M88*1.5))</f>
        <v/>
      </c>
      <c r="T88" s="19">
        <f>IF(Q88="","",IF(Q88="BUY",D88+M88*1.5,D88-M88*1.5))</f>
        <v/>
      </c>
      <c r="U88" s="19">
        <f>IF(Q88="","",IF(Q88="BUY",D88+M88*2,D88-M88*2))</f>
        <v/>
      </c>
      <c r="V88" s="19">
        <f>IF(Q88="","",IF(Q88="BUY",D88+M88*3,D88-M88*3))</f>
        <v/>
      </c>
      <c r="W88" s="14">
        <f>IF(OR(D88="",M88&lt;=0),"",IF(AND(D88&gt;G88,ABS(D88-G88)&lt;M88*0.5),"2ND","1ST"))</f>
        <v/>
      </c>
      <c r="X88" s="14">
        <f>IF(OR(D88="",M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8" s="14">
        <f>IF(OR(D88="",M88&lt;=0),"",IF(M88&gt;D88*0.05,"VOL-HIGH","VOL-NORMAL"))</f>
        <v/>
      </c>
      <c r="Z88" s="14">
        <f>IF(OR(D88="",M88&lt;=0),"",IF(AND(N88="VOL-OK",Y88="VOL-NORMAL",W88="2ND"),"OK","NG"))</f>
        <v/>
      </c>
      <c r="AA88" s="14">
        <f>IF(OR(D88="",M88&lt;=0),"",IF(AND(E88&gt;I88,F88&gt;J88),"UP",IF(AND(E88&lt;I88,F88&lt;J88),"DOWN","FLAT")))</f>
        <v/>
      </c>
    </row>
    <row r="89" ht="26" customHeight="1" s="1">
      <c r="A89" s="8">
        <f>IF(B89="","",ROW()-2)</f>
        <v/>
      </c>
      <c r="B89" s="9">
        <f>IF('StockList_MS2'!A88="","",HYPERLINK("https://kabutan.jp/stock/?code="&amp;'StockList_MS2'!A88,'StockList_MS2'!A88))</f>
        <v/>
      </c>
      <c r="C89" s="10">
        <f>IF('StockList_MS2'!A88="","",'StockList_MS2'!B88)</f>
        <v/>
      </c>
      <c r="D89" s="11" t="n"/>
      <c r="E89" s="11" t="n"/>
      <c r="F89" s="11" t="n"/>
      <c r="G89" s="11" t="n"/>
      <c r="H89" s="12" t="n"/>
      <c r="I89" s="11" t="n"/>
      <c r="J89" s="11" t="n"/>
      <c r="K89" s="11" t="n"/>
      <c r="L89" s="8">
        <f>IF(D89="","",IF(D89&gt;K89,"BUY-DAY","SELL-DAY"))</f>
        <v/>
      </c>
      <c r="M89" s="13">
        <f>IF(D89="","",MAX(E89-F89,ABS(E89-K89),ABS(F89-K89)))</f>
        <v/>
      </c>
      <c r="N89" s="8">
        <f>IF(D89="","",IF(AND(H89&gt;0,H89&gt;(H89/3)*2.5),"VOL-OK","VOL-NG"))</f>
        <v/>
      </c>
      <c r="O89" s="8">
        <f>IF(D89="","",IF(D89&gt;I89,"ON","OFF"))</f>
        <v/>
      </c>
      <c r="P89" s="8">
        <f>IF(D89="","",IF(D89&lt;J89,"ON","OFF"))</f>
        <v/>
      </c>
      <c r="Q89" s="8">
        <f>IF(OR(D89="",M89&lt;=0),"",IF(AND(L89="BUY-DAY",N89="VOL-OK",P89="ON",Z89="OK",AA89&lt;&gt;"DOWN"),"BUY",IF(AND(L89="SELL-DAY",N89="VOL-OK",O89="ON",Z89="OK",AA89&lt;&gt;"UP"),"SELL","")))</f>
        <v/>
      </c>
      <c r="R89" s="13">
        <f>IF(Q89="","",D89)</f>
        <v/>
      </c>
      <c r="S89" s="13">
        <f>IF(Q89="","",IF(Q89="BUY",D89-M89*1.5,D89+M89*1.5))</f>
        <v/>
      </c>
      <c r="T89" s="13">
        <f>IF(Q89="","",IF(Q89="BUY",D89+M89*1.5,D89-M89*1.5))</f>
        <v/>
      </c>
      <c r="U89" s="13">
        <f>IF(Q89="","",IF(Q89="BUY",D89+M89*2,D89-M89*2))</f>
        <v/>
      </c>
      <c r="V89" s="13">
        <f>IF(Q89="","",IF(Q89="BUY",D89+M89*3,D89-M89*3))</f>
        <v/>
      </c>
      <c r="W89" s="8">
        <f>IF(OR(D89="",M89&lt;=0),"",IF(AND(D89&gt;G89,ABS(D89-G89)&lt;M89*0.5),"2ND","1ST"))</f>
        <v/>
      </c>
      <c r="X89" s="8">
        <f>IF(OR(D89="",M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89" s="8">
        <f>IF(OR(D89="",M89&lt;=0),"",IF(M89&gt;D89*0.05,"VOL-HIGH","VOL-NORMAL"))</f>
        <v/>
      </c>
      <c r="Z89" s="8">
        <f>IF(OR(D89="",M89&lt;=0),"",IF(AND(N89="VOL-OK",Y89="VOL-NORMAL",W89="2ND"),"OK","NG"))</f>
        <v/>
      </c>
      <c r="AA89" s="8">
        <f>IF(OR(D89="",M89&lt;=0),"",IF(AND(E89&gt;I89,F89&gt;J89),"UP",IF(AND(E89&lt;I89,F89&lt;J89),"DOWN","FLAT")))</f>
        <v/>
      </c>
    </row>
    <row r="90" ht="26" customHeight="1" s="1">
      <c r="A90" s="14">
        <f>IF(B90="","",ROW()-2)</f>
        <v/>
      </c>
      <c r="B90" s="15">
        <f>IF('StockList_MS2'!A89="","",HYPERLINK("https://kabutan.jp/stock/?code="&amp;'StockList_MS2'!A89,'StockList_MS2'!A89))</f>
        <v/>
      </c>
      <c r="C90" s="16">
        <f>IF('StockList_MS2'!A89="","",'StockList_MS2'!B89)</f>
        <v/>
      </c>
      <c r="D90" s="17" t="n"/>
      <c r="E90" s="17" t="n"/>
      <c r="F90" s="17" t="n"/>
      <c r="G90" s="17" t="n"/>
      <c r="H90" s="18" t="n"/>
      <c r="I90" s="17" t="n"/>
      <c r="J90" s="17" t="n"/>
      <c r="K90" s="17" t="n"/>
      <c r="L90" s="14">
        <f>IF(D90="","",IF(D90&gt;K90,"BUY-DAY","SELL-DAY"))</f>
        <v/>
      </c>
      <c r="M90" s="19">
        <f>IF(D90="","",MAX(E90-F90,ABS(E90-K90),ABS(F90-K90)))</f>
        <v/>
      </c>
      <c r="N90" s="14">
        <f>IF(D90="","",IF(AND(H90&gt;0,H90&gt;(H90/3)*2.5),"VOL-OK","VOL-NG"))</f>
        <v/>
      </c>
      <c r="O90" s="14">
        <f>IF(D90="","",IF(D90&gt;I90,"ON","OFF"))</f>
        <v/>
      </c>
      <c r="P90" s="14">
        <f>IF(D90="","",IF(D90&lt;J90,"ON","OFF"))</f>
        <v/>
      </c>
      <c r="Q90" s="14">
        <f>IF(OR(D90="",M90&lt;=0),"",IF(AND(L90="BUY-DAY",N90="VOL-OK",P90="ON",Z90="OK",AA90&lt;&gt;"DOWN"),"BUY",IF(AND(L90="SELL-DAY",N90="VOL-OK",O90="ON",Z90="OK",AA90&lt;&gt;"UP"),"SELL","")))</f>
        <v/>
      </c>
      <c r="R90" s="19">
        <f>IF(Q90="","",D90)</f>
        <v/>
      </c>
      <c r="S90" s="19">
        <f>IF(Q90="","",IF(Q90="BUY",D90-M90*1.5,D90+M90*1.5))</f>
        <v/>
      </c>
      <c r="T90" s="19">
        <f>IF(Q90="","",IF(Q90="BUY",D90+M90*1.5,D90-M90*1.5))</f>
        <v/>
      </c>
      <c r="U90" s="19">
        <f>IF(Q90="","",IF(Q90="BUY",D90+M90*2,D90-M90*2))</f>
        <v/>
      </c>
      <c r="V90" s="19">
        <f>IF(Q90="","",IF(Q90="BUY",D90+M90*3,D90-M90*3))</f>
        <v/>
      </c>
      <c r="W90" s="14">
        <f>IF(OR(D90="",M90&lt;=0),"",IF(AND(D90&gt;G90,ABS(D90-G90)&lt;M90*0.5),"2ND","1ST"))</f>
        <v/>
      </c>
      <c r="X90" s="14">
        <f>IF(OR(D90="",M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0" s="14">
        <f>IF(OR(D90="",M90&lt;=0),"",IF(M90&gt;D90*0.05,"VOL-HIGH","VOL-NORMAL"))</f>
        <v/>
      </c>
      <c r="Z90" s="14">
        <f>IF(OR(D90="",M90&lt;=0),"",IF(AND(N90="VOL-OK",Y90="VOL-NORMAL",W90="2ND"),"OK","NG"))</f>
        <v/>
      </c>
      <c r="AA90" s="14">
        <f>IF(OR(D90="",M90&lt;=0),"",IF(AND(E90&gt;I90,F90&gt;J90),"UP",IF(AND(E90&lt;I90,F90&lt;J90),"DOWN","FLAT")))</f>
        <v/>
      </c>
    </row>
    <row r="91" ht="26" customHeight="1" s="1">
      <c r="A91" s="8">
        <f>IF(B91="","",ROW()-2)</f>
        <v/>
      </c>
      <c r="B91" s="9">
        <f>IF('StockList_MS2'!A90="","",HYPERLINK("https://kabutan.jp/stock/?code="&amp;'StockList_MS2'!A90,'StockList_MS2'!A90))</f>
        <v/>
      </c>
      <c r="C91" s="10">
        <f>IF('StockList_MS2'!A90="","",'StockList_MS2'!B90)</f>
        <v/>
      </c>
      <c r="D91" s="11" t="n"/>
      <c r="E91" s="11" t="n"/>
      <c r="F91" s="11" t="n"/>
      <c r="G91" s="11" t="n"/>
      <c r="H91" s="12" t="n"/>
      <c r="I91" s="11" t="n"/>
      <c r="J91" s="11" t="n"/>
      <c r="K91" s="11" t="n"/>
      <c r="L91" s="8">
        <f>IF(D91="","",IF(D91&gt;K91,"BUY-DAY","SELL-DAY"))</f>
        <v/>
      </c>
      <c r="M91" s="13">
        <f>IF(D91="","",MAX(E91-F91,ABS(E91-K91),ABS(F91-K91)))</f>
        <v/>
      </c>
      <c r="N91" s="8">
        <f>IF(D91="","",IF(AND(H91&gt;0,H91&gt;(H91/3)*2.5),"VOL-OK","VOL-NG"))</f>
        <v/>
      </c>
      <c r="O91" s="8">
        <f>IF(D91="","",IF(D91&gt;I91,"ON","OFF"))</f>
        <v/>
      </c>
      <c r="P91" s="8">
        <f>IF(D91="","",IF(D91&lt;J91,"ON","OFF"))</f>
        <v/>
      </c>
      <c r="Q91" s="8">
        <f>IF(OR(D91="",M91&lt;=0),"",IF(AND(L91="BUY-DAY",N91="VOL-OK",P91="ON",Z91="OK",AA91&lt;&gt;"DOWN"),"BUY",IF(AND(L91="SELL-DAY",N91="VOL-OK",O91="ON",Z91="OK",AA91&lt;&gt;"UP"),"SELL","")))</f>
        <v/>
      </c>
      <c r="R91" s="13">
        <f>IF(Q91="","",D91)</f>
        <v/>
      </c>
      <c r="S91" s="13">
        <f>IF(Q91="","",IF(Q91="BUY",D91-M91*1.5,D91+M91*1.5))</f>
        <v/>
      </c>
      <c r="T91" s="13">
        <f>IF(Q91="","",IF(Q91="BUY",D91+M91*1.5,D91-M91*1.5))</f>
        <v/>
      </c>
      <c r="U91" s="13">
        <f>IF(Q91="","",IF(Q91="BUY",D91+M91*2,D91-M91*2))</f>
        <v/>
      </c>
      <c r="V91" s="13">
        <f>IF(Q91="","",IF(Q91="BUY",D91+M91*3,D91-M91*3))</f>
        <v/>
      </c>
      <c r="W91" s="8">
        <f>IF(OR(D91="",M91&lt;=0),"",IF(AND(D91&gt;G91,ABS(D91-G91)&lt;M91*0.5),"2ND","1ST"))</f>
        <v/>
      </c>
      <c r="X91" s="8">
        <f>IF(OR(D91="",M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1" s="8">
        <f>IF(OR(D91="",M91&lt;=0),"",IF(M91&gt;D91*0.05,"VOL-HIGH","VOL-NORMAL"))</f>
        <v/>
      </c>
      <c r="Z91" s="8">
        <f>IF(OR(D91="",M91&lt;=0),"",IF(AND(N91="VOL-OK",Y91="VOL-NORMAL",W91="2ND"),"OK","NG"))</f>
        <v/>
      </c>
      <c r="AA91" s="8">
        <f>IF(OR(D91="",M91&lt;=0),"",IF(AND(E91&gt;I91,F91&gt;J91),"UP",IF(AND(E91&lt;I91,F91&lt;J91),"DOWN","FLAT")))</f>
        <v/>
      </c>
    </row>
    <row r="92" ht="26" customHeight="1" s="1">
      <c r="A92" s="14">
        <f>IF(B92="","",ROW()-2)</f>
        <v/>
      </c>
      <c r="B92" s="15">
        <f>IF('StockList_MS2'!A91="","",HYPERLINK("https://kabutan.jp/stock/?code="&amp;'StockList_MS2'!A91,'StockList_MS2'!A91))</f>
        <v/>
      </c>
      <c r="C92" s="16">
        <f>IF('StockList_MS2'!A91="","",'StockList_MS2'!B91)</f>
        <v/>
      </c>
      <c r="D92" s="17" t="n"/>
      <c r="E92" s="17" t="n"/>
      <c r="F92" s="17" t="n"/>
      <c r="G92" s="17" t="n"/>
      <c r="H92" s="18" t="n"/>
      <c r="I92" s="17" t="n"/>
      <c r="J92" s="17" t="n"/>
      <c r="K92" s="17" t="n"/>
      <c r="L92" s="14">
        <f>IF(D92="","",IF(D92&gt;K92,"BUY-DAY","SELL-DAY"))</f>
        <v/>
      </c>
      <c r="M92" s="19">
        <f>IF(D92="","",MAX(E92-F92,ABS(E92-K92),ABS(F92-K92)))</f>
        <v/>
      </c>
      <c r="N92" s="14">
        <f>IF(D92="","",IF(AND(H92&gt;0,H92&gt;(H92/3)*2.5),"VOL-OK","VOL-NG"))</f>
        <v/>
      </c>
      <c r="O92" s="14">
        <f>IF(D92="","",IF(D92&gt;I92,"ON","OFF"))</f>
        <v/>
      </c>
      <c r="P92" s="14">
        <f>IF(D92="","",IF(D92&lt;J92,"ON","OFF"))</f>
        <v/>
      </c>
      <c r="Q92" s="14">
        <f>IF(OR(D92="",M92&lt;=0),"",IF(AND(L92="BUY-DAY",N92="VOL-OK",P92="ON",Z92="OK",AA92&lt;&gt;"DOWN"),"BUY",IF(AND(L92="SELL-DAY",N92="VOL-OK",O92="ON",Z92="OK",AA92&lt;&gt;"UP"),"SELL","")))</f>
        <v/>
      </c>
      <c r="R92" s="19">
        <f>IF(Q92="","",D92)</f>
        <v/>
      </c>
      <c r="S92" s="19">
        <f>IF(Q92="","",IF(Q92="BUY",D92-M92*1.5,D92+M92*1.5))</f>
        <v/>
      </c>
      <c r="T92" s="19">
        <f>IF(Q92="","",IF(Q92="BUY",D92+M92*1.5,D92-M92*1.5))</f>
        <v/>
      </c>
      <c r="U92" s="19">
        <f>IF(Q92="","",IF(Q92="BUY",D92+M92*2,D92-M92*2))</f>
        <v/>
      </c>
      <c r="V92" s="19">
        <f>IF(Q92="","",IF(Q92="BUY",D92+M92*3,D92-M92*3))</f>
        <v/>
      </c>
      <c r="W92" s="14">
        <f>IF(OR(D92="",M92&lt;=0),"",IF(AND(D92&gt;G92,ABS(D92-G92)&lt;M92*0.5),"2ND","1ST"))</f>
        <v/>
      </c>
      <c r="X92" s="14">
        <f>IF(OR(D92="",M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2" s="14">
        <f>IF(OR(D92="",M92&lt;=0),"",IF(M92&gt;D92*0.05,"VOL-HIGH","VOL-NORMAL"))</f>
        <v/>
      </c>
      <c r="Z92" s="14">
        <f>IF(OR(D92="",M92&lt;=0),"",IF(AND(N92="VOL-OK",Y92="VOL-NORMAL",W92="2ND"),"OK","NG"))</f>
        <v/>
      </c>
      <c r="AA92" s="14">
        <f>IF(OR(D92="",M92&lt;=0),"",IF(AND(E92&gt;I92,F92&gt;J92),"UP",IF(AND(E92&lt;I92,F92&lt;J92),"DOWN","FLAT")))</f>
        <v/>
      </c>
    </row>
    <row r="93" ht="26" customHeight="1" s="1">
      <c r="A93" s="8">
        <f>IF(B93="","",ROW()-2)</f>
        <v/>
      </c>
      <c r="B93" s="9">
        <f>IF('StockList_MS2'!A92="","",HYPERLINK("https://kabutan.jp/stock/?code="&amp;'StockList_MS2'!A92,'StockList_MS2'!A92))</f>
        <v/>
      </c>
      <c r="C93" s="10">
        <f>IF('StockList_MS2'!A92="","",'StockList_MS2'!B92)</f>
        <v/>
      </c>
      <c r="D93" s="11" t="n"/>
      <c r="E93" s="11" t="n"/>
      <c r="F93" s="11" t="n"/>
      <c r="G93" s="11" t="n"/>
      <c r="H93" s="12" t="n"/>
      <c r="I93" s="11" t="n"/>
      <c r="J93" s="11" t="n"/>
      <c r="K93" s="11" t="n"/>
      <c r="L93" s="8">
        <f>IF(D93="","",IF(D93&gt;K93,"BUY-DAY","SELL-DAY"))</f>
        <v/>
      </c>
      <c r="M93" s="13">
        <f>IF(D93="","",MAX(E93-F93,ABS(E93-K93),ABS(F93-K93)))</f>
        <v/>
      </c>
      <c r="N93" s="8">
        <f>IF(D93="","",IF(AND(H93&gt;0,H93&gt;(H93/3)*2.5),"VOL-OK","VOL-NG"))</f>
        <v/>
      </c>
      <c r="O93" s="8">
        <f>IF(D93="","",IF(D93&gt;I93,"ON","OFF"))</f>
        <v/>
      </c>
      <c r="P93" s="8">
        <f>IF(D93="","",IF(D93&lt;J93,"ON","OFF"))</f>
        <v/>
      </c>
      <c r="Q93" s="8">
        <f>IF(OR(D93="",M93&lt;=0),"",IF(AND(L93="BUY-DAY",N93="VOL-OK",P93="ON",Z93="OK",AA93&lt;&gt;"DOWN"),"BUY",IF(AND(L93="SELL-DAY",N93="VOL-OK",O93="ON",Z93="OK",AA93&lt;&gt;"UP"),"SELL","")))</f>
        <v/>
      </c>
      <c r="R93" s="13">
        <f>IF(Q93="","",D93)</f>
        <v/>
      </c>
      <c r="S93" s="13">
        <f>IF(Q93="","",IF(Q93="BUY",D93-M93*1.5,D93+M93*1.5))</f>
        <v/>
      </c>
      <c r="T93" s="13">
        <f>IF(Q93="","",IF(Q93="BUY",D93+M93*1.5,D93-M93*1.5))</f>
        <v/>
      </c>
      <c r="U93" s="13">
        <f>IF(Q93="","",IF(Q93="BUY",D93+M93*2,D93-M93*2))</f>
        <v/>
      </c>
      <c r="V93" s="13">
        <f>IF(Q93="","",IF(Q93="BUY",D93+M93*3,D93-M93*3))</f>
        <v/>
      </c>
      <c r="W93" s="8">
        <f>IF(OR(D93="",M93&lt;=0),"",IF(AND(D93&gt;G93,ABS(D93-G93)&lt;M93*0.5),"2ND","1ST"))</f>
        <v/>
      </c>
      <c r="X93" s="8">
        <f>IF(OR(D93="",M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3" s="8">
        <f>IF(OR(D93="",M93&lt;=0),"",IF(M93&gt;D93*0.05,"VOL-HIGH","VOL-NORMAL"))</f>
        <v/>
      </c>
      <c r="Z93" s="8">
        <f>IF(OR(D93="",M93&lt;=0),"",IF(AND(N93="VOL-OK",Y93="VOL-NORMAL",W93="2ND"),"OK","NG"))</f>
        <v/>
      </c>
      <c r="AA93" s="8">
        <f>IF(OR(D93="",M93&lt;=0),"",IF(AND(E93&gt;I93,F93&gt;J93),"UP",IF(AND(E93&lt;I93,F93&lt;J93),"DOWN","FLAT")))</f>
        <v/>
      </c>
    </row>
    <row r="94" ht="26" customHeight="1" s="1">
      <c r="A94" s="14">
        <f>IF(B94="","",ROW()-2)</f>
        <v/>
      </c>
      <c r="B94" s="15">
        <f>IF('StockList_MS2'!A93="","",HYPERLINK("https://kabutan.jp/stock/?code="&amp;'StockList_MS2'!A93,'StockList_MS2'!A93))</f>
        <v/>
      </c>
      <c r="C94" s="16">
        <f>IF('StockList_MS2'!A93="","",'StockList_MS2'!B93)</f>
        <v/>
      </c>
      <c r="D94" s="17" t="n"/>
      <c r="E94" s="17" t="n"/>
      <c r="F94" s="17" t="n"/>
      <c r="G94" s="17" t="n"/>
      <c r="H94" s="18" t="n"/>
      <c r="I94" s="17" t="n"/>
      <c r="J94" s="17" t="n"/>
      <c r="K94" s="17" t="n"/>
      <c r="L94" s="14">
        <f>IF(D94="","",IF(D94&gt;K94,"BUY-DAY","SELL-DAY"))</f>
        <v/>
      </c>
      <c r="M94" s="19">
        <f>IF(D94="","",MAX(E94-F94,ABS(E94-K94),ABS(F94-K94)))</f>
        <v/>
      </c>
      <c r="N94" s="14">
        <f>IF(D94="","",IF(AND(H94&gt;0,H94&gt;(H94/3)*2.5),"VOL-OK","VOL-NG"))</f>
        <v/>
      </c>
      <c r="O94" s="14">
        <f>IF(D94="","",IF(D94&gt;I94,"ON","OFF"))</f>
        <v/>
      </c>
      <c r="P94" s="14">
        <f>IF(D94="","",IF(D94&lt;J94,"ON","OFF"))</f>
        <v/>
      </c>
      <c r="Q94" s="14">
        <f>IF(OR(D94="",M94&lt;=0),"",IF(AND(L94="BUY-DAY",N94="VOL-OK",P94="ON",Z94="OK",AA94&lt;&gt;"DOWN"),"BUY",IF(AND(L94="SELL-DAY",N94="VOL-OK",O94="ON",Z94="OK",AA94&lt;&gt;"UP"),"SELL","")))</f>
        <v/>
      </c>
      <c r="R94" s="19">
        <f>IF(Q94="","",D94)</f>
        <v/>
      </c>
      <c r="S94" s="19">
        <f>IF(Q94="","",IF(Q94="BUY",D94-M94*1.5,D94+M94*1.5))</f>
        <v/>
      </c>
      <c r="T94" s="19">
        <f>IF(Q94="","",IF(Q94="BUY",D94+M94*1.5,D94-M94*1.5))</f>
        <v/>
      </c>
      <c r="U94" s="19">
        <f>IF(Q94="","",IF(Q94="BUY",D94+M94*2,D94-M94*2))</f>
        <v/>
      </c>
      <c r="V94" s="19">
        <f>IF(Q94="","",IF(Q94="BUY",D94+M94*3,D94-M94*3))</f>
        <v/>
      </c>
      <c r="W94" s="14">
        <f>IF(OR(D94="",M94&lt;=0),"",IF(AND(D94&gt;G94,ABS(D94-G94)&lt;M94*0.5),"2ND","1ST"))</f>
        <v/>
      </c>
      <c r="X94" s="14">
        <f>IF(OR(D94="",M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4" s="14">
        <f>IF(OR(D94="",M94&lt;=0),"",IF(M94&gt;D94*0.05,"VOL-HIGH","VOL-NORMAL"))</f>
        <v/>
      </c>
      <c r="Z94" s="14">
        <f>IF(OR(D94="",M94&lt;=0),"",IF(AND(N94="VOL-OK",Y94="VOL-NORMAL",W94="2ND"),"OK","NG"))</f>
        <v/>
      </c>
      <c r="AA94" s="14">
        <f>IF(OR(D94="",M94&lt;=0),"",IF(AND(E94&gt;I94,F94&gt;J94),"UP",IF(AND(E94&lt;I94,F94&lt;J94),"DOWN","FLAT")))</f>
        <v/>
      </c>
    </row>
    <row r="95" ht="26" customHeight="1" s="1">
      <c r="A95" s="8">
        <f>IF(B95="","",ROW()-2)</f>
        <v/>
      </c>
      <c r="B95" s="9">
        <f>IF('StockList_MS2'!A94="","",HYPERLINK("https://kabutan.jp/stock/?code="&amp;'StockList_MS2'!A94,'StockList_MS2'!A94))</f>
        <v/>
      </c>
      <c r="C95" s="10">
        <f>IF('StockList_MS2'!A94="","",'StockList_MS2'!B94)</f>
        <v/>
      </c>
      <c r="D95" s="11" t="n"/>
      <c r="E95" s="11" t="n"/>
      <c r="F95" s="11" t="n"/>
      <c r="G95" s="11" t="n"/>
      <c r="H95" s="12" t="n"/>
      <c r="I95" s="11" t="n"/>
      <c r="J95" s="11" t="n"/>
      <c r="K95" s="11" t="n"/>
      <c r="L95" s="8">
        <f>IF(D95="","",IF(D95&gt;K95,"BUY-DAY","SELL-DAY"))</f>
        <v/>
      </c>
      <c r="M95" s="13">
        <f>IF(D95="","",MAX(E95-F95,ABS(E95-K95),ABS(F95-K95)))</f>
        <v/>
      </c>
      <c r="N95" s="8">
        <f>IF(D95="","",IF(AND(H95&gt;0,H95&gt;(H95/3)*2.5),"VOL-OK","VOL-NG"))</f>
        <v/>
      </c>
      <c r="O95" s="8">
        <f>IF(D95="","",IF(D95&gt;I95,"ON","OFF"))</f>
        <v/>
      </c>
      <c r="P95" s="8">
        <f>IF(D95="","",IF(D95&lt;J95,"ON","OFF"))</f>
        <v/>
      </c>
      <c r="Q95" s="8">
        <f>IF(OR(D95="",M95&lt;=0),"",IF(AND(L95="BUY-DAY",N95="VOL-OK",P95="ON",Z95="OK",AA95&lt;&gt;"DOWN"),"BUY",IF(AND(L95="SELL-DAY",N95="VOL-OK",O95="ON",Z95="OK",AA95&lt;&gt;"UP"),"SELL","")))</f>
        <v/>
      </c>
      <c r="R95" s="13">
        <f>IF(Q95="","",D95)</f>
        <v/>
      </c>
      <c r="S95" s="13">
        <f>IF(Q95="","",IF(Q95="BUY",D95-M95*1.5,D95+M95*1.5))</f>
        <v/>
      </c>
      <c r="T95" s="13">
        <f>IF(Q95="","",IF(Q95="BUY",D95+M95*1.5,D95-M95*1.5))</f>
        <v/>
      </c>
      <c r="U95" s="13">
        <f>IF(Q95="","",IF(Q95="BUY",D95+M95*2,D95-M95*2))</f>
        <v/>
      </c>
      <c r="V95" s="13">
        <f>IF(Q95="","",IF(Q95="BUY",D95+M95*3,D95-M95*3))</f>
        <v/>
      </c>
      <c r="W95" s="8">
        <f>IF(OR(D95="",M95&lt;=0),"",IF(AND(D95&gt;G95,ABS(D95-G95)&lt;M95*0.5),"2ND","1ST"))</f>
        <v/>
      </c>
      <c r="X95" s="8">
        <f>IF(OR(D95="",M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5" s="8">
        <f>IF(OR(D95="",M95&lt;=0),"",IF(M95&gt;D95*0.05,"VOL-HIGH","VOL-NORMAL"))</f>
        <v/>
      </c>
      <c r="Z95" s="8">
        <f>IF(OR(D95="",M95&lt;=0),"",IF(AND(N95="VOL-OK",Y95="VOL-NORMAL",W95="2ND"),"OK","NG"))</f>
        <v/>
      </c>
      <c r="AA95" s="8">
        <f>IF(OR(D95="",M95&lt;=0),"",IF(AND(E95&gt;I95,F95&gt;J95),"UP",IF(AND(E95&lt;I95,F95&lt;J95),"DOWN","FLAT")))</f>
        <v/>
      </c>
    </row>
    <row r="96" ht="26" customHeight="1" s="1">
      <c r="A96" s="14">
        <f>IF(B96="","",ROW()-2)</f>
        <v/>
      </c>
      <c r="B96" s="15">
        <f>IF('StockList_MS2'!A95="","",HYPERLINK("https://kabutan.jp/stock/?code="&amp;'StockList_MS2'!A95,'StockList_MS2'!A95))</f>
        <v/>
      </c>
      <c r="C96" s="16">
        <f>IF('StockList_MS2'!A95="","",'StockList_MS2'!B95)</f>
        <v/>
      </c>
      <c r="D96" s="17" t="n"/>
      <c r="E96" s="17" t="n"/>
      <c r="F96" s="17" t="n"/>
      <c r="G96" s="17" t="n"/>
      <c r="H96" s="18" t="n"/>
      <c r="I96" s="17" t="n"/>
      <c r="J96" s="17" t="n"/>
      <c r="K96" s="17" t="n"/>
      <c r="L96" s="14">
        <f>IF(D96="","",IF(D96&gt;K96,"BUY-DAY","SELL-DAY"))</f>
        <v/>
      </c>
      <c r="M96" s="19">
        <f>IF(D96="","",MAX(E96-F96,ABS(E96-K96),ABS(F96-K96)))</f>
        <v/>
      </c>
      <c r="N96" s="14">
        <f>IF(D96="","",IF(AND(H96&gt;0,H96&gt;(H96/3)*2.5),"VOL-OK","VOL-NG"))</f>
        <v/>
      </c>
      <c r="O96" s="14">
        <f>IF(D96="","",IF(D96&gt;I96,"ON","OFF"))</f>
        <v/>
      </c>
      <c r="P96" s="14">
        <f>IF(D96="","",IF(D96&lt;J96,"ON","OFF"))</f>
        <v/>
      </c>
      <c r="Q96" s="14">
        <f>IF(OR(D96="",M96&lt;=0),"",IF(AND(L96="BUY-DAY",N96="VOL-OK",P96="ON",Z96="OK",AA96&lt;&gt;"DOWN"),"BUY",IF(AND(L96="SELL-DAY",N96="VOL-OK",O96="ON",Z96="OK",AA96&lt;&gt;"UP"),"SELL","")))</f>
        <v/>
      </c>
      <c r="R96" s="19">
        <f>IF(Q96="","",D96)</f>
        <v/>
      </c>
      <c r="S96" s="19">
        <f>IF(Q96="","",IF(Q96="BUY",D96-M96*1.5,D96+M96*1.5))</f>
        <v/>
      </c>
      <c r="T96" s="19">
        <f>IF(Q96="","",IF(Q96="BUY",D96+M96*1.5,D96-M96*1.5))</f>
        <v/>
      </c>
      <c r="U96" s="19">
        <f>IF(Q96="","",IF(Q96="BUY",D96+M96*2,D96-M96*2))</f>
        <v/>
      </c>
      <c r="V96" s="19">
        <f>IF(Q96="","",IF(Q96="BUY",D96+M96*3,D96-M96*3))</f>
        <v/>
      </c>
      <c r="W96" s="14">
        <f>IF(OR(D96="",M96&lt;=0),"",IF(AND(D96&gt;G96,ABS(D96-G96)&lt;M96*0.5),"2ND","1ST"))</f>
        <v/>
      </c>
      <c r="X96" s="14">
        <f>IF(OR(D96="",M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6" s="14">
        <f>IF(OR(D96="",M96&lt;=0),"",IF(M96&gt;D96*0.05,"VOL-HIGH","VOL-NORMAL"))</f>
        <v/>
      </c>
      <c r="Z96" s="14">
        <f>IF(OR(D96="",M96&lt;=0),"",IF(AND(N96="VOL-OK",Y96="VOL-NORMAL",W96="2ND"),"OK","NG"))</f>
        <v/>
      </c>
      <c r="AA96" s="14">
        <f>IF(OR(D96="",M96&lt;=0),"",IF(AND(E96&gt;I96,F96&gt;J96),"UP",IF(AND(E96&lt;I96,F96&lt;J96),"DOWN","FLAT")))</f>
        <v/>
      </c>
    </row>
    <row r="97" ht="26" customHeight="1" s="1">
      <c r="A97" s="8">
        <f>IF(B97="","",ROW()-2)</f>
        <v/>
      </c>
      <c r="B97" s="9">
        <f>IF('StockList_MS2'!A96="","",HYPERLINK("https://kabutan.jp/stock/?code="&amp;'StockList_MS2'!A96,'StockList_MS2'!A96))</f>
        <v/>
      </c>
      <c r="C97" s="10">
        <f>IF('StockList_MS2'!A96="","",'StockList_MS2'!B96)</f>
        <v/>
      </c>
      <c r="D97" s="11" t="n"/>
      <c r="E97" s="11" t="n"/>
      <c r="F97" s="11" t="n"/>
      <c r="G97" s="11" t="n"/>
      <c r="H97" s="12" t="n"/>
      <c r="I97" s="11" t="n"/>
      <c r="J97" s="11" t="n"/>
      <c r="K97" s="11" t="n"/>
      <c r="L97" s="8">
        <f>IF(D97="","",IF(D97&gt;K97,"BUY-DAY","SELL-DAY"))</f>
        <v/>
      </c>
      <c r="M97" s="13">
        <f>IF(D97="","",MAX(E97-F97,ABS(E97-K97),ABS(F97-K97)))</f>
        <v/>
      </c>
      <c r="N97" s="8">
        <f>IF(D97="","",IF(AND(H97&gt;0,H97&gt;(H97/3)*2.5),"VOL-OK","VOL-NG"))</f>
        <v/>
      </c>
      <c r="O97" s="8">
        <f>IF(D97="","",IF(D97&gt;I97,"ON","OFF"))</f>
        <v/>
      </c>
      <c r="P97" s="8">
        <f>IF(D97="","",IF(D97&lt;J97,"ON","OFF"))</f>
        <v/>
      </c>
      <c r="Q97" s="8">
        <f>IF(OR(D97="",M97&lt;=0),"",IF(AND(L97="BUY-DAY",N97="VOL-OK",P97="ON",Z97="OK",AA97&lt;&gt;"DOWN"),"BUY",IF(AND(L97="SELL-DAY",N97="VOL-OK",O97="ON",Z97="OK",AA97&lt;&gt;"UP"),"SELL","")))</f>
        <v/>
      </c>
      <c r="R97" s="13">
        <f>IF(Q97="","",D97)</f>
        <v/>
      </c>
      <c r="S97" s="13">
        <f>IF(Q97="","",IF(Q97="BUY",D97-M97*1.5,D97+M97*1.5))</f>
        <v/>
      </c>
      <c r="T97" s="13">
        <f>IF(Q97="","",IF(Q97="BUY",D97+M97*1.5,D97-M97*1.5))</f>
        <v/>
      </c>
      <c r="U97" s="13">
        <f>IF(Q97="","",IF(Q97="BUY",D97+M97*2,D97-M97*2))</f>
        <v/>
      </c>
      <c r="V97" s="13">
        <f>IF(Q97="","",IF(Q97="BUY",D97+M97*3,D97-M97*3))</f>
        <v/>
      </c>
      <c r="W97" s="8">
        <f>IF(OR(D97="",M97&lt;=0),"",IF(AND(D97&gt;G97,ABS(D97-G97)&lt;M97*0.5),"2ND","1ST"))</f>
        <v/>
      </c>
      <c r="X97" s="8">
        <f>IF(OR(D97="",M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7" s="8">
        <f>IF(OR(D97="",M97&lt;=0),"",IF(M97&gt;D97*0.05,"VOL-HIGH","VOL-NORMAL"))</f>
        <v/>
      </c>
      <c r="Z97" s="8">
        <f>IF(OR(D97="",M97&lt;=0),"",IF(AND(N97="VOL-OK",Y97="VOL-NORMAL",W97="2ND"),"OK","NG"))</f>
        <v/>
      </c>
      <c r="AA97" s="8">
        <f>IF(OR(D97="",M97&lt;=0),"",IF(AND(E97&gt;I97,F97&gt;J97),"UP",IF(AND(E97&lt;I97,F97&lt;J97),"DOWN","FLAT")))</f>
        <v/>
      </c>
    </row>
    <row r="98" ht="26" customHeight="1" s="1">
      <c r="A98" s="14">
        <f>IF(B98="","",ROW()-2)</f>
        <v/>
      </c>
      <c r="B98" s="15">
        <f>IF('StockList_MS2'!A97="","",HYPERLINK("https://kabutan.jp/stock/?code="&amp;'StockList_MS2'!A97,'StockList_MS2'!A97))</f>
        <v/>
      </c>
      <c r="C98" s="16">
        <f>IF('StockList_MS2'!A97="","",'StockList_MS2'!B97)</f>
        <v/>
      </c>
      <c r="D98" s="17" t="n"/>
      <c r="E98" s="17" t="n"/>
      <c r="F98" s="17" t="n"/>
      <c r="G98" s="17" t="n"/>
      <c r="H98" s="18" t="n"/>
      <c r="I98" s="17" t="n"/>
      <c r="J98" s="17" t="n"/>
      <c r="K98" s="17" t="n"/>
      <c r="L98" s="14">
        <f>IF(D98="","",IF(D98&gt;K98,"BUY-DAY","SELL-DAY"))</f>
        <v/>
      </c>
      <c r="M98" s="19">
        <f>IF(D98="","",MAX(E98-F98,ABS(E98-K98),ABS(F98-K98)))</f>
        <v/>
      </c>
      <c r="N98" s="14">
        <f>IF(D98="","",IF(AND(H98&gt;0,H98&gt;(H98/3)*2.5),"VOL-OK","VOL-NG"))</f>
        <v/>
      </c>
      <c r="O98" s="14">
        <f>IF(D98="","",IF(D98&gt;I98,"ON","OFF"))</f>
        <v/>
      </c>
      <c r="P98" s="14">
        <f>IF(D98="","",IF(D98&lt;J98,"ON","OFF"))</f>
        <v/>
      </c>
      <c r="Q98" s="14">
        <f>IF(OR(D98="",M98&lt;=0),"",IF(AND(L98="BUY-DAY",N98="VOL-OK",P98="ON",Z98="OK",AA98&lt;&gt;"DOWN"),"BUY",IF(AND(L98="SELL-DAY",N98="VOL-OK",O98="ON",Z98="OK",AA98&lt;&gt;"UP"),"SELL","")))</f>
        <v/>
      </c>
      <c r="R98" s="19">
        <f>IF(Q98="","",D98)</f>
        <v/>
      </c>
      <c r="S98" s="19">
        <f>IF(Q98="","",IF(Q98="BUY",D98-M98*1.5,D98+M98*1.5))</f>
        <v/>
      </c>
      <c r="T98" s="19">
        <f>IF(Q98="","",IF(Q98="BUY",D98+M98*1.5,D98-M98*1.5))</f>
        <v/>
      </c>
      <c r="U98" s="19">
        <f>IF(Q98="","",IF(Q98="BUY",D98+M98*2,D98-M98*2))</f>
        <v/>
      </c>
      <c r="V98" s="19">
        <f>IF(Q98="","",IF(Q98="BUY",D98+M98*3,D98-M98*3))</f>
        <v/>
      </c>
      <c r="W98" s="14">
        <f>IF(OR(D98="",M98&lt;=0),"",IF(AND(D98&gt;G98,ABS(D98-G98)&lt;M98*0.5),"2ND","1ST"))</f>
        <v/>
      </c>
      <c r="X98" s="14">
        <f>IF(OR(D98="",M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8" s="14">
        <f>IF(OR(D98="",M98&lt;=0),"",IF(M98&gt;D98*0.05,"VOL-HIGH","VOL-NORMAL"))</f>
        <v/>
      </c>
      <c r="Z98" s="14">
        <f>IF(OR(D98="",M98&lt;=0),"",IF(AND(N98="VOL-OK",Y98="VOL-NORMAL",W98="2ND"),"OK","NG"))</f>
        <v/>
      </c>
      <c r="AA98" s="14">
        <f>IF(OR(D98="",M98&lt;=0),"",IF(AND(E98&gt;I98,F98&gt;J98),"UP",IF(AND(E98&lt;I98,F98&lt;J98),"DOWN","FLAT")))</f>
        <v/>
      </c>
    </row>
    <row r="99" ht="26" customHeight="1" s="1">
      <c r="A99" s="8">
        <f>IF(B99="","",ROW()-2)</f>
        <v/>
      </c>
      <c r="B99" s="9">
        <f>IF('StockList_MS2'!A98="","",HYPERLINK("https://kabutan.jp/stock/?code="&amp;'StockList_MS2'!A98,'StockList_MS2'!A98))</f>
        <v/>
      </c>
      <c r="C99" s="10">
        <f>IF('StockList_MS2'!A98="","",'StockList_MS2'!B98)</f>
        <v/>
      </c>
      <c r="D99" s="11" t="n"/>
      <c r="E99" s="11" t="n"/>
      <c r="F99" s="11" t="n"/>
      <c r="G99" s="11" t="n"/>
      <c r="H99" s="12" t="n"/>
      <c r="I99" s="11" t="n"/>
      <c r="J99" s="11" t="n"/>
      <c r="K99" s="11" t="n"/>
      <c r="L99" s="8">
        <f>IF(D99="","",IF(D99&gt;K99,"BUY-DAY","SELL-DAY"))</f>
        <v/>
      </c>
      <c r="M99" s="13">
        <f>IF(D99="","",MAX(E99-F99,ABS(E99-K99),ABS(F99-K99)))</f>
        <v/>
      </c>
      <c r="N99" s="8">
        <f>IF(D99="","",IF(AND(H99&gt;0,H99&gt;(H99/3)*2.5),"VOL-OK","VOL-NG"))</f>
        <v/>
      </c>
      <c r="O99" s="8">
        <f>IF(D99="","",IF(D99&gt;I99,"ON","OFF"))</f>
        <v/>
      </c>
      <c r="P99" s="8">
        <f>IF(D99="","",IF(D99&lt;J99,"ON","OFF"))</f>
        <v/>
      </c>
      <c r="Q99" s="8">
        <f>IF(OR(D99="",M99&lt;=0),"",IF(AND(L99="BUY-DAY",N99="VOL-OK",P99="ON",Z99="OK",AA99&lt;&gt;"DOWN"),"BUY",IF(AND(L99="SELL-DAY",N99="VOL-OK",O99="ON",Z99="OK",AA99&lt;&gt;"UP"),"SELL","")))</f>
        <v/>
      </c>
      <c r="R99" s="13">
        <f>IF(Q99="","",D99)</f>
        <v/>
      </c>
      <c r="S99" s="13">
        <f>IF(Q99="","",IF(Q99="BUY",D99-M99*1.5,D99+M99*1.5))</f>
        <v/>
      </c>
      <c r="T99" s="13">
        <f>IF(Q99="","",IF(Q99="BUY",D99+M99*1.5,D99-M99*1.5))</f>
        <v/>
      </c>
      <c r="U99" s="13">
        <f>IF(Q99="","",IF(Q99="BUY",D99+M99*2,D99-M99*2))</f>
        <v/>
      </c>
      <c r="V99" s="13">
        <f>IF(Q99="","",IF(Q99="BUY",D99+M99*3,D99-M99*3))</f>
        <v/>
      </c>
      <c r="W99" s="8">
        <f>IF(OR(D99="",M99&lt;=0),"",IF(AND(D99&gt;G99,ABS(D99-G99)&lt;M99*0.5),"2ND","1ST"))</f>
        <v/>
      </c>
      <c r="X99" s="8">
        <f>IF(OR(D99="",M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99" s="8">
        <f>IF(OR(D99="",M99&lt;=0),"",IF(M99&gt;D99*0.05,"VOL-HIGH","VOL-NORMAL"))</f>
        <v/>
      </c>
      <c r="Z99" s="8">
        <f>IF(OR(D99="",M99&lt;=0),"",IF(AND(N99="VOL-OK",Y99="VOL-NORMAL",W99="2ND"),"OK","NG"))</f>
        <v/>
      </c>
      <c r="AA99" s="8">
        <f>IF(OR(D99="",M99&lt;=0),"",IF(AND(E99&gt;I99,F99&gt;J99),"UP",IF(AND(E99&lt;I99,F99&lt;J99),"DOWN","FLAT")))</f>
        <v/>
      </c>
    </row>
    <row r="100" ht="26" customHeight="1" s="1">
      <c r="A100" s="14">
        <f>IF(B100="","",ROW()-2)</f>
        <v/>
      </c>
      <c r="B100" s="15">
        <f>IF('StockList_MS2'!A99="","",HYPERLINK("https://kabutan.jp/stock/?code="&amp;'StockList_MS2'!A99,'StockList_MS2'!A99))</f>
        <v/>
      </c>
      <c r="C100" s="16">
        <f>IF('StockList_MS2'!A99="","",'StockList_MS2'!B99)</f>
        <v/>
      </c>
      <c r="D100" s="17" t="n"/>
      <c r="E100" s="17" t="n"/>
      <c r="F100" s="17" t="n"/>
      <c r="G100" s="17" t="n"/>
      <c r="H100" s="18" t="n"/>
      <c r="I100" s="17" t="n"/>
      <c r="J100" s="17" t="n"/>
      <c r="K100" s="17" t="n"/>
      <c r="L100" s="14">
        <f>IF(D100="","",IF(D100&gt;K100,"BUY-DAY","SELL-DAY"))</f>
        <v/>
      </c>
      <c r="M100" s="19">
        <f>IF(D100="","",MAX(E100-F100,ABS(E100-K100),ABS(F100-K100)))</f>
        <v/>
      </c>
      <c r="N100" s="14">
        <f>IF(D100="","",IF(AND(H100&gt;0,H100&gt;(H100/3)*2.5),"VOL-OK","VOL-NG"))</f>
        <v/>
      </c>
      <c r="O100" s="14">
        <f>IF(D100="","",IF(D100&gt;I100,"ON","OFF"))</f>
        <v/>
      </c>
      <c r="P100" s="14">
        <f>IF(D100="","",IF(D100&lt;J100,"ON","OFF"))</f>
        <v/>
      </c>
      <c r="Q100" s="14">
        <f>IF(OR(D100="",M100&lt;=0),"",IF(AND(L100="BUY-DAY",N100="VOL-OK",P100="ON",Z100="OK",AA100&lt;&gt;"DOWN"),"BUY",IF(AND(L100="SELL-DAY",N100="VOL-OK",O100="ON",Z100="OK",AA100&lt;&gt;"UP"),"SELL","")))</f>
        <v/>
      </c>
      <c r="R100" s="19">
        <f>IF(Q100="","",D100)</f>
        <v/>
      </c>
      <c r="S100" s="19">
        <f>IF(Q100="","",IF(Q100="BUY",D100-M100*1.5,D100+M100*1.5))</f>
        <v/>
      </c>
      <c r="T100" s="19">
        <f>IF(Q100="","",IF(Q100="BUY",D100+M100*1.5,D100-M100*1.5))</f>
        <v/>
      </c>
      <c r="U100" s="19">
        <f>IF(Q100="","",IF(Q100="BUY",D100+M100*2,D100-M100*2))</f>
        <v/>
      </c>
      <c r="V100" s="19">
        <f>IF(Q100="","",IF(Q100="BUY",D100+M100*3,D100-M100*3))</f>
        <v/>
      </c>
      <c r="W100" s="14">
        <f>IF(OR(D100="",M100&lt;=0),"",IF(AND(D100&gt;G100,ABS(D100-G100)&lt;M100*0.5),"2ND","1ST"))</f>
        <v/>
      </c>
      <c r="X100" s="14">
        <f>IF(OR(D100="",M100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0" s="14">
        <f>IF(OR(D100="",M100&lt;=0),"",IF(M100&gt;D100*0.05,"VOL-HIGH","VOL-NORMAL"))</f>
        <v/>
      </c>
      <c r="Z100" s="14">
        <f>IF(OR(D100="",M100&lt;=0),"",IF(AND(N100="VOL-OK",Y100="VOL-NORMAL",W100="2ND"),"OK","NG"))</f>
        <v/>
      </c>
      <c r="AA100" s="14">
        <f>IF(OR(D100="",M100&lt;=0),"",IF(AND(E100&gt;I100,F100&gt;J100),"UP",IF(AND(E100&lt;I100,F100&lt;J100),"DOWN","FLAT")))</f>
        <v/>
      </c>
    </row>
    <row r="101" ht="26" customHeight="1" s="1">
      <c r="A101" s="8">
        <f>IF(B101="","",ROW()-2)</f>
        <v/>
      </c>
      <c r="B101" s="9">
        <f>IF('StockList_MS2'!A100="","",HYPERLINK("https://kabutan.jp/stock/?code="&amp;'StockList_MS2'!A100,'StockList_MS2'!A100))</f>
        <v/>
      </c>
      <c r="C101" s="10">
        <f>IF('StockList_MS2'!A100="","",'StockList_MS2'!B100)</f>
        <v/>
      </c>
      <c r="D101" s="11" t="n"/>
      <c r="E101" s="11" t="n"/>
      <c r="F101" s="11" t="n"/>
      <c r="G101" s="11" t="n"/>
      <c r="H101" s="12" t="n"/>
      <c r="I101" s="11" t="n"/>
      <c r="J101" s="11" t="n"/>
      <c r="K101" s="11" t="n"/>
      <c r="L101" s="8">
        <f>IF(D101="","",IF(D101&gt;K101,"BUY-DAY","SELL-DAY"))</f>
        <v/>
      </c>
      <c r="M101" s="13">
        <f>IF(D101="","",MAX(E101-F101,ABS(E101-K101),ABS(F101-K101)))</f>
        <v/>
      </c>
      <c r="N101" s="8">
        <f>IF(D101="","",IF(AND(H101&gt;0,H101&gt;(H101/3)*2.5),"VOL-OK","VOL-NG"))</f>
        <v/>
      </c>
      <c r="O101" s="8">
        <f>IF(D101="","",IF(D101&gt;I101,"ON","OFF"))</f>
        <v/>
      </c>
      <c r="P101" s="8">
        <f>IF(D101="","",IF(D101&lt;J101,"ON","OFF"))</f>
        <v/>
      </c>
      <c r="Q101" s="8">
        <f>IF(OR(D101="",M101&lt;=0),"",IF(AND(L101="BUY-DAY",N101="VOL-OK",P101="ON",Z101="OK",AA101&lt;&gt;"DOWN"),"BUY",IF(AND(L101="SELL-DAY",N101="VOL-OK",O101="ON",Z101="OK",AA101&lt;&gt;"UP"),"SELL","")))</f>
        <v/>
      </c>
      <c r="R101" s="13">
        <f>IF(Q101="","",D101)</f>
        <v/>
      </c>
      <c r="S101" s="13">
        <f>IF(Q101="","",IF(Q101="BUY",D101-M101*1.5,D101+M101*1.5))</f>
        <v/>
      </c>
      <c r="T101" s="13">
        <f>IF(Q101="","",IF(Q101="BUY",D101+M101*1.5,D101-M101*1.5))</f>
        <v/>
      </c>
      <c r="U101" s="13">
        <f>IF(Q101="","",IF(Q101="BUY",D101+M101*2,D101-M101*2))</f>
        <v/>
      </c>
      <c r="V101" s="13">
        <f>IF(Q101="","",IF(Q101="BUY",D101+M101*3,D101-M101*3))</f>
        <v/>
      </c>
      <c r="W101" s="8">
        <f>IF(OR(D101="",M101&lt;=0),"",IF(AND(D101&gt;G101,ABS(D101-G101)&lt;M101*0.5),"2ND","1ST"))</f>
        <v/>
      </c>
      <c r="X101" s="8">
        <f>IF(OR(D101="",M101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1" s="8">
        <f>IF(OR(D101="",M101&lt;=0),"",IF(M101&gt;D101*0.05,"VOL-HIGH","VOL-NORMAL"))</f>
        <v/>
      </c>
      <c r="Z101" s="8">
        <f>IF(OR(D101="",M101&lt;=0),"",IF(AND(N101="VOL-OK",Y101="VOL-NORMAL",W101="2ND"),"OK","NG"))</f>
        <v/>
      </c>
      <c r="AA101" s="8">
        <f>IF(OR(D101="",M101&lt;=0),"",IF(AND(E101&gt;I101,F101&gt;J101),"UP",IF(AND(E101&lt;I101,F101&lt;J101),"DOWN","FLAT")))</f>
        <v/>
      </c>
    </row>
    <row r="102" ht="26" customHeight="1" s="1">
      <c r="A102" s="14">
        <f>IF(B102="","",ROW()-2)</f>
        <v/>
      </c>
      <c r="B102" s="15">
        <f>IF('StockList_MS2'!A101="","",HYPERLINK("https://kabutan.jp/stock/?code="&amp;'StockList_MS2'!A101,'StockList_MS2'!A101))</f>
        <v/>
      </c>
      <c r="C102" s="16">
        <f>IF('StockList_MS2'!A101="","",'StockList_MS2'!B101)</f>
        <v/>
      </c>
      <c r="D102" s="17" t="n"/>
      <c r="E102" s="17" t="n"/>
      <c r="F102" s="17" t="n"/>
      <c r="G102" s="17" t="n"/>
      <c r="H102" s="18" t="n"/>
      <c r="I102" s="17" t="n"/>
      <c r="J102" s="17" t="n"/>
      <c r="K102" s="17" t="n"/>
      <c r="L102" s="14">
        <f>IF(D102="","",IF(D102&gt;K102,"BUY-DAY","SELL-DAY"))</f>
        <v/>
      </c>
      <c r="M102" s="19">
        <f>IF(D102="","",MAX(E102-F102,ABS(E102-K102),ABS(F102-K102)))</f>
        <v/>
      </c>
      <c r="N102" s="14">
        <f>IF(D102="","",IF(AND(H102&gt;0,H102&gt;(H102/3)*2.5),"VOL-OK","VOL-NG"))</f>
        <v/>
      </c>
      <c r="O102" s="14">
        <f>IF(D102="","",IF(D102&gt;I102,"ON","OFF"))</f>
        <v/>
      </c>
      <c r="P102" s="14">
        <f>IF(D102="","",IF(D102&lt;J102,"ON","OFF"))</f>
        <v/>
      </c>
      <c r="Q102" s="14">
        <f>IF(OR(D102="",M102&lt;=0),"",IF(AND(L102="BUY-DAY",N102="VOL-OK",P102="ON",Z102="OK",AA102&lt;&gt;"DOWN"),"BUY",IF(AND(L102="SELL-DAY",N102="VOL-OK",O102="ON",Z102="OK",AA102&lt;&gt;"UP"),"SELL","")))</f>
        <v/>
      </c>
      <c r="R102" s="19">
        <f>IF(Q102="","",D102)</f>
        <v/>
      </c>
      <c r="S102" s="19">
        <f>IF(Q102="","",IF(Q102="BUY",D102-M102*1.5,D102+M102*1.5))</f>
        <v/>
      </c>
      <c r="T102" s="19">
        <f>IF(Q102="","",IF(Q102="BUY",D102+M102*1.5,D102-M102*1.5))</f>
        <v/>
      </c>
      <c r="U102" s="19">
        <f>IF(Q102="","",IF(Q102="BUY",D102+M102*2,D102-M102*2))</f>
        <v/>
      </c>
      <c r="V102" s="19">
        <f>IF(Q102="","",IF(Q102="BUY",D102+M102*3,D102-M102*3))</f>
        <v/>
      </c>
      <c r="W102" s="14">
        <f>IF(OR(D102="",M102&lt;=0),"",IF(AND(D102&gt;G102,ABS(D102-G102)&lt;M102*0.5),"2ND","1ST"))</f>
        <v/>
      </c>
      <c r="X102" s="14">
        <f>IF(OR(D102="",M102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2" s="14">
        <f>IF(OR(D102="",M102&lt;=0),"",IF(M102&gt;D102*0.05,"VOL-HIGH","VOL-NORMAL"))</f>
        <v/>
      </c>
      <c r="Z102" s="14">
        <f>IF(OR(D102="",M102&lt;=0),"",IF(AND(N102="VOL-OK",Y102="VOL-NORMAL",W102="2ND"),"OK","NG"))</f>
        <v/>
      </c>
      <c r="AA102" s="14">
        <f>IF(OR(D102="",M102&lt;=0),"",IF(AND(E102&gt;I102,F102&gt;J102),"UP",IF(AND(E102&lt;I102,F102&lt;J102),"DOWN","FLAT")))</f>
        <v/>
      </c>
    </row>
    <row r="103" ht="26" customHeight="1" s="1">
      <c r="A103" s="8">
        <f>IF(B103="","",ROW()-2)</f>
        <v/>
      </c>
      <c r="B103" s="9">
        <f>IF('StockList_MS2'!A102="","",HYPERLINK("https://kabutan.jp/stock/?code="&amp;'StockList_MS2'!A102,'StockList_MS2'!A102))</f>
        <v/>
      </c>
      <c r="C103" s="10">
        <f>IF('StockList_MS2'!A102="","",'StockList_MS2'!B102)</f>
        <v/>
      </c>
      <c r="D103" s="11" t="n"/>
      <c r="E103" s="11" t="n"/>
      <c r="F103" s="11" t="n"/>
      <c r="G103" s="11" t="n"/>
      <c r="H103" s="12" t="n"/>
      <c r="I103" s="11" t="n"/>
      <c r="J103" s="11" t="n"/>
      <c r="K103" s="11" t="n"/>
      <c r="L103" s="8">
        <f>IF(D103="","",IF(D103&gt;K103,"BUY-DAY","SELL-DAY"))</f>
        <v/>
      </c>
      <c r="M103" s="13">
        <f>IF(D103="","",MAX(E103-F103,ABS(E103-K103),ABS(F103-K103)))</f>
        <v/>
      </c>
      <c r="N103" s="8">
        <f>IF(D103="","",IF(AND(H103&gt;0,H103&gt;(H103/3)*2.5),"VOL-OK","VOL-NG"))</f>
        <v/>
      </c>
      <c r="O103" s="8">
        <f>IF(D103="","",IF(D103&gt;I103,"ON","OFF"))</f>
        <v/>
      </c>
      <c r="P103" s="8">
        <f>IF(D103="","",IF(D103&lt;J103,"ON","OFF"))</f>
        <v/>
      </c>
      <c r="Q103" s="8">
        <f>IF(OR(D103="",M103&lt;=0),"",IF(AND(L103="BUY-DAY",N103="VOL-OK",P103="ON",Z103="OK",AA103&lt;&gt;"DOWN"),"BUY",IF(AND(L103="SELL-DAY",N103="VOL-OK",O103="ON",Z103="OK",AA103&lt;&gt;"UP"),"SELL","")))</f>
        <v/>
      </c>
      <c r="R103" s="13">
        <f>IF(Q103="","",D103)</f>
        <v/>
      </c>
      <c r="S103" s="13">
        <f>IF(Q103="","",IF(Q103="BUY",D103-M103*1.5,D103+M103*1.5))</f>
        <v/>
      </c>
      <c r="T103" s="13">
        <f>IF(Q103="","",IF(Q103="BUY",D103+M103*1.5,D103-M103*1.5))</f>
        <v/>
      </c>
      <c r="U103" s="13">
        <f>IF(Q103="","",IF(Q103="BUY",D103+M103*2,D103-M103*2))</f>
        <v/>
      </c>
      <c r="V103" s="13">
        <f>IF(Q103="","",IF(Q103="BUY",D103+M103*3,D103-M103*3))</f>
        <v/>
      </c>
      <c r="W103" s="8">
        <f>IF(OR(D103="",M103&lt;=0),"",IF(AND(D103&gt;G103,ABS(D103-G103)&lt;M103*0.5),"2ND","1ST"))</f>
        <v/>
      </c>
      <c r="X103" s="8">
        <f>IF(OR(D103="",M103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3" s="8">
        <f>IF(OR(D103="",M103&lt;=0),"",IF(M103&gt;D103*0.05,"VOL-HIGH","VOL-NORMAL"))</f>
        <v/>
      </c>
      <c r="Z103" s="8">
        <f>IF(OR(D103="",M103&lt;=0),"",IF(AND(N103="VOL-OK",Y103="VOL-NORMAL",W103="2ND"),"OK","NG"))</f>
        <v/>
      </c>
      <c r="AA103" s="8">
        <f>IF(OR(D103="",M103&lt;=0),"",IF(AND(E103&gt;I103,F103&gt;J103),"UP",IF(AND(E103&lt;I103,F103&lt;J103),"DOWN","FLAT")))</f>
        <v/>
      </c>
    </row>
    <row r="104" ht="26" customHeight="1" s="1">
      <c r="A104" s="14">
        <f>IF(B104="","",ROW()-2)</f>
        <v/>
      </c>
      <c r="B104" s="15">
        <f>IF('StockList_MS2'!A103="","",HYPERLINK("https://kabutan.jp/stock/?code="&amp;'StockList_MS2'!A103,'StockList_MS2'!A103))</f>
        <v/>
      </c>
      <c r="C104" s="16">
        <f>IF('StockList_MS2'!A103="","",'StockList_MS2'!B103)</f>
        <v/>
      </c>
      <c r="D104" s="17" t="n"/>
      <c r="E104" s="17" t="n"/>
      <c r="F104" s="17" t="n"/>
      <c r="G104" s="17" t="n"/>
      <c r="H104" s="18" t="n"/>
      <c r="I104" s="17" t="n"/>
      <c r="J104" s="17" t="n"/>
      <c r="K104" s="17" t="n"/>
      <c r="L104" s="14">
        <f>IF(D104="","",IF(D104&gt;K104,"BUY-DAY","SELL-DAY"))</f>
        <v/>
      </c>
      <c r="M104" s="19">
        <f>IF(D104="","",MAX(E104-F104,ABS(E104-K104),ABS(F104-K104)))</f>
        <v/>
      </c>
      <c r="N104" s="14">
        <f>IF(D104="","",IF(AND(H104&gt;0,H104&gt;(H104/3)*2.5),"VOL-OK","VOL-NG"))</f>
        <v/>
      </c>
      <c r="O104" s="14">
        <f>IF(D104="","",IF(D104&gt;I104,"ON","OFF"))</f>
        <v/>
      </c>
      <c r="P104" s="14">
        <f>IF(D104="","",IF(D104&lt;J104,"ON","OFF"))</f>
        <v/>
      </c>
      <c r="Q104" s="14">
        <f>IF(OR(D104="",M104&lt;=0),"",IF(AND(L104="BUY-DAY",N104="VOL-OK",P104="ON",Z104="OK",AA104&lt;&gt;"DOWN"),"BUY",IF(AND(L104="SELL-DAY",N104="VOL-OK",O104="ON",Z104="OK",AA104&lt;&gt;"UP"),"SELL","")))</f>
        <v/>
      </c>
      <c r="R104" s="19">
        <f>IF(Q104="","",D104)</f>
        <v/>
      </c>
      <c r="S104" s="19">
        <f>IF(Q104="","",IF(Q104="BUY",D104-M104*1.5,D104+M104*1.5))</f>
        <v/>
      </c>
      <c r="T104" s="19">
        <f>IF(Q104="","",IF(Q104="BUY",D104+M104*1.5,D104-M104*1.5))</f>
        <v/>
      </c>
      <c r="U104" s="19">
        <f>IF(Q104="","",IF(Q104="BUY",D104+M104*2,D104-M104*2))</f>
        <v/>
      </c>
      <c r="V104" s="19">
        <f>IF(Q104="","",IF(Q104="BUY",D104+M104*3,D104-M104*3))</f>
        <v/>
      </c>
      <c r="W104" s="14">
        <f>IF(OR(D104="",M104&lt;=0),"",IF(AND(D104&gt;G104,ABS(D104-G104)&lt;M104*0.5),"2ND","1ST"))</f>
        <v/>
      </c>
      <c r="X104" s="14">
        <f>IF(OR(D104="",M104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4" s="14">
        <f>IF(OR(D104="",M104&lt;=0),"",IF(M104&gt;D104*0.05,"VOL-HIGH","VOL-NORMAL"))</f>
        <v/>
      </c>
      <c r="Z104" s="14">
        <f>IF(OR(D104="",M104&lt;=0),"",IF(AND(N104="VOL-OK",Y104="VOL-NORMAL",W104="2ND"),"OK","NG"))</f>
        <v/>
      </c>
      <c r="AA104" s="14">
        <f>IF(OR(D104="",M104&lt;=0),"",IF(AND(E104&gt;I104,F104&gt;J104),"UP",IF(AND(E104&lt;I104,F104&lt;J104),"DOWN","FLAT")))</f>
        <v/>
      </c>
    </row>
    <row r="105" ht="26" customHeight="1" s="1">
      <c r="A105" s="8">
        <f>IF(B105="","",ROW()-2)</f>
        <v/>
      </c>
      <c r="B105" s="9">
        <f>IF('StockList_MS2'!A104="","",HYPERLINK("https://kabutan.jp/stock/?code="&amp;'StockList_MS2'!A104,'StockList_MS2'!A104))</f>
        <v/>
      </c>
      <c r="C105" s="10">
        <f>IF('StockList_MS2'!A104="","",'StockList_MS2'!B104)</f>
        <v/>
      </c>
      <c r="D105" s="11" t="n"/>
      <c r="E105" s="11" t="n"/>
      <c r="F105" s="11" t="n"/>
      <c r="G105" s="11" t="n"/>
      <c r="H105" s="12" t="n"/>
      <c r="I105" s="11" t="n"/>
      <c r="J105" s="11" t="n"/>
      <c r="K105" s="11" t="n"/>
      <c r="L105" s="8">
        <f>IF(D105="","",IF(D105&gt;K105,"BUY-DAY","SELL-DAY"))</f>
        <v/>
      </c>
      <c r="M105" s="13">
        <f>IF(D105="","",MAX(E105-F105,ABS(E105-K105),ABS(F105-K105)))</f>
        <v/>
      </c>
      <c r="N105" s="8">
        <f>IF(D105="","",IF(AND(H105&gt;0,H105&gt;(H105/3)*2.5),"VOL-OK","VOL-NG"))</f>
        <v/>
      </c>
      <c r="O105" s="8">
        <f>IF(D105="","",IF(D105&gt;I105,"ON","OFF"))</f>
        <v/>
      </c>
      <c r="P105" s="8">
        <f>IF(D105="","",IF(D105&lt;J105,"ON","OFF"))</f>
        <v/>
      </c>
      <c r="Q105" s="8">
        <f>IF(OR(D105="",M105&lt;=0),"",IF(AND(L105="BUY-DAY",N105="VOL-OK",P105="ON",Z105="OK",AA105&lt;&gt;"DOWN"),"BUY",IF(AND(L105="SELL-DAY",N105="VOL-OK",O105="ON",Z105="OK",AA105&lt;&gt;"UP"),"SELL","")))</f>
        <v/>
      </c>
      <c r="R105" s="13">
        <f>IF(Q105="","",D105)</f>
        <v/>
      </c>
      <c r="S105" s="13">
        <f>IF(Q105="","",IF(Q105="BUY",D105-M105*1.5,D105+M105*1.5))</f>
        <v/>
      </c>
      <c r="T105" s="13">
        <f>IF(Q105="","",IF(Q105="BUY",D105+M105*1.5,D105-M105*1.5))</f>
        <v/>
      </c>
      <c r="U105" s="13">
        <f>IF(Q105="","",IF(Q105="BUY",D105+M105*2,D105-M105*2))</f>
        <v/>
      </c>
      <c r="V105" s="13">
        <f>IF(Q105="","",IF(Q105="BUY",D105+M105*3,D105-M105*3))</f>
        <v/>
      </c>
      <c r="W105" s="8">
        <f>IF(OR(D105="",M105&lt;=0),"",IF(AND(D105&gt;G105,ABS(D105-G105)&lt;M105*0.5),"2ND","1ST"))</f>
        <v/>
      </c>
      <c r="X105" s="8">
        <f>IF(OR(D105="",M105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5" s="8">
        <f>IF(OR(D105="",M105&lt;=0),"",IF(M105&gt;D105*0.05,"VOL-HIGH","VOL-NORMAL"))</f>
        <v/>
      </c>
      <c r="Z105" s="8">
        <f>IF(OR(D105="",M105&lt;=0),"",IF(AND(N105="VOL-OK",Y105="VOL-NORMAL",W105="2ND"),"OK","NG"))</f>
        <v/>
      </c>
      <c r="AA105" s="8">
        <f>IF(OR(D105="",M105&lt;=0),"",IF(AND(E105&gt;I105,F105&gt;J105),"UP",IF(AND(E105&lt;I105,F105&lt;J105),"DOWN","FLAT")))</f>
        <v/>
      </c>
    </row>
    <row r="106" ht="26" customHeight="1" s="1">
      <c r="A106" s="14">
        <f>IF(B106="","",ROW()-2)</f>
        <v/>
      </c>
      <c r="B106" s="15">
        <f>IF('StockList_MS2'!A105="","",HYPERLINK("https://kabutan.jp/stock/?code="&amp;'StockList_MS2'!A105,'StockList_MS2'!A105))</f>
        <v/>
      </c>
      <c r="C106" s="16">
        <f>IF('StockList_MS2'!A105="","",'StockList_MS2'!B105)</f>
        <v/>
      </c>
      <c r="D106" s="17" t="n"/>
      <c r="E106" s="17" t="n"/>
      <c r="F106" s="17" t="n"/>
      <c r="G106" s="17" t="n"/>
      <c r="H106" s="18" t="n"/>
      <c r="I106" s="17" t="n"/>
      <c r="J106" s="17" t="n"/>
      <c r="K106" s="17" t="n"/>
      <c r="L106" s="14">
        <f>IF(D106="","",IF(D106&gt;K106,"BUY-DAY","SELL-DAY"))</f>
        <v/>
      </c>
      <c r="M106" s="19">
        <f>IF(D106="","",MAX(E106-F106,ABS(E106-K106),ABS(F106-K106)))</f>
        <v/>
      </c>
      <c r="N106" s="14">
        <f>IF(D106="","",IF(AND(H106&gt;0,H106&gt;(H106/3)*2.5),"VOL-OK","VOL-NG"))</f>
        <v/>
      </c>
      <c r="O106" s="14">
        <f>IF(D106="","",IF(D106&gt;I106,"ON","OFF"))</f>
        <v/>
      </c>
      <c r="P106" s="14">
        <f>IF(D106="","",IF(D106&lt;J106,"ON","OFF"))</f>
        <v/>
      </c>
      <c r="Q106" s="14">
        <f>IF(OR(D106="",M106&lt;=0),"",IF(AND(L106="BUY-DAY",N106="VOL-OK",P106="ON",Z106="OK",AA106&lt;&gt;"DOWN"),"BUY",IF(AND(L106="SELL-DAY",N106="VOL-OK",O106="ON",Z106="OK",AA106&lt;&gt;"UP"),"SELL","")))</f>
        <v/>
      </c>
      <c r="R106" s="19">
        <f>IF(Q106="","",D106)</f>
        <v/>
      </c>
      <c r="S106" s="19">
        <f>IF(Q106="","",IF(Q106="BUY",D106-M106*1.5,D106+M106*1.5))</f>
        <v/>
      </c>
      <c r="T106" s="19">
        <f>IF(Q106="","",IF(Q106="BUY",D106+M106*1.5,D106-M106*1.5))</f>
        <v/>
      </c>
      <c r="U106" s="19">
        <f>IF(Q106="","",IF(Q106="BUY",D106+M106*2,D106-M106*2))</f>
        <v/>
      </c>
      <c r="V106" s="19">
        <f>IF(Q106="","",IF(Q106="BUY",D106+M106*3,D106-M106*3))</f>
        <v/>
      </c>
      <c r="W106" s="14">
        <f>IF(OR(D106="",M106&lt;=0),"",IF(AND(D106&gt;G106,ABS(D106-G106)&lt;M106*0.5),"2ND","1ST"))</f>
        <v/>
      </c>
      <c r="X106" s="14">
        <f>IF(OR(D106="",M106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6" s="14">
        <f>IF(OR(D106="",M106&lt;=0),"",IF(M106&gt;D106*0.05,"VOL-HIGH","VOL-NORMAL"))</f>
        <v/>
      </c>
      <c r="Z106" s="14">
        <f>IF(OR(D106="",M106&lt;=0),"",IF(AND(N106="VOL-OK",Y106="VOL-NORMAL",W106="2ND"),"OK","NG"))</f>
        <v/>
      </c>
      <c r="AA106" s="14">
        <f>IF(OR(D106="",M106&lt;=0),"",IF(AND(E106&gt;I106,F106&gt;J106),"UP",IF(AND(E106&lt;I106,F106&lt;J106),"DOWN","FLAT")))</f>
        <v/>
      </c>
    </row>
    <row r="107" ht="26" customHeight="1" s="1">
      <c r="A107" s="8">
        <f>IF(B107="","",ROW()-2)</f>
        <v/>
      </c>
      <c r="B107" s="9">
        <f>IF('StockList_MS2'!A106="","",HYPERLINK("https://kabutan.jp/stock/?code="&amp;'StockList_MS2'!A106,'StockList_MS2'!A106))</f>
        <v/>
      </c>
      <c r="C107" s="10">
        <f>IF('StockList_MS2'!A106="","",'StockList_MS2'!B106)</f>
        <v/>
      </c>
      <c r="D107" s="11" t="n"/>
      <c r="E107" s="11" t="n"/>
      <c r="F107" s="11" t="n"/>
      <c r="G107" s="11" t="n"/>
      <c r="H107" s="12" t="n"/>
      <c r="I107" s="11" t="n"/>
      <c r="J107" s="11" t="n"/>
      <c r="K107" s="11" t="n"/>
      <c r="L107" s="8">
        <f>IF(D107="","",IF(D107&gt;K107,"BUY-DAY","SELL-DAY"))</f>
        <v/>
      </c>
      <c r="M107" s="13">
        <f>IF(D107="","",MAX(E107-F107,ABS(E107-K107),ABS(F107-K107)))</f>
        <v/>
      </c>
      <c r="N107" s="8">
        <f>IF(D107="","",IF(AND(H107&gt;0,H107&gt;(H107/3)*2.5),"VOL-OK","VOL-NG"))</f>
        <v/>
      </c>
      <c r="O107" s="8">
        <f>IF(D107="","",IF(D107&gt;I107,"ON","OFF"))</f>
        <v/>
      </c>
      <c r="P107" s="8">
        <f>IF(D107="","",IF(D107&lt;J107,"ON","OFF"))</f>
        <v/>
      </c>
      <c r="Q107" s="8">
        <f>IF(OR(D107="",M107&lt;=0),"",IF(AND(L107="BUY-DAY",N107="VOL-OK",P107="ON",Z107="OK",AA107&lt;&gt;"DOWN"),"BUY",IF(AND(L107="SELL-DAY",N107="VOL-OK",O107="ON",Z107="OK",AA107&lt;&gt;"UP"),"SELL","")))</f>
        <v/>
      </c>
      <c r="R107" s="13">
        <f>IF(Q107="","",D107)</f>
        <v/>
      </c>
      <c r="S107" s="13">
        <f>IF(Q107="","",IF(Q107="BUY",D107-M107*1.5,D107+M107*1.5))</f>
        <v/>
      </c>
      <c r="T107" s="13">
        <f>IF(Q107="","",IF(Q107="BUY",D107+M107*1.5,D107-M107*1.5))</f>
        <v/>
      </c>
      <c r="U107" s="13">
        <f>IF(Q107="","",IF(Q107="BUY",D107+M107*2,D107-M107*2))</f>
        <v/>
      </c>
      <c r="V107" s="13">
        <f>IF(Q107="","",IF(Q107="BUY",D107+M107*3,D107-M107*3))</f>
        <v/>
      </c>
      <c r="W107" s="8">
        <f>IF(OR(D107="",M107&lt;=0),"",IF(AND(D107&gt;G107,ABS(D107-G107)&lt;M107*0.5),"2ND","1ST"))</f>
        <v/>
      </c>
      <c r="X107" s="8">
        <f>IF(OR(D107="",M107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7" s="8">
        <f>IF(OR(D107="",M107&lt;=0),"",IF(M107&gt;D107*0.05,"VOL-HIGH","VOL-NORMAL"))</f>
        <v/>
      </c>
      <c r="Z107" s="8">
        <f>IF(OR(D107="",M107&lt;=0),"",IF(AND(N107="VOL-OK",Y107="VOL-NORMAL",W107="2ND"),"OK","NG"))</f>
        <v/>
      </c>
      <c r="AA107" s="8">
        <f>IF(OR(D107="",M107&lt;=0),"",IF(AND(E107&gt;I107,F107&gt;J107),"UP",IF(AND(E107&lt;I107,F107&lt;J107),"DOWN","FLAT")))</f>
        <v/>
      </c>
    </row>
    <row r="108" ht="26" customHeight="1" s="1">
      <c r="A108" s="14">
        <f>IF(B108="","",ROW()-2)</f>
        <v/>
      </c>
      <c r="B108" s="15">
        <f>IF('StockList_MS2'!A107="","",HYPERLINK("https://kabutan.jp/stock/?code="&amp;'StockList_MS2'!A107,'StockList_MS2'!A107))</f>
        <v/>
      </c>
      <c r="C108" s="16">
        <f>IF('StockList_MS2'!A107="","",'StockList_MS2'!B107)</f>
        <v/>
      </c>
      <c r="D108" s="17" t="n"/>
      <c r="E108" s="17" t="n"/>
      <c r="F108" s="17" t="n"/>
      <c r="G108" s="17" t="n"/>
      <c r="H108" s="18" t="n"/>
      <c r="I108" s="17" t="n"/>
      <c r="J108" s="17" t="n"/>
      <c r="K108" s="17" t="n"/>
      <c r="L108" s="14">
        <f>IF(D108="","",IF(D108&gt;K108,"BUY-DAY","SELL-DAY"))</f>
        <v/>
      </c>
      <c r="M108" s="19">
        <f>IF(D108="","",MAX(E108-F108,ABS(E108-K108),ABS(F108-K108)))</f>
        <v/>
      </c>
      <c r="N108" s="14">
        <f>IF(D108="","",IF(AND(H108&gt;0,H108&gt;(H108/3)*2.5),"VOL-OK","VOL-NG"))</f>
        <v/>
      </c>
      <c r="O108" s="14">
        <f>IF(D108="","",IF(D108&gt;I108,"ON","OFF"))</f>
        <v/>
      </c>
      <c r="P108" s="14">
        <f>IF(D108="","",IF(D108&lt;J108,"ON","OFF"))</f>
        <v/>
      </c>
      <c r="Q108" s="14">
        <f>IF(OR(D108="",M108&lt;=0),"",IF(AND(L108="BUY-DAY",N108="VOL-OK",P108="ON",Z108="OK",AA108&lt;&gt;"DOWN"),"BUY",IF(AND(L108="SELL-DAY",N108="VOL-OK",O108="ON",Z108="OK",AA108&lt;&gt;"UP"),"SELL","")))</f>
        <v/>
      </c>
      <c r="R108" s="19">
        <f>IF(Q108="","",D108)</f>
        <v/>
      </c>
      <c r="S108" s="19">
        <f>IF(Q108="","",IF(Q108="BUY",D108-M108*1.5,D108+M108*1.5))</f>
        <v/>
      </c>
      <c r="T108" s="19">
        <f>IF(Q108="","",IF(Q108="BUY",D108+M108*1.5,D108-M108*1.5))</f>
        <v/>
      </c>
      <c r="U108" s="19">
        <f>IF(Q108="","",IF(Q108="BUY",D108+M108*2,D108-M108*2))</f>
        <v/>
      </c>
      <c r="V108" s="19">
        <f>IF(Q108="","",IF(Q108="BUY",D108+M108*3,D108-M108*3))</f>
        <v/>
      </c>
      <c r="W108" s="14">
        <f>IF(OR(D108="",M108&lt;=0),"",IF(AND(D108&gt;G108,ABS(D108-G108)&lt;M108*0.5),"2ND","1ST"))</f>
        <v/>
      </c>
      <c r="X108" s="14">
        <f>IF(OR(D108="",M108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8" s="14">
        <f>IF(OR(D108="",M108&lt;=0),"",IF(M108&gt;D108*0.05,"VOL-HIGH","VOL-NORMAL"))</f>
        <v/>
      </c>
      <c r="Z108" s="14">
        <f>IF(OR(D108="",M108&lt;=0),"",IF(AND(N108="VOL-OK",Y108="VOL-NORMAL",W108="2ND"),"OK","NG"))</f>
        <v/>
      </c>
      <c r="AA108" s="14">
        <f>IF(OR(D108="",M108&lt;=0),"",IF(AND(E108&gt;I108,F108&gt;J108),"UP",IF(AND(E108&lt;I108,F108&lt;J108),"DOWN","FLAT")))</f>
        <v/>
      </c>
    </row>
    <row r="109" ht="26" customHeight="1" s="1">
      <c r="A109" s="8">
        <f>IF(B109="","",ROW()-2)</f>
        <v/>
      </c>
      <c r="B109" s="9">
        <f>IF('StockList_MS2'!A108="","",HYPERLINK("https://kabutan.jp/stock/?code="&amp;'StockList_MS2'!A108,'StockList_MS2'!A108))</f>
        <v/>
      </c>
      <c r="C109" s="10">
        <f>IF('StockList_MS2'!A108="","",'StockList_MS2'!B108)</f>
        <v/>
      </c>
      <c r="D109" s="11" t="n"/>
      <c r="E109" s="11" t="n"/>
      <c r="F109" s="11" t="n"/>
      <c r="G109" s="11" t="n"/>
      <c r="H109" s="12" t="n"/>
      <c r="I109" s="11" t="n"/>
      <c r="J109" s="11" t="n"/>
      <c r="K109" s="11" t="n"/>
      <c r="L109" s="8">
        <f>IF(D109="","",IF(D109&gt;K109,"BUY-DAY","SELL-DAY"))</f>
        <v/>
      </c>
      <c r="M109" s="13">
        <f>IF(D109="","",MAX(E109-F109,ABS(E109-K109),ABS(F109-K109)))</f>
        <v/>
      </c>
      <c r="N109" s="8">
        <f>IF(D109="","",IF(AND(H109&gt;0,H109&gt;(H109/3)*2.5),"VOL-OK","VOL-NG"))</f>
        <v/>
      </c>
      <c r="O109" s="8">
        <f>IF(D109="","",IF(D109&gt;I109,"ON","OFF"))</f>
        <v/>
      </c>
      <c r="P109" s="8">
        <f>IF(D109="","",IF(D109&lt;J109,"ON","OFF"))</f>
        <v/>
      </c>
      <c r="Q109" s="8">
        <f>IF(OR(D109="",M109&lt;=0),"",IF(AND(L109="BUY-DAY",N109="VOL-OK",P109="ON",Z109="OK",AA109&lt;&gt;"DOWN"),"BUY",IF(AND(L109="SELL-DAY",N109="VOL-OK",O109="ON",Z109="OK",AA109&lt;&gt;"UP"),"SELL","")))</f>
        <v/>
      </c>
      <c r="R109" s="13">
        <f>IF(Q109="","",D109)</f>
        <v/>
      </c>
      <c r="S109" s="13">
        <f>IF(Q109="","",IF(Q109="BUY",D109-M109*1.5,D109+M109*1.5))</f>
        <v/>
      </c>
      <c r="T109" s="13">
        <f>IF(Q109="","",IF(Q109="BUY",D109+M109*1.5,D109-M109*1.5))</f>
        <v/>
      </c>
      <c r="U109" s="13">
        <f>IF(Q109="","",IF(Q109="BUY",D109+M109*2,D109-M109*2))</f>
        <v/>
      </c>
      <c r="V109" s="13">
        <f>IF(Q109="","",IF(Q109="BUY",D109+M109*3,D109-M109*3))</f>
        <v/>
      </c>
      <c r="W109" s="8">
        <f>IF(OR(D109="",M109&lt;=0),"",IF(AND(D109&gt;G109,ABS(D109-G109)&lt;M109*0.5),"2ND","1ST"))</f>
        <v/>
      </c>
      <c r="X109" s="8">
        <f>IF(OR(D109="",M109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09" s="8">
        <f>IF(OR(D109="",M109&lt;=0),"",IF(M109&gt;D109*0.05,"VOL-HIGH","VOL-NORMAL"))</f>
        <v/>
      </c>
      <c r="Z109" s="8">
        <f>IF(OR(D109="",M109&lt;=0),"",IF(AND(N109="VOL-OK",Y109="VOL-NORMAL",W109="2ND"),"OK","NG"))</f>
        <v/>
      </c>
      <c r="AA109" s="8">
        <f>IF(OR(D109="",M109&lt;=0),"",IF(AND(E109&gt;I109,F109&gt;J109),"UP",IF(AND(E109&lt;I109,F109&lt;J109),"DOWN","FLAT")))</f>
        <v/>
      </c>
    </row>
    <row r="110" ht="26" customHeight="1" s="1">
      <c r="A110" s="14">
        <f>IF(B110="","",ROW()-2)</f>
        <v/>
      </c>
      <c r="B110" s="15">
        <f>IF('StockList_MS2'!A109="","",HYPERLINK("https://kabutan.jp/stock/?code="&amp;'StockList_MS2'!A109,'StockList_MS2'!A109))</f>
        <v/>
      </c>
      <c r="C110" s="16">
        <f>IF('StockList_MS2'!A109="","",'StockList_MS2'!B109)</f>
        <v/>
      </c>
      <c r="D110" s="17" t="n"/>
      <c r="E110" s="17" t="n"/>
      <c r="F110" s="17" t="n"/>
      <c r="G110" s="17" t="n"/>
      <c r="H110" s="18" t="n"/>
      <c r="I110" s="17" t="n"/>
      <c r="J110" s="17" t="n"/>
      <c r="K110" s="17" t="n"/>
      <c r="L110" s="14">
        <f>IF(D110="","",IF(D110&gt;K110,"BUY-DAY","SELL-DAY"))</f>
        <v/>
      </c>
      <c r="M110" s="19">
        <f>IF(D110="","",MAX(E110-F110,ABS(E110-K110),ABS(F110-K110)))</f>
        <v/>
      </c>
      <c r="N110" s="14">
        <f>IF(D110="","",IF(AND(H110&gt;0,H110&gt;(H110/3)*2.5),"VOL-OK","VOL-NG"))</f>
        <v/>
      </c>
      <c r="O110" s="14">
        <f>IF(D110="","",IF(D110&gt;I110,"ON","OFF"))</f>
        <v/>
      </c>
      <c r="P110" s="14">
        <f>IF(D110="","",IF(D110&lt;J110,"ON","OFF"))</f>
        <v/>
      </c>
      <c r="Q110" s="14">
        <f>IF(OR(D110="",M110&lt;=0),"",IF(AND(L110="BUY-DAY",N110="VOL-OK",P110="ON",Z110="OK",AA110&lt;&gt;"DOWN"),"BUY",IF(AND(L110="SELL-DAY",N110="VOL-OK",O110="ON",Z110="OK",AA110&lt;&gt;"UP"),"SELL","")))</f>
        <v/>
      </c>
      <c r="R110" s="19">
        <f>IF(Q110="","",D110)</f>
        <v/>
      </c>
      <c r="S110" s="19">
        <f>IF(Q110="","",IF(Q110="BUY",D110-M110*1.5,D110+M110*1.5))</f>
        <v/>
      </c>
      <c r="T110" s="19">
        <f>IF(Q110="","",IF(Q110="BUY",D110+M110*1.5,D110-M110*1.5))</f>
        <v/>
      </c>
      <c r="U110" s="19">
        <f>IF(Q110="","",IF(Q110="BUY",D110+M110*2,D110-M110*2))</f>
        <v/>
      </c>
      <c r="V110" s="19">
        <f>IF(Q110="","",IF(Q110="BUY",D110+M110*3,D110-M110*3))</f>
        <v/>
      </c>
      <c r="W110" s="14">
        <f>IF(OR(D110="",M110&lt;=0),"",IF(AND(D110&gt;G110,ABS(D110-G110)&lt;M110*0.5),"2ND","1ST"))</f>
        <v/>
      </c>
      <c r="X110" s="14">
        <f>IF(OR(D110="",M110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0" s="14">
        <f>IF(OR(D110="",M110&lt;=0),"",IF(M110&gt;D110*0.05,"VOL-HIGH","VOL-NORMAL"))</f>
        <v/>
      </c>
      <c r="Z110" s="14">
        <f>IF(OR(D110="",M110&lt;=0),"",IF(AND(N110="VOL-OK",Y110="VOL-NORMAL",W110="2ND"),"OK","NG"))</f>
        <v/>
      </c>
      <c r="AA110" s="14">
        <f>IF(OR(D110="",M110&lt;=0),"",IF(AND(E110&gt;I110,F110&gt;J110),"UP",IF(AND(E110&lt;I110,F110&lt;J110),"DOWN","FLAT")))</f>
        <v/>
      </c>
    </row>
    <row r="111" ht="26" customHeight="1" s="1">
      <c r="A111" s="8">
        <f>IF(B111="","",ROW()-2)</f>
        <v/>
      </c>
      <c r="B111" s="9">
        <f>IF('StockList_MS2'!A110="","",HYPERLINK("https://kabutan.jp/stock/?code="&amp;'StockList_MS2'!A110,'StockList_MS2'!A110))</f>
        <v/>
      </c>
      <c r="C111" s="10">
        <f>IF('StockList_MS2'!A110="","",'StockList_MS2'!B110)</f>
        <v/>
      </c>
      <c r="D111" s="11" t="n"/>
      <c r="E111" s="11" t="n"/>
      <c r="F111" s="11" t="n"/>
      <c r="G111" s="11" t="n"/>
      <c r="H111" s="12" t="n"/>
      <c r="I111" s="11" t="n"/>
      <c r="J111" s="11" t="n"/>
      <c r="K111" s="11" t="n"/>
      <c r="L111" s="8">
        <f>IF(D111="","",IF(D111&gt;K111,"BUY-DAY","SELL-DAY"))</f>
        <v/>
      </c>
      <c r="M111" s="13">
        <f>IF(D111="","",MAX(E111-F111,ABS(E111-K111),ABS(F111-K111)))</f>
        <v/>
      </c>
      <c r="N111" s="8">
        <f>IF(D111="","",IF(AND(H111&gt;0,H111&gt;(H111/3)*2.5),"VOL-OK","VOL-NG"))</f>
        <v/>
      </c>
      <c r="O111" s="8">
        <f>IF(D111="","",IF(D111&gt;I111,"ON","OFF"))</f>
        <v/>
      </c>
      <c r="P111" s="8">
        <f>IF(D111="","",IF(D111&lt;J111,"ON","OFF"))</f>
        <v/>
      </c>
      <c r="Q111" s="8">
        <f>IF(OR(D111="",M111&lt;=0),"",IF(AND(L111="BUY-DAY",N111="VOL-OK",P111="ON",Z111="OK",AA111&lt;&gt;"DOWN"),"BUY",IF(AND(L111="SELL-DAY",N111="VOL-OK",O111="ON",Z111="OK",AA111&lt;&gt;"UP"),"SELL","")))</f>
        <v/>
      </c>
      <c r="R111" s="13">
        <f>IF(Q111="","",D111)</f>
        <v/>
      </c>
      <c r="S111" s="13">
        <f>IF(Q111="","",IF(Q111="BUY",D111-M111*1.5,D111+M111*1.5))</f>
        <v/>
      </c>
      <c r="T111" s="13">
        <f>IF(Q111="","",IF(Q111="BUY",D111+M111*1.5,D111-M111*1.5))</f>
        <v/>
      </c>
      <c r="U111" s="13">
        <f>IF(Q111="","",IF(Q111="BUY",D111+M111*2,D111-M111*2))</f>
        <v/>
      </c>
      <c r="V111" s="13">
        <f>IF(Q111="","",IF(Q111="BUY",D111+M111*3,D111-M111*3))</f>
        <v/>
      </c>
      <c r="W111" s="8">
        <f>IF(OR(D111="",M111&lt;=0),"",IF(AND(D111&gt;G111,ABS(D111-G111)&lt;M111*0.5),"2ND","1ST"))</f>
        <v/>
      </c>
      <c r="X111" s="8">
        <f>IF(OR(D111="",M111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1" s="8">
        <f>IF(OR(D111="",M111&lt;=0),"",IF(M111&gt;D111*0.05,"VOL-HIGH","VOL-NORMAL"))</f>
        <v/>
      </c>
      <c r="Z111" s="8">
        <f>IF(OR(D111="",M111&lt;=0),"",IF(AND(N111="VOL-OK",Y111="VOL-NORMAL",W111="2ND"),"OK","NG"))</f>
        <v/>
      </c>
      <c r="AA111" s="8">
        <f>IF(OR(D111="",M111&lt;=0),"",IF(AND(E111&gt;I111,F111&gt;J111),"UP",IF(AND(E111&lt;I111,F111&lt;J111),"DOWN","FLAT")))</f>
        <v/>
      </c>
    </row>
    <row r="112" ht="26" customHeight="1" s="1">
      <c r="A112" s="14">
        <f>IF(B112="","",ROW()-2)</f>
        <v/>
      </c>
      <c r="B112" s="15">
        <f>IF('StockList_MS2'!A111="","",HYPERLINK("https://kabutan.jp/stock/?code="&amp;'StockList_MS2'!A111,'StockList_MS2'!A111))</f>
        <v/>
      </c>
      <c r="C112" s="16">
        <f>IF('StockList_MS2'!A111="","",'StockList_MS2'!B111)</f>
        <v/>
      </c>
      <c r="D112" s="17" t="n"/>
      <c r="E112" s="17" t="n"/>
      <c r="F112" s="17" t="n"/>
      <c r="G112" s="17" t="n"/>
      <c r="H112" s="18" t="n"/>
      <c r="I112" s="17" t="n"/>
      <c r="J112" s="17" t="n"/>
      <c r="K112" s="17" t="n"/>
      <c r="L112" s="14">
        <f>IF(D112="","",IF(D112&gt;K112,"BUY-DAY","SELL-DAY"))</f>
        <v/>
      </c>
      <c r="M112" s="19">
        <f>IF(D112="","",MAX(E112-F112,ABS(E112-K112),ABS(F112-K112)))</f>
        <v/>
      </c>
      <c r="N112" s="14">
        <f>IF(D112="","",IF(AND(H112&gt;0,H112&gt;(H112/3)*2.5),"VOL-OK","VOL-NG"))</f>
        <v/>
      </c>
      <c r="O112" s="14">
        <f>IF(D112="","",IF(D112&gt;I112,"ON","OFF"))</f>
        <v/>
      </c>
      <c r="P112" s="14">
        <f>IF(D112="","",IF(D112&lt;J112,"ON","OFF"))</f>
        <v/>
      </c>
      <c r="Q112" s="14">
        <f>IF(OR(D112="",M112&lt;=0),"",IF(AND(L112="BUY-DAY",N112="VOL-OK",P112="ON",Z112="OK",AA112&lt;&gt;"DOWN"),"BUY",IF(AND(L112="SELL-DAY",N112="VOL-OK",O112="ON",Z112="OK",AA112&lt;&gt;"UP"),"SELL","")))</f>
        <v/>
      </c>
      <c r="R112" s="19">
        <f>IF(Q112="","",D112)</f>
        <v/>
      </c>
      <c r="S112" s="19">
        <f>IF(Q112="","",IF(Q112="BUY",D112-M112*1.5,D112+M112*1.5))</f>
        <v/>
      </c>
      <c r="T112" s="19">
        <f>IF(Q112="","",IF(Q112="BUY",D112+M112*1.5,D112-M112*1.5))</f>
        <v/>
      </c>
      <c r="U112" s="19">
        <f>IF(Q112="","",IF(Q112="BUY",D112+M112*2,D112-M112*2))</f>
        <v/>
      </c>
      <c r="V112" s="19">
        <f>IF(Q112="","",IF(Q112="BUY",D112+M112*3,D112-M112*3))</f>
        <v/>
      </c>
      <c r="W112" s="14">
        <f>IF(OR(D112="",M112&lt;=0),"",IF(AND(D112&gt;G112,ABS(D112-G112)&lt;M112*0.5),"2ND","1ST"))</f>
        <v/>
      </c>
      <c r="X112" s="14">
        <f>IF(OR(D112="",M112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2" s="14">
        <f>IF(OR(D112="",M112&lt;=0),"",IF(M112&gt;D112*0.05,"VOL-HIGH","VOL-NORMAL"))</f>
        <v/>
      </c>
      <c r="Z112" s="14">
        <f>IF(OR(D112="",M112&lt;=0),"",IF(AND(N112="VOL-OK",Y112="VOL-NORMAL",W112="2ND"),"OK","NG"))</f>
        <v/>
      </c>
      <c r="AA112" s="14">
        <f>IF(OR(D112="",M112&lt;=0),"",IF(AND(E112&gt;I112,F112&gt;J112),"UP",IF(AND(E112&lt;I112,F112&lt;J112),"DOWN","FLAT")))</f>
        <v/>
      </c>
    </row>
    <row r="113" ht="26" customHeight="1" s="1">
      <c r="A113" s="8">
        <f>IF(B113="","",ROW()-2)</f>
        <v/>
      </c>
      <c r="B113" s="9">
        <f>IF('StockList_MS2'!A112="","",HYPERLINK("https://kabutan.jp/stock/?code="&amp;'StockList_MS2'!A112,'StockList_MS2'!A112))</f>
        <v/>
      </c>
      <c r="C113" s="10">
        <f>IF('StockList_MS2'!A112="","",'StockList_MS2'!B112)</f>
        <v/>
      </c>
      <c r="D113" s="11" t="n"/>
      <c r="E113" s="11" t="n"/>
      <c r="F113" s="11" t="n"/>
      <c r="G113" s="11" t="n"/>
      <c r="H113" s="12" t="n"/>
      <c r="I113" s="11" t="n"/>
      <c r="J113" s="11" t="n"/>
      <c r="K113" s="11" t="n"/>
      <c r="L113" s="8">
        <f>IF(D113="","",IF(D113&gt;K113,"BUY-DAY","SELL-DAY"))</f>
        <v/>
      </c>
      <c r="M113" s="13">
        <f>IF(D113="","",MAX(E113-F113,ABS(E113-K113),ABS(F113-K113)))</f>
        <v/>
      </c>
      <c r="N113" s="8">
        <f>IF(D113="","",IF(AND(H113&gt;0,H113&gt;(H113/3)*2.5),"VOL-OK","VOL-NG"))</f>
        <v/>
      </c>
      <c r="O113" s="8">
        <f>IF(D113="","",IF(D113&gt;I113,"ON","OFF"))</f>
        <v/>
      </c>
      <c r="P113" s="8">
        <f>IF(D113="","",IF(D113&lt;J113,"ON","OFF"))</f>
        <v/>
      </c>
      <c r="Q113" s="8">
        <f>IF(OR(D113="",M113&lt;=0),"",IF(AND(L113="BUY-DAY",N113="VOL-OK",P113="ON",Z113="OK",AA113&lt;&gt;"DOWN"),"BUY",IF(AND(L113="SELL-DAY",N113="VOL-OK",O113="ON",Z113="OK",AA113&lt;&gt;"UP"),"SELL","")))</f>
        <v/>
      </c>
      <c r="R113" s="13">
        <f>IF(Q113="","",D113)</f>
        <v/>
      </c>
      <c r="S113" s="13">
        <f>IF(Q113="","",IF(Q113="BUY",D113-M113*1.5,D113+M113*1.5))</f>
        <v/>
      </c>
      <c r="T113" s="13">
        <f>IF(Q113="","",IF(Q113="BUY",D113+M113*1.5,D113-M113*1.5))</f>
        <v/>
      </c>
      <c r="U113" s="13">
        <f>IF(Q113="","",IF(Q113="BUY",D113+M113*2,D113-M113*2))</f>
        <v/>
      </c>
      <c r="V113" s="13">
        <f>IF(Q113="","",IF(Q113="BUY",D113+M113*3,D113-M113*3))</f>
        <v/>
      </c>
      <c r="W113" s="8">
        <f>IF(OR(D113="",M113&lt;=0),"",IF(AND(D113&gt;G113,ABS(D113-G113)&lt;M113*0.5),"2ND","1ST"))</f>
        <v/>
      </c>
      <c r="X113" s="8">
        <f>IF(OR(D113="",M113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3" s="8">
        <f>IF(OR(D113="",M113&lt;=0),"",IF(M113&gt;D113*0.05,"VOL-HIGH","VOL-NORMAL"))</f>
        <v/>
      </c>
      <c r="Z113" s="8">
        <f>IF(OR(D113="",M113&lt;=0),"",IF(AND(N113="VOL-OK",Y113="VOL-NORMAL",W113="2ND"),"OK","NG"))</f>
        <v/>
      </c>
      <c r="AA113" s="8">
        <f>IF(OR(D113="",M113&lt;=0),"",IF(AND(E113&gt;I113,F113&gt;J113),"UP",IF(AND(E113&lt;I113,F113&lt;J113),"DOWN","FLAT")))</f>
        <v/>
      </c>
    </row>
    <row r="114" ht="26" customHeight="1" s="1">
      <c r="A114" s="14">
        <f>IF(B114="","",ROW()-2)</f>
        <v/>
      </c>
      <c r="B114" s="15">
        <f>IF('StockList_MS2'!A113="","",HYPERLINK("https://kabutan.jp/stock/?code="&amp;'StockList_MS2'!A113,'StockList_MS2'!A113))</f>
        <v/>
      </c>
      <c r="C114" s="16">
        <f>IF('StockList_MS2'!A113="","",'StockList_MS2'!B113)</f>
        <v/>
      </c>
      <c r="D114" s="17" t="n"/>
      <c r="E114" s="17" t="n"/>
      <c r="F114" s="17" t="n"/>
      <c r="G114" s="17" t="n"/>
      <c r="H114" s="18" t="n"/>
      <c r="I114" s="17" t="n"/>
      <c r="J114" s="17" t="n"/>
      <c r="K114" s="17" t="n"/>
      <c r="L114" s="14">
        <f>IF(D114="","",IF(D114&gt;K114,"BUY-DAY","SELL-DAY"))</f>
        <v/>
      </c>
      <c r="M114" s="19">
        <f>IF(D114="","",MAX(E114-F114,ABS(E114-K114),ABS(F114-K114)))</f>
        <v/>
      </c>
      <c r="N114" s="14">
        <f>IF(D114="","",IF(AND(H114&gt;0,H114&gt;(H114/3)*2.5),"VOL-OK","VOL-NG"))</f>
        <v/>
      </c>
      <c r="O114" s="14">
        <f>IF(D114="","",IF(D114&gt;I114,"ON","OFF"))</f>
        <v/>
      </c>
      <c r="P114" s="14">
        <f>IF(D114="","",IF(D114&lt;J114,"ON","OFF"))</f>
        <v/>
      </c>
      <c r="Q114" s="14">
        <f>IF(OR(D114="",M114&lt;=0),"",IF(AND(L114="BUY-DAY",N114="VOL-OK",P114="ON",Z114="OK",AA114&lt;&gt;"DOWN"),"BUY",IF(AND(L114="SELL-DAY",N114="VOL-OK",O114="ON",Z114="OK",AA114&lt;&gt;"UP"),"SELL","")))</f>
        <v/>
      </c>
      <c r="R114" s="19">
        <f>IF(Q114="","",D114)</f>
        <v/>
      </c>
      <c r="S114" s="19">
        <f>IF(Q114="","",IF(Q114="BUY",D114-M114*1.5,D114+M114*1.5))</f>
        <v/>
      </c>
      <c r="T114" s="19">
        <f>IF(Q114="","",IF(Q114="BUY",D114+M114*1.5,D114-M114*1.5))</f>
        <v/>
      </c>
      <c r="U114" s="19">
        <f>IF(Q114="","",IF(Q114="BUY",D114+M114*2,D114-M114*2))</f>
        <v/>
      </c>
      <c r="V114" s="19">
        <f>IF(Q114="","",IF(Q114="BUY",D114+M114*3,D114-M114*3))</f>
        <v/>
      </c>
      <c r="W114" s="14">
        <f>IF(OR(D114="",M114&lt;=0),"",IF(AND(D114&gt;G114,ABS(D114-G114)&lt;M114*0.5),"2ND","1ST"))</f>
        <v/>
      </c>
      <c r="X114" s="14">
        <f>IF(OR(D114="",M114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4" s="14">
        <f>IF(OR(D114="",M114&lt;=0),"",IF(M114&gt;D114*0.05,"VOL-HIGH","VOL-NORMAL"))</f>
        <v/>
      </c>
      <c r="Z114" s="14">
        <f>IF(OR(D114="",M114&lt;=0),"",IF(AND(N114="VOL-OK",Y114="VOL-NORMAL",W114="2ND"),"OK","NG"))</f>
        <v/>
      </c>
      <c r="AA114" s="14">
        <f>IF(OR(D114="",M114&lt;=0),"",IF(AND(E114&gt;I114,F114&gt;J114),"UP",IF(AND(E114&lt;I114,F114&lt;J114),"DOWN","FLAT")))</f>
        <v/>
      </c>
    </row>
    <row r="115" ht="26" customHeight="1" s="1">
      <c r="A115" s="8">
        <f>IF(B115="","",ROW()-2)</f>
        <v/>
      </c>
      <c r="B115" s="9">
        <f>IF('StockList_MS2'!A114="","",HYPERLINK("https://kabutan.jp/stock/?code="&amp;'StockList_MS2'!A114,'StockList_MS2'!A114))</f>
        <v/>
      </c>
      <c r="C115" s="10">
        <f>IF('StockList_MS2'!A114="","",'StockList_MS2'!B114)</f>
        <v/>
      </c>
      <c r="D115" s="11" t="n"/>
      <c r="E115" s="11" t="n"/>
      <c r="F115" s="11" t="n"/>
      <c r="G115" s="11" t="n"/>
      <c r="H115" s="12" t="n"/>
      <c r="I115" s="11" t="n"/>
      <c r="J115" s="11" t="n"/>
      <c r="K115" s="11" t="n"/>
      <c r="L115" s="8">
        <f>IF(D115="","",IF(D115&gt;K115,"BUY-DAY","SELL-DAY"))</f>
        <v/>
      </c>
      <c r="M115" s="13">
        <f>IF(D115="","",MAX(E115-F115,ABS(E115-K115),ABS(F115-K115)))</f>
        <v/>
      </c>
      <c r="N115" s="8">
        <f>IF(D115="","",IF(AND(H115&gt;0,H115&gt;(H115/3)*2.5),"VOL-OK","VOL-NG"))</f>
        <v/>
      </c>
      <c r="O115" s="8">
        <f>IF(D115="","",IF(D115&gt;I115,"ON","OFF"))</f>
        <v/>
      </c>
      <c r="P115" s="8">
        <f>IF(D115="","",IF(D115&lt;J115,"ON","OFF"))</f>
        <v/>
      </c>
      <c r="Q115" s="8">
        <f>IF(OR(D115="",M115&lt;=0),"",IF(AND(L115="BUY-DAY",N115="VOL-OK",P115="ON",Z115="OK",AA115&lt;&gt;"DOWN"),"BUY",IF(AND(L115="SELL-DAY",N115="VOL-OK",O115="ON",Z115="OK",AA115&lt;&gt;"UP"),"SELL","")))</f>
        <v/>
      </c>
      <c r="R115" s="13">
        <f>IF(Q115="","",D115)</f>
        <v/>
      </c>
      <c r="S115" s="13">
        <f>IF(Q115="","",IF(Q115="BUY",D115-M115*1.5,D115+M115*1.5))</f>
        <v/>
      </c>
      <c r="T115" s="13">
        <f>IF(Q115="","",IF(Q115="BUY",D115+M115*1.5,D115-M115*1.5))</f>
        <v/>
      </c>
      <c r="U115" s="13">
        <f>IF(Q115="","",IF(Q115="BUY",D115+M115*2,D115-M115*2))</f>
        <v/>
      </c>
      <c r="V115" s="13">
        <f>IF(Q115="","",IF(Q115="BUY",D115+M115*3,D115-M115*3))</f>
        <v/>
      </c>
      <c r="W115" s="8">
        <f>IF(OR(D115="",M115&lt;=0),"",IF(AND(D115&gt;G115,ABS(D115-G115)&lt;M115*0.5),"2ND","1ST"))</f>
        <v/>
      </c>
      <c r="X115" s="8">
        <f>IF(OR(D115="",M115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5" s="8">
        <f>IF(OR(D115="",M115&lt;=0),"",IF(M115&gt;D115*0.05,"VOL-HIGH","VOL-NORMAL"))</f>
        <v/>
      </c>
      <c r="Z115" s="8">
        <f>IF(OR(D115="",M115&lt;=0),"",IF(AND(N115="VOL-OK",Y115="VOL-NORMAL",W115="2ND"),"OK","NG"))</f>
        <v/>
      </c>
      <c r="AA115" s="8">
        <f>IF(OR(D115="",M115&lt;=0),"",IF(AND(E115&gt;I115,F115&gt;J115),"UP",IF(AND(E115&lt;I115,F115&lt;J115),"DOWN","FLAT")))</f>
        <v/>
      </c>
    </row>
    <row r="116" ht="26" customHeight="1" s="1">
      <c r="A116" s="14">
        <f>IF(B116="","",ROW()-2)</f>
        <v/>
      </c>
      <c r="B116" s="15">
        <f>IF('StockList_MS2'!A115="","",HYPERLINK("https://kabutan.jp/stock/?code="&amp;'StockList_MS2'!A115,'StockList_MS2'!A115))</f>
        <v/>
      </c>
      <c r="C116" s="16">
        <f>IF('StockList_MS2'!A115="","",'StockList_MS2'!B115)</f>
        <v/>
      </c>
      <c r="D116" s="17" t="n"/>
      <c r="E116" s="17" t="n"/>
      <c r="F116" s="17" t="n"/>
      <c r="G116" s="17" t="n"/>
      <c r="H116" s="18" t="n"/>
      <c r="I116" s="17" t="n"/>
      <c r="J116" s="17" t="n"/>
      <c r="K116" s="17" t="n"/>
      <c r="L116" s="14">
        <f>IF(D116="","",IF(D116&gt;K116,"BUY-DAY","SELL-DAY"))</f>
        <v/>
      </c>
      <c r="M116" s="19">
        <f>IF(D116="","",MAX(E116-F116,ABS(E116-K116),ABS(F116-K116)))</f>
        <v/>
      </c>
      <c r="N116" s="14">
        <f>IF(D116="","",IF(AND(H116&gt;0,H116&gt;(H116/3)*2.5),"VOL-OK","VOL-NG"))</f>
        <v/>
      </c>
      <c r="O116" s="14">
        <f>IF(D116="","",IF(D116&gt;I116,"ON","OFF"))</f>
        <v/>
      </c>
      <c r="P116" s="14">
        <f>IF(D116="","",IF(D116&lt;J116,"ON","OFF"))</f>
        <v/>
      </c>
      <c r="Q116" s="14">
        <f>IF(OR(D116="",M116&lt;=0),"",IF(AND(L116="BUY-DAY",N116="VOL-OK",P116="ON",Z116="OK",AA116&lt;&gt;"DOWN"),"BUY",IF(AND(L116="SELL-DAY",N116="VOL-OK",O116="ON",Z116="OK",AA116&lt;&gt;"UP"),"SELL","")))</f>
        <v/>
      </c>
      <c r="R116" s="19">
        <f>IF(Q116="","",D116)</f>
        <v/>
      </c>
      <c r="S116" s="19">
        <f>IF(Q116="","",IF(Q116="BUY",D116-M116*1.5,D116+M116*1.5))</f>
        <v/>
      </c>
      <c r="T116" s="19">
        <f>IF(Q116="","",IF(Q116="BUY",D116+M116*1.5,D116-M116*1.5))</f>
        <v/>
      </c>
      <c r="U116" s="19">
        <f>IF(Q116="","",IF(Q116="BUY",D116+M116*2,D116-M116*2))</f>
        <v/>
      </c>
      <c r="V116" s="19">
        <f>IF(Q116="","",IF(Q116="BUY",D116+M116*3,D116-M116*3))</f>
        <v/>
      </c>
      <c r="W116" s="14">
        <f>IF(OR(D116="",M116&lt;=0),"",IF(AND(D116&gt;G116,ABS(D116-G116)&lt;M116*0.5),"2ND","1ST"))</f>
        <v/>
      </c>
      <c r="X116" s="14">
        <f>IF(OR(D116="",M116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6" s="14">
        <f>IF(OR(D116="",M116&lt;=0),"",IF(M116&gt;D116*0.05,"VOL-HIGH","VOL-NORMAL"))</f>
        <v/>
      </c>
      <c r="Z116" s="14">
        <f>IF(OR(D116="",M116&lt;=0),"",IF(AND(N116="VOL-OK",Y116="VOL-NORMAL",W116="2ND"),"OK","NG"))</f>
        <v/>
      </c>
      <c r="AA116" s="14">
        <f>IF(OR(D116="",M116&lt;=0),"",IF(AND(E116&gt;I116,F116&gt;J116),"UP",IF(AND(E116&lt;I116,F116&lt;J116),"DOWN","FLAT")))</f>
        <v/>
      </c>
    </row>
    <row r="117" ht="26" customHeight="1" s="1">
      <c r="A117" s="8">
        <f>IF(B117="","",ROW()-2)</f>
        <v/>
      </c>
      <c r="B117" s="9">
        <f>IF('StockList_MS2'!A116="","",HYPERLINK("https://kabutan.jp/stock/?code="&amp;'StockList_MS2'!A116,'StockList_MS2'!A116))</f>
        <v/>
      </c>
      <c r="C117" s="10">
        <f>IF('StockList_MS2'!A116="","",'StockList_MS2'!B116)</f>
        <v/>
      </c>
      <c r="D117" s="11" t="n"/>
      <c r="E117" s="11" t="n"/>
      <c r="F117" s="11" t="n"/>
      <c r="G117" s="11" t="n"/>
      <c r="H117" s="12" t="n"/>
      <c r="I117" s="11" t="n"/>
      <c r="J117" s="11" t="n"/>
      <c r="K117" s="11" t="n"/>
      <c r="L117" s="8">
        <f>IF(D117="","",IF(D117&gt;K117,"BUY-DAY","SELL-DAY"))</f>
        <v/>
      </c>
      <c r="M117" s="13">
        <f>IF(D117="","",MAX(E117-F117,ABS(E117-K117),ABS(F117-K117)))</f>
        <v/>
      </c>
      <c r="N117" s="8">
        <f>IF(D117="","",IF(AND(H117&gt;0,H117&gt;(H117/3)*2.5),"VOL-OK","VOL-NG"))</f>
        <v/>
      </c>
      <c r="O117" s="8">
        <f>IF(D117="","",IF(D117&gt;I117,"ON","OFF"))</f>
        <v/>
      </c>
      <c r="P117" s="8">
        <f>IF(D117="","",IF(D117&lt;J117,"ON","OFF"))</f>
        <v/>
      </c>
      <c r="Q117" s="8">
        <f>IF(OR(D117="",M117&lt;=0),"",IF(AND(L117="BUY-DAY",N117="VOL-OK",P117="ON",Z117="OK",AA117&lt;&gt;"DOWN"),"BUY",IF(AND(L117="SELL-DAY",N117="VOL-OK",O117="ON",Z117="OK",AA117&lt;&gt;"UP"),"SELL","")))</f>
        <v/>
      </c>
      <c r="R117" s="13">
        <f>IF(Q117="","",D117)</f>
        <v/>
      </c>
      <c r="S117" s="13">
        <f>IF(Q117="","",IF(Q117="BUY",D117-M117*1.5,D117+M117*1.5))</f>
        <v/>
      </c>
      <c r="T117" s="13">
        <f>IF(Q117="","",IF(Q117="BUY",D117+M117*1.5,D117-M117*1.5))</f>
        <v/>
      </c>
      <c r="U117" s="13">
        <f>IF(Q117="","",IF(Q117="BUY",D117+M117*2,D117-M117*2))</f>
        <v/>
      </c>
      <c r="V117" s="13">
        <f>IF(Q117="","",IF(Q117="BUY",D117+M117*3,D117-M117*3))</f>
        <v/>
      </c>
      <c r="W117" s="8">
        <f>IF(OR(D117="",M117&lt;=0),"",IF(AND(D117&gt;G117,ABS(D117-G117)&lt;M117*0.5),"2ND","1ST"))</f>
        <v/>
      </c>
      <c r="X117" s="8">
        <f>IF(OR(D117="",M117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7" s="8">
        <f>IF(OR(D117="",M117&lt;=0),"",IF(M117&gt;D117*0.05,"VOL-HIGH","VOL-NORMAL"))</f>
        <v/>
      </c>
      <c r="Z117" s="8">
        <f>IF(OR(D117="",M117&lt;=0),"",IF(AND(N117="VOL-OK",Y117="VOL-NORMAL",W117="2ND"),"OK","NG"))</f>
        <v/>
      </c>
      <c r="AA117" s="8">
        <f>IF(OR(D117="",M117&lt;=0),"",IF(AND(E117&gt;I117,F117&gt;J117),"UP",IF(AND(E117&lt;I117,F117&lt;J117),"DOWN","FLAT")))</f>
        <v/>
      </c>
    </row>
    <row r="118" ht="26" customHeight="1" s="1">
      <c r="A118" s="14">
        <f>IF(B118="","",ROW()-2)</f>
        <v/>
      </c>
      <c r="B118" s="15">
        <f>IF('StockList_MS2'!A117="","",HYPERLINK("https://kabutan.jp/stock/?code="&amp;'StockList_MS2'!A117,'StockList_MS2'!A117))</f>
        <v/>
      </c>
      <c r="C118" s="16">
        <f>IF('StockList_MS2'!A117="","",'StockList_MS2'!B117)</f>
        <v/>
      </c>
      <c r="D118" s="17" t="n"/>
      <c r="E118" s="17" t="n"/>
      <c r="F118" s="17" t="n"/>
      <c r="G118" s="17" t="n"/>
      <c r="H118" s="18" t="n"/>
      <c r="I118" s="17" t="n"/>
      <c r="J118" s="17" t="n"/>
      <c r="K118" s="17" t="n"/>
      <c r="L118" s="14">
        <f>IF(D118="","",IF(D118&gt;K118,"BUY-DAY","SELL-DAY"))</f>
        <v/>
      </c>
      <c r="M118" s="19">
        <f>IF(D118="","",MAX(E118-F118,ABS(E118-K118),ABS(F118-K118)))</f>
        <v/>
      </c>
      <c r="N118" s="14">
        <f>IF(D118="","",IF(AND(H118&gt;0,H118&gt;(H118/3)*2.5),"VOL-OK","VOL-NG"))</f>
        <v/>
      </c>
      <c r="O118" s="14">
        <f>IF(D118="","",IF(D118&gt;I118,"ON","OFF"))</f>
        <v/>
      </c>
      <c r="P118" s="14">
        <f>IF(D118="","",IF(D118&lt;J118,"ON","OFF"))</f>
        <v/>
      </c>
      <c r="Q118" s="14">
        <f>IF(OR(D118="",M118&lt;=0),"",IF(AND(L118="BUY-DAY",N118="VOL-OK",P118="ON",Z118="OK",AA118&lt;&gt;"DOWN"),"BUY",IF(AND(L118="SELL-DAY",N118="VOL-OK",O118="ON",Z118="OK",AA118&lt;&gt;"UP"),"SELL","")))</f>
        <v/>
      </c>
      <c r="R118" s="19">
        <f>IF(Q118="","",D118)</f>
        <v/>
      </c>
      <c r="S118" s="19">
        <f>IF(Q118="","",IF(Q118="BUY",D118-M118*1.5,D118+M118*1.5))</f>
        <v/>
      </c>
      <c r="T118" s="19">
        <f>IF(Q118="","",IF(Q118="BUY",D118+M118*1.5,D118-M118*1.5))</f>
        <v/>
      </c>
      <c r="U118" s="19">
        <f>IF(Q118="","",IF(Q118="BUY",D118+M118*2,D118-M118*2))</f>
        <v/>
      </c>
      <c r="V118" s="19">
        <f>IF(Q118="","",IF(Q118="BUY",D118+M118*3,D118-M118*3))</f>
        <v/>
      </c>
      <c r="W118" s="14">
        <f>IF(OR(D118="",M118&lt;=0),"",IF(AND(D118&gt;G118,ABS(D118-G118)&lt;M118*0.5),"2ND","1ST"))</f>
        <v/>
      </c>
      <c r="X118" s="14">
        <f>IF(OR(D118="",M118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8" s="14">
        <f>IF(OR(D118="",M118&lt;=0),"",IF(M118&gt;D118*0.05,"VOL-HIGH","VOL-NORMAL"))</f>
        <v/>
      </c>
      <c r="Z118" s="14">
        <f>IF(OR(D118="",M118&lt;=0),"",IF(AND(N118="VOL-OK",Y118="VOL-NORMAL",W118="2ND"),"OK","NG"))</f>
        <v/>
      </c>
      <c r="AA118" s="14">
        <f>IF(OR(D118="",M118&lt;=0),"",IF(AND(E118&gt;I118,F118&gt;J118),"UP",IF(AND(E118&lt;I118,F118&lt;J118),"DOWN","FLAT")))</f>
        <v/>
      </c>
    </row>
    <row r="119" ht="26" customHeight="1" s="1">
      <c r="A119" s="8">
        <f>IF(B119="","",ROW()-2)</f>
        <v/>
      </c>
      <c r="B119" s="9">
        <f>IF('StockList_MS2'!A118="","",HYPERLINK("https://kabutan.jp/stock/?code="&amp;'StockList_MS2'!A118,'StockList_MS2'!A118))</f>
        <v/>
      </c>
      <c r="C119" s="10">
        <f>IF('StockList_MS2'!A118="","",'StockList_MS2'!B118)</f>
        <v/>
      </c>
      <c r="D119" s="11" t="n"/>
      <c r="E119" s="11" t="n"/>
      <c r="F119" s="11" t="n"/>
      <c r="G119" s="11" t="n"/>
      <c r="H119" s="12" t="n"/>
      <c r="I119" s="11" t="n"/>
      <c r="J119" s="11" t="n"/>
      <c r="K119" s="11" t="n"/>
      <c r="L119" s="8">
        <f>IF(D119="","",IF(D119&gt;K119,"BUY-DAY","SELL-DAY"))</f>
        <v/>
      </c>
      <c r="M119" s="13">
        <f>IF(D119="","",MAX(E119-F119,ABS(E119-K119),ABS(F119-K119)))</f>
        <v/>
      </c>
      <c r="N119" s="8">
        <f>IF(D119="","",IF(AND(H119&gt;0,H119&gt;(H119/3)*2.5),"VOL-OK","VOL-NG"))</f>
        <v/>
      </c>
      <c r="O119" s="8">
        <f>IF(D119="","",IF(D119&gt;I119,"ON","OFF"))</f>
        <v/>
      </c>
      <c r="P119" s="8">
        <f>IF(D119="","",IF(D119&lt;J119,"ON","OFF"))</f>
        <v/>
      </c>
      <c r="Q119" s="8">
        <f>IF(OR(D119="",M119&lt;=0),"",IF(AND(L119="BUY-DAY",N119="VOL-OK",P119="ON",Z119="OK",AA119&lt;&gt;"DOWN"),"BUY",IF(AND(L119="SELL-DAY",N119="VOL-OK",O119="ON",Z119="OK",AA119&lt;&gt;"UP"),"SELL","")))</f>
        <v/>
      </c>
      <c r="R119" s="13">
        <f>IF(Q119="","",D119)</f>
        <v/>
      </c>
      <c r="S119" s="13">
        <f>IF(Q119="","",IF(Q119="BUY",D119-M119*1.5,D119+M119*1.5))</f>
        <v/>
      </c>
      <c r="T119" s="13">
        <f>IF(Q119="","",IF(Q119="BUY",D119+M119*1.5,D119-M119*1.5))</f>
        <v/>
      </c>
      <c r="U119" s="13">
        <f>IF(Q119="","",IF(Q119="BUY",D119+M119*2,D119-M119*2))</f>
        <v/>
      </c>
      <c r="V119" s="13">
        <f>IF(Q119="","",IF(Q119="BUY",D119+M119*3,D119-M119*3))</f>
        <v/>
      </c>
      <c r="W119" s="8">
        <f>IF(OR(D119="",M119&lt;=0),"",IF(AND(D119&gt;G119,ABS(D119-G119)&lt;M119*0.5),"2ND","1ST"))</f>
        <v/>
      </c>
      <c r="X119" s="8">
        <f>IF(OR(D119="",M119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19" s="8">
        <f>IF(OR(D119="",M119&lt;=0),"",IF(M119&gt;D119*0.05,"VOL-HIGH","VOL-NORMAL"))</f>
        <v/>
      </c>
      <c r="Z119" s="8">
        <f>IF(OR(D119="",M119&lt;=0),"",IF(AND(N119="VOL-OK",Y119="VOL-NORMAL",W119="2ND"),"OK","NG"))</f>
        <v/>
      </c>
      <c r="AA119" s="8">
        <f>IF(OR(D119="",M119&lt;=0),"",IF(AND(E119&gt;I119,F119&gt;J119),"UP",IF(AND(E119&lt;I119,F119&lt;J119),"DOWN","FLAT")))</f>
        <v/>
      </c>
    </row>
    <row r="120" ht="26" customHeight="1" s="1">
      <c r="A120" s="14">
        <f>IF(B120="","",ROW()-2)</f>
        <v/>
      </c>
      <c r="B120" s="15">
        <f>IF('StockList_MS2'!A119="","",HYPERLINK("https://kabutan.jp/stock/?code="&amp;'StockList_MS2'!A119,'StockList_MS2'!A119))</f>
        <v/>
      </c>
      <c r="C120" s="16">
        <f>IF('StockList_MS2'!A119="","",'StockList_MS2'!B119)</f>
        <v/>
      </c>
      <c r="D120" s="17" t="n"/>
      <c r="E120" s="17" t="n"/>
      <c r="F120" s="17" t="n"/>
      <c r="G120" s="17" t="n"/>
      <c r="H120" s="18" t="n"/>
      <c r="I120" s="17" t="n"/>
      <c r="J120" s="17" t="n"/>
      <c r="K120" s="17" t="n"/>
      <c r="L120" s="14">
        <f>IF(D120="","",IF(D120&gt;K120,"BUY-DAY","SELL-DAY"))</f>
        <v/>
      </c>
      <c r="M120" s="19">
        <f>IF(D120="","",MAX(E120-F120,ABS(E120-K120),ABS(F120-K120)))</f>
        <v/>
      </c>
      <c r="N120" s="14">
        <f>IF(D120="","",IF(AND(H120&gt;0,H120&gt;(H120/3)*2.5),"VOL-OK","VOL-NG"))</f>
        <v/>
      </c>
      <c r="O120" s="14">
        <f>IF(D120="","",IF(D120&gt;I120,"ON","OFF"))</f>
        <v/>
      </c>
      <c r="P120" s="14">
        <f>IF(D120="","",IF(D120&lt;J120,"ON","OFF"))</f>
        <v/>
      </c>
      <c r="Q120" s="14">
        <f>IF(OR(D120="",M120&lt;=0),"",IF(AND(L120="BUY-DAY",N120="VOL-OK",P120="ON",Z120="OK",AA120&lt;&gt;"DOWN"),"BUY",IF(AND(L120="SELL-DAY",N120="VOL-OK",O120="ON",Z120="OK",AA120&lt;&gt;"UP"),"SELL","")))</f>
        <v/>
      </c>
      <c r="R120" s="19">
        <f>IF(Q120="","",D120)</f>
        <v/>
      </c>
      <c r="S120" s="19">
        <f>IF(Q120="","",IF(Q120="BUY",D120-M120*1.5,D120+M120*1.5))</f>
        <v/>
      </c>
      <c r="T120" s="19">
        <f>IF(Q120="","",IF(Q120="BUY",D120+M120*1.5,D120-M120*1.5))</f>
        <v/>
      </c>
      <c r="U120" s="19">
        <f>IF(Q120="","",IF(Q120="BUY",D120+M120*2,D120-M120*2))</f>
        <v/>
      </c>
      <c r="V120" s="19">
        <f>IF(Q120="","",IF(Q120="BUY",D120+M120*3,D120-M120*3))</f>
        <v/>
      </c>
      <c r="W120" s="14">
        <f>IF(OR(D120="",M120&lt;=0),"",IF(AND(D120&gt;G120,ABS(D120-G120)&lt;M120*0.5),"2ND","1ST"))</f>
        <v/>
      </c>
      <c r="X120" s="14">
        <f>IF(OR(D120="",M120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0" s="14">
        <f>IF(OR(D120="",M120&lt;=0),"",IF(M120&gt;D120*0.05,"VOL-HIGH","VOL-NORMAL"))</f>
        <v/>
      </c>
      <c r="Z120" s="14">
        <f>IF(OR(D120="",M120&lt;=0),"",IF(AND(N120="VOL-OK",Y120="VOL-NORMAL",W120="2ND"),"OK","NG"))</f>
        <v/>
      </c>
      <c r="AA120" s="14">
        <f>IF(OR(D120="",M120&lt;=0),"",IF(AND(E120&gt;I120,F120&gt;J120),"UP",IF(AND(E120&lt;I120,F120&lt;J120),"DOWN","FLAT")))</f>
        <v/>
      </c>
    </row>
    <row r="121" ht="26" customHeight="1" s="1">
      <c r="A121" s="8">
        <f>IF(B121="","",ROW()-2)</f>
        <v/>
      </c>
      <c r="B121" s="9">
        <f>IF('StockList_MS2'!A120="","",HYPERLINK("https://kabutan.jp/stock/?code="&amp;'StockList_MS2'!A120,'StockList_MS2'!A120))</f>
        <v/>
      </c>
      <c r="C121" s="10">
        <f>IF('StockList_MS2'!A120="","",'StockList_MS2'!B120)</f>
        <v/>
      </c>
      <c r="D121" s="11" t="n"/>
      <c r="E121" s="11" t="n"/>
      <c r="F121" s="11" t="n"/>
      <c r="G121" s="11" t="n"/>
      <c r="H121" s="12" t="n"/>
      <c r="I121" s="11" t="n"/>
      <c r="J121" s="11" t="n"/>
      <c r="K121" s="11" t="n"/>
      <c r="L121" s="8">
        <f>IF(D121="","",IF(D121&gt;K121,"BUY-DAY","SELL-DAY"))</f>
        <v/>
      </c>
      <c r="M121" s="13">
        <f>IF(D121="","",MAX(E121-F121,ABS(E121-K121),ABS(F121-K121)))</f>
        <v/>
      </c>
      <c r="N121" s="8">
        <f>IF(D121="","",IF(AND(H121&gt;0,H121&gt;(H121/3)*2.5),"VOL-OK","VOL-NG"))</f>
        <v/>
      </c>
      <c r="O121" s="8">
        <f>IF(D121="","",IF(D121&gt;I121,"ON","OFF"))</f>
        <v/>
      </c>
      <c r="P121" s="8">
        <f>IF(D121="","",IF(D121&lt;J121,"ON","OFF"))</f>
        <v/>
      </c>
      <c r="Q121" s="8">
        <f>IF(OR(D121="",M121&lt;=0),"",IF(AND(L121="BUY-DAY",N121="VOL-OK",P121="ON",Z121="OK",AA121&lt;&gt;"DOWN"),"BUY",IF(AND(L121="SELL-DAY",N121="VOL-OK",O121="ON",Z121="OK",AA121&lt;&gt;"UP"),"SELL","")))</f>
        <v/>
      </c>
      <c r="R121" s="13">
        <f>IF(Q121="","",D121)</f>
        <v/>
      </c>
      <c r="S121" s="13">
        <f>IF(Q121="","",IF(Q121="BUY",D121-M121*1.5,D121+M121*1.5))</f>
        <v/>
      </c>
      <c r="T121" s="13">
        <f>IF(Q121="","",IF(Q121="BUY",D121+M121*1.5,D121-M121*1.5))</f>
        <v/>
      </c>
      <c r="U121" s="13">
        <f>IF(Q121="","",IF(Q121="BUY",D121+M121*2,D121-M121*2))</f>
        <v/>
      </c>
      <c r="V121" s="13">
        <f>IF(Q121="","",IF(Q121="BUY",D121+M121*3,D121-M121*3))</f>
        <v/>
      </c>
      <c r="W121" s="8">
        <f>IF(OR(D121="",M121&lt;=0),"",IF(AND(D121&gt;G121,ABS(D121-G121)&lt;M121*0.5),"2ND","1ST"))</f>
        <v/>
      </c>
      <c r="X121" s="8">
        <f>IF(OR(D121="",M121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1" s="8">
        <f>IF(OR(D121="",M121&lt;=0),"",IF(M121&gt;D121*0.05,"VOL-HIGH","VOL-NORMAL"))</f>
        <v/>
      </c>
      <c r="Z121" s="8">
        <f>IF(OR(D121="",M121&lt;=0),"",IF(AND(N121="VOL-OK",Y121="VOL-NORMAL",W121="2ND"),"OK","NG"))</f>
        <v/>
      </c>
      <c r="AA121" s="8">
        <f>IF(OR(D121="",M121&lt;=0),"",IF(AND(E121&gt;I121,F121&gt;J121),"UP",IF(AND(E121&lt;I121,F121&lt;J121),"DOWN","FLAT")))</f>
        <v/>
      </c>
    </row>
    <row r="122" ht="26" customHeight="1" s="1">
      <c r="A122" s="14">
        <f>IF(B122="","",ROW()-2)</f>
        <v/>
      </c>
      <c r="B122" s="15">
        <f>IF('StockList_MS2'!A121="","",HYPERLINK("https://kabutan.jp/stock/?code="&amp;'StockList_MS2'!A121,'StockList_MS2'!A121))</f>
        <v/>
      </c>
      <c r="C122" s="16">
        <f>IF('StockList_MS2'!A121="","",'StockList_MS2'!B121)</f>
        <v/>
      </c>
      <c r="D122" s="17" t="n"/>
      <c r="E122" s="17" t="n"/>
      <c r="F122" s="17" t="n"/>
      <c r="G122" s="17" t="n"/>
      <c r="H122" s="18" t="n"/>
      <c r="I122" s="17" t="n"/>
      <c r="J122" s="17" t="n"/>
      <c r="K122" s="17" t="n"/>
      <c r="L122" s="14">
        <f>IF(D122="","",IF(D122&gt;K122,"BUY-DAY","SELL-DAY"))</f>
        <v/>
      </c>
      <c r="M122" s="19">
        <f>IF(D122="","",MAX(E122-F122,ABS(E122-K122),ABS(F122-K122)))</f>
        <v/>
      </c>
      <c r="N122" s="14">
        <f>IF(D122="","",IF(AND(H122&gt;0,H122&gt;(H122/3)*2.5),"VOL-OK","VOL-NG"))</f>
        <v/>
      </c>
      <c r="O122" s="14">
        <f>IF(D122="","",IF(D122&gt;I122,"ON","OFF"))</f>
        <v/>
      </c>
      <c r="P122" s="14">
        <f>IF(D122="","",IF(D122&lt;J122,"ON","OFF"))</f>
        <v/>
      </c>
      <c r="Q122" s="14">
        <f>IF(OR(D122="",M122&lt;=0),"",IF(AND(L122="BUY-DAY",N122="VOL-OK",P122="ON",Z122="OK",AA122&lt;&gt;"DOWN"),"BUY",IF(AND(L122="SELL-DAY",N122="VOL-OK",O122="ON",Z122="OK",AA122&lt;&gt;"UP"),"SELL","")))</f>
        <v/>
      </c>
      <c r="R122" s="19">
        <f>IF(Q122="","",D122)</f>
        <v/>
      </c>
      <c r="S122" s="19">
        <f>IF(Q122="","",IF(Q122="BUY",D122-M122*1.5,D122+M122*1.5))</f>
        <v/>
      </c>
      <c r="T122" s="19">
        <f>IF(Q122="","",IF(Q122="BUY",D122+M122*1.5,D122-M122*1.5))</f>
        <v/>
      </c>
      <c r="U122" s="19">
        <f>IF(Q122="","",IF(Q122="BUY",D122+M122*2,D122-M122*2))</f>
        <v/>
      </c>
      <c r="V122" s="19">
        <f>IF(Q122="","",IF(Q122="BUY",D122+M122*3,D122-M122*3))</f>
        <v/>
      </c>
      <c r="W122" s="14">
        <f>IF(OR(D122="",M122&lt;=0),"",IF(AND(D122&gt;G122,ABS(D122-G122)&lt;M122*0.5),"2ND","1ST"))</f>
        <v/>
      </c>
      <c r="X122" s="14">
        <f>IF(OR(D122="",M122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2" s="14">
        <f>IF(OR(D122="",M122&lt;=0),"",IF(M122&gt;D122*0.05,"VOL-HIGH","VOL-NORMAL"))</f>
        <v/>
      </c>
      <c r="Z122" s="14">
        <f>IF(OR(D122="",M122&lt;=0),"",IF(AND(N122="VOL-OK",Y122="VOL-NORMAL",W122="2ND"),"OK","NG"))</f>
        <v/>
      </c>
      <c r="AA122" s="14">
        <f>IF(OR(D122="",M122&lt;=0),"",IF(AND(E122&gt;I122,F122&gt;J122),"UP",IF(AND(E122&lt;I122,F122&lt;J122),"DOWN","FLAT")))</f>
        <v/>
      </c>
    </row>
    <row r="123" ht="26" customHeight="1" s="1">
      <c r="A123" s="8">
        <f>IF(B123="","",ROW()-2)</f>
        <v/>
      </c>
      <c r="B123" s="9">
        <f>IF('StockList_MS2'!A122="","",HYPERLINK("https://kabutan.jp/stock/?code="&amp;'StockList_MS2'!A122,'StockList_MS2'!A122))</f>
        <v/>
      </c>
      <c r="C123" s="10">
        <f>IF('StockList_MS2'!A122="","",'StockList_MS2'!B122)</f>
        <v/>
      </c>
      <c r="D123" s="11" t="n"/>
      <c r="E123" s="11" t="n"/>
      <c r="F123" s="11" t="n"/>
      <c r="G123" s="11" t="n"/>
      <c r="H123" s="12" t="n"/>
      <c r="I123" s="11" t="n"/>
      <c r="J123" s="11" t="n"/>
      <c r="K123" s="11" t="n"/>
      <c r="L123" s="8">
        <f>IF(D123="","",IF(D123&gt;K123,"BUY-DAY","SELL-DAY"))</f>
        <v/>
      </c>
      <c r="M123" s="13">
        <f>IF(D123="","",MAX(E123-F123,ABS(E123-K123),ABS(F123-K123)))</f>
        <v/>
      </c>
      <c r="N123" s="8">
        <f>IF(D123="","",IF(AND(H123&gt;0,H123&gt;(H123/3)*2.5),"VOL-OK","VOL-NG"))</f>
        <v/>
      </c>
      <c r="O123" s="8">
        <f>IF(D123="","",IF(D123&gt;I123,"ON","OFF"))</f>
        <v/>
      </c>
      <c r="P123" s="8">
        <f>IF(D123="","",IF(D123&lt;J123,"ON","OFF"))</f>
        <v/>
      </c>
      <c r="Q123" s="8">
        <f>IF(OR(D123="",M123&lt;=0),"",IF(AND(L123="BUY-DAY",N123="VOL-OK",P123="ON",Z123="OK",AA123&lt;&gt;"DOWN"),"BUY",IF(AND(L123="SELL-DAY",N123="VOL-OK",O123="ON",Z123="OK",AA123&lt;&gt;"UP"),"SELL","")))</f>
        <v/>
      </c>
      <c r="R123" s="13">
        <f>IF(Q123="","",D123)</f>
        <v/>
      </c>
      <c r="S123" s="13">
        <f>IF(Q123="","",IF(Q123="BUY",D123-M123*1.5,D123+M123*1.5))</f>
        <v/>
      </c>
      <c r="T123" s="13">
        <f>IF(Q123="","",IF(Q123="BUY",D123+M123*1.5,D123-M123*1.5))</f>
        <v/>
      </c>
      <c r="U123" s="13">
        <f>IF(Q123="","",IF(Q123="BUY",D123+M123*2,D123-M123*2))</f>
        <v/>
      </c>
      <c r="V123" s="13">
        <f>IF(Q123="","",IF(Q123="BUY",D123+M123*3,D123-M123*3))</f>
        <v/>
      </c>
      <c r="W123" s="8">
        <f>IF(OR(D123="",M123&lt;=0),"",IF(AND(D123&gt;G123,ABS(D123-G123)&lt;M123*0.5),"2ND","1ST"))</f>
        <v/>
      </c>
      <c r="X123" s="8">
        <f>IF(OR(D123="",M123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3" s="8">
        <f>IF(OR(D123="",M123&lt;=0),"",IF(M123&gt;D123*0.05,"VOL-HIGH","VOL-NORMAL"))</f>
        <v/>
      </c>
      <c r="Z123" s="8">
        <f>IF(OR(D123="",M123&lt;=0),"",IF(AND(N123="VOL-OK",Y123="VOL-NORMAL",W123="2ND"),"OK","NG"))</f>
        <v/>
      </c>
      <c r="AA123" s="8">
        <f>IF(OR(D123="",M123&lt;=0),"",IF(AND(E123&gt;I123,F123&gt;J123),"UP",IF(AND(E123&lt;I123,F123&lt;J123),"DOWN","FLAT")))</f>
        <v/>
      </c>
    </row>
    <row r="124" ht="26" customHeight="1" s="1">
      <c r="A124" s="14">
        <f>IF(B124="","",ROW()-2)</f>
        <v/>
      </c>
      <c r="B124" s="15">
        <f>IF('StockList_MS2'!A123="","",HYPERLINK("https://kabutan.jp/stock/?code="&amp;'StockList_MS2'!A123,'StockList_MS2'!A123))</f>
        <v/>
      </c>
      <c r="C124" s="16">
        <f>IF('StockList_MS2'!A123="","",'StockList_MS2'!B123)</f>
        <v/>
      </c>
      <c r="D124" s="17" t="n"/>
      <c r="E124" s="17" t="n"/>
      <c r="F124" s="17" t="n"/>
      <c r="G124" s="17" t="n"/>
      <c r="H124" s="18" t="n"/>
      <c r="I124" s="17" t="n"/>
      <c r="J124" s="17" t="n"/>
      <c r="K124" s="17" t="n"/>
      <c r="L124" s="14">
        <f>IF(D124="","",IF(D124&gt;K124,"BUY-DAY","SELL-DAY"))</f>
        <v/>
      </c>
      <c r="M124" s="19">
        <f>IF(D124="","",MAX(E124-F124,ABS(E124-K124),ABS(F124-K124)))</f>
        <v/>
      </c>
      <c r="N124" s="14">
        <f>IF(D124="","",IF(AND(H124&gt;0,H124&gt;(H124/3)*2.5),"VOL-OK","VOL-NG"))</f>
        <v/>
      </c>
      <c r="O124" s="14">
        <f>IF(D124="","",IF(D124&gt;I124,"ON","OFF"))</f>
        <v/>
      </c>
      <c r="P124" s="14">
        <f>IF(D124="","",IF(D124&lt;J124,"ON","OFF"))</f>
        <v/>
      </c>
      <c r="Q124" s="14">
        <f>IF(OR(D124="",M124&lt;=0),"",IF(AND(L124="BUY-DAY",N124="VOL-OK",P124="ON",Z124="OK",AA124&lt;&gt;"DOWN"),"BUY",IF(AND(L124="SELL-DAY",N124="VOL-OK",O124="ON",Z124="OK",AA124&lt;&gt;"UP"),"SELL","")))</f>
        <v/>
      </c>
      <c r="R124" s="19">
        <f>IF(Q124="","",D124)</f>
        <v/>
      </c>
      <c r="S124" s="19">
        <f>IF(Q124="","",IF(Q124="BUY",D124-M124*1.5,D124+M124*1.5))</f>
        <v/>
      </c>
      <c r="T124" s="19">
        <f>IF(Q124="","",IF(Q124="BUY",D124+M124*1.5,D124-M124*1.5))</f>
        <v/>
      </c>
      <c r="U124" s="19">
        <f>IF(Q124="","",IF(Q124="BUY",D124+M124*2,D124-M124*2))</f>
        <v/>
      </c>
      <c r="V124" s="19">
        <f>IF(Q124="","",IF(Q124="BUY",D124+M124*3,D124-M124*3))</f>
        <v/>
      </c>
      <c r="W124" s="14">
        <f>IF(OR(D124="",M124&lt;=0),"",IF(AND(D124&gt;G124,ABS(D124-G124)&lt;M124*0.5),"2ND","1ST"))</f>
        <v/>
      </c>
      <c r="X124" s="14">
        <f>IF(OR(D124="",M124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4" s="14">
        <f>IF(OR(D124="",M124&lt;=0),"",IF(M124&gt;D124*0.05,"VOL-HIGH","VOL-NORMAL"))</f>
        <v/>
      </c>
      <c r="Z124" s="14">
        <f>IF(OR(D124="",M124&lt;=0),"",IF(AND(N124="VOL-OK",Y124="VOL-NORMAL",W124="2ND"),"OK","NG"))</f>
        <v/>
      </c>
      <c r="AA124" s="14">
        <f>IF(OR(D124="",M124&lt;=0),"",IF(AND(E124&gt;I124,F124&gt;J124),"UP",IF(AND(E124&lt;I124,F124&lt;J124),"DOWN","FLAT")))</f>
        <v/>
      </c>
    </row>
    <row r="125" ht="26" customHeight="1" s="1">
      <c r="A125" s="8">
        <f>IF(B125="","",ROW()-2)</f>
        <v/>
      </c>
      <c r="B125" s="9">
        <f>IF('StockList_MS2'!A124="","",HYPERLINK("https://kabutan.jp/stock/?code="&amp;'StockList_MS2'!A124,'StockList_MS2'!A124))</f>
        <v/>
      </c>
      <c r="C125" s="10">
        <f>IF('StockList_MS2'!A124="","",'StockList_MS2'!B124)</f>
        <v/>
      </c>
      <c r="D125" s="11" t="n"/>
      <c r="E125" s="11" t="n"/>
      <c r="F125" s="11" t="n"/>
      <c r="G125" s="11" t="n"/>
      <c r="H125" s="12" t="n"/>
      <c r="I125" s="11" t="n"/>
      <c r="J125" s="11" t="n"/>
      <c r="K125" s="11" t="n"/>
      <c r="L125" s="8">
        <f>IF(D125="","",IF(D125&gt;K125,"BUY-DAY","SELL-DAY"))</f>
        <v/>
      </c>
      <c r="M125" s="13">
        <f>IF(D125="","",MAX(E125-F125,ABS(E125-K125),ABS(F125-K125)))</f>
        <v/>
      </c>
      <c r="N125" s="8">
        <f>IF(D125="","",IF(AND(H125&gt;0,H125&gt;(H125/3)*2.5),"VOL-OK","VOL-NG"))</f>
        <v/>
      </c>
      <c r="O125" s="8">
        <f>IF(D125="","",IF(D125&gt;I125,"ON","OFF"))</f>
        <v/>
      </c>
      <c r="P125" s="8">
        <f>IF(D125="","",IF(D125&lt;J125,"ON","OFF"))</f>
        <v/>
      </c>
      <c r="Q125" s="8">
        <f>IF(OR(D125="",M125&lt;=0),"",IF(AND(L125="BUY-DAY",N125="VOL-OK",P125="ON",Z125="OK",AA125&lt;&gt;"DOWN"),"BUY",IF(AND(L125="SELL-DAY",N125="VOL-OK",O125="ON",Z125="OK",AA125&lt;&gt;"UP"),"SELL","")))</f>
        <v/>
      </c>
      <c r="R125" s="13">
        <f>IF(Q125="","",D125)</f>
        <v/>
      </c>
      <c r="S125" s="13">
        <f>IF(Q125="","",IF(Q125="BUY",D125-M125*1.5,D125+M125*1.5))</f>
        <v/>
      </c>
      <c r="T125" s="13">
        <f>IF(Q125="","",IF(Q125="BUY",D125+M125*1.5,D125-M125*1.5))</f>
        <v/>
      </c>
      <c r="U125" s="13">
        <f>IF(Q125="","",IF(Q125="BUY",D125+M125*2,D125-M125*2))</f>
        <v/>
      </c>
      <c r="V125" s="13">
        <f>IF(Q125="","",IF(Q125="BUY",D125+M125*3,D125-M125*3))</f>
        <v/>
      </c>
      <c r="W125" s="8">
        <f>IF(OR(D125="",M125&lt;=0),"",IF(AND(D125&gt;G125,ABS(D125-G125)&lt;M125*0.5),"2ND","1ST"))</f>
        <v/>
      </c>
      <c r="X125" s="8">
        <f>IF(OR(D125="",M125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5" s="8">
        <f>IF(OR(D125="",M125&lt;=0),"",IF(M125&gt;D125*0.05,"VOL-HIGH","VOL-NORMAL"))</f>
        <v/>
      </c>
      <c r="Z125" s="8">
        <f>IF(OR(D125="",M125&lt;=0),"",IF(AND(N125="VOL-OK",Y125="VOL-NORMAL",W125="2ND"),"OK","NG"))</f>
        <v/>
      </c>
      <c r="AA125" s="8">
        <f>IF(OR(D125="",M125&lt;=0),"",IF(AND(E125&gt;I125,F125&gt;J125),"UP",IF(AND(E125&lt;I125,F125&lt;J125),"DOWN","FLAT")))</f>
        <v/>
      </c>
    </row>
    <row r="126" ht="26" customHeight="1" s="1">
      <c r="A126" s="14">
        <f>IF(B126="","",ROW()-2)</f>
        <v/>
      </c>
      <c r="B126" s="15">
        <f>IF('StockList_MS2'!A125="","",HYPERLINK("https://kabutan.jp/stock/?code="&amp;'StockList_MS2'!A125,'StockList_MS2'!A125))</f>
        <v/>
      </c>
      <c r="C126" s="16">
        <f>IF('StockList_MS2'!A125="","",'StockList_MS2'!B125)</f>
        <v/>
      </c>
      <c r="D126" s="17" t="n"/>
      <c r="E126" s="17" t="n"/>
      <c r="F126" s="17" t="n"/>
      <c r="G126" s="17" t="n"/>
      <c r="H126" s="18" t="n"/>
      <c r="I126" s="17" t="n"/>
      <c r="J126" s="17" t="n"/>
      <c r="K126" s="17" t="n"/>
      <c r="L126" s="14">
        <f>IF(D126="","",IF(D126&gt;K126,"BUY-DAY","SELL-DAY"))</f>
        <v/>
      </c>
      <c r="M126" s="19">
        <f>IF(D126="","",MAX(E126-F126,ABS(E126-K126),ABS(F126-K126)))</f>
        <v/>
      </c>
      <c r="N126" s="14">
        <f>IF(D126="","",IF(AND(H126&gt;0,H126&gt;(H126/3)*2.5),"VOL-OK","VOL-NG"))</f>
        <v/>
      </c>
      <c r="O126" s="14">
        <f>IF(D126="","",IF(D126&gt;I126,"ON","OFF"))</f>
        <v/>
      </c>
      <c r="P126" s="14">
        <f>IF(D126="","",IF(D126&lt;J126,"ON","OFF"))</f>
        <v/>
      </c>
      <c r="Q126" s="14">
        <f>IF(OR(D126="",M126&lt;=0),"",IF(AND(L126="BUY-DAY",N126="VOL-OK",P126="ON",Z126="OK",AA126&lt;&gt;"DOWN"),"BUY",IF(AND(L126="SELL-DAY",N126="VOL-OK",O126="ON",Z126="OK",AA126&lt;&gt;"UP"),"SELL","")))</f>
        <v/>
      </c>
      <c r="R126" s="19">
        <f>IF(Q126="","",D126)</f>
        <v/>
      </c>
      <c r="S126" s="19">
        <f>IF(Q126="","",IF(Q126="BUY",D126-M126*1.5,D126+M126*1.5))</f>
        <v/>
      </c>
      <c r="T126" s="19">
        <f>IF(Q126="","",IF(Q126="BUY",D126+M126*1.5,D126-M126*1.5))</f>
        <v/>
      </c>
      <c r="U126" s="19">
        <f>IF(Q126="","",IF(Q126="BUY",D126+M126*2,D126-M126*2))</f>
        <v/>
      </c>
      <c r="V126" s="19">
        <f>IF(Q126="","",IF(Q126="BUY",D126+M126*3,D126-M126*3))</f>
        <v/>
      </c>
      <c r="W126" s="14">
        <f>IF(OR(D126="",M126&lt;=0),"",IF(AND(D126&gt;G126,ABS(D126-G126)&lt;M126*0.5),"2ND","1ST"))</f>
        <v/>
      </c>
      <c r="X126" s="14">
        <f>IF(OR(D126="",M126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6" s="14">
        <f>IF(OR(D126="",M126&lt;=0),"",IF(M126&gt;D126*0.05,"VOL-HIGH","VOL-NORMAL"))</f>
        <v/>
      </c>
      <c r="Z126" s="14">
        <f>IF(OR(D126="",M126&lt;=0),"",IF(AND(N126="VOL-OK",Y126="VOL-NORMAL",W126="2ND"),"OK","NG"))</f>
        <v/>
      </c>
      <c r="AA126" s="14">
        <f>IF(OR(D126="",M126&lt;=0),"",IF(AND(E126&gt;I126,F126&gt;J126),"UP",IF(AND(E126&lt;I126,F126&lt;J126),"DOWN","FLAT")))</f>
        <v/>
      </c>
    </row>
    <row r="127" ht="26" customHeight="1" s="1">
      <c r="A127" s="8">
        <f>IF(B127="","",ROW()-2)</f>
        <v/>
      </c>
      <c r="B127" s="9">
        <f>IF('StockList_MS2'!A126="","",HYPERLINK("https://kabutan.jp/stock/?code="&amp;'StockList_MS2'!A126,'StockList_MS2'!A126))</f>
        <v/>
      </c>
      <c r="C127" s="10">
        <f>IF('StockList_MS2'!A126="","",'StockList_MS2'!B126)</f>
        <v/>
      </c>
      <c r="D127" s="11" t="n"/>
      <c r="E127" s="11" t="n"/>
      <c r="F127" s="11" t="n"/>
      <c r="G127" s="11" t="n"/>
      <c r="H127" s="12" t="n"/>
      <c r="I127" s="11" t="n"/>
      <c r="J127" s="11" t="n"/>
      <c r="K127" s="11" t="n"/>
      <c r="L127" s="8">
        <f>IF(D127="","",IF(D127&gt;K127,"BUY-DAY","SELL-DAY"))</f>
        <v/>
      </c>
      <c r="M127" s="13">
        <f>IF(D127="","",MAX(E127-F127,ABS(E127-K127),ABS(F127-K127)))</f>
        <v/>
      </c>
      <c r="N127" s="8">
        <f>IF(D127="","",IF(AND(H127&gt;0,H127&gt;(H127/3)*2.5),"VOL-OK","VOL-NG"))</f>
        <v/>
      </c>
      <c r="O127" s="8">
        <f>IF(D127="","",IF(D127&gt;I127,"ON","OFF"))</f>
        <v/>
      </c>
      <c r="P127" s="8">
        <f>IF(D127="","",IF(D127&lt;J127,"ON","OFF"))</f>
        <v/>
      </c>
      <c r="Q127" s="8">
        <f>IF(OR(D127="",M127&lt;=0),"",IF(AND(L127="BUY-DAY",N127="VOL-OK",P127="ON",Z127="OK",AA127&lt;&gt;"DOWN"),"BUY",IF(AND(L127="SELL-DAY",N127="VOL-OK",O127="ON",Z127="OK",AA127&lt;&gt;"UP"),"SELL","")))</f>
        <v/>
      </c>
      <c r="R127" s="13">
        <f>IF(Q127="","",D127)</f>
        <v/>
      </c>
      <c r="S127" s="13">
        <f>IF(Q127="","",IF(Q127="BUY",D127-M127*1.5,D127+M127*1.5))</f>
        <v/>
      </c>
      <c r="T127" s="13">
        <f>IF(Q127="","",IF(Q127="BUY",D127+M127*1.5,D127-M127*1.5))</f>
        <v/>
      </c>
      <c r="U127" s="13">
        <f>IF(Q127="","",IF(Q127="BUY",D127+M127*2,D127-M127*2))</f>
        <v/>
      </c>
      <c r="V127" s="13">
        <f>IF(Q127="","",IF(Q127="BUY",D127+M127*3,D127-M127*3))</f>
        <v/>
      </c>
      <c r="W127" s="8">
        <f>IF(OR(D127="",M127&lt;=0),"",IF(AND(D127&gt;G127,ABS(D127-G127)&lt;M127*0.5),"2ND","1ST"))</f>
        <v/>
      </c>
      <c r="X127" s="8">
        <f>IF(OR(D127="",M127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7" s="8">
        <f>IF(OR(D127="",M127&lt;=0),"",IF(M127&gt;D127*0.05,"VOL-HIGH","VOL-NORMAL"))</f>
        <v/>
      </c>
      <c r="Z127" s="8">
        <f>IF(OR(D127="",M127&lt;=0),"",IF(AND(N127="VOL-OK",Y127="VOL-NORMAL",W127="2ND"),"OK","NG"))</f>
        <v/>
      </c>
      <c r="AA127" s="8">
        <f>IF(OR(D127="",M127&lt;=0),"",IF(AND(E127&gt;I127,F127&gt;J127),"UP",IF(AND(E127&lt;I127,F127&lt;J127),"DOWN","FLAT")))</f>
        <v/>
      </c>
    </row>
    <row r="128" ht="26" customHeight="1" s="1">
      <c r="A128" s="14">
        <f>IF(B128="","",ROW()-2)</f>
        <v/>
      </c>
      <c r="B128" s="15">
        <f>IF('StockList_MS2'!A127="","",HYPERLINK("https://kabutan.jp/stock/?code="&amp;'StockList_MS2'!A127,'StockList_MS2'!A127))</f>
        <v/>
      </c>
      <c r="C128" s="16">
        <f>IF('StockList_MS2'!A127="","",'StockList_MS2'!B127)</f>
        <v/>
      </c>
      <c r="D128" s="17" t="n"/>
      <c r="E128" s="17" t="n"/>
      <c r="F128" s="17" t="n"/>
      <c r="G128" s="17" t="n"/>
      <c r="H128" s="18" t="n"/>
      <c r="I128" s="17" t="n"/>
      <c r="J128" s="17" t="n"/>
      <c r="K128" s="17" t="n"/>
      <c r="L128" s="14">
        <f>IF(D128="","",IF(D128&gt;K128,"BUY-DAY","SELL-DAY"))</f>
        <v/>
      </c>
      <c r="M128" s="19">
        <f>IF(D128="","",MAX(E128-F128,ABS(E128-K128),ABS(F128-K128)))</f>
        <v/>
      </c>
      <c r="N128" s="14">
        <f>IF(D128="","",IF(AND(H128&gt;0,H128&gt;(H128/3)*2.5),"VOL-OK","VOL-NG"))</f>
        <v/>
      </c>
      <c r="O128" s="14">
        <f>IF(D128="","",IF(D128&gt;I128,"ON","OFF"))</f>
        <v/>
      </c>
      <c r="P128" s="14">
        <f>IF(D128="","",IF(D128&lt;J128,"ON","OFF"))</f>
        <v/>
      </c>
      <c r="Q128" s="14">
        <f>IF(OR(D128="",M128&lt;=0),"",IF(AND(L128="BUY-DAY",N128="VOL-OK",P128="ON",Z128="OK",AA128&lt;&gt;"DOWN"),"BUY",IF(AND(L128="SELL-DAY",N128="VOL-OK",O128="ON",Z128="OK",AA128&lt;&gt;"UP"),"SELL","")))</f>
        <v/>
      </c>
      <c r="R128" s="19">
        <f>IF(Q128="","",D128)</f>
        <v/>
      </c>
      <c r="S128" s="19">
        <f>IF(Q128="","",IF(Q128="BUY",D128-M128*1.5,D128+M128*1.5))</f>
        <v/>
      </c>
      <c r="T128" s="19">
        <f>IF(Q128="","",IF(Q128="BUY",D128+M128*1.5,D128-M128*1.5))</f>
        <v/>
      </c>
      <c r="U128" s="19">
        <f>IF(Q128="","",IF(Q128="BUY",D128+M128*2,D128-M128*2))</f>
        <v/>
      </c>
      <c r="V128" s="19">
        <f>IF(Q128="","",IF(Q128="BUY",D128+M128*3,D128-M128*3))</f>
        <v/>
      </c>
      <c r="W128" s="14">
        <f>IF(OR(D128="",M128&lt;=0),"",IF(AND(D128&gt;G128,ABS(D128-G128)&lt;M128*0.5),"2ND","1ST"))</f>
        <v/>
      </c>
      <c r="X128" s="14">
        <f>IF(OR(D128="",M128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8" s="14">
        <f>IF(OR(D128="",M128&lt;=0),"",IF(M128&gt;D128*0.05,"VOL-HIGH","VOL-NORMAL"))</f>
        <v/>
      </c>
      <c r="Z128" s="14">
        <f>IF(OR(D128="",M128&lt;=0),"",IF(AND(N128="VOL-OK",Y128="VOL-NORMAL",W128="2ND"),"OK","NG"))</f>
        <v/>
      </c>
      <c r="AA128" s="14">
        <f>IF(OR(D128="",M128&lt;=0),"",IF(AND(E128&gt;I128,F128&gt;J128),"UP",IF(AND(E128&lt;I128,F128&lt;J128),"DOWN","FLAT")))</f>
        <v/>
      </c>
    </row>
    <row r="129" ht="26" customHeight="1" s="1">
      <c r="A129" s="8">
        <f>IF(B129="","",ROW()-2)</f>
        <v/>
      </c>
      <c r="B129" s="9">
        <f>IF('StockList_MS2'!A128="","",HYPERLINK("https://kabutan.jp/stock/?code="&amp;'StockList_MS2'!A128,'StockList_MS2'!A128))</f>
        <v/>
      </c>
      <c r="C129" s="10">
        <f>IF('StockList_MS2'!A128="","",'StockList_MS2'!B128)</f>
        <v/>
      </c>
      <c r="D129" s="11" t="n"/>
      <c r="E129" s="11" t="n"/>
      <c r="F129" s="11" t="n"/>
      <c r="G129" s="11" t="n"/>
      <c r="H129" s="12" t="n"/>
      <c r="I129" s="11" t="n"/>
      <c r="J129" s="11" t="n"/>
      <c r="K129" s="11" t="n"/>
      <c r="L129" s="8">
        <f>IF(D129="","",IF(D129&gt;K129,"BUY-DAY","SELL-DAY"))</f>
        <v/>
      </c>
      <c r="M129" s="13">
        <f>IF(D129="","",MAX(E129-F129,ABS(E129-K129),ABS(F129-K129)))</f>
        <v/>
      </c>
      <c r="N129" s="8">
        <f>IF(D129="","",IF(AND(H129&gt;0,H129&gt;(H129/3)*2.5),"VOL-OK","VOL-NG"))</f>
        <v/>
      </c>
      <c r="O129" s="8">
        <f>IF(D129="","",IF(D129&gt;I129,"ON","OFF"))</f>
        <v/>
      </c>
      <c r="P129" s="8">
        <f>IF(D129="","",IF(D129&lt;J129,"ON","OFF"))</f>
        <v/>
      </c>
      <c r="Q129" s="8">
        <f>IF(OR(D129="",M129&lt;=0),"",IF(AND(L129="BUY-DAY",N129="VOL-OK",P129="ON",Z129="OK",AA129&lt;&gt;"DOWN"),"BUY",IF(AND(L129="SELL-DAY",N129="VOL-OK",O129="ON",Z129="OK",AA129&lt;&gt;"UP"),"SELL","")))</f>
        <v/>
      </c>
      <c r="R129" s="13">
        <f>IF(Q129="","",D129)</f>
        <v/>
      </c>
      <c r="S129" s="13">
        <f>IF(Q129="","",IF(Q129="BUY",D129-M129*1.5,D129+M129*1.5))</f>
        <v/>
      </c>
      <c r="T129" s="13">
        <f>IF(Q129="","",IF(Q129="BUY",D129+M129*1.5,D129-M129*1.5))</f>
        <v/>
      </c>
      <c r="U129" s="13">
        <f>IF(Q129="","",IF(Q129="BUY",D129+M129*2,D129-M129*2))</f>
        <v/>
      </c>
      <c r="V129" s="13">
        <f>IF(Q129="","",IF(Q129="BUY",D129+M129*3,D129-M129*3))</f>
        <v/>
      </c>
      <c r="W129" s="8">
        <f>IF(OR(D129="",M129&lt;=0),"",IF(AND(D129&gt;G129,ABS(D129-G129)&lt;M129*0.5),"2ND","1ST"))</f>
        <v/>
      </c>
      <c r="X129" s="8">
        <f>IF(OR(D129="",M129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29" s="8">
        <f>IF(OR(D129="",M129&lt;=0),"",IF(M129&gt;D129*0.05,"VOL-HIGH","VOL-NORMAL"))</f>
        <v/>
      </c>
      <c r="Z129" s="8">
        <f>IF(OR(D129="",M129&lt;=0),"",IF(AND(N129="VOL-OK",Y129="VOL-NORMAL",W129="2ND"),"OK","NG"))</f>
        <v/>
      </c>
      <c r="AA129" s="8">
        <f>IF(OR(D129="",M129&lt;=0),"",IF(AND(E129&gt;I129,F129&gt;J129),"UP",IF(AND(E129&lt;I129,F129&lt;J129),"DOWN","FLAT")))</f>
        <v/>
      </c>
    </row>
    <row r="130" ht="26" customHeight="1" s="1">
      <c r="A130" s="14">
        <f>IF(B130="","",ROW()-2)</f>
        <v/>
      </c>
      <c r="B130" s="15">
        <f>IF('StockList_MS2'!A129="","",HYPERLINK("https://kabutan.jp/stock/?code="&amp;'StockList_MS2'!A129,'StockList_MS2'!A129))</f>
        <v/>
      </c>
      <c r="C130" s="16">
        <f>IF('StockList_MS2'!A129="","",'StockList_MS2'!B129)</f>
        <v/>
      </c>
      <c r="D130" s="17" t="n"/>
      <c r="E130" s="17" t="n"/>
      <c r="F130" s="17" t="n"/>
      <c r="G130" s="17" t="n"/>
      <c r="H130" s="18" t="n"/>
      <c r="I130" s="17" t="n"/>
      <c r="J130" s="17" t="n"/>
      <c r="K130" s="17" t="n"/>
      <c r="L130" s="14">
        <f>IF(D130="","",IF(D130&gt;K130,"BUY-DAY","SELL-DAY"))</f>
        <v/>
      </c>
      <c r="M130" s="19">
        <f>IF(D130="","",MAX(E130-F130,ABS(E130-K130),ABS(F130-K130)))</f>
        <v/>
      </c>
      <c r="N130" s="14">
        <f>IF(D130="","",IF(AND(H130&gt;0,H130&gt;(H130/3)*2.5),"VOL-OK","VOL-NG"))</f>
        <v/>
      </c>
      <c r="O130" s="14">
        <f>IF(D130="","",IF(D130&gt;I130,"ON","OFF"))</f>
        <v/>
      </c>
      <c r="P130" s="14">
        <f>IF(D130="","",IF(D130&lt;J130,"ON","OFF"))</f>
        <v/>
      </c>
      <c r="Q130" s="14">
        <f>IF(OR(D130="",M130&lt;=0),"",IF(AND(L130="BUY-DAY",N130="VOL-OK",P130="ON",Z130="OK",AA130&lt;&gt;"DOWN"),"BUY",IF(AND(L130="SELL-DAY",N130="VOL-OK",O130="ON",Z130="OK",AA130&lt;&gt;"UP"),"SELL","")))</f>
        <v/>
      </c>
      <c r="R130" s="19">
        <f>IF(Q130="","",D130)</f>
        <v/>
      </c>
      <c r="S130" s="19">
        <f>IF(Q130="","",IF(Q130="BUY",D130-M130*1.5,D130+M130*1.5))</f>
        <v/>
      </c>
      <c r="T130" s="19">
        <f>IF(Q130="","",IF(Q130="BUY",D130+M130*1.5,D130-M130*1.5))</f>
        <v/>
      </c>
      <c r="U130" s="19">
        <f>IF(Q130="","",IF(Q130="BUY",D130+M130*2,D130-M130*2))</f>
        <v/>
      </c>
      <c r="V130" s="19">
        <f>IF(Q130="","",IF(Q130="BUY",D130+M130*3,D130-M130*3))</f>
        <v/>
      </c>
      <c r="W130" s="14">
        <f>IF(OR(D130="",M130&lt;=0),"",IF(AND(D130&gt;G130,ABS(D130-G130)&lt;M130*0.5),"2ND","1ST"))</f>
        <v/>
      </c>
      <c r="X130" s="14">
        <f>IF(OR(D130="",M130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0" s="14">
        <f>IF(OR(D130="",M130&lt;=0),"",IF(M130&gt;D130*0.05,"VOL-HIGH","VOL-NORMAL"))</f>
        <v/>
      </c>
      <c r="Z130" s="14">
        <f>IF(OR(D130="",M130&lt;=0),"",IF(AND(N130="VOL-OK",Y130="VOL-NORMAL",W130="2ND"),"OK","NG"))</f>
        <v/>
      </c>
      <c r="AA130" s="14">
        <f>IF(OR(D130="",M130&lt;=0),"",IF(AND(E130&gt;I130,F130&gt;J130),"UP",IF(AND(E130&lt;I130,F130&lt;J130),"DOWN","FLAT")))</f>
        <v/>
      </c>
    </row>
    <row r="131" ht="26" customHeight="1" s="1">
      <c r="A131" s="8">
        <f>IF(B131="","",ROW()-2)</f>
        <v/>
      </c>
      <c r="B131" s="9">
        <f>IF('StockList_MS2'!A130="","",HYPERLINK("https://kabutan.jp/stock/?code="&amp;'StockList_MS2'!A130,'StockList_MS2'!A130))</f>
        <v/>
      </c>
      <c r="C131" s="10">
        <f>IF('StockList_MS2'!A130="","",'StockList_MS2'!B130)</f>
        <v/>
      </c>
      <c r="D131" s="11" t="n"/>
      <c r="E131" s="11" t="n"/>
      <c r="F131" s="11" t="n"/>
      <c r="G131" s="11" t="n"/>
      <c r="H131" s="12" t="n"/>
      <c r="I131" s="11" t="n"/>
      <c r="J131" s="11" t="n"/>
      <c r="K131" s="11" t="n"/>
      <c r="L131" s="8">
        <f>IF(D131="","",IF(D131&gt;K131,"BUY-DAY","SELL-DAY"))</f>
        <v/>
      </c>
      <c r="M131" s="13">
        <f>IF(D131="","",MAX(E131-F131,ABS(E131-K131),ABS(F131-K131)))</f>
        <v/>
      </c>
      <c r="N131" s="8">
        <f>IF(D131="","",IF(AND(H131&gt;0,H131&gt;(H131/3)*2.5),"VOL-OK","VOL-NG"))</f>
        <v/>
      </c>
      <c r="O131" s="8">
        <f>IF(D131="","",IF(D131&gt;I131,"ON","OFF"))</f>
        <v/>
      </c>
      <c r="P131" s="8">
        <f>IF(D131="","",IF(D131&lt;J131,"ON","OFF"))</f>
        <v/>
      </c>
      <c r="Q131" s="8">
        <f>IF(OR(D131="",M131&lt;=0),"",IF(AND(L131="BUY-DAY",N131="VOL-OK",P131="ON",Z131="OK",AA131&lt;&gt;"DOWN"),"BUY",IF(AND(L131="SELL-DAY",N131="VOL-OK",O131="ON",Z131="OK",AA131&lt;&gt;"UP"),"SELL","")))</f>
        <v/>
      </c>
      <c r="R131" s="13">
        <f>IF(Q131="","",D131)</f>
        <v/>
      </c>
      <c r="S131" s="13">
        <f>IF(Q131="","",IF(Q131="BUY",D131-M131*1.5,D131+M131*1.5))</f>
        <v/>
      </c>
      <c r="T131" s="13">
        <f>IF(Q131="","",IF(Q131="BUY",D131+M131*1.5,D131-M131*1.5))</f>
        <v/>
      </c>
      <c r="U131" s="13">
        <f>IF(Q131="","",IF(Q131="BUY",D131+M131*2,D131-M131*2))</f>
        <v/>
      </c>
      <c r="V131" s="13">
        <f>IF(Q131="","",IF(Q131="BUY",D131+M131*3,D131-M131*3))</f>
        <v/>
      </c>
      <c r="W131" s="8">
        <f>IF(OR(D131="",M131&lt;=0),"",IF(AND(D131&gt;G131,ABS(D131-G131)&lt;M131*0.5),"2ND","1ST"))</f>
        <v/>
      </c>
      <c r="X131" s="8">
        <f>IF(OR(D131="",M131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1" s="8">
        <f>IF(OR(D131="",M131&lt;=0),"",IF(M131&gt;D131*0.05,"VOL-HIGH","VOL-NORMAL"))</f>
        <v/>
      </c>
      <c r="Z131" s="8">
        <f>IF(OR(D131="",M131&lt;=0),"",IF(AND(N131="VOL-OK",Y131="VOL-NORMAL",W131="2ND"),"OK","NG"))</f>
        <v/>
      </c>
      <c r="AA131" s="8">
        <f>IF(OR(D131="",M131&lt;=0),"",IF(AND(E131&gt;I131,F131&gt;J131),"UP",IF(AND(E131&lt;I131,F131&lt;J131),"DOWN","FLAT")))</f>
        <v/>
      </c>
    </row>
    <row r="132" ht="26" customHeight="1" s="1">
      <c r="A132" s="14">
        <f>IF(B132="","",ROW()-2)</f>
        <v/>
      </c>
      <c r="B132" s="15">
        <f>IF('StockList_MS2'!A131="","",HYPERLINK("https://kabutan.jp/stock/?code="&amp;'StockList_MS2'!A131,'StockList_MS2'!A131))</f>
        <v/>
      </c>
      <c r="C132" s="16">
        <f>IF('StockList_MS2'!A131="","",'StockList_MS2'!B131)</f>
        <v/>
      </c>
      <c r="D132" s="17" t="n"/>
      <c r="E132" s="17" t="n"/>
      <c r="F132" s="17" t="n"/>
      <c r="G132" s="17" t="n"/>
      <c r="H132" s="18" t="n"/>
      <c r="I132" s="17" t="n"/>
      <c r="J132" s="17" t="n"/>
      <c r="K132" s="17" t="n"/>
      <c r="L132" s="14">
        <f>IF(D132="","",IF(D132&gt;K132,"BUY-DAY","SELL-DAY"))</f>
        <v/>
      </c>
      <c r="M132" s="19">
        <f>IF(D132="","",MAX(E132-F132,ABS(E132-K132),ABS(F132-K132)))</f>
        <v/>
      </c>
      <c r="N132" s="14">
        <f>IF(D132="","",IF(AND(H132&gt;0,H132&gt;(H132/3)*2.5),"VOL-OK","VOL-NG"))</f>
        <v/>
      </c>
      <c r="O132" s="14">
        <f>IF(D132="","",IF(D132&gt;I132,"ON","OFF"))</f>
        <v/>
      </c>
      <c r="P132" s="14">
        <f>IF(D132="","",IF(D132&lt;J132,"ON","OFF"))</f>
        <v/>
      </c>
      <c r="Q132" s="14">
        <f>IF(OR(D132="",M132&lt;=0),"",IF(AND(L132="BUY-DAY",N132="VOL-OK",P132="ON",Z132="OK",AA132&lt;&gt;"DOWN"),"BUY",IF(AND(L132="SELL-DAY",N132="VOL-OK",O132="ON",Z132="OK",AA132&lt;&gt;"UP"),"SELL","")))</f>
        <v/>
      </c>
      <c r="R132" s="19">
        <f>IF(Q132="","",D132)</f>
        <v/>
      </c>
      <c r="S132" s="19">
        <f>IF(Q132="","",IF(Q132="BUY",D132-M132*1.5,D132+M132*1.5))</f>
        <v/>
      </c>
      <c r="T132" s="19">
        <f>IF(Q132="","",IF(Q132="BUY",D132+M132*1.5,D132-M132*1.5))</f>
        <v/>
      </c>
      <c r="U132" s="19">
        <f>IF(Q132="","",IF(Q132="BUY",D132+M132*2,D132-M132*2))</f>
        <v/>
      </c>
      <c r="V132" s="19">
        <f>IF(Q132="","",IF(Q132="BUY",D132+M132*3,D132-M132*3))</f>
        <v/>
      </c>
      <c r="W132" s="14">
        <f>IF(OR(D132="",M132&lt;=0),"",IF(AND(D132&gt;G132,ABS(D132-G132)&lt;M132*0.5),"2ND","1ST"))</f>
        <v/>
      </c>
      <c r="X132" s="14">
        <f>IF(OR(D132="",M132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2" s="14">
        <f>IF(OR(D132="",M132&lt;=0),"",IF(M132&gt;D132*0.05,"VOL-HIGH","VOL-NORMAL"))</f>
        <v/>
      </c>
      <c r="Z132" s="14">
        <f>IF(OR(D132="",M132&lt;=0),"",IF(AND(N132="VOL-OK",Y132="VOL-NORMAL",W132="2ND"),"OK","NG"))</f>
        <v/>
      </c>
      <c r="AA132" s="14">
        <f>IF(OR(D132="",M132&lt;=0),"",IF(AND(E132&gt;I132,F132&gt;J132),"UP",IF(AND(E132&lt;I132,F132&lt;J132),"DOWN","FLAT")))</f>
        <v/>
      </c>
    </row>
    <row r="133" ht="26" customHeight="1" s="1">
      <c r="A133" s="8">
        <f>IF(B133="","",ROW()-2)</f>
        <v/>
      </c>
      <c r="B133" s="9">
        <f>IF('StockList_MS2'!A132="","",HYPERLINK("https://kabutan.jp/stock/?code="&amp;'StockList_MS2'!A132,'StockList_MS2'!A132))</f>
        <v/>
      </c>
      <c r="C133" s="10">
        <f>IF('StockList_MS2'!A132="","",'StockList_MS2'!B132)</f>
        <v/>
      </c>
      <c r="D133" s="11" t="n"/>
      <c r="E133" s="11" t="n"/>
      <c r="F133" s="11" t="n"/>
      <c r="G133" s="11" t="n"/>
      <c r="H133" s="12" t="n"/>
      <c r="I133" s="11" t="n"/>
      <c r="J133" s="11" t="n"/>
      <c r="K133" s="11" t="n"/>
      <c r="L133" s="8">
        <f>IF(D133="","",IF(D133&gt;K133,"BUY-DAY","SELL-DAY"))</f>
        <v/>
      </c>
      <c r="M133" s="13">
        <f>IF(D133="","",MAX(E133-F133,ABS(E133-K133),ABS(F133-K133)))</f>
        <v/>
      </c>
      <c r="N133" s="8">
        <f>IF(D133="","",IF(AND(H133&gt;0,H133&gt;(H133/3)*2.5),"VOL-OK","VOL-NG"))</f>
        <v/>
      </c>
      <c r="O133" s="8">
        <f>IF(D133="","",IF(D133&gt;I133,"ON","OFF"))</f>
        <v/>
      </c>
      <c r="P133" s="8">
        <f>IF(D133="","",IF(D133&lt;J133,"ON","OFF"))</f>
        <v/>
      </c>
      <c r="Q133" s="8">
        <f>IF(OR(D133="",M133&lt;=0),"",IF(AND(L133="BUY-DAY",N133="VOL-OK",P133="ON",Z133="OK",AA133&lt;&gt;"DOWN"),"BUY",IF(AND(L133="SELL-DAY",N133="VOL-OK",O133="ON",Z133="OK",AA133&lt;&gt;"UP"),"SELL","")))</f>
        <v/>
      </c>
      <c r="R133" s="13">
        <f>IF(Q133="","",D133)</f>
        <v/>
      </c>
      <c r="S133" s="13">
        <f>IF(Q133="","",IF(Q133="BUY",D133-M133*1.5,D133+M133*1.5))</f>
        <v/>
      </c>
      <c r="T133" s="13">
        <f>IF(Q133="","",IF(Q133="BUY",D133+M133*1.5,D133-M133*1.5))</f>
        <v/>
      </c>
      <c r="U133" s="13">
        <f>IF(Q133="","",IF(Q133="BUY",D133+M133*2,D133-M133*2))</f>
        <v/>
      </c>
      <c r="V133" s="13">
        <f>IF(Q133="","",IF(Q133="BUY",D133+M133*3,D133-M133*3))</f>
        <v/>
      </c>
      <c r="W133" s="8">
        <f>IF(OR(D133="",M133&lt;=0),"",IF(AND(D133&gt;G133,ABS(D133-G133)&lt;M133*0.5),"2ND","1ST"))</f>
        <v/>
      </c>
      <c r="X133" s="8">
        <f>IF(OR(D133="",M133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3" s="8">
        <f>IF(OR(D133="",M133&lt;=0),"",IF(M133&gt;D133*0.05,"VOL-HIGH","VOL-NORMAL"))</f>
        <v/>
      </c>
      <c r="Z133" s="8">
        <f>IF(OR(D133="",M133&lt;=0),"",IF(AND(N133="VOL-OK",Y133="VOL-NORMAL",W133="2ND"),"OK","NG"))</f>
        <v/>
      </c>
      <c r="AA133" s="8">
        <f>IF(OR(D133="",M133&lt;=0),"",IF(AND(E133&gt;I133,F133&gt;J133),"UP",IF(AND(E133&lt;I133,F133&lt;J133),"DOWN","FLAT")))</f>
        <v/>
      </c>
    </row>
    <row r="134" ht="26" customHeight="1" s="1">
      <c r="A134" s="14">
        <f>IF(B134="","",ROW()-2)</f>
        <v/>
      </c>
      <c r="B134" s="15">
        <f>IF('StockList_MS2'!A133="","",HYPERLINK("https://kabutan.jp/stock/?code="&amp;'StockList_MS2'!A133,'StockList_MS2'!A133))</f>
        <v/>
      </c>
      <c r="C134" s="16">
        <f>IF('StockList_MS2'!A133="","",'StockList_MS2'!B133)</f>
        <v/>
      </c>
      <c r="D134" s="17" t="n"/>
      <c r="E134" s="17" t="n"/>
      <c r="F134" s="17" t="n"/>
      <c r="G134" s="17" t="n"/>
      <c r="H134" s="18" t="n"/>
      <c r="I134" s="17" t="n"/>
      <c r="J134" s="17" t="n"/>
      <c r="K134" s="17" t="n"/>
      <c r="L134" s="14">
        <f>IF(D134="","",IF(D134&gt;K134,"BUY-DAY","SELL-DAY"))</f>
        <v/>
      </c>
      <c r="M134" s="19">
        <f>IF(D134="","",MAX(E134-F134,ABS(E134-K134),ABS(F134-K134)))</f>
        <v/>
      </c>
      <c r="N134" s="14">
        <f>IF(D134="","",IF(AND(H134&gt;0,H134&gt;(H134/3)*2.5),"VOL-OK","VOL-NG"))</f>
        <v/>
      </c>
      <c r="O134" s="14">
        <f>IF(D134="","",IF(D134&gt;I134,"ON","OFF"))</f>
        <v/>
      </c>
      <c r="P134" s="14">
        <f>IF(D134="","",IF(D134&lt;J134,"ON","OFF"))</f>
        <v/>
      </c>
      <c r="Q134" s="14">
        <f>IF(OR(D134="",M134&lt;=0),"",IF(AND(L134="BUY-DAY",N134="VOL-OK",P134="ON",Z134="OK",AA134&lt;&gt;"DOWN"),"BUY",IF(AND(L134="SELL-DAY",N134="VOL-OK",O134="ON",Z134="OK",AA134&lt;&gt;"UP"),"SELL","")))</f>
        <v/>
      </c>
      <c r="R134" s="19">
        <f>IF(Q134="","",D134)</f>
        <v/>
      </c>
      <c r="S134" s="19">
        <f>IF(Q134="","",IF(Q134="BUY",D134-M134*1.5,D134+M134*1.5))</f>
        <v/>
      </c>
      <c r="T134" s="19">
        <f>IF(Q134="","",IF(Q134="BUY",D134+M134*1.5,D134-M134*1.5))</f>
        <v/>
      </c>
      <c r="U134" s="19">
        <f>IF(Q134="","",IF(Q134="BUY",D134+M134*2,D134-M134*2))</f>
        <v/>
      </c>
      <c r="V134" s="19">
        <f>IF(Q134="","",IF(Q134="BUY",D134+M134*3,D134-M134*3))</f>
        <v/>
      </c>
      <c r="W134" s="14">
        <f>IF(OR(D134="",M134&lt;=0),"",IF(AND(D134&gt;G134,ABS(D134-G134)&lt;M134*0.5),"2ND","1ST"))</f>
        <v/>
      </c>
      <c r="X134" s="14">
        <f>IF(OR(D134="",M134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4" s="14">
        <f>IF(OR(D134="",M134&lt;=0),"",IF(M134&gt;D134*0.05,"VOL-HIGH","VOL-NORMAL"))</f>
        <v/>
      </c>
      <c r="Z134" s="14">
        <f>IF(OR(D134="",M134&lt;=0),"",IF(AND(N134="VOL-OK",Y134="VOL-NORMAL",W134="2ND"),"OK","NG"))</f>
        <v/>
      </c>
      <c r="AA134" s="14">
        <f>IF(OR(D134="",M134&lt;=0),"",IF(AND(E134&gt;I134,F134&gt;J134),"UP",IF(AND(E134&lt;I134,F134&lt;J134),"DOWN","FLAT")))</f>
        <v/>
      </c>
    </row>
    <row r="135" ht="26" customHeight="1" s="1">
      <c r="A135" s="8">
        <f>IF(B135="","",ROW()-2)</f>
        <v/>
      </c>
      <c r="B135" s="9">
        <f>IF('StockList_MS2'!A134="","",HYPERLINK("https://kabutan.jp/stock/?code="&amp;'StockList_MS2'!A134,'StockList_MS2'!A134))</f>
        <v/>
      </c>
      <c r="C135" s="10">
        <f>IF('StockList_MS2'!A134="","",'StockList_MS2'!B134)</f>
        <v/>
      </c>
      <c r="D135" s="11" t="n"/>
      <c r="E135" s="11" t="n"/>
      <c r="F135" s="11" t="n"/>
      <c r="G135" s="11" t="n"/>
      <c r="H135" s="12" t="n"/>
      <c r="I135" s="11" t="n"/>
      <c r="J135" s="11" t="n"/>
      <c r="K135" s="11" t="n"/>
      <c r="L135" s="8">
        <f>IF(D135="","",IF(D135&gt;K135,"BUY-DAY","SELL-DAY"))</f>
        <v/>
      </c>
      <c r="M135" s="13">
        <f>IF(D135="","",MAX(E135-F135,ABS(E135-K135),ABS(F135-K135)))</f>
        <v/>
      </c>
      <c r="N135" s="8">
        <f>IF(D135="","",IF(AND(H135&gt;0,H135&gt;(H135/3)*2.5),"VOL-OK","VOL-NG"))</f>
        <v/>
      </c>
      <c r="O135" s="8">
        <f>IF(D135="","",IF(D135&gt;I135,"ON","OFF"))</f>
        <v/>
      </c>
      <c r="P135" s="8">
        <f>IF(D135="","",IF(D135&lt;J135,"ON","OFF"))</f>
        <v/>
      </c>
      <c r="Q135" s="8">
        <f>IF(OR(D135="",M135&lt;=0),"",IF(AND(L135="BUY-DAY",N135="VOL-OK",P135="ON",Z135="OK",AA135&lt;&gt;"DOWN"),"BUY",IF(AND(L135="SELL-DAY",N135="VOL-OK",O135="ON",Z135="OK",AA135&lt;&gt;"UP"),"SELL","")))</f>
        <v/>
      </c>
      <c r="R135" s="13">
        <f>IF(Q135="","",D135)</f>
        <v/>
      </c>
      <c r="S135" s="13">
        <f>IF(Q135="","",IF(Q135="BUY",D135-M135*1.5,D135+M135*1.5))</f>
        <v/>
      </c>
      <c r="T135" s="13">
        <f>IF(Q135="","",IF(Q135="BUY",D135+M135*1.5,D135-M135*1.5))</f>
        <v/>
      </c>
      <c r="U135" s="13">
        <f>IF(Q135="","",IF(Q135="BUY",D135+M135*2,D135-M135*2))</f>
        <v/>
      </c>
      <c r="V135" s="13">
        <f>IF(Q135="","",IF(Q135="BUY",D135+M135*3,D135-M135*3))</f>
        <v/>
      </c>
      <c r="W135" s="8">
        <f>IF(OR(D135="",M135&lt;=0),"",IF(AND(D135&gt;G135,ABS(D135-G135)&lt;M135*0.5),"2ND","1ST"))</f>
        <v/>
      </c>
      <c r="X135" s="8">
        <f>IF(OR(D135="",M135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5" s="8">
        <f>IF(OR(D135="",M135&lt;=0),"",IF(M135&gt;D135*0.05,"VOL-HIGH","VOL-NORMAL"))</f>
        <v/>
      </c>
      <c r="Z135" s="8">
        <f>IF(OR(D135="",M135&lt;=0),"",IF(AND(N135="VOL-OK",Y135="VOL-NORMAL",W135="2ND"),"OK","NG"))</f>
        <v/>
      </c>
      <c r="AA135" s="8">
        <f>IF(OR(D135="",M135&lt;=0),"",IF(AND(E135&gt;I135,F135&gt;J135),"UP",IF(AND(E135&lt;I135,F135&lt;J135),"DOWN","FLAT")))</f>
        <v/>
      </c>
    </row>
    <row r="136" ht="26" customHeight="1" s="1">
      <c r="A136" s="14">
        <f>IF(B136="","",ROW()-2)</f>
        <v/>
      </c>
      <c r="B136" s="15">
        <f>IF('StockList_MS2'!A135="","",HYPERLINK("https://kabutan.jp/stock/?code="&amp;'StockList_MS2'!A135,'StockList_MS2'!A135))</f>
        <v/>
      </c>
      <c r="C136" s="16">
        <f>IF('StockList_MS2'!A135="","",'StockList_MS2'!B135)</f>
        <v/>
      </c>
      <c r="D136" s="17" t="n"/>
      <c r="E136" s="17" t="n"/>
      <c r="F136" s="17" t="n"/>
      <c r="G136" s="17" t="n"/>
      <c r="H136" s="18" t="n"/>
      <c r="I136" s="17" t="n"/>
      <c r="J136" s="17" t="n"/>
      <c r="K136" s="17" t="n"/>
      <c r="L136" s="14">
        <f>IF(D136="","",IF(D136&gt;K136,"BUY-DAY","SELL-DAY"))</f>
        <v/>
      </c>
      <c r="M136" s="19">
        <f>IF(D136="","",MAX(E136-F136,ABS(E136-K136),ABS(F136-K136)))</f>
        <v/>
      </c>
      <c r="N136" s="14">
        <f>IF(D136="","",IF(AND(H136&gt;0,H136&gt;(H136/3)*2.5),"VOL-OK","VOL-NG"))</f>
        <v/>
      </c>
      <c r="O136" s="14">
        <f>IF(D136="","",IF(D136&gt;I136,"ON","OFF"))</f>
        <v/>
      </c>
      <c r="P136" s="14">
        <f>IF(D136="","",IF(D136&lt;J136,"ON","OFF"))</f>
        <v/>
      </c>
      <c r="Q136" s="14">
        <f>IF(OR(D136="",M136&lt;=0),"",IF(AND(L136="BUY-DAY",N136="VOL-OK",P136="ON",Z136="OK",AA136&lt;&gt;"DOWN"),"BUY",IF(AND(L136="SELL-DAY",N136="VOL-OK",O136="ON",Z136="OK",AA136&lt;&gt;"UP"),"SELL","")))</f>
        <v/>
      </c>
      <c r="R136" s="19">
        <f>IF(Q136="","",D136)</f>
        <v/>
      </c>
      <c r="S136" s="19">
        <f>IF(Q136="","",IF(Q136="BUY",D136-M136*1.5,D136+M136*1.5))</f>
        <v/>
      </c>
      <c r="T136" s="19">
        <f>IF(Q136="","",IF(Q136="BUY",D136+M136*1.5,D136-M136*1.5))</f>
        <v/>
      </c>
      <c r="U136" s="19">
        <f>IF(Q136="","",IF(Q136="BUY",D136+M136*2,D136-M136*2))</f>
        <v/>
      </c>
      <c r="V136" s="19">
        <f>IF(Q136="","",IF(Q136="BUY",D136+M136*3,D136-M136*3))</f>
        <v/>
      </c>
      <c r="W136" s="14">
        <f>IF(OR(D136="",M136&lt;=0),"",IF(AND(D136&gt;G136,ABS(D136-G136)&lt;M136*0.5),"2ND","1ST"))</f>
        <v/>
      </c>
      <c r="X136" s="14">
        <f>IF(OR(D136="",M136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6" s="14">
        <f>IF(OR(D136="",M136&lt;=0),"",IF(M136&gt;D136*0.05,"VOL-HIGH","VOL-NORMAL"))</f>
        <v/>
      </c>
      <c r="Z136" s="14">
        <f>IF(OR(D136="",M136&lt;=0),"",IF(AND(N136="VOL-OK",Y136="VOL-NORMAL",W136="2ND"),"OK","NG"))</f>
        <v/>
      </c>
      <c r="AA136" s="14">
        <f>IF(OR(D136="",M136&lt;=0),"",IF(AND(E136&gt;I136,F136&gt;J136),"UP",IF(AND(E136&lt;I136,F136&lt;J136),"DOWN","FLAT")))</f>
        <v/>
      </c>
    </row>
    <row r="137" ht="26" customHeight="1" s="1">
      <c r="A137" s="8">
        <f>IF(B137="","",ROW()-2)</f>
        <v/>
      </c>
      <c r="B137" s="9">
        <f>IF('StockList_MS2'!A136="","",HYPERLINK("https://kabutan.jp/stock/?code="&amp;'StockList_MS2'!A136,'StockList_MS2'!A136))</f>
        <v/>
      </c>
      <c r="C137" s="10">
        <f>IF('StockList_MS2'!A136="","",'StockList_MS2'!B136)</f>
        <v/>
      </c>
      <c r="D137" s="11" t="n"/>
      <c r="E137" s="11" t="n"/>
      <c r="F137" s="11" t="n"/>
      <c r="G137" s="11" t="n"/>
      <c r="H137" s="12" t="n"/>
      <c r="I137" s="11" t="n"/>
      <c r="J137" s="11" t="n"/>
      <c r="K137" s="11" t="n"/>
      <c r="L137" s="8">
        <f>IF(D137="","",IF(D137&gt;K137,"BUY-DAY","SELL-DAY"))</f>
        <v/>
      </c>
      <c r="M137" s="13">
        <f>IF(D137="","",MAX(E137-F137,ABS(E137-K137),ABS(F137-K137)))</f>
        <v/>
      </c>
      <c r="N137" s="8">
        <f>IF(D137="","",IF(AND(H137&gt;0,H137&gt;(H137/3)*2.5),"VOL-OK","VOL-NG"))</f>
        <v/>
      </c>
      <c r="O137" s="8">
        <f>IF(D137="","",IF(D137&gt;I137,"ON","OFF"))</f>
        <v/>
      </c>
      <c r="P137" s="8">
        <f>IF(D137="","",IF(D137&lt;J137,"ON","OFF"))</f>
        <v/>
      </c>
      <c r="Q137" s="8">
        <f>IF(OR(D137="",M137&lt;=0),"",IF(AND(L137="BUY-DAY",N137="VOL-OK",P137="ON",Z137="OK",AA137&lt;&gt;"DOWN"),"BUY",IF(AND(L137="SELL-DAY",N137="VOL-OK",O137="ON",Z137="OK",AA137&lt;&gt;"UP"),"SELL","")))</f>
        <v/>
      </c>
      <c r="R137" s="13">
        <f>IF(Q137="","",D137)</f>
        <v/>
      </c>
      <c r="S137" s="13">
        <f>IF(Q137="","",IF(Q137="BUY",D137-M137*1.5,D137+M137*1.5))</f>
        <v/>
      </c>
      <c r="T137" s="13">
        <f>IF(Q137="","",IF(Q137="BUY",D137+M137*1.5,D137-M137*1.5))</f>
        <v/>
      </c>
      <c r="U137" s="13">
        <f>IF(Q137="","",IF(Q137="BUY",D137+M137*2,D137-M137*2))</f>
        <v/>
      </c>
      <c r="V137" s="13">
        <f>IF(Q137="","",IF(Q137="BUY",D137+M137*3,D137-M137*3))</f>
        <v/>
      </c>
      <c r="W137" s="8">
        <f>IF(OR(D137="",M137&lt;=0),"",IF(AND(D137&gt;G137,ABS(D137-G137)&lt;M137*0.5),"2ND","1ST"))</f>
        <v/>
      </c>
      <c r="X137" s="8">
        <f>IF(OR(D137="",M137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7" s="8">
        <f>IF(OR(D137="",M137&lt;=0),"",IF(M137&gt;D137*0.05,"VOL-HIGH","VOL-NORMAL"))</f>
        <v/>
      </c>
      <c r="Z137" s="8">
        <f>IF(OR(D137="",M137&lt;=0),"",IF(AND(N137="VOL-OK",Y137="VOL-NORMAL",W137="2ND"),"OK","NG"))</f>
        <v/>
      </c>
      <c r="AA137" s="8">
        <f>IF(OR(D137="",M137&lt;=0),"",IF(AND(E137&gt;I137,F137&gt;J137),"UP",IF(AND(E137&lt;I137,F137&lt;J137),"DOWN","FLAT")))</f>
        <v/>
      </c>
    </row>
    <row r="138" ht="26" customHeight="1" s="1">
      <c r="A138" s="14">
        <f>IF(B138="","",ROW()-2)</f>
        <v/>
      </c>
      <c r="B138" s="15">
        <f>IF('StockList_MS2'!A137="","",HYPERLINK("https://kabutan.jp/stock/?code="&amp;'StockList_MS2'!A137,'StockList_MS2'!A137))</f>
        <v/>
      </c>
      <c r="C138" s="16">
        <f>IF('StockList_MS2'!A137="","",'StockList_MS2'!B137)</f>
        <v/>
      </c>
      <c r="D138" s="17" t="n"/>
      <c r="E138" s="17" t="n"/>
      <c r="F138" s="17" t="n"/>
      <c r="G138" s="17" t="n"/>
      <c r="H138" s="18" t="n"/>
      <c r="I138" s="17" t="n"/>
      <c r="J138" s="17" t="n"/>
      <c r="K138" s="17" t="n"/>
      <c r="L138" s="14">
        <f>IF(D138="","",IF(D138&gt;K138,"BUY-DAY","SELL-DAY"))</f>
        <v/>
      </c>
      <c r="M138" s="19">
        <f>IF(D138="","",MAX(E138-F138,ABS(E138-K138),ABS(F138-K138)))</f>
        <v/>
      </c>
      <c r="N138" s="14">
        <f>IF(D138="","",IF(AND(H138&gt;0,H138&gt;(H138/3)*2.5),"VOL-OK","VOL-NG"))</f>
        <v/>
      </c>
      <c r="O138" s="14">
        <f>IF(D138="","",IF(D138&gt;I138,"ON","OFF"))</f>
        <v/>
      </c>
      <c r="P138" s="14">
        <f>IF(D138="","",IF(D138&lt;J138,"ON","OFF"))</f>
        <v/>
      </c>
      <c r="Q138" s="14">
        <f>IF(OR(D138="",M138&lt;=0),"",IF(AND(L138="BUY-DAY",N138="VOL-OK",P138="ON",Z138="OK",AA138&lt;&gt;"DOWN"),"BUY",IF(AND(L138="SELL-DAY",N138="VOL-OK",O138="ON",Z138="OK",AA138&lt;&gt;"UP"),"SELL","")))</f>
        <v/>
      </c>
      <c r="R138" s="19">
        <f>IF(Q138="","",D138)</f>
        <v/>
      </c>
      <c r="S138" s="19">
        <f>IF(Q138="","",IF(Q138="BUY",D138-M138*1.5,D138+M138*1.5))</f>
        <v/>
      </c>
      <c r="T138" s="19">
        <f>IF(Q138="","",IF(Q138="BUY",D138+M138*1.5,D138-M138*1.5))</f>
        <v/>
      </c>
      <c r="U138" s="19">
        <f>IF(Q138="","",IF(Q138="BUY",D138+M138*2,D138-M138*2))</f>
        <v/>
      </c>
      <c r="V138" s="19">
        <f>IF(Q138="","",IF(Q138="BUY",D138+M138*3,D138-M138*3))</f>
        <v/>
      </c>
      <c r="W138" s="14">
        <f>IF(OR(D138="",M138&lt;=0),"",IF(AND(D138&gt;G138,ABS(D138-G138)&lt;M138*0.5),"2ND","1ST"))</f>
        <v/>
      </c>
      <c r="X138" s="14">
        <f>IF(OR(D138="",M138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8" s="14">
        <f>IF(OR(D138="",M138&lt;=0),"",IF(M138&gt;D138*0.05,"VOL-HIGH","VOL-NORMAL"))</f>
        <v/>
      </c>
      <c r="Z138" s="14">
        <f>IF(OR(D138="",M138&lt;=0),"",IF(AND(N138="VOL-OK",Y138="VOL-NORMAL",W138="2ND"),"OK","NG"))</f>
        <v/>
      </c>
      <c r="AA138" s="14">
        <f>IF(OR(D138="",M138&lt;=0),"",IF(AND(E138&gt;I138,F138&gt;J138),"UP",IF(AND(E138&lt;I138,F138&lt;J138),"DOWN","FLAT")))</f>
        <v/>
      </c>
    </row>
    <row r="139" ht="26" customHeight="1" s="1">
      <c r="A139" s="8">
        <f>IF(B139="","",ROW()-2)</f>
        <v/>
      </c>
      <c r="B139" s="9">
        <f>IF('StockList_MS2'!A138="","",HYPERLINK("https://kabutan.jp/stock/?code="&amp;'StockList_MS2'!A138,'StockList_MS2'!A138))</f>
        <v/>
      </c>
      <c r="C139" s="10">
        <f>IF('StockList_MS2'!A138="","",'StockList_MS2'!B138)</f>
        <v/>
      </c>
      <c r="D139" s="11" t="n"/>
      <c r="E139" s="11" t="n"/>
      <c r="F139" s="11" t="n"/>
      <c r="G139" s="11" t="n"/>
      <c r="H139" s="12" t="n"/>
      <c r="I139" s="11" t="n"/>
      <c r="J139" s="11" t="n"/>
      <c r="K139" s="11" t="n"/>
      <c r="L139" s="8">
        <f>IF(D139="","",IF(D139&gt;K139,"BUY-DAY","SELL-DAY"))</f>
        <v/>
      </c>
      <c r="M139" s="13">
        <f>IF(D139="","",MAX(E139-F139,ABS(E139-K139),ABS(F139-K139)))</f>
        <v/>
      </c>
      <c r="N139" s="8">
        <f>IF(D139="","",IF(AND(H139&gt;0,H139&gt;(H139/3)*2.5),"VOL-OK","VOL-NG"))</f>
        <v/>
      </c>
      <c r="O139" s="8">
        <f>IF(D139="","",IF(D139&gt;I139,"ON","OFF"))</f>
        <v/>
      </c>
      <c r="P139" s="8">
        <f>IF(D139="","",IF(D139&lt;J139,"ON","OFF"))</f>
        <v/>
      </c>
      <c r="Q139" s="8">
        <f>IF(OR(D139="",M139&lt;=0),"",IF(AND(L139="BUY-DAY",N139="VOL-OK",P139="ON",Z139="OK",AA139&lt;&gt;"DOWN"),"BUY",IF(AND(L139="SELL-DAY",N139="VOL-OK",O139="ON",Z139="OK",AA139&lt;&gt;"UP"),"SELL","")))</f>
        <v/>
      </c>
      <c r="R139" s="13">
        <f>IF(Q139="","",D139)</f>
        <v/>
      </c>
      <c r="S139" s="13">
        <f>IF(Q139="","",IF(Q139="BUY",D139-M139*1.5,D139+M139*1.5))</f>
        <v/>
      </c>
      <c r="T139" s="13">
        <f>IF(Q139="","",IF(Q139="BUY",D139+M139*1.5,D139-M139*1.5))</f>
        <v/>
      </c>
      <c r="U139" s="13">
        <f>IF(Q139="","",IF(Q139="BUY",D139+M139*2,D139-M139*2))</f>
        <v/>
      </c>
      <c r="V139" s="13">
        <f>IF(Q139="","",IF(Q139="BUY",D139+M139*3,D139-M139*3))</f>
        <v/>
      </c>
      <c r="W139" s="8">
        <f>IF(OR(D139="",M139&lt;=0),"",IF(AND(D139&gt;G139,ABS(D139-G139)&lt;M139*0.5),"2ND","1ST"))</f>
        <v/>
      </c>
      <c r="X139" s="8">
        <f>IF(OR(D139="",M139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39" s="8">
        <f>IF(OR(D139="",M139&lt;=0),"",IF(M139&gt;D139*0.05,"VOL-HIGH","VOL-NORMAL"))</f>
        <v/>
      </c>
      <c r="Z139" s="8">
        <f>IF(OR(D139="",M139&lt;=0),"",IF(AND(N139="VOL-OK",Y139="VOL-NORMAL",W139="2ND"),"OK","NG"))</f>
        <v/>
      </c>
      <c r="AA139" s="8">
        <f>IF(OR(D139="",M139&lt;=0),"",IF(AND(E139&gt;I139,F139&gt;J139),"UP",IF(AND(E139&lt;I139,F139&lt;J139),"DOWN","FLAT")))</f>
        <v/>
      </c>
    </row>
    <row r="140" ht="26" customHeight="1" s="1">
      <c r="A140" s="14">
        <f>IF(B140="","",ROW()-2)</f>
        <v/>
      </c>
      <c r="B140" s="15">
        <f>IF('StockList_MS2'!A139="","",HYPERLINK("https://kabutan.jp/stock/?code="&amp;'StockList_MS2'!A139,'StockList_MS2'!A139))</f>
        <v/>
      </c>
      <c r="C140" s="16">
        <f>IF('StockList_MS2'!A139="","",'StockList_MS2'!B139)</f>
        <v/>
      </c>
      <c r="D140" s="17" t="n"/>
      <c r="E140" s="17" t="n"/>
      <c r="F140" s="17" t="n"/>
      <c r="G140" s="17" t="n"/>
      <c r="H140" s="18" t="n"/>
      <c r="I140" s="17" t="n"/>
      <c r="J140" s="17" t="n"/>
      <c r="K140" s="17" t="n"/>
      <c r="L140" s="14">
        <f>IF(D140="","",IF(D140&gt;K140,"BUY-DAY","SELL-DAY"))</f>
        <v/>
      </c>
      <c r="M140" s="19">
        <f>IF(D140="","",MAX(E140-F140,ABS(E140-K140),ABS(F140-K140)))</f>
        <v/>
      </c>
      <c r="N140" s="14">
        <f>IF(D140="","",IF(AND(H140&gt;0,H140&gt;(H140/3)*2.5),"VOL-OK","VOL-NG"))</f>
        <v/>
      </c>
      <c r="O140" s="14">
        <f>IF(D140="","",IF(D140&gt;I140,"ON","OFF"))</f>
        <v/>
      </c>
      <c r="P140" s="14">
        <f>IF(D140="","",IF(D140&lt;J140,"ON","OFF"))</f>
        <v/>
      </c>
      <c r="Q140" s="14">
        <f>IF(OR(D140="",M140&lt;=0),"",IF(AND(L140="BUY-DAY",N140="VOL-OK",P140="ON",Z140="OK",AA140&lt;&gt;"DOWN"),"BUY",IF(AND(L140="SELL-DAY",N140="VOL-OK",O140="ON",Z140="OK",AA140&lt;&gt;"UP"),"SELL","")))</f>
        <v/>
      </c>
      <c r="R140" s="19">
        <f>IF(Q140="","",D140)</f>
        <v/>
      </c>
      <c r="S140" s="19">
        <f>IF(Q140="","",IF(Q140="BUY",D140-M140*1.5,D140+M140*1.5))</f>
        <v/>
      </c>
      <c r="T140" s="19">
        <f>IF(Q140="","",IF(Q140="BUY",D140+M140*1.5,D140-M140*1.5))</f>
        <v/>
      </c>
      <c r="U140" s="19">
        <f>IF(Q140="","",IF(Q140="BUY",D140+M140*2,D140-M140*2))</f>
        <v/>
      </c>
      <c r="V140" s="19">
        <f>IF(Q140="","",IF(Q140="BUY",D140+M140*3,D140-M140*3))</f>
        <v/>
      </c>
      <c r="W140" s="14">
        <f>IF(OR(D140="",M140&lt;=0),"",IF(AND(D140&gt;G140,ABS(D140-G140)&lt;M140*0.5),"2ND","1ST"))</f>
        <v/>
      </c>
      <c r="X140" s="14">
        <f>IF(OR(D140="",M140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0" s="14">
        <f>IF(OR(D140="",M140&lt;=0),"",IF(M140&gt;D140*0.05,"VOL-HIGH","VOL-NORMAL"))</f>
        <v/>
      </c>
      <c r="Z140" s="14">
        <f>IF(OR(D140="",M140&lt;=0),"",IF(AND(N140="VOL-OK",Y140="VOL-NORMAL",W140="2ND"),"OK","NG"))</f>
        <v/>
      </c>
      <c r="AA140" s="14">
        <f>IF(OR(D140="",M140&lt;=0),"",IF(AND(E140&gt;I140,F140&gt;J140),"UP",IF(AND(E140&lt;I140,F140&lt;J140),"DOWN","FLAT")))</f>
        <v/>
      </c>
    </row>
    <row r="141" ht="26" customHeight="1" s="1">
      <c r="A141" s="8">
        <f>IF(B141="","",ROW()-2)</f>
        <v/>
      </c>
      <c r="B141" s="9">
        <f>IF('StockList_MS2'!A140="","",HYPERLINK("https://kabutan.jp/stock/?code="&amp;'StockList_MS2'!A140,'StockList_MS2'!A140))</f>
        <v/>
      </c>
      <c r="C141" s="10">
        <f>IF('StockList_MS2'!A140="","",'StockList_MS2'!B140)</f>
        <v/>
      </c>
      <c r="D141" s="11" t="n"/>
      <c r="E141" s="11" t="n"/>
      <c r="F141" s="11" t="n"/>
      <c r="G141" s="11" t="n"/>
      <c r="H141" s="12" t="n"/>
      <c r="I141" s="11" t="n"/>
      <c r="J141" s="11" t="n"/>
      <c r="K141" s="11" t="n"/>
      <c r="L141" s="8">
        <f>IF(D141="","",IF(D141&gt;K141,"BUY-DAY","SELL-DAY"))</f>
        <v/>
      </c>
      <c r="M141" s="13">
        <f>IF(D141="","",MAX(E141-F141,ABS(E141-K141),ABS(F141-K141)))</f>
        <v/>
      </c>
      <c r="N141" s="8">
        <f>IF(D141="","",IF(AND(H141&gt;0,H141&gt;(H141/3)*2.5),"VOL-OK","VOL-NG"))</f>
        <v/>
      </c>
      <c r="O141" s="8">
        <f>IF(D141="","",IF(D141&gt;I141,"ON","OFF"))</f>
        <v/>
      </c>
      <c r="P141" s="8">
        <f>IF(D141="","",IF(D141&lt;J141,"ON","OFF"))</f>
        <v/>
      </c>
      <c r="Q141" s="8">
        <f>IF(OR(D141="",M141&lt;=0),"",IF(AND(L141="BUY-DAY",N141="VOL-OK",P141="ON",Z141="OK",AA141&lt;&gt;"DOWN"),"BUY",IF(AND(L141="SELL-DAY",N141="VOL-OK",O141="ON",Z141="OK",AA141&lt;&gt;"UP"),"SELL","")))</f>
        <v/>
      </c>
      <c r="R141" s="13">
        <f>IF(Q141="","",D141)</f>
        <v/>
      </c>
      <c r="S141" s="13">
        <f>IF(Q141="","",IF(Q141="BUY",D141-M141*1.5,D141+M141*1.5))</f>
        <v/>
      </c>
      <c r="T141" s="13">
        <f>IF(Q141="","",IF(Q141="BUY",D141+M141*1.5,D141-M141*1.5))</f>
        <v/>
      </c>
      <c r="U141" s="13">
        <f>IF(Q141="","",IF(Q141="BUY",D141+M141*2,D141-M141*2))</f>
        <v/>
      </c>
      <c r="V141" s="13">
        <f>IF(Q141="","",IF(Q141="BUY",D141+M141*3,D141-M141*3))</f>
        <v/>
      </c>
      <c r="W141" s="8">
        <f>IF(OR(D141="",M141&lt;=0),"",IF(AND(D141&gt;G141,ABS(D141-G141)&lt;M141*0.5),"2ND","1ST"))</f>
        <v/>
      </c>
      <c r="X141" s="8">
        <f>IF(OR(D141="",M141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1" s="8">
        <f>IF(OR(D141="",M141&lt;=0),"",IF(M141&gt;D141*0.05,"VOL-HIGH","VOL-NORMAL"))</f>
        <v/>
      </c>
      <c r="Z141" s="8">
        <f>IF(OR(D141="",M141&lt;=0),"",IF(AND(N141="VOL-OK",Y141="VOL-NORMAL",W141="2ND"),"OK","NG"))</f>
        <v/>
      </c>
      <c r="AA141" s="8">
        <f>IF(OR(D141="",M141&lt;=0),"",IF(AND(E141&gt;I141,F141&gt;J141),"UP",IF(AND(E141&lt;I141,F141&lt;J141),"DOWN","FLAT")))</f>
        <v/>
      </c>
    </row>
    <row r="142" ht="26" customHeight="1" s="1">
      <c r="A142" s="14">
        <f>IF(B142="","",ROW()-2)</f>
        <v/>
      </c>
      <c r="B142" s="15">
        <f>IF('StockList_MS2'!A141="","",HYPERLINK("https://kabutan.jp/stock/?code="&amp;'StockList_MS2'!A141,'StockList_MS2'!A141))</f>
        <v/>
      </c>
      <c r="C142" s="16">
        <f>IF('StockList_MS2'!A141="","",'StockList_MS2'!B141)</f>
        <v/>
      </c>
      <c r="D142" s="17" t="n"/>
      <c r="E142" s="17" t="n"/>
      <c r="F142" s="17" t="n"/>
      <c r="G142" s="17" t="n"/>
      <c r="H142" s="18" t="n"/>
      <c r="I142" s="17" t="n"/>
      <c r="J142" s="17" t="n"/>
      <c r="K142" s="17" t="n"/>
      <c r="L142" s="14">
        <f>IF(D142="","",IF(D142&gt;K142,"BUY-DAY","SELL-DAY"))</f>
        <v/>
      </c>
      <c r="M142" s="19">
        <f>IF(D142="","",MAX(E142-F142,ABS(E142-K142),ABS(F142-K142)))</f>
        <v/>
      </c>
      <c r="N142" s="14">
        <f>IF(D142="","",IF(AND(H142&gt;0,H142&gt;(H142/3)*2.5),"VOL-OK","VOL-NG"))</f>
        <v/>
      </c>
      <c r="O142" s="14">
        <f>IF(D142="","",IF(D142&gt;I142,"ON","OFF"))</f>
        <v/>
      </c>
      <c r="P142" s="14">
        <f>IF(D142="","",IF(D142&lt;J142,"ON","OFF"))</f>
        <v/>
      </c>
      <c r="Q142" s="14">
        <f>IF(OR(D142="",M142&lt;=0),"",IF(AND(L142="BUY-DAY",N142="VOL-OK",P142="ON",Z142="OK",AA142&lt;&gt;"DOWN"),"BUY",IF(AND(L142="SELL-DAY",N142="VOL-OK",O142="ON",Z142="OK",AA142&lt;&gt;"UP"),"SELL","")))</f>
        <v/>
      </c>
      <c r="R142" s="19">
        <f>IF(Q142="","",D142)</f>
        <v/>
      </c>
      <c r="S142" s="19">
        <f>IF(Q142="","",IF(Q142="BUY",D142-M142*1.5,D142+M142*1.5))</f>
        <v/>
      </c>
      <c r="T142" s="19">
        <f>IF(Q142="","",IF(Q142="BUY",D142+M142*1.5,D142-M142*1.5))</f>
        <v/>
      </c>
      <c r="U142" s="19">
        <f>IF(Q142="","",IF(Q142="BUY",D142+M142*2,D142-M142*2))</f>
        <v/>
      </c>
      <c r="V142" s="19">
        <f>IF(Q142="","",IF(Q142="BUY",D142+M142*3,D142-M142*3))</f>
        <v/>
      </c>
      <c r="W142" s="14">
        <f>IF(OR(D142="",M142&lt;=0),"",IF(AND(D142&gt;G142,ABS(D142-G142)&lt;M142*0.5),"2ND","1ST"))</f>
        <v/>
      </c>
      <c r="X142" s="14">
        <f>IF(OR(D142="",M142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2" s="14">
        <f>IF(OR(D142="",M142&lt;=0),"",IF(M142&gt;D142*0.05,"VOL-HIGH","VOL-NORMAL"))</f>
        <v/>
      </c>
      <c r="Z142" s="14">
        <f>IF(OR(D142="",M142&lt;=0),"",IF(AND(N142="VOL-OK",Y142="VOL-NORMAL",W142="2ND"),"OK","NG"))</f>
        <v/>
      </c>
      <c r="AA142" s="14">
        <f>IF(OR(D142="",M142&lt;=0),"",IF(AND(E142&gt;I142,F142&gt;J142),"UP",IF(AND(E142&lt;I142,F142&lt;J142),"DOWN","FLAT")))</f>
        <v/>
      </c>
    </row>
    <row r="143" ht="26" customHeight="1" s="1">
      <c r="A143" s="8">
        <f>IF(B143="","",ROW()-2)</f>
        <v/>
      </c>
      <c r="B143" s="9">
        <f>IF('StockList_MS2'!A142="","",HYPERLINK("https://kabutan.jp/stock/?code="&amp;'StockList_MS2'!A142,'StockList_MS2'!A142))</f>
        <v/>
      </c>
      <c r="C143" s="10">
        <f>IF('StockList_MS2'!A142="","",'StockList_MS2'!B142)</f>
        <v/>
      </c>
      <c r="D143" s="11" t="n"/>
      <c r="E143" s="11" t="n"/>
      <c r="F143" s="11" t="n"/>
      <c r="G143" s="11" t="n"/>
      <c r="H143" s="12" t="n"/>
      <c r="I143" s="11" t="n"/>
      <c r="J143" s="11" t="n"/>
      <c r="K143" s="11" t="n"/>
      <c r="L143" s="8">
        <f>IF(D143="","",IF(D143&gt;K143,"BUY-DAY","SELL-DAY"))</f>
        <v/>
      </c>
      <c r="M143" s="13">
        <f>IF(D143="","",MAX(E143-F143,ABS(E143-K143),ABS(F143-K143)))</f>
        <v/>
      </c>
      <c r="N143" s="8">
        <f>IF(D143="","",IF(AND(H143&gt;0,H143&gt;(H143/3)*2.5),"VOL-OK","VOL-NG"))</f>
        <v/>
      </c>
      <c r="O143" s="8">
        <f>IF(D143="","",IF(D143&gt;I143,"ON","OFF"))</f>
        <v/>
      </c>
      <c r="P143" s="8">
        <f>IF(D143="","",IF(D143&lt;J143,"ON","OFF"))</f>
        <v/>
      </c>
      <c r="Q143" s="8">
        <f>IF(OR(D143="",M143&lt;=0),"",IF(AND(L143="BUY-DAY",N143="VOL-OK",P143="ON",Z143="OK",AA143&lt;&gt;"DOWN"),"BUY",IF(AND(L143="SELL-DAY",N143="VOL-OK",O143="ON",Z143="OK",AA143&lt;&gt;"UP"),"SELL","")))</f>
        <v/>
      </c>
      <c r="R143" s="13">
        <f>IF(Q143="","",D143)</f>
        <v/>
      </c>
      <c r="S143" s="13">
        <f>IF(Q143="","",IF(Q143="BUY",D143-M143*1.5,D143+M143*1.5))</f>
        <v/>
      </c>
      <c r="T143" s="13">
        <f>IF(Q143="","",IF(Q143="BUY",D143+M143*1.5,D143-M143*1.5))</f>
        <v/>
      </c>
      <c r="U143" s="13">
        <f>IF(Q143="","",IF(Q143="BUY",D143+M143*2,D143-M143*2))</f>
        <v/>
      </c>
      <c r="V143" s="13">
        <f>IF(Q143="","",IF(Q143="BUY",D143+M143*3,D143-M143*3))</f>
        <v/>
      </c>
      <c r="W143" s="8">
        <f>IF(OR(D143="",M143&lt;=0),"",IF(AND(D143&gt;G143,ABS(D143-G143)&lt;M143*0.5),"2ND","1ST"))</f>
        <v/>
      </c>
      <c r="X143" s="8">
        <f>IF(OR(D143="",M143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3" s="8">
        <f>IF(OR(D143="",M143&lt;=0),"",IF(M143&gt;D143*0.05,"VOL-HIGH","VOL-NORMAL"))</f>
        <v/>
      </c>
      <c r="Z143" s="8">
        <f>IF(OR(D143="",M143&lt;=0),"",IF(AND(N143="VOL-OK",Y143="VOL-NORMAL",W143="2ND"),"OK","NG"))</f>
        <v/>
      </c>
      <c r="AA143" s="8">
        <f>IF(OR(D143="",M143&lt;=0),"",IF(AND(E143&gt;I143,F143&gt;J143),"UP",IF(AND(E143&lt;I143,F143&lt;J143),"DOWN","FLAT")))</f>
        <v/>
      </c>
    </row>
    <row r="144" ht="26" customHeight="1" s="1">
      <c r="A144" s="14">
        <f>IF(B144="","",ROW()-2)</f>
        <v/>
      </c>
      <c r="B144" s="15">
        <f>IF('StockList_MS2'!A143="","",HYPERLINK("https://kabutan.jp/stock/?code="&amp;'StockList_MS2'!A143,'StockList_MS2'!A143))</f>
        <v/>
      </c>
      <c r="C144" s="16">
        <f>IF('StockList_MS2'!A143="","",'StockList_MS2'!B143)</f>
        <v/>
      </c>
      <c r="D144" s="17" t="n"/>
      <c r="E144" s="17" t="n"/>
      <c r="F144" s="17" t="n"/>
      <c r="G144" s="17" t="n"/>
      <c r="H144" s="18" t="n"/>
      <c r="I144" s="17" t="n"/>
      <c r="J144" s="17" t="n"/>
      <c r="K144" s="17" t="n"/>
      <c r="L144" s="14">
        <f>IF(D144="","",IF(D144&gt;K144,"BUY-DAY","SELL-DAY"))</f>
        <v/>
      </c>
      <c r="M144" s="19">
        <f>IF(D144="","",MAX(E144-F144,ABS(E144-K144),ABS(F144-K144)))</f>
        <v/>
      </c>
      <c r="N144" s="14">
        <f>IF(D144="","",IF(AND(H144&gt;0,H144&gt;(H144/3)*2.5),"VOL-OK","VOL-NG"))</f>
        <v/>
      </c>
      <c r="O144" s="14">
        <f>IF(D144="","",IF(D144&gt;I144,"ON","OFF"))</f>
        <v/>
      </c>
      <c r="P144" s="14">
        <f>IF(D144="","",IF(D144&lt;J144,"ON","OFF"))</f>
        <v/>
      </c>
      <c r="Q144" s="14">
        <f>IF(OR(D144="",M144&lt;=0),"",IF(AND(L144="BUY-DAY",N144="VOL-OK",P144="ON",Z144="OK",AA144&lt;&gt;"DOWN"),"BUY",IF(AND(L144="SELL-DAY",N144="VOL-OK",O144="ON",Z144="OK",AA144&lt;&gt;"UP"),"SELL","")))</f>
        <v/>
      </c>
      <c r="R144" s="19">
        <f>IF(Q144="","",D144)</f>
        <v/>
      </c>
      <c r="S144" s="19">
        <f>IF(Q144="","",IF(Q144="BUY",D144-M144*1.5,D144+M144*1.5))</f>
        <v/>
      </c>
      <c r="T144" s="19">
        <f>IF(Q144="","",IF(Q144="BUY",D144+M144*1.5,D144-M144*1.5))</f>
        <v/>
      </c>
      <c r="U144" s="19">
        <f>IF(Q144="","",IF(Q144="BUY",D144+M144*2,D144-M144*2))</f>
        <v/>
      </c>
      <c r="V144" s="19">
        <f>IF(Q144="","",IF(Q144="BUY",D144+M144*3,D144-M144*3))</f>
        <v/>
      </c>
      <c r="W144" s="14">
        <f>IF(OR(D144="",M144&lt;=0),"",IF(AND(D144&gt;G144,ABS(D144-G144)&lt;M144*0.5),"2ND","1ST"))</f>
        <v/>
      </c>
      <c r="X144" s="14">
        <f>IF(OR(D144="",M144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4" s="14">
        <f>IF(OR(D144="",M144&lt;=0),"",IF(M144&gt;D144*0.05,"VOL-HIGH","VOL-NORMAL"))</f>
        <v/>
      </c>
      <c r="Z144" s="14">
        <f>IF(OR(D144="",M144&lt;=0),"",IF(AND(N144="VOL-OK",Y144="VOL-NORMAL",W144="2ND"),"OK","NG"))</f>
        <v/>
      </c>
      <c r="AA144" s="14">
        <f>IF(OR(D144="",M144&lt;=0),"",IF(AND(E144&gt;I144,F144&gt;J144),"UP",IF(AND(E144&lt;I144,F144&lt;J144),"DOWN","FLAT")))</f>
        <v/>
      </c>
    </row>
    <row r="145" ht="26" customHeight="1" s="1">
      <c r="A145" s="8">
        <f>IF(B145="","",ROW()-2)</f>
        <v/>
      </c>
      <c r="B145" s="9">
        <f>IF('StockList_MS2'!A144="","",HYPERLINK("https://kabutan.jp/stock/?code="&amp;'StockList_MS2'!A144,'StockList_MS2'!A144))</f>
        <v/>
      </c>
      <c r="C145" s="10">
        <f>IF('StockList_MS2'!A144="","",'StockList_MS2'!B144)</f>
        <v/>
      </c>
      <c r="D145" s="11" t="n"/>
      <c r="E145" s="11" t="n"/>
      <c r="F145" s="11" t="n"/>
      <c r="G145" s="11" t="n"/>
      <c r="H145" s="12" t="n"/>
      <c r="I145" s="11" t="n"/>
      <c r="J145" s="11" t="n"/>
      <c r="K145" s="11" t="n"/>
      <c r="L145" s="8">
        <f>IF(D145="","",IF(D145&gt;K145,"BUY-DAY","SELL-DAY"))</f>
        <v/>
      </c>
      <c r="M145" s="13">
        <f>IF(D145="","",MAX(E145-F145,ABS(E145-K145),ABS(F145-K145)))</f>
        <v/>
      </c>
      <c r="N145" s="8">
        <f>IF(D145="","",IF(AND(H145&gt;0,H145&gt;(H145/3)*2.5),"VOL-OK","VOL-NG"))</f>
        <v/>
      </c>
      <c r="O145" s="8">
        <f>IF(D145="","",IF(D145&gt;I145,"ON","OFF"))</f>
        <v/>
      </c>
      <c r="P145" s="8">
        <f>IF(D145="","",IF(D145&lt;J145,"ON","OFF"))</f>
        <v/>
      </c>
      <c r="Q145" s="8">
        <f>IF(OR(D145="",M145&lt;=0),"",IF(AND(L145="BUY-DAY",N145="VOL-OK",P145="ON",Z145="OK",AA145&lt;&gt;"DOWN"),"BUY",IF(AND(L145="SELL-DAY",N145="VOL-OK",O145="ON",Z145="OK",AA145&lt;&gt;"UP"),"SELL","")))</f>
        <v/>
      </c>
      <c r="R145" s="13">
        <f>IF(Q145="","",D145)</f>
        <v/>
      </c>
      <c r="S145" s="13">
        <f>IF(Q145="","",IF(Q145="BUY",D145-M145*1.5,D145+M145*1.5))</f>
        <v/>
      </c>
      <c r="T145" s="13">
        <f>IF(Q145="","",IF(Q145="BUY",D145+M145*1.5,D145-M145*1.5))</f>
        <v/>
      </c>
      <c r="U145" s="13">
        <f>IF(Q145="","",IF(Q145="BUY",D145+M145*2,D145-M145*2))</f>
        <v/>
      </c>
      <c r="V145" s="13">
        <f>IF(Q145="","",IF(Q145="BUY",D145+M145*3,D145-M145*3))</f>
        <v/>
      </c>
      <c r="W145" s="8">
        <f>IF(OR(D145="",M145&lt;=0),"",IF(AND(D145&gt;G145,ABS(D145-G145)&lt;M145*0.5),"2ND","1ST"))</f>
        <v/>
      </c>
      <c r="X145" s="8">
        <f>IF(OR(D145="",M145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5" s="8">
        <f>IF(OR(D145="",M145&lt;=0),"",IF(M145&gt;D145*0.05,"VOL-HIGH","VOL-NORMAL"))</f>
        <v/>
      </c>
      <c r="Z145" s="8">
        <f>IF(OR(D145="",M145&lt;=0),"",IF(AND(N145="VOL-OK",Y145="VOL-NORMAL",W145="2ND"),"OK","NG"))</f>
        <v/>
      </c>
      <c r="AA145" s="8">
        <f>IF(OR(D145="",M145&lt;=0),"",IF(AND(E145&gt;I145,F145&gt;J145),"UP",IF(AND(E145&lt;I145,F145&lt;J145),"DOWN","FLAT")))</f>
        <v/>
      </c>
    </row>
    <row r="146" ht="26" customHeight="1" s="1">
      <c r="A146" s="14">
        <f>IF(B146="","",ROW()-2)</f>
        <v/>
      </c>
      <c r="B146" s="15">
        <f>IF('StockList_MS2'!A145="","",HYPERLINK("https://kabutan.jp/stock/?code="&amp;'StockList_MS2'!A145,'StockList_MS2'!A145))</f>
        <v/>
      </c>
      <c r="C146" s="16">
        <f>IF('StockList_MS2'!A145="","",'StockList_MS2'!B145)</f>
        <v/>
      </c>
      <c r="D146" s="17" t="n"/>
      <c r="E146" s="17" t="n"/>
      <c r="F146" s="17" t="n"/>
      <c r="G146" s="17" t="n"/>
      <c r="H146" s="18" t="n"/>
      <c r="I146" s="17" t="n"/>
      <c r="J146" s="17" t="n"/>
      <c r="K146" s="17" t="n"/>
      <c r="L146" s="14">
        <f>IF(D146="","",IF(D146&gt;K146,"BUY-DAY","SELL-DAY"))</f>
        <v/>
      </c>
      <c r="M146" s="19">
        <f>IF(D146="","",MAX(E146-F146,ABS(E146-K146),ABS(F146-K146)))</f>
        <v/>
      </c>
      <c r="N146" s="14">
        <f>IF(D146="","",IF(AND(H146&gt;0,H146&gt;(H146/3)*2.5),"VOL-OK","VOL-NG"))</f>
        <v/>
      </c>
      <c r="O146" s="14">
        <f>IF(D146="","",IF(D146&gt;I146,"ON","OFF"))</f>
        <v/>
      </c>
      <c r="P146" s="14">
        <f>IF(D146="","",IF(D146&lt;J146,"ON","OFF"))</f>
        <v/>
      </c>
      <c r="Q146" s="14">
        <f>IF(OR(D146="",M146&lt;=0),"",IF(AND(L146="BUY-DAY",N146="VOL-OK",P146="ON",Z146="OK",AA146&lt;&gt;"DOWN"),"BUY",IF(AND(L146="SELL-DAY",N146="VOL-OK",O146="ON",Z146="OK",AA146&lt;&gt;"UP"),"SELL","")))</f>
        <v/>
      </c>
      <c r="R146" s="19">
        <f>IF(Q146="","",D146)</f>
        <v/>
      </c>
      <c r="S146" s="19">
        <f>IF(Q146="","",IF(Q146="BUY",D146-M146*1.5,D146+M146*1.5))</f>
        <v/>
      </c>
      <c r="T146" s="19">
        <f>IF(Q146="","",IF(Q146="BUY",D146+M146*1.5,D146-M146*1.5))</f>
        <v/>
      </c>
      <c r="U146" s="19">
        <f>IF(Q146="","",IF(Q146="BUY",D146+M146*2,D146-M146*2))</f>
        <v/>
      </c>
      <c r="V146" s="19">
        <f>IF(Q146="","",IF(Q146="BUY",D146+M146*3,D146-M146*3))</f>
        <v/>
      </c>
      <c r="W146" s="14">
        <f>IF(OR(D146="",M146&lt;=0),"",IF(AND(D146&gt;G146,ABS(D146-G146)&lt;M146*0.5),"2ND","1ST"))</f>
        <v/>
      </c>
      <c r="X146" s="14">
        <f>IF(OR(D146="",M146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6" s="14">
        <f>IF(OR(D146="",M146&lt;=0),"",IF(M146&gt;D146*0.05,"VOL-HIGH","VOL-NORMAL"))</f>
        <v/>
      </c>
      <c r="Z146" s="14">
        <f>IF(OR(D146="",M146&lt;=0),"",IF(AND(N146="VOL-OK",Y146="VOL-NORMAL",W146="2ND"),"OK","NG"))</f>
        <v/>
      </c>
      <c r="AA146" s="14">
        <f>IF(OR(D146="",M146&lt;=0),"",IF(AND(E146&gt;I146,F146&gt;J146),"UP",IF(AND(E146&lt;I146,F146&lt;J146),"DOWN","FLAT")))</f>
        <v/>
      </c>
    </row>
    <row r="147" ht="26" customHeight="1" s="1">
      <c r="A147" s="8">
        <f>IF(B147="","",ROW()-2)</f>
        <v/>
      </c>
      <c r="B147" s="9">
        <f>IF('StockList_MS2'!A146="","",HYPERLINK("https://kabutan.jp/stock/?code="&amp;'StockList_MS2'!A146,'StockList_MS2'!A146))</f>
        <v/>
      </c>
      <c r="C147" s="10">
        <f>IF('StockList_MS2'!A146="","",'StockList_MS2'!B146)</f>
        <v/>
      </c>
      <c r="D147" s="11" t="n"/>
      <c r="E147" s="11" t="n"/>
      <c r="F147" s="11" t="n"/>
      <c r="G147" s="11" t="n"/>
      <c r="H147" s="12" t="n"/>
      <c r="I147" s="11" t="n"/>
      <c r="J147" s="11" t="n"/>
      <c r="K147" s="11" t="n"/>
      <c r="L147" s="8">
        <f>IF(D147="","",IF(D147&gt;K147,"BUY-DAY","SELL-DAY"))</f>
        <v/>
      </c>
      <c r="M147" s="13">
        <f>IF(D147="","",MAX(E147-F147,ABS(E147-K147),ABS(F147-K147)))</f>
        <v/>
      </c>
      <c r="N147" s="8">
        <f>IF(D147="","",IF(AND(H147&gt;0,H147&gt;(H147/3)*2.5),"VOL-OK","VOL-NG"))</f>
        <v/>
      </c>
      <c r="O147" s="8">
        <f>IF(D147="","",IF(D147&gt;I147,"ON","OFF"))</f>
        <v/>
      </c>
      <c r="P147" s="8">
        <f>IF(D147="","",IF(D147&lt;J147,"ON","OFF"))</f>
        <v/>
      </c>
      <c r="Q147" s="8">
        <f>IF(OR(D147="",M147&lt;=0),"",IF(AND(L147="BUY-DAY",N147="VOL-OK",P147="ON",Z147="OK",AA147&lt;&gt;"DOWN"),"BUY",IF(AND(L147="SELL-DAY",N147="VOL-OK",O147="ON",Z147="OK",AA147&lt;&gt;"UP"),"SELL","")))</f>
        <v/>
      </c>
      <c r="R147" s="13">
        <f>IF(Q147="","",D147)</f>
        <v/>
      </c>
      <c r="S147" s="13">
        <f>IF(Q147="","",IF(Q147="BUY",D147-M147*1.5,D147+M147*1.5))</f>
        <v/>
      </c>
      <c r="T147" s="13">
        <f>IF(Q147="","",IF(Q147="BUY",D147+M147*1.5,D147-M147*1.5))</f>
        <v/>
      </c>
      <c r="U147" s="13">
        <f>IF(Q147="","",IF(Q147="BUY",D147+M147*2,D147-M147*2))</f>
        <v/>
      </c>
      <c r="V147" s="13">
        <f>IF(Q147="","",IF(Q147="BUY",D147+M147*3,D147-M147*3))</f>
        <v/>
      </c>
      <c r="W147" s="8">
        <f>IF(OR(D147="",M147&lt;=0),"",IF(AND(D147&gt;G147,ABS(D147-G147)&lt;M147*0.5),"2ND","1ST"))</f>
        <v/>
      </c>
      <c r="X147" s="8">
        <f>IF(OR(D147="",M147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7" s="8">
        <f>IF(OR(D147="",M147&lt;=0),"",IF(M147&gt;D147*0.05,"VOL-HIGH","VOL-NORMAL"))</f>
        <v/>
      </c>
      <c r="Z147" s="8">
        <f>IF(OR(D147="",M147&lt;=0),"",IF(AND(N147="VOL-OK",Y147="VOL-NORMAL",W147="2ND"),"OK","NG"))</f>
        <v/>
      </c>
      <c r="AA147" s="8">
        <f>IF(OR(D147="",M147&lt;=0),"",IF(AND(E147&gt;I147,F147&gt;J147),"UP",IF(AND(E147&lt;I147,F147&lt;J147),"DOWN","FLAT")))</f>
        <v/>
      </c>
    </row>
    <row r="148" ht="26" customHeight="1" s="1">
      <c r="A148" s="14">
        <f>IF(B148="","",ROW()-2)</f>
        <v/>
      </c>
      <c r="B148" s="15">
        <f>IF('StockList_MS2'!A147="","",HYPERLINK("https://kabutan.jp/stock/?code="&amp;'StockList_MS2'!A147,'StockList_MS2'!A147))</f>
        <v/>
      </c>
      <c r="C148" s="16">
        <f>IF('StockList_MS2'!A147="","",'StockList_MS2'!B147)</f>
        <v/>
      </c>
      <c r="D148" s="17" t="n"/>
      <c r="E148" s="17" t="n"/>
      <c r="F148" s="17" t="n"/>
      <c r="G148" s="17" t="n"/>
      <c r="H148" s="18" t="n"/>
      <c r="I148" s="17" t="n"/>
      <c r="J148" s="17" t="n"/>
      <c r="K148" s="17" t="n"/>
      <c r="L148" s="14">
        <f>IF(D148="","",IF(D148&gt;K148,"BUY-DAY","SELL-DAY"))</f>
        <v/>
      </c>
      <c r="M148" s="19">
        <f>IF(D148="","",MAX(E148-F148,ABS(E148-K148),ABS(F148-K148)))</f>
        <v/>
      </c>
      <c r="N148" s="14">
        <f>IF(D148="","",IF(AND(H148&gt;0,H148&gt;(H148/3)*2.5),"VOL-OK","VOL-NG"))</f>
        <v/>
      </c>
      <c r="O148" s="14">
        <f>IF(D148="","",IF(D148&gt;I148,"ON","OFF"))</f>
        <v/>
      </c>
      <c r="P148" s="14">
        <f>IF(D148="","",IF(D148&lt;J148,"ON","OFF"))</f>
        <v/>
      </c>
      <c r="Q148" s="14">
        <f>IF(OR(D148="",M148&lt;=0),"",IF(AND(L148="BUY-DAY",N148="VOL-OK",P148="ON",Z148="OK",AA148&lt;&gt;"DOWN"),"BUY",IF(AND(L148="SELL-DAY",N148="VOL-OK",O148="ON",Z148="OK",AA148&lt;&gt;"UP"),"SELL","")))</f>
        <v/>
      </c>
      <c r="R148" s="19">
        <f>IF(Q148="","",D148)</f>
        <v/>
      </c>
      <c r="S148" s="19">
        <f>IF(Q148="","",IF(Q148="BUY",D148-M148*1.5,D148+M148*1.5))</f>
        <v/>
      </c>
      <c r="T148" s="19">
        <f>IF(Q148="","",IF(Q148="BUY",D148+M148*1.5,D148-M148*1.5))</f>
        <v/>
      </c>
      <c r="U148" s="19">
        <f>IF(Q148="","",IF(Q148="BUY",D148+M148*2,D148-M148*2))</f>
        <v/>
      </c>
      <c r="V148" s="19">
        <f>IF(Q148="","",IF(Q148="BUY",D148+M148*3,D148-M148*3))</f>
        <v/>
      </c>
      <c r="W148" s="14">
        <f>IF(OR(D148="",M148&lt;=0),"",IF(AND(D148&gt;G148,ABS(D148-G148)&lt;M148*0.5),"2ND","1ST"))</f>
        <v/>
      </c>
      <c r="X148" s="14">
        <f>IF(OR(D148="",M148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8" s="14">
        <f>IF(OR(D148="",M148&lt;=0),"",IF(M148&gt;D148*0.05,"VOL-HIGH","VOL-NORMAL"))</f>
        <v/>
      </c>
      <c r="Z148" s="14">
        <f>IF(OR(D148="",M148&lt;=0),"",IF(AND(N148="VOL-OK",Y148="VOL-NORMAL",W148="2ND"),"OK","NG"))</f>
        <v/>
      </c>
      <c r="AA148" s="14">
        <f>IF(OR(D148="",M148&lt;=0),"",IF(AND(E148&gt;I148,F148&gt;J148),"UP",IF(AND(E148&lt;I148,F148&lt;J148),"DOWN","FLAT")))</f>
        <v/>
      </c>
    </row>
    <row r="149" ht="26" customHeight="1" s="1">
      <c r="A149" s="8">
        <f>IF(B149="","",ROW()-2)</f>
        <v/>
      </c>
      <c r="B149" s="9">
        <f>IF('StockList_MS2'!A148="","",HYPERLINK("https://kabutan.jp/stock/?code="&amp;'StockList_MS2'!A148,'StockList_MS2'!A148))</f>
        <v/>
      </c>
      <c r="C149" s="10">
        <f>IF('StockList_MS2'!A148="","",'StockList_MS2'!B148)</f>
        <v/>
      </c>
      <c r="D149" s="11" t="n"/>
      <c r="E149" s="11" t="n"/>
      <c r="F149" s="11" t="n"/>
      <c r="G149" s="11" t="n"/>
      <c r="H149" s="12" t="n"/>
      <c r="I149" s="11" t="n"/>
      <c r="J149" s="11" t="n"/>
      <c r="K149" s="11" t="n"/>
      <c r="L149" s="8">
        <f>IF(D149="","",IF(D149&gt;K149,"BUY-DAY","SELL-DAY"))</f>
        <v/>
      </c>
      <c r="M149" s="13">
        <f>IF(D149="","",MAX(E149-F149,ABS(E149-K149),ABS(F149-K149)))</f>
        <v/>
      </c>
      <c r="N149" s="8">
        <f>IF(D149="","",IF(AND(H149&gt;0,H149&gt;(H149/3)*2.5),"VOL-OK","VOL-NG"))</f>
        <v/>
      </c>
      <c r="O149" s="8">
        <f>IF(D149="","",IF(D149&gt;I149,"ON","OFF"))</f>
        <v/>
      </c>
      <c r="P149" s="8">
        <f>IF(D149="","",IF(D149&lt;J149,"ON","OFF"))</f>
        <v/>
      </c>
      <c r="Q149" s="8">
        <f>IF(OR(D149="",M149&lt;=0),"",IF(AND(L149="BUY-DAY",N149="VOL-OK",P149="ON",Z149="OK",AA149&lt;&gt;"DOWN"),"BUY",IF(AND(L149="SELL-DAY",N149="VOL-OK",O149="ON",Z149="OK",AA149&lt;&gt;"UP"),"SELL","")))</f>
        <v/>
      </c>
      <c r="R149" s="13">
        <f>IF(Q149="","",D149)</f>
        <v/>
      </c>
      <c r="S149" s="13">
        <f>IF(Q149="","",IF(Q149="BUY",D149-M149*1.5,D149+M149*1.5))</f>
        <v/>
      </c>
      <c r="T149" s="13">
        <f>IF(Q149="","",IF(Q149="BUY",D149+M149*1.5,D149-M149*1.5))</f>
        <v/>
      </c>
      <c r="U149" s="13">
        <f>IF(Q149="","",IF(Q149="BUY",D149+M149*2,D149-M149*2))</f>
        <v/>
      </c>
      <c r="V149" s="13">
        <f>IF(Q149="","",IF(Q149="BUY",D149+M149*3,D149-M149*3))</f>
        <v/>
      </c>
      <c r="W149" s="8">
        <f>IF(OR(D149="",M149&lt;=0),"",IF(AND(D149&gt;G149,ABS(D149-G149)&lt;M149*0.5),"2ND","1ST"))</f>
        <v/>
      </c>
      <c r="X149" s="8">
        <f>IF(OR(D149="",M149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49" s="8">
        <f>IF(OR(D149="",M149&lt;=0),"",IF(M149&gt;D149*0.05,"VOL-HIGH","VOL-NORMAL"))</f>
        <v/>
      </c>
      <c r="Z149" s="8">
        <f>IF(OR(D149="",M149&lt;=0),"",IF(AND(N149="VOL-OK",Y149="VOL-NORMAL",W149="2ND"),"OK","NG"))</f>
        <v/>
      </c>
      <c r="AA149" s="8">
        <f>IF(OR(D149="",M149&lt;=0),"",IF(AND(E149&gt;I149,F149&gt;J149),"UP",IF(AND(E149&lt;I149,F149&lt;J149),"DOWN","FLAT")))</f>
        <v/>
      </c>
    </row>
    <row r="150" ht="26" customHeight="1" s="1">
      <c r="A150" s="14">
        <f>IF(B150="","",ROW()-2)</f>
        <v/>
      </c>
      <c r="B150" s="15">
        <f>IF('StockList_MS2'!A149="","",HYPERLINK("https://kabutan.jp/stock/?code="&amp;'StockList_MS2'!A149,'StockList_MS2'!A149))</f>
        <v/>
      </c>
      <c r="C150" s="16">
        <f>IF('StockList_MS2'!A149="","",'StockList_MS2'!B149)</f>
        <v/>
      </c>
      <c r="D150" s="17" t="n"/>
      <c r="E150" s="17" t="n"/>
      <c r="F150" s="17" t="n"/>
      <c r="G150" s="17" t="n"/>
      <c r="H150" s="18" t="n"/>
      <c r="I150" s="17" t="n"/>
      <c r="J150" s="17" t="n"/>
      <c r="K150" s="17" t="n"/>
      <c r="L150" s="14">
        <f>IF(D150="","",IF(D150&gt;K150,"BUY-DAY","SELL-DAY"))</f>
        <v/>
      </c>
      <c r="M150" s="19">
        <f>IF(D150="","",MAX(E150-F150,ABS(E150-K150),ABS(F150-K150)))</f>
        <v/>
      </c>
      <c r="N150" s="14">
        <f>IF(D150="","",IF(AND(H150&gt;0,H150&gt;(H150/3)*2.5),"VOL-OK","VOL-NG"))</f>
        <v/>
      </c>
      <c r="O150" s="14">
        <f>IF(D150="","",IF(D150&gt;I150,"ON","OFF"))</f>
        <v/>
      </c>
      <c r="P150" s="14">
        <f>IF(D150="","",IF(D150&lt;J150,"ON","OFF"))</f>
        <v/>
      </c>
      <c r="Q150" s="14">
        <f>IF(OR(D150="",M150&lt;=0),"",IF(AND(L150="BUY-DAY",N150="VOL-OK",P150="ON",Z150="OK",AA150&lt;&gt;"DOWN"),"BUY",IF(AND(L150="SELL-DAY",N150="VOL-OK",O150="ON",Z150="OK",AA150&lt;&gt;"UP"),"SELL","")))</f>
        <v/>
      </c>
      <c r="R150" s="19">
        <f>IF(Q150="","",D150)</f>
        <v/>
      </c>
      <c r="S150" s="19">
        <f>IF(Q150="","",IF(Q150="BUY",D150-M150*1.5,D150+M150*1.5))</f>
        <v/>
      </c>
      <c r="T150" s="19">
        <f>IF(Q150="","",IF(Q150="BUY",D150+M150*1.5,D150-M150*1.5))</f>
        <v/>
      </c>
      <c r="U150" s="19">
        <f>IF(Q150="","",IF(Q150="BUY",D150+M150*2,D150-M150*2))</f>
        <v/>
      </c>
      <c r="V150" s="19">
        <f>IF(Q150="","",IF(Q150="BUY",D150+M150*3,D150-M150*3))</f>
        <v/>
      </c>
      <c r="W150" s="14">
        <f>IF(OR(D150="",M150&lt;=0),"",IF(AND(D150&gt;G150,ABS(D150-G150)&lt;M150*0.5),"2ND","1ST"))</f>
        <v/>
      </c>
      <c r="X150" s="14">
        <f>IF(OR(D150="",M150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0" s="14">
        <f>IF(OR(D150="",M150&lt;=0),"",IF(M150&gt;D150*0.05,"VOL-HIGH","VOL-NORMAL"))</f>
        <v/>
      </c>
      <c r="Z150" s="14">
        <f>IF(OR(D150="",M150&lt;=0),"",IF(AND(N150="VOL-OK",Y150="VOL-NORMAL",W150="2ND"),"OK","NG"))</f>
        <v/>
      </c>
      <c r="AA150" s="14">
        <f>IF(OR(D150="",M150&lt;=0),"",IF(AND(E150&gt;I150,F150&gt;J150),"UP",IF(AND(E150&lt;I150,F150&lt;J150),"DOWN","FLAT")))</f>
        <v/>
      </c>
    </row>
    <row r="151" ht="26" customHeight="1" s="1">
      <c r="A151" s="8">
        <f>IF(B151="","",ROW()-2)</f>
        <v/>
      </c>
      <c r="B151" s="9">
        <f>IF('StockList_MS2'!A150="","",HYPERLINK("https://kabutan.jp/stock/?code="&amp;'StockList_MS2'!A150,'StockList_MS2'!A150))</f>
        <v/>
      </c>
      <c r="C151" s="10">
        <f>IF('StockList_MS2'!A150="","",'StockList_MS2'!B150)</f>
        <v/>
      </c>
      <c r="D151" s="11" t="n"/>
      <c r="E151" s="11" t="n"/>
      <c r="F151" s="11" t="n"/>
      <c r="G151" s="11" t="n"/>
      <c r="H151" s="12" t="n"/>
      <c r="I151" s="11" t="n"/>
      <c r="J151" s="11" t="n"/>
      <c r="K151" s="11" t="n"/>
      <c r="L151" s="8">
        <f>IF(D151="","",IF(D151&gt;K151,"BUY-DAY","SELL-DAY"))</f>
        <v/>
      </c>
      <c r="M151" s="13">
        <f>IF(D151="","",MAX(E151-F151,ABS(E151-K151),ABS(F151-K151)))</f>
        <v/>
      </c>
      <c r="N151" s="8">
        <f>IF(D151="","",IF(AND(H151&gt;0,H151&gt;(H151/3)*2.5),"VOL-OK","VOL-NG"))</f>
        <v/>
      </c>
      <c r="O151" s="8">
        <f>IF(D151="","",IF(D151&gt;I151,"ON","OFF"))</f>
        <v/>
      </c>
      <c r="P151" s="8">
        <f>IF(D151="","",IF(D151&lt;J151,"ON","OFF"))</f>
        <v/>
      </c>
      <c r="Q151" s="8">
        <f>IF(OR(D151="",M151&lt;=0),"",IF(AND(L151="BUY-DAY",N151="VOL-OK",P151="ON",Z151="OK",AA151&lt;&gt;"DOWN"),"BUY",IF(AND(L151="SELL-DAY",N151="VOL-OK",O151="ON",Z151="OK",AA151&lt;&gt;"UP"),"SELL","")))</f>
        <v/>
      </c>
      <c r="R151" s="13">
        <f>IF(Q151="","",D151)</f>
        <v/>
      </c>
      <c r="S151" s="13">
        <f>IF(Q151="","",IF(Q151="BUY",D151-M151*1.5,D151+M151*1.5))</f>
        <v/>
      </c>
      <c r="T151" s="13">
        <f>IF(Q151="","",IF(Q151="BUY",D151+M151*1.5,D151-M151*1.5))</f>
        <v/>
      </c>
      <c r="U151" s="13">
        <f>IF(Q151="","",IF(Q151="BUY",D151+M151*2,D151-M151*2))</f>
        <v/>
      </c>
      <c r="V151" s="13">
        <f>IF(Q151="","",IF(Q151="BUY",D151+M151*3,D151-M151*3))</f>
        <v/>
      </c>
      <c r="W151" s="8">
        <f>IF(OR(D151="",M151&lt;=0),"",IF(AND(D151&gt;G151,ABS(D151-G151)&lt;M151*0.5),"2ND","1ST"))</f>
        <v/>
      </c>
      <c r="X151" s="8">
        <f>IF(OR(D151="",M151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1" s="8">
        <f>IF(OR(D151="",M151&lt;=0),"",IF(M151&gt;D151*0.05,"VOL-HIGH","VOL-NORMAL"))</f>
        <v/>
      </c>
      <c r="Z151" s="8">
        <f>IF(OR(D151="",M151&lt;=0),"",IF(AND(N151="VOL-OK",Y151="VOL-NORMAL",W151="2ND"),"OK","NG"))</f>
        <v/>
      </c>
      <c r="AA151" s="8">
        <f>IF(OR(D151="",M151&lt;=0),"",IF(AND(E151&gt;I151,F151&gt;J151),"UP",IF(AND(E151&lt;I151,F151&lt;J151),"DOWN","FLAT")))</f>
        <v/>
      </c>
    </row>
    <row r="152" ht="26" customHeight="1" s="1">
      <c r="A152" s="14">
        <f>IF(B152="","",ROW()-2)</f>
        <v/>
      </c>
      <c r="B152" s="15">
        <f>IF('StockList_MS2'!A151="","",HYPERLINK("https://kabutan.jp/stock/?code="&amp;'StockList_MS2'!A151,'StockList_MS2'!A151))</f>
        <v/>
      </c>
      <c r="C152" s="16">
        <f>IF('StockList_MS2'!A151="","",'StockList_MS2'!B151)</f>
        <v/>
      </c>
      <c r="D152" s="17" t="n"/>
      <c r="E152" s="17" t="n"/>
      <c r="F152" s="17" t="n"/>
      <c r="G152" s="17" t="n"/>
      <c r="H152" s="18" t="n"/>
      <c r="I152" s="17" t="n"/>
      <c r="J152" s="17" t="n"/>
      <c r="K152" s="17" t="n"/>
      <c r="L152" s="14">
        <f>IF(D152="","",IF(D152&gt;K152,"BUY-DAY","SELL-DAY"))</f>
        <v/>
      </c>
      <c r="M152" s="19">
        <f>IF(D152="","",MAX(E152-F152,ABS(E152-K152),ABS(F152-K152)))</f>
        <v/>
      </c>
      <c r="N152" s="14">
        <f>IF(D152="","",IF(AND(H152&gt;0,H152&gt;(H152/3)*2.5),"VOL-OK","VOL-NG"))</f>
        <v/>
      </c>
      <c r="O152" s="14">
        <f>IF(D152="","",IF(D152&gt;I152,"ON","OFF"))</f>
        <v/>
      </c>
      <c r="P152" s="14">
        <f>IF(D152="","",IF(D152&lt;J152,"ON","OFF"))</f>
        <v/>
      </c>
      <c r="Q152" s="14">
        <f>IF(OR(D152="",M152&lt;=0),"",IF(AND(L152="BUY-DAY",N152="VOL-OK",P152="ON",Z152="OK",AA152&lt;&gt;"DOWN"),"BUY",IF(AND(L152="SELL-DAY",N152="VOL-OK",O152="ON",Z152="OK",AA152&lt;&gt;"UP"),"SELL","")))</f>
        <v/>
      </c>
      <c r="R152" s="19">
        <f>IF(Q152="","",D152)</f>
        <v/>
      </c>
      <c r="S152" s="19">
        <f>IF(Q152="","",IF(Q152="BUY",D152-M152*1.5,D152+M152*1.5))</f>
        <v/>
      </c>
      <c r="T152" s="19">
        <f>IF(Q152="","",IF(Q152="BUY",D152+M152*1.5,D152-M152*1.5))</f>
        <v/>
      </c>
      <c r="U152" s="19">
        <f>IF(Q152="","",IF(Q152="BUY",D152+M152*2,D152-M152*2))</f>
        <v/>
      </c>
      <c r="V152" s="19">
        <f>IF(Q152="","",IF(Q152="BUY",D152+M152*3,D152-M152*3))</f>
        <v/>
      </c>
      <c r="W152" s="14">
        <f>IF(OR(D152="",M152&lt;=0),"",IF(AND(D152&gt;G152,ABS(D152-G152)&lt;M152*0.5),"2ND","1ST"))</f>
        <v/>
      </c>
      <c r="X152" s="14">
        <f>IF(OR(D152="",M152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2" s="14">
        <f>IF(OR(D152="",M152&lt;=0),"",IF(M152&gt;D152*0.05,"VOL-HIGH","VOL-NORMAL"))</f>
        <v/>
      </c>
      <c r="Z152" s="14">
        <f>IF(OR(D152="",M152&lt;=0),"",IF(AND(N152="VOL-OK",Y152="VOL-NORMAL",W152="2ND"),"OK","NG"))</f>
        <v/>
      </c>
      <c r="AA152" s="14">
        <f>IF(OR(D152="",M152&lt;=0),"",IF(AND(E152&gt;I152,F152&gt;J152),"UP",IF(AND(E152&lt;I152,F152&lt;J152),"DOWN","FLAT")))</f>
        <v/>
      </c>
    </row>
    <row r="153" ht="26" customHeight="1" s="1">
      <c r="A153" s="8">
        <f>IF(B153="","",ROW()-2)</f>
        <v/>
      </c>
      <c r="B153" s="9">
        <f>IF('StockList_MS2'!A152="","",HYPERLINK("https://kabutan.jp/stock/?code="&amp;'StockList_MS2'!A152,'StockList_MS2'!A152))</f>
        <v/>
      </c>
      <c r="C153" s="10">
        <f>IF('StockList_MS2'!A152="","",'StockList_MS2'!B152)</f>
        <v/>
      </c>
      <c r="D153" s="11" t="n"/>
      <c r="E153" s="11" t="n"/>
      <c r="F153" s="11" t="n"/>
      <c r="G153" s="11" t="n"/>
      <c r="H153" s="12" t="n"/>
      <c r="I153" s="11" t="n"/>
      <c r="J153" s="11" t="n"/>
      <c r="K153" s="11" t="n"/>
      <c r="L153" s="8">
        <f>IF(D153="","",IF(D153&gt;K153,"BUY-DAY","SELL-DAY"))</f>
        <v/>
      </c>
      <c r="M153" s="13">
        <f>IF(D153="","",MAX(E153-F153,ABS(E153-K153),ABS(F153-K153)))</f>
        <v/>
      </c>
      <c r="N153" s="8">
        <f>IF(D153="","",IF(AND(H153&gt;0,H153&gt;(H153/3)*2.5),"VOL-OK","VOL-NG"))</f>
        <v/>
      </c>
      <c r="O153" s="8">
        <f>IF(D153="","",IF(D153&gt;I153,"ON","OFF"))</f>
        <v/>
      </c>
      <c r="P153" s="8">
        <f>IF(D153="","",IF(D153&lt;J153,"ON","OFF"))</f>
        <v/>
      </c>
      <c r="Q153" s="8">
        <f>IF(OR(D153="",M153&lt;=0),"",IF(AND(L153="BUY-DAY",N153="VOL-OK",P153="ON",Z153="OK",AA153&lt;&gt;"DOWN"),"BUY",IF(AND(L153="SELL-DAY",N153="VOL-OK",O153="ON",Z153="OK",AA153&lt;&gt;"UP"),"SELL","")))</f>
        <v/>
      </c>
      <c r="R153" s="13">
        <f>IF(Q153="","",D153)</f>
        <v/>
      </c>
      <c r="S153" s="13">
        <f>IF(Q153="","",IF(Q153="BUY",D153-M153*1.5,D153+M153*1.5))</f>
        <v/>
      </c>
      <c r="T153" s="13">
        <f>IF(Q153="","",IF(Q153="BUY",D153+M153*1.5,D153-M153*1.5))</f>
        <v/>
      </c>
      <c r="U153" s="13">
        <f>IF(Q153="","",IF(Q153="BUY",D153+M153*2,D153-M153*2))</f>
        <v/>
      </c>
      <c r="V153" s="13">
        <f>IF(Q153="","",IF(Q153="BUY",D153+M153*3,D153-M153*3))</f>
        <v/>
      </c>
      <c r="W153" s="8">
        <f>IF(OR(D153="",M153&lt;=0),"",IF(AND(D153&gt;G153,ABS(D153-G153)&lt;M153*0.5),"2ND","1ST"))</f>
        <v/>
      </c>
      <c r="X153" s="8">
        <f>IF(OR(D153="",M153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3" s="8">
        <f>IF(OR(D153="",M153&lt;=0),"",IF(M153&gt;D153*0.05,"VOL-HIGH","VOL-NORMAL"))</f>
        <v/>
      </c>
      <c r="Z153" s="8">
        <f>IF(OR(D153="",M153&lt;=0),"",IF(AND(N153="VOL-OK",Y153="VOL-NORMAL",W153="2ND"),"OK","NG"))</f>
        <v/>
      </c>
      <c r="AA153" s="8">
        <f>IF(OR(D153="",M153&lt;=0),"",IF(AND(E153&gt;I153,F153&gt;J153),"UP",IF(AND(E153&lt;I153,F153&lt;J153),"DOWN","FLAT")))</f>
        <v/>
      </c>
    </row>
    <row r="154" ht="26" customHeight="1" s="1">
      <c r="A154" s="14">
        <f>IF(B154="","",ROW()-2)</f>
        <v/>
      </c>
      <c r="B154" s="15">
        <f>IF('StockList_MS2'!A153="","",HYPERLINK("https://kabutan.jp/stock/?code="&amp;'StockList_MS2'!A153,'StockList_MS2'!A153))</f>
        <v/>
      </c>
      <c r="C154" s="16">
        <f>IF('StockList_MS2'!A153="","",'StockList_MS2'!B153)</f>
        <v/>
      </c>
      <c r="D154" s="17" t="n"/>
      <c r="E154" s="17" t="n"/>
      <c r="F154" s="17" t="n"/>
      <c r="G154" s="17" t="n"/>
      <c r="H154" s="18" t="n"/>
      <c r="I154" s="17" t="n"/>
      <c r="J154" s="17" t="n"/>
      <c r="K154" s="17" t="n"/>
      <c r="L154" s="14">
        <f>IF(D154="","",IF(D154&gt;K154,"BUY-DAY","SELL-DAY"))</f>
        <v/>
      </c>
      <c r="M154" s="19">
        <f>IF(D154="","",MAX(E154-F154,ABS(E154-K154),ABS(F154-K154)))</f>
        <v/>
      </c>
      <c r="N154" s="14">
        <f>IF(D154="","",IF(AND(H154&gt;0,H154&gt;(H154/3)*2.5),"VOL-OK","VOL-NG"))</f>
        <v/>
      </c>
      <c r="O154" s="14">
        <f>IF(D154="","",IF(D154&gt;I154,"ON","OFF"))</f>
        <v/>
      </c>
      <c r="P154" s="14">
        <f>IF(D154="","",IF(D154&lt;J154,"ON","OFF"))</f>
        <v/>
      </c>
      <c r="Q154" s="14">
        <f>IF(OR(D154="",M154&lt;=0),"",IF(AND(L154="BUY-DAY",N154="VOL-OK",P154="ON",Z154="OK",AA154&lt;&gt;"DOWN"),"BUY",IF(AND(L154="SELL-DAY",N154="VOL-OK",O154="ON",Z154="OK",AA154&lt;&gt;"UP"),"SELL","")))</f>
        <v/>
      </c>
      <c r="R154" s="19">
        <f>IF(Q154="","",D154)</f>
        <v/>
      </c>
      <c r="S154" s="19">
        <f>IF(Q154="","",IF(Q154="BUY",D154-M154*1.5,D154+M154*1.5))</f>
        <v/>
      </c>
      <c r="T154" s="19">
        <f>IF(Q154="","",IF(Q154="BUY",D154+M154*1.5,D154-M154*1.5))</f>
        <v/>
      </c>
      <c r="U154" s="19">
        <f>IF(Q154="","",IF(Q154="BUY",D154+M154*2,D154-M154*2))</f>
        <v/>
      </c>
      <c r="V154" s="19">
        <f>IF(Q154="","",IF(Q154="BUY",D154+M154*3,D154-M154*3))</f>
        <v/>
      </c>
      <c r="W154" s="14">
        <f>IF(OR(D154="",M154&lt;=0),"",IF(AND(D154&gt;G154,ABS(D154-G154)&lt;M154*0.5),"2ND","1ST"))</f>
        <v/>
      </c>
      <c r="X154" s="14">
        <f>IF(OR(D154="",M154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4" s="14">
        <f>IF(OR(D154="",M154&lt;=0),"",IF(M154&gt;D154*0.05,"VOL-HIGH","VOL-NORMAL"))</f>
        <v/>
      </c>
      <c r="Z154" s="14">
        <f>IF(OR(D154="",M154&lt;=0),"",IF(AND(N154="VOL-OK",Y154="VOL-NORMAL",W154="2ND"),"OK","NG"))</f>
        <v/>
      </c>
      <c r="AA154" s="14">
        <f>IF(OR(D154="",M154&lt;=0),"",IF(AND(E154&gt;I154,F154&gt;J154),"UP",IF(AND(E154&lt;I154,F154&lt;J154),"DOWN","FLAT")))</f>
        <v/>
      </c>
    </row>
    <row r="155" ht="26" customHeight="1" s="1">
      <c r="A155" s="8">
        <f>IF(B155="","",ROW()-2)</f>
        <v/>
      </c>
      <c r="B155" s="9">
        <f>IF('StockList_MS2'!A154="","",HYPERLINK("https://kabutan.jp/stock/?code="&amp;'StockList_MS2'!A154,'StockList_MS2'!A154))</f>
        <v/>
      </c>
      <c r="C155" s="10">
        <f>IF('StockList_MS2'!A154="","",'StockList_MS2'!B154)</f>
        <v/>
      </c>
      <c r="D155" s="11" t="n"/>
      <c r="E155" s="11" t="n"/>
      <c r="F155" s="11" t="n"/>
      <c r="G155" s="11" t="n"/>
      <c r="H155" s="12" t="n"/>
      <c r="I155" s="11" t="n"/>
      <c r="J155" s="11" t="n"/>
      <c r="K155" s="11" t="n"/>
      <c r="L155" s="8">
        <f>IF(D155="","",IF(D155&gt;K155,"BUY-DAY","SELL-DAY"))</f>
        <v/>
      </c>
      <c r="M155" s="13">
        <f>IF(D155="","",MAX(E155-F155,ABS(E155-K155),ABS(F155-K155)))</f>
        <v/>
      </c>
      <c r="N155" s="8">
        <f>IF(D155="","",IF(AND(H155&gt;0,H155&gt;(H155/3)*2.5),"VOL-OK","VOL-NG"))</f>
        <v/>
      </c>
      <c r="O155" s="8">
        <f>IF(D155="","",IF(D155&gt;I155,"ON","OFF"))</f>
        <v/>
      </c>
      <c r="P155" s="8">
        <f>IF(D155="","",IF(D155&lt;J155,"ON","OFF"))</f>
        <v/>
      </c>
      <c r="Q155" s="8">
        <f>IF(OR(D155="",M155&lt;=0),"",IF(AND(L155="BUY-DAY",N155="VOL-OK",P155="ON",Z155="OK",AA155&lt;&gt;"DOWN"),"BUY",IF(AND(L155="SELL-DAY",N155="VOL-OK",O155="ON",Z155="OK",AA155&lt;&gt;"UP"),"SELL","")))</f>
        <v/>
      </c>
      <c r="R155" s="13">
        <f>IF(Q155="","",D155)</f>
        <v/>
      </c>
      <c r="S155" s="13">
        <f>IF(Q155="","",IF(Q155="BUY",D155-M155*1.5,D155+M155*1.5))</f>
        <v/>
      </c>
      <c r="T155" s="13">
        <f>IF(Q155="","",IF(Q155="BUY",D155+M155*1.5,D155-M155*1.5))</f>
        <v/>
      </c>
      <c r="U155" s="13">
        <f>IF(Q155="","",IF(Q155="BUY",D155+M155*2,D155-M155*2))</f>
        <v/>
      </c>
      <c r="V155" s="13">
        <f>IF(Q155="","",IF(Q155="BUY",D155+M155*3,D155-M155*3))</f>
        <v/>
      </c>
      <c r="W155" s="8">
        <f>IF(OR(D155="",M155&lt;=0),"",IF(AND(D155&gt;G155,ABS(D155-G155)&lt;M155*0.5),"2ND","1ST"))</f>
        <v/>
      </c>
      <c r="X155" s="8">
        <f>IF(OR(D155="",M155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5" s="8">
        <f>IF(OR(D155="",M155&lt;=0),"",IF(M155&gt;D155*0.05,"VOL-HIGH","VOL-NORMAL"))</f>
        <v/>
      </c>
      <c r="Z155" s="8">
        <f>IF(OR(D155="",M155&lt;=0),"",IF(AND(N155="VOL-OK",Y155="VOL-NORMAL",W155="2ND"),"OK","NG"))</f>
        <v/>
      </c>
      <c r="AA155" s="8">
        <f>IF(OR(D155="",M155&lt;=0),"",IF(AND(E155&gt;I155,F155&gt;J155),"UP",IF(AND(E155&lt;I155,F155&lt;J155),"DOWN","FLAT")))</f>
        <v/>
      </c>
    </row>
    <row r="156" ht="26" customHeight="1" s="1">
      <c r="A156" s="14">
        <f>IF(B156="","",ROW()-2)</f>
        <v/>
      </c>
      <c r="B156" s="15">
        <f>IF('StockList_MS2'!A155="","",HYPERLINK("https://kabutan.jp/stock/?code="&amp;'StockList_MS2'!A155,'StockList_MS2'!A155))</f>
        <v/>
      </c>
      <c r="C156" s="16">
        <f>IF('StockList_MS2'!A155="","",'StockList_MS2'!B155)</f>
        <v/>
      </c>
      <c r="D156" s="17" t="n"/>
      <c r="E156" s="17" t="n"/>
      <c r="F156" s="17" t="n"/>
      <c r="G156" s="17" t="n"/>
      <c r="H156" s="18" t="n"/>
      <c r="I156" s="17" t="n"/>
      <c r="J156" s="17" t="n"/>
      <c r="K156" s="17" t="n"/>
      <c r="L156" s="14">
        <f>IF(D156="","",IF(D156&gt;K156,"BUY-DAY","SELL-DAY"))</f>
        <v/>
      </c>
      <c r="M156" s="19">
        <f>IF(D156="","",MAX(E156-F156,ABS(E156-K156),ABS(F156-K156)))</f>
        <v/>
      </c>
      <c r="N156" s="14">
        <f>IF(D156="","",IF(AND(H156&gt;0,H156&gt;(H156/3)*2.5),"VOL-OK","VOL-NG"))</f>
        <v/>
      </c>
      <c r="O156" s="14">
        <f>IF(D156="","",IF(D156&gt;I156,"ON","OFF"))</f>
        <v/>
      </c>
      <c r="P156" s="14">
        <f>IF(D156="","",IF(D156&lt;J156,"ON","OFF"))</f>
        <v/>
      </c>
      <c r="Q156" s="14">
        <f>IF(OR(D156="",M156&lt;=0),"",IF(AND(L156="BUY-DAY",N156="VOL-OK",P156="ON",Z156="OK",AA156&lt;&gt;"DOWN"),"BUY",IF(AND(L156="SELL-DAY",N156="VOL-OK",O156="ON",Z156="OK",AA156&lt;&gt;"UP"),"SELL","")))</f>
        <v/>
      </c>
      <c r="R156" s="19">
        <f>IF(Q156="","",D156)</f>
        <v/>
      </c>
      <c r="S156" s="19">
        <f>IF(Q156="","",IF(Q156="BUY",D156-M156*1.5,D156+M156*1.5))</f>
        <v/>
      </c>
      <c r="T156" s="19">
        <f>IF(Q156="","",IF(Q156="BUY",D156+M156*1.5,D156-M156*1.5))</f>
        <v/>
      </c>
      <c r="U156" s="19">
        <f>IF(Q156="","",IF(Q156="BUY",D156+M156*2,D156-M156*2))</f>
        <v/>
      </c>
      <c r="V156" s="19">
        <f>IF(Q156="","",IF(Q156="BUY",D156+M156*3,D156-M156*3))</f>
        <v/>
      </c>
      <c r="W156" s="14">
        <f>IF(OR(D156="",M156&lt;=0),"",IF(AND(D156&gt;G156,ABS(D156-G156)&lt;M156*0.5),"2ND","1ST"))</f>
        <v/>
      </c>
      <c r="X156" s="14">
        <f>IF(OR(D156="",M156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6" s="14">
        <f>IF(OR(D156="",M156&lt;=0),"",IF(M156&gt;D156*0.05,"VOL-HIGH","VOL-NORMAL"))</f>
        <v/>
      </c>
      <c r="Z156" s="14">
        <f>IF(OR(D156="",M156&lt;=0),"",IF(AND(N156="VOL-OK",Y156="VOL-NORMAL",W156="2ND"),"OK","NG"))</f>
        <v/>
      </c>
      <c r="AA156" s="14">
        <f>IF(OR(D156="",M156&lt;=0),"",IF(AND(E156&gt;I156,F156&gt;J156),"UP",IF(AND(E156&lt;I156,F156&lt;J156),"DOWN","FLAT")))</f>
        <v/>
      </c>
    </row>
    <row r="157" ht="26" customHeight="1" s="1">
      <c r="A157" s="8">
        <f>IF(B157="","",ROW()-2)</f>
        <v/>
      </c>
      <c r="B157" s="9">
        <f>IF('StockList_MS2'!A156="","",HYPERLINK("https://kabutan.jp/stock/?code="&amp;'StockList_MS2'!A156,'StockList_MS2'!A156))</f>
        <v/>
      </c>
      <c r="C157" s="10">
        <f>IF('StockList_MS2'!A156="","",'StockList_MS2'!B156)</f>
        <v/>
      </c>
      <c r="D157" s="11" t="n"/>
      <c r="E157" s="11" t="n"/>
      <c r="F157" s="11" t="n"/>
      <c r="G157" s="11" t="n"/>
      <c r="H157" s="12" t="n"/>
      <c r="I157" s="11" t="n"/>
      <c r="J157" s="11" t="n"/>
      <c r="K157" s="11" t="n"/>
      <c r="L157" s="8">
        <f>IF(D157="","",IF(D157&gt;K157,"BUY-DAY","SELL-DAY"))</f>
        <v/>
      </c>
      <c r="M157" s="13">
        <f>IF(D157="","",MAX(E157-F157,ABS(E157-K157),ABS(F157-K157)))</f>
        <v/>
      </c>
      <c r="N157" s="8">
        <f>IF(D157="","",IF(AND(H157&gt;0,H157&gt;(H157/3)*2.5),"VOL-OK","VOL-NG"))</f>
        <v/>
      </c>
      <c r="O157" s="8">
        <f>IF(D157="","",IF(D157&gt;I157,"ON","OFF"))</f>
        <v/>
      </c>
      <c r="P157" s="8">
        <f>IF(D157="","",IF(D157&lt;J157,"ON","OFF"))</f>
        <v/>
      </c>
      <c r="Q157" s="8">
        <f>IF(OR(D157="",M157&lt;=0),"",IF(AND(L157="BUY-DAY",N157="VOL-OK",P157="ON",Z157="OK",AA157&lt;&gt;"DOWN"),"BUY",IF(AND(L157="SELL-DAY",N157="VOL-OK",O157="ON",Z157="OK",AA157&lt;&gt;"UP"),"SELL","")))</f>
        <v/>
      </c>
      <c r="R157" s="13">
        <f>IF(Q157="","",D157)</f>
        <v/>
      </c>
      <c r="S157" s="13">
        <f>IF(Q157="","",IF(Q157="BUY",D157-M157*1.5,D157+M157*1.5))</f>
        <v/>
      </c>
      <c r="T157" s="13">
        <f>IF(Q157="","",IF(Q157="BUY",D157+M157*1.5,D157-M157*1.5))</f>
        <v/>
      </c>
      <c r="U157" s="13">
        <f>IF(Q157="","",IF(Q157="BUY",D157+M157*2,D157-M157*2))</f>
        <v/>
      </c>
      <c r="V157" s="13">
        <f>IF(Q157="","",IF(Q157="BUY",D157+M157*3,D157-M157*3))</f>
        <v/>
      </c>
      <c r="W157" s="8">
        <f>IF(OR(D157="",M157&lt;=0),"",IF(AND(D157&gt;G157,ABS(D157-G157)&lt;M157*0.5),"2ND","1ST"))</f>
        <v/>
      </c>
      <c r="X157" s="8">
        <f>IF(OR(D157="",M157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7" s="8">
        <f>IF(OR(D157="",M157&lt;=0),"",IF(M157&gt;D157*0.05,"VOL-HIGH","VOL-NORMAL"))</f>
        <v/>
      </c>
      <c r="Z157" s="8">
        <f>IF(OR(D157="",M157&lt;=0),"",IF(AND(N157="VOL-OK",Y157="VOL-NORMAL",W157="2ND"),"OK","NG"))</f>
        <v/>
      </c>
      <c r="AA157" s="8">
        <f>IF(OR(D157="",M157&lt;=0),"",IF(AND(E157&gt;I157,F157&gt;J157),"UP",IF(AND(E157&lt;I157,F157&lt;J157),"DOWN","FLAT")))</f>
        <v/>
      </c>
    </row>
    <row r="158" ht="26" customHeight="1" s="1">
      <c r="A158" s="14">
        <f>IF(B158="","",ROW()-2)</f>
        <v/>
      </c>
      <c r="B158" s="15">
        <f>IF('StockList_MS2'!A157="","",HYPERLINK("https://kabutan.jp/stock/?code="&amp;'StockList_MS2'!A157,'StockList_MS2'!A157))</f>
        <v/>
      </c>
      <c r="C158" s="16">
        <f>IF('StockList_MS2'!A157="","",'StockList_MS2'!B157)</f>
        <v/>
      </c>
      <c r="D158" s="17" t="n"/>
      <c r="E158" s="17" t="n"/>
      <c r="F158" s="17" t="n"/>
      <c r="G158" s="17" t="n"/>
      <c r="H158" s="18" t="n"/>
      <c r="I158" s="17" t="n"/>
      <c r="J158" s="17" t="n"/>
      <c r="K158" s="17" t="n"/>
      <c r="L158" s="14">
        <f>IF(D158="","",IF(D158&gt;K158,"BUY-DAY","SELL-DAY"))</f>
        <v/>
      </c>
      <c r="M158" s="19">
        <f>IF(D158="","",MAX(E158-F158,ABS(E158-K158),ABS(F158-K158)))</f>
        <v/>
      </c>
      <c r="N158" s="14">
        <f>IF(D158="","",IF(AND(H158&gt;0,H158&gt;(H158/3)*2.5),"VOL-OK","VOL-NG"))</f>
        <v/>
      </c>
      <c r="O158" s="14">
        <f>IF(D158="","",IF(D158&gt;I158,"ON","OFF"))</f>
        <v/>
      </c>
      <c r="P158" s="14">
        <f>IF(D158="","",IF(D158&lt;J158,"ON","OFF"))</f>
        <v/>
      </c>
      <c r="Q158" s="14">
        <f>IF(OR(D158="",M158&lt;=0),"",IF(AND(L158="BUY-DAY",N158="VOL-OK",P158="ON",Z158="OK",AA158&lt;&gt;"DOWN"),"BUY",IF(AND(L158="SELL-DAY",N158="VOL-OK",O158="ON",Z158="OK",AA158&lt;&gt;"UP"),"SELL","")))</f>
        <v/>
      </c>
      <c r="R158" s="19">
        <f>IF(Q158="","",D158)</f>
        <v/>
      </c>
      <c r="S158" s="19">
        <f>IF(Q158="","",IF(Q158="BUY",D158-M158*1.5,D158+M158*1.5))</f>
        <v/>
      </c>
      <c r="T158" s="19">
        <f>IF(Q158="","",IF(Q158="BUY",D158+M158*1.5,D158-M158*1.5))</f>
        <v/>
      </c>
      <c r="U158" s="19">
        <f>IF(Q158="","",IF(Q158="BUY",D158+M158*2,D158-M158*2))</f>
        <v/>
      </c>
      <c r="V158" s="19">
        <f>IF(Q158="","",IF(Q158="BUY",D158+M158*3,D158-M158*3))</f>
        <v/>
      </c>
      <c r="W158" s="14">
        <f>IF(OR(D158="",M158&lt;=0),"",IF(AND(D158&gt;G158,ABS(D158-G158)&lt;M158*0.5),"2ND","1ST"))</f>
        <v/>
      </c>
      <c r="X158" s="14">
        <f>IF(OR(D158="",M158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8" s="14">
        <f>IF(OR(D158="",M158&lt;=0),"",IF(M158&gt;D158*0.05,"VOL-HIGH","VOL-NORMAL"))</f>
        <v/>
      </c>
      <c r="Z158" s="14">
        <f>IF(OR(D158="",M158&lt;=0),"",IF(AND(N158="VOL-OK",Y158="VOL-NORMAL",W158="2ND"),"OK","NG"))</f>
        <v/>
      </c>
      <c r="AA158" s="14">
        <f>IF(OR(D158="",M158&lt;=0),"",IF(AND(E158&gt;I158,F158&gt;J158),"UP",IF(AND(E158&lt;I158,F158&lt;J158),"DOWN","FLAT")))</f>
        <v/>
      </c>
    </row>
    <row r="159" ht="26" customHeight="1" s="1">
      <c r="A159" s="8">
        <f>IF(B159="","",ROW()-2)</f>
        <v/>
      </c>
      <c r="B159" s="9">
        <f>IF('StockList_MS2'!A158="","",HYPERLINK("https://kabutan.jp/stock/?code="&amp;'StockList_MS2'!A158,'StockList_MS2'!A158))</f>
        <v/>
      </c>
      <c r="C159" s="10">
        <f>IF('StockList_MS2'!A158="","",'StockList_MS2'!B158)</f>
        <v/>
      </c>
      <c r="D159" s="11" t="n"/>
      <c r="E159" s="11" t="n"/>
      <c r="F159" s="11" t="n"/>
      <c r="G159" s="11" t="n"/>
      <c r="H159" s="12" t="n"/>
      <c r="I159" s="11" t="n"/>
      <c r="J159" s="11" t="n"/>
      <c r="K159" s="11" t="n"/>
      <c r="L159" s="8">
        <f>IF(D159="","",IF(D159&gt;K159,"BUY-DAY","SELL-DAY"))</f>
        <v/>
      </c>
      <c r="M159" s="13">
        <f>IF(D159="","",MAX(E159-F159,ABS(E159-K159),ABS(F159-K159)))</f>
        <v/>
      </c>
      <c r="N159" s="8">
        <f>IF(D159="","",IF(AND(H159&gt;0,H159&gt;(H159/3)*2.5),"VOL-OK","VOL-NG"))</f>
        <v/>
      </c>
      <c r="O159" s="8">
        <f>IF(D159="","",IF(D159&gt;I159,"ON","OFF"))</f>
        <v/>
      </c>
      <c r="P159" s="8">
        <f>IF(D159="","",IF(D159&lt;J159,"ON","OFF"))</f>
        <v/>
      </c>
      <c r="Q159" s="8">
        <f>IF(OR(D159="",M159&lt;=0),"",IF(AND(L159="BUY-DAY",N159="VOL-OK",P159="ON",Z159="OK",AA159&lt;&gt;"DOWN"),"BUY",IF(AND(L159="SELL-DAY",N159="VOL-OK",O159="ON",Z159="OK",AA159&lt;&gt;"UP"),"SELL","")))</f>
        <v/>
      </c>
      <c r="R159" s="13">
        <f>IF(Q159="","",D159)</f>
        <v/>
      </c>
      <c r="S159" s="13">
        <f>IF(Q159="","",IF(Q159="BUY",D159-M159*1.5,D159+M159*1.5))</f>
        <v/>
      </c>
      <c r="T159" s="13">
        <f>IF(Q159="","",IF(Q159="BUY",D159+M159*1.5,D159-M159*1.5))</f>
        <v/>
      </c>
      <c r="U159" s="13">
        <f>IF(Q159="","",IF(Q159="BUY",D159+M159*2,D159-M159*2))</f>
        <v/>
      </c>
      <c r="V159" s="13">
        <f>IF(Q159="","",IF(Q159="BUY",D159+M159*3,D159-M159*3))</f>
        <v/>
      </c>
      <c r="W159" s="8">
        <f>IF(OR(D159="",M159&lt;=0),"",IF(AND(D159&gt;G159,ABS(D159-G159)&lt;M159*0.5),"2ND","1ST"))</f>
        <v/>
      </c>
      <c r="X159" s="8">
        <f>IF(OR(D159="",M159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59" s="8">
        <f>IF(OR(D159="",M159&lt;=0),"",IF(M159&gt;D159*0.05,"VOL-HIGH","VOL-NORMAL"))</f>
        <v/>
      </c>
      <c r="Z159" s="8">
        <f>IF(OR(D159="",M159&lt;=0),"",IF(AND(N159="VOL-OK",Y159="VOL-NORMAL",W159="2ND"),"OK","NG"))</f>
        <v/>
      </c>
      <c r="AA159" s="8">
        <f>IF(OR(D159="",M159&lt;=0),"",IF(AND(E159&gt;I159,F159&gt;J159),"UP",IF(AND(E159&lt;I159,F159&lt;J159),"DOWN","FLAT")))</f>
        <v/>
      </c>
    </row>
    <row r="160" ht="26" customHeight="1" s="1">
      <c r="A160" s="14">
        <f>IF(B160="","",ROW()-2)</f>
        <v/>
      </c>
      <c r="B160" s="15">
        <f>IF('StockList_MS2'!A159="","",HYPERLINK("https://kabutan.jp/stock/?code="&amp;'StockList_MS2'!A159,'StockList_MS2'!A159))</f>
        <v/>
      </c>
      <c r="C160" s="16">
        <f>IF('StockList_MS2'!A159="","",'StockList_MS2'!B159)</f>
        <v/>
      </c>
      <c r="D160" s="17" t="n"/>
      <c r="E160" s="17" t="n"/>
      <c r="F160" s="17" t="n"/>
      <c r="G160" s="17" t="n"/>
      <c r="H160" s="18" t="n"/>
      <c r="I160" s="17" t="n"/>
      <c r="J160" s="17" t="n"/>
      <c r="K160" s="17" t="n"/>
      <c r="L160" s="14">
        <f>IF(D160="","",IF(D160&gt;K160,"BUY-DAY","SELL-DAY"))</f>
        <v/>
      </c>
      <c r="M160" s="19">
        <f>IF(D160="","",MAX(E160-F160,ABS(E160-K160),ABS(F160-K160)))</f>
        <v/>
      </c>
      <c r="N160" s="14">
        <f>IF(D160="","",IF(AND(H160&gt;0,H160&gt;(H160/3)*2.5),"VOL-OK","VOL-NG"))</f>
        <v/>
      </c>
      <c r="O160" s="14">
        <f>IF(D160="","",IF(D160&gt;I160,"ON","OFF"))</f>
        <v/>
      </c>
      <c r="P160" s="14">
        <f>IF(D160="","",IF(D160&lt;J160,"ON","OFF"))</f>
        <v/>
      </c>
      <c r="Q160" s="14">
        <f>IF(OR(D160="",M160&lt;=0),"",IF(AND(L160="BUY-DAY",N160="VOL-OK",P160="ON",Z160="OK",AA160&lt;&gt;"DOWN"),"BUY",IF(AND(L160="SELL-DAY",N160="VOL-OK",O160="ON",Z160="OK",AA160&lt;&gt;"UP"),"SELL","")))</f>
        <v/>
      </c>
      <c r="R160" s="19">
        <f>IF(Q160="","",D160)</f>
        <v/>
      </c>
      <c r="S160" s="19">
        <f>IF(Q160="","",IF(Q160="BUY",D160-M160*1.5,D160+M160*1.5))</f>
        <v/>
      </c>
      <c r="T160" s="19">
        <f>IF(Q160="","",IF(Q160="BUY",D160+M160*1.5,D160-M160*1.5))</f>
        <v/>
      </c>
      <c r="U160" s="19">
        <f>IF(Q160="","",IF(Q160="BUY",D160+M160*2,D160-M160*2))</f>
        <v/>
      </c>
      <c r="V160" s="19">
        <f>IF(Q160="","",IF(Q160="BUY",D160+M160*3,D160-M160*3))</f>
        <v/>
      </c>
      <c r="W160" s="14">
        <f>IF(OR(D160="",M160&lt;=0),"",IF(AND(D160&gt;G160,ABS(D160-G160)&lt;M160*0.5),"2ND","1ST"))</f>
        <v/>
      </c>
      <c r="X160" s="14">
        <f>IF(OR(D160="",M160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0" s="14">
        <f>IF(OR(D160="",M160&lt;=0),"",IF(M160&gt;D160*0.05,"VOL-HIGH","VOL-NORMAL"))</f>
        <v/>
      </c>
      <c r="Z160" s="14">
        <f>IF(OR(D160="",M160&lt;=0),"",IF(AND(N160="VOL-OK",Y160="VOL-NORMAL",W160="2ND"),"OK","NG"))</f>
        <v/>
      </c>
      <c r="AA160" s="14">
        <f>IF(OR(D160="",M160&lt;=0),"",IF(AND(E160&gt;I160,F160&gt;J160),"UP",IF(AND(E160&lt;I160,F160&lt;J160),"DOWN","FLAT")))</f>
        <v/>
      </c>
    </row>
    <row r="161" ht="26" customHeight="1" s="1">
      <c r="A161" s="8">
        <f>IF(B161="","",ROW()-2)</f>
        <v/>
      </c>
      <c r="B161" s="9">
        <f>IF('StockList_MS2'!A160="","",HYPERLINK("https://kabutan.jp/stock/?code="&amp;'StockList_MS2'!A160,'StockList_MS2'!A160))</f>
        <v/>
      </c>
      <c r="C161" s="10">
        <f>IF('StockList_MS2'!A160="","",'StockList_MS2'!B160)</f>
        <v/>
      </c>
      <c r="D161" s="11" t="n"/>
      <c r="E161" s="11" t="n"/>
      <c r="F161" s="11" t="n"/>
      <c r="G161" s="11" t="n"/>
      <c r="H161" s="12" t="n"/>
      <c r="I161" s="11" t="n"/>
      <c r="J161" s="11" t="n"/>
      <c r="K161" s="11" t="n"/>
      <c r="L161" s="8">
        <f>IF(D161="","",IF(D161&gt;K161,"BUY-DAY","SELL-DAY"))</f>
        <v/>
      </c>
      <c r="M161" s="13">
        <f>IF(D161="","",MAX(E161-F161,ABS(E161-K161),ABS(F161-K161)))</f>
        <v/>
      </c>
      <c r="N161" s="8">
        <f>IF(D161="","",IF(AND(H161&gt;0,H161&gt;(H161/3)*2.5),"VOL-OK","VOL-NG"))</f>
        <v/>
      </c>
      <c r="O161" s="8">
        <f>IF(D161="","",IF(D161&gt;I161,"ON","OFF"))</f>
        <v/>
      </c>
      <c r="P161" s="8">
        <f>IF(D161="","",IF(D161&lt;J161,"ON","OFF"))</f>
        <v/>
      </c>
      <c r="Q161" s="8">
        <f>IF(OR(D161="",M161&lt;=0),"",IF(AND(L161="BUY-DAY",N161="VOL-OK",P161="ON",Z161="OK",AA161&lt;&gt;"DOWN"),"BUY",IF(AND(L161="SELL-DAY",N161="VOL-OK",O161="ON",Z161="OK",AA161&lt;&gt;"UP"),"SELL","")))</f>
        <v/>
      </c>
      <c r="R161" s="13">
        <f>IF(Q161="","",D161)</f>
        <v/>
      </c>
      <c r="S161" s="13">
        <f>IF(Q161="","",IF(Q161="BUY",D161-M161*1.5,D161+M161*1.5))</f>
        <v/>
      </c>
      <c r="T161" s="13">
        <f>IF(Q161="","",IF(Q161="BUY",D161+M161*1.5,D161-M161*1.5))</f>
        <v/>
      </c>
      <c r="U161" s="13">
        <f>IF(Q161="","",IF(Q161="BUY",D161+M161*2,D161-M161*2))</f>
        <v/>
      </c>
      <c r="V161" s="13">
        <f>IF(Q161="","",IF(Q161="BUY",D161+M161*3,D161-M161*3))</f>
        <v/>
      </c>
      <c r="W161" s="8">
        <f>IF(OR(D161="",M161&lt;=0),"",IF(AND(D161&gt;G161,ABS(D161-G161)&lt;M161*0.5),"2ND","1ST"))</f>
        <v/>
      </c>
      <c r="X161" s="8">
        <f>IF(OR(D161="",M161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1" s="8">
        <f>IF(OR(D161="",M161&lt;=0),"",IF(M161&gt;D161*0.05,"VOL-HIGH","VOL-NORMAL"))</f>
        <v/>
      </c>
      <c r="Z161" s="8">
        <f>IF(OR(D161="",M161&lt;=0),"",IF(AND(N161="VOL-OK",Y161="VOL-NORMAL",W161="2ND"),"OK","NG"))</f>
        <v/>
      </c>
      <c r="AA161" s="8">
        <f>IF(OR(D161="",M161&lt;=0),"",IF(AND(E161&gt;I161,F161&gt;J161),"UP",IF(AND(E161&lt;I161,F161&lt;J161),"DOWN","FLAT")))</f>
        <v/>
      </c>
    </row>
    <row r="162" ht="26" customHeight="1" s="1">
      <c r="A162" s="14">
        <f>IF(B162="","",ROW()-2)</f>
        <v/>
      </c>
      <c r="B162" s="15">
        <f>IF('StockList_MS2'!A161="","",HYPERLINK("https://kabutan.jp/stock/?code="&amp;'StockList_MS2'!A161,'StockList_MS2'!A161))</f>
        <v/>
      </c>
      <c r="C162" s="16">
        <f>IF('StockList_MS2'!A161="","",'StockList_MS2'!B161)</f>
        <v/>
      </c>
      <c r="D162" s="17" t="n"/>
      <c r="E162" s="17" t="n"/>
      <c r="F162" s="17" t="n"/>
      <c r="G162" s="17" t="n"/>
      <c r="H162" s="18" t="n"/>
      <c r="I162" s="17" t="n"/>
      <c r="J162" s="17" t="n"/>
      <c r="K162" s="17" t="n"/>
      <c r="L162" s="14">
        <f>IF(D162="","",IF(D162&gt;K162,"BUY-DAY","SELL-DAY"))</f>
        <v/>
      </c>
      <c r="M162" s="19">
        <f>IF(D162="","",MAX(E162-F162,ABS(E162-K162),ABS(F162-K162)))</f>
        <v/>
      </c>
      <c r="N162" s="14">
        <f>IF(D162="","",IF(AND(H162&gt;0,H162&gt;(H162/3)*2.5),"VOL-OK","VOL-NG"))</f>
        <v/>
      </c>
      <c r="O162" s="14">
        <f>IF(D162="","",IF(D162&gt;I162,"ON","OFF"))</f>
        <v/>
      </c>
      <c r="P162" s="14">
        <f>IF(D162="","",IF(D162&lt;J162,"ON","OFF"))</f>
        <v/>
      </c>
      <c r="Q162" s="14">
        <f>IF(OR(D162="",M162&lt;=0),"",IF(AND(L162="BUY-DAY",N162="VOL-OK",P162="ON",Z162="OK",AA162&lt;&gt;"DOWN"),"BUY",IF(AND(L162="SELL-DAY",N162="VOL-OK",O162="ON",Z162="OK",AA162&lt;&gt;"UP"),"SELL","")))</f>
        <v/>
      </c>
      <c r="R162" s="19">
        <f>IF(Q162="","",D162)</f>
        <v/>
      </c>
      <c r="S162" s="19">
        <f>IF(Q162="","",IF(Q162="BUY",D162-M162*1.5,D162+M162*1.5))</f>
        <v/>
      </c>
      <c r="T162" s="19">
        <f>IF(Q162="","",IF(Q162="BUY",D162+M162*1.5,D162-M162*1.5))</f>
        <v/>
      </c>
      <c r="U162" s="19">
        <f>IF(Q162="","",IF(Q162="BUY",D162+M162*2,D162-M162*2))</f>
        <v/>
      </c>
      <c r="V162" s="19">
        <f>IF(Q162="","",IF(Q162="BUY",D162+M162*3,D162-M162*3))</f>
        <v/>
      </c>
      <c r="W162" s="14">
        <f>IF(OR(D162="",M162&lt;=0),"",IF(AND(D162&gt;G162,ABS(D162-G162)&lt;M162*0.5),"2ND","1ST"))</f>
        <v/>
      </c>
      <c r="X162" s="14">
        <f>IF(OR(D162="",M162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2" s="14">
        <f>IF(OR(D162="",M162&lt;=0),"",IF(M162&gt;D162*0.05,"VOL-HIGH","VOL-NORMAL"))</f>
        <v/>
      </c>
      <c r="Z162" s="14">
        <f>IF(OR(D162="",M162&lt;=0),"",IF(AND(N162="VOL-OK",Y162="VOL-NORMAL",W162="2ND"),"OK","NG"))</f>
        <v/>
      </c>
      <c r="AA162" s="14">
        <f>IF(OR(D162="",M162&lt;=0),"",IF(AND(E162&gt;I162,F162&gt;J162),"UP",IF(AND(E162&lt;I162,F162&lt;J162),"DOWN","FLAT")))</f>
        <v/>
      </c>
    </row>
    <row r="163" ht="26" customHeight="1" s="1">
      <c r="A163" s="8">
        <f>IF(B163="","",ROW()-2)</f>
        <v/>
      </c>
      <c r="B163" s="9">
        <f>IF('StockList_MS2'!A162="","",HYPERLINK("https://kabutan.jp/stock/?code="&amp;'StockList_MS2'!A162,'StockList_MS2'!A162))</f>
        <v/>
      </c>
      <c r="C163" s="10">
        <f>IF('StockList_MS2'!A162="","",'StockList_MS2'!B162)</f>
        <v/>
      </c>
      <c r="D163" s="11" t="n"/>
      <c r="E163" s="11" t="n"/>
      <c r="F163" s="11" t="n"/>
      <c r="G163" s="11" t="n"/>
      <c r="H163" s="12" t="n"/>
      <c r="I163" s="11" t="n"/>
      <c r="J163" s="11" t="n"/>
      <c r="K163" s="11" t="n"/>
      <c r="L163" s="8">
        <f>IF(D163="","",IF(D163&gt;K163,"BUY-DAY","SELL-DAY"))</f>
        <v/>
      </c>
      <c r="M163" s="13">
        <f>IF(D163="","",MAX(E163-F163,ABS(E163-K163),ABS(F163-K163)))</f>
        <v/>
      </c>
      <c r="N163" s="8">
        <f>IF(D163="","",IF(AND(H163&gt;0,H163&gt;(H163/3)*2.5),"VOL-OK","VOL-NG"))</f>
        <v/>
      </c>
      <c r="O163" s="8">
        <f>IF(D163="","",IF(D163&gt;I163,"ON","OFF"))</f>
        <v/>
      </c>
      <c r="P163" s="8">
        <f>IF(D163="","",IF(D163&lt;J163,"ON","OFF"))</f>
        <v/>
      </c>
      <c r="Q163" s="8">
        <f>IF(OR(D163="",M163&lt;=0),"",IF(AND(L163="BUY-DAY",N163="VOL-OK",P163="ON",Z163="OK",AA163&lt;&gt;"DOWN"),"BUY",IF(AND(L163="SELL-DAY",N163="VOL-OK",O163="ON",Z163="OK",AA163&lt;&gt;"UP"),"SELL","")))</f>
        <v/>
      </c>
      <c r="R163" s="13">
        <f>IF(Q163="","",D163)</f>
        <v/>
      </c>
      <c r="S163" s="13">
        <f>IF(Q163="","",IF(Q163="BUY",D163-M163*1.5,D163+M163*1.5))</f>
        <v/>
      </c>
      <c r="T163" s="13">
        <f>IF(Q163="","",IF(Q163="BUY",D163+M163*1.5,D163-M163*1.5))</f>
        <v/>
      </c>
      <c r="U163" s="13">
        <f>IF(Q163="","",IF(Q163="BUY",D163+M163*2,D163-M163*2))</f>
        <v/>
      </c>
      <c r="V163" s="13">
        <f>IF(Q163="","",IF(Q163="BUY",D163+M163*3,D163-M163*3))</f>
        <v/>
      </c>
      <c r="W163" s="8">
        <f>IF(OR(D163="",M163&lt;=0),"",IF(AND(D163&gt;G163,ABS(D163-G163)&lt;M163*0.5),"2ND","1ST"))</f>
        <v/>
      </c>
      <c r="X163" s="8">
        <f>IF(OR(D163="",M163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3" s="8">
        <f>IF(OR(D163="",M163&lt;=0),"",IF(M163&gt;D163*0.05,"VOL-HIGH","VOL-NORMAL"))</f>
        <v/>
      </c>
      <c r="Z163" s="8">
        <f>IF(OR(D163="",M163&lt;=0),"",IF(AND(N163="VOL-OK",Y163="VOL-NORMAL",W163="2ND"),"OK","NG"))</f>
        <v/>
      </c>
      <c r="AA163" s="8">
        <f>IF(OR(D163="",M163&lt;=0),"",IF(AND(E163&gt;I163,F163&gt;J163),"UP",IF(AND(E163&lt;I163,F163&lt;J163),"DOWN","FLAT")))</f>
        <v/>
      </c>
    </row>
    <row r="164" ht="26" customHeight="1" s="1">
      <c r="A164" s="14">
        <f>IF(B164="","",ROW()-2)</f>
        <v/>
      </c>
      <c r="B164" s="15">
        <f>IF('StockList_MS2'!A163="","",HYPERLINK("https://kabutan.jp/stock/?code="&amp;'StockList_MS2'!A163,'StockList_MS2'!A163))</f>
        <v/>
      </c>
      <c r="C164" s="16">
        <f>IF('StockList_MS2'!A163="","",'StockList_MS2'!B163)</f>
        <v/>
      </c>
      <c r="D164" s="17" t="n"/>
      <c r="E164" s="17" t="n"/>
      <c r="F164" s="17" t="n"/>
      <c r="G164" s="17" t="n"/>
      <c r="H164" s="18" t="n"/>
      <c r="I164" s="17" t="n"/>
      <c r="J164" s="17" t="n"/>
      <c r="K164" s="17" t="n"/>
      <c r="L164" s="14">
        <f>IF(D164="","",IF(D164&gt;K164,"BUY-DAY","SELL-DAY"))</f>
        <v/>
      </c>
      <c r="M164" s="19">
        <f>IF(D164="","",MAX(E164-F164,ABS(E164-K164),ABS(F164-K164)))</f>
        <v/>
      </c>
      <c r="N164" s="14">
        <f>IF(D164="","",IF(AND(H164&gt;0,H164&gt;(H164/3)*2.5),"VOL-OK","VOL-NG"))</f>
        <v/>
      </c>
      <c r="O164" s="14">
        <f>IF(D164="","",IF(D164&gt;I164,"ON","OFF"))</f>
        <v/>
      </c>
      <c r="P164" s="14">
        <f>IF(D164="","",IF(D164&lt;J164,"ON","OFF"))</f>
        <v/>
      </c>
      <c r="Q164" s="14">
        <f>IF(OR(D164="",M164&lt;=0),"",IF(AND(L164="BUY-DAY",N164="VOL-OK",P164="ON",Z164="OK",AA164&lt;&gt;"DOWN"),"BUY",IF(AND(L164="SELL-DAY",N164="VOL-OK",O164="ON",Z164="OK",AA164&lt;&gt;"UP"),"SELL","")))</f>
        <v/>
      </c>
      <c r="R164" s="19">
        <f>IF(Q164="","",D164)</f>
        <v/>
      </c>
      <c r="S164" s="19">
        <f>IF(Q164="","",IF(Q164="BUY",D164-M164*1.5,D164+M164*1.5))</f>
        <v/>
      </c>
      <c r="T164" s="19">
        <f>IF(Q164="","",IF(Q164="BUY",D164+M164*1.5,D164-M164*1.5))</f>
        <v/>
      </c>
      <c r="U164" s="19">
        <f>IF(Q164="","",IF(Q164="BUY",D164+M164*2,D164-M164*2))</f>
        <v/>
      </c>
      <c r="V164" s="19">
        <f>IF(Q164="","",IF(Q164="BUY",D164+M164*3,D164-M164*3))</f>
        <v/>
      </c>
      <c r="W164" s="14">
        <f>IF(OR(D164="",M164&lt;=0),"",IF(AND(D164&gt;G164,ABS(D164-G164)&lt;M164*0.5),"2ND","1ST"))</f>
        <v/>
      </c>
      <c r="X164" s="14">
        <f>IF(OR(D164="",M164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4" s="14">
        <f>IF(OR(D164="",M164&lt;=0),"",IF(M164&gt;D164*0.05,"VOL-HIGH","VOL-NORMAL"))</f>
        <v/>
      </c>
      <c r="Z164" s="14">
        <f>IF(OR(D164="",M164&lt;=0),"",IF(AND(N164="VOL-OK",Y164="VOL-NORMAL",W164="2ND"),"OK","NG"))</f>
        <v/>
      </c>
      <c r="AA164" s="14">
        <f>IF(OR(D164="",M164&lt;=0),"",IF(AND(E164&gt;I164,F164&gt;J164),"UP",IF(AND(E164&lt;I164,F164&lt;J164),"DOWN","FLAT")))</f>
        <v/>
      </c>
    </row>
    <row r="165" ht="26" customHeight="1" s="1">
      <c r="A165" s="8">
        <f>IF(B165="","",ROW()-2)</f>
        <v/>
      </c>
      <c r="B165" s="9">
        <f>IF('StockList_MS2'!A164="","",HYPERLINK("https://kabutan.jp/stock/?code="&amp;'StockList_MS2'!A164,'StockList_MS2'!A164))</f>
        <v/>
      </c>
      <c r="C165" s="10">
        <f>IF('StockList_MS2'!A164="","",'StockList_MS2'!B164)</f>
        <v/>
      </c>
      <c r="D165" s="11" t="n"/>
      <c r="E165" s="11" t="n"/>
      <c r="F165" s="11" t="n"/>
      <c r="G165" s="11" t="n"/>
      <c r="H165" s="12" t="n"/>
      <c r="I165" s="11" t="n"/>
      <c r="J165" s="11" t="n"/>
      <c r="K165" s="11" t="n"/>
      <c r="L165" s="8">
        <f>IF(D165="","",IF(D165&gt;K165,"BUY-DAY","SELL-DAY"))</f>
        <v/>
      </c>
      <c r="M165" s="13">
        <f>IF(D165="","",MAX(E165-F165,ABS(E165-K165),ABS(F165-K165)))</f>
        <v/>
      </c>
      <c r="N165" s="8">
        <f>IF(D165="","",IF(AND(H165&gt;0,H165&gt;(H165/3)*2.5),"VOL-OK","VOL-NG"))</f>
        <v/>
      </c>
      <c r="O165" s="8">
        <f>IF(D165="","",IF(D165&gt;I165,"ON","OFF"))</f>
        <v/>
      </c>
      <c r="P165" s="8">
        <f>IF(D165="","",IF(D165&lt;J165,"ON","OFF"))</f>
        <v/>
      </c>
      <c r="Q165" s="8">
        <f>IF(OR(D165="",M165&lt;=0),"",IF(AND(L165="BUY-DAY",N165="VOL-OK",P165="ON",Z165="OK",AA165&lt;&gt;"DOWN"),"BUY",IF(AND(L165="SELL-DAY",N165="VOL-OK",O165="ON",Z165="OK",AA165&lt;&gt;"UP"),"SELL","")))</f>
        <v/>
      </c>
      <c r="R165" s="13">
        <f>IF(Q165="","",D165)</f>
        <v/>
      </c>
      <c r="S165" s="13">
        <f>IF(Q165="","",IF(Q165="BUY",D165-M165*1.5,D165+M165*1.5))</f>
        <v/>
      </c>
      <c r="T165" s="13">
        <f>IF(Q165="","",IF(Q165="BUY",D165+M165*1.5,D165-M165*1.5))</f>
        <v/>
      </c>
      <c r="U165" s="13">
        <f>IF(Q165="","",IF(Q165="BUY",D165+M165*2,D165-M165*2))</f>
        <v/>
      </c>
      <c r="V165" s="13">
        <f>IF(Q165="","",IF(Q165="BUY",D165+M165*3,D165-M165*3))</f>
        <v/>
      </c>
      <c r="W165" s="8">
        <f>IF(OR(D165="",M165&lt;=0),"",IF(AND(D165&gt;G165,ABS(D165-G165)&lt;M165*0.5),"2ND","1ST"))</f>
        <v/>
      </c>
      <c r="X165" s="8">
        <f>IF(OR(D165="",M165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5" s="8">
        <f>IF(OR(D165="",M165&lt;=0),"",IF(M165&gt;D165*0.05,"VOL-HIGH","VOL-NORMAL"))</f>
        <v/>
      </c>
      <c r="Z165" s="8">
        <f>IF(OR(D165="",M165&lt;=0),"",IF(AND(N165="VOL-OK",Y165="VOL-NORMAL",W165="2ND"),"OK","NG"))</f>
        <v/>
      </c>
      <c r="AA165" s="8">
        <f>IF(OR(D165="",M165&lt;=0),"",IF(AND(E165&gt;I165,F165&gt;J165),"UP",IF(AND(E165&lt;I165,F165&lt;J165),"DOWN","FLAT")))</f>
        <v/>
      </c>
    </row>
    <row r="166" ht="26" customHeight="1" s="1">
      <c r="A166" s="14">
        <f>IF(B166="","",ROW()-2)</f>
        <v/>
      </c>
      <c r="B166" s="15">
        <f>IF('StockList_MS2'!A165="","",HYPERLINK("https://kabutan.jp/stock/?code="&amp;'StockList_MS2'!A165,'StockList_MS2'!A165))</f>
        <v/>
      </c>
      <c r="C166" s="16">
        <f>IF('StockList_MS2'!A165="","",'StockList_MS2'!B165)</f>
        <v/>
      </c>
      <c r="D166" s="17" t="n"/>
      <c r="E166" s="17" t="n"/>
      <c r="F166" s="17" t="n"/>
      <c r="G166" s="17" t="n"/>
      <c r="H166" s="18" t="n"/>
      <c r="I166" s="17" t="n"/>
      <c r="J166" s="17" t="n"/>
      <c r="K166" s="17" t="n"/>
      <c r="L166" s="14">
        <f>IF(D166="","",IF(D166&gt;K166,"BUY-DAY","SELL-DAY"))</f>
        <v/>
      </c>
      <c r="M166" s="19">
        <f>IF(D166="","",MAX(E166-F166,ABS(E166-K166),ABS(F166-K166)))</f>
        <v/>
      </c>
      <c r="N166" s="14">
        <f>IF(D166="","",IF(AND(H166&gt;0,H166&gt;(H166/3)*2.5),"VOL-OK","VOL-NG"))</f>
        <v/>
      </c>
      <c r="O166" s="14">
        <f>IF(D166="","",IF(D166&gt;I166,"ON","OFF"))</f>
        <v/>
      </c>
      <c r="P166" s="14">
        <f>IF(D166="","",IF(D166&lt;J166,"ON","OFF"))</f>
        <v/>
      </c>
      <c r="Q166" s="14">
        <f>IF(OR(D166="",M166&lt;=0),"",IF(AND(L166="BUY-DAY",N166="VOL-OK",P166="ON",Z166="OK",AA166&lt;&gt;"DOWN"),"BUY",IF(AND(L166="SELL-DAY",N166="VOL-OK",O166="ON",Z166="OK",AA166&lt;&gt;"UP"),"SELL","")))</f>
        <v/>
      </c>
      <c r="R166" s="19">
        <f>IF(Q166="","",D166)</f>
        <v/>
      </c>
      <c r="S166" s="19">
        <f>IF(Q166="","",IF(Q166="BUY",D166-M166*1.5,D166+M166*1.5))</f>
        <v/>
      </c>
      <c r="T166" s="19">
        <f>IF(Q166="","",IF(Q166="BUY",D166+M166*1.5,D166-M166*1.5))</f>
        <v/>
      </c>
      <c r="U166" s="19">
        <f>IF(Q166="","",IF(Q166="BUY",D166+M166*2,D166-M166*2))</f>
        <v/>
      </c>
      <c r="V166" s="19">
        <f>IF(Q166="","",IF(Q166="BUY",D166+M166*3,D166-M166*3))</f>
        <v/>
      </c>
      <c r="W166" s="14">
        <f>IF(OR(D166="",M166&lt;=0),"",IF(AND(D166&gt;G166,ABS(D166-G166)&lt;M166*0.5),"2ND","1ST"))</f>
        <v/>
      </c>
      <c r="X166" s="14">
        <f>IF(OR(D166="",M166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6" s="14">
        <f>IF(OR(D166="",M166&lt;=0),"",IF(M166&gt;D166*0.05,"VOL-HIGH","VOL-NORMAL"))</f>
        <v/>
      </c>
      <c r="Z166" s="14">
        <f>IF(OR(D166="",M166&lt;=0),"",IF(AND(N166="VOL-OK",Y166="VOL-NORMAL",W166="2ND"),"OK","NG"))</f>
        <v/>
      </c>
      <c r="AA166" s="14">
        <f>IF(OR(D166="",M166&lt;=0),"",IF(AND(E166&gt;I166,F166&gt;J166),"UP",IF(AND(E166&lt;I166,F166&lt;J166),"DOWN","FLAT")))</f>
        <v/>
      </c>
    </row>
    <row r="167" ht="26" customHeight="1" s="1">
      <c r="A167" s="8">
        <f>IF(B167="","",ROW()-2)</f>
        <v/>
      </c>
      <c r="B167" s="9">
        <f>IF('StockList_MS2'!A166="","",HYPERLINK("https://kabutan.jp/stock/?code="&amp;'StockList_MS2'!A166,'StockList_MS2'!A166))</f>
        <v/>
      </c>
      <c r="C167" s="10">
        <f>IF('StockList_MS2'!A166="","",'StockList_MS2'!B166)</f>
        <v/>
      </c>
      <c r="D167" s="11" t="n"/>
      <c r="E167" s="11" t="n"/>
      <c r="F167" s="11" t="n"/>
      <c r="G167" s="11" t="n"/>
      <c r="H167" s="12" t="n"/>
      <c r="I167" s="11" t="n"/>
      <c r="J167" s="11" t="n"/>
      <c r="K167" s="11" t="n"/>
      <c r="L167" s="8">
        <f>IF(D167="","",IF(D167&gt;K167,"BUY-DAY","SELL-DAY"))</f>
        <v/>
      </c>
      <c r="M167" s="13">
        <f>IF(D167="","",MAX(E167-F167,ABS(E167-K167),ABS(F167-K167)))</f>
        <v/>
      </c>
      <c r="N167" s="8">
        <f>IF(D167="","",IF(AND(H167&gt;0,H167&gt;(H167/3)*2.5),"VOL-OK","VOL-NG"))</f>
        <v/>
      </c>
      <c r="O167" s="8">
        <f>IF(D167="","",IF(D167&gt;I167,"ON","OFF"))</f>
        <v/>
      </c>
      <c r="P167" s="8">
        <f>IF(D167="","",IF(D167&lt;J167,"ON","OFF"))</f>
        <v/>
      </c>
      <c r="Q167" s="8">
        <f>IF(OR(D167="",M167&lt;=0),"",IF(AND(L167="BUY-DAY",N167="VOL-OK",P167="ON",Z167="OK",AA167&lt;&gt;"DOWN"),"BUY",IF(AND(L167="SELL-DAY",N167="VOL-OK",O167="ON",Z167="OK",AA167&lt;&gt;"UP"),"SELL","")))</f>
        <v/>
      </c>
      <c r="R167" s="13">
        <f>IF(Q167="","",D167)</f>
        <v/>
      </c>
      <c r="S167" s="13">
        <f>IF(Q167="","",IF(Q167="BUY",D167-M167*1.5,D167+M167*1.5))</f>
        <v/>
      </c>
      <c r="T167" s="13">
        <f>IF(Q167="","",IF(Q167="BUY",D167+M167*1.5,D167-M167*1.5))</f>
        <v/>
      </c>
      <c r="U167" s="13">
        <f>IF(Q167="","",IF(Q167="BUY",D167+M167*2,D167-M167*2))</f>
        <v/>
      </c>
      <c r="V167" s="13">
        <f>IF(Q167="","",IF(Q167="BUY",D167+M167*3,D167-M167*3))</f>
        <v/>
      </c>
      <c r="W167" s="8">
        <f>IF(OR(D167="",M167&lt;=0),"",IF(AND(D167&gt;G167,ABS(D167-G167)&lt;M167*0.5),"2ND","1ST"))</f>
        <v/>
      </c>
      <c r="X167" s="8">
        <f>IF(OR(D167="",M167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7" s="8">
        <f>IF(OR(D167="",M167&lt;=0),"",IF(M167&gt;D167*0.05,"VOL-HIGH","VOL-NORMAL"))</f>
        <v/>
      </c>
      <c r="Z167" s="8">
        <f>IF(OR(D167="",M167&lt;=0),"",IF(AND(N167="VOL-OK",Y167="VOL-NORMAL",W167="2ND"),"OK","NG"))</f>
        <v/>
      </c>
      <c r="AA167" s="8">
        <f>IF(OR(D167="",M167&lt;=0),"",IF(AND(E167&gt;I167,F167&gt;J167),"UP",IF(AND(E167&lt;I167,F167&lt;J167),"DOWN","FLAT")))</f>
        <v/>
      </c>
    </row>
    <row r="168" ht="26" customHeight="1" s="1">
      <c r="A168" s="14">
        <f>IF(B168="","",ROW()-2)</f>
        <v/>
      </c>
      <c r="B168" s="15">
        <f>IF('StockList_MS2'!A167="","",HYPERLINK("https://kabutan.jp/stock/?code="&amp;'StockList_MS2'!A167,'StockList_MS2'!A167))</f>
        <v/>
      </c>
      <c r="C168" s="16">
        <f>IF('StockList_MS2'!A167="","",'StockList_MS2'!B167)</f>
        <v/>
      </c>
      <c r="D168" s="17" t="n"/>
      <c r="E168" s="17" t="n"/>
      <c r="F168" s="17" t="n"/>
      <c r="G168" s="17" t="n"/>
      <c r="H168" s="18" t="n"/>
      <c r="I168" s="17" t="n"/>
      <c r="J168" s="17" t="n"/>
      <c r="K168" s="17" t="n"/>
      <c r="L168" s="14">
        <f>IF(D168="","",IF(D168&gt;K168,"BUY-DAY","SELL-DAY"))</f>
        <v/>
      </c>
      <c r="M168" s="19">
        <f>IF(D168="","",MAX(E168-F168,ABS(E168-K168),ABS(F168-K168)))</f>
        <v/>
      </c>
      <c r="N168" s="14">
        <f>IF(D168="","",IF(AND(H168&gt;0,H168&gt;(H168/3)*2.5),"VOL-OK","VOL-NG"))</f>
        <v/>
      </c>
      <c r="O168" s="14">
        <f>IF(D168="","",IF(D168&gt;I168,"ON","OFF"))</f>
        <v/>
      </c>
      <c r="P168" s="14">
        <f>IF(D168="","",IF(D168&lt;J168,"ON","OFF"))</f>
        <v/>
      </c>
      <c r="Q168" s="14">
        <f>IF(OR(D168="",M168&lt;=0),"",IF(AND(L168="BUY-DAY",N168="VOL-OK",P168="ON",Z168="OK",AA168&lt;&gt;"DOWN"),"BUY",IF(AND(L168="SELL-DAY",N168="VOL-OK",O168="ON",Z168="OK",AA168&lt;&gt;"UP"),"SELL","")))</f>
        <v/>
      </c>
      <c r="R168" s="19">
        <f>IF(Q168="","",D168)</f>
        <v/>
      </c>
      <c r="S168" s="19">
        <f>IF(Q168="","",IF(Q168="BUY",D168-M168*1.5,D168+M168*1.5))</f>
        <v/>
      </c>
      <c r="T168" s="19">
        <f>IF(Q168="","",IF(Q168="BUY",D168+M168*1.5,D168-M168*1.5))</f>
        <v/>
      </c>
      <c r="U168" s="19">
        <f>IF(Q168="","",IF(Q168="BUY",D168+M168*2,D168-M168*2))</f>
        <v/>
      </c>
      <c r="V168" s="19">
        <f>IF(Q168="","",IF(Q168="BUY",D168+M168*3,D168-M168*3))</f>
        <v/>
      </c>
      <c r="W168" s="14">
        <f>IF(OR(D168="",M168&lt;=0),"",IF(AND(D168&gt;G168,ABS(D168-G168)&lt;M168*0.5),"2ND","1ST"))</f>
        <v/>
      </c>
      <c r="X168" s="14">
        <f>IF(OR(D168="",M168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8" s="14">
        <f>IF(OR(D168="",M168&lt;=0),"",IF(M168&gt;D168*0.05,"VOL-HIGH","VOL-NORMAL"))</f>
        <v/>
      </c>
      <c r="Z168" s="14">
        <f>IF(OR(D168="",M168&lt;=0),"",IF(AND(N168="VOL-OK",Y168="VOL-NORMAL",W168="2ND"),"OK","NG"))</f>
        <v/>
      </c>
      <c r="AA168" s="14">
        <f>IF(OR(D168="",M168&lt;=0),"",IF(AND(E168&gt;I168,F168&gt;J168),"UP",IF(AND(E168&lt;I168,F168&lt;J168),"DOWN","FLAT")))</f>
        <v/>
      </c>
    </row>
    <row r="169" ht="26" customHeight="1" s="1">
      <c r="A169" s="8">
        <f>IF(B169="","",ROW()-2)</f>
        <v/>
      </c>
      <c r="B169" s="9">
        <f>IF('StockList_MS2'!A168="","",HYPERLINK("https://kabutan.jp/stock/?code="&amp;'StockList_MS2'!A168,'StockList_MS2'!A168))</f>
        <v/>
      </c>
      <c r="C169" s="10">
        <f>IF('StockList_MS2'!A168="","",'StockList_MS2'!B168)</f>
        <v/>
      </c>
      <c r="D169" s="11" t="n"/>
      <c r="E169" s="11" t="n"/>
      <c r="F169" s="11" t="n"/>
      <c r="G169" s="11" t="n"/>
      <c r="H169" s="12" t="n"/>
      <c r="I169" s="11" t="n"/>
      <c r="J169" s="11" t="n"/>
      <c r="K169" s="11" t="n"/>
      <c r="L169" s="8">
        <f>IF(D169="","",IF(D169&gt;K169,"BUY-DAY","SELL-DAY"))</f>
        <v/>
      </c>
      <c r="M169" s="13">
        <f>IF(D169="","",MAX(E169-F169,ABS(E169-K169),ABS(F169-K169)))</f>
        <v/>
      </c>
      <c r="N169" s="8">
        <f>IF(D169="","",IF(AND(H169&gt;0,H169&gt;(H169/3)*2.5),"VOL-OK","VOL-NG"))</f>
        <v/>
      </c>
      <c r="O169" s="8">
        <f>IF(D169="","",IF(D169&gt;I169,"ON","OFF"))</f>
        <v/>
      </c>
      <c r="P169" s="8">
        <f>IF(D169="","",IF(D169&lt;J169,"ON","OFF"))</f>
        <v/>
      </c>
      <c r="Q169" s="8">
        <f>IF(OR(D169="",M169&lt;=0),"",IF(AND(L169="BUY-DAY",N169="VOL-OK",P169="ON",Z169="OK",AA169&lt;&gt;"DOWN"),"BUY",IF(AND(L169="SELL-DAY",N169="VOL-OK",O169="ON",Z169="OK",AA169&lt;&gt;"UP"),"SELL","")))</f>
        <v/>
      </c>
      <c r="R169" s="13">
        <f>IF(Q169="","",D169)</f>
        <v/>
      </c>
      <c r="S169" s="13">
        <f>IF(Q169="","",IF(Q169="BUY",D169-M169*1.5,D169+M169*1.5))</f>
        <v/>
      </c>
      <c r="T169" s="13">
        <f>IF(Q169="","",IF(Q169="BUY",D169+M169*1.5,D169-M169*1.5))</f>
        <v/>
      </c>
      <c r="U169" s="13">
        <f>IF(Q169="","",IF(Q169="BUY",D169+M169*2,D169-M169*2))</f>
        <v/>
      </c>
      <c r="V169" s="13">
        <f>IF(Q169="","",IF(Q169="BUY",D169+M169*3,D169-M169*3))</f>
        <v/>
      </c>
      <c r="W169" s="8">
        <f>IF(OR(D169="",M169&lt;=0),"",IF(AND(D169&gt;G169,ABS(D169-G169)&lt;M169*0.5),"2ND","1ST"))</f>
        <v/>
      </c>
      <c r="X169" s="8">
        <f>IF(OR(D169="",M169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69" s="8">
        <f>IF(OR(D169="",M169&lt;=0),"",IF(M169&gt;D169*0.05,"VOL-HIGH","VOL-NORMAL"))</f>
        <v/>
      </c>
      <c r="Z169" s="8">
        <f>IF(OR(D169="",M169&lt;=0),"",IF(AND(N169="VOL-OK",Y169="VOL-NORMAL",W169="2ND"),"OK","NG"))</f>
        <v/>
      </c>
      <c r="AA169" s="8">
        <f>IF(OR(D169="",M169&lt;=0),"",IF(AND(E169&gt;I169,F169&gt;J169),"UP",IF(AND(E169&lt;I169,F169&lt;J169),"DOWN","FLAT")))</f>
        <v/>
      </c>
    </row>
    <row r="170" ht="26" customHeight="1" s="1">
      <c r="A170" s="14">
        <f>IF(B170="","",ROW()-2)</f>
        <v/>
      </c>
      <c r="B170" s="15">
        <f>IF('StockList_MS2'!A169="","",HYPERLINK("https://kabutan.jp/stock/?code="&amp;'StockList_MS2'!A169,'StockList_MS2'!A169))</f>
        <v/>
      </c>
      <c r="C170" s="16">
        <f>IF('StockList_MS2'!A169="","",'StockList_MS2'!B169)</f>
        <v/>
      </c>
      <c r="D170" s="17" t="n"/>
      <c r="E170" s="17" t="n"/>
      <c r="F170" s="17" t="n"/>
      <c r="G170" s="17" t="n"/>
      <c r="H170" s="18" t="n"/>
      <c r="I170" s="17" t="n"/>
      <c r="J170" s="17" t="n"/>
      <c r="K170" s="17" t="n"/>
      <c r="L170" s="14">
        <f>IF(D170="","",IF(D170&gt;K170,"BUY-DAY","SELL-DAY"))</f>
        <v/>
      </c>
      <c r="M170" s="19">
        <f>IF(D170="","",MAX(E170-F170,ABS(E170-K170),ABS(F170-K170)))</f>
        <v/>
      </c>
      <c r="N170" s="14">
        <f>IF(D170="","",IF(AND(H170&gt;0,H170&gt;(H170/3)*2.5),"VOL-OK","VOL-NG"))</f>
        <v/>
      </c>
      <c r="O170" s="14">
        <f>IF(D170="","",IF(D170&gt;I170,"ON","OFF"))</f>
        <v/>
      </c>
      <c r="P170" s="14">
        <f>IF(D170="","",IF(D170&lt;J170,"ON","OFF"))</f>
        <v/>
      </c>
      <c r="Q170" s="14">
        <f>IF(OR(D170="",M170&lt;=0),"",IF(AND(L170="BUY-DAY",N170="VOL-OK",P170="ON",Z170="OK",AA170&lt;&gt;"DOWN"),"BUY",IF(AND(L170="SELL-DAY",N170="VOL-OK",O170="ON",Z170="OK",AA170&lt;&gt;"UP"),"SELL","")))</f>
        <v/>
      </c>
      <c r="R170" s="19">
        <f>IF(Q170="","",D170)</f>
        <v/>
      </c>
      <c r="S170" s="19">
        <f>IF(Q170="","",IF(Q170="BUY",D170-M170*1.5,D170+M170*1.5))</f>
        <v/>
      </c>
      <c r="T170" s="19">
        <f>IF(Q170="","",IF(Q170="BUY",D170+M170*1.5,D170-M170*1.5))</f>
        <v/>
      </c>
      <c r="U170" s="19">
        <f>IF(Q170="","",IF(Q170="BUY",D170+M170*2,D170-M170*2))</f>
        <v/>
      </c>
      <c r="V170" s="19">
        <f>IF(Q170="","",IF(Q170="BUY",D170+M170*3,D170-M170*3))</f>
        <v/>
      </c>
      <c r="W170" s="14">
        <f>IF(OR(D170="",M170&lt;=0),"",IF(AND(D170&gt;G170,ABS(D170-G170)&lt;M170*0.5),"2ND","1ST"))</f>
        <v/>
      </c>
      <c r="X170" s="14">
        <f>IF(OR(D170="",M170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0" s="14">
        <f>IF(OR(D170="",M170&lt;=0),"",IF(M170&gt;D170*0.05,"VOL-HIGH","VOL-NORMAL"))</f>
        <v/>
      </c>
      <c r="Z170" s="14">
        <f>IF(OR(D170="",M170&lt;=0),"",IF(AND(N170="VOL-OK",Y170="VOL-NORMAL",W170="2ND"),"OK","NG"))</f>
        <v/>
      </c>
      <c r="AA170" s="14">
        <f>IF(OR(D170="",M170&lt;=0),"",IF(AND(E170&gt;I170,F170&gt;J170),"UP",IF(AND(E170&lt;I170,F170&lt;J170),"DOWN","FLAT")))</f>
        <v/>
      </c>
    </row>
    <row r="171" ht="26" customHeight="1" s="1">
      <c r="A171" s="8">
        <f>IF(B171="","",ROW()-2)</f>
        <v/>
      </c>
      <c r="B171" s="9">
        <f>IF('StockList_MS2'!A170="","",HYPERLINK("https://kabutan.jp/stock/?code="&amp;'StockList_MS2'!A170,'StockList_MS2'!A170))</f>
        <v/>
      </c>
      <c r="C171" s="10">
        <f>IF('StockList_MS2'!A170="","",'StockList_MS2'!B170)</f>
        <v/>
      </c>
      <c r="D171" s="11" t="n"/>
      <c r="E171" s="11" t="n"/>
      <c r="F171" s="11" t="n"/>
      <c r="G171" s="11" t="n"/>
      <c r="H171" s="12" t="n"/>
      <c r="I171" s="11" t="n"/>
      <c r="J171" s="11" t="n"/>
      <c r="K171" s="11" t="n"/>
      <c r="L171" s="8">
        <f>IF(D171="","",IF(D171&gt;K171,"BUY-DAY","SELL-DAY"))</f>
        <v/>
      </c>
      <c r="M171" s="13">
        <f>IF(D171="","",MAX(E171-F171,ABS(E171-K171),ABS(F171-K171)))</f>
        <v/>
      </c>
      <c r="N171" s="8">
        <f>IF(D171="","",IF(AND(H171&gt;0,H171&gt;(H171/3)*2.5),"VOL-OK","VOL-NG"))</f>
        <v/>
      </c>
      <c r="O171" s="8">
        <f>IF(D171="","",IF(D171&gt;I171,"ON","OFF"))</f>
        <v/>
      </c>
      <c r="P171" s="8">
        <f>IF(D171="","",IF(D171&lt;J171,"ON","OFF"))</f>
        <v/>
      </c>
      <c r="Q171" s="8">
        <f>IF(OR(D171="",M171&lt;=0),"",IF(AND(L171="BUY-DAY",N171="VOL-OK",P171="ON",Z171="OK",AA171&lt;&gt;"DOWN"),"BUY",IF(AND(L171="SELL-DAY",N171="VOL-OK",O171="ON",Z171="OK",AA171&lt;&gt;"UP"),"SELL","")))</f>
        <v/>
      </c>
      <c r="R171" s="13">
        <f>IF(Q171="","",D171)</f>
        <v/>
      </c>
      <c r="S171" s="13">
        <f>IF(Q171="","",IF(Q171="BUY",D171-M171*1.5,D171+M171*1.5))</f>
        <v/>
      </c>
      <c r="T171" s="13">
        <f>IF(Q171="","",IF(Q171="BUY",D171+M171*1.5,D171-M171*1.5))</f>
        <v/>
      </c>
      <c r="U171" s="13">
        <f>IF(Q171="","",IF(Q171="BUY",D171+M171*2,D171-M171*2))</f>
        <v/>
      </c>
      <c r="V171" s="13">
        <f>IF(Q171="","",IF(Q171="BUY",D171+M171*3,D171-M171*3))</f>
        <v/>
      </c>
      <c r="W171" s="8">
        <f>IF(OR(D171="",M171&lt;=0),"",IF(AND(D171&gt;G171,ABS(D171-G171)&lt;M171*0.5),"2ND","1ST"))</f>
        <v/>
      </c>
      <c r="X171" s="8">
        <f>IF(OR(D171="",M171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1" s="8">
        <f>IF(OR(D171="",M171&lt;=0),"",IF(M171&gt;D171*0.05,"VOL-HIGH","VOL-NORMAL"))</f>
        <v/>
      </c>
      <c r="Z171" s="8">
        <f>IF(OR(D171="",M171&lt;=0),"",IF(AND(N171="VOL-OK",Y171="VOL-NORMAL",W171="2ND"),"OK","NG"))</f>
        <v/>
      </c>
      <c r="AA171" s="8">
        <f>IF(OR(D171="",M171&lt;=0),"",IF(AND(E171&gt;I171,F171&gt;J171),"UP",IF(AND(E171&lt;I171,F171&lt;J171),"DOWN","FLAT")))</f>
        <v/>
      </c>
    </row>
    <row r="172" ht="26" customHeight="1" s="1">
      <c r="A172" s="14">
        <f>IF(B172="","",ROW()-2)</f>
        <v/>
      </c>
      <c r="B172" s="15">
        <f>IF('StockList_MS2'!A171="","",HYPERLINK("https://kabutan.jp/stock/?code="&amp;'StockList_MS2'!A171,'StockList_MS2'!A171))</f>
        <v/>
      </c>
      <c r="C172" s="16">
        <f>IF('StockList_MS2'!A171="","",'StockList_MS2'!B171)</f>
        <v/>
      </c>
      <c r="D172" s="17" t="n"/>
      <c r="E172" s="17" t="n"/>
      <c r="F172" s="17" t="n"/>
      <c r="G172" s="17" t="n"/>
      <c r="H172" s="18" t="n"/>
      <c r="I172" s="17" t="n"/>
      <c r="J172" s="17" t="n"/>
      <c r="K172" s="17" t="n"/>
      <c r="L172" s="14">
        <f>IF(D172="","",IF(D172&gt;K172,"BUY-DAY","SELL-DAY"))</f>
        <v/>
      </c>
      <c r="M172" s="19">
        <f>IF(D172="","",MAX(E172-F172,ABS(E172-K172),ABS(F172-K172)))</f>
        <v/>
      </c>
      <c r="N172" s="14">
        <f>IF(D172="","",IF(AND(H172&gt;0,H172&gt;(H172/3)*2.5),"VOL-OK","VOL-NG"))</f>
        <v/>
      </c>
      <c r="O172" s="14">
        <f>IF(D172="","",IF(D172&gt;I172,"ON","OFF"))</f>
        <v/>
      </c>
      <c r="P172" s="14">
        <f>IF(D172="","",IF(D172&lt;J172,"ON","OFF"))</f>
        <v/>
      </c>
      <c r="Q172" s="14">
        <f>IF(OR(D172="",M172&lt;=0),"",IF(AND(L172="BUY-DAY",N172="VOL-OK",P172="ON",Z172="OK",AA172&lt;&gt;"DOWN"),"BUY",IF(AND(L172="SELL-DAY",N172="VOL-OK",O172="ON",Z172="OK",AA172&lt;&gt;"UP"),"SELL","")))</f>
        <v/>
      </c>
      <c r="R172" s="19">
        <f>IF(Q172="","",D172)</f>
        <v/>
      </c>
      <c r="S172" s="19">
        <f>IF(Q172="","",IF(Q172="BUY",D172-M172*1.5,D172+M172*1.5))</f>
        <v/>
      </c>
      <c r="T172" s="19">
        <f>IF(Q172="","",IF(Q172="BUY",D172+M172*1.5,D172-M172*1.5))</f>
        <v/>
      </c>
      <c r="U172" s="19">
        <f>IF(Q172="","",IF(Q172="BUY",D172+M172*2,D172-M172*2))</f>
        <v/>
      </c>
      <c r="V172" s="19">
        <f>IF(Q172="","",IF(Q172="BUY",D172+M172*3,D172-M172*3))</f>
        <v/>
      </c>
      <c r="W172" s="14">
        <f>IF(OR(D172="",M172&lt;=0),"",IF(AND(D172&gt;G172,ABS(D172-G172)&lt;M172*0.5),"2ND","1ST"))</f>
        <v/>
      </c>
      <c r="X172" s="14">
        <f>IF(OR(D172="",M172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2" s="14">
        <f>IF(OR(D172="",M172&lt;=0),"",IF(M172&gt;D172*0.05,"VOL-HIGH","VOL-NORMAL"))</f>
        <v/>
      </c>
      <c r="Z172" s="14">
        <f>IF(OR(D172="",M172&lt;=0),"",IF(AND(N172="VOL-OK",Y172="VOL-NORMAL",W172="2ND"),"OK","NG"))</f>
        <v/>
      </c>
      <c r="AA172" s="14">
        <f>IF(OR(D172="",M172&lt;=0),"",IF(AND(E172&gt;I172,F172&gt;J172),"UP",IF(AND(E172&lt;I172,F172&lt;J172),"DOWN","FLAT")))</f>
        <v/>
      </c>
    </row>
    <row r="173" ht="26" customHeight="1" s="1">
      <c r="A173" s="8">
        <f>IF(B173="","",ROW()-2)</f>
        <v/>
      </c>
      <c r="B173" s="9">
        <f>IF('StockList_MS2'!A172="","",HYPERLINK("https://kabutan.jp/stock/?code="&amp;'StockList_MS2'!A172,'StockList_MS2'!A172))</f>
        <v/>
      </c>
      <c r="C173" s="10">
        <f>IF('StockList_MS2'!A172="","",'StockList_MS2'!B172)</f>
        <v/>
      </c>
      <c r="D173" s="11" t="n"/>
      <c r="E173" s="11" t="n"/>
      <c r="F173" s="11" t="n"/>
      <c r="G173" s="11" t="n"/>
      <c r="H173" s="12" t="n"/>
      <c r="I173" s="11" t="n"/>
      <c r="J173" s="11" t="n"/>
      <c r="K173" s="11" t="n"/>
      <c r="L173" s="8">
        <f>IF(D173="","",IF(D173&gt;K173,"BUY-DAY","SELL-DAY"))</f>
        <v/>
      </c>
      <c r="M173" s="13">
        <f>IF(D173="","",MAX(E173-F173,ABS(E173-K173),ABS(F173-K173)))</f>
        <v/>
      </c>
      <c r="N173" s="8">
        <f>IF(D173="","",IF(AND(H173&gt;0,H173&gt;(H173/3)*2.5),"VOL-OK","VOL-NG"))</f>
        <v/>
      </c>
      <c r="O173" s="8">
        <f>IF(D173="","",IF(D173&gt;I173,"ON","OFF"))</f>
        <v/>
      </c>
      <c r="P173" s="8">
        <f>IF(D173="","",IF(D173&lt;J173,"ON","OFF"))</f>
        <v/>
      </c>
      <c r="Q173" s="8">
        <f>IF(OR(D173="",M173&lt;=0),"",IF(AND(L173="BUY-DAY",N173="VOL-OK",P173="ON",Z173="OK",AA173&lt;&gt;"DOWN"),"BUY",IF(AND(L173="SELL-DAY",N173="VOL-OK",O173="ON",Z173="OK",AA173&lt;&gt;"UP"),"SELL","")))</f>
        <v/>
      </c>
      <c r="R173" s="13">
        <f>IF(Q173="","",D173)</f>
        <v/>
      </c>
      <c r="S173" s="13">
        <f>IF(Q173="","",IF(Q173="BUY",D173-M173*1.5,D173+M173*1.5))</f>
        <v/>
      </c>
      <c r="T173" s="13">
        <f>IF(Q173="","",IF(Q173="BUY",D173+M173*1.5,D173-M173*1.5))</f>
        <v/>
      </c>
      <c r="U173" s="13">
        <f>IF(Q173="","",IF(Q173="BUY",D173+M173*2,D173-M173*2))</f>
        <v/>
      </c>
      <c r="V173" s="13">
        <f>IF(Q173="","",IF(Q173="BUY",D173+M173*3,D173-M173*3))</f>
        <v/>
      </c>
      <c r="W173" s="8">
        <f>IF(OR(D173="",M173&lt;=0),"",IF(AND(D173&gt;G173,ABS(D173-G173)&lt;M173*0.5),"2ND","1ST"))</f>
        <v/>
      </c>
      <c r="X173" s="8">
        <f>IF(OR(D173="",M173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3" s="8">
        <f>IF(OR(D173="",M173&lt;=0),"",IF(M173&gt;D173*0.05,"VOL-HIGH","VOL-NORMAL"))</f>
        <v/>
      </c>
      <c r="Z173" s="8">
        <f>IF(OR(D173="",M173&lt;=0),"",IF(AND(N173="VOL-OK",Y173="VOL-NORMAL",W173="2ND"),"OK","NG"))</f>
        <v/>
      </c>
      <c r="AA173" s="8">
        <f>IF(OR(D173="",M173&lt;=0),"",IF(AND(E173&gt;I173,F173&gt;J173),"UP",IF(AND(E173&lt;I173,F173&lt;J173),"DOWN","FLAT")))</f>
        <v/>
      </c>
    </row>
    <row r="174" ht="26" customHeight="1" s="1">
      <c r="A174" s="14">
        <f>IF(B174="","",ROW()-2)</f>
        <v/>
      </c>
      <c r="B174" s="15">
        <f>IF('StockList_MS2'!A173="","",HYPERLINK("https://kabutan.jp/stock/?code="&amp;'StockList_MS2'!A173,'StockList_MS2'!A173))</f>
        <v/>
      </c>
      <c r="C174" s="16">
        <f>IF('StockList_MS2'!A173="","",'StockList_MS2'!B173)</f>
        <v/>
      </c>
      <c r="D174" s="17" t="n"/>
      <c r="E174" s="17" t="n"/>
      <c r="F174" s="17" t="n"/>
      <c r="G174" s="17" t="n"/>
      <c r="H174" s="18" t="n"/>
      <c r="I174" s="17" t="n"/>
      <c r="J174" s="17" t="n"/>
      <c r="K174" s="17" t="n"/>
      <c r="L174" s="14">
        <f>IF(D174="","",IF(D174&gt;K174,"BUY-DAY","SELL-DAY"))</f>
        <v/>
      </c>
      <c r="M174" s="19">
        <f>IF(D174="","",MAX(E174-F174,ABS(E174-K174),ABS(F174-K174)))</f>
        <v/>
      </c>
      <c r="N174" s="14">
        <f>IF(D174="","",IF(AND(H174&gt;0,H174&gt;(H174/3)*2.5),"VOL-OK","VOL-NG"))</f>
        <v/>
      </c>
      <c r="O174" s="14">
        <f>IF(D174="","",IF(D174&gt;I174,"ON","OFF"))</f>
        <v/>
      </c>
      <c r="P174" s="14">
        <f>IF(D174="","",IF(D174&lt;J174,"ON","OFF"))</f>
        <v/>
      </c>
      <c r="Q174" s="14">
        <f>IF(OR(D174="",M174&lt;=0),"",IF(AND(L174="BUY-DAY",N174="VOL-OK",P174="ON",Z174="OK",AA174&lt;&gt;"DOWN"),"BUY",IF(AND(L174="SELL-DAY",N174="VOL-OK",O174="ON",Z174="OK",AA174&lt;&gt;"UP"),"SELL","")))</f>
        <v/>
      </c>
      <c r="R174" s="19">
        <f>IF(Q174="","",D174)</f>
        <v/>
      </c>
      <c r="S174" s="19">
        <f>IF(Q174="","",IF(Q174="BUY",D174-M174*1.5,D174+M174*1.5))</f>
        <v/>
      </c>
      <c r="T174" s="19">
        <f>IF(Q174="","",IF(Q174="BUY",D174+M174*1.5,D174-M174*1.5))</f>
        <v/>
      </c>
      <c r="U174" s="19">
        <f>IF(Q174="","",IF(Q174="BUY",D174+M174*2,D174-M174*2))</f>
        <v/>
      </c>
      <c r="V174" s="19">
        <f>IF(Q174="","",IF(Q174="BUY",D174+M174*3,D174-M174*3))</f>
        <v/>
      </c>
      <c r="W174" s="14">
        <f>IF(OR(D174="",M174&lt;=0),"",IF(AND(D174&gt;G174,ABS(D174-G174)&lt;M174*0.5),"2ND","1ST"))</f>
        <v/>
      </c>
      <c r="X174" s="14">
        <f>IF(OR(D174="",M174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4" s="14">
        <f>IF(OR(D174="",M174&lt;=0),"",IF(M174&gt;D174*0.05,"VOL-HIGH","VOL-NORMAL"))</f>
        <v/>
      </c>
      <c r="Z174" s="14">
        <f>IF(OR(D174="",M174&lt;=0),"",IF(AND(N174="VOL-OK",Y174="VOL-NORMAL",W174="2ND"),"OK","NG"))</f>
        <v/>
      </c>
      <c r="AA174" s="14">
        <f>IF(OR(D174="",M174&lt;=0),"",IF(AND(E174&gt;I174,F174&gt;J174),"UP",IF(AND(E174&lt;I174,F174&lt;J174),"DOWN","FLAT")))</f>
        <v/>
      </c>
    </row>
    <row r="175" ht="26" customHeight="1" s="1">
      <c r="A175" s="8">
        <f>IF(B175="","",ROW()-2)</f>
        <v/>
      </c>
      <c r="B175" s="9">
        <f>IF('StockList_MS2'!A174="","",HYPERLINK("https://kabutan.jp/stock/?code="&amp;'StockList_MS2'!A174,'StockList_MS2'!A174))</f>
        <v/>
      </c>
      <c r="C175" s="10">
        <f>IF('StockList_MS2'!A174="","",'StockList_MS2'!B174)</f>
        <v/>
      </c>
      <c r="D175" s="11" t="n"/>
      <c r="E175" s="11" t="n"/>
      <c r="F175" s="11" t="n"/>
      <c r="G175" s="11" t="n"/>
      <c r="H175" s="12" t="n"/>
      <c r="I175" s="11" t="n"/>
      <c r="J175" s="11" t="n"/>
      <c r="K175" s="11" t="n"/>
      <c r="L175" s="8">
        <f>IF(D175="","",IF(D175&gt;K175,"BUY-DAY","SELL-DAY"))</f>
        <v/>
      </c>
      <c r="M175" s="13">
        <f>IF(D175="","",MAX(E175-F175,ABS(E175-K175),ABS(F175-K175)))</f>
        <v/>
      </c>
      <c r="N175" s="8">
        <f>IF(D175="","",IF(AND(H175&gt;0,H175&gt;(H175/3)*2.5),"VOL-OK","VOL-NG"))</f>
        <v/>
      </c>
      <c r="O175" s="8">
        <f>IF(D175="","",IF(D175&gt;I175,"ON","OFF"))</f>
        <v/>
      </c>
      <c r="P175" s="8">
        <f>IF(D175="","",IF(D175&lt;J175,"ON","OFF"))</f>
        <v/>
      </c>
      <c r="Q175" s="8">
        <f>IF(OR(D175="",M175&lt;=0),"",IF(AND(L175="BUY-DAY",N175="VOL-OK",P175="ON",Z175="OK",AA175&lt;&gt;"DOWN"),"BUY",IF(AND(L175="SELL-DAY",N175="VOL-OK",O175="ON",Z175="OK",AA175&lt;&gt;"UP"),"SELL","")))</f>
        <v/>
      </c>
      <c r="R175" s="13">
        <f>IF(Q175="","",D175)</f>
        <v/>
      </c>
      <c r="S175" s="13">
        <f>IF(Q175="","",IF(Q175="BUY",D175-M175*1.5,D175+M175*1.5))</f>
        <v/>
      </c>
      <c r="T175" s="13">
        <f>IF(Q175="","",IF(Q175="BUY",D175+M175*1.5,D175-M175*1.5))</f>
        <v/>
      </c>
      <c r="U175" s="13">
        <f>IF(Q175="","",IF(Q175="BUY",D175+M175*2,D175-M175*2))</f>
        <v/>
      </c>
      <c r="V175" s="13">
        <f>IF(Q175="","",IF(Q175="BUY",D175+M175*3,D175-M175*3))</f>
        <v/>
      </c>
      <c r="W175" s="8">
        <f>IF(OR(D175="",M175&lt;=0),"",IF(AND(D175&gt;G175,ABS(D175-G175)&lt;M175*0.5),"2ND","1ST"))</f>
        <v/>
      </c>
      <c r="X175" s="8">
        <f>IF(OR(D175="",M175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5" s="8">
        <f>IF(OR(D175="",M175&lt;=0),"",IF(M175&gt;D175*0.05,"VOL-HIGH","VOL-NORMAL"))</f>
        <v/>
      </c>
      <c r="Z175" s="8">
        <f>IF(OR(D175="",M175&lt;=0),"",IF(AND(N175="VOL-OK",Y175="VOL-NORMAL",W175="2ND"),"OK","NG"))</f>
        <v/>
      </c>
      <c r="AA175" s="8">
        <f>IF(OR(D175="",M175&lt;=0),"",IF(AND(E175&gt;I175,F175&gt;J175),"UP",IF(AND(E175&lt;I175,F175&lt;J175),"DOWN","FLAT")))</f>
        <v/>
      </c>
    </row>
    <row r="176" ht="26" customHeight="1" s="1">
      <c r="A176" s="14">
        <f>IF(B176="","",ROW()-2)</f>
        <v/>
      </c>
      <c r="B176" s="15">
        <f>IF('StockList_MS2'!A175="","",HYPERLINK("https://kabutan.jp/stock/?code="&amp;'StockList_MS2'!A175,'StockList_MS2'!A175))</f>
        <v/>
      </c>
      <c r="C176" s="16">
        <f>IF('StockList_MS2'!A175="","",'StockList_MS2'!B175)</f>
        <v/>
      </c>
      <c r="D176" s="17" t="n"/>
      <c r="E176" s="17" t="n"/>
      <c r="F176" s="17" t="n"/>
      <c r="G176" s="17" t="n"/>
      <c r="H176" s="18" t="n"/>
      <c r="I176" s="17" t="n"/>
      <c r="J176" s="17" t="n"/>
      <c r="K176" s="17" t="n"/>
      <c r="L176" s="14">
        <f>IF(D176="","",IF(D176&gt;K176,"BUY-DAY","SELL-DAY"))</f>
        <v/>
      </c>
      <c r="M176" s="19">
        <f>IF(D176="","",MAX(E176-F176,ABS(E176-K176),ABS(F176-K176)))</f>
        <v/>
      </c>
      <c r="N176" s="14">
        <f>IF(D176="","",IF(AND(H176&gt;0,H176&gt;(H176/3)*2.5),"VOL-OK","VOL-NG"))</f>
        <v/>
      </c>
      <c r="O176" s="14">
        <f>IF(D176="","",IF(D176&gt;I176,"ON","OFF"))</f>
        <v/>
      </c>
      <c r="P176" s="14">
        <f>IF(D176="","",IF(D176&lt;J176,"ON","OFF"))</f>
        <v/>
      </c>
      <c r="Q176" s="14">
        <f>IF(OR(D176="",M176&lt;=0),"",IF(AND(L176="BUY-DAY",N176="VOL-OK",P176="ON",Z176="OK",AA176&lt;&gt;"DOWN"),"BUY",IF(AND(L176="SELL-DAY",N176="VOL-OK",O176="ON",Z176="OK",AA176&lt;&gt;"UP"),"SELL","")))</f>
        <v/>
      </c>
      <c r="R176" s="19">
        <f>IF(Q176="","",D176)</f>
        <v/>
      </c>
      <c r="S176" s="19">
        <f>IF(Q176="","",IF(Q176="BUY",D176-M176*1.5,D176+M176*1.5))</f>
        <v/>
      </c>
      <c r="T176" s="19">
        <f>IF(Q176="","",IF(Q176="BUY",D176+M176*1.5,D176-M176*1.5))</f>
        <v/>
      </c>
      <c r="U176" s="19">
        <f>IF(Q176="","",IF(Q176="BUY",D176+M176*2,D176-M176*2))</f>
        <v/>
      </c>
      <c r="V176" s="19">
        <f>IF(Q176="","",IF(Q176="BUY",D176+M176*3,D176-M176*3))</f>
        <v/>
      </c>
      <c r="W176" s="14">
        <f>IF(OR(D176="",M176&lt;=0),"",IF(AND(D176&gt;G176,ABS(D176-G176)&lt;M176*0.5),"2ND","1ST"))</f>
        <v/>
      </c>
      <c r="X176" s="14">
        <f>IF(OR(D176="",M176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6" s="14">
        <f>IF(OR(D176="",M176&lt;=0),"",IF(M176&gt;D176*0.05,"VOL-HIGH","VOL-NORMAL"))</f>
        <v/>
      </c>
      <c r="Z176" s="14">
        <f>IF(OR(D176="",M176&lt;=0),"",IF(AND(N176="VOL-OK",Y176="VOL-NORMAL",W176="2ND"),"OK","NG"))</f>
        <v/>
      </c>
      <c r="AA176" s="14">
        <f>IF(OR(D176="",M176&lt;=0),"",IF(AND(E176&gt;I176,F176&gt;J176),"UP",IF(AND(E176&lt;I176,F176&lt;J176),"DOWN","FLAT")))</f>
        <v/>
      </c>
    </row>
    <row r="177" ht="26" customHeight="1" s="1">
      <c r="A177" s="8">
        <f>IF(B177="","",ROW()-2)</f>
        <v/>
      </c>
      <c r="B177" s="9">
        <f>IF('StockList_MS2'!A176="","",HYPERLINK("https://kabutan.jp/stock/?code="&amp;'StockList_MS2'!A176,'StockList_MS2'!A176))</f>
        <v/>
      </c>
      <c r="C177" s="10">
        <f>IF('StockList_MS2'!A176="","",'StockList_MS2'!B176)</f>
        <v/>
      </c>
      <c r="D177" s="11" t="n"/>
      <c r="E177" s="11" t="n"/>
      <c r="F177" s="11" t="n"/>
      <c r="G177" s="11" t="n"/>
      <c r="H177" s="12" t="n"/>
      <c r="I177" s="11" t="n"/>
      <c r="J177" s="11" t="n"/>
      <c r="K177" s="11" t="n"/>
      <c r="L177" s="8">
        <f>IF(D177="","",IF(D177&gt;K177,"BUY-DAY","SELL-DAY"))</f>
        <v/>
      </c>
      <c r="M177" s="13">
        <f>IF(D177="","",MAX(E177-F177,ABS(E177-K177),ABS(F177-K177)))</f>
        <v/>
      </c>
      <c r="N177" s="8">
        <f>IF(D177="","",IF(AND(H177&gt;0,H177&gt;(H177/3)*2.5),"VOL-OK","VOL-NG"))</f>
        <v/>
      </c>
      <c r="O177" s="8">
        <f>IF(D177="","",IF(D177&gt;I177,"ON","OFF"))</f>
        <v/>
      </c>
      <c r="P177" s="8">
        <f>IF(D177="","",IF(D177&lt;J177,"ON","OFF"))</f>
        <v/>
      </c>
      <c r="Q177" s="8">
        <f>IF(OR(D177="",M177&lt;=0),"",IF(AND(L177="BUY-DAY",N177="VOL-OK",P177="ON",Z177="OK",AA177&lt;&gt;"DOWN"),"BUY",IF(AND(L177="SELL-DAY",N177="VOL-OK",O177="ON",Z177="OK",AA177&lt;&gt;"UP"),"SELL","")))</f>
        <v/>
      </c>
      <c r="R177" s="13">
        <f>IF(Q177="","",D177)</f>
        <v/>
      </c>
      <c r="S177" s="13">
        <f>IF(Q177="","",IF(Q177="BUY",D177-M177*1.5,D177+M177*1.5))</f>
        <v/>
      </c>
      <c r="T177" s="13">
        <f>IF(Q177="","",IF(Q177="BUY",D177+M177*1.5,D177-M177*1.5))</f>
        <v/>
      </c>
      <c r="U177" s="13">
        <f>IF(Q177="","",IF(Q177="BUY",D177+M177*2,D177-M177*2))</f>
        <v/>
      </c>
      <c r="V177" s="13">
        <f>IF(Q177="","",IF(Q177="BUY",D177+M177*3,D177-M177*3))</f>
        <v/>
      </c>
      <c r="W177" s="8">
        <f>IF(OR(D177="",M177&lt;=0),"",IF(AND(D177&gt;G177,ABS(D177-G177)&lt;M177*0.5),"2ND","1ST"))</f>
        <v/>
      </c>
      <c r="X177" s="8">
        <f>IF(OR(D177="",M177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7" s="8">
        <f>IF(OR(D177="",M177&lt;=0),"",IF(M177&gt;D177*0.05,"VOL-HIGH","VOL-NORMAL"))</f>
        <v/>
      </c>
      <c r="Z177" s="8">
        <f>IF(OR(D177="",M177&lt;=0),"",IF(AND(N177="VOL-OK",Y177="VOL-NORMAL",W177="2ND"),"OK","NG"))</f>
        <v/>
      </c>
      <c r="AA177" s="8">
        <f>IF(OR(D177="",M177&lt;=0),"",IF(AND(E177&gt;I177,F177&gt;J177),"UP",IF(AND(E177&lt;I177,F177&lt;J177),"DOWN","FLAT")))</f>
        <v/>
      </c>
    </row>
    <row r="178" ht="26" customHeight="1" s="1">
      <c r="A178" s="14">
        <f>IF(B178="","",ROW()-2)</f>
        <v/>
      </c>
      <c r="B178" s="15">
        <f>IF('StockList_MS2'!A177="","",HYPERLINK("https://kabutan.jp/stock/?code="&amp;'StockList_MS2'!A177,'StockList_MS2'!A177))</f>
        <v/>
      </c>
      <c r="C178" s="16">
        <f>IF('StockList_MS2'!A177="","",'StockList_MS2'!B177)</f>
        <v/>
      </c>
      <c r="D178" s="17" t="n"/>
      <c r="E178" s="17" t="n"/>
      <c r="F178" s="17" t="n"/>
      <c r="G178" s="17" t="n"/>
      <c r="H178" s="18" t="n"/>
      <c r="I178" s="17" t="n"/>
      <c r="J178" s="17" t="n"/>
      <c r="K178" s="17" t="n"/>
      <c r="L178" s="14">
        <f>IF(D178="","",IF(D178&gt;K178,"BUY-DAY","SELL-DAY"))</f>
        <v/>
      </c>
      <c r="M178" s="19">
        <f>IF(D178="","",MAX(E178-F178,ABS(E178-K178),ABS(F178-K178)))</f>
        <v/>
      </c>
      <c r="N178" s="14">
        <f>IF(D178="","",IF(AND(H178&gt;0,H178&gt;(H178/3)*2.5),"VOL-OK","VOL-NG"))</f>
        <v/>
      </c>
      <c r="O178" s="14">
        <f>IF(D178="","",IF(D178&gt;I178,"ON","OFF"))</f>
        <v/>
      </c>
      <c r="P178" s="14">
        <f>IF(D178="","",IF(D178&lt;J178,"ON","OFF"))</f>
        <v/>
      </c>
      <c r="Q178" s="14">
        <f>IF(OR(D178="",M178&lt;=0),"",IF(AND(L178="BUY-DAY",N178="VOL-OK",P178="ON",Z178="OK",AA178&lt;&gt;"DOWN"),"BUY",IF(AND(L178="SELL-DAY",N178="VOL-OK",O178="ON",Z178="OK",AA178&lt;&gt;"UP"),"SELL","")))</f>
        <v/>
      </c>
      <c r="R178" s="19">
        <f>IF(Q178="","",D178)</f>
        <v/>
      </c>
      <c r="S178" s="19">
        <f>IF(Q178="","",IF(Q178="BUY",D178-M178*1.5,D178+M178*1.5))</f>
        <v/>
      </c>
      <c r="T178" s="19">
        <f>IF(Q178="","",IF(Q178="BUY",D178+M178*1.5,D178-M178*1.5))</f>
        <v/>
      </c>
      <c r="U178" s="19">
        <f>IF(Q178="","",IF(Q178="BUY",D178+M178*2,D178-M178*2))</f>
        <v/>
      </c>
      <c r="V178" s="19">
        <f>IF(Q178="","",IF(Q178="BUY",D178+M178*3,D178-M178*3))</f>
        <v/>
      </c>
      <c r="W178" s="14">
        <f>IF(OR(D178="",M178&lt;=0),"",IF(AND(D178&gt;G178,ABS(D178-G178)&lt;M178*0.5),"2ND","1ST"))</f>
        <v/>
      </c>
      <c r="X178" s="14">
        <f>IF(OR(D178="",M178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8" s="14">
        <f>IF(OR(D178="",M178&lt;=0),"",IF(M178&gt;D178*0.05,"VOL-HIGH","VOL-NORMAL"))</f>
        <v/>
      </c>
      <c r="Z178" s="14">
        <f>IF(OR(D178="",M178&lt;=0),"",IF(AND(N178="VOL-OK",Y178="VOL-NORMAL",W178="2ND"),"OK","NG"))</f>
        <v/>
      </c>
      <c r="AA178" s="14">
        <f>IF(OR(D178="",M178&lt;=0),"",IF(AND(E178&gt;I178,F178&gt;J178),"UP",IF(AND(E178&lt;I178,F178&lt;J178),"DOWN","FLAT")))</f>
        <v/>
      </c>
    </row>
    <row r="179" ht="26" customHeight="1" s="1">
      <c r="A179" s="8">
        <f>IF(B179="","",ROW()-2)</f>
        <v/>
      </c>
      <c r="B179" s="9">
        <f>IF('StockList_MS2'!A178="","",HYPERLINK("https://kabutan.jp/stock/?code="&amp;'StockList_MS2'!A178,'StockList_MS2'!A178))</f>
        <v/>
      </c>
      <c r="C179" s="10">
        <f>IF('StockList_MS2'!A178="","",'StockList_MS2'!B178)</f>
        <v/>
      </c>
      <c r="D179" s="11" t="n"/>
      <c r="E179" s="11" t="n"/>
      <c r="F179" s="11" t="n"/>
      <c r="G179" s="11" t="n"/>
      <c r="H179" s="12" t="n"/>
      <c r="I179" s="11" t="n"/>
      <c r="J179" s="11" t="n"/>
      <c r="K179" s="11" t="n"/>
      <c r="L179" s="8">
        <f>IF(D179="","",IF(D179&gt;K179,"BUY-DAY","SELL-DAY"))</f>
        <v/>
      </c>
      <c r="M179" s="13">
        <f>IF(D179="","",MAX(E179-F179,ABS(E179-K179),ABS(F179-K179)))</f>
        <v/>
      </c>
      <c r="N179" s="8">
        <f>IF(D179="","",IF(AND(H179&gt;0,H179&gt;(H179/3)*2.5),"VOL-OK","VOL-NG"))</f>
        <v/>
      </c>
      <c r="O179" s="8">
        <f>IF(D179="","",IF(D179&gt;I179,"ON","OFF"))</f>
        <v/>
      </c>
      <c r="P179" s="8">
        <f>IF(D179="","",IF(D179&lt;J179,"ON","OFF"))</f>
        <v/>
      </c>
      <c r="Q179" s="8">
        <f>IF(OR(D179="",M179&lt;=0),"",IF(AND(L179="BUY-DAY",N179="VOL-OK",P179="ON",Z179="OK",AA179&lt;&gt;"DOWN"),"BUY",IF(AND(L179="SELL-DAY",N179="VOL-OK",O179="ON",Z179="OK",AA179&lt;&gt;"UP"),"SELL","")))</f>
        <v/>
      </c>
      <c r="R179" s="13">
        <f>IF(Q179="","",D179)</f>
        <v/>
      </c>
      <c r="S179" s="13">
        <f>IF(Q179="","",IF(Q179="BUY",D179-M179*1.5,D179+M179*1.5))</f>
        <v/>
      </c>
      <c r="T179" s="13">
        <f>IF(Q179="","",IF(Q179="BUY",D179+M179*1.5,D179-M179*1.5))</f>
        <v/>
      </c>
      <c r="U179" s="13">
        <f>IF(Q179="","",IF(Q179="BUY",D179+M179*2,D179-M179*2))</f>
        <v/>
      </c>
      <c r="V179" s="13">
        <f>IF(Q179="","",IF(Q179="BUY",D179+M179*3,D179-M179*3))</f>
        <v/>
      </c>
      <c r="W179" s="8">
        <f>IF(OR(D179="",M179&lt;=0),"",IF(AND(D179&gt;G179,ABS(D179-G179)&lt;M179*0.5),"2ND","1ST"))</f>
        <v/>
      </c>
      <c r="X179" s="8">
        <f>IF(OR(D179="",M179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79" s="8">
        <f>IF(OR(D179="",M179&lt;=0),"",IF(M179&gt;D179*0.05,"VOL-HIGH","VOL-NORMAL"))</f>
        <v/>
      </c>
      <c r="Z179" s="8">
        <f>IF(OR(D179="",M179&lt;=0),"",IF(AND(N179="VOL-OK",Y179="VOL-NORMAL",W179="2ND"),"OK","NG"))</f>
        <v/>
      </c>
      <c r="AA179" s="8">
        <f>IF(OR(D179="",M179&lt;=0),"",IF(AND(E179&gt;I179,F179&gt;J179),"UP",IF(AND(E179&lt;I179,F179&lt;J179),"DOWN","FLAT")))</f>
        <v/>
      </c>
    </row>
    <row r="180" ht="26" customHeight="1" s="1">
      <c r="A180" s="14">
        <f>IF(B180="","",ROW()-2)</f>
        <v/>
      </c>
      <c r="B180" s="15">
        <f>IF('StockList_MS2'!A179="","",HYPERLINK("https://kabutan.jp/stock/?code="&amp;'StockList_MS2'!A179,'StockList_MS2'!A179))</f>
        <v/>
      </c>
      <c r="C180" s="16">
        <f>IF('StockList_MS2'!A179="","",'StockList_MS2'!B179)</f>
        <v/>
      </c>
      <c r="D180" s="17" t="n"/>
      <c r="E180" s="17" t="n"/>
      <c r="F180" s="17" t="n"/>
      <c r="G180" s="17" t="n"/>
      <c r="H180" s="18" t="n"/>
      <c r="I180" s="17" t="n"/>
      <c r="J180" s="17" t="n"/>
      <c r="K180" s="17" t="n"/>
      <c r="L180" s="14">
        <f>IF(D180="","",IF(D180&gt;K180,"BUY-DAY","SELL-DAY"))</f>
        <v/>
      </c>
      <c r="M180" s="19">
        <f>IF(D180="","",MAX(E180-F180,ABS(E180-K180),ABS(F180-K180)))</f>
        <v/>
      </c>
      <c r="N180" s="14">
        <f>IF(D180="","",IF(AND(H180&gt;0,H180&gt;(H180/3)*2.5),"VOL-OK","VOL-NG"))</f>
        <v/>
      </c>
      <c r="O180" s="14">
        <f>IF(D180="","",IF(D180&gt;I180,"ON","OFF"))</f>
        <v/>
      </c>
      <c r="P180" s="14">
        <f>IF(D180="","",IF(D180&lt;J180,"ON","OFF"))</f>
        <v/>
      </c>
      <c r="Q180" s="14">
        <f>IF(OR(D180="",M180&lt;=0),"",IF(AND(L180="BUY-DAY",N180="VOL-OK",P180="ON",Z180="OK",AA180&lt;&gt;"DOWN"),"BUY",IF(AND(L180="SELL-DAY",N180="VOL-OK",O180="ON",Z180="OK",AA180&lt;&gt;"UP"),"SELL","")))</f>
        <v/>
      </c>
      <c r="R180" s="19">
        <f>IF(Q180="","",D180)</f>
        <v/>
      </c>
      <c r="S180" s="19">
        <f>IF(Q180="","",IF(Q180="BUY",D180-M180*1.5,D180+M180*1.5))</f>
        <v/>
      </c>
      <c r="T180" s="19">
        <f>IF(Q180="","",IF(Q180="BUY",D180+M180*1.5,D180-M180*1.5))</f>
        <v/>
      </c>
      <c r="U180" s="19">
        <f>IF(Q180="","",IF(Q180="BUY",D180+M180*2,D180-M180*2))</f>
        <v/>
      </c>
      <c r="V180" s="19">
        <f>IF(Q180="","",IF(Q180="BUY",D180+M180*3,D180-M180*3))</f>
        <v/>
      </c>
      <c r="W180" s="14">
        <f>IF(OR(D180="",M180&lt;=0),"",IF(AND(D180&gt;G180,ABS(D180-G180)&lt;M180*0.5),"2ND","1ST"))</f>
        <v/>
      </c>
      <c r="X180" s="14">
        <f>IF(OR(D180="",M180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0" s="14">
        <f>IF(OR(D180="",M180&lt;=0),"",IF(M180&gt;D180*0.05,"VOL-HIGH","VOL-NORMAL"))</f>
        <v/>
      </c>
      <c r="Z180" s="14">
        <f>IF(OR(D180="",M180&lt;=0),"",IF(AND(N180="VOL-OK",Y180="VOL-NORMAL",W180="2ND"),"OK","NG"))</f>
        <v/>
      </c>
      <c r="AA180" s="14">
        <f>IF(OR(D180="",M180&lt;=0),"",IF(AND(E180&gt;I180,F180&gt;J180),"UP",IF(AND(E180&lt;I180,F180&lt;J180),"DOWN","FLAT")))</f>
        <v/>
      </c>
    </row>
    <row r="181" ht="26" customHeight="1" s="1">
      <c r="A181" s="8">
        <f>IF(B181="","",ROW()-2)</f>
        <v/>
      </c>
      <c r="B181" s="9">
        <f>IF('StockList_MS2'!A180="","",HYPERLINK("https://kabutan.jp/stock/?code="&amp;'StockList_MS2'!A180,'StockList_MS2'!A180))</f>
        <v/>
      </c>
      <c r="C181" s="10">
        <f>IF('StockList_MS2'!A180="","",'StockList_MS2'!B180)</f>
        <v/>
      </c>
      <c r="D181" s="11" t="n"/>
      <c r="E181" s="11" t="n"/>
      <c r="F181" s="11" t="n"/>
      <c r="G181" s="11" t="n"/>
      <c r="H181" s="12" t="n"/>
      <c r="I181" s="11" t="n"/>
      <c r="J181" s="11" t="n"/>
      <c r="K181" s="11" t="n"/>
      <c r="L181" s="8">
        <f>IF(D181="","",IF(D181&gt;K181,"BUY-DAY","SELL-DAY"))</f>
        <v/>
      </c>
      <c r="M181" s="13">
        <f>IF(D181="","",MAX(E181-F181,ABS(E181-K181),ABS(F181-K181)))</f>
        <v/>
      </c>
      <c r="N181" s="8">
        <f>IF(D181="","",IF(AND(H181&gt;0,H181&gt;(H181/3)*2.5),"VOL-OK","VOL-NG"))</f>
        <v/>
      </c>
      <c r="O181" s="8">
        <f>IF(D181="","",IF(D181&gt;I181,"ON","OFF"))</f>
        <v/>
      </c>
      <c r="P181" s="8">
        <f>IF(D181="","",IF(D181&lt;J181,"ON","OFF"))</f>
        <v/>
      </c>
      <c r="Q181" s="8">
        <f>IF(OR(D181="",M181&lt;=0),"",IF(AND(L181="BUY-DAY",N181="VOL-OK",P181="ON",Z181="OK",AA181&lt;&gt;"DOWN"),"BUY",IF(AND(L181="SELL-DAY",N181="VOL-OK",O181="ON",Z181="OK",AA181&lt;&gt;"UP"),"SELL","")))</f>
        <v/>
      </c>
      <c r="R181" s="13">
        <f>IF(Q181="","",D181)</f>
        <v/>
      </c>
      <c r="S181" s="13">
        <f>IF(Q181="","",IF(Q181="BUY",D181-M181*1.5,D181+M181*1.5))</f>
        <v/>
      </c>
      <c r="T181" s="13">
        <f>IF(Q181="","",IF(Q181="BUY",D181+M181*1.5,D181-M181*1.5))</f>
        <v/>
      </c>
      <c r="U181" s="13">
        <f>IF(Q181="","",IF(Q181="BUY",D181+M181*2,D181-M181*2))</f>
        <v/>
      </c>
      <c r="V181" s="13">
        <f>IF(Q181="","",IF(Q181="BUY",D181+M181*3,D181-M181*3))</f>
        <v/>
      </c>
      <c r="W181" s="8">
        <f>IF(OR(D181="",M181&lt;=0),"",IF(AND(D181&gt;G181,ABS(D181-G181)&lt;M181*0.5),"2ND","1ST"))</f>
        <v/>
      </c>
      <c r="X181" s="8">
        <f>IF(OR(D181="",M181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1" s="8">
        <f>IF(OR(D181="",M181&lt;=0),"",IF(M181&gt;D181*0.05,"VOL-HIGH","VOL-NORMAL"))</f>
        <v/>
      </c>
      <c r="Z181" s="8">
        <f>IF(OR(D181="",M181&lt;=0),"",IF(AND(N181="VOL-OK",Y181="VOL-NORMAL",W181="2ND"),"OK","NG"))</f>
        <v/>
      </c>
      <c r="AA181" s="8">
        <f>IF(OR(D181="",M181&lt;=0),"",IF(AND(E181&gt;I181,F181&gt;J181),"UP",IF(AND(E181&lt;I181,F181&lt;J181),"DOWN","FLAT")))</f>
        <v/>
      </c>
    </row>
    <row r="182" ht="26" customHeight="1" s="1">
      <c r="A182" s="14">
        <f>IF(B182="","",ROW()-2)</f>
        <v/>
      </c>
      <c r="B182" s="15">
        <f>IF('StockList_MS2'!A181="","",HYPERLINK("https://kabutan.jp/stock/?code="&amp;'StockList_MS2'!A181,'StockList_MS2'!A181))</f>
        <v/>
      </c>
      <c r="C182" s="16">
        <f>IF('StockList_MS2'!A181="","",'StockList_MS2'!B181)</f>
        <v/>
      </c>
      <c r="D182" s="17" t="n"/>
      <c r="E182" s="17" t="n"/>
      <c r="F182" s="17" t="n"/>
      <c r="G182" s="17" t="n"/>
      <c r="H182" s="18" t="n"/>
      <c r="I182" s="17" t="n"/>
      <c r="J182" s="17" t="n"/>
      <c r="K182" s="17" t="n"/>
      <c r="L182" s="14">
        <f>IF(D182="","",IF(D182&gt;K182,"BUY-DAY","SELL-DAY"))</f>
        <v/>
      </c>
      <c r="M182" s="19">
        <f>IF(D182="","",MAX(E182-F182,ABS(E182-K182),ABS(F182-K182)))</f>
        <v/>
      </c>
      <c r="N182" s="14">
        <f>IF(D182="","",IF(AND(H182&gt;0,H182&gt;(H182/3)*2.5),"VOL-OK","VOL-NG"))</f>
        <v/>
      </c>
      <c r="O182" s="14">
        <f>IF(D182="","",IF(D182&gt;I182,"ON","OFF"))</f>
        <v/>
      </c>
      <c r="P182" s="14">
        <f>IF(D182="","",IF(D182&lt;J182,"ON","OFF"))</f>
        <v/>
      </c>
      <c r="Q182" s="14">
        <f>IF(OR(D182="",M182&lt;=0),"",IF(AND(L182="BUY-DAY",N182="VOL-OK",P182="ON",Z182="OK",AA182&lt;&gt;"DOWN"),"BUY",IF(AND(L182="SELL-DAY",N182="VOL-OK",O182="ON",Z182="OK",AA182&lt;&gt;"UP"),"SELL","")))</f>
        <v/>
      </c>
      <c r="R182" s="19">
        <f>IF(Q182="","",D182)</f>
        <v/>
      </c>
      <c r="S182" s="19">
        <f>IF(Q182="","",IF(Q182="BUY",D182-M182*1.5,D182+M182*1.5))</f>
        <v/>
      </c>
      <c r="T182" s="19">
        <f>IF(Q182="","",IF(Q182="BUY",D182+M182*1.5,D182-M182*1.5))</f>
        <v/>
      </c>
      <c r="U182" s="19">
        <f>IF(Q182="","",IF(Q182="BUY",D182+M182*2,D182-M182*2))</f>
        <v/>
      </c>
      <c r="V182" s="19">
        <f>IF(Q182="","",IF(Q182="BUY",D182+M182*3,D182-M182*3))</f>
        <v/>
      </c>
      <c r="W182" s="14">
        <f>IF(OR(D182="",M182&lt;=0),"",IF(AND(D182&gt;G182,ABS(D182-G182)&lt;M182*0.5),"2ND","1ST"))</f>
        <v/>
      </c>
      <c r="X182" s="14">
        <f>IF(OR(D182="",M182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2" s="14">
        <f>IF(OR(D182="",M182&lt;=0),"",IF(M182&gt;D182*0.05,"VOL-HIGH","VOL-NORMAL"))</f>
        <v/>
      </c>
      <c r="Z182" s="14">
        <f>IF(OR(D182="",M182&lt;=0),"",IF(AND(N182="VOL-OK",Y182="VOL-NORMAL",W182="2ND"),"OK","NG"))</f>
        <v/>
      </c>
      <c r="AA182" s="14">
        <f>IF(OR(D182="",M182&lt;=0),"",IF(AND(E182&gt;I182,F182&gt;J182),"UP",IF(AND(E182&lt;I182,F182&lt;J182),"DOWN","FLAT")))</f>
        <v/>
      </c>
    </row>
    <row r="183" ht="26" customHeight="1" s="1">
      <c r="A183" s="8">
        <f>IF(B183="","",ROW()-2)</f>
        <v/>
      </c>
      <c r="B183" s="9">
        <f>IF('StockList_MS2'!A182="","",HYPERLINK("https://kabutan.jp/stock/?code="&amp;'StockList_MS2'!A182,'StockList_MS2'!A182))</f>
        <v/>
      </c>
      <c r="C183" s="10">
        <f>IF('StockList_MS2'!A182="","",'StockList_MS2'!B182)</f>
        <v/>
      </c>
      <c r="D183" s="11" t="n"/>
      <c r="E183" s="11" t="n"/>
      <c r="F183" s="11" t="n"/>
      <c r="G183" s="11" t="n"/>
      <c r="H183" s="12" t="n"/>
      <c r="I183" s="11" t="n"/>
      <c r="J183" s="11" t="n"/>
      <c r="K183" s="11" t="n"/>
      <c r="L183" s="8">
        <f>IF(D183="","",IF(D183&gt;K183,"BUY-DAY","SELL-DAY"))</f>
        <v/>
      </c>
      <c r="M183" s="13">
        <f>IF(D183="","",MAX(E183-F183,ABS(E183-K183),ABS(F183-K183)))</f>
        <v/>
      </c>
      <c r="N183" s="8">
        <f>IF(D183="","",IF(AND(H183&gt;0,H183&gt;(H183/3)*2.5),"VOL-OK","VOL-NG"))</f>
        <v/>
      </c>
      <c r="O183" s="8">
        <f>IF(D183="","",IF(D183&gt;I183,"ON","OFF"))</f>
        <v/>
      </c>
      <c r="P183" s="8">
        <f>IF(D183="","",IF(D183&lt;J183,"ON","OFF"))</f>
        <v/>
      </c>
      <c r="Q183" s="8">
        <f>IF(OR(D183="",M183&lt;=0),"",IF(AND(L183="BUY-DAY",N183="VOL-OK",P183="ON",Z183="OK",AA183&lt;&gt;"DOWN"),"BUY",IF(AND(L183="SELL-DAY",N183="VOL-OK",O183="ON",Z183="OK",AA183&lt;&gt;"UP"),"SELL","")))</f>
        <v/>
      </c>
      <c r="R183" s="13">
        <f>IF(Q183="","",D183)</f>
        <v/>
      </c>
      <c r="S183" s="13">
        <f>IF(Q183="","",IF(Q183="BUY",D183-M183*1.5,D183+M183*1.5))</f>
        <v/>
      </c>
      <c r="T183" s="13">
        <f>IF(Q183="","",IF(Q183="BUY",D183+M183*1.5,D183-M183*1.5))</f>
        <v/>
      </c>
      <c r="U183" s="13">
        <f>IF(Q183="","",IF(Q183="BUY",D183+M183*2,D183-M183*2))</f>
        <v/>
      </c>
      <c r="V183" s="13">
        <f>IF(Q183="","",IF(Q183="BUY",D183+M183*3,D183-M183*3))</f>
        <v/>
      </c>
      <c r="W183" s="8">
        <f>IF(OR(D183="",M183&lt;=0),"",IF(AND(D183&gt;G183,ABS(D183-G183)&lt;M183*0.5),"2ND","1ST"))</f>
        <v/>
      </c>
      <c r="X183" s="8">
        <f>IF(OR(D183="",M183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3" s="8">
        <f>IF(OR(D183="",M183&lt;=0),"",IF(M183&gt;D183*0.05,"VOL-HIGH","VOL-NORMAL"))</f>
        <v/>
      </c>
      <c r="Z183" s="8">
        <f>IF(OR(D183="",M183&lt;=0),"",IF(AND(N183="VOL-OK",Y183="VOL-NORMAL",W183="2ND"),"OK","NG"))</f>
        <v/>
      </c>
      <c r="AA183" s="8">
        <f>IF(OR(D183="",M183&lt;=0),"",IF(AND(E183&gt;I183,F183&gt;J183),"UP",IF(AND(E183&lt;I183,F183&lt;J183),"DOWN","FLAT")))</f>
        <v/>
      </c>
    </row>
    <row r="184" ht="26" customHeight="1" s="1">
      <c r="A184" s="14">
        <f>IF(B184="","",ROW()-2)</f>
        <v/>
      </c>
      <c r="B184" s="15">
        <f>IF('StockList_MS2'!A183="","",HYPERLINK("https://kabutan.jp/stock/?code="&amp;'StockList_MS2'!A183,'StockList_MS2'!A183))</f>
        <v/>
      </c>
      <c r="C184" s="16">
        <f>IF('StockList_MS2'!A183="","",'StockList_MS2'!B183)</f>
        <v/>
      </c>
      <c r="D184" s="17" t="n"/>
      <c r="E184" s="17" t="n"/>
      <c r="F184" s="17" t="n"/>
      <c r="G184" s="17" t="n"/>
      <c r="H184" s="18" t="n"/>
      <c r="I184" s="17" t="n"/>
      <c r="J184" s="17" t="n"/>
      <c r="K184" s="17" t="n"/>
      <c r="L184" s="14">
        <f>IF(D184="","",IF(D184&gt;K184,"BUY-DAY","SELL-DAY"))</f>
        <v/>
      </c>
      <c r="M184" s="19">
        <f>IF(D184="","",MAX(E184-F184,ABS(E184-K184),ABS(F184-K184)))</f>
        <v/>
      </c>
      <c r="N184" s="14">
        <f>IF(D184="","",IF(AND(H184&gt;0,H184&gt;(H184/3)*2.5),"VOL-OK","VOL-NG"))</f>
        <v/>
      </c>
      <c r="O184" s="14">
        <f>IF(D184="","",IF(D184&gt;I184,"ON","OFF"))</f>
        <v/>
      </c>
      <c r="P184" s="14">
        <f>IF(D184="","",IF(D184&lt;J184,"ON","OFF"))</f>
        <v/>
      </c>
      <c r="Q184" s="14">
        <f>IF(OR(D184="",M184&lt;=0),"",IF(AND(L184="BUY-DAY",N184="VOL-OK",P184="ON",Z184="OK",AA184&lt;&gt;"DOWN"),"BUY",IF(AND(L184="SELL-DAY",N184="VOL-OK",O184="ON",Z184="OK",AA184&lt;&gt;"UP"),"SELL","")))</f>
        <v/>
      </c>
      <c r="R184" s="19">
        <f>IF(Q184="","",D184)</f>
        <v/>
      </c>
      <c r="S184" s="19">
        <f>IF(Q184="","",IF(Q184="BUY",D184-M184*1.5,D184+M184*1.5))</f>
        <v/>
      </c>
      <c r="T184" s="19">
        <f>IF(Q184="","",IF(Q184="BUY",D184+M184*1.5,D184-M184*1.5))</f>
        <v/>
      </c>
      <c r="U184" s="19">
        <f>IF(Q184="","",IF(Q184="BUY",D184+M184*2,D184-M184*2))</f>
        <v/>
      </c>
      <c r="V184" s="19">
        <f>IF(Q184="","",IF(Q184="BUY",D184+M184*3,D184-M184*3))</f>
        <v/>
      </c>
      <c r="W184" s="14">
        <f>IF(OR(D184="",M184&lt;=0),"",IF(AND(D184&gt;G184,ABS(D184-G184)&lt;M184*0.5),"2ND","1ST"))</f>
        <v/>
      </c>
      <c r="X184" s="14">
        <f>IF(OR(D184="",M184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4" s="14">
        <f>IF(OR(D184="",M184&lt;=0),"",IF(M184&gt;D184*0.05,"VOL-HIGH","VOL-NORMAL"))</f>
        <v/>
      </c>
      <c r="Z184" s="14">
        <f>IF(OR(D184="",M184&lt;=0),"",IF(AND(N184="VOL-OK",Y184="VOL-NORMAL",W184="2ND"),"OK","NG"))</f>
        <v/>
      </c>
      <c r="AA184" s="14">
        <f>IF(OR(D184="",M184&lt;=0),"",IF(AND(E184&gt;I184,F184&gt;J184),"UP",IF(AND(E184&lt;I184,F184&lt;J184),"DOWN","FLAT")))</f>
        <v/>
      </c>
    </row>
    <row r="185" ht="26" customHeight="1" s="1">
      <c r="A185" s="8">
        <f>IF(B185="","",ROW()-2)</f>
        <v/>
      </c>
      <c r="B185" s="9">
        <f>IF('StockList_MS2'!A184="","",HYPERLINK("https://kabutan.jp/stock/?code="&amp;'StockList_MS2'!A184,'StockList_MS2'!A184))</f>
        <v/>
      </c>
      <c r="C185" s="10">
        <f>IF('StockList_MS2'!A184="","",'StockList_MS2'!B184)</f>
        <v/>
      </c>
      <c r="D185" s="11" t="n"/>
      <c r="E185" s="11" t="n"/>
      <c r="F185" s="11" t="n"/>
      <c r="G185" s="11" t="n"/>
      <c r="H185" s="12" t="n"/>
      <c r="I185" s="11" t="n"/>
      <c r="J185" s="11" t="n"/>
      <c r="K185" s="11" t="n"/>
      <c r="L185" s="8">
        <f>IF(D185="","",IF(D185&gt;K185,"BUY-DAY","SELL-DAY"))</f>
        <v/>
      </c>
      <c r="M185" s="13">
        <f>IF(D185="","",MAX(E185-F185,ABS(E185-K185),ABS(F185-K185)))</f>
        <v/>
      </c>
      <c r="N185" s="8">
        <f>IF(D185="","",IF(AND(H185&gt;0,H185&gt;(H185/3)*2.5),"VOL-OK","VOL-NG"))</f>
        <v/>
      </c>
      <c r="O185" s="8">
        <f>IF(D185="","",IF(D185&gt;I185,"ON","OFF"))</f>
        <v/>
      </c>
      <c r="P185" s="8">
        <f>IF(D185="","",IF(D185&lt;J185,"ON","OFF"))</f>
        <v/>
      </c>
      <c r="Q185" s="8">
        <f>IF(OR(D185="",M185&lt;=0),"",IF(AND(L185="BUY-DAY",N185="VOL-OK",P185="ON",Z185="OK",AA185&lt;&gt;"DOWN"),"BUY",IF(AND(L185="SELL-DAY",N185="VOL-OK",O185="ON",Z185="OK",AA185&lt;&gt;"UP"),"SELL","")))</f>
        <v/>
      </c>
      <c r="R185" s="13">
        <f>IF(Q185="","",D185)</f>
        <v/>
      </c>
      <c r="S185" s="13">
        <f>IF(Q185="","",IF(Q185="BUY",D185-M185*1.5,D185+M185*1.5))</f>
        <v/>
      </c>
      <c r="T185" s="13">
        <f>IF(Q185="","",IF(Q185="BUY",D185+M185*1.5,D185-M185*1.5))</f>
        <v/>
      </c>
      <c r="U185" s="13">
        <f>IF(Q185="","",IF(Q185="BUY",D185+M185*2,D185-M185*2))</f>
        <v/>
      </c>
      <c r="V185" s="13">
        <f>IF(Q185="","",IF(Q185="BUY",D185+M185*3,D185-M185*3))</f>
        <v/>
      </c>
      <c r="W185" s="8">
        <f>IF(OR(D185="",M185&lt;=0),"",IF(AND(D185&gt;G185,ABS(D185-G185)&lt;M185*0.5),"2ND","1ST"))</f>
        <v/>
      </c>
      <c r="X185" s="8">
        <f>IF(OR(D185="",M185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5" s="8">
        <f>IF(OR(D185="",M185&lt;=0),"",IF(M185&gt;D185*0.05,"VOL-HIGH","VOL-NORMAL"))</f>
        <v/>
      </c>
      <c r="Z185" s="8">
        <f>IF(OR(D185="",M185&lt;=0),"",IF(AND(N185="VOL-OK",Y185="VOL-NORMAL",W185="2ND"),"OK","NG"))</f>
        <v/>
      </c>
      <c r="AA185" s="8">
        <f>IF(OR(D185="",M185&lt;=0),"",IF(AND(E185&gt;I185,F185&gt;J185),"UP",IF(AND(E185&lt;I185,F185&lt;J185),"DOWN","FLAT")))</f>
        <v/>
      </c>
    </row>
    <row r="186" ht="26" customHeight="1" s="1">
      <c r="A186" s="14">
        <f>IF(B186="","",ROW()-2)</f>
        <v/>
      </c>
      <c r="B186" s="15">
        <f>IF('StockList_MS2'!A185="","",HYPERLINK("https://kabutan.jp/stock/?code="&amp;'StockList_MS2'!A185,'StockList_MS2'!A185))</f>
        <v/>
      </c>
      <c r="C186" s="16">
        <f>IF('StockList_MS2'!A185="","",'StockList_MS2'!B185)</f>
        <v/>
      </c>
      <c r="D186" s="17" t="n"/>
      <c r="E186" s="17" t="n"/>
      <c r="F186" s="17" t="n"/>
      <c r="G186" s="17" t="n"/>
      <c r="H186" s="18" t="n"/>
      <c r="I186" s="17" t="n"/>
      <c r="J186" s="17" t="n"/>
      <c r="K186" s="17" t="n"/>
      <c r="L186" s="14">
        <f>IF(D186="","",IF(D186&gt;K186,"BUY-DAY","SELL-DAY"))</f>
        <v/>
      </c>
      <c r="M186" s="19">
        <f>IF(D186="","",MAX(E186-F186,ABS(E186-K186),ABS(F186-K186)))</f>
        <v/>
      </c>
      <c r="N186" s="14">
        <f>IF(D186="","",IF(AND(H186&gt;0,H186&gt;(H186/3)*2.5),"VOL-OK","VOL-NG"))</f>
        <v/>
      </c>
      <c r="O186" s="14">
        <f>IF(D186="","",IF(D186&gt;I186,"ON","OFF"))</f>
        <v/>
      </c>
      <c r="P186" s="14">
        <f>IF(D186="","",IF(D186&lt;J186,"ON","OFF"))</f>
        <v/>
      </c>
      <c r="Q186" s="14">
        <f>IF(OR(D186="",M186&lt;=0),"",IF(AND(L186="BUY-DAY",N186="VOL-OK",P186="ON",Z186="OK",AA186&lt;&gt;"DOWN"),"BUY",IF(AND(L186="SELL-DAY",N186="VOL-OK",O186="ON",Z186="OK",AA186&lt;&gt;"UP"),"SELL","")))</f>
        <v/>
      </c>
      <c r="R186" s="19">
        <f>IF(Q186="","",D186)</f>
        <v/>
      </c>
      <c r="S186" s="19">
        <f>IF(Q186="","",IF(Q186="BUY",D186-M186*1.5,D186+M186*1.5))</f>
        <v/>
      </c>
      <c r="T186" s="19">
        <f>IF(Q186="","",IF(Q186="BUY",D186+M186*1.5,D186-M186*1.5))</f>
        <v/>
      </c>
      <c r="U186" s="19">
        <f>IF(Q186="","",IF(Q186="BUY",D186+M186*2,D186-M186*2))</f>
        <v/>
      </c>
      <c r="V186" s="19">
        <f>IF(Q186="","",IF(Q186="BUY",D186+M186*3,D186-M186*3))</f>
        <v/>
      </c>
      <c r="W186" s="14">
        <f>IF(OR(D186="",M186&lt;=0),"",IF(AND(D186&gt;G186,ABS(D186-G186)&lt;M186*0.5),"2ND","1ST"))</f>
        <v/>
      </c>
      <c r="X186" s="14">
        <f>IF(OR(D186="",M186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6" s="14">
        <f>IF(OR(D186="",M186&lt;=0),"",IF(M186&gt;D186*0.05,"VOL-HIGH","VOL-NORMAL"))</f>
        <v/>
      </c>
      <c r="Z186" s="14">
        <f>IF(OR(D186="",M186&lt;=0),"",IF(AND(N186="VOL-OK",Y186="VOL-NORMAL",W186="2ND"),"OK","NG"))</f>
        <v/>
      </c>
      <c r="AA186" s="14">
        <f>IF(OR(D186="",M186&lt;=0),"",IF(AND(E186&gt;I186,F186&gt;J186),"UP",IF(AND(E186&lt;I186,F186&lt;J186),"DOWN","FLAT")))</f>
        <v/>
      </c>
    </row>
    <row r="187" ht="26" customHeight="1" s="1">
      <c r="A187" s="8">
        <f>IF(B187="","",ROW()-2)</f>
        <v/>
      </c>
      <c r="B187" s="9">
        <f>IF('StockList_MS2'!A186="","",HYPERLINK("https://kabutan.jp/stock/?code="&amp;'StockList_MS2'!A186,'StockList_MS2'!A186))</f>
        <v/>
      </c>
      <c r="C187" s="10">
        <f>IF('StockList_MS2'!A186="","",'StockList_MS2'!B186)</f>
        <v/>
      </c>
      <c r="D187" s="11" t="n"/>
      <c r="E187" s="11" t="n"/>
      <c r="F187" s="11" t="n"/>
      <c r="G187" s="11" t="n"/>
      <c r="H187" s="12" t="n"/>
      <c r="I187" s="11" t="n"/>
      <c r="J187" s="11" t="n"/>
      <c r="K187" s="11" t="n"/>
      <c r="L187" s="8">
        <f>IF(D187="","",IF(D187&gt;K187,"BUY-DAY","SELL-DAY"))</f>
        <v/>
      </c>
      <c r="M187" s="13">
        <f>IF(D187="","",MAX(E187-F187,ABS(E187-K187),ABS(F187-K187)))</f>
        <v/>
      </c>
      <c r="N187" s="8">
        <f>IF(D187="","",IF(AND(H187&gt;0,H187&gt;(H187/3)*2.5),"VOL-OK","VOL-NG"))</f>
        <v/>
      </c>
      <c r="O187" s="8">
        <f>IF(D187="","",IF(D187&gt;I187,"ON","OFF"))</f>
        <v/>
      </c>
      <c r="P187" s="8">
        <f>IF(D187="","",IF(D187&lt;J187,"ON","OFF"))</f>
        <v/>
      </c>
      <c r="Q187" s="8">
        <f>IF(OR(D187="",M187&lt;=0),"",IF(AND(L187="BUY-DAY",N187="VOL-OK",P187="ON",Z187="OK",AA187&lt;&gt;"DOWN"),"BUY",IF(AND(L187="SELL-DAY",N187="VOL-OK",O187="ON",Z187="OK",AA187&lt;&gt;"UP"),"SELL","")))</f>
        <v/>
      </c>
      <c r="R187" s="13">
        <f>IF(Q187="","",D187)</f>
        <v/>
      </c>
      <c r="S187" s="13">
        <f>IF(Q187="","",IF(Q187="BUY",D187-M187*1.5,D187+M187*1.5))</f>
        <v/>
      </c>
      <c r="T187" s="13">
        <f>IF(Q187="","",IF(Q187="BUY",D187+M187*1.5,D187-M187*1.5))</f>
        <v/>
      </c>
      <c r="U187" s="13">
        <f>IF(Q187="","",IF(Q187="BUY",D187+M187*2,D187-M187*2))</f>
        <v/>
      </c>
      <c r="V187" s="13">
        <f>IF(Q187="","",IF(Q187="BUY",D187+M187*3,D187-M187*3))</f>
        <v/>
      </c>
      <c r="W187" s="8">
        <f>IF(OR(D187="",M187&lt;=0),"",IF(AND(D187&gt;G187,ABS(D187-G187)&lt;M187*0.5),"2ND","1ST"))</f>
        <v/>
      </c>
      <c r="X187" s="8">
        <f>IF(OR(D187="",M187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7" s="8">
        <f>IF(OR(D187="",M187&lt;=0),"",IF(M187&gt;D187*0.05,"VOL-HIGH","VOL-NORMAL"))</f>
        <v/>
      </c>
      <c r="Z187" s="8">
        <f>IF(OR(D187="",M187&lt;=0),"",IF(AND(N187="VOL-OK",Y187="VOL-NORMAL",W187="2ND"),"OK","NG"))</f>
        <v/>
      </c>
      <c r="AA187" s="8">
        <f>IF(OR(D187="",M187&lt;=0),"",IF(AND(E187&gt;I187,F187&gt;J187),"UP",IF(AND(E187&lt;I187,F187&lt;J187),"DOWN","FLAT")))</f>
        <v/>
      </c>
    </row>
    <row r="188" ht="26" customHeight="1" s="1">
      <c r="A188" s="14">
        <f>IF(B188="","",ROW()-2)</f>
        <v/>
      </c>
      <c r="B188" s="15">
        <f>IF('StockList_MS2'!A187="","",HYPERLINK("https://kabutan.jp/stock/?code="&amp;'StockList_MS2'!A187,'StockList_MS2'!A187))</f>
        <v/>
      </c>
      <c r="C188" s="16">
        <f>IF('StockList_MS2'!A187="","",'StockList_MS2'!B187)</f>
        <v/>
      </c>
      <c r="D188" s="17" t="n"/>
      <c r="E188" s="17" t="n"/>
      <c r="F188" s="17" t="n"/>
      <c r="G188" s="17" t="n"/>
      <c r="H188" s="18" t="n"/>
      <c r="I188" s="17" t="n"/>
      <c r="J188" s="17" t="n"/>
      <c r="K188" s="17" t="n"/>
      <c r="L188" s="14">
        <f>IF(D188="","",IF(D188&gt;K188,"BUY-DAY","SELL-DAY"))</f>
        <v/>
      </c>
      <c r="M188" s="19">
        <f>IF(D188="","",MAX(E188-F188,ABS(E188-K188),ABS(F188-K188)))</f>
        <v/>
      </c>
      <c r="N188" s="14">
        <f>IF(D188="","",IF(AND(H188&gt;0,H188&gt;(H188/3)*2.5),"VOL-OK","VOL-NG"))</f>
        <v/>
      </c>
      <c r="O188" s="14">
        <f>IF(D188="","",IF(D188&gt;I188,"ON","OFF"))</f>
        <v/>
      </c>
      <c r="P188" s="14">
        <f>IF(D188="","",IF(D188&lt;J188,"ON","OFF"))</f>
        <v/>
      </c>
      <c r="Q188" s="14">
        <f>IF(OR(D188="",M188&lt;=0),"",IF(AND(L188="BUY-DAY",N188="VOL-OK",P188="ON",Z188="OK",AA188&lt;&gt;"DOWN"),"BUY",IF(AND(L188="SELL-DAY",N188="VOL-OK",O188="ON",Z188="OK",AA188&lt;&gt;"UP"),"SELL","")))</f>
        <v/>
      </c>
      <c r="R188" s="19">
        <f>IF(Q188="","",D188)</f>
        <v/>
      </c>
      <c r="S188" s="19">
        <f>IF(Q188="","",IF(Q188="BUY",D188-M188*1.5,D188+M188*1.5))</f>
        <v/>
      </c>
      <c r="T188" s="19">
        <f>IF(Q188="","",IF(Q188="BUY",D188+M188*1.5,D188-M188*1.5))</f>
        <v/>
      </c>
      <c r="U188" s="19">
        <f>IF(Q188="","",IF(Q188="BUY",D188+M188*2,D188-M188*2))</f>
        <v/>
      </c>
      <c r="V188" s="19">
        <f>IF(Q188="","",IF(Q188="BUY",D188+M188*3,D188-M188*3))</f>
        <v/>
      </c>
      <c r="W188" s="14">
        <f>IF(OR(D188="",M188&lt;=0),"",IF(AND(D188&gt;G188,ABS(D188-G188)&lt;M188*0.5),"2ND","1ST"))</f>
        <v/>
      </c>
      <c r="X188" s="14">
        <f>IF(OR(D188="",M188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8" s="14">
        <f>IF(OR(D188="",M188&lt;=0),"",IF(M188&gt;D188*0.05,"VOL-HIGH","VOL-NORMAL"))</f>
        <v/>
      </c>
      <c r="Z188" s="14">
        <f>IF(OR(D188="",M188&lt;=0),"",IF(AND(N188="VOL-OK",Y188="VOL-NORMAL",W188="2ND"),"OK","NG"))</f>
        <v/>
      </c>
      <c r="AA188" s="14">
        <f>IF(OR(D188="",M188&lt;=0),"",IF(AND(E188&gt;I188,F188&gt;J188),"UP",IF(AND(E188&lt;I188,F188&lt;J188),"DOWN","FLAT")))</f>
        <v/>
      </c>
    </row>
    <row r="189" ht="26" customHeight="1" s="1">
      <c r="A189" s="8">
        <f>IF(B189="","",ROW()-2)</f>
        <v/>
      </c>
      <c r="B189" s="9">
        <f>IF('StockList_MS2'!A188="","",HYPERLINK("https://kabutan.jp/stock/?code="&amp;'StockList_MS2'!A188,'StockList_MS2'!A188))</f>
        <v/>
      </c>
      <c r="C189" s="10">
        <f>IF('StockList_MS2'!A188="","",'StockList_MS2'!B188)</f>
        <v/>
      </c>
      <c r="D189" s="11" t="n"/>
      <c r="E189" s="11" t="n"/>
      <c r="F189" s="11" t="n"/>
      <c r="G189" s="11" t="n"/>
      <c r="H189" s="12" t="n"/>
      <c r="I189" s="11" t="n"/>
      <c r="J189" s="11" t="n"/>
      <c r="K189" s="11" t="n"/>
      <c r="L189" s="8">
        <f>IF(D189="","",IF(D189&gt;K189,"BUY-DAY","SELL-DAY"))</f>
        <v/>
      </c>
      <c r="M189" s="13">
        <f>IF(D189="","",MAX(E189-F189,ABS(E189-K189),ABS(F189-K189)))</f>
        <v/>
      </c>
      <c r="N189" s="8">
        <f>IF(D189="","",IF(AND(H189&gt;0,H189&gt;(H189/3)*2.5),"VOL-OK","VOL-NG"))</f>
        <v/>
      </c>
      <c r="O189" s="8">
        <f>IF(D189="","",IF(D189&gt;I189,"ON","OFF"))</f>
        <v/>
      </c>
      <c r="P189" s="8">
        <f>IF(D189="","",IF(D189&lt;J189,"ON","OFF"))</f>
        <v/>
      </c>
      <c r="Q189" s="8">
        <f>IF(OR(D189="",M189&lt;=0),"",IF(AND(L189="BUY-DAY",N189="VOL-OK",P189="ON",Z189="OK",AA189&lt;&gt;"DOWN"),"BUY",IF(AND(L189="SELL-DAY",N189="VOL-OK",O189="ON",Z189="OK",AA189&lt;&gt;"UP"),"SELL","")))</f>
        <v/>
      </c>
      <c r="R189" s="13">
        <f>IF(Q189="","",D189)</f>
        <v/>
      </c>
      <c r="S189" s="13">
        <f>IF(Q189="","",IF(Q189="BUY",D189-M189*1.5,D189+M189*1.5))</f>
        <v/>
      </c>
      <c r="T189" s="13">
        <f>IF(Q189="","",IF(Q189="BUY",D189+M189*1.5,D189-M189*1.5))</f>
        <v/>
      </c>
      <c r="U189" s="13">
        <f>IF(Q189="","",IF(Q189="BUY",D189+M189*2,D189-M189*2))</f>
        <v/>
      </c>
      <c r="V189" s="13">
        <f>IF(Q189="","",IF(Q189="BUY",D189+M189*3,D189-M189*3))</f>
        <v/>
      </c>
      <c r="W189" s="8">
        <f>IF(OR(D189="",M189&lt;=0),"",IF(AND(D189&gt;G189,ABS(D189-G189)&lt;M189*0.5),"2ND","1ST"))</f>
        <v/>
      </c>
      <c r="X189" s="8">
        <f>IF(OR(D189="",M189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89" s="8">
        <f>IF(OR(D189="",M189&lt;=0),"",IF(M189&gt;D189*0.05,"VOL-HIGH","VOL-NORMAL"))</f>
        <v/>
      </c>
      <c r="Z189" s="8">
        <f>IF(OR(D189="",M189&lt;=0),"",IF(AND(N189="VOL-OK",Y189="VOL-NORMAL",W189="2ND"),"OK","NG"))</f>
        <v/>
      </c>
      <c r="AA189" s="8">
        <f>IF(OR(D189="",M189&lt;=0),"",IF(AND(E189&gt;I189,F189&gt;J189),"UP",IF(AND(E189&lt;I189,F189&lt;J189),"DOWN","FLAT")))</f>
        <v/>
      </c>
    </row>
    <row r="190" ht="26" customHeight="1" s="1">
      <c r="A190" s="14">
        <f>IF(B190="","",ROW()-2)</f>
        <v/>
      </c>
      <c r="B190" s="15">
        <f>IF('StockList_MS2'!A189="","",HYPERLINK("https://kabutan.jp/stock/?code="&amp;'StockList_MS2'!A189,'StockList_MS2'!A189))</f>
        <v/>
      </c>
      <c r="C190" s="16">
        <f>IF('StockList_MS2'!A189="","",'StockList_MS2'!B189)</f>
        <v/>
      </c>
      <c r="D190" s="17" t="n"/>
      <c r="E190" s="17" t="n"/>
      <c r="F190" s="17" t="n"/>
      <c r="G190" s="17" t="n"/>
      <c r="H190" s="18" t="n"/>
      <c r="I190" s="17" t="n"/>
      <c r="J190" s="17" t="n"/>
      <c r="K190" s="17" t="n"/>
      <c r="L190" s="14">
        <f>IF(D190="","",IF(D190&gt;K190,"BUY-DAY","SELL-DAY"))</f>
        <v/>
      </c>
      <c r="M190" s="19">
        <f>IF(D190="","",MAX(E190-F190,ABS(E190-K190),ABS(F190-K190)))</f>
        <v/>
      </c>
      <c r="N190" s="14">
        <f>IF(D190="","",IF(AND(H190&gt;0,H190&gt;(H190/3)*2.5),"VOL-OK","VOL-NG"))</f>
        <v/>
      </c>
      <c r="O190" s="14">
        <f>IF(D190="","",IF(D190&gt;I190,"ON","OFF"))</f>
        <v/>
      </c>
      <c r="P190" s="14">
        <f>IF(D190="","",IF(D190&lt;J190,"ON","OFF"))</f>
        <v/>
      </c>
      <c r="Q190" s="14">
        <f>IF(OR(D190="",M190&lt;=0),"",IF(AND(L190="BUY-DAY",N190="VOL-OK",P190="ON",Z190="OK",AA190&lt;&gt;"DOWN"),"BUY",IF(AND(L190="SELL-DAY",N190="VOL-OK",O190="ON",Z190="OK",AA190&lt;&gt;"UP"),"SELL","")))</f>
        <v/>
      </c>
      <c r="R190" s="19">
        <f>IF(Q190="","",D190)</f>
        <v/>
      </c>
      <c r="S190" s="19">
        <f>IF(Q190="","",IF(Q190="BUY",D190-M190*1.5,D190+M190*1.5))</f>
        <v/>
      </c>
      <c r="T190" s="19">
        <f>IF(Q190="","",IF(Q190="BUY",D190+M190*1.5,D190-M190*1.5))</f>
        <v/>
      </c>
      <c r="U190" s="19">
        <f>IF(Q190="","",IF(Q190="BUY",D190+M190*2,D190-M190*2))</f>
        <v/>
      </c>
      <c r="V190" s="19">
        <f>IF(Q190="","",IF(Q190="BUY",D190+M190*3,D190-M190*3))</f>
        <v/>
      </c>
      <c r="W190" s="14">
        <f>IF(OR(D190="",M190&lt;=0),"",IF(AND(D190&gt;G190,ABS(D190-G190)&lt;M190*0.5),"2ND","1ST"))</f>
        <v/>
      </c>
      <c r="X190" s="14">
        <f>IF(OR(D190="",M190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0" s="14">
        <f>IF(OR(D190="",M190&lt;=0),"",IF(M190&gt;D190*0.05,"VOL-HIGH","VOL-NORMAL"))</f>
        <v/>
      </c>
      <c r="Z190" s="14">
        <f>IF(OR(D190="",M190&lt;=0),"",IF(AND(N190="VOL-OK",Y190="VOL-NORMAL",W190="2ND"),"OK","NG"))</f>
        <v/>
      </c>
      <c r="AA190" s="14">
        <f>IF(OR(D190="",M190&lt;=0),"",IF(AND(E190&gt;I190,F190&gt;J190),"UP",IF(AND(E190&lt;I190,F190&lt;J190),"DOWN","FLAT")))</f>
        <v/>
      </c>
    </row>
    <row r="191" ht="26" customHeight="1" s="1">
      <c r="A191" s="8">
        <f>IF(B191="","",ROW()-2)</f>
        <v/>
      </c>
      <c r="B191" s="9">
        <f>IF('StockList_MS2'!A190="","",HYPERLINK("https://kabutan.jp/stock/?code="&amp;'StockList_MS2'!A190,'StockList_MS2'!A190))</f>
        <v/>
      </c>
      <c r="C191" s="10">
        <f>IF('StockList_MS2'!A190="","",'StockList_MS2'!B190)</f>
        <v/>
      </c>
      <c r="D191" s="11" t="n"/>
      <c r="E191" s="11" t="n"/>
      <c r="F191" s="11" t="n"/>
      <c r="G191" s="11" t="n"/>
      <c r="H191" s="12" t="n"/>
      <c r="I191" s="11" t="n"/>
      <c r="J191" s="11" t="n"/>
      <c r="K191" s="11" t="n"/>
      <c r="L191" s="8">
        <f>IF(D191="","",IF(D191&gt;K191,"BUY-DAY","SELL-DAY"))</f>
        <v/>
      </c>
      <c r="M191" s="13">
        <f>IF(D191="","",MAX(E191-F191,ABS(E191-K191),ABS(F191-K191)))</f>
        <v/>
      </c>
      <c r="N191" s="8">
        <f>IF(D191="","",IF(AND(H191&gt;0,H191&gt;(H191/3)*2.5),"VOL-OK","VOL-NG"))</f>
        <v/>
      </c>
      <c r="O191" s="8">
        <f>IF(D191="","",IF(D191&gt;I191,"ON","OFF"))</f>
        <v/>
      </c>
      <c r="P191" s="8">
        <f>IF(D191="","",IF(D191&lt;J191,"ON","OFF"))</f>
        <v/>
      </c>
      <c r="Q191" s="8">
        <f>IF(OR(D191="",M191&lt;=0),"",IF(AND(L191="BUY-DAY",N191="VOL-OK",P191="ON",Z191="OK",AA191&lt;&gt;"DOWN"),"BUY",IF(AND(L191="SELL-DAY",N191="VOL-OK",O191="ON",Z191="OK",AA191&lt;&gt;"UP"),"SELL","")))</f>
        <v/>
      </c>
      <c r="R191" s="13">
        <f>IF(Q191="","",D191)</f>
        <v/>
      </c>
      <c r="S191" s="13">
        <f>IF(Q191="","",IF(Q191="BUY",D191-M191*1.5,D191+M191*1.5))</f>
        <v/>
      </c>
      <c r="T191" s="13">
        <f>IF(Q191="","",IF(Q191="BUY",D191+M191*1.5,D191-M191*1.5))</f>
        <v/>
      </c>
      <c r="U191" s="13">
        <f>IF(Q191="","",IF(Q191="BUY",D191+M191*2,D191-M191*2))</f>
        <v/>
      </c>
      <c r="V191" s="13">
        <f>IF(Q191="","",IF(Q191="BUY",D191+M191*3,D191-M191*3))</f>
        <v/>
      </c>
      <c r="W191" s="8">
        <f>IF(OR(D191="",M191&lt;=0),"",IF(AND(D191&gt;G191,ABS(D191-G191)&lt;M191*0.5),"2ND","1ST"))</f>
        <v/>
      </c>
      <c r="X191" s="8">
        <f>IF(OR(D191="",M191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1" s="8">
        <f>IF(OR(D191="",M191&lt;=0),"",IF(M191&gt;D191*0.05,"VOL-HIGH","VOL-NORMAL"))</f>
        <v/>
      </c>
      <c r="Z191" s="8">
        <f>IF(OR(D191="",M191&lt;=0),"",IF(AND(N191="VOL-OK",Y191="VOL-NORMAL",W191="2ND"),"OK","NG"))</f>
        <v/>
      </c>
      <c r="AA191" s="8">
        <f>IF(OR(D191="",M191&lt;=0),"",IF(AND(E191&gt;I191,F191&gt;J191),"UP",IF(AND(E191&lt;I191,F191&lt;J191),"DOWN","FLAT")))</f>
        <v/>
      </c>
    </row>
    <row r="192" ht="26" customHeight="1" s="1">
      <c r="A192" s="14">
        <f>IF(B192="","",ROW()-2)</f>
        <v/>
      </c>
      <c r="B192" s="15">
        <f>IF('StockList_MS2'!A191="","",HYPERLINK("https://kabutan.jp/stock/?code="&amp;'StockList_MS2'!A191,'StockList_MS2'!A191))</f>
        <v/>
      </c>
      <c r="C192" s="16">
        <f>IF('StockList_MS2'!A191="","",'StockList_MS2'!B191)</f>
        <v/>
      </c>
      <c r="D192" s="17" t="n"/>
      <c r="E192" s="17" t="n"/>
      <c r="F192" s="17" t="n"/>
      <c r="G192" s="17" t="n"/>
      <c r="H192" s="18" t="n"/>
      <c r="I192" s="17" t="n"/>
      <c r="J192" s="17" t="n"/>
      <c r="K192" s="17" t="n"/>
      <c r="L192" s="14">
        <f>IF(D192="","",IF(D192&gt;K192,"BUY-DAY","SELL-DAY"))</f>
        <v/>
      </c>
      <c r="M192" s="19">
        <f>IF(D192="","",MAX(E192-F192,ABS(E192-K192),ABS(F192-K192)))</f>
        <v/>
      </c>
      <c r="N192" s="14">
        <f>IF(D192="","",IF(AND(H192&gt;0,H192&gt;(H192/3)*2.5),"VOL-OK","VOL-NG"))</f>
        <v/>
      </c>
      <c r="O192" s="14">
        <f>IF(D192="","",IF(D192&gt;I192,"ON","OFF"))</f>
        <v/>
      </c>
      <c r="P192" s="14">
        <f>IF(D192="","",IF(D192&lt;J192,"ON","OFF"))</f>
        <v/>
      </c>
      <c r="Q192" s="14">
        <f>IF(OR(D192="",M192&lt;=0),"",IF(AND(L192="BUY-DAY",N192="VOL-OK",P192="ON",Z192="OK",AA192&lt;&gt;"DOWN"),"BUY",IF(AND(L192="SELL-DAY",N192="VOL-OK",O192="ON",Z192="OK",AA192&lt;&gt;"UP"),"SELL","")))</f>
        <v/>
      </c>
      <c r="R192" s="19">
        <f>IF(Q192="","",D192)</f>
        <v/>
      </c>
      <c r="S192" s="19">
        <f>IF(Q192="","",IF(Q192="BUY",D192-M192*1.5,D192+M192*1.5))</f>
        <v/>
      </c>
      <c r="T192" s="19">
        <f>IF(Q192="","",IF(Q192="BUY",D192+M192*1.5,D192-M192*1.5))</f>
        <v/>
      </c>
      <c r="U192" s="19">
        <f>IF(Q192="","",IF(Q192="BUY",D192+M192*2,D192-M192*2))</f>
        <v/>
      </c>
      <c r="V192" s="19">
        <f>IF(Q192="","",IF(Q192="BUY",D192+M192*3,D192-M192*3))</f>
        <v/>
      </c>
      <c r="W192" s="14">
        <f>IF(OR(D192="",M192&lt;=0),"",IF(AND(D192&gt;G192,ABS(D192-G192)&lt;M192*0.5),"2ND","1ST"))</f>
        <v/>
      </c>
      <c r="X192" s="14">
        <f>IF(OR(D192="",M192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2" s="14">
        <f>IF(OR(D192="",M192&lt;=0),"",IF(M192&gt;D192*0.05,"VOL-HIGH","VOL-NORMAL"))</f>
        <v/>
      </c>
      <c r="Z192" s="14">
        <f>IF(OR(D192="",M192&lt;=0),"",IF(AND(N192="VOL-OK",Y192="VOL-NORMAL",W192="2ND"),"OK","NG"))</f>
        <v/>
      </c>
      <c r="AA192" s="14">
        <f>IF(OR(D192="",M192&lt;=0),"",IF(AND(E192&gt;I192,F192&gt;J192),"UP",IF(AND(E192&lt;I192,F192&lt;J192),"DOWN","FLAT")))</f>
        <v/>
      </c>
    </row>
    <row r="193" ht="26" customHeight="1" s="1">
      <c r="A193" s="8">
        <f>IF(B193="","",ROW()-2)</f>
        <v/>
      </c>
      <c r="B193" s="9">
        <f>IF('StockList_MS2'!A192="","",HYPERLINK("https://kabutan.jp/stock/?code="&amp;'StockList_MS2'!A192,'StockList_MS2'!A192))</f>
        <v/>
      </c>
      <c r="C193" s="10">
        <f>IF('StockList_MS2'!A192="","",'StockList_MS2'!B192)</f>
        <v/>
      </c>
      <c r="D193" s="11" t="n"/>
      <c r="E193" s="11" t="n"/>
      <c r="F193" s="11" t="n"/>
      <c r="G193" s="11" t="n"/>
      <c r="H193" s="12" t="n"/>
      <c r="I193" s="11" t="n"/>
      <c r="J193" s="11" t="n"/>
      <c r="K193" s="11" t="n"/>
      <c r="L193" s="8">
        <f>IF(D193="","",IF(D193&gt;K193,"BUY-DAY","SELL-DAY"))</f>
        <v/>
      </c>
      <c r="M193" s="13">
        <f>IF(D193="","",MAX(E193-F193,ABS(E193-K193),ABS(F193-K193)))</f>
        <v/>
      </c>
      <c r="N193" s="8">
        <f>IF(D193="","",IF(AND(H193&gt;0,H193&gt;(H193/3)*2.5),"VOL-OK","VOL-NG"))</f>
        <v/>
      </c>
      <c r="O193" s="8">
        <f>IF(D193="","",IF(D193&gt;I193,"ON","OFF"))</f>
        <v/>
      </c>
      <c r="P193" s="8">
        <f>IF(D193="","",IF(D193&lt;J193,"ON","OFF"))</f>
        <v/>
      </c>
      <c r="Q193" s="8">
        <f>IF(OR(D193="",M193&lt;=0),"",IF(AND(L193="BUY-DAY",N193="VOL-OK",P193="ON",Z193="OK",AA193&lt;&gt;"DOWN"),"BUY",IF(AND(L193="SELL-DAY",N193="VOL-OK",O193="ON",Z193="OK",AA193&lt;&gt;"UP"),"SELL","")))</f>
        <v/>
      </c>
      <c r="R193" s="13">
        <f>IF(Q193="","",D193)</f>
        <v/>
      </c>
      <c r="S193" s="13">
        <f>IF(Q193="","",IF(Q193="BUY",D193-M193*1.5,D193+M193*1.5))</f>
        <v/>
      </c>
      <c r="T193" s="13">
        <f>IF(Q193="","",IF(Q193="BUY",D193+M193*1.5,D193-M193*1.5))</f>
        <v/>
      </c>
      <c r="U193" s="13">
        <f>IF(Q193="","",IF(Q193="BUY",D193+M193*2,D193-M193*2))</f>
        <v/>
      </c>
      <c r="V193" s="13">
        <f>IF(Q193="","",IF(Q193="BUY",D193+M193*3,D193-M193*3))</f>
        <v/>
      </c>
      <c r="W193" s="8">
        <f>IF(OR(D193="",M193&lt;=0),"",IF(AND(D193&gt;G193,ABS(D193-G193)&lt;M193*0.5),"2ND","1ST"))</f>
        <v/>
      </c>
      <c r="X193" s="8">
        <f>IF(OR(D193="",M193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3" s="8">
        <f>IF(OR(D193="",M193&lt;=0),"",IF(M193&gt;D193*0.05,"VOL-HIGH","VOL-NORMAL"))</f>
        <v/>
      </c>
      <c r="Z193" s="8">
        <f>IF(OR(D193="",M193&lt;=0),"",IF(AND(N193="VOL-OK",Y193="VOL-NORMAL",W193="2ND"),"OK","NG"))</f>
        <v/>
      </c>
      <c r="AA193" s="8">
        <f>IF(OR(D193="",M193&lt;=0),"",IF(AND(E193&gt;I193,F193&gt;J193),"UP",IF(AND(E193&lt;I193,F193&lt;J193),"DOWN","FLAT")))</f>
        <v/>
      </c>
    </row>
    <row r="194" ht="26" customHeight="1" s="1">
      <c r="A194" s="14">
        <f>IF(B194="","",ROW()-2)</f>
        <v/>
      </c>
      <c r="B194" s="15">
        <f>IF('StockList_MS2'!A193="","",HYPERLINK("https://kabutan.jp/stock/?code="&amp;'StockList_MS2'!A193,'StockList_MS2'!A193))</f>
        <v/>
      </c>
      <c r="C194" s="16">
        <f>IF('StockList_MS2'!A193="","",'StockList_MS2'!B193)</f>
        <v/>
      </c>
      <c r="D194" s="17" t="n"/>
      <c r="E194" s="17" t="n"/>
      <c r="F194" s="17" t="n"/>
      <c r="G194" s="17" t="n"/>
      <c r="H194" s="18" t="n"/>
      <c r="I194" s="17" t="n"/>
      <c r="J194" s="17" t="n"/>
      <c r="K194" s="17" t="n"/>
      <c r="L194" s="14">
        <f>IF(D194="","",IF(D194&gt;K194,"BUY-DAY","SELL-DAY"))</f>
        <v/>
      </c>
      <c r="M194" s="19">
        <f>IF(D194="","",MAX(E194-F194,ABS(E194-K194),ABS(F194-K194)))</f>
        <v/>
      </c>
      <c r="N194" s="14">
        <f>IF(D194="","",IF(AND(H194&gt;0,H194&gt;(H194/3)*2.5),"VOL-OK","VOL-NG"))</f>
        <v/>
      </c>
      <c r="O194" s="14">
        <f>IF(D194="","",IF(D194&gt;I194,"ON","OFF"))</f>
        <v/>
      </c>
      <c r="P194" s="14">
        <f>IF(D194="","",IF(D194&lt;J194,"ON","OFF"))</f>
        <v/>
      </c>
      <c r="Q194" s="14">
        <f>IF(OR(D194="",M194&lt;=0),"",IF(AND(L194="BUY-DAY",N194="VOL-OK",P194="ON",Z194="OK",AA194&lt;&gt;"DOWN"),"BUY",IF(AND(L194="SELL-DAY",N194="VOL-OK",O194="ON",Z194="OK",AA194&lt;&gt;"UP"),"SELL","")))</f>
        <v/>
      </c>
      <c r="R194" s="19">
        <f>IF(Q194="","",D194)</f>
        <v/>
      </c>
      <c r="S194" s="19">
        <f>IF(Q194="","",IF(Q194="BUY",D194-M194*1.5,D194+M194*1.5))</f>
        <v/>
      </c>
      <c r="T194" s="19">
        <f>IF(Q194="","",IF(Q194="BUY",D194+M194*1.5,D194-M194*1.5))</f>
        <v/>
      </c>
      <c r="U194" s="19">
        <f>IF(Q194="","",IF(Q194="BUY",D194+M194*2,D194-M194*2))</f>
        <v/>
      </c>
      <c r="V194" s="19">
        <f>IF(Q194="","",IF(Q194="BUY",D194+M194*3,D194-M194*3))</f>
        <v/>
      </c>
      <c r="W194" s="14">
        <f>IF(OR(D194="",M194&lt;=0),"",IF(AND(D194&gt;G194,ABS(D194-G194)&lt;M194*0.5),"2ND","1ST"))</f>
        <v/>
      </c>
      <c r="X194" s="14">
        <f>IF(OR(D194="",M194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4" s="14">
        <f>IF(OR(D194="",M194&lt;=0),"",IF(M194&gt;D194*0.05,"VOL-HIGH","VOL-NORMAL"))</f>
        <v/>
      </c>
      <c r="Z194" s="14">
        <f>IF(OR(D194="",M194&lt;=0),"",IF(AND(N194="VOL-OK",Y194="VOL-NORMAL",W194="2ND"),"OK","NG"))</f>
        <v/>
      </c>
      <c r="AA194" s="14">
        <f>IF(OR(D194="",M194&lt;=0),"",IF(AND(E194&gt;I194,F194&gt;J194),"UP",IF(AND(E194&lt;I194,F194&lt;J194),"DOWN","FLAT")))</f>
        <v/>
      </c>
    </row>
    <row r="195" ht="26" customHeight="1" s="1">
      <c r="A195" s="8">
        <f>IF(B195="","",ROW()-2)</f>
        <v/>
      </c>
      <c r="B195" s="9">
        <f>IF('StockList_MS2'!A194="","",HYPERLINK("https://kabutan.jp/stock/?code="&amp;'StockList_MS2'!A194,'StockList_MS2'!A194))</f>
        <v/>
      </c>
      <c r="C195" s="10">
        <f>IF('StockList_MS2'!A194="","",'StockList_MS2'!B194)</f>
        <v/>
      </c>
      <c r="D195" s="11" t="n"/>
      <c r="E195" s="11" t="n"/>
      <c r="F195" s="11" t="n"/>
      <c r="G195" s="11" t="n"/>
      <c r="H195" s="12" t="n"/>
      <c r="I195" s="11" t="n"/>
      <c r="J195" s="11" t="n"/>
      <c r="K195" s="11" t="n"/>
      <c r="L195" s="8">
        <f>IF(D195="","",IF(D195&gt;K195,"BUY-DAY","SELL-DAY"))</f>
        <v/>
      </c>
      <c r="M195" s="13">
        <f>IF(D195="","",MAX(E195-F195,ABS(E195-K195),ABS(F195-K195)))</f>
        <v/>
      </c>
      <c r="N195" s="8">
        <f>IF(D195="","",IF(AND(H195&gt;0,H195&gt;(H195/3)*2.5),"VOL-OK","VOL-NG"))</f>
        <v/>
      </c>
      <c r="O195" s="8">
        <f>IF(D195="","",IF(D195&gt;I195,"ON","OFF"))</f>
        <v/>
      </c>
      <c r="P195" s="8">
        <f>IF(D195="","",IF(D195&lt;J195,"ON","OFF"))</f>
        <v/>
      </c>
      <c r="Q195" s="8">
        <f>IF(OR(D195="",M195&lt;=0),"",IF(AND(L195="BUY-DAY",N195="VOL-OK",P195="ON",Z195="OK",AA195&lt;&gt;"DOWN"),"BUY",IF(AND(L195="SELL-DAY",N195="VOL-OK",O195="ON",Z195="OK",AA195&lt;&gt;"UP"),"SELL","")))</f>
        <v/>
      </c>
      <c r="R195" s="13">
        <f>IF(Q195="","",D195)</f>
        <v/>
      </c>
      <c r="S195" s="13">
        <f>IF(Q195="","",IF(Q195="BUY",D195-M195*1.5,D195+M195*1.5))</f>
        <v/>
      </c>
      <c r="T195" s="13">
        <f>IF(Q195="","",IF(Q195="BUY",D195+M195*1.5,D195-M195*1.5))</f>
        <v/>
      </c>
      <c r="U195" s="13">
        <f>IF(Q195="","",IF(Q195="BUY",D195+M195*2,D195-M195*2))</f>
        <v/>
      </c>
      <c r="V195" s="13">
        <f>IF(Q195="","",IF(Q195="BUY",D195+M195*3,D195-M195*3))</f>
        <v/>
      </c>
      <c r="W195" s="8">
        <f>IF(OR(D195="",M195&lt;=0),"",IF(AND(D195&gt;G195,ABS(D195-G195)&lt;M195*0.5),"2ND","1ST"))</f>
        <v/>
      </c>
      <c r="X195" s="8">
        <f>IF(OR(D195="",M195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5" s="8">
        <f>IF(OR(D195="",M195&lt;=0),"",IF(M195&gt;D195*0.05,"VOL-HIGH","VOL-NORMAL"))</f>
        <v/>
      </c>
      <c r="Z195" s="8">
        <f>IF(OR(D195="",M195&lt;=0),"",IF(AND(N195="VOL-OK",Y195="VOL-NORMAL",W195="2ND"),"OK","NG"))</f>
        <v/>
      </c>
      <c r="AA195" s="8">
        <f>IF(OR(D195="",M195&lt;=0),"",IF(AND(E195&gt;I195,F195&gt;J195),"UP",IF(AND(E195&lt;I195,F195&lt;J195),"DOWN","FLAT")))</f>
        <v/>
      </c>
    </row>
    <row r="196" ht="26" customHeight="1" s="1">
      <c r="A196" s="14">
        <f>IF(B196="","",ROW()-2)</f>
        <v/>
      </c>
      <c r="B196" s="15">
        <f>IF('StockList_MS2'!A195="","",HYPERLINK("https://kabutan.jp/stock/?code="&amp;'StockList_MS2'!A195,'StockList_MS2'!A195))</f>
        <v/>
      </c>
      <c r="C196" s="16">
        <f>IF('StockList_MS2'!A195="","",'StockList_MS2'!B195)</f>
        <v/>
      </c>
      <c r="D196" s="17" t="n"/>
      <c r="E196" s="17" t="n"/>
      <c r="F196" s="17" t="n"/>
      <c r="G196" s="17" t="n"/>
      <c r="H196" s="18" t="n"/>
      <c r="I196" s="17" t="n"/>
      <c r="J196" s="17" t="n"/>
      <c r="K196" s="17" t="n"/>
      <c r="L196" s="14">
        <f>IF(D196="","",IF(D196&gt;K196,"BUY-DAY","SELL-DAY"))</f>
        <v/>
      </c>
      <c r="M196" s="19">
        <f>IF(D196="","",MAX(E196-F196,ABS(E196-K196),ABS(F196-K196)))</f>
        <v/>
      </c>
      <c r="N196" s="14">
        <f>IF(D196="","",IF(AND(H196&gt;0,H196&gt;(H196/3)*2.5),"VOL-OK","VOL-NG"))</f>
        <v/>
      </c>
      <c r="O196" s="14">
        <f>IF(D196="","",IF(D196&gt;I196,"ON","OFF"))</f>
        <v/>
      </c>
      <c r="P196" s="14">
        <f>IF(D196="","",IF(D196&lt;J196,"ON","OFF"))</f>
        <v/>
      </c>
      <c r="Q196" s="14">
        <f>IF(OR(D196="",M196&lt;=0),"",IF(AND(L196="BUY-DAY",N196="VOL-OK",P196="ON",Z196="OK",AA196&lt;&gt;"DOWN"),"BUY",IF(AND(L196="SELL-DAY",N196="VOL-OK",O196="ON",Z196="OK",AA196&lt;&gt;"UP"),"SELL","")))</f>
        <v/>
      </c>
      <c r="R196" s="19">
        <f>IF(Q196="","",D196)</f>
        <v/>
      </c>
      <c r="S196" s="19">
        <f>IF(Q196="","",IF(Q196="BUY",D196-M196*1.5,D196+M196*1.5))</f>
        <v/>
      </c>
      <c r="T196" s="19">
        <f>IF(Q196="","",IF(Q196="BUY",D196+M196*1.5,D196-M196*1.5))</f>
        <v/>
      </c>
      <c r="U196" s="19">
        <f>IF(Q196="","",IF(Q196="BUY",D196+M196*2,D196-M196*2))</f>
        <v/>
      </c>
      <c r="V196" s="19">
        <f>IF(Q196="","",IF(Q196="BUY",D196+M196*3,D196-M196*3))</f>
        <v/>
      </c>
      <c r="W196" s="14">
        <f>IF(OR(D196="",M196&lt;=0),"",IF(AND(D196&gt;G196,ABS(D196-G196)&lt;M196*0.5),"2ND","1ST"))</f>
        <v/>
      </c>
      <c r="X196" s="14">
        <f>IF(OR(D196="",M196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6" s="14">
        <f>IF(OR(D196="",M196&lt;=0),"",IF(M196&gt;D196*0.05,"VOL-HIGH","VOL-NORMAL"))</f>
        <v/>
      </c>
      <c r="Z196" s="14">
        <f>IF(OR(D196="",M196&lt;=0),"",IF(AND(N196="VOL-OK",Y196="VOL-NORMAL",W196="2ND"),"OK","NG"))</f>
        <v/>
      </c>
      <c r="AA196" s="14">
        <f>IF(OR(D196="",M196&lt;=0),"",IF(AND(E196&gt;I196,F196&gt;J196),"UP",IF(AND(E196&lt;I196,F196&lt;J196),"DOWN","FLAT")))</f>
        <v/>
      </c>
    </row>
    <row r="197" ht="26" customHeight="1" s="1">
      <c r="A197" s="8">
        <f>IF(B197="","",ROW()-2)</f>
        <v/>
      </c>
      <c r="B197" s="9">
        <f>IF('StockList_MS2'!A196="","",HYPERLINK("https://kabutan.jp/stock/?code="&amp;'StockList_MS2'!A196,'StockList_MS2'!A196))</f>
        <v/>
      </c>
      <c r="C197" s="10">
        <f>IF('StockList_MS2'!A196="","",'StockList_MS2'!B196)</f>
        <v/>
      </c>
      <c r="D197" s="11" t="n"/>
      <c r="E197" s="11" t="n"/>
      <c r="F197" s="11" t="n"/>
      <c r="G197" s="11" t="n"/>
      <c r="H197" s="12" t="n"/>
      <c r="I197" s="11" t="n"/>
      <c r="J197" s="11" t="n"/>
      <c r="K197" s="11" t="n"/>
      <c r="L197" s="8">
        <f>IF(D197="","",IF(D197&gt;K197,"BUY-DAY","SELL-DAY"))</f>
        <v/>
      </c>
      <c r="M197" s="13">
        <f>IF(D197="","",MAX(E197-F197,ABS(E197-K197),ABS(F197-K197)))</f>
        <v/>
      </c>
      <c r="N197" s="8">
        <f>IF(D197="","",IF(AND(H197&gt;0,H197&gt;(H197/3)*2.5),"VOL-OK","VOL-NG"))</f>
        <v/>
      </c>
      <c r="O197" s="8">
        <f>IF(D197="","",IF(D197&gt;I197,"ON","OFF"))</f>
        <v/>
      </c>
      <c r="P197" s="8">
        <f>IF(D197="","",IF(D197&lt;J197,"ON","OFF"))</f>
        <v/>
      </c>
      <c r="Q197" s="8">
        <f>IF(OR(D197="",M197&lt;=0),"",IF(AND(L197="BUY-DAY",N197="VOL-OK",P197="ON",Z197="OK",AA197&lt;&gt;"DOWN"),"BUY",IF(AND(L197="SELL-DAY",N197="VOL-OK",O197="ON",Z197="OK",AA197&lt;&gt;"UP"),"SELL","")))</f>
        <v/>
      </c>
      <c r="R197" s="13">
        <f>IF(Q197="","",D197)</f>
        <v/>
      </c>
      <c r="S197" s="13">
        <f>IF(Q197="","",IF(Q197="BUY",D197-M197*1.5,D197+M197*1.5))</f>
        <v/>
      </c>
      <c r="T197" s="13">
        <f>IF(Q197="","",IF(Q197="BUY",D197+M197*1.5,D197-M197*1.5))</f>
        <v/>
      </c>
      <c r="U197" s="13">
        <f>IF(Q197="","",IF(Q197="BUY",D197+M197*2,D197-M197*2))</f>
        <v/>
      </c>
      <c r="V197" s="13">
        <f>IF(Q197="","",IF(Q197="BUY",D197+M197*3,D197-M197*3))</f>
        <v/>
      </c>
      <c r="W197" s="8">
        <f>IF(OR(D197="",M197&lt;=0),"",IF(AND(D197&gt;G197,ABS(D197-G197)&lt;M197*0.5),"2ND","1ST"))</f>
        <v/>
      </c>
      <c r="X197" s="8">
        <f>IF(OR(D197="",M197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7" s="8">
        <f>IF(OR(D197="",M197&lt;=0),"",IF(M197&gt;D197*0.05,"VOL-HIGH","VOL-NORMAL"))</f>
        <v/>
      </c>
      <c r="Z197" s="8">
        <f>IF(OR(D197="",M197&lt;=0),"",IF(AND(N197="VOL-OK",Y197="VOL-NORMAL",W197="2ND"),"OK","NG"))</f>
        <v/>
      </c>
      <c r="AA197" s="8">
        <f>IF(OR(D197="",M197&lt;=0),"",IF(AND(E197&gt;I197,F197&gt;J197),"UP",IF(AND(E197&lt;I197,F197&lt;J197),"DOWN","FLAT")))</f>
        <v/>
      </c>
    </row>
    <row r="198" ht="26" customHeight="1" s="1">
      <c r="A198" s="14">
        <f>IF(B198="","",ROW()-2)</f>
        <v/>
      </c>
      <c r="B198" s="15">
        <f>IF('StockList_MS2'!A197="","",HYPERLINK("https://kabutan.jp/stock/?code="&amp;'StockList_MS2'!A197,'StockList_MS2'!A197))</f>
        <v/>
      </c>
      <c r="C198" s="16">
        <f>IF('StockList_MS2'!A197="","",'StockList_MS2'!B197)</f>
        <v/>
      </c>
      <c r="D198" s="17" t="n"/>
      <c r="E198" s="17" t="n"/>
      <c r="F198" s="17" t="n"/>
      <c r="G198" s="17" t="n"/>
      <c r="H198" s="18" t="n"/>
      <c r="I198" s="17" t="n"/>
      <c r="J198" s="17" t="n"/>
      <c r="K198" s="17" t="n"/>
      <c r="L198" s="14">
        <f>IF(D198="","",IF(D198&gt;K198,"BUY-DAY","SELL-DAY"))</f>
        <v/>
      </c>
      <c r="M198" s="19">
        <f>IF(D198="","",MAX(E198-F198,ABS(E198-K198),ABS(F198-K198)))</f>
        <v/>
      </c>
      <c r="N198" s="14">
        <f>IF(D198="","",IF(AND(H198&gt;0,H198&gt;(H198/3)*2.5),"VOL-OK","VOL-NG"))</f>
        <v/>
      </c>
      <c r="O198" s="14">
        <f>IF(D198="","",IF(D198&gt;I198,"ON","OFF"))</f>
        <v/>
      </c>
      <c r="P198" s="14">
        <f>IF(D198="","",IF(D198&lt;J198,"ON","OFF"))</f>
        <v/>
      </c>
      <c r="Q198" s="14">
        <f>IF(OR(D198="",M198&lt;=0),"",IF(AND(L198="BUY-DAY",N198="VOL-OK",P198="ON",Z198="OK",AA198&lt;&gt;"DOWN"),"BUY",IF(AND(L198="SELL-DAY",N198="VOL-OK",O198="ON",Z198="OK",AA198&lt;&gt;"UP"),"SELL","")))</f>
        <v/>
      </c>
      <c r="R198" s="19">
        <f>IF(Q198="","",D198)</f>
        <v/>
      </c>
      <c r="S198" s="19">
        <f>IF(Q198="","",IF(Q198="BUY",D198-M198*1.5,D198+M198*1.5))</f>
        <v/>
      </c>
      <c r="T198" s="19">
        <f>IF(Q198="","",IF(Q198="BUY",D198+M198*1.5,D198-M198*1.5))</f>
        <v/>
      </c>
      <c r="U198" s="19">
        <f>IF(Q198="","",IF(Q198="BUY",D198+M198*2,D198-M198*2))</f>
        <v/>
      </c>
      <c r="V198" s="19">
        <f>IF(Q198="","",IF(Q198="BUY",D198+M198*3,D198-M198*3))</f>
        <v/>
      </c>
      <c r="W198" s="14">
        <f>IF(OR(D198="",M198&lt;=0),"",IF(AND(D198&gt;G198,ABS(D198-G198)&lt;M198*0.5),"2ND","1ST"))</f>
        <v/>
      </c>
      <c r="X198" s="14">
        <f>IF(OR(D198="",M198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8" s="14">
        <f>IF(OR(D198="",M198&lt;=0),"",IF(M198&gt;D198*0.05,"VOL-HIGH","VOL-NORMAL"))</f>
        <v/>
      </c>
      <c r="Z198" s="14">
        <f>IF(OR(D198="",M198&lt;=0),"",IF(AND(N198="VOL-OK",Y198="VOL-NORMAL",W198="2ND"),"OK","NG"))</f>
        <v/>
      </c>
      <c r="AA198" s="14">
        <f>IF(OR(D198="",M198&lt;=0),"",IF(AND(E198&gt;I198,F198&gt;J198),"UP",IF(AND(E198&lt;I198,F198&lt;J198),"DOWN","FLAT")))</f>
        <v/>
      </c>
    </row>
    <row r="199" ht="26" customHeight="1" s="1">
      <c r="A199" s="8">
        <f>IF(B199="","",ROW()-2)</f>
        <v/>
      </c>
      <c r="B199" s="9">
        <f>IF('StockList_MS2'!A198="","",HYPERLINK("https://kabutan.jp/stock/?code="&amp;'StockList_MS2'!A198,'StockList_MS2'!A198))</f>
        <v/>
      </c>
      <c r="C199" s="10">
        <f>IF('StockList_MS2'!A198="","",'StockList_MS2'!B198)</f>
        <v/>
      </c>
      <c r="D199" s="11" t="n"/>
      <c r="E199" s="11" t="n"/>
      <c r="F199" s="11" t="n"/>
      <c r="G199" s="11" t="n"/>
      <c r="H199" s="12" t="n"/>
      <c r="I199" s="11" t="n"/>
      <c r="J199" s="11" t="n"/>
      <c r="K199" s="11" t="n"/>
      <c r="L199" s="8">
        <f>IF(D199="","",IF(D199&gt;K199,"BUY-DAY","SELL-DAY"))</f>
        <v/>
      </c>
      <c r="M199" s="13">
        <f>IF(D199="","",MAX(E199-F199,ABS(E199-K199),ABS(F199-K199)))</f>
        <v/>
      </c>
      <c r="N199" s="8">
        <f>IF(D199="","",IF(AND(H199&gt;0,H199&gt;(H199/3)*2.5),"VOL-OK","VOL-NG"))</f>
        <v/>
      </c>
      <c r="O199" s="8">
        <f>IF(D199="","",IF(D199&gt;I199,"ON","OFF"))</f>
        <v/>
      </c>
      <c r="P199" s="8">
        <f>IF(D199="","",IF(D199&lt;J199,"ON","OFF"))</f>
        <v/>
      </c>
      <c r="Q199" s="8">
        <f>IF(OR(D199="",M199&lt;=0),"",IF(AND(L199="BUY-DAY",N199="VOL-OK",P199="ON",Z199="OK",AA199&lt;&gt;"DOWN"),"BUY",IF(AND(L199="SELL-DAY",N199="VOL-OK",O199="ON",Z199="OK",AA199&lt;&gt;"UP"),"SELL","")))</f>
        <v/>
      </c>
      <c r="R199" s="13">
        <f>IF(Q199="","",D199)</f>
        <v/>
      </c>
      <c r="S199" s="13">
        <f>IF(Q199="","",IF(Q199="BUY",D199-M199*1.5,D199+M199*1.5))</f>
        <v/>
      </c>
      <c r="T199" s="13">
        <f>IF(Q199="","",IF(Q199="BUY",D199+M199*1.5,D199-M199*1.5))</f>
        <v/>
      </c>
      <c r="U199" s="13">
        <f>IF(Q199="","",IF(Q199="BUY",D199+M199*2,D199-M199*2))</f>
        <v/>
      </c>
      <c r="V199" s="13">
        <f>IF(Q199="","",IF(Q199="BUY",D199+M199*3,D199-M199*3))</f>
        <v/>
      </c>
      <c r="W199" s="8">
        <f>IF(OR(D199="",M199&lt;=0),"",IF(AND(D199&gt;G199,ABS(D199-G199)&lt;M199*0.5),"2ND","1ST"))</f>
        <v/>
      </c>
      <c r="X199" s="8">
        <f>IF(OR(D199="",M199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199" s="8">
        <f>IF(OR(D199="",M199&lt;=0),"",IF(M199&gt;D199*0.05,"VOL-HIGH","VOL-NORMAL"))</f>
        <v/>
      </c>
      <c r="Z199" s="8">
        <f>IF(OR(D199="",M199&lt;=0),"",IF(AND(N199="VOL-OK",Y199="VOL-NORMAL",W199="2ND"),"OK","NG"))</f>
        <v/>
      </c>
      <c r="AA199" s="8">
        <f>IF(OR(D199="",M199&lt;=0),"",IF(AND(E199&gt;I199,F199&gt;J199),"UP",IF(AND(E199&lt;I199,F199&lt;J199),"DOWN","FLAT")))</f>
        <v/>
      </c>
    </row>
    <row r="200" ht="26" customHeight="1" s="1">
      <c r="A200" s="14">
        <f>IF(B200="","",ROW()-2)</f>
        <v/>
      </c>
      <c r="B200" s="15">
        <f>IF('StockList_MS2'!A199="","",HYPERLINK("https://kabutan.jp/stock/?code="&amp;'StockList_MS2'!A199,'StockList_MS2'!A199))</f>
        <v/>
      </c>
      <c r="C200" s="16">
        <f>IF('StockList_MS2'!A199="","",'StockList_MS2'!B199)</f>
        <v/>
      </c>
      <c r="D200" s="17" t="n"/>
      <c r="E200" s="17" t="n"/>
      <c r="F200" s="17" t="n"/>
      <c r="G200" s="17" t="n"/>
      <c r="H200" s="18" t="n"/>
      <c r="I200" s="17" t="n"/>
      <c r="J200" s="17" t="n"/>
      <c r="K200" s="17" t="n"/>
      <c r="L200" s="14">
        <f>IF(D200="","",IF(D200&gt;K200,"BUY-DAY","SELL-DAY"))</f>
        <v/>
      </c>
      <c r="M200" s="19">
        <f>IF(D200="","",MAX(E200-F200,ABS(E200-K200),ABS(F200-K200)))</f>
        <v/>
      </c>
      <c r="N200" s="14">
        <f>IF(D200="","",IF(AND(H200&gt;0,H200&gt;(H200/3)*2.5),"VOL-OK","VOL-NG"))</f>
        <v/>
      </c>
      <c r="O200" s="14">
        <f>IF(D200="","",IF(D200&gt;I200,"ON","OFF"))</f>
        <v/>
      </c>
      <c r="P200" s="14">
        <f>IF(D200="","",IF(D200&lt;J200,"ON","OFF"))</f>
        <v/>
      </c>
      <c r="Q200" s="14">
        <f>IF(OR(D200="",M200&lt;=0),"",IF(AND(L200="BUY-DAY",N200="VOL-OK",P200="ON",Z200="OK",AA200&lt;&gt;"DOWN"),"BUY",IF(AND(L200="SELL-DAY",N200="VOL-OK",O200="ON",Z200="OK",AA200&lt;&gt;"UP"),"SELL","")))</f>
        <v/>
      </c>
      <c r="R200" s="19">
        <f>IF(Q200="","",D200)</f>
        <v/>
      </c>
      <c r="S200" s="19">
        <f>IF(Q200="","",IF(Q200="BUY",D200-M200*1.5,D200+M200*1.5))</f>
        <v/>
      </c>
      <c r="T200" s="19">
        <f>IF(Q200="","",IF(Q200="BUY",D200+M200*1.5,D200-M200*1.5))</f>
        <v/>
      </c>
      <c r="U200" s="19">
        <f>IF(Q200="","",IF(Q200="BUY",D200+M200*2,D200-M200*2))</f>
        <v/>
      </c>
      <c r="V200" s="19">
        <f>IF(Q200="","",IF(Q200="BUY",D200+M200*3,D200-M200*3))</f>
        <v/>
      </c>
      <c r="W200" s="14">
        <f>IF(OR(D200="",M200&lt;=0),"",IF(AND(D200&gt;G200,ABS(D200-G200)&lt;M200*0.5),"2ND","1ST"))</f>
        <v/>
      </c>
      <c r="X200" s="14">
        <f>IF(OR(D200="",M200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0" s="14">
        <f>IF(OR(D200="",M200&lt;=0),"",IF(M200&gt;D200*0.05,"VOL-HIGH","VOL-NORMAL"))</f>
        <v/>
      </c>
      <c r="Z200" s="14">
        <f>IF(OR(D200="",M200&lt;=0),"",IF(AND(N200="VOL-OK",Y200="VOL-NORMAL",W200="2ND"),"OK","NG"))</f>
        <v/>
      </c>
      <c r="AA200" s="14">
        <f>IF(OR(D200="",M200&lt;=0),"",IF(AND(E200&gt;I200,F200&gt;J200),"UP",IF(AND(E200&lt;I200,F200&lt;J200),"DOWN","FLAT")))</f>
        <v/>
      </c>
    </row>
    <row r="201" ht="26" customHeight="1" s="1">
      <c r="A201" s="8">
        <f>IF(B201="","",ROW()-2)</f>
        <v/>
      </c>
      <c r="B201" s="9">
        <f>IF('StockList_MS2'!A200="","",HYPERLINK("https://kabutan.jp/stock/?code="&amp;'StockList_MS2'!A200,'StockList_MS2'!A200))</f>
        <v/>
      </c>
      <c r="C201" s="10">
        <f>IF('StockList_MS2'!A200="","",'StockList_MS2'!B200)</f>
        <v/>
      </c>
      <c r="D201" s="11" t="n"/>
      <c r="E201" s="11" t="n"/>
      <c r="F201" s="11" t="n"/>
      <c r="G201" s="11" t="n"/>
      <c r="H201" s="12" t="n"/>
      <c r="I201" s="11" t="n"/>
      <c r="J201" s="11" t="n"/>
      <c r="K201" s="11" t="n"/>
      <c r="L201" s="8">
        <f>IF(D201="","",IF(D201&gt;K201,"BUY-DAY","SELL-DAY"))</f>
        <v/>
      </c>
      <c r="M201" s="13">
        <f>IF(D201="","",MAX(E201-F201,ABS(E201-K201),ABS(F201-K201)))</f>
        <v/>
      </c>
      <c r="N201" s="8">
        <f>IF(D201="","",IF(AND(H201&gt;0,H201&gt;(H201/3)*2.5),"VOL-OK","VOL-NG"))</f>
        <v/>
      </c>
      <c r="O201" s="8">
        <f>IF(D201="","",IF(D201&gt;I201,"ON","OFF"))</f>
        <v/>
      </c>
      <c r="P201" s="8">
        <f>IF(D201="","",IF(D201&lt;J201,"ON","OFF"))</f>
        <v/>
      </c>
      <c r="Q201" s="8">
        <f>IF(OR(D201="",M201&lt;=0),"",IF(AND(L201="BUY-DAY",N201="VOL-OK",P201="ON",Z201="OK",AA201&lt;&gt;"DOWN"),"BUY",IF(AND(L201="SELL-DAY",N201="VOL-OK",O201="ON",Z201="OK",AA201&lt;&gt;"UP"),"SELL","")))</f>
        <v/>
      </c>
      <c r="R201" s="13">
        <f>IF(Q201="","",D201)</f>
        <v/>
      </c>
      <c r="S201" s="13">
        <f>IF(Q201="","",IF(Q201="BUY",D201-M201*1.5,D201+M201*1.5))</f>
        <v/>
      </c>
      <c r="T201" s="13">
        <f>IF(Q201="","",IF(Q201="BUY",D201+M201*1.5,D201-M201*1.5))</f>
        <v/>
      </c>
      <c r="U201" s="13">
        <f>IF(Q201="","",IF(Q201="BUY",D201+M201*2,D201-M201*2))</f>
        <v/>
      </c>
      <c r="V201" s="13">
        <f>IF(Q201="","",IF(Q201="BUY",D201+M201*3,D201-M201*3))</f>
        <v/>
      </c>
      <c r="W201" s="8">
        <f>IF(OR(D201="",M201&lt;=0),"",IF(AND(D201&gt;G201,ABS(D201-G201)&lt;M201*0.5),"2ND","1ST"))</f>
        <v/>
      </c>
      <c r="X201" s="8">
        <f>IF(OR(D201="",M201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1" s="8">
        <f>IF(OR(D201="",M201&lt;=0),"",IF(M201&gt;D201*0.05,"VOL-HIGH","VOL-NORMAL"))</f>
        <v/>
      </c>
      <c r="Z201" s="8">
        <f>IF(OR(D201="",M201&lt;=0),"",IF(AND(N201="VOL-OK",Y201="VOL-NORMAL",W201="2ND"),"OK","NG"))</f>
        <v/>
      </c>
      <c r="AA201" s="8">
        <f>IF(OR(D201="",M201&lt;=0),"",IF(AND(E201&gt;I201,F201&gt;J201),"UP",IF(AND(E201&lt;I201,F201&lt;J201),"DOWN","FLAT")))</f>
        <v/>
      </c>
    </row>
    <row r="202" ht="26" customHeight="1" s="1">
      <c r="A202" s="14">
        <f>IF(B202="","",ROW()-2)</f>
        <v/>
      </c>
      <c r="B202" s="15">
        <f>IF('StockList_MS2'!A201="","",HYPERLINK("https://kabutan.jp/stock/?code="&amp;'StockList_MS2'!A201,'StockList_MS2'!A201))</f>
        <v/>
      </c>
      <c r="C202" s="16">
        <f>IF('StockList_MS2'!A201="","",'StockList_MS2'!B201)</f>
        <v/>
      </c>
      <c r="D202" s="17" t="n"/>
      <c r="E202" s="17" t="n"/>
      <c r="F202" s="17" t="n"/>
      <c r="G202" s="17" t="n"/>
      <c r="H202" s="18" t="n"/>
      <c r="I202" s="17" t="n"/>
      <c r="J202" s="17" t="n"/>
      <c r="K202" s="17" t="n"/>
      <c r="L202" s="14">
        <f>IF(D202="","",IF(D202&gt;K202,"BUY-DAY","SELL-DAY"))</f>
        <v/>
      </c>
      <c r="M202" s="19">
        <f>IF(D202="","",MAX(E202-F202,ABS(E202-K202),ABS(F202-K202)))</f>
        <v/>
      </c>
      <c r="N202" s="14">
        <f>IF(D202="","",IF(AND(H202&gt;0,H202&gt;(H202/3)*2.5),"VOL-OK","VOL-NG"))</f>
        <v/>
      </c>
      <c r="O202" s="14">
        <f>IF(D202="","",IF(D202&gt;I202,"ON","OFF"))</f>
        <v/>
      </c>
      <c r="P202" s="14">
        <f>IF(D202="","",IF(D202&lt;J202,"ON","OFF"))</f>
        <v/>
      </c>
      <c r="Q202" s="14">
        <f>IF(OR(D202="",M202&lt;=0),"",IF(AND(L202="BUY-DAY",N202="VOL-OK",P202="ON",Z202="OK",AA202&lt;&gt;"DOWN"),"BUY",IF(AND(L202="SELL-DAY",N202="VOL-OK",O202="ON",Z202="OK",AA202&lt;&gt;"UP"),"SELL","")))</f>
        <v/>
      </c>
      <c r="R202" s="19">
        <f>IF(Q202="","",D202)</f>
        <v/>
      </c>
      <c r="S202" s="19">
        <f>IF(Q202="","",IF(Q202="BUY",D202-M202*1.5,D202+M202*1.5))</f>
        <v/>
      </c>
      <c r="T202" s="19">
        <f>IF(Q202="","",IF(Q202="BUY",D202+M202*1.5,D202-M202*1.5))</f>
        <v/>
      </c>
      <c r="U202" s="19">
        <f>IF(Q202="","",IF(Q202="BUY",D202+M202*2,D202-M202*2))</f>
        <v/>
      </c>
      <c r="V202" s="19">
        <f>IF(Q202="","",IF(Q202="BUY",D202+M202*3,D202-M202*3))</f>
        <v/>
      </c>
      <c r="W202" s="14">
        <f>IF(OR(D202="",M202&lt;=0),"",IF(AND(D202&gt;G202,ABS(D202-G202)&lt;M202*0.5),"2ND","1ST"))</f>
        <v/>
      </c>
      <c r="X202" s="14">
        <f>IF(OR(D202="",M202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2" s="14">
        <f>IF(OR(D202="",M202&lt;=0),"",IF(M202&gt;D202*0.05,"VOL-HIGH","VOL-NORMAL"))</f>
        <v/>
      </c>
      <c r="Z202" s="14">
        <f>IF(OR(D202="",M202&lt;=0),"",IF(AND(N202="VOL-OK",Y202="VOL-NORMAL",W202="2ND"),"OK","NG"))</f>
        <v/>
      </c>
      <c r="AA202" s="14">
        <f>IF(OR(D202="",M202&lt;=0),"",IF(AND(E202&gt;I202,F202&gt;J202),"UP",IF(AND(E202&lt;I202,F202&lt;J202),"DOWN","FLAT")))</f>
        <v/>
      </c>
    </row>
    <row r="203" ht="26" customHeight="1" s="1">
      <c r="A203" s="8">
        <f>IF(B203="","",ROW()-2)</f>
        <v/>
      </c>
      <c r="B203" s="9">
        <f>IF('StockList_MS2'!A202="","",HYPERLINK("https://kabutan.jp/stock/?code="&amp;'StockList_MS2'!A202,'StockList_MS2'!A202))</f>
        <v/>
      </c>
      <c r="C203" s="10">
        <f>IF('StockList_MS2'!A202="","",'StockList_MS2'!B202)</f>
        <v/>
      </c>
      <c r="D203" s="11" t="n"/>
      <c r="E203" s="11" t="n"/>
      <c r="F203" s="11" t="n"/>
      <c r="G203" s="11" t="n"/>
      <c r="H203" s="12" t="n"/>
      <c r="I203" s="11" t="n"/>
      <c r="J203" s="11" t="n"/>
      <c r="K203" s="11" t="n"/>
      <c r="L203" s="8">
        <f>IF(D203="","",IF(D203&gt;K203,"BUY-DAY","SELL-DAY"))</f>
        <v/>
      </c>
      <c r="M203" s="13">
        <f>IF(D203="","",MAX(E203-F203,ABS(E203-K203),ABS(F203-K203)))</f>
        <v/>
      </c>
      <c r="N203" s="8">
        <f>IF(D203="","",IF(AND(H203&gt;0,H203&gt;(H203/3)*2.5),"VOL-OK","VOL-NG"))</f>
        <v/>
      </c>
      <c r="O203" s="8">
        <f>IF(D203="","",IF(D203&gt;I203,"ON","OFF"))</f>
        <v/>
      </c>
      <c r="P203" s="8">
        <f>IF(D203="","",IF(D203&lt;J203,"ON","OFF"))</f>
        <v/>
      </c>
      <c r="Q203" s="8">
        <f>IF(OR(D203="",M203&lt;=0),"",IF(AND(L203="BUY-DAY",N203="VOL-OK",P203="ON",Z203="OK",AA203&lt;&gt;"DOWN"),"BUY",IF(AND(L203="SELL-DAY",N203="VOL-OK",O203="ON",Z203="OK",AA203&lt;&gt;"UP"),"SELL","")))</f>
        <v/>
      </c>
      <c r="R203" s="13">
        <f>IF(Q203="","",D203)</f>
        <v/>
      </c>
      <c r="S203" s="13">
        <f>IF(Q203="","",IF(Q203="BUY",D203-M203*1.5,D203+M203*1.5))</f>
        <v/>
      </c>
      <c r="T203" s="13">
        <f>IF(Q203="","",IF(Q203="BUY",D203+M203*1.5,D203-M203*1.5))</f>
        <v/>
      </c>
      <c r="U203" s="13">
        <f>IF(Q203="","",IF(Q203="BUY",D203+M203*2,D203-M203*2))</f>
        <v/>
      </c>
      <c r="V203" s="13">
        <f>IF(Q203="","",IF(Q203="BUY",D203+M203*3,D203-M203*3))</f>
        <v/>
      </c>
      <c r="W203" s="8">
        <f>IF(OR(D203="",M203&lt;=0),"",IF(AND(D203&gt;G203,ABS(D203-G203)&lt;M203*0.5),"2ND","1ST"))</f>
        <v/>
      </c>
      <c r="X203" s="8">
        <f>IF(OR(D203="",M203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3" s="8">
        <f>IF(OR(D203="",M203&lt;=0),"",IF(M203&gt;D203*0.05,"VOL-HIGH","VOL-NORMAL"))</f>
        <v/>
      </c>
      <c r="Z203" s="8">
        <f>IF(OR(D203="",M203&lt;=0),"",IF(AND(N203="VOL-OK",Y203="VOL-NORMAL",W203="2ND"),"OK","NG"))</f>
        <v/>
      </c>
      <c r="AA203" s="8">
        <f>IF(OR(D203="",M203&lt;=0),"",IF(AND(E203&gt;I203,F203&gt;J203),"UP",IF(AND(E203&lt;I203,F203&lt;J203),"DOWN","FLAT")))</f>
        <v/>
      </c>
    </row>
    <row r="204" ht="26" customHeight="1" s="1">
      <c r="A204" s="14">
        <f>IF(B204="","",ROW()-2)</f>
        <v/>
      </c>
      <c r="B204" s="15">
        <f>IF('StockList_MS2'!A203="","",HYPERLINK("https://kabutan.jp/stock/?code="&amp;'StockList_MS2'!A203,'StockList_MS2'!A203))</f>
        <v/>
      </c>
      <c r="C204" s="16">
        <f>IF('StockList_MS2'!A203="","",'StockList_MS2'!B203)</f>
        <v/>
      </c>
      <c r="D204" s="17" t="n"/>
      <c r="E204" s="17" t="n"/>
      <c r="F204" s="17" t="n"/>
      <c r="G204" s="17" t="n"/>
      <c r="H204" s="18" t="n"/>
      <c r="I204" s="17" t="n"/>
      <c r="J204" s="17" t="n"/>
      <c r="K204" s="17" t="n"/>
      <c r="L204" s="14">
        <f>IF(D204="","",IF(D204&gt;K204,"BUY-DAY","SELL-DAY"))</f>
        <v/>
      </c>
      <c r="M204" s="19">
        <f>IF(D204="","",MAX(E204-F204,ABS(E204-K204),ABS(F204-K204)))</f>
        <v/>
      </c>
      <c r="N204" s="14">
        <f>IF(D204="","",IF(AND(H204&gt;0,H204&gt;(H204/3)*2.5),"VOL-OK","VOL-NG"))</f>
        <v/>
      </c>
      <c r="O204" s="14">
        <f>IF(D204="","",IF(D204&gt;I204,"ON","OFF"))</f>
        <v/>
      </c>
      <c r="P204" s="14">
        <f>IF(D204="","",IF(D204&lt;J204,"ON","OFF"))</f>
        <v/>
      </c>
      <c r="Q204" s="14">
        <f>IF(OR(D204="",M204&lt;=0),"",IF(AND(L204="BUY-DAY",N204="VOL-OK",P204="ON",Z204="OK",AA204&lt;&gt;"DOWN"),"BUY",IF(AND(L204="SELL-DAY",N204="VOL-OK",O204="ON",Z204="OK",AA204&lt;&gt;"UP"),"SELL","")))</f>
        <v/>
      </c>
      <c r="R204" s="19">
        <f>IF(Q204="","",D204)</f>
        <v/>
      </c>
      <c r="S204" s="19">
        <f>IF(Q204="","",IF(Q204="BUY",D204-M204*1.5,D204+M204*1.5))</f>
        <v/>
      </c>
      <c r="T204" s="19">
        <f>IF(Q204="","",IF(Q204="BUY",D204+M204*1.5,D204-M204*1.5))</f>
        <v/>
      </c>
      <c r="U204" s="19">
        <f>IF(Q204="","",IF(Q204="BUY",D204+M204*2,D204-M204*2))</f>
        <v/>
      </c>
      <c r="V204" s="19">
        <f>IF(Q204="","",IF(Q204="BUY",D204+M204*3,D204-M204*3))</f>
        <v/>
      </c>
      <c r="W204" s="14">
        <f>IF(OR(D204="",M204&lt;=0),"",IF(AND(D204&gt;G204,ABS(D204-G204)&lt;M204*0.5),"2ND","1ST"))</f>
        <v/>
      </c>
      <c r="X204" s="14">
        <f>IF(OR(D204="",M204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4" s="14">
        <f>IF(OR(D204="",M204&lt;=0),"",IF(M204&gt;D204*0.05,"VOL-HIGH","VOL-NORMAL"))</f>
        <v/>
      </c>
      <c r="Z204" s="14">
        <f>IF(OR(D204="",M204&lt;=0),"",IF(AND(N204="VOL-OK",Y204="VOL-NORMAL",W204="2ND"),"OK","NG"))</f>
        <v/>
      </c>
      <c r="AA204" s="14">
        <f>IF(OR(D204="",M204&lt;=0),"",IF(AND(E204&gt;I204,F204&gt;J204),"UP",IF(AND(E204&lt;I204,F204&lt;J204),"DOWN","FLAT")))</f>
        <v/>
      </c>
    </row>
    <row r="205" ht="26" customHeight="1" s="1">
      <c r="A205" s="8">
        <f>IF(B205="","",ROW()-2)</f>
        <v/>
      </c>
      <c r="B205" s="9">
        <f>IF('StockList_MS2'!A204="","",HYPERLINK("https://kabutan.jp/stock/?code="&amp;'StockList_MS2'!A204,'StockList_MS2'!A204))</f>
        <v/>
      </c>
      <c r="C205" s="10">
        <f>IF('StockList_MS2'!A204="","",'StockList_MS2'!B204)</f>
        <v/>
      </c>
      <c r="D205" s="11" t="n"/>
      <c r="E205" s="11" t="n"/>
      <c r="F205" s="11" t="n"/>
      <c r="G205" s="11" t="n"/>
      <c r="H205" s="12" t="n"/>
      <c r="I205" s="11" t="n"/>
      <c r="J205" s="11" t="n"/>
      <c r="K205" s="11" t="n"/>
      <c r="L205" s="8">
        <f>IF(D205="","",IF(D205&gt;K205,"BUY-DAY","SELL-DAY"))</f>
        <v/>
      </c>
      <c r="M205" s="13">
        <f>IF(D205="","",MAX(E205-F205,ABS(E205-K205),ABS(F205-K205)))</f>
        <v/>
      </c>
      <c r="N205" s="8">
        <f>IF(D205="","",IF(AND(H205&gt;0,H205&gt;(H205/3)*2.5),"VOL-OK","VOL-NG"))</f>
        <v/>
      </c>
      <c r="O205" s="8">
        <f>IF(D205="","",IF(D205&gt;I205,"ON","OFF"))</f>
        <v/>
      </c>
      <c r="P205" s="8">
        <f>IF(D205="","",IF(D205&lt;J205,"ON","OFF"))</f>
        <v/>
      </c>
      <c r="Q205" s="8">
        <f>IF(OR(D205="",M205&lt;=0),"",IF(AND(L205="BUY-DAY",N205="VOL-OK",P205="ON",Z205="OK",AA205&lt;&gt;"DOWN"),"BUY",IF(AND(L205="SELL-DAY",N205="VOL-OK",O205="ON",Z205="OK",AA205&lt;&gt;"UP"),"SELL","")))</f>
        <v/>
      </c>
      <c r="R205" s="13">
        <f>IF(Q205="","",D205)</f>
        <v/>
      </c>
      <c r="S205" s="13">
        <f>IF(Q205="","",IF(Q205="BUY",D205-M205*1.5,D205+M205*1.5))</f>
        <v/>
      </c>
      <c r="T205" s="13">
        <f>IF(Q205="","",IF(Q205="BUY",D205+M205*1.5,D205-M205*1.5))</f>
        <v/>
      </c>
      <c r="U205" s="13">
        <f>IF(Q205="","",IF(Q205="BUY",D205+M205*2,D205-M205*2))</f>
        <v/>
      </c>
      <c r="V205" s="13">
        <f>IF(Q205="","",IF(Q205="BUY",D205+M205*3,D205-M205*3))</f>
        <v/>
      </c>
      <c r="W205" s="8">
        <f>IF(OR(D205="",M205&lt;=0),"",IF(AND(D205&gt;G205,ABS(D205-G205)&lt;M205*0.5),"2ND","1ST"))</f>
        <v/>
      </c>
      <c r="X205" s="8">
        <f>IF(OR(D205="",M205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5" s="8">
        <f>IF(OR(D205="",M205&lt;=0),"",IF(M205&gt;D205*0.05,"VOL-HIGH","VOL-NORMAL"))</f>
        <v/>
      </c>
      <c r="Z205" s="8">
        <f>IF(OR(D205="",M205&lt;=0),"",IF(AND(N205="VOL-OK",Y205="VOL-NORMAL",W205="2ND"),"OK","NG"))</f>
        <v/>
      </c>
      <c r="AA205" s="8">
        <f>IF(OR(D205="",M205&lt;=0),"",IF(AND(E205&gt;I205,F205&gt;J205),"UP",IF(AND(E205&lt;I205,F205&lt;J205),"DOWN","FLAT")))</f>
        <v/>
      </c>
    </row>
    <row r="206" ht="26" customHeight="1" s="1">
      <c r="A206" s="14">
        <f>IF(B206="","",ROW()-2)</f>
        <v/>
      </c>
      <c r="B206" s="15">
        <f>IF('StockList_MS2'!A205="","",HYPERLINK("https://kabutan.jp/stock/?code="&amp;'StockList_MS2'!A205,'StockList_MS2'!A205))</f>
        <v/>
      </c>
      <c r="C206" s="16">
        <f>IF('StockList_MS2'!A205="","",'StockList_MS2'!B205)</f>
        <v/>
      </c>
      <c r="D206" s="17" t="n"/>
      <c r="E206" s="17" t="n"/>
      <c r="F206" s="17" t="n"/>
      <c r="G206" s="17" t="n"/>
      <c r="H206" s="18" t="n"/>
      <c r="I206" s="17" t="n"/>
      <c r="J206" s="17" t="n"/>
      <c r="K206" s="17" t="n"/>
      <c r="L206" s="14">
        <f>IF(D206="","",IF(D206&gt;K206,"BUY-DAY","SELL-DAY"))</f>
        <v/>
      </c>
      <c r="M206" s="19">
        <f>IF(D206="","",MAX(E206-F206,ABS(E206-K206),ABS(F206-K206)))</f>
        <v/>
      </c>
      <c r="N206" s="14">
        <f>IF(D206="","",IF(AND(H206&gt;0,H206&gt;(H206/3)*2.5),"VOL-OK","VOL-NG"))</f>
        <v/>
      </c>
      <c r="O206" s="14">
        <f>IF(D206="","",IF(D206&gt;I206,"ON","OFF"))</f>
        <v/>
      </c>
      <c r="P206" s="14">
        <f>IF(D206="","",IF(D206&lt;J206,"ON","OFF"))</f>
        <v/>
      </c>
      <c r="Q206" s="14">
        <f>IF(OR(D206="",M206&lt;=0),"",IF(AND(L206="BUY-DAY",N206="VOL-OK",P206="ON",Z206="OK",AA206&lt;&gt;"DOWN"),"BUY",IF(AND(L206="SELL-DAY",N206="VOL-OK",O206="ON",Z206="OK",AA206&lt;&gt;"UP"),"SELL","")))</f>
        <v/>
      </c>
      <c r="R206" s="19">
        <f>IF(Q206="","",D206)</f>
        <v/>
      </c>
      <c r="S206" s="19">
        <f>IF(Q206="","",IF(Q206="BUY",D206-M206*1.5,D206+M206*1.5))</f>
        <v/>
      </c>
      <c r="T206" s="19">
        <f>IF(Q206="","",IF(Q206="BUY",D206+M206*1.5,D206-M206*1.5))</f>
        <v/>
      </c>
      <c r="U206" s="19">
        <f>IF(Q206="","",IF(Q206="BUY",D206+M206*2,D206-M206*2))</f>
        <v/>
      </c>
      <c r="V206" s="19">
        <f>IF(Q206="","",IF(Q206="BUY",D206+M206*3,D206-M206*3))</f>
        <v/>
      </c>
      <c r="W206" s="14">
        <f>IF(OR(D206="",M206&lt;=0),"",IF(AND(D206&gt;G206,ABS(D206-G206)&lt;M206*0.5),"2ND","1ST"))</f>
        <v/>
      </c>
      <c r="X206" s="14">
        <f>IF(OR(D206="",M206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6" s="14">
        <f>IF(OR(D206="",M206&lt;=0),"",IF(M206&gt;D206*0.05,"VOL-HIGH","VOL-NORMAL"))</f>
        <v/>
      </c>
      <c r="Z206" s="14">
        <f>IF(OR(D206="",M206&lt;=0),"",IF(AND(N206="VOL-OK",Y206="VOL-NORMAL",W206="2ND"),"OK","NG"))</f>
        <v/>
      </c>
      <c r="AA206" s="14">
        <f>IF(OR(D206="",M206&lt;=0),"",IF(AND(E206&gt;I206,F206&gt;J206),"UP",IF(AND(E206&lt;I206,F206&lt;J206),"DOWN","FLAT")))</f>
        <v/>
      </c>
    </row>
    <row r="207" ht="26" customHeight="1" s="1">
      <c r="A207" s="8">
        <f>IF(B207="","",ROW()-2)</f>
        <v/>
      </c>
      <c r="B207" s="9">
        <f>IF('StockList_MS2'!A206="","",HYPERLINK("https://kabutan.jp/stock/?code="&amp;'StockList_MS2'!A206,'StockList_MS2'!A206))</f>
        <v/>
      </c>
      <c r="C207" s="10">
        <f>IF('StockList_MS2'!A206="","",'StockList_MS2'!B206)</f>
        <v/>
      </c>
      <c r="D207" s="11" t="n"/>
      <c r="E207" s="11" t="n"/>
      <c r="F207" s="11" t="n"/>
      <c r="G207" s="11" t="n"/>
      <c r="H207" s="12" t="n"/>
      <c r="I207" s="11" t="n"/>
      <c r="J207" s="11" t="n"/>
      <c r="K207" s="11" t="n"/>
      <c r="L207" s="8">
        <f>IF(D207="","",IF(D207&gt;K207,"BUY-DAY","SELL-DAY"))</f>
        <v/>
      </c>
      <c r="M207" s="13">
        <f>IF(D207="","",MAX(E207-F207,ABS(E207-K207),ABS(F207-K207)))</f>
        <v/>
      </c>
      <c r="N207" s="8">
        <f>IF(D207="","",IF(AND(H207&gt;0,H207&gt;(H207/3)*2.5),"VOL-OK","VOL-NG"))</f>
        <v/>
      </c>
      <c r="O207" s="8">
        <f>IF(D207="","",IF(D207&gt;I207,"ON","OFF"))</f>
        <v/>
      </c>
      <c r="P207" s="8">
        <f>IF(D207="","",IF(D207&lt;J207,"ON","OFF"))</f>
        <v/>
      </c>
      <c r="Q207" s="8">
        <f>IF(OR(D207="",M207&lt;=0),"",IF(AND(L207="BUY-DAY",N207="VOL-OK",P207="ON",Z207="OK",AA207&lt;&gt;"DOWN"),"BUY",IF(AND(L207="SELL-DAY",N207="VOL-OK",O207="ON",Z207="OK",AA207&lt;&gt;"UP"),"SELL","")))</f>
        <v/>
      </c>
      <c r="R207" s="13">
        <f>IF(Q207="","",D207)</f>
        <v/>
      </c>
      <c r="S207" s="13">
        <f>IF(Q207="","",IF(Q207="BUY",D207-M207*1.5,D207+M207*1.5))</f>
        <v/>
      </c>
      <c r="T207" s="13">
        <f>IF(Q207="","",IF(Q207="BUY",D207+M207*1.5,D207-M207*1.5))</f>
        <v/>
      </c>
      <c r="U207" s="13">
        <f>IF(Q207="","",IF(Q207="BUY",D207+M207*2,D207-M207*2))</f>
        <v/>
      </c>
      <c r="V207" s="13">
        <f>IF(Q207="","",IF(Q207="BUY",D207+M207*3,D207-M207*3))</f>
        <v/>
      </c>
      <c r="W207" s="8">
        <f>IF(OR(D207="",M207&lt;=0),"",IF(AND(D207&gt;G207,ABS(D207-G207)&lt;M207*0.5),"2ND","1ST"))</f>
        <v/>
      </c>
      <c r="X207" s="8">
        <f>IF(OR(D207="",M207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7" s="8">
        <f>IF(OR(D207="",M207&lt;=0),"",IF(M207&gt;D207*0.05,"VOL-HIGH","VOL-NORMAL"))</f>
        <v/>
      </c>
      <c r="Z207" s="8">
        <f>IF(OR(D207="",M207&lt;=0),"",IF(AND(N207="VOL-OK",Y207="VOL-NORMAL",W207="2ND"),"OK","NG"))</f>
        <v/>
      </c>
      <c r="AA207" s="8">
        <f>IF(OR(D207="",M207&lt;=0),"",IF(AND(E207&gt;I207,F207&gt;J207),"UP",IF(AND(E207&lt;I207,F207&lt;J207),"DOWN","FLAT")))</f>
        <v/>
      </c>
    </row>
    <row r="208" ht="26" customHeight="1" s="1">
      <c r="A208" s="14">
        <f>IF(B208="","",ROW()-2)</f>
        <v/>
      </c>
      <c r="B208" s="15">
        <f>IF('StockList_MS2'!A207="","",HYPERLINK("https://kabutan.jp/stock/?code="&amp;'StockList_MS2'!A207,'StockList_MS2'!A207))</f>
        <v/>
      </c>
      <c r="C208" s="16">
        <f>IF('StockList_MS2'!A207="","",'StockList_MS2'!B207)</f>
        <v/>
      </c>
      <c r="D208" s="17" t="n"/>
      <c r="E208" s="17" t="n"/>
      <c r="F208" s="17" t="n"/>
      <c r="G208" s="17" t="n"/>
      <c r="H208" s="18" t="n"/>
      <c r="I208" s="17" t="n"/>
      <c r="J208" s="17" t="n"/>
      <c r="K208" s="17" t="n"/>
      <c r="L208" s="14">
        <f>IF(D208="","",IF(D208&gt;K208,"BUY-DAY","SELL-DAY"))</f>
        <v/>
      </c>
      <c r="M208" s="19">
        <f>IF(D208="","",MAX(E208-F208,ABS(E208-K208),ABS(F208-K208)))</f>
        <v/>
      </c>
      <c r="N208" s="14">
        <f>IF(D208="","",IF(AND(H208&gt;0,H208&gt;(H208/3)*2.5),"VOL-OK","VOL-NG"))</f>
        <v/>
      </c>
      <c r="O208" s="14">
        <f>IF(D208="","",IF(D208&gt;I208,"ON","OFF"))</f>
        <v/>
      </c>
      <c r="P208" s="14">
        <f>IF(D208="","",IF(D208&lt;J208,"ON","OFF"))</f>
        <v/>
      </c>
      <c r="Q208" s="14">
        <f>IF(OR(D208="",M208&lt;=0),"",IF(AND(L208="BUY-DAY",N208="VOL-OK",P208="ON",Z208="OK",AA208&lt;&gt;"DOWN"),"BUY",IF(AND(L208="SELL-DAY",N208="VOL-OK",O208="ON",Z208="OK",AA208&lt;&gt;"UP"),"SELL","")))</f>
        <v/>
      </c>
      <c r="R208" s="19">
        <f>IF(Q208="","",D208)</f>
        <v/>
      </c>
      <c r="S208" s="19">
        <f>IF(Q208="","",IF(Q208="BUY",D208-M208*1.5,D208+M208*1.5))</f>
        <v/>
      </c>
      <c r="T208" s="19">
        <f>IF(Q208="","",IF(Q208="BUY",D208+M208*1.5,D208-M208*1.5))</f>
        <v/>
      </c>
      <c r="U208" s="19">
        <f>IF(Q208="","",IF(Q208="BUY",D208+M208*2,D208-M208*2))</f>
        <v/>
      </c>
      <c r="V208" s="19">
        <f>IF(Q208="","",IF(Q208="BUY",D208+M208*3,D208-M208*3))</f>
        <v/>
      </c>
      <c r="W208" s="14">
        <f>IF(OR(D208="",M208&lt;=0),"",IF(AND(D208&gt;G208,ABS(D208-G208)&lt;M208*0.5),"2ND","1ST"))</f>
        <v/>
      </c>
      <c r="X208" s="14">
        <f>IF(OR(D208="",M208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8" s="14">
        <f>IF(OR(D208="",M208&lt;=0),"",IF(M208&gt;D208*0.05,"VOL-HIGH","VOL-NORMAL"))</f>
        <v/>
      </c>
      <c r="Z208" s="14">
        <f>IF(OR(D208="",M208&lt;=0),"",IF(AND(N208="VOL-OK",Y208="VOL-NORMAL",W208="2ND"),"OK","NG"))</f>
        <v/>
      </c>
      <c r="AA208" s="14">
        <f>IF(OR(D208="",M208&lt;=0),"",IF(AND(E208&gt;I208,F208&gt;J208),"UP",IF(AND(E208&lt;I208,F208&lt;J208),"DOWN","FLAT")))</f>
        <v/>
      </c>
    </row>
    <row r="209" ht="26" customHeight="1" s="1">
      <c r="A209" s="8">
        <f>IF(B209="","",ROW()-2)</f>
        <v/>
      </c>
      <c r="B209" s="9">
        <f>IF('StockList_MS2'!A208="","",HYPERLINK("https://kabutan.jp/stock/?code="&amp;'StockList_MS2'!A208,'StockList_MS2'!A208))</f>
        <v/>
      </c>
      <c r="C209" s="10">
        <f>IF('StockList_MS2'!A208="","",'StockList_MS2'!B208)</f>
        <v/>
      </c>
      <c r="D209" s="11" t="n"/>
      <c r="E209" s="11" t="n"/>
      <c r="F209" s="11" t="n"/>
      <c r="G209" s="11" t="n"/>
      <c r="H209" s="12" t="n"/>
      <c r="I209" s="11" t="n"/>
      <c r="J209" s="11" t="n"/>
      <c r="K209" s="11" t="n"/>
      <c r="L209" s="8">
        <f>IF(D209="","",IF(D209&gt;K209,"BUY-DAY","SELL-DAY"))</f>
        <v/>
      </c>
      <c r="M209" s="13">
        <f>IF(D209="","",MAX(E209-F209,ABS(E209-K209),ABS(F209-K209)))</f>
        <v/>
      </c>
      <c r="N209" s="8">
        <f>IF(D209="","",IF(AND(H209&gt;0,H209&gt;(H209/3)*2.5),"VOL-OK","VOL-NG"))</f>
        <v/>
      </c>
      <c r="O209" s="8">
        <f>IF(D209="","",IF(D209&gt;I209,"ON","OFF"))</f>
        <v/>
      </c>
      <c r="P209" s="8">
        <f>IF(D209="","",IF(D209&lt;J209,"ON","OFF"))</f>
        <v/>
      </c>
      <c r="Q209" s="8">
        <f>IF(OR(D209="",M209&lt;=0),"",IF(AND(L209="BUY-DAY",N209="VOL-OK",P209="ON",Z209="OK",AA209&lt;&gt;"DOWN"),"BUY",IF(AND(L209="SELL-DAY",N209="VOL-OK",O209="ON",Z209="OK",AA209&lt;&gt;"UP"),"SELL","")))</f>
        <v/>
      </c>
      <c r="R209" s="13">
        <f>IF(Q209="","",D209)</f>
        <v/>
      </c>
      <c r="S209" s="13">
        <f>IF(Q209="","",IF(Q209="BUY",D209-M209*1.5,D209+M209*1.5))</f>
        <v/>
      </c>
      <c r="T209" s="13">
        <f>IF(Q209="","",IF(Q209="BUY",D209+M209*1.5,D209-M209*1.5))</f>
        <v/>
      </c>
      <c r="U209" s="13">
        <f>IF(Q209="","",IF(Q209="BUY",D209+M209*2,D209-M209*2))</f>
        <v/>
      </c>
      <c r="V209" s="13">
        <f>IF(Q209="","",IF(Q209="BUY",D209+M209*3,D209-M209*3))</f>
        <v/>
      </c>
      <c r="W209" s="8">
        <f>IF(OR(D209="",M209&lt;=0),"",IF(AND(D209&gt;G209,ABS(D209-G209)&lt;M209*0.5),"2ND","1ST"))</f>
        <v/>
      </c>
      <c r="X209" s="8">
        <f>IF(OR(D209="",M209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09" s="8">
        <f>IF(OR(D209="",M209&lt;=0),"",IF(M209&gt;D209*0.05,"VOL-HIGH","VOL-NORMAL"))</f>
        <v/>
      </c>
      <c r="Z209" s="8">
        <f>IF(OR(D209="",M209&lt;=0),"",IF(AND(N209="VOL-OK",Y209="VOL-NORMAL",W209="2ND"),"OK","NG"))</f>
        <v/>
      </c>
      <c r="AA209" s="8">
        <f>IF(OR(D209="",M209&lt;=0),"",IF(AND(E209&gt;I209,F209&gt;J209),"UP",IF(AND(E209&lt;I209,F209&lt;J209),"DOWN","FLAT")))</f>
        <v/>
      </c>
    </row>
    <row r="210" ht="26" customHeight="1" s="1">
      <c r="A210" s="14">
        <f>IF(B210="","",ROW()-2)</f>
        <v/>
      </c>
      <c r="B210" s="15">
        <f>IF('StockList_MS2'!A209="","",HYPERLINK("https://kabutan.jp/stock/?code="&amp;'StockList_MS2'!A209,'StockList_MS2'!A209))</f>
        <v/>
      </c>
      <c r="C210" s="16">
        <f>IF('StockList_MS2'!A209="","",'StockList_MS2'!B209)</f>
        <v/>
      </c>
      <c r="D210" s="17" t="n"/>
      <c r="E210" s="17" t="n"/>
      <c r="F210" s="17" t="n"/>
      <c r="G210" s="17" t="n"/>
      <c r="H210" s="18" t="n"/>
      <c r="I210" s="17" t="n"/>
      <c r="J210" s="17" t="n"/>
      <c r="K210" s="17" t="n"/>
      <c r="L210" s="14">
        <f>IF(D210="","",IF(D210&gt;K210,"BUY-DAY","SELL-DAY"))</f>
        <v/>
      </c>
      <c r="M210" s="19">
        <f>IF(D210="","",MAX(E210-F210,ABS(E210-K210),ABS(F210-K210)))</f>
        <v/>
      </c>
      <c r="N210" s="14">
        <f>IF(D210="","",IF(AND(H210&gt;0,H210&gt;(H210/3)*2.5),"VOL-OK","VOL-NG"))</f>
        <v/>
      </c>
      <c r="O210" s="14">
        <f>IF(D210="","",IF(D210&gt;I210,"ON","OFF"))</f>
        <v/>
      </c>
      <c r="P210" s="14">
        <f>IF(D210="","",IF(D210&lt;J210,"ON","OFF"))</f>
        <v/>
      </c>
      <c r="Q210" s="14">
        <f>IF(OR(D210="",M210&lt;=0),"",IF(AND(L210="BUY-DAY",N210="VOL-OK",P210="ON",Z210="OK",AA210&lt;&gt;"DOWN"),"BUY",IF(AND(L210="SELL-DAY",N210="VOL-OK",O210="ON",Z210="OK",AA210&lt;&gt;"UP"),"SELL","")))</f>
        <v/>
      </c>
      <c r="R210" s="19">
        <f>IF(Q210="","",D210)</f>
        <v/>
      </c>
      <c r="S210" s="19">
        <f>IF(Q210="","",IF(Q210="BUY",D210-M210*1.5,D210+M210*1.5))</f>
        <v/>
      </c>
      <c r="T210" s="19">
        <f>IF(Q210="","",IF(Q210="BUY",D210+M210*1.5,D210-M210*1.5))</f>
        <v/>
      </c>
      <c r="U210" s="19">
        <f>IF(Q210="","",IF(Q210="BUY",D210+M210*2,D210-M210*2))</f>
        <v/>
      </c>
      <c r="V210" s="19">
        <f>IF(Q210="","",IF(Q210="BUY",D210+M210*3,D210-M210*3))</f>
        <v/>
      </c>
      <c r="W210" s="14">
        <f>IF(OR(D210="",M210&lt;=0),"",IF(AND(D210&gt;G210,ABS(D210-G210)&lt;M210*0.5),"2ND","1ST"))</f>
        <v/>
      </c>
      <c r="X210" s="14">
        <f>IF(OR(D210="",M210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0" s="14">
        <f>IF(OR(D210="",M210&lt;=0),"",IF(M210&gt;D210*0.05,"VOL-HIGH","VOL-NORMAL"))</f>
        <v/>
      </c>
      <c r="Z210" s="14">
        <f>IF(OR(D210="",M210&lt;=0),"",IF(AND(N210="VOL-OK",Y210="VOL-NORMAL",W210="2ND"),"OK","NG"))</f>
        <v/>
      </c>
      <c r="AA210" s="14">
        <f>IF(OR(D210="",M210&lt;=0),"",IF(AND(E210&gt;I210,F210&gt;J210),"UP",IF(AND(E210&lt;I210,F210&lt;J210),"DOWN","FLAT")))</f>
        <v/>
      </c>
    </row>
    <row r="211" ht="26" customHeight="1" s="1">
      <c r="A211" s="8">
        <f>IF(B211="","",ROW()-2)</f>
        <v/>
      </c>
      <c r="B211" s="9">
        <f>IF('StockList_MS2'!A210="","",HYPERLINK("https://kabutan.jp/stock/?code="&amp;'StockList_MS2'!A210,'StockList_MS2'!A210))</f>
        <v/>
      </c>
      <c r="C211" s="10">
        <f>IF('StockList_MS2'!A210="","",'StockList_MS2'!B210)</f>
        <v/>
      </c>
      <c r="D211" s="11" t="n"/>
      <c r="E211" s="11" t="n"/>
      <c r="F211" s="11" t="n"/>
      <c r="G211" s="11" t="n"/>
      <c r="H211" s="12" t="n"/>
      <c r="I211" s="11" t="n"/>
      <c r="J211" s="11" t="n"/>
      <c r="K211" s="11" t="n"/>
      <c r="L211" s="8">
        <f>IF(D211="","",IF(D211&gt;K211,"BUY-DAY","SELL-DAY"))</f>
        <v/>
      </c>
      <c r="M211" s="13">
        <f>IF(D211="","",MAX(E211-F211,ABS(E211-K211),ABS(F211-K211)))</f>
        <v/>
      </c>
      <c r="N211" s="8">
        <f>IF(D211="","",IF(AND(H211&gt;0,H211&gt;(H211/3)*2.5),"VOL-OK","VOL-NG"))</f>
        <v/>
      </c>
      <c r="O211" s="8">
        <f>IF(D211="","",IF(D211&gt;I211,"ON","OFF"))</f>
        <v/>
      </c>
      <c r="P211" s="8">
        <f>IF(D211="","",IF(D211&lt;J211,"ON","OFF"))</f>
        <v/>
      </c>
      <c r="Q211" s="8">
        <f>IF(OR(D211="",M211&lt;=0),"",IF(AND(L211="BUY-DAY",N211="VOL-OK",P211="ON",Z211="OK",AA211&lt;&gt;"DOWN"),"BUY",IF(AND(L211="SELL-DAY",N211="VOL-OK",O211="ON",Z211="OK",AA211&lt;&gt;"UP"),"SELL","")))</f>
        <v/>
      </c>
      <c r="R211" s="13">
        <f>IF(Q211="","",D211)</f>
        <v/>
      </c>
      <c r="S211" s="13">
        <f>IF(Q211="","",IF(Q211="BUY",D211-M211*1.5,D211+M211*1.5))</f>
        <v/>
      </c>
      <c r="T211" s="13">
        <f>IF(Q211="","",IF(Q211="BUY",D211+M211*1.5,D211-M211*1.5))</f>
        <v/>
      </c>
      <c r="U211" s="13">
        <f>IF(Q211="","",IF(Q211="BUY",D211+M211*2,D211-M211*2))</f>
        <v/>
      </c>
      <c r="V211" s="13">
        <f>IF(Q211="","",IF(Q211="BUY",D211+M211*3,D211-M211*3))</f>
        <v/>
      </c>
      <c r="W211" s="8">
        <f>IF(OR(D211="",M211&lt;=0),"",IF(AND(D211&gt;G211,ABS(D211-G211)&lt;M211*0.5),"2ND","1ST"))</f>
        <v/>
      </c>
      <c r="X211" s="8">
        <f>IF(OR(D211="",M211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1" s="8">
        <f>IF(OR(D211="",M211&lt;=0),"",IF(M211&gt;D211*0.05,"VOL-HIGH","VOL-NORMAL"))</f>
        <v/>
      </c>
      <c r="Z211" s="8">
        <f>IF(OR(D211="",M211&lt;=0),"",IF(AND(N211="VOL-OK",Y211="VOL-NORMAL",W211="2ND"),"OK","NG"))</f>
        <v/>
      </c>
      <c r="AA211" s="8">
        <f>IF(OR(D211="",M211&lt;=0),"",IF(AND(E211&gt;I211,F211&gt;J211),"UP",IF(AND(E211&lt;I211,F211&lt;J211),"DOWN","FLAT")))</f>
        <v/>
      </c>
    </row>
    <row r="212" ht="26" customHeight="1" s="1">
      <c r="A212" s="14">
        <f>IF(B212="","",ROW()-2)</f>
        <v/>
      </c>
      <c r="B212" s="15">
        <f>IF('StockList_MS2'!A211="","",HYPERLINK("https://kabutan.jp/stock/?code="&amp;'StockList_MS2'!A211,'StockList_MS2'!A211))</f>
        <v/>
      </c>
      <c r="C212" s="16">
        <f>IF('StockList_MS2'!A211="","",'StockList_MS2'!B211)</f>
        <v/>
      </c>
      <c r="D212" s="17" t="n"/>
      <c r="E212" s="17" t="n"/>
      <c r="F212" s="17" t="n"/>
      <c r="G212" s="17" t="n"/>
      <c r="H212" s="18" t="n"/>
      <c r="I212" s="17" t="n"/>
      <c r="J212" s="17" t="n"/>
      <c r="K212" s="17" t="n"/>
      <c r="L212" s="14">
        <f>IF(D212="","",IF(D212&gt;K212,"BUY-DAY","SELL-DAY"))</f>
        <v/>
      </c>
      <c r="M212" s="19">
        <f>IF(D212="","",MAX(E212-F212,ABS(E212-K212),ABS(F212-K212)))</f>
        <v/>
      </c>
      <c r="N212" s="14">
        <f>IF(D212="","",IF(AND(H212&gt;0,H212&gt;(H212/3)*2.5),"VOL-OK","VOL-NG"))</f>
        <v/>
      </c>
      <c r="O212" s="14">
        <f>IF(D212="","",IF(D212&gt;I212,"ON","OFF"))</f>
        <v/>
      </c>
      <c r="P212" s="14">
        <f>IF(D212="","",IF(D212&lt;J212,"ON","OFF"))</f>
        <v/>
      </c>
      <c r="Q212" s="14">
        <f>IF(OR(D212="",M212&lt;=0),"",IF(AND(L212="BUY-DAY",N212="VOL-OK",P212="ON",Z212="OK",AA212&lt;&gt;"DOWN"),"BUY",IF(AND(L212="SELL-DAY",N212="VOL-OK",O212="ON",Z212="OK",AA212&lt;&gt;"UP"),"SELL","")))</f>
        <v/>
      </c>
      <c r="R212" s="19">
        <f>IF(Q212="","",D212)</f>
        <v/>
      </c>
      <c r="S212" s="19">
        <f>IF(Q212="","",IF(Q212="BUY",D212-M212*1.5,D212+M212*1.5))</f>
        <v/>
      </c>
      <c r="T212" s="19">
        <f>IF(Q212="","",IF(Q212="BUY",D212+M212*1.5,D212-M212*1.5))</f>
        <v/>
      </c>
      <c r="U212" s="19">
        <f>IF(Q212="","",IF(Q212="BUY",D212+M212*2,D212-M212*2))</f>
        <v/>
      </c>
      <c r="V212" s="19">
        <f>IF(Q212="","",IF(Q212="BUY",D212+M212*3,D212-M212*3))</f>
        <v/>
      </c>
      <c r="W212" s="14">
        <f>IF(OR(D212="",M212&lt;=0),"",IF(AND(D212&gt;G212,ABS(D212-G212)&lt;M212*0.5),"2ND","1ST"))</f>
        <v/>
      </c>
      <c r="X212" s="14">
        <f>IF(OR(D212="",M212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2" s="14">
        <f>IF(OR(D212="",M212&lt;=0),"",IF(M212&gt;D212*0.05,"VOL-HIGH","VOL-NORMAL"))</f>
        <v/>
      </c>
      <c r="Z212" s="14">
        <f>IF(OR(D212="",M212&lt;=0),"",IF(AND(N212="VOL-OK",Y212="VOL-NORMAL",W212="2ND"),"OK","NG"))</f>
        <v/>
      </c>
      <c r="AA212" s="14">
        <f>IF(OR(D212="",M212&lt;=0),"",IF(AND(E212&gt;I212,F212&gt;J212),"UP",IF(AND(E212&lt;I212,F212&lt;J212),"DOWN","FLAT")))</f>
        <v/>
      </c>
    </row>
    <row r="213" ht="26" customHeight="1" s="1">
      <c r="A213" s="8">
        <f>IF(B213="","",ROW()-2)</f>
        <v/>
      </c>
      <c r="B213" s="9">
        <f>IF('StockList_MS2'!A212="","",HYPERLINK("https://kabutan.jp/stock/?code="&amp;'StockList_MS2'!A212,'StockList_MS2'!A212))</f>
        <v/>
      </c>
      <c r="C213" s="10">
        <f>IF('StockList_MS2'!A212="","",'StockList_MS2'!B212)</f>
        <v/>
      </c>
      <c r="D213" s="11" t="n"/>
      <c r="E213" s="11" t="n"/>
      <c r="F213" s="11" t="n"/>
      <c r="G213" s="11" t="n"/>
      <c r="H213" s="12" t="n"/>
      <c r="I213" s="11" t="n"/>
      <c r="J213" s="11" t="n"/>
      <c r="K213" s="11" t="n"/>
      <c r="L213" s="8">
        <f>IF(D213="","",IF(D213&gt;K213,"BUY-DAY","SELL-DAY"))</f>
        <v/>
      </c>
      <c r="M213" s="13">
        <f>IF(D213="","",MAX(E213-F213,ABS(E213-K213),ABS(F213-K213)))</f>
        <v/>
      </c>
      <c r="N213" s="8">
        <f>IF(D213="","",IF(AND(H213&gt;0,H213&gt;(H213/3)*2.5),"VOL-OK","VOL-NG"))</f>
        <v/>
      </c>
      <c r="O213" s="8">
        <f>IF(D213="","",IF(D213&gt;I213,"ON","OFF"))</f>
        <v/>
      </c>
      <c r="P213" s="8">
        <f>IF(D213="","",IF(D213&lt;J213,"ON","OFF"))</f>
        <v/>
      </c>
      <c r="Q213" s="8">
        <f>IF(OR(D213="",M213&lt;=0),"",IF(AND(L213="BUY-DAY",N213="VOL-OK",P213="ON",Z213="OK",AA213&lt;&gt;"DOWN"),"BUY",IF(AND(L213="SELL-DAY",N213="VOL-OK",O213="ON",Z213="OK",AA213&lt;&gt;"UP"),"SELL","")))</f>
        <v/>
      </c>
      <c r="R213" s="13">
        <f>IF(Q213="","",D213)</f>
        <v/>
      </c>
      <c r="S213" s="13">
        <f>IF(Q213="","",IF(Q213="BUY",D213-M213*1.5,D213+M213*1.5))</f>
        <v/>
      </c>
      <c r="T213" s="13">
        <f>IF(Q213="","",IF(Q213="BUY",D213+M213*1.5,D213-M213*1.5))</f>
        <v/>
      </c>
      <c r="U213" s="13">
        <f>IF(Q213="","",IF(Q213="BUY",D213+M213*2,D213-M213*2))</f>
        <v/>
      </c>
      <c r="V213" s="13">
        <f>IF(Q213="","",IF(Q213="BUY",D213+M213*3,D213-M213*3))</f>
        <v/>
      </c>
      <c r="W213" s="8">
        <f>IF(OR(D213="",M213&lt;=0),"",IF(AND(D213&gt;G213,ABS(D213-G213)&lt;M213*0.5),"2ND","1ST"))</f>
        <v/>
      </c>
      <c r="X213" s="8">
        <f>IF(OR(D213="",M213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3" s="8">
        <f>IF(OR(D213="",M213&lt;=0),"",IF(M213&gt;D213*0.05,"VOL-HIGH","VOL-NORMAL"))</f>
        <v/>
      </c>
      <c r="Z213" s="8">
        <f>IF(OR(D213="",M213&lt;=0),"",IF(AND(N213="VOL-OK",Y213="VOL-NORMAL",W213="2ND"),"OK","NG"))</f>
        <v/>
      </c>
      <c r="AA213" s="8">
        <f>IF(OR(D213="",M213&lt;=0),"",IF(AND(E213&gt;I213,F213&gt;J213),"UP",IF(AND(E213&lt;I213,F213&lt;J213),"DOWN","FLAT")))</f>
        <v/>
      </c>
    </row>
    <row r="214" ht="26" customHeight="1" s="1">
      <c r="A214" s="14">
        <f>IF(B214="","",ROW()-2)</f>
        <v/>
      </c>
      <c r="B214" s="15">
        <f>IF('StockList_MS2'!A213="","",HYPERLINK("https://kabutan.jp/stock/?code="&amp;'StockList_MS2'!A213,'StockList_MS2'!A213))</f>
        <v/>
      </c>
      <c r="C214" s="16">
        <f>IF('StockList_MS2'!A213="","",'StockList_MS2'!B213)</f>
        <v/>
      </c>
      <c r="D214" s="17" t="n"/>
      <c r="E214" s="17" t="n"/>
      <c r="F214" s="17" t="n"/>
      <c r="G214" s="17" t="n"/>
      <c r="H214" s="18" t="n"/>
      <c r="I214" s="17" t="n"/>
      <c r="J214" s="17" t="n"/>
      <c r="K214" s="17" t="n"/>
      <c r="L214" s="14">
        <f>IF(D214="","",IF(D214&gt;K214,"BUY-DAY","SELL-DAY"))</f>
        <v/>
      </c>
      <c r="M214" s="19">
        <f>IF(D214="","",MAX(E214-F214,ABS(E214-K214),ABS(F214-K214)))</f>
        <v/>
      </c>
      <c r="N214" s="14">
        <f>IF(D214="","",IF(AND(H214&gt;0,H214&gt;(H214/3)*2.5),"VOL-OK","VOL-NG"))</f>
        <v/>
      </c>
      <c r="O214" s="14">
        <f>IF(D214="","",IF(D214&gt;I214,"ON","OFF"))</f>
        <v/>
      </c>
      <c r="P214" s="14">
        <f>IF(D214="","",IF(D214&lt;J214,"ON","OFF"))</f>
        <v/>
      </c>
      <c r="Q214" s="14">
        <f>IF(OR(D214="",M214&lt;=0),"",IF(AND(L214="BUY-DAY",N214="VOL-OK",P214="ON",Z214="OK",AA214&lt;&gt;"DOWN"),"BUY",IF(AND(L214="SELL-DAY",N214="VOL-OK",O214="ON",Z214="OK",AA214&lt;&gt;"UP"),"SELL","")))</f>
        <v/>
      </c>
      <c r="R214" s="19">
        <f>IF(Q214="","",D214)</f>
        <v/>
      </c>
      <c r="S214" s="19">
        <f>IF(Q214="","",IF(Q214="BUY",D214-M214*1.5,D214+M214*1.5))</f>
        <v/>
      </c>
      <c r="T214" s="19">
        <f>IF(Q214="","",IF(Q214="BUY",D214+M214*1.5,D214-M214*1.5))</f>
        <v/>
      </c>
      <c r="U214" s="19">
        <f>IF(Q214="","",IF(Q214="BUY",D214+M214*2,D214-M214*2))</f>
        <v/>
      </c>
      <c r="V214" s="19">
        <f>IF(Q214="","",IF(Q214="BUY",D214+M214*3,D214-M214*3))</f>
        <v/>
      </c>
      <c r="W214" s="14">
        <f>IF(OR(D214="",M214&lt;=0),"",IF(AND(D214&gt;G214,ABS(D214-G214)&lt;M214*0.5),"2ND","1ST"))</f>
        <v/>
      </c>
      <c r="X214" s="14">
        <f>IF(OR(D214="",M214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4" s="14">
        <f>IF(OR(D214="",M214&lt;=0),"",IF(M214&gt;D214*0.05,"VOL-HIGH","VOL-NORMAL"))</f>
        <v/>
      </c>
      <c r="Z214" s="14">
        <f>IF(OR(D214="",M214&lt;=0),"",IF(AND(N214="VOL-OK",Y214="VOL-NORMAL",W214="2ND"),"OK","NG"))</f>
        <v/>
      </c>
      <c r="AA214" s="14">
        <f>IF(OR(D214="",M214&lt;=0),"",IF(AND(E214&gt;I214,F214&gt;J214),"UP",IF(AND(E214&lt;I214,F214&lt;J214),"DOWN","FLAT")))</f>
        <v/>
      </c>
    </row>
    <row r="215" ht="26" customHeight="1" s="1">
      <c r="A215" s="8">
        <f>IF(B215="","",ROW()-2)</f>
        <v/>
      </c>
      <c r="B215" s="9">
        <f>IF('StockList_MS2'!A214="","",HYPERLINK("https://kabutan.jp/stock/?code="&amp;'StockList_MS2'!A214,'StockList_MS2'!A214))</f>
        <v/>
      </c>
      <c r="C215" s="10">
        <f>IF('StockList_MS2'!A214="","",'StockList_MS2'!B214)</f>
        <v/>
      </c>
      <c r="D215" s="11" t="n"/>
      <c r="E215" s="11" t="n"/>
      <c r="F215" s="11" t="n"/>
      <c r="G215" s="11" t="n"/>
      <c r="H215" s="12" t="n"/>
      <c r="I215" s="11" t="n"/>
      <c r="J215" s="11" t="n"/>
      <c r="K215" s="11" t="n"/>
      <c r="L215" s="8">
        <f>IF(D215="","",IF(D215&gt;K215,"BUY-DAY","SELL-DAY"))</f>
        <v/>
      </c>
      <c r="M215" s="13">
        <f>IF(D215="","",MAX(E215-F215,ABS(E215-K215),ABS(F215-K215)))</f>
        <v/>
      </c>
      <c r="N215" s="8">
        <f>IF(D215="","",IF(AND(H215&gt;0,H215&gt;(H215/3)*2.5),"VOL-OK","VOL-NG"))</f>
        <v/>
      </c>
      <c r="O215" s="8">
        <f>IF(D215="","",IF(D215&gt;I215,"ON","OFF"))</f>
        <v/>
      </c>
      <c r="P215" s="8">
        <f>IF(D215="","",IF(D215&lt;J215,"ON","OFF"))</f>
        <v/>
      </c>
      <c r="Q215" s="8">
        <f>IF(OR(D215="",M215&lt;=0),"",IF(AND(L215="BUY-DAY",N215="VOL-OK",P215="ON",Z215="OK",AA215&lt;&gt;"DOWN"),"BUY",IF(AND(L215="SELL-DAY",N215="VOL-OK",O215="ON",Z215="OK",AA215&lt;&gt;"UP"),"SELL","")))</f>
        <v/>
      </c>
      <c r="R215" s="13">
        <f>IF(Q215="","",D215)</f>
        <v/>
      </c>
      <c r="S215" s="13">
        <f>IF(Q215="","",IF(Q215="BUY",D215-M215*1.5,D215+M215*1.5))</f>
        <v/>
      </c>
      <c r="T215" s="13">
        <f>IF(Q215="","",IF(Q215="BUY",D215+M215*1.5,D215-M215*1.5))</f>
        <v/>
      </c>
      <c r="U215" s="13">
        <f>IF(Q215="","",IF(Q215="BUY",D215+M215*2,D215-M215*2))</f>
        <v/>
      </c>
      <c r="V215" s="13">
        <f>IF(Q215="","",IF(Q215="BUY",D215+M215*3,D215-M215*3))</f>
        <v/>
      </c>
      <c r="W215" s="8">
        <f>IF(OR(D215="",M215&lt;=0),"",IF(AND(D215&gt;G215,ABS(D215-G215)&lt;M215*0.5),"2ND","1ST"))</f>
        <v/>
      </c>
      <c r="X215" s="8">
        <f>IF(OR(D215="",M215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5" s="8">
        <f>IF(OR(D215="",M215&lt;=0),"",IF(M215&gt;D215*0.05,"VOL-HIGH","VOL-NORMAL"))</f>
        <v/>
      </c>
      <c r="Z215" s="8">
        <f>IF(OR(D215="",M215&lt;=0),"",IF(AND(N215="VOL-OK",Y215="VOL-NORMAL",W215="2ND"),"OK","NG"))</f>
        <v/>
      </c>
      <c r="AA215" s="8">
        <f>IF(OR(D215="",M215&lt;=0),"",IF(AND(E215&gt;I215,F215&gt;J215),"UP",IF(AND(E215&lt;I215,F215&lt;J215),"DOWN","FLAT")))</f>
        <v/>
      </c>
    </row>
    <row r="216" ht="26" customHeight="1" s="1">
      <c r="A216" s="14">
        <f>IF(B216="","",ROW()-2)</f>
        <v/>
      </c>
      <c r="B216" s="15">
        <f>IF('StockList_MS2'!A215="","",HYPERLINK("https://kabutan.jp/stock/?code="&amp;'StockList_MS2'!A215,'StockList_MS2'!A215))</f>
        <v/>
      </c>
      <c r="C216" s="16">
        <f>IF('StockList_MS2'!A215="","",'StockList_MS2'!B215)</f>
        <v/>
      </c>
      <c r="D216" s="17" t="n"/>
      <c r="E216" s="17" t="n"/>
      <c r="F216" s="17" t="n"/>
      <c r="G216" s="17" t="n"/>
      <c r="H216" s="18" t="n"/>
      <c r="I216" s="17" t="n"/>
      <c r="J216" s="17" t="n"/>
      <c r="K216" s="17" t="n"/>
      <c r="L216" s="14">
        <f>IF(D216="","",IF(D216&gt;K216,"BUY-DAY","SELL-DAY"))</f>
        <v/>
      </c>
      <c r="M216" s="19">
        <f>IF(D216="","",MAX(E216-F216,ABS(E216-K216),ABS(F216-K216)))</f>
        <v/>
      </c>
      <c r="N216" s="14">
        <f>IF(D216="","",IF(AND(H216&gt;0,H216&gt;(H216/3)*2.5),"VOL-OK","VOL-NG"))</f>
        <v/>
      </c>
      <c r="O216" s="14">
        <f>IF(D216="","",IF(D216&gt;I216,"ON","OFF"))</f>
        <v/>
      </c>
      <c r="P216" s="14">
        <f>IF(D216="","",IF(D216&lt;J216,"ON","OFF"))</f>
        <v/>
      </c>
      <c r="Q216" s="14">
        <f>IF(OR(D216="",M216&lt;=0),"",IF(AND(L216="BUY-DAY",N216="VOL-OK",P216="ON",Z216="OK",AA216&lt;&gt;"DOWN"),"BUY",IF(AND(L216="SELL-DAY",N216="VOL-OK",O216="ON",Z216="OK",AA216&lt;&gt;"UP"),"SELL","")))</f>
        <v/>
      </c>
      <c r="R216" s="19">
        <f>IF(Q216="","",D216)</f>
        <v/>
      </c>
      <c r="S216" s="19">
        <f>IF(Q216="","",IF(Q216="BUY",D216-M216*1.5,D216+M216*1.5))</f>
        <v/>
      </c>
      <c r="T216" s="19">
        <f>IF(Q216="","",IF(Q216="BUY",D216+M216*1.5,D216-M216*1.5))</f>
        <v/>
      </c>
      <c r="U216" s="19">
        <f>IF(Q216="","",IF(Q216="BUY",D216+M216*2,D216-M216*2))</f>
        <v/>
      </c>
      <c r="V216" s="19">
        <f>IF(Q216="","",IF(Q216="BUY",D216+M216*3,D216-M216*3))</f>
        <v/>
      </c>
      <c r="W216" s="14">
        <f>IF(OR(D216="",M216&lt;=0),"",IF(AND(D216&gt;G216,ABS(D216-G216)&lt;M216*0.5),"2ND","1ST"))</f>
        <v/>
      </c>
      <c r="X216" s="14">
        <f>IF(OR(D216="",M216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6" s="14">
        <f>IF(OR(D216="",M216&lt;=0),"",IF(M216&gt;D216*0.05,"VOL-HIGH","VOL-NORMAL"))</f>
        <v/>
      </c>
      <c r="Z216" s="14">
        <f>IF(OR(D216="",M216&lt;=0),"",IF(AND(N216="VOL-OK",Y216="VOL-NORMAL",W216="2ND"),"OK","NG"))</f>
        <v/>
      </c>
      <c r="AA216" s="14">
        <f>IF(OR(D216="",M216&lt;=0),"",IF(AND(E216&gt;I216,F216&gt;J216),"UP",IF(AND(E216&lt;I216,F216&lt;J216),"DOWN","FLAT")))</f>
        <v/>
      </c>
    </row>
    <row r="217" ht="26" customHeight="1" s="1">
      <c r="A217" s="8">
        <f>IF(B217="","",ROW()-2)</f>
        <v/>
      </c>
      <c r="B217" s="9">
        <f>IF('StockList_MS2'!A216="","",HYPERLINK("https://kabutan.jp/stock/?code="&amp;'StockList_MS2'!A216,'StockList_MS2'!A216))</f>
        <v/>
      </c>
      <c r="C217" s="10">
        <f>IF('StockList_MS2'!A216="","",'StockList_MS2'!B216)</f>
        <v/>
      </c>
      <c r="D217" s="11" t="n"/>
      <c r="E217" s="11" t="n"/>
      <c r="F217" s="11" t="n"/>
      <c r="G217" s="11" t="n"/>
      <c r="H217" s="12" t="n"/>
      <c r="I217" s="11" t="n"/>
      <c r="J217" s="11" t="n"/>
      <c r="K217" s="11" t="n"/>
      <c r="L217" s="8">
        <f>IF(D217="","",IF(D217&gt;K217,"BUY-DAY","SELL-DAY"))</f>
        <v/>
      </c>
      <c r="M217" s="13">
        <f>IF(D217="","",MAX(E217-F217,ABS(E217-K217),ABS(F217-K217)))</f>
        <v/>
      </c>
      <c r="N217" s="8">
        <f>IF(D217="","",IF(AND(H217&gt;0,H217&gt;(H217/3)*2.5),"VOL-OK","VOL-NG"))</f>
        <v/>
      </c>
      <c r="O217" s="8">
        <f>IF(D217="","",IF(D217&gt;I217,"ON","OFF"))</f>
        <v/>
      </c>
      <c r="P217" s="8">
        <f>IF(D217="","",IF(D217&lt;J217,"ON","OFF"))</f>
        <v/>
      </c>
      <c r="Q217" s="8">
        <f>IF(OR(D217="",M217&lt;=0),"",IF(AND(L217="BUY-DAY",N217="VOL-OK",P217="ON",Z217="OK",AA217&lt;&gt;"DOWN"),"BUY",IF(AND(L217="SELL-DAY",N217="VOL-OK",O217="ON",Z217="OK",AA217&lt;&gt;"UP"),"SELL","")))</f>
        <v/>
      </c>
      <c r="R217" s="13">
        <f>IF(Q217="","",D217)</f>
        <v/>
      </c>
      <c r="S217" s="13">
        <f>IF(Q217="","",IF(Q217="BUY",D217-M217*1.5,D217+M217*1.5))</f>
        <v/>
      </c>
      <c r="T217" s="13">
        <f>IF(Q217="","",IF(Q217="BUY",D217+M217*1.5,D217-M217*1.5))</f>
        <v/>
      </c>
      <c r="U217" s="13">
        <f>IF(Q217="","",IF(Q217="BUY",D217+M217*2,D217-M217*2))</f>
        <v/>
      </c>
      <c r="V217" s="13">
        <f>IF(Q217="","",IF(Q217="BUY",D217+M217*3,D217-M217*3))</f>
        <v/>
      </c>
      <c r="W217" s="8">
        <f>IF(OR(D217="",M217&lt;=0),"",IF(AND(D217&gt;G217,ABS(D217-G217)&lt;M217*0.5),"2ND","1ST"))</f>
        <v/>
      </c>
      <c r="X217" s="8">
        <f>IF(OR(D217="",M217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7" s="8">
        <f>IF(OR(D217="",M217&lt;=0),"",IF(M217&gt;D217*0.05,"VOL-HIGH","VOL-NORMAL"))</f>
        <v/>
      </c>
      <c r="Z217" s="8">
        <f>IF(OR(D217="",M217&lt;=0),"",IF(AND(N217="VOL-OK",Y217="VOL-NORMAL",W217="2ND"),"OK","NG"))</f>
        <v/>
      </c>
      <c r="AA217" s="8">
        <f>IF(OR(D217="",M217&lt;=0),"",IF(AND(E217&gt;I217,F217&gt;J217),"UP",IF(AND(E217&lt;I217,F217&lt;J217),"DOWN","FLAT")))</f>
        <v/>
      </c>
    </row>
    <row r="218" ht="26" customHeight="1" s="1">
      <c r="A218" s="14">
        <f>IF(B218="","",ROW()-2)</f>
        <v/>
      </c>
      <c r="B218" s="15">
        <f>IF('StockList_MS2'!A217="","",HYPERLINK("https://kabutan.jp/stock/?code="&amp;'StockList_MS2'!A217,'StockList_MS2'!A217))</f>
        <v/>
      </c>
      <c r="C218" s="16">
        <f>IF('StockList_MS2'!A217="","",'StockList_MS2'!B217)</f>
        <v/>
      </c>
      <c r="D218" s="17" t="n"/>
      <c r="E218" s="17" t="n"/>
      <c r="F218" s="17" t="n"/>
      <c r="G218" s="17" t="n"/>
      <c r="H218" s="18" t="n"/>
      <c r="I218" s="17" t="n"/>
      <c r="J218" s="17" t="n"/>
      <c r="K218" s="17" t="n"/>
      <c r="L218" s="14">
        <f>IF(D218="","",IF(D218&gt;K218,"BUY-DAY","SELL-DAY"))</f>
        <v/>
      </c>
      <c r="M218" s="19">
        <f>IF(D218="","",MAX(E218-F218,ABS(E218-K218),ABS(F218-K218)))</f>
        <v/>
      </c>
      <c r="N218" s="14">
        <f>IF(D218="","",IF(AND(H218&gt;0,H218&gt;(H218/3)*2.5),"VOL-OK","VOL-NG"))</f>
        <v/>
      </c>
      <c r="O218" s="14">
        <f>IF(D218="","",IF(D218&gt;I218,"ON","OFF"))</f>
        <v/>
      </c>
      <c r="P218" s="14">
        <f>IF(D218="","",IF(D218&lt;J218,"ON","OFF"))</f>
        <v/>
      </c>
      <c r="Q218" s="14">
        <f>IF(OR(D218="",M218&lt;=0),"",IF(AND(L218="BUY-DAY",N218="VOL-OK",P218="ON",Z218="OK",AA218&lt;&gt;"DOWN"),"BUY",IF(AND(L218="SELL-DAY",N218="VOL-OK",O218="ON",Z218="OK",AA218&lt;&gt;"UP"),"SELL","")))</f>
        <v/>
      </c>
      <c r="R218" s="19">
        <f>IF(Q218="","",D218)</f>
        <v/>
      </c>
      <c r="S218" s="19">
        <f>IF(Q218="","",IF(Q218="BUY",D218-M218*1.5,D218+M218*1.5))</f>
        <v/>
      </c>
      <c r="T218" s="19">
        <f>IF(Q218="","",IF(Q218="BUY",D218+M218*1.5,D218-M218*1.5))</f>
        <v/>
      </c>
      <c r="U218" s="19">
        <f>IF(Q218="","",IF(Q218="BUY",D218+M218*2,D218-M218*2))</f>
        <v/>
      </c>
      <c r="V218" s="19">
        <f>IF(Q218="","",IF(Q218="BUY",D218+M218*3,D218-M218*3))</f>
        <v/>
      </c>
      <c r="W218" s="14">
        <f>IF(OR(D218="",M218&lt;=0),"",IF(AND(D218&gt;G218,ABS(D218-G218)&lt;M218*0.5),"2ND","1ST"))</f>
        <v/>
      </c>
      <c r="X218" s="14">
        <f>IF(OR(D218="",M218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8" s="14">
        <f>IF(OR(D218="",M218&lt;=0),"",IF(M218&gt;D218*0.05,"VOL-HIGH","VOL-NORMAL"))</f>
        <v/>
      </c>
      <c r="Z218" s="14">
        <f>IF(OR(D218="",M218&lt;=0),"",IF(AND(N218="VOL-OK",Y218="VOL-NORMAL",W218="2ND"),"OK","NG"))</f>
        <v/>
      </c>
      <c r="AA218" s="14">
        <f>IF(OR(D218="",M218&lt;=0),"",IF(AND(E218&gt;I218,F218&gt;J218),"UP",IF(AND(E218&lt;I218,F218&lt;J218),"DOWN","FLAT")))</f>
        <v/>
      </c>
    </row>
    <row r="219" ht="26" customHeight="1" s="1">
      <c r="A219" s="8">
        <f>IF(B219="","",ROW()-2)</f>
        <v/>
      </c>
      <c r="B219" s="9">
        <f>IF('StockList_MS2'!A218="","",HYPERLINK("https://kabutan.jp/stock/?code="&amp;'StockList_MS2'!A218,'StockList_MS2'!A218))</f>
        <v/>
      </c>
      <c r="C219" s="10">
        <f>IF('StockList_MS2'!A218="","",'StockList_MS2'!B218)</f>
        <v/>
      </c>
      <c r="D219" s="11" t="n"/>
      <c r="E219" s="11" t="n"/>
      <c r="F219" s="11" t="n"/>
      <c r="G219" s="11" t="n"/>
      <c r="H219" s="12" t="n"/>
      <c r="I219" s="11" t="n"/>
      <c r="J219" s="11" t="n"/>
      <c r="K219" s="11" t="n"/>
      <c r="L219" s="8">
        <f>IF(D219="","",IF(D219&gt;K219,"BUY-DAY","SELL-DAY"))</f>
        <v/>
      </c>
      <c r="M219" s="13">
        <f>IF(D219="","",MAX(E219-F219,ABS(E219-K219),ABS(F219-K219)))</f>
        <v/>
      </c>
      <c r="N219" s="8">
        <f>IF(D219="","",IF(AND(H219&gt;0,H219&gt;(H219/3)*2.5),"VOL-OK","VOL-NG"))</f>
        <v/>
      </c>
      <c r="O219" s="8">
        <f>IF(D219="","",IF(D219&gt;I219,"ON","OFF"))</f>
        <v/>
      </c>
      <c r="P219" s="8">
        <f>IF(D219="","",IF(D219&lt;J219,"ON","OFF"))</f>
        <v/>
      </c>
      <c r="Q219" s="8">
        <f>IF(OR(D219="",M219&lt;=0),"",IF(AND(L219="BUY-DAY",N219="VOL-OK",P219="ON",Z219="OK",AA219&lt;&gt;"DOWN"),"BUY",IF(AND(L219="SELL-DAY",N219="VOL-OK",O219="ON",Z219="OK",AA219&lt;&gt;"UP"),"SELL","")))</f>
        <v/>
      </c>
      <c r="R219" s="13">
        <f>IF(Q219="","",D219)</f>
        <v/>
      </c>
      <c r="S219" s="13">
        <f>IF(Q219="","",IF(Q219="BUY",D219-M219*1.5,D219+M219*1.5))</f>
        <v/>
      </c>
      <c r="T219" s="13">
        <f>IF(Q219="","",IF(Q219="BUY",D219+M219*1.5,D219-M219*1.5))</f>
        <v/>
      </c>
      <c r="U219" s="13">
        <f>IF(Q219="","",IF(Q219="BUY",D219+M219*2,D219-M219*2))</f>
        <v/>
      </c>
      <c r="V219" s="13">
        <f>IF(Q219="","",IF(Q219="BUY",D219+M219*3,D219-M219*3))</f>
        <v/>
      </c>
      <c r="W219" s="8">
        <f>IF(OR(D219="",M219&lt;=0),"",IF(AND(D219&gt;G219,ABS(D219-G219)&lt;M219*0.5),"2ND","1ST"))</f>
        <v/>
      </c>
      <c r="X219" s="8">
        <f>IF(OR(D219="",M219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19" s="8">
        <f>IF(OR(D219="",M219&lt;=0),"",IF(M219&gt;D219*0.05,"VOL-HIGH","VOL-NORMAL"))</f>
        <v/>
      </c>
      <c r="Z219" s="8">
        <f>IF(OR(D219="",M219&lt;=0),"",IF(AND(N219="VOL-OK",Y219="VOL-NORMAL",W219="2ND"),"OK","NG"))</f>
        <v/>
      </c>
      <c r="AA219" s="8">
        <f>IF(OR(D219="",M219&lt;=0),"",IF(AND(E219&gt;I219,F219&gt;J219),"UP",IF(AND(E219&lt;I219,F219&lt;J219),"DOWN","FLAT")))</f>
        <v/>
      </c>
    </row>
    <row r="220" ht="26" customHeight="1" s="1">
      <c r="A220" s="14">
        <f>IF(B220="","",ROW()-2)</f>
        <v/>
      </c>
      <c r="B220" s="15">
        <f>IF('StockList_MS2'!A219="","",HYPERLINK("https://kabutan.jp/stock/?code="&amp;'StockList_MS2'!A219,'StockList_MS2'!A219))</f>
        <v/>
      </c>
      <c r="C220" s="16">
        <f>IF('StockList_MS2'!A219="","",'StockList_MS2'!B219)</f>
        <v/>
      </c>
      <c r="D220" s="17" t="n"/>
      <c r="E220" s="17" t="n"/>
      <c r="F220" s="17" t="n"/>
      <c r="G220" s="17" t="n"/>
      <c r="H220" s="18" t="n"/>
      <c r="I220" s="17" t="n"/>
      <c r="J220" s="17" t="n"/>
      <c r="K220" s="17" t="n"/>
      <c r="L220" s="14">
        <f>IF(D220="","",IF(D220&gt;K220,"BUY-DAY","SELL-DAY"))</f>
        <v/>
      </c>
      <c r="M220" s="19">
        <f>IF(D220="","",MAX(E220-F220,ABS(E220-K220),ABS(F220-K220)))</f>
        <v/>
      </c>
      <c r="N220" s="14">
        <f>IF(D220="","",IF(AND(H220&gt;0,H220&gt;(H220/3)*2.5),"VOL-OK","VOL-NG"))</f>
        <v/>
      </c>
      <c r="O220" s="14">
        <f>IF(D220="","",IF(D220&gt;I220,"ON","OFF"))</f>
        <v/>
      </c>
      <c r="P220" s="14">
        <f>IF(D220="","",IF(D220&lt;J220,"ON","OFF"))</f>
        <v/>
      </c>
      <c r="Q220" s="14">
        <f>IF(OR(D220="",M220&lt;=0),"",IF(AND(L220="BUY-DAY",N220="VOL-OK",P220="ON",Z220="OK",AA220&lt;&gt;"DOWN"),"BUY",IF(AND(L220="SELL-DAY",N220="VOL-OK",O220="ON",Z220="OK",AA220&lt;&gt;"UP"),"SELL","")))</f>
        <v/>
      </c>
      <c r="R220" s="19">
        <f>IF(Q220="","",D220)</f>
        <v/>
      </c>
      <c r="S220" s="19">
        <f>IF(Q220="","",IF(Q220="BUY",D220-M220*1.5,D220+M220*1.5))</f>
        <v/>
      </c>
      <c r="T220" s="19">
        <f>IF(Q220="","",IF(Q220="BUY",D220+M220*1.5,D220-M220*1.5))</f>
        <v/>
      </c>
      <c r="U220" s="19">
        <f>IF(Q220="","",IF(Q220="BUY",D220+M220*2,D220-M220*2))</f>
        <v/>
      </c>
      <c r="V220" s="19">
        <f>IF(Q220="","",IF(Q220="BUY",D220+M220*3,D220-M220*3))</f>
        <v/>
      </c>
      <c r="W220" s="14">
        <f>IF(OR(D220="",M220&lt;=0),"",IF(AND(D220&gt;G220,ABS(D220-G220)&lt;M220*0.5),"2ND","1ST"))</f>
        <v/>
      </c>
      <c r="X220" s="14">
        <f>IF(OR(D220="",M220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0" s="14">
        <f>IF(OR(D220="",M220&lt;=0),"",IF(M220&gt;D220*0.05,"VOL-HIGH","VOL-NORMAL"))</f>
        <v/>
      </c>
      <c r="Z220" s="14">
        <f>IF(OR(D220="",M220&lt;=0),"",IF(AND(N220="VOL-OK",Y220="VOL-NORMAL",W220="2ND"),"OK","NG"))</f>
        <v/>
      </c>
      <c r="AA220" s="14">
        <f>IF(OR(D220="",M220&lt;=0),"",IF(AND(E220&gt;I220,F220&gt;J220),"UP",IF(AND(E220&lt;I220,F220&lt;J220),"DOWN","FLAT")))</f>
        <v/>
      </c>
    </row>
    <row r="221" ht="26" customHeight="1" s="1">
      <c r="A221" s="8">
        <f>IF(B221="","",ROW()-2)</f>
        <v/>
      </c>
      <c r="B221" s="9">
        <f>IF('StockList_MS2'!A220="","",HYPERLINK("https://kabutan.jp/stock/?code="&amp;'StockList_MS2'!A220,'StockList_MS2'!A220))</f>
        <v/>
      </c>
      <c r="C221" s="10">
        <f>IF('StockList_MS2'!A220="","",'StockList_MS2'!B220)</f>
        <v/>
      </c>
      <c r="D221" s="11" t="n"/>
      <c r="E221" s="11" t="n"/>
      <c r="F221" s="11" t="n"/>
      <c r="G221" s="11" t="n"/>
      <c r="H221" s="12" t="n"/>
      <c r="I221" s="11" t="n"/>
      <c r="J221" s="11" t="n"/>
      <c r="K221" s="11" t="n"/>
      <c r="L221" s="8">
        <f>IF(D221="","",IF(D221&gt;K221,"BUY-DAY","SELL-DAY"))</f>
        <v/>
      </c>
      <c r="M221" s="13">
        <f>IF(D221="","",MAX(E221-F221,ABS(E221-K221),ABS(F221-K221)))</f>
        <v/>
      </c>
      <c r="N221" s="8">
        <f>IF(D221="","",IF(AND(H221&gt;0,H221&gt;(H221/3)*2.5),"VOL-OK","VOL-NG"))</f>
        <v/>
      </c>
      <c r="O221" s="8">
        <f>IF(D221="","",IF(D221&gt;I221,"ON","OFF"))</f>
        <v/>
      </c>
      <c r="P221" s="8">
        <f>IF(D221="","",IF(D221&lt;J221,"ON","OFF"))</f>
        <v/>
      </c>
      <c r="Q221" s="8">
        <f>IF(OR(D221="",M221&lt;=0),"",IF(AND(L221="BUY-DAY",N221="VOL-OK",P221="ON",Z221="OK",AA221&lt;&gt;"DOWN"),"BUY",IF(AND(L221="SELL-DAY",N221="VOL-OK",O221="ON",Z221="OK",AA221&lt;&gt;"UP"),"SELL","")))</f>
        <v/>
      </c>
      <c r="R221" s="13">
        <f>IF(Q221="","",D221)</f>
        <v/>
      </c>
      <c r="S221" s="13">
        <f>IF(Q221="","",IF(Q221="BUY",D221-M221*1.5,D221+M221*1.5))</f>
        <v/>
      </c>
      <c r="T221" s="13">
        <f>IF(Q221="","",IF(Q221="BUY",D221+M221*1.5,D221-M221*1.5))</f>
        <v/>
      </c>
      <c r="U221" s="13">
        <f>IF(Q221="","",IF(Q221="BUY",D221+M221*2,D221-M221*2))</f>
        <v/>
      </c>
      <c r="V221" s="13">
        <f>IF(Q221="","",IF(Q221="BUY",D221+M221*3,D221-M221*3))</f>
        <v/>
      </c>
      <c r="W221" s="8">
        <f>IF(OR(D221="",M221&lt;=0),"",IF(AND(D221&gt;G221,ABS(D221-G221)&lt;M221*0.5),"2ND","1ST"))</f>
        <v/>
      </c>
      <c r="X221" s="8">
        <f>IF(OR(D221="",M221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1" s="8">
        <f>IF(OR(D221="",M221&lt;=0),"",IF(M221&gt;D221*0.05,"VOL-HIGH","VOL-NORMAL"))</f>
        <v/>
      </c>
      <c r="Z221" s="8">
        <f>IF(OR(D221="",M221&lt;=0),"",IF(AND(N221="VOL-OK",Y221="VOL-NORMAL",W221="2ND"),"OK","NG"))</f>
        <v/>
      </c>
      <c r="AA221" s="8">
        <f>IF(OR(D221="",M221&lt;=0),"",IF(AND(E221&gt;I221,F221&gt;J221),"UP",IF(AND(E221&lt;I221,F221&lt;J221),"DOWN","FLAT")))</f>
        <v/>
      </c>
    </row>
    <row r="222" ht="26" customHeight="1" s="1">
      <c r="A222" s="14">
        <f>IF(B222="","",ROW()-2)</f>
        <v/>
      </c>
      <c r="B222" s="15">
        <f>IF('StockList_MS2'!A221="","",HYPERLINK("https://kabutan.jp/stock/?code="&amp;'StockList_MS2'!A221,'StockList_MS2'!A221))</f>
        <v/>
      </c>
      <c r="C222" s="16">
        <f>IF('StockList_MS2'!A221="","",'StockList_MS2'!B221)</f>
        <v/>
      </c>
      <c r="D222" s="17" t="n"/>
      <c r="E222" s="17" t="n"/>
      <c r="F222" s="17" t="n"/>
      <c r="G222" s="17" t="n"/>
      <c r="H222" s="18" t="n"/>
      <c r="I222" s="17" t="n"/>
      <c r="J222" s="17" t="n"/>
      <c r="K222" s="17" t="n"/>
      <c r="L222" s="14">
        <f>IF(D222="","",IF(D222&gt;K222,"BUY-DAY","SELL-DAY"))</f>
        <v/>
      </c>
      <c r="M222" s="19">
        <f>IF(D222="","",MAX(E222-F222,ABS(E222-K222),ABS(F222-K222)))</f>
        <v/>
      </c>
      <c r="N222" s="14">
        <f>IF(D222="","",IF(AND(H222&gt;0,H222&gt;(H222/3)*2.5),"VOL-OK","VOL-NG"))</f>
        <v/>
      </c>
      <c r="O222" s="14">
        <f>IF(D222="","",IF(D222&gt;I222,"ON","OFF"))</f>
        <v/>
      </c>
      <c r="P222" s="14">
        <f>IF(D222="","",IF(D222&lt;J222,"ON","OFF"))</f>
        <v/>
      </c>
      <c r="Q222" s="14">
        <f>IF(OR(D222="",M222&lt;=0),"",IF(AND(L222="BUY-DAY",N222="VOL-OK",P222="ON",Z222="OK",AA222&lt;&gt;"DOWN"),"BUY",IF(AND(L222="SELL-DAY",N222="VOL-OK",O222="ON",Z222="OK",AA222&lt;&gt;"UP"),"SELL","")))</f>
        <v/>
      </c>
      <c r="R222" s="19">
        <f>IF(Q222="","",D222)</f>
        <v/>
      </c>
      <c r="S222" s="19">
        <f>IF(Q222="","",IF(Q222="BUY",D222-M222*1.5,D222+M222*1.5))</f>
        <v/>
      </c>
      <c r="T222" s="19">
        <f>IF(Q222="","",IF(Q222="BUY",D222+M222*1.5,D222-M222*1.5))</f>
        <v/>
      </c>
      <c r="U222" s="19">
        <f>IF(Q222="","",IF(Q222="BUY",D222+M222*2,D222-M222*2))</f>
        <v/>
      </c>
      <c r="V222" s="19">
        <f>IF(Q222="","",IF(Q222="BUY",D222+M222*3,D222-M222*3))</f>
        <v/>
      </c>
      <c r="W222" s="14">
        <f>IF(OR(D222="",M222&lt;=0),"",IF(AND(D222&gt;G222,ABS(D222-G222)&lt;M222*0.5),"2ND","1ST"))</f>
        <v/>
      </c>
      <c r="X222" s="14">
        <f>IF(OR(D222="",M222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2" s="14">
        <f>IF(OR(D222="",M222&lt;=0),"",IF(M222&gt;D222*0.05,"VOL-HIGH","VOL-NORMAL"))</f>
        <v/>
      </c>
      <c r="Z222" s="14">
        <f>IF(OR(D222="",M222&lt;=0),"",IF(AND(N222="VOL-OK",Y222="VOL-NORMAL",W222="2ND"),"OK","NG"))</f>
        <v/>
      </c>
      <c r="AA222" s="14">
        <f>IF(OR(D222="",M222&lt;=0),"",IF(AND(E222&gt;I222,F222&gt;J222),"UP",IF(AND(E222&lt;I222,F222&lt;J222),"DOWN","FLAT")))</f>
        <v/>
      </c>
    </row>
    <row r="223" ht="26" customHeight="1" s="1">
      <c r="A223" s="8">
        <f>IF(B223="","",ROW()-2)</f>
        <v/>
      </c>
      <c r="B223" s="9">
        <f>IF('StockList_MS2'!A222="","",HYPERLINK("https://kabutan.jp/stock/?code="&amp;'StockList_MS2'!A222,'StockList_MS2'!A222))</f>
        <v/>
      </c>
      <c r="C223" s="10">
        <f>IF('StockList_MS2'!A222="","",'StockList_MS2'!B222)</f>
        <v/>
      </c>
      <c r="D223" s="11" t="n"/>
      <c r="E223" s="11" t="n"/>
      <c r="F223" s="11" t="n"/>
      <c r="G223" s="11" t="n"/>
      <c r="H223" s="12" t="n"/>
      <c r="I223" s="11" t="n"/>
      <c r="J223" s="11" t="n"/>
      <c r="K223" s="11" t="n"/>
      <c r="L223" s="8">
        <f>IF(D223="","",IF(D223&gt;K223,"BUY-DAY","SELL-DAY"))</f>
        <v/>
      </c>
      <c r="M223" s="13">
        <f>IF(D223="","",MAX(E223-F223,ABS(E223-K223),ABS(F223-K223)))</f>
        <v/>
      </c>
      <c r="N223" s="8">
        <f>IF(D223="","",IF(AND(H223&gt;0,H223&gt;(H223/3)*2.5),"VOL-OK","VOL-NG"))</f>
        <v/>
      </c>
      <c r="O223" s="8">
        <f>IF(D223="","",IF(D223&gt;I223,"ON","OFF"))</f>
        <v/>
      </c>
      <c r="P223" s="8">
        <f>IF(D223="","",IF(D223&lt;J223,"ON","OFF"))</f>
        <v/>
      </c>
      <c r="Q223" s="8">
        <f>IF(OR(D223="",M223&lt;=0),"",IF(AND(L223="BUY-DAY",N223="VOL-OK",P223="ON",Z223="OK",AA223&lt;&gt;"DOWN"),"BUY",IF(AND(L223="SELL-DAY",N223="VOL-OK",O223="ON",Z223="OK",AA223&lt;&gt;"UP"),"SELL","")))</f>
        <v/>
      </c>
      <c r="R223" s="13">
        <f>IF(Q223="","",D223)</f>
        <v/>
      </c>
      <c r="S223" s="13">
        <f>IF(Q223="","",IF(Q223="BUY",D223-M223*1.5,D223+M223*1.5))</f>
        <v/>
      </c>
      <c r="T223" s="13">
        <f>IF(Q223="","",IF(Q223="BUY",D223+M223*1.5,D223-M223*1.5))</f>
        <v/>
      </c>
      <c r="U223" s="13">
        <f>IF(Q223="","",IF(Q223="BUY",D223+M223*2,D223-M223*2))</f>
        <v/>
      </c>
      <c r="V223" s="13">
        <f>IF(Q223="","",IF(Q223="BUY",D223+M223*3,D223-M223*3))</f>
        <v/>
      </c>
      <c r="W223" s="8">
        <f>IF(OR(D223="",M223&lt;=0),"",IF(AND(D223&gt;G223,ABS(D223-G223)&lt;M223*0.5),"2ND","1ST"))</f>
        <v/>
      </c>
      <c r="X223" s="8">
        <f>IF(OR(D223="",M223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3" s="8">
        <f>IF(OR(D223="",M223&lt;=0),"",IF(M223&gt;D223*0.05,"VOL-HIGH","VOL-NORMAL"))</f>
        <v/>
      </c>
      <c r="Z223" s="8">
        <f>IF(OR(D223="",M223&lt;=0),"",IF(AND(N223="VOL-OK",Y223="VOL-NORMAL",W223="2ND"),"OK","NG"))</f>
        <v/>
      </c>
      <c r="AA223" s="8">
        <f>IF(OR(D223="",M223&lt;=0),"",IF(AND(E223&gt;I223,F223&gt;J223),"UP",IF(AND(E223&lt;I223,F223&lt;J223),"DOWN","FLAT")))</f>
        <v/>
      </c>
    </row>
    <row r="224" ht="26" customHeight="1" s="1">
      <c r="A224" s="14">
        <f>IF(B224="","",ROW()-2)</f>
        <v/>
      </c>
      <c r="B224" s="15">
        <f>IF('StockList_MS2'!A223="","",HYPERLINK("https://kabutan.jp/stock/?code="&amp;'StockList_MS2'!A223,'StockList_MS2'!A223))</f>
        <v/>
      </c>
      <c r="C224" s="16">
        <f>IF('StockList_MS2'!A223="","",'StockList_MS2'!B223)</f>
        <v/>
      </c>
      <c r="D224" s="17" t="n"/>
      <c r="E224" s="17" t="n"/>
      <c r="F224" s="17" t="n"/>
      <c r="G224" s="17" t="n"/>
      <c r="H224" s="18" t="n"/>
      <c r="I224" s="17" t="n"/>
      <c r="J224" s="17" t="n"/>
      <c r="K224" s="17" t="n"/>
      <c r="L224" s="14">
        <f>IF(D224="","",IF(D224&gt;K224,"BUY-DAY","SELL-DAY"))</f>
        <v/>
      </c>
      <c r="M224" s="19">
        <f>IF(D224="","",MAX(E224-F224,ABS(E224-K224),ABS(F224-K224)))</f>
        <v/>
      </c>
      <c r="N224" s="14">
        <f>IF(D224="","",IF(AND(H224&gt;0,H224&gt;(H224/3)*2.5),"VOL-OK","VOL-NG"))</f>
        <v/>
      </c>
      <c r="O224" s="14">
        <f>IF(D224="","",IF(D224&gt;I224,"ON","OFF"))</f>
        <v/>
      </c>
      <c r="P224" s="14">
        <f>IF(D224="","",IF(D224&lt;J224,"ON","OFF"))</f>
        <v/>
      </c>
      <c r="Q224" s="14">
        <f>IF(OR(D224="",M224&lt;=0),"",IF(AND(L224="BUY-DAY",N224="VOL-OK",P224="ON",Z224="OK",AA224&lt;&gt;"DOWN"),"BUY",IF(AND(L224="SELL-DAY",N224="VOL-OK",O224="ON",Z224="OK",AA224&lt;&gt;"UP"),"SELL","")))</f>
        <v/>
      </c>
      <c r="R224" s="19">
        <f>IF(Q224="","",D224)</f>
        <v/>
      </c>
      <c r="S224" s="19">
        <f>IF(Q224="","",IF(Q224="BUY",D224-M224*1.5,D224+M224*1.5))</f>
        <v/>
      </c>
      <c r="T224" s="19">
        <f>IF(Q224="","",IF(Q224="BUY",D224+M224*1.5,D224-M224*1.5))</f>
        <v/>
      </c>
      <c r="U224" s="19">
        <f>IF(Q224="","",IF(Q224="BUY",D224+M224*2,D224-M224*2))</f>
        <v/>
      </c>
      <c r="V224" s="19">
        <f>IF(Q224="","",IF(Q224="BUY",D224+M224*3,D224-M224*3))</f>
        <v/>
      </c>
      <c r="W224" s="14">
        <f>IF(OR(D224="",M224&lt;=0),"",IF(AND(D224&gt;G224,ABS(D224-G224)&lt;M224*0.5),"2ND","1ST"))</f>
        <v/>
      </c>
      <c r="X224" s="14">
        <f>IF(OR(D224="",M224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4" s="14">
        <f>IF(OR(D224="",M224&lt;=0),"",IF(M224&gt;D224*0.05,"VOL-HIGH","VOL-NORMAL"))</f>
        <v/>
      </c>
      <c r="Z224" s="14">
        <f>IF(OR(D224="",M224&lt;=0),"",IF(AND(N224="VOL-OK",Y224="VOL-NORMAL",W224="2ND"),"OK","NG"))</f>
        <v/>
      </c>
      <c r="AA224" s="14">
        <f>IF(OR(D224="",M224&lt;=0),"",IF(AND(E224&gt;I224,F224&gt;J224),"UP",IF(AND(E224&lt;I224,F224&lt;J224),"DOWN","FLAT")))</f>
        <v/>
      </c>
    </row>
    <row r="225" ht="26" customHeight="1" s="1">
      <c r="A225" s="8">
        <f>IF(B225="","",ROW()-2)</f>
        <v/>
      </c>
      <c r="B225" s="9">
        <f>IF('StockList_MS2'!A224="","",HYPERLINK("https://kabutan.jp/stock/?code="&amp;'StockList_MS2'!A224,'StockList_MS2'!A224))</f>
        <v/>
      </c>
      <c r="C225" s="10">
        <f>IF('StockList_MS2'!A224="","",'StockList_MS2'!B224)</f>
        <v/>
      </c>
      <c r="D225" s="11" t="n"/>
      <c r="E225" s="11" t="n"/>
      <c r="F225" s="11" t="n"/>
      <c r="G225" s="11" t="n"/>
      <c r="H225" s="12" t="n"/>
      <c r="I225" s="11" t="n"/>
      <c r="J225" s="11" t="n"/>
      <c r="K225" s="11" t="n"/>
      <c r="L225" s="8">
        <f>IF(D225="","",IF(D225&gt;K225,"BUY-DAY","SELL-DAY"))</f>
        <v/>
      </c>
      <c r="M225" s="13">
        <f>IF(D225="","",MAX(E225-F225,ABS(E225-K225),ABS(F225-K225)))</f>
        <v/>
      </c>
      <c r="N225" s="8">
        <f>IF(D225="","",IF(AND(H225&gt;0,H225&gt;(H225/3)*2.5),"VOL-OK","VOL-NG"))</f>
        <v/>
      </c>
      <c r="O225" s="8">
        <f>IF(D225="","",IF(D225&gt;I225,"ON","OFF"))</f>
        <v/>
      </c>
      <c r="P225" s="8">
        <f>IF(D225="","",IF(D225&lt;J225,"ON","OFF"))</f>
        <v/>
      </c>
      <c r="Q225" s="8">
        <f>IF(OR(D225="",M225&lt;=0),"",IF(AND(L225="BUY-DAY",N225="VOL-OK",P225="ON",Z225="OK",AA225&lt;&gt;"DOWN"),"BUY",IF(AND(L225="SELL-DAY",N225="VOL-OK",O225="ON",Z225="OK",AA225&lt;&gt;"UP"),"SELL","")))</f>
        <v/>
      </c>
      <c r="R225" s="13">
        <f>IF(Q225="","",D225)</f>
        <v/>
      </c>
      <c r="S225" s="13">
        <f>IF(Q225="","",IF(Q225="BUY",D225-M225*1.5,D225+M225*1.5))</f>
        <v/>
      </c>
      <c r="T225" s="13">
        <f>IF(Q225="","",IF(Q225="BUY",D225+M225*1.5,D225-M225*1.5))</f>
        <v/>
      </c>
      <c r="U225" s="13">
        <f>IF(Q225="","",IF(Q225="BUY",D225+M225*2,D225-M225*2))</f>
        <v/>
      </c>
      <c r="V225" s="13">
        <f>IF(Q225="","",IF(Q225="BUY",D225+M225*3,D225-M225*3))</f>
        <v/>
      </c>
      <c r="W225" s="8">
        <f>IF(OR(D225="",M225&lt;=0),"",IF(AND(D225&gt;G225,ABS(D225-G225)&lt;M225*0.5),"2ND","1ST"))</f>
        <v/>
      </c>
      <c r="X225" s="8">
        <f>IF(OR(D225="",M225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5" s="8">
        <f>IF(OR(D225="",M225&lt;=0),"",IF(M225&gt;D225*0.05,"VOL-HIGH","VOL-NORMAL"))</f>
        <v/>
      </c>
      <c r="Z225" s="8">
        <f>IF(OR(D225="",M225&lt;=0),"",IF(AND(N225="VOL-OK",Y225="VOL-NORMAL",W225="2ND"),"OK","NG"))</f>
        <v/>
      </c>
      <c r="AA225" s="8">
        <f>IF(OR(D225="",M225&lt;=0),"",IF(AND(E225&gt;I225,F225&gt;J225),"UP",IF(AND(E225&lt;I225,F225&lt;J225),"DOWN","FLAT")))</f>
        <v/>
      </c>
    </row>
    <row r="226" ht="26" customHeight="1" s="1">
      <c r="A226" s="14">
        <f>IF(B226="","",ROW()-2)</f>
        <v/>
      </c>
      <c r="B226" s="15">
        <f>IF('StockList_MS2'!A225="","",HYPERLINK("https://kabutan.jp/stock/?code="&amp;'StockList_MS2'!A225,'StockList_MS2'!A225))</f>
        <v/>
      </c>
      <c r="C226" s="16">
        <f>IF('StockList_MS2'!A225="","",'StockList_MS2'!B225)</f>
        <v/>
      </c>
      <c r="D226" s="17" t="n"/>
      <c r="E226" s="17" t="n"/>
      <c r="F226" s="17" t="n"/>
      <c r="G226" s="17" t="n"/>
      <c r="H226" s="18" t="n"/>
      <c r="I226" s="17" t="n"/>
      <c r="J226" s="17" t="n"/>
      <c r="K226" s="17" t="n"/>
      <c r="L226" s="14">
        <f>IF(D226="","",IF(D226&gt;K226,"BUY-DAY","SELL-DAY"))</f>
        <v/>
      </c>
      <c r="M226" s="19">
        <f>IF(D226="","",MAX(E226-F226,ABS(E226-K226),ABS(F226-K226)))</f>
        <v/>
      </c>
      <c r="N226" s="14">
        <f>IF(D226="","",IF(AND(H226&gt;0,H226&gt;(H226/3)*2.5),"VOL-OK","VOL-NG"))</f>
        <v/>
      </c>
      <c r="O226" s="14">
        <f>IF(D226="","",IF(D226&gt;I226,"ON","OFF"))</f>
        <v/>
      </c>
      <c r="P226" s="14">
        <f>IF(D226="","",IF(D226&lt;J226,"ON","OFF"))</f>
        <v/>
      </c>
      <c r="Q226" s="14">
        <f>IF(OR(D226="",M226&lt;=0),"",IF(AND(L226="BUY-DAY",N226="VOL-OK",P226="ON",Z226="OK",AA226&lt;&gt;"DOWN"),"BUY",IF(AND(L226="SELL-DAY",N226="VOL-OK",O226="ON",Z226="OK",AA226&lt;&gt;"UP"),"SELL","")))</f>
        <v/>
      </c>
      <c r="R226" s="19">
        <f>IF(Q226="","",D226)</f>
        <v/>
      </c>
      <c r="S226" s="19">
        <f>IF(Q226="","",IF(Q226="BUY",D226-M226*1.5,D226+M226*1.5))</f>
        <v/>
      </c>
      <c r="T226" s="19">
        <f>IF(Q226="","",IF(Q226="BUY",D226+M226*1.5,D226-M226*1.5))</f>
        <v/>
      </c>
      <c r="U226" s="19">
        <f>IF(Q226="","",IF(Q226="BUY",D226+M226*2,D226-M226*2))</f>
        <v/>
      </c>
      <c r="V226" s="19">
        <f>IF(Q226="","",IF(Q226="BUY",D226+M226*3,D226-M226*3))</f>
        <v/>
      </c>
      <c r="W226" s="14">
        <f>IF(OR(D226="",M226&lt;=0),"",IF(AND(D226&gt;G226,ABS(D226-G226)&lt;M226*0.5),"2ND","1ST"))</f>
        <v/>
      </c>
      <c r="X226" s="14">
        <f>IF(OR(D226="",M226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6" s="14">
        <f>IF(OR(D226="",M226&lt;=0),"",IF(M226&gt;D226*0.05,"VOL-HIGH","VOL-NORMAL"))</f>
        <v/>
      </c>
      <c r="Z226" s="14">
        <f>IF(OR(D226="",M226&lt;=0),"",IF(AND(N226="VOL-OK",Y226="VOL-NORMAL",W226="2ND"),"OK","NG"))</f>
        <v/>
      </c>
      <c r="AA226" s="14">
        <f>IF(OR(D226="",M226&lt;=0),"",IF(AND(E226&gt;I226,F226&gt;J226),"UP",IF(AND(E226&lt;I226,F226&lt;J226),"DOWN","FLAT")))</f>
        <v/>
      </c>
    </row>
    <row r="227" ht="26" customHeight="1" s="1">
      <c r="A227" s="8">
        <f>IF(B227="","",ROW()-2)</f>
        <v/>
      </c>
      <c r="B227" s="9">
        <f>IF('StockList_MS2'!A226="","",HYPERLINK("https://kabutan.jp/stock/?code="&amp;'StockList_MS2'!A226,'StockList_MS2'!A226))</f>
        <v/>
      </c>
      <c r="C227" s="10">
        <f>IF('StockList_MS2'!A226="","",'StockList_MS2'!B226)</f>
        <v/>
      </c>
      <c r="D227" s="11" t="n"/>
      <c r="E227" s="11" t="n"/>
      <c r="F227" s="11" t="n"/>
      <c r="G227" s="11" t="n"/>
      <c r="H227" s="12" t="n"/>
      <c r="I227" s="11" t="n"/>
      <c r="J227" s="11" t="n"/>
      <c r="K227" s="11" t="n"/>
      <c r="L227" s="8">
        <f>IF(D227="","",IF(D227&gt;K227,"BUY-DAY","SELL-DAY"))</f>
        <v/>
      </c>
      <c r="M227" s="13">
        <f>IF(D227="","",MAX(E227-F227,ABS(E227-K227),ABS(F227-K227)))</f>
        <v/>
      </c>
      <c r="N227" s="8">
        <f>IF(D227="","",IF(AND(H227&gt;0,H227&gt;(H227/3)*2.5),"VOL-OK","VOL-NG"))</f>
        <v/>
      </c>
      <c r="O227" s="8">
        <f>IF(D227="","",IF(D227&gt;I227,"ON","OFF"))</f>
        <v/>
      </c>
      <c r="P227" s="8">
        <f>IF(D227="","",IF(D227&lt;J227,"ON","OFF"))</f>
        <v/>
      </c>
      <c r="Q227" s="8">
        <f>IF(OR(D227="",M227&lt;=0),"",IF(AND(L227="BUY-DAY",N227="VOL-OK",P227="ON",Z227="OK",AA227&lt;&gt;"DOWN"),"BUY",IF(AND(L227="SELL-DAY",N227="VOL-OK",O227="ON",Z227="OK",AA227&lt;&gt;"UP"),"SELL","")))</f>
        <v/>
      </c>
      <c r="R227" s="13">
        <f>IF(Q227="","",D227)</f>
        <v/>
      </c>
      <c r="S227" s="13">
        <f>IF(Q227="","",IF(Q227="BUY",D227-M227*1.5,D227+M227*1.5))</f>
        <v/>
      </c>
      <c r="T227" s="13">
        <f>IF(Q227="","",IF(Q227="BUY",D227+M227*1.5,D227-M227*1.5))</f>
        <v/>
      </c>
      <c r="U227" s="13">
        <f>IF(Q227="","",IF(Q227="BUY",D227+M227*2,D227-M227*2))</f>
        <v/>
      </c>
      <c r="V227" s="13">
        <f>IF(Q227="","",IF(Q227="BUY",D227+M227*3,D227-M227*3))</f>
        <v/>
      </c>
      <c r="W227" s="8">
        <f>IF(OR(D227="",M227&lt;=0),"",IF(AND(D227&gt;G227,ABS(D227-G227)&lt;M227*0.5),"2ND","1ST"))</f>
        <v/>
      </c>
      <c r="X227" s="8">
        <f>IF(OR(D227="",M227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7" s="8">
        <f>IF(OR(D227="",M227&lt;=0),"",IF(M227&gt;D227*0.05,"VOL-HIGH","VOL-NORMAL"))</f>
        <v/>
      </c>
      <c r="Z227" s="8">
        <f>IF(OR(D227="",M227&lt;=0),"",IF(AND(N227="VOL-OK",Y227="VOL-NORMAL",W227="2ND"),"OK","NG"))</f>
        <v/>
      </c>
      <c r="AA227" s="8">
        <f>IF(OR(D227="",M227&lt;=0),"",IF(AND(E227&gt;I227,F227&gt;J227),"UP",IF(AND(E227&lt;I227,F227&lt;J227),"DOWN","FLAT")))</f>
        <v/>
      </c>
    </row>
    <row r="228" ht="26" customHeight="1" s="1">
      <c r="A228" s="14">
        <f>IF(B228="","",ROW()-2)</f>
        <v/>
      </c>
      <c r="B228" s="15">
        <f>IF('StockList_MS2'!A227="","",HYPERLINK("https://kabutan.jp/stock/?code="&amp;'StockList_MS2'!A227,'StockList_MS2'!A227))</f>
        <v/>
      </c>
      <c r="C228" s="16">
        <f>IF('StockList_MS2'!A227="","",'StockList_MS2'!B227)</f>
        <v/>
      </c>
      <c r="D228" s="17" t="n"/>
      <c r="E228" s="17" t="n"/>
      <c r="F228" s="17" t="n"/>
      <c r="G228" s="17" t="n"/>
      <c r="H228" s="18" t="n"/>
      <c r="I228" s="17" t="n"/>
      <c r="J228" s="17" t="n"/>
      <c r="K228" s="17" t="n"/>
      <c r="L228" s="14">
        <f>IF(D228="","",IF(D228&gt;K228,"BUY-DAY","SELL-DAY"))</f>
        <v/>
      </c>
      <c r="M228" s="19">
        <f>IF(D228="","",MAX(E228-F228,ABS(E228-K228),ABS(F228-K228)))</f>
        <v/>
      </c>
      <c r="N228" s="14">
        <f>IF(D228="","",IF(AND(H228&gt;0,H228&gt;(H228/3)*2.5),"VOL-OK","VOL-NG"))</f>
        <v/>
      </c>
      <c r="O228" s="14">
        <f>IF(D228="","",IF(D228&gt;I228,"ON","OFF"))</f>
        <v/>
      </c>
      <c r="P228" s="14">
        <f>IF(D228="","",IF(D228&lt;J228,"ON","OFF"))</f>
        <v/>
      </c>
      <c r="Q228" s="14">
        <f>IF(OR(D228="",M228&lt;=0),"",IF(AND(L228="BUY-DAY",N228="VOL-OK",P228="ON",Z228="OK",AA228&lt;&gt;"DOWN"),"BUY",IF(AND(L228="SELL-DAY",N228="VOL-OK",O228="ON",Z228="OK",AA228&lt;&gt;"UP"),"SELL","")))</f>
        <v/>
      </c>
      <c r="R228" s="19">
        <f>IF(Q228="","",D228)</f>
        <v/>
      </c>
      <c r="S228" s="19">
        <f>IF(Q228="","",IF(Q228="BUY",D228-M228*1.5,D228+M228*1.5))</f>
        <v/>
      </c>
      <c r="T228" s="19">
        <f>IF(Q228="","",IF(Q228="BUY",D228+M228*1.5,D228-M228*1.5))</f>
        <v/>
      </c>
      <c r="U228" s="19">
        <f>IF(Q228="","",IF(Q228="BUY",D228+M228*2,D228-M228*2))</f>
        <v/>
      </c>
      <c r="V228" s="19">
        <f>IF(Q228="","",IF(Q228="BUY",D228+M228*3,D228-M228*3))</f>
        <v/>
      </c>
      <c r="W228" s="14">
        <f>IF(OR(D228="",M228&lt;=0),"",IF(AND(D228&gt;G228,ABS(D228-G228)&lt;M228*0.5),"2ND","1ST"))</f>
        <v/>
      </c>
      <c r="X228" s="14">
        <f>IF(OR(D228="",M228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8" s="14">
        <f>IF(OR(D228="",M228&lt;=0),"",IF(M228&gt;D228*0.05,"VOL-HIGH","VOL-NORMAL"))</f>
        <v/>
      </c>
      <c r="Z228" s="14">
        <f>IF(OR(D228="",M228&lt;=0),"",IF(AND(N228="VOL-OK",Y228="VOL-NORMAL",W228="2ND"),"OK","NG"))</f>
        <v/>
      </c>
      <c r="AA228" s="14">
        <f>IF(OR(D228="",M228&lt;=0),"",IF(AND(E228&gt;I228,F228&gt;J228),"UP",IF(AND(E228&lt;I228,F228&lt;J228),"DOWN","FLAT")))</f>
        <v/>
      </c>
    </row>
    <row r="229" ht="26" customHeight="1" s="1">
      <c r="A229" s="8">
        <f>IF(B229="","",ROW()-2)</f>
        <v/>
      </c>
      <c r="B229" s="9">
        <f>IF('StockList_MS2'!A228="","",HYPERLINK("https://kabutan.jp/stock/?code="&amp;'StockList_MS2'!A228,'StockList_MS2'!A228))</f>
        <v/>
      </c>
      <c r="C229" s="10">
        <f>IF('StockList_MS2'!A228="","",'StockList_MS2'!B228)</f>
        <v/>
      </c>
      <c r="D229" s="11" t="n"/>
      <c r="E229" s="11" t="n"/>
      <c r="F229" s="11" t="n"/>
      <c r="G229" s="11" t="n"/>
      <c r="H229" s="12" t="n"/>
      <c r="I229" s="11" t="n"/>
      <c r="J229" s="11" t="n"/>
      <c r="K229" s="11" t="n"/>
      <c r="L229" s="8">
        <f>IF(D229="","",IF(D229&gt;K229,"BUY-DAY","SELL-DAY"))</f>
        <v/>
      </c>
      <c r="M229" s="13">
        <f>IF(D229="","",MAX(E229-F229,ABS(E229-K229),ABS(F229-K229)))</f>
        <v/>
      </c>
      <c r="N229" s="8">
        <f>IF(D229="","",IF(AND(H229&gt;0,H229&gt;(H229/3)*2.5),"VOL-OK","VOL-NG"))</f>
        <v/>
      </c>
      <c r="O229" s="8">
        <f>IF(D229="","",IF(D229&gt;I229,"ON","OFF"))</f>
        <v/>
      </c>
      <c r="P229" s="8">
        <f>IF(D229="","",IF(D229&lt;J229,"ON","OFF"))</f>
        <v/>
      </c>
      <c r="Q229" s="8">
        <f>IF(OR(D229="",M229&lt;=0),"",IF(AND(L229="BUY-DAY",N229="VOL-OK",P229="ON",Z229="OK",AA229&lt;&gt;"DOWN"),"BUY",IF(AND(L229="SELL-DAY",N229="VOL-OK",O229="ON",Z229="OK",AA229&lt;&gt;"UP"),"SELL","")))</f>
        <v/>
      </c>
      <c r="R229" s="13">
        <f>IF(Q229="","",D229)</f>
        <v/>
      </c>
      <c r="S229" s="13">
        <f>IF(Q229="","",IF(Q229="BUY",D229-M229*1.5,D229+M229*1.5))</f>
        <v/>
      </c>
      <c r="T229" s="13">
        <f>IF(Q229="","",IF(Q229="BUY",D229+M229*1.5,D229-M229*1.5))</f>
        <v/>
      </c>
      <c r="U229" s="13">
        <f>IF(Q229="","",IF(Q229="BUY",D229+M229*2,D229-M229*2))</f>
        <v/>
      </c>
      <c r="V229" s="13">
        <f>IF(Q229="","",IF(Q229="BUY",D229+M229*3,D229-M229*3))</f>
        <v/>
      </c>
      <c r="W229" s="8">
        <f>IF(OR(D229="",M229&lt;=0),"",IF(AND(D229&gt;G229,ABS(D229-G229)&lt;M229*0.5),"2ND","1ST"))</f>
        <v/>
      </c>
      <c r="X229" s="8">
        <f>IF(OR(D229="",M229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29" s="8">
        <f>IF(OR(D229="",M229&lt;=0),"",IF(M229&gt;D229*0.05,"VOL-HIGH","VOL-NORMAL"))</f>
        <v/>
      </c>
      <c r="Z229" s="8">
        <f>IF(OR(D229="",M229&lt;=0),"",IF(AND(N229="VOL-OK",Y229="VOL-NORMAL",W229="2ND"),"OK","NG"))</f>
        <v/>
      </c>
      <c r="AA229" s="8">
        <f>IF(OR(D229="",M229&lt;=0),"",IF(AND(E229&gt;I229,F229&gt;J229),"UP",IF(AND(E229&lt;I229,F229&lt;J229),"DOWN","FLAT")))</f>
        <v/>
      </c>
    </row>
    <row r="230" ht="26" customHeight="1" s="1">
      <c r="A230" s="14">
        <f>IF(B230="","",ROW()-2)</f>
        <v/>
      </c>
      <c r="B230" s="15">
        <f>IF('StockList_MS2'!A229="","",HYPERLINK("https://kabutan.jp/stock/?code="&amp;'StockList_MS2'!A229,'StockList_MS2'!A229))</f>
        <v/>
      </c>
      <c r="C230" s="16">
        <f>IF('StockList_MS2'!A229="","",'StockList_MS2'!B229)</f>
        <v/>
      </c>
      <c r="D230" s="17" t="n"/>
      <c r="E230" s="17" t="n"/>
      <c r="F230" s="17" t="n"/>
      <c r="G230" s="17" t="n"/>
      <c r="H230" s="18" t="n"/>
      <c r="I230" s="17" t="n"/>
      <c r="J230" s="17" t="n"/>
      <c r="K230" s="17" t="n"/>
      <c r="L230" s="14">
        <f>IF(D230="","",IF(D230&gt;K230,"BUY-DAY","SELL-DAY"))</f>
        <v/>
      </c>
      <c r="M230" s="19">
        <f>IF(D230="","",MAX(E230-F230,ABS(E230-K230),ABS(F230-K230)))</f>
        <v/>
      </c>
      <c r="N230" s="14">
        <f>IF(D230="","",IF(AND(H230&gt;0,H230&gt;(H230/3)*2.5),"VOL-OK","VOL-NG"))</f>
        <v/>
      </c>
      <c r="O230" s="14">
        <f>IF(D230="","",IF(D230&gt;I230,"ON","OFF"))</f>
        <v/>
      </c>
      <c r="P230" s="14">
        <f>IF(D230="","",IF(D230&lt;J230,"ON","OFF"))</f>
        <v/>
      </c>
      <c r="Q230" s="14">
        <f>IF(OR(D230="",M230&lt;=0),"",IF(AND(L230="BUY-DAY",N230="VOL-OK",P230="ON",Z230="OK",AA230&lt;&gt;"DOWN"),"BUY",IF(AND(L230="SELL-DAY",N230="VOL-OK",O230="ON",Z230="OK",AA230&lt;&gt;"UP"),"SELL","")))</f>
        <v/>
      </c>
      <c r="R230" s="19">
        <f>IF(Q230="","",D230)</f>
        <v/>
      </c>
      <c r="S230" s="19">
        <f>IF(Q230="","",IF(Q230="BUY",D230-M230*1.5,D230+M230*1.5))</f>
        <v/>
      </c>
      <c r="T230" s="19">
        <f>IF(Q230="","",IF(Q230="BUY",D230+M230*1.5,D230-M230*1.5))</f>
        <v/>
      </c>
      <c r="U230" s="19">
        <f>IF(Q230="","",IF(Q230="BUY",D230+M230*2,D230-M230*2))</f>
        <v/>
      </c>
      <c r="V230" s="19">
        <f>IF(Q230="","",IF(Q230="BUY",D230+M230*3,D230-M230*3))</f>
        <v/>
      </c>
      <c r="W230" s="14">
        <f>IF(OR(D230="",M230&lt;=0),"",IF(AND(D230&gt;G230,ABS(D230-G230)&lt;M230*0.5),"2ND","1ST"))</f>
        <v/>
      </c>
      <c r="X230" s="14">
        <f>IF(OR(D230="",M230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0" s="14">
        <f>IF(OR(D230="",M230&lt;=0),"",IF(M230&gt;D230*0.05,"VOL-HIGH","VOL-NORMAL"))</f>
        <v/>
      </c>
      <c r="Z230" s="14">
        <f>IF(OR(D230="",M230&lt;=0),"",IF(AND(N230="VOL-OK",Y230="VOL-NORMAL",W230="2ND"),"OK","NG"))</f>
        <v/>
      </c>
      <c r="AA230" s="14">
        <f>IF(OR(D230="",M230&lt;=0),"",IF(AND(E230&gt;I230,F230&gt;J230),"UP",IF(AND(E230&lt;I230,F230&lt;J230),"DOWN","FLAT")))</f>
        <v/>
      </c>
    </row>
    <row r="231" ht="26" customHeight="1" s="1">
      <c r="A231" s="8">
        <f>IF(B231="","",ROW()-2)</f>
        <v/>
      </c>
      <c r="B231" s="9">
        <f>IF('StockList_MS2'!A230="","",HYPERLINK("https://kabutan.jp/stock/?code="&amp;'StockList_MS2'!A230,'StockList_MS2'!A230))</f>
        <v/>
      </c>
      <c r="C231" s="10">
        <f>IF('StockList_MS2'!A230="","",'StockList_MS2'!B230)</f>
        <v/>
      </c>
      <c r="D231" s="11" t="n"/>
      <c r="E231" s="11" t="n"/>
      <c r="F231" s="11" t="n"/>
      <c r="G231" s="11" t="n"/>
      <c r="H231" s="12" t="n"/>
      <c r="I231" s="11" t="n"/>
      <c r="J231" s="11" t="n"/>
      <c r="K231" s="11" t="n"/>
      <c r="L231" s="8">
        <f>IF(D231="","",IF(D231&gt;K231,"BUY-DAY","SELL-DAY"))</f>
        <v/>
      </c>
      <c r="M231" s="13">
        <f>IF(D231="","",MAX(E231-F231,ABS(E231-K231),ABS(F231-K231)))</f>
        <v/>
      </c>
      <c r="N231" s="8">
        <f>IF(D231="","",IF(AND(H231&gt;0,H231&gt;(H231/3)*2.5),"VOL-OK","VOL-NG"))</f>
        <v/>
      </c>
      <c r="O231" s="8">
        <f>IF(D231="","",IF(D231&gt;I231,"ON","OFF"))</f>
        <v/>
      </c>
      <c r="P231" s="8">
        <f>IF(D231="","",IF(D231&lt;J231,"ON","OFF"))</f>
        <v/>
      </c>
      <c r="Q231" s="8">
        <f>IF(OR(D231="",M231&lt;=0),"",IF(AND(L231="BUY-DAY",N231="VOL-OK",P231="ON",Z231="OK",AA231&lt;&gt;"DOWN"),"BUY",IF(AND(L231="SELL-DAY",N231="VOL-OK",O231="ON",Z231="OK",AA231&lt;&gt;"UP"),"SELL","")))</f>
        <v/>
      </c>
      <c r="R231" s="13">
        <f>IF(Q231="","",D231)</f>
        <v/>
      </c>
      <c r="S231" s="13">
        <f>IF(Q231="","",IF(Q231="BUY",D231-M231*1.5,D231+M231*1.5))</f>
        <v/>
      </c>
      <c r="T231" s="13">
        <f>IF(Q231="","",IF(Q231="BUY",D231+M231*1.5,D231-M231*1.5))</f>
        <v/>
      </c>
      <c r="U231" s="13">
        <f>IF(Q231="","",IF(Q231="BUY",D231+M231*2,D231-M231*2))</f>
        <v/>
      </c>
      <c r="V231" s="13">
        <f>IF(Q231="","",IF(Q231="BUY",D231+M231*3,D231-M231*3))</f>
        <v/>
      </c>
      <c r="W231" s="8">
        <f>IF(OR(D231="",M231&lt;=0),"",IF(AND(D231&gt;G231,ABS(D231-G231)&lt;M231*0.5),"2ND","1ST"))</f>
        <v/>
      </c>
      <c r="X231" s="8">
        <f>IF(OR(D231="",M231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1" s="8">
        <f>IF(OR(D231="",M231&lt;=0),"",IF(M231&gt;D231*0.05,"VOL-HIGH","VOL-NORMAL"))</f>
        <v/>
      </c>
      <c r="Z231" s="8">
        <f>IF(OR(D231="",M231&lt;=0),"",IF(AND(N231="VOL-OK",Y231="VOL-NORMAL",W231="2ND"),"OK","NG"))</f>
        <v/>
      </c>
      <c r="AA231" s="8">
        <f>IF(OR(D231="",M231&lt;=0),"",IF(AND(E231&gt;I231,F231&gt;J231),"UP",IF(AND(E231&lt;I231,F231&lt;J231),"DOWN","FLAT")))</f>
        <v/>
      </c>
    </row>
    <row r="232" ht="26" customHeight="1" s="1">
      <c r="A232" s="14">
        <f>IF(B232="","",ROW()-2)</f>
        <v/>
      </c>
      <c r="B232" s="15">
        <f>IF('StockList_MS2'!A231="","",HYPERLINK("https://kabutan.jp/stock/?code="&amp;'StockList_MS2'!A231,'StockList_MS2'!A231))</f>
        <v/>
      </c>
      <c r="C232" s="16">
        <f>IF('StockList_MS2'!A231="","",'StockList_MS2'!B231)</f>
        <v/>
      </c>
      <c r="D232" s="17" t="n"/>
      <c r="E232" s="17" t="n"/>
      <c r="F232" s="17" t="n"/>
      <c r="G232" s="17" t="n"/>
      <c r="H232" s="18" t="n"/>
      <c r="I232" s="17" t="n"/>
      <c r="J232" s="17" t="n"/>
      <c r="K232" s="17" t="n"/>
      <c r="L232" s="14">
        <f>IF(D232="","",IF(D232&gt;K232,"BUY-DAY","SELL-DAY"))</f>
        <v/>
      </c>
      <c r="M232" s="19">
        <f>IF(D232="","",MAX(E232-F232,ABS(E232-K232),ABS(F232-K232)))</f>
        <v/>
      </c>
      <c r="N232" s="14">
        <f>IF(D232="","",IF(AND(H232&gt;0,H232&gt;(H232/3)*2.5),"VOL-OK","VOL-NG"))</f>
        <v/>
      </c>
      <c r="O232" s="14">
        <f>IF(D232="","",IF(D232&gt;I232,"ON","OFF"))</f>
        <v/>
      </c>
      <c r="P232" s="14">
        <f>IF(D232="","",IF(D232&lt;J232,"ON","OFF"))</f>
        <v/>
      </c>
      <c r="Q232" s="14">
        <f>IF(OR(D232="",M232&lt;=0),"",IF(AND(L232="BUY-DAY",N232="VOL-OK",P232="ON",Z232="OK",AA232&lt;&gt;"DOWN"),"BUY",IF(AND(L232="SELL-DAY",N232="VOL-OK",O232="ON",Z232="OK",AA232&lt;&gt;"UP"),"SELL","")))</f>
        <v/>
      </c>
      <c r="R232" s="19">
        <f>IF(Q232="","",D232)</f>
        <v/>
      </c>
      <c r="S232" s="19">
        <f>IF(Q232="","",IF(Q232="BUY",D232-M232*1.5,D232+M232*1.5))</f>
        <v/>
      </c>
      <c r="T232" s="19">
        <f>IF(Q232="","",IF(Q232="BUY",D232+M232*1.5,D232-M232*1.5))</f>
        <v/>
      </c>
      <c r="U232" s="19">
        <f>IF(Q232="","",IF(Q232="BUY",D232+M232*2,D232-M232*2))</f>
        <v/>
      </c>
      <c r="V232" s="19">
        <f>IF(Q232="","",IF(Q232="BUY",D232+M232*3,D232-M232*3))</f>
        <v/>
      </c>
      <c r="W232" s="14">
        <f>IF(OR(D232="",M232&lt;=0),"",IF(AND(D232&gt;G232,ABS(D232-G232)&lt;M232*0.5),"2ND","1ST"))</f>
        <v/>
      </c>
      <c r="X232" s="14">
        <f>IF(OR(D232="",M232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2" s="14">
        <f>IF(OR(D232="",M232&lt;=0),"",IF(M232&gt;D232*0.05,"VOL-HIGH","VOL-NORMAL"))</f>
        <v/>
      </c>
      <c r="Z232" s="14">
        <f>IF(OR(D232="",M232&lt;=0),"",IF(AND(N232="VOL-OK",Y232="VOL-NORMAL",W232="2ND"),"OK","NG"))</f>
        <v/>
      </c>
      <c r="AA232" s="14">
        <f>IF(OR(D232="",M232&lt;=0),"",IF(AND(E232&gt;I232,F232&gt;J232),"UP",IF(AND(E232&lt;I232,F232&lt;J232),"DOWN","FLAT")))</f>
        <v/>
      </c>
    </row>
    <row r="233" ht="26" customHeight="1" s="1">
      <c r="A233" s="8">
        <f>IF(B233="","",ROW()-2)</f>
        <v/>
      </c>
      <c r="B233" s="9">
        <f>IF('StockList_MS2'!A232="","",HYPERLINK("https://kabutan.jp/stock/?code="&amp;'StockList_MS2'!A232,'StockList_MS2'!A232))</f>
        <v/>
      </c>
      <c r="C233" s="10">
        <f>IF('StockList_MS2'!A232="","",'StockList_MS2'!B232)</f>
        <v/>
      </c>
      <c r="D233" s="11" t="n"/>
      <c r="E233" s="11" t="n"/>
      <c r="F233" s="11" t="n"/>
      <c r="G233" s="11" t="n"/>
      <c r="H233" s="12" t="n"/>
      <c r="I233" s="11" t="n"/>
      <c r="J233" s="11" t="n"/>
      <c r="K233" s="11" t="n"/>
      <c r="L233" s="8">
        <f>IF(D233="","",IF(D233&gt;K233,"BUY-DAY","SELL-DAY"))</f>
        <v/>
      </c>
      <c r="M233" s="13">
        <f>IF(D233="","",MAX(E233-F233,ABS(E233-K233),ABS(F233-K233)))</f>
        <v/>
      </c>
      <c r="N233" s="8">
        <f>IF(D233="","",IF(AND(H233&gt;0,H233&gt;(H233/3)*2.5),"VOL-OK","VOL-NG"))</f>
        <v/>
      </c>
      <c r="O233" s="8">
        <f>IF(D233="","",IF(D233&gt;I233,"ON","OFF"))</f>
        <v/>
      </c>
      <c r="P233" s="8">
        <f>IF(D233="","",IF(D233&lt;J233,"ON","OFF"))</f>
        <v/>
      </c>
      <c r="Q233" s="8">
        <f>IF(OR(D233="",M233&lt;=0),"",IF(AND(L233="BUY-DAY",N233="VOL-OK",P233="ON",Z233="OK",AA233&lt;&gt;"DOWN"),"BUY",IF(AND(L233="SELL-DAY",N233="VOL-OK",O233="ON",Z233="OK",AA233&lt;&gt;"UP"),"SELL","")))</f>
        <v/>
      </c>
      <c r="R233" s="13">
        <f>IF(Q233="","",D233)</f>
        <v/>
      </c>
      <c r="S233" s="13">
        <f>IF(Q233="","",IF(Q233="BUY",D233-M233*1.5,D233+M233*1.5))</f>
        <v/>
      </c>
      <c r="T233" s="13">
        <f>IF(Q233="","",IF(Q233="BUY",D233+M233*1.5,D233-M233*1.5))</f>
        <v/>
      </c>
      <c r="U233" s="13">
        <f>IF(Q233="","",IF(Q233="BUY",D233+M233*2,D233-M233*2))</f>
        <v/>
      </c>
      <c r="V233" s="13">
        <f>IF(Q233="","",IF(Q233="BUY",D233+M233*3,D233-M233*3))</f>
        <v/>
      </c>
      <c r="W233" s="8">
        <f>IF(OR(D233="",M233&lt;=0),"",IF(AND(D233&gt;G233,ABS(D233-G233)&lt;M233*0.5),"2ND","1ST"))</f>
        <v/>
      </c>
      <c r="X233" s="8">
        <f>IF(OR(D233="",M233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3" s="8">
        <f>IF(OR(D233="",M233&lt;=0),"",IF(M233&gt;D233*0.05,"VOL-HIGH","VOL-NORMAL"))</f>
        <v/>
      </c>
      <c r="Z233" s="8">
        <f>IF(OR(D233="",M233&lt;=0),"",IF(AND(N233="VOL-OK",Y233="VOL-NORMAL",W233="2ND"),"OK","NG"))</f>
        <v/>
      </c>
      <c r="AA233" s="8">
        <f>IF(OR(D233="",M233&lt;=0),"",IF(AND(E233&gt;I233,F233&gt;J233),"UP",IF(AND(E233&lt;I233,F233&lt;J233),"DOWN","FLAT")))</f>
        <v/>
      </c>
    </row>
    <row r="234" ht="26" customHeight="1" s="1">
      <c r="A234" s="14">
        <f>IF(B234="","",ROW()-2)</f>
        <v/>
      </c>
      <c r="B234" s="15">
        <f>IF('StockList_MS2'!A233="","",HYPERLINK("https://kabutan.jp/stock/?code="&amp;'StockList_MS2'!A233,'StockList_MS2'!A233))</f>
        <v/>
      </c>
      <c r="C234" s="16">
        <f>IF('StockList_MS2'!A233="","",'StockList_MS2'!B233)</f>
        <v/>
      </c>
      <c r="D234" s="17" t="n"/>
      <c r="E234" s="17" t="n"/>
      <c r="F234" s="17" t="n"/>
      <c r="G234" s="17" t="n"/>
      <c r="H234" s="18" t="n"/>
      <c r="I234" s="17" t="n"/>
      <c r="J234" s="17" t="n"/>
      <c r="K234" s="17" t="n"/>
      <c r="L234" s="14">
        <f>IF(D234="","",IF(D234&gt;K234,"BUY-DAY","SELL-DAY"))</f>
        <v/>
      </c>
      <c r="M234" s="19">
        <f>IF(D234="","",MAX(E234-F234,ABS(E234-K234),ABS(F234-K234)))</f>
        <v/>
      </c>
      <c r="N234" s="14">
        <f>IF(D234="","",IF(AND(H234&gt;0,H234&gt;(H234/3)*2.5),"VOL-OK","VOL-NG"))</f>
        <v/>
      </c>
      <c r="O234" s="14">
        <f>IF(D234="","",IF(D234&gt;I234,"ON","OFF"))</f>
        <v/>
      </c>
      <c r="P234" s="14">
        <f>IF(D234="","",IF(D234&lt;J234,"ON","OFF"))</f>
        <v/>
      </c>
      <c r="Q234" s="14">
        <f>IF(OR(D234="",M234&lt;=0),"",IF(AND(L234="BUY-DAY",N234="VOL-OK",P234="ON",Z234="OK",AA234&lt;&gt;"DOWN"),"BUY",IF(AND(L234="SELL-DAY",N234="VOL-OK",O234="ON",Z234="OK",AA234&lt;&gt;"UP"),"SELL","")))</f>
        <v/>
      </c>
      <c r="R234" s="19">
        <f>IF(Q234="","",D234)</f>
        <v/>
      </c>
      <c r="S234" s="19">
        <f>IF(Q234="","",IF(Q234="BUY",D234-M234*1.5,D234+M234*1.5))</f>
        <v/>
      </c>
      <c r="T234" s="19">
        <f>IF(Q234="","",IF(Q234="BUY",D234+M234*1.5,D234-M234*1.5))</f>
        <v/>
      </c>
      <c r="U234" s="19">
        <f>IF(Q234="","",IF(Q234="BUY",D234+M234*2,D234-M234*2))</f>
        <v/>
      </c>
      <c r="V234" s="19">
        <f>IF(Q234="","",IF(Q234="BUY",D234+M234*3,D234-M234*3))</f>
        <v/>
      </c>
      <c r="W234" s="14">
        <f>IF(OR(D234="",M234&lt;=0),"",IF(AND(D234&gt;G234,ABS(D234-G234)&lt;M234*0.5),"2ND","1ST"))</f>
        <v/>
      </c>
      <c r="X234" s="14">
        <f>IF(OR(D234="",M234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4" s="14">
        <f>IF(OR(D234="",M234&lt;=0),"",IF(M234&gt;D234*0.05,"VOL-HIGH","VOL-NORMAL"))</f>
        <v/>
      </c>
      <c r="Z234" s="14">
        <f>IF(OR(D234="",M234&lt;=0),"",IF(AND(N234="VOL-OK",Y234="VOL-NORMAL",W234="2ND"),"OK","NG"))</f>
        <v/>
      </c>
      <c r="AA234" s="14">
        <f>IF(OR(D234="",M234&lt;=0),"",IF(AND(E234&gt;I234,F234&gt;J234),"UP",IF(AND(E234&lt;I234,F234&lt;J234),"DOWN","FLAT")))</f>
        <v/>
      </c>
    </row>
    <row r="235" ht="26" customHeight="1" s="1">
      <c r="A235" s="8">
        <f>IF(B235="","",ROW()-2)</f>
        <v/>
      </c>
      <c r="B235" s="9">
        <f>IF('StockList_MS2'!A234="","",HYPERLINK("https://kabutan.jp/stock/?code="&amp;'StockList_MS2'!A234,'StockList_MS2'!A234))</f>
        <v/>
      </c>
      <c r="C235" s="10">
        <f>IF('StockList_MS2'!A234="","",'StockList_MS2'!B234)</f>
        <v/>
      </c>
      <c r="D235" s="11" t="n"/>
      <c r="E235" s="11" t="n"/>
      <c r="F235" s="11" t="n"/>
      <c r="G235" s="11" t="n"/>
      <c r="H235" s="12" t="n"/>
      <c r="I235" s="11" t="n"/>
      <c r="J235" s="11" t="n"/>
      <c r="K235" s="11" t="n"/>
      <c r="L235" s="8">
        <f>IF(D235="","",IF(D235&gt;K235,"BUY-DAY","SELL-DAY"))</f>
        <v/>
      </c>
      <c r="M235" s="13">
        <f>IF(D235="","",MAX(E235-F235,ABS(E235-K235),ABS(F235-K235)))</f>
        <v/>
      </c>
      <c r="N235" s="8">
        <f>IF(D235="","",IF(AND(H235&gt;0,H235&gt;(H235/3)*2.5),"VOL-OK","VOL-NG"))</f>
        <v/>
      </c>
      <c r="O235" s="8">
        <f>IF(D235="","",IF(D235&gt;I235,"ON","OFF"))</f>
        <v/>
      </c>
      <c r="P235" s="8">
        <f>IF(D235="","",IF(D235&lt;J235,"ON","OFF"))</f>
        <v/>
      </c>
      <c r="Q235" s="8">
        <f>IF(OR(D235="",M235&lt;=0),"",IF(AND(L235="BUY-DAY",N235="VOL-OK",P235="ON",Z235="OK",AA235&lt;&gt;"DOWN"),"BUY",IF(AND(L235="SELL-DAY",N235="VOL-OK",O235="ON",Z235="OK",AA235&lt;&gt;"UP"),"SELL","")))</f>
        <v/>
      </c>
      <c r="R235" s="13">
        <f>IF(Q235="","",D235)</f>
        <v/>
      </c>
      <c r="S235" s="13">
        <f>IF(Q235="","",IF(Q235="BUY",D235-M235*1.5,D235+M235*1.5))</f>
        <v/>
      </c>
      <c r="T235" s="13">
        <f>IF(Q235="","",IF(Q235="BUY",D235+M235*1.5,D235-M235*1.5))</f>
        <v/>
      </c>
      <c r="U235" s="13">
        <f>IF(Q235="","",IF(Q235="BUY",D235+M235*2,D235-M235*2))</f>
        <v/>
      </c>
      <c r="V235" s="13">
        <f>IF(Q235="","",IF(Q235="BUY",D235+M235*3,D235-M235*3))</f>
        <v/>
      </c>
      <c r="W235" s="8">
        <f>IF(OR(D235="",M235&lt;=0),"",IF(AND(D235&gt;G235,ABS(D235-G235)&lt;M235*0.5),"2ND","1ST"))</f>
        <v/>
      </c>
      <c r="X235" s="8">
        <f>IF(OR(D235="",M235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5" s="8">
        <f>IF(OR(D235="",M235&lt;=0),"",IF(M235&gt;D235*0.05,"VOL-HIGH","VOL-NORMAL"))</f>
        <v/>
      </c>
      <c r="Z235" s="8">
        <f>IF(OR(D235="",M235&lt;=0),"",IF(AND(N235="VOL-OK",Y235="VOL-NORMAL",W235="2ND"),"OK","NG"))</f>
        <v/>
      </c>
      <c r="AA235" s="8">
        <f>IF(OR(D235="",M235&lt;=0),"",IF(AND(E235&gt;I235,F235&gt;J235),"UP",IF(AND(E235&lt;I235,F235&lt;J235),"DOWN","FLAT")))</f>
        <v/>
      </c>
    </row>
    <row r="236" ht="26" customHeight="1" s="1">
      <c r="A236" s="14">
        <f>IF(B236="","",ROW()-2)</f>
        <v/>
      </c>
      <c r="B236" s="15">
        <f>IF('StockList_MS2'!A235="","",HYPERLINK("https://kabutan.jp/stock/?code="&amp;'StockList_MS2'!A235,'StockList_MS2'!A235))</f>
        <v/>
      </c>
      <c r="C236" s="16">
        <f>IF('StockList_MS2'!A235="","",'StockList_MS2'!B235)</f>
        <v/>
      </c>
      <c r="D236" s="17" t="n"/>
      <c r="E236" s="17" t="n"/>
      <c r="F236" s="17" t="n"/>
      <c r="G236" s="17" t="n"/>
      <c r="H236" s="18" t="n"/>
      <c r="I236" s="17" t="n"/>
      <c r="J236" s="17" t="n"/>
      <c r="K236" s="17" t="n"/>
      <c r="L236" s="14">
        <f>IF(D236="","",IF(D236&gt;K236,"BUY-DAY","SELL-DAY"))</f>
        <v/>
      </c>
      <c r="M236" s="19">
        <f>IF(D236="","",MAX(E236-F236,ABS(E236-K236),ABS(F236-K236)))</f>
        <v/>
      </c>
      <c r="N236" s="14">
        <f>IF(D236="","",IF(AND(H236&gt;0,H236&gt;(H236/3)*2.5),"VOL-OK","VOL-NG"))</f>
        <v/>
      </c>
      <c r="O236" s="14">
        <f>IF(D236="","",IF(D236&gt;I236,"ON","OFF"))</f>
        <v/>
      </c>
      <c r="P236" s="14">
        <f>IF(D236="","",IF(D236&lt;J236,"ON","OFF"))</f>
        <v/>
      </c>
      <c r="Q236" s="14">
        <f>IF(OR(D236="",M236&lt;=0),"",IF(AND(L236="BUY-DAY",N236="VOL-OK",P236="ON",Z236="OK",AA236&lt;&gt;"DOWN"),"BUY",IF(AND(L236="SELL-DAY",N236="VOL-OK",O236="ON",Z236="OK",AA236&lt;&gt;"UP"),"SELL","")))</f>
        <v/>
      </c>
      <c r="R236" s="19">
        <f>IF(Q236="","",D236)</f>
        <v/>
      </c>
      <c r="S236" s="19">
        <f>IF(Q236="","",IF(Q236="BUY",D236-M236*1.5,D236+M236*1.5))</f>
        <v/>
      </c>
      <c r="T236" s="19">
        <f>IF(Q236="","",IF(Q236="BUY",D236+M236*1.5,D236-M236*1.5))</f>
        <v/>
      </c>
      <c r="U236" s="19">
        <f>IF(Q236="","",IF(Q236="BUY",D236+M236*2,D236-M236*2))</f>
        <v/>
      </c>
      <c r="V236" s="19">
        <f>IF(Q236="","",IF(Q236="BUY",D236+M236*3,D236-M236*3))</f>
        <v/>
      </c>
      <c r="W236" s="14">
        <f>IF(OR(D236="",M236&lt;=0),"",IF(AND(D236&gt;G236,ABS(D236-G236)&lt;M236*0.5),"2ND","1ST"))</f>
        <v/>
      </c>
      <c r="X236" s="14">
        <f>IF(OR(D236="",M236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6" s="14">
        <f>IF(OR(D236="",M236&lt;=0),"",IF(M236&gt;D236*0.05,"VOL-HIGH","VOL-NORMAL"))</f>
        <v/>
      </c>
      <c r="Z236" s="14">
        <f>IF(OR(D236="",M236&lt;=0),"",IF(AND(N236="VOL-OK",Y236="VOL-NORMAL",W236="2ND"),"OK","NG"))</f>
        <v/>
      </c>
      <c r="AA236" s="14">
        <f>IF(OR(D236="",M236&lt;=0),"",IF(AND(E236&gt;I236,F236&gt;J236),"UP",IF(AND(E236&lt;I236,F236&lt;J236),"DOWN","FLAT")))</f>
        <v/>
      </c>
    </row>
    <row r="237" ht="26" customHeight="1" s="1">
      <c r="A237" s="8">
        <f>IF(B237="","",ROW()-2)</f>
        <v/>
      </c>
      <c r="B237" s="9">
        <f>IF('StockList_MS2'!A236="","",HYPERLINK("https://kabutan.jp/stock/?code="&amp;'StockList_MS2'!A236,'StockList_MS2'!A236))</f>
        <v/>
      </c>
      <c r="C237" s="10">
        <f>IF('StockList_MS2'!A236="","",'StockList_MS2'!B236)</f>
        <v/>
      </c>
      <c r="D237" s="11" t="n"/>
      <c r="E237" s="11" t="n"/>
      <c r="F237" s="11" t="n"/>
      <c r="G237" s="11" t="n"/>
      <c r="H237" s="12" t="n"/>
      <c r="I237" s="11" t="n"/>
      <c r="J237" s="11" t="n"/>
      <c r="K237" s="11" t="n"/>
      <c r="L237" s="8">
        <f>IF(D237="","",IF(D237&gt;K237,"BUY-DAY","SELL-DAY"))</f>
        <v/>
      </c>
      <c r="M237" s="13">
        <f>IF(D237="","",MAX(E237-F237,ABS(E237-K237),ABS(F237-K237)))</f>
        <v/>
      </c>
      <c r="N237" s="8">
        <f>IF(D237="","",IF(AND(H237&gt;0,H237&gt;(H237/3)*2.5),"VOL-OK","VOL-NG"))</f>
        <v/>
      </c>
      <c r="O237" s="8">
        <f>IF(D237="","",IF(D237&gt;I237,"ON","OFF"))</f>
        <v/>
      </c>
      <c r="P237" s="8">
        <f>IF(D237="","",IF(D237&lt;J237,"ON","OFF"))</f>
        <v/>
      </c>
      <c r="Q237" s="8">
        <f>IF(OR(D237="",M237&lt;=0),"",IF(AND(L237="BUY-DAY",N237="VOL-OK",P237="ON",Z237="OK",AA237&lt;&gt;"DOWN"),"BUY",IF(AND(L237="SELL-DAY",N237="VOL-OK",O237="ON",Z237="OK",AA237&lt;&gt;"UP"),"SELL","")))</f>
        <v/>
      </c>
      <c r="R237" s="13">
        <f>IF(Q237="","",D237)</f>
        <v/>
      </c>
      <c r="S237" s="13">
        <f>IF(Q237="","",IF(Q237="BUY",D237-M237*1.5,D237+M237*1.5))</f>
        <v/>
      </c>
      <c r="T237" s="13">
        <f>IF(Q237="","",IF(Q237="BUY",D237+M237*1.5,D237-M237*1.5))</f>
        <v/>
      </c>
      <c r="U237" s="13">
        <f>IF(Q237="","",IF(Q237="BUY",D237+M237*2,D237-M237*2))</f>
        <v/>
      </c>
      <c r="V237" s="13">
        <f>IF(Q237="","",IF(Q237="BUY",D237+M237*3,D237-M237*3))</f>
        <v/>
      </c>
      <c r="W237" s="8">
        <f>IF(OR(D237="",M237&lt;=0),"",IF(AND(D237&gt;G237,ABS(D237-G237)&lt;M237*0.5),"2ND","1ST"))</f>
        <v/>
      </c>
      <c r="X237" s="8">
        <f>IF(OR(D237="",M237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7" s="8">
        <f>IF(OR(D237="",M237&lt;=0),"",IF(M237&gt;D237*0.05,"VOL-HIGH","VOL-NORMAL"))</f>
        <v/>
      </c>
      <c r="Z237" s="8">
        <f>IF(OR(D237="",M237&lt;=0),"",IF(AND(N237="VOL-OK",Y237="VOL-NORMAL",W237="2ND"),"OK","NG"))</f>
        <v/>
      </c>
      <c r="AA237" s="8">
        <f>IF(OR(D237="",M237&lt;=0),"",IF(AND(E237&gt;I237,F237&gt;J237),"UP",IF(AND(E237&lt;I237,F237&lt;J237),"DOWN","FLAT")))</f>
        <v/>
      </c>
    </row>
    <row r="238" ht="26" customHeight="1" s="1">
      <c r="A238" s="14">
        <f>IF(B238="","",ROW()-2)</f>
        <v/>
      </c>
      <c r="B238" s="15">
        <f>IF('StockList_MS2'!A237="","",HYPERLINK("https://kabutan.jp/stock/?code="&amp;'StockList_MS2'!A237,'StockList_MS2'!A237))</f>
        <v/>
      </c>
      <c r="C238" s="16">
        <f>IF('StockList_MS2'!A237="","",'StockList_MS2'!B237)</f>
        <v/>
      </c>
      <c r="D238" s="17" t="n"/>
      <c r="E238" s="17" t="n"/>
      <c r="F238" s="17" t="n"/>
      <c r="G238" s="17" t="n"/>
      <c r="H238" s="18" t="n"/>
      <c r="I238" s="17" t="n"/>
      <c r="J238" s="17" t="n"/>
      <c r="K238" s="17" t="n"/>
      <c r="L238" s="14">
        <f>IF(D238="","",IF(D238&gt;K238,"BUY-DAY","SELL-DAY"))</f>
        <v/>
      </c>
      <c r="M238" s="19">
        <f>IF(D238="","",MAX(E238-F238,ABS(E238-K238),ABS(F238-K238)))</f>
        <v/>
      </c>
      <c r="N238" s="14">
        <f>IF(D238="","",IF(AND(H238&gt;0,H238&gt;(H238/3)*2.5),"VOL-OK","VOL-NG"))</f>
        <v/>
      </c>
      <c r="O238" s="14">
        <f>IF(D238="","",IF(D238&gt;I238,"ON","OFF"))</f>
        <v/>
      </c>
      <c r="P238" s="14">
        <f>IF(D238="","",IF(D238&lt;J238,"ON","OFF"))</f>
        <v/>
      </c>
      <c r="Q238" s="14">
        <f>IF(OR(D238="",M238&lt;=0),"",IF(AND(L238="BUY-DAY",N238="VOL-OK",P238="ON",Z238="OK",AA238&lt;&gt;"DOWN"),"BUY",IF(AND(L238="SELL-DAY",N238="VOL-OK",O238="ON",Z238="OK",AA238&lt;&gt;"UP"),"SELL","")))</f>
        <v/>
      </c>
      <c r="R238" s="19">
        <f>IF(Q238="","",D238)</f>
        <v/>
      </c>
      <c r="S238" s="19">
        <f>IF(Q238="","",IF(Q238="BUY",D238-M238*1.5,D238+M238*1.5))</f>
        <v/>
      </c>
      <c r="T238" s="19">
        <f>IF(Q238="","",IF(Q238="BUY",D238+M238*1.5,D238-M238*1.5))</f>
        <v/>
      </c>
      <c r="U238" s="19">
        <f>IF(Q238="","",IF(Q238="BUY",D238+M238*2,D238-M238*2))</f>
        <v/>
      </c>
      <c r="V238" s="19">
        <f>IF(Q238="","",IF(Q238="BUY",D238+M238*3,D238-M238*3))</f>
        <v/>
      </c>
      <c r="W238" s="14">
        <f>IF(OR(D238="",M238&lt;=0),"",IF(AND(D238&gt;G238,ABS(D238-G238)&lt;M238*0.5),"2ND","1ST"))</f>
        <v/>
      </c>
      <c r="X238" s="14">
        <f>IF(OR(D238="",M238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8" s="14">
        <f>IF(OR(D238="",M238&lt;=0),"",IF(M238&gt;D238*0.05,"VOL-HIGH","VOL-NORMAL"))</f>
        <v/>
      </c>
      <c r="Z238" s="14">
        <f>IF(OR(D238="",M238&lt;=0),"",IF(AND(N238="VOL-OK",Y238="VOL-NORMAL",W238="2ND"),"OK","NG"))</f>
        <v/>
      </c>
      <c r="AA238" s="14">
        <f>IF(OR(D238="",M238&lt;=0),"",IF(AND(E238&gt;I238,F238&gt;J238),"UP",IF(AND(E238&lt;I238,F238&lt;J238),"DOWN","FLAT")))</f>
        <v/>
      </c>
    </row>
    <row r="239" ht="26" customHeight="1" s="1">
      <c r="A239" s="8">
        <f>IF(B239="","",ROW()-2)</f>
        <v/>
      </c>
      <c r="B239" s="9">
        <f>IF('StockList_MS2'!A238="","",HYPERLINK("https://kabutan.jp/stock/?code="&amp;'StockList_MS2'!A238,'StockList_MS2'!A238))</f>
        <v/>
      </c>
      <c r="C239" s="10">
        <f>IF('StockList_MS2'!A238="","",'StockList_MS2'!B238)</f>
        <v/>
      </c>
      <c r="D239" s="11" t="n"/>
      <c r="E239" s="11" t="n"/>
      <c r="F239" s="11" t="n"/>
      <c r="G239" s="11" t="n"/>
      <c r="H239" s="12" t="n"/>
      <c r="I239" s="11" t="n"/>
      <c r="J239" s="11" t="n"/>
      <c r="K239" s="11" t="n"/>
      <c r="L239" s="8">
        <f>IF(D239="","",IF(D239&gt;K239,"BUY-DAY","SELL-DAY"))</f>
        <v/>
      </c>
      <c r="M239" s="13">
        <f>IF(D239="","",MAX(E239-F239,ABS(E239-K239),ABS(F239-K239)))</f>
        <v/>
      </c>
      <c r="N239" s="8">
        <f>IF(D239="","",IF(AND(H239&gt;0,H239&gt;(H239/3)*2.5),"VOL-OK","VOL-NG"))</f>
        <v/>
      </c>
      <c r="O239" s="8">
        <f>IF(D239="","",IF(D239&gt;I239,"ON","OFF"))</f>
        <v/>
      </c>
      <c r="P239" s="8">
        <f>IF(D239="","",IF(D239&lt;J239,"ON","OFF"))</f>
        <v/>
      </c>
      <c r="Q239" s="8">
        <f>IF(OR(D239="",M239&lt;=0),"",IF(AND(L239="BUY-DAY",N239="VOL-OK",P239="ON",Z239="OK",AA239&lt;&gt;"DOWN"),"BUY",IF(AND(L239="SELL-DAY",N239="VOL-OK",O239="ON",Z239="OK",AA239&lt;&gt;"UP"),"SELL","")))</f>
        <v/>
      </c>
      <c r="R239" s="13">
        <f>IF(Q239="","",D239)</f>
        <v/>
      </c>
      <c r="S239" s="13">
        <f>IF(Q239="","",IF(Q239="BUY",D239-M239*1.5,D239+M239*1.5))</f>
        <v/>
      </c>
      <c r="T239" s="13">
        <f>IF(Q239="","",IF(Q239="BUY",D239+M239*1.5,D239-M239*1.5))</f>
        <v/>
      </c>
      <c r="U239" s="13">
        <f>IF(Q239="","",IF(Q239="BUY",D239+M239*2,D239-M239*2))</f>
        <v/>
      </c>
      <c r="V239" s="13">
        <f>IF(Q239="","",IF(Q239="BUY",D239+M239*3,D239-M239*3))</f>
        <v/>
      </c>
      <c r="W239" s="8">
        <f>IF(OR(D239="",M239&lt;=0),"",IF(AND(D239&gt;G239,ABS(D239-G239)&lt;M239*0.5),"2ND","1ST"))</f>
        <v/>
      </c>
      <c r="X239" s="8">
        <f>IF(OR(D239="",M239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39" s="8">
        <f>IF(OR(D239="",M239&lt;=0),"",IF(M239&gt;D239*0.05,"VOL-HIGH","VOL-NORMAL"))</f>
        <v/>
      </c>
      <c r="Z239" s="8">
        <f>IF(OR(D239="",M239&lt;=0),"",IF(AND(N239="VOL-OK",Y239="VOL-NORMAL",W239="2ND"),"OK","NG"))</f>
        <v/>
      </c>
      <c r="AA239" s="8">
        <f>IF(OR(D239="",M239&lt;=0),"",IF(AND(E239&gt;I239,F239&gt;J239),"UP",IF(AND(E239&lt;I239,F239&lt;J239),"DOWN","FLAT")))</f>
        <v/>
      </c>
    </row>
    <row r="240" ht="26" customHeight="1" s="1">
      <c r="A240" s="14">
        <f>IF(B240="","",ROW()-2)</f>
        <v/>
      </c>
      <c r="B240" s="15">
        <f>IF('StockList_MS2'!A239="","",HYPERLINK("https://kabutan.jp/stock/?code="&amp;'StockList_MS2'!A239,'StockList_MS2'!A239))</f>
        <v/>
      </c>
      <c r="C240" s="16">
        <f>IF('StockList_MS2'!A239="","",'StockList_MS2'!B239)</f>
        <v/>
      </c>
      <c r="D240" s="17" t="n"/>
      <c r="E240" s="17" t="n"/>
      <c r="F240" s="17" t="n"/>
      <c r="G240" s="17" t="n"/>
      <c r="H240" s="18" t="n"/>
      <c r="I240" s="17" t="n"/>
      <c r="J240" s="17" t="n"/>
      <c r="K240" s="17" t="n"/>
      <c r="L240" s="14">
        <f>IF(D240="","",IF(D240&gt;K240,"BUY-DAY","SELL-DAY"))</f>
        <v/>
      </c>
      <c r="M240" s="19">
        <f>IF(D240="","",MAX(E240-F240,ABS(E240-K240),ABS(F240-K240)))</f>
        <v/>
      </c>
      <c r="N240" s="14">
        <f>IF(D240="","",IF(AND(H240&gt;0,H240&gt;(H240/3)*2.5),"VOL-OK","VOL-NG"))</f>
        <v/>
      </c>
      <c r="O240" s="14">
        <f>IF(D240="","",IF(D240&gt;I240,"ON","OFF"))</f>
        <v/>
      </c>
      <c r="P240" s="14">
        <f>IF(D240="","",IF(D240&lt;J240,"ON","OFF"))</f>
        <v/>
      </c>
      <c r="Q240" s="14">
        <f>IF(OR(D240="",M240&lt;=0),"",IF(AND(L240="BUY-DAY",N240="VOL-OK",P240="ON",Z240="OK",AA240&lt;&gt;"DOWN"),"BUY",IF(AND(L240="SELL-DAY",N240="VOL-OK",O240="ON",Z240="OK",AA240&lt;&gt;"UP"),"SELL","")))</f>
        <v/>
      </c>
      <c r="R240" s="19">
        <f>IF(Q240="","",D240)</f>
        <v/>
      </c>
      <c r="S240" s="19">
        <f>IF(Q240="","",IF(Q240="BUY",D240-M240*1.5,D240+M240*1.5))</f>
        <v/>
      </c>
      <c r="T240" s="19">
        <f>IF(Q240="","",IF(Q240="BUY",D240+M240*1.5,D240-M240*1.5))</f>
        <v/>
      </c>
      <c r="U240" s="19">
        <f>IF(Q240="","",IF(Q240="BUY",D240+M240*2,D240-M240*2))</f>
        <v/>
      </c>
      <c r="V240" s="19">
        <f>IF(Q240="","",IF(Q240="BUY",D240+M240*3,D240-M240*3))</f>
        <v/>
      </c>
      <c r="W240" s="14">
        <f>IF(OR(D240="",M240&lt;=0),"",IF(AND(D240&gt;G240,ABS(D240-G240)&lt;M240*0.5),"2ND","1ST"))</f>
        <v/>
      </c>
      <c r="X240" s="14">
        <f>IF(OR(D240="",M240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0" s="14">
        <f>IF(OR(D240="",M240&lt;=0),"",IF(M240&gt;D240*0.05,"VOL-HIGH","VOL-NORMAL"))</f>
        <v/>
      </c>
      <c r="Z240" s="14">
        <f>IF(OR(D240="",M240&lt;=0),"",IF(AND(N240="VOL-OK",Y240="VOL-NORMAL",W240="2ND"),"OK","NG"))</f>
        <v/>
      </c>
      <c r="AA240" s="14">
        <f>IF(OR(D240="",M240&lt;=0),"",IF(AND(E240&gt;I240,F240&gt;J240),"UP",IF(AND(E240&lt;I240,F240&lt;J240),"DOWN","FLAT")))</f>
        <v/>
      </c>
    </row>
    <row r="241" ht="26" customHeight="1" s="1">
      <c r="A241" s="8">
        <f>IF(B241="","",ROW()-2)</f>
        <v/>
      </c>
      <c r="B241" s="9">
        <f>IF('StockList_MS2'!A240="","",HYPERLINK("https://kabutan.jp/stock/?code="&amp;'StockList_MS2'!A240,'StockList_MS2'!A240))</f>
        <v/>
      </c>
      <c r="C241" s="10">
        <f>IF('StockList_MS2'!A240="","",'StockList_MS2'!B240)</f>
        <v/>
      </c>
      <c r="D241" s="11" t="n"/>
      <c r="E241" s="11" t="n"/>
      <c r="F241" s="11" t="n"/>
      <c r="G241" s="11" t="n"/>
      <c r="H241" s="12" t="n"/>
      <c r="I241" s="11" t="n"/>
      <c r="J241" s="11" t="n"/>
      <c r="K241" s="11" t="n"/>
      <c r="L241" s="8">
        <f>IF(D241="","",IF(D241&gt;K241,"BUY-DAY","SELL-DAY"))</f>
        <v/>
      </c>
      <c r="M241" s="13">
        <f>IF(D241="","",MAX(E241-F241,ABS(E241-K241),ABS(F241-K241)))</f>
        <v/>
      </c>
      <c r="N241" s="8">
        <f>IF(D241="","",IF(AND(H241&gt;0,H241&gt;(H241/3)*2.5),"VOL-OK","VOL-NG"))</f>
        <v/>
      </c>
      <c r="O241" s="8">
        <f>IF(D241="","",IF(D241&gt;I241,"ON","OFF"))</f>
        <v/>
      </c>
      <c r="P241" s="8">
        <f>IF(D241="","",IF(D241&lt;J241,"ON","OFF"))</f>
        <v/>
      </c>
      <c r="Q241" s="8">
        <f>IF(OR(D241="",M241&lt;=0),"",IF(AND(L241="BUY-DAY",N241="VOL-OK",P241="ON",Z241="OK",AA241&lt;&gt;"DOWN"),"BUY",IF(AND(L241="SELL-DAY",N241="VOL-OK",O241="ON",Z241="OK",AA241&lt;&gt;"UP"),"SELL","")))</f>
        <v/>
      </c>
      <c r="R241" s="13">
        <f>IF(Q241="","",D241)</f>
        <v/>
      </c>
      <c r="S241" s="13">
        <f>IF(Q241="","",IF(Q241="BUY",D241-M241*1.5,D241+M241*1.5))</f>
        <v/>
      </c>
      <c r="T241" s="13">
        <f>IF(Q241="","",IF(Q241="BUY",D241+M241*1.5,D241-M241*1.5))</f>
        <v/>
      </c>
      <c r="U241" s="13">
        <f>IF(Q241="","",IF(Q241="BUY",D241+M241*2,D241-M241*2))</f>
        <v/>
      </c>
      <c r="V241" s="13">
        <f>IF(Q241="","",IF(Q241="BUY",D241+M241*3,D241-M241*3))</f>
        <v/>
      </c>
      <c r="W241" s="8">
        <f>IF(OR(D241="",M241&lt;=0),"",IF(AND(D241&gt;G241,ABS(D241-G241)&lt;M241*0.5),"2ND","1ST"))</f>
        <v/>
      </c>
      <c r="X241" s="8">
        <f>IF(OR(D241="",M241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1" s="8">
        <f>IF(OR(D241="",M241&lt;=0),"",IF(M241&gt;D241*0.05,"VOL-HIGH","VOL-NORMAL"))</f>
        <v/>
      </c>
      <c r="Z241" s="8">
        <f>IF(OR(D241="",M241&lt;=0),"",IF(AND(N241="VOL-OK",Y241="VOL-NORMAL",W241="2ND"),"OK","NG"))</f>
        <v/>
      </c>
      <c r="AA241" s="8">
        <f>IF(OR(D241="",M241&lt;=0),"",IF(AND(E241&gt;I241,F241&gt;J241),"UP",IF(AND(E241&lt;I241,F241&lt;J241),"DOWN","FLAT")))</f>
        <v/>
      </c>
    </row>
    <row r="242" ht="26" customHeight="1" s="1">
      <c r="A242" s="14">
        <f>IF(B242="","",ROW()-2)</f>
        <v/>
      </c>
      <c r="B242" s="15">
        <f>IF('StockList_MS2'!A241="","",HYPERLINK("https://kabutan.jp/stock/?code="&amp;'StockList_MS2'!A241,'StockList_MS2'!A241))</f>
        <v/>
      </c>
      <c r="C242" s="16">
        <f>IF('StockList_MS2'!A241="","",'StockList_MS2'!B241)</f>
        <v/>
      </c>
      <c r="D242" s="17" t="n"/>
      <c r="E242" s="17" t="n"/>
      <c r="F242" s="17" t="n"/>
      <c r="G242" s="17" t="n"/>
      <c r="H242" s="18" t="n"/>
      <c r="I242" s="17" t="n"/>
      <c r="J242" s="17" t="n"/>
      <c r="K242" s="17" t="n"/>
      <c r="L242" s="14">
        <f>IF(D242="","",IF(D242&gt;K242,"BUY-DAY","SELL-DAY"))</f>
        <v/>
      </c>
      <c r="M242" s="19">
        <f>IF(D242="","",MAX(E242-F242,ABS(E242-K242),ABS(F242-K242)))</f>
        <v/>
      </c>
      <c r="N242" s="14">
        <f>IF(D242="","",IF(AND(H242&gt;0,H242&gt;(H242/3)*2.5),"VOL-OK","VOL-NG"))</f>
        <v/>
      </c>
      <c r="O242" s="14">
        <f>IF(D242="","",IF(D242&gt;I242,"ON","OFF"))</f>
        <v/>
      </c>
      <c r="P242" s="14">
        <f>IF(D242="","",IF(D242&lt;J242,"ON","OFF"))</f>
        <v/>
      </c>
      <c r="Q242" s="14">
        <f>IF(OR(D242="",M242&lt;=0),"",IF(AND(L242="BUY-DAY",N242="VOL-OK",P242="ON",Z242="OK",AA242&lt;&gt;"DOWN"),"BUY",IF(AND(L242="SELL-DAY",N242="VOL-OK",O242="ON",Z242="OK",AA242&lt;&gt;"UP"),"SELL","")))</f>
        <v/>
      </c>
      <c r="R242" s="19">
        <f>IF(Q242="","",D242)</f>
        <v/>
      </c>
      <c r="S242" s="19">
        <f>IF(Q242="","",IF(Q242="BUY",D242-M242*1.5,D242+M242*1.5))</f>
        <v/>
      </c>
      <c r="T242" s="19">
        <f>IF(Q242="","",IF(Q242="BUY",D242+M242*1.5,D242-M242*1.5))</f>
        <v/>
      </c>
      <c r="U242" s="19">
        <f>IF(Q242="","",IF(Q242="BUY",D242+M242*2,D242-M242*2))</f>
        <v/>
      </c>
      <c r="V242" s="19">
        <f>IF(Q242="","",IF(Q242="BUY",D242+M242*3,D242-M242*3))</f>
        <v/>
      </c>
      <c r="W242" s="14">
        <f>IF(OR(D242="",M242&lt;=0),"",IF(AND(D242&gt;G242,ABS(D242-G242)&lt;M242*0.5),"2ND","1ST"))</f>
        <v/>
      </c>
      <c r="X242" s="14">
        <f>IF(OR(D242="",M242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2" s="14">
        <f>IF(OR(D242="",M242&lt;=0),"",IF(M242&gt;D242*0.05,"VOL-HIGH","VOL-NORMAL"))</f>
        <v/>
      </c>
      <c r="Z242" s="14">
        <f>IF(OR(D242="",M242&lt;=0),"",IF(AND(N242="VOL-OK",Y242="VOL-NORMAL",W242="2ND"),"OK","NG"))</f>
        <v/>
      </c>
      <c r="AA242" s="14">
        <f>IF(OR(D242="",M242&lt;=0),"",IF(AND(E242&gt;I242,F242&gt;J242),"UP",IF(AND(E242&lt;I242,F242&lt;J242),"DOWN","FLAT")))</f>
        <v/>
      </c>
    </row>
    <row r="243" ht="26" customHeight="1" s="1">
      <c r="A243" s="8">
        <f>IF(B243="","",ROW()-2)</f>
        <v/>
      </c>
      <c r="B243" s="9">
        <f>IF('StockList_MS2'!A242="","",HYPERLINK("https://kabutan.jp/stock/?code="&amp;'StockList_MS2'!A242,'StockList_MS2'!A242))</f>
        <v/>
      </c>
      <c r="C243" s="10">
        <f>IF('StockList_MS2'!A242="","",'StockList_MS2'!B242)</f>
        <v/>
      </c>
      <c r="D243" s="11" t="n"/>
      <c r="E243" s="11" t="n"/>
      <c r="F243" s="11" t="n"/>
      <c r="G243" s="11" t="n"/>
      <c r="H243" s="12" t="n"/>
      <c r="I243" s="11" t="n"/>
      <c r="J243" s="11" t="n"/>
      <c r="K243" s="11" t="n"/>
      <c r="L243" s="8">
        <f>IF(D243="","",IF(D243&gt;K243,"BUY-DAY","SELL-DAY"))</f>
        <v/>
      </c>
      <c r="M243" s="13">
        <f>IF(D243="","",MAX(E243-F243,ABS(E243-K243),ABS(F243-K243)))</f>
        <v/>
      </c>
      <c r="N243" s="8">
        <f>IF(D243="","",IF(AND(H243&gt;0,H243&gt;(H243/3)*2.5),"VOL-OK","VOL-NG"))</f>
        <v/>
      </c>
      <c r="O243" s="8">
        <f>IF(D243="","",IF(D243&gt;I243,"ON","OFF"))</f>
        <v/>
      </c>
      <c r="P243" s="8">
        <f>IF(D243="","",IF(D243&lt;J243,"ON","OFF"))</f>
        <v/>
      </c>
      <c r="Q243" s="8">
        <f>IF(OR(D243="",M243&lt;=0),"",IF(AND(L243="BUY-DAY",N243="VOL-OK",P243="ON",Z243="OK",AA243&lt;&gt;"DOWN"),"BUY",IF(AND(L243="SELL-DAY",N243="VOL-OK",O243="ON",Z243="OK",AA243&lt;&gt;"UP"),"SELL","")))</f>
        <v/>
      </c>
      <c r="R243" s="13">
        <f>IF(Q243="","",D243)</f>
        <v/>
      </c>
      <c r="S243" s="13">
        <f>IF(Q243="","",IF(Q243="BUY",D243-M243*1.5,D243+M243*1.5))</f>
        <v/>
      </c>
      <c r="T243" s="13">
        <f>IF(Q243="","",IF(Q243="BUY",D243+M243*1.5,D243-M243*1.5))</f>
        <v/>
      </c>
      <c r="U243" s="13">
        <f>IF(Q243="","",IF(Q243="BUY",D243+M243*2,D243-M243*2))</f>
        <v/>
      </c>
      <c r="V243" s="13">
        <f>IF(Q243="","",IF(Q243="BUY",D243+M243*3,D243-M243*3))</f>
        <v/>
      </c>
      <c r="W243" s="8">
        <f>IF(OR(D243="",M243&lt;=0),"",IF(AND(D243&gt;G243,ABS(D243-G243)&lt;M243*0.5),"2ND","1ST"))</f>
        <v/>
      </c>
      <c r="X243" s="8">
        <f>IF(OR(D243="",M243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3" s="8">
        <f>IF(OR(D243="",M243&lt;=0),"",IF(M243&gt;D243*0.05,"VOL-HIGH","VOL-NORMAL"))</f>
        <v/>
      </c>
      <c r="Z243" s="8">
        <f>IF(OR(D243="",M243&lt;=0),"",IF(AND(N243="VOL-OK",Y243="VOL-NORMAL",W243="2ND"),"OK","NG"))</f>
        <v/>
      </c>
      <c r="AA243" s="8">
        <f>IF(OR(D243="",M243&lt;=0),"",IF(AND(E243&gt;I243,F243&gt;J243),"UP",IF(AND(E243&lt;I243,F243&lt;J243),"DOWN","FLAT")))</f>
        <v/>
      </c>
    </row>
    <row r="244" ht="26" customHeight="1" s="1">
      <c r="A244" s="14">
        <f>IF(B244="","",ROW()-2)</f>
        <v/>
      </c>
      <c r="B244" s="15">
        <f>IF('StockList_MS2'!A243="","",HYPERLINK("https://kabutan.jp/stock/?code="&amp;'StockList_MS2'!A243,'StockList_MS2'!A243))</f>
        <v/>
      </c>
      <c r="C244" s="16">
        <f>IF('StockList_MS2'!A243="","",'StockList_MS2'!B243)</f>
        <v/>
      </c>
      <c r="D244" s="17" t="n"/>
      <c r="E244" s="17" t="n"/>
      <c r="F244" s="17" t="n"/>
      <c r="G244" s="17" t="n"/>
      <c r="H244" s="18" t="n"/>
      <c r="I244" s="17" t="n"/>
      <c r="J244" s="17" t="n"/>
      <c r="K244" s="17" t="n"/>
      <c r="L244" s="14">
        <f>IF(D244="","",IF(D244&gt;K244,"BUY-DAY","SELL-DAY"))</f>
        <v/>
      </c>
      <c r="M244" s="19">
        <f>IF(D244="","",MAX(E244-F244,ABS(E244-K244),ABS(F244-K244)))</f>
        <v/>
      </c>
      <c r="N244" s="14">
        <f>IF(D244="","",IF(AND(H244&gt;0,H244&gt;(H244/3)*2.5),"VOL-OK","VOL-NG"))</f>
        <v/>
      </c>
      <c r="O244" s="14">
        <f>IF(D244="","",IF(D244&gt;I244,"ON","OFF"))</f>
        <v/>
      </c>
      <c r="P244" s="14">
        <f>IF(D244="","",IF(D244&lt;J244,"ON","OFF"))</f>
        <v/>
      </c>
      <c r="Q244" s="14">
        <f>IF(OR(D244="",M244&lt;=0),"",IF(AND(L244="BUY-DAY",N244="VOL-OK",P244="ON",Z244="OK",AA244&lt;&gt;"DOWN"),"BUY",IF(AND(L244="SELL-DAY",N244="VOL-OK",O244="ON",Z244="OK",AA244&lt;&gt;"UP"),"SELL","")))</f>
        <v/>
      </c>
      <c r="R244" s="19">
        <f>IF(Q244="","",D244)</f>
        <v/>
      </c>
      <c r="S244" s="19">
        <f>IF(Q244="","",IF(Q244="BUY",D244-M244*1.5,D244+M244*1.5))</f>
        <v/>
      </c>
      <c r="T244" s="19">
        <f>IF(Q244="","",IF(Q244="BUY",D244+M244*1.5,D244-M244*1.5))</f>
        <v/>
      </c>
      <c r="U244" s="19">
        <f>IF(Q244="","",IF(Q244="BUY",D244+M244*2,D244-M244*2))</f>
        <v/>
      </c>
      <c r="V244" s="19">
        <f>IF(Q244="","",IF(Q244="BUY",D244+M244*3,D244-M244*3))</f>
        <v/>
      </c>
      <c r="W244" s="14">
        <f>IF(OR(D244="",M244&lt;=0),"",IF(AND(D244&gt;G244,ABS(D244-G244)&lt;M244*0.5),"2ND","1ST"))</f>
        <v/>
      </c>
      <c r="X244" s="14">
        <f>IF(OR(D244="",M244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4" s="14">
        <f>IF(OR(D244="",M244&lt;=0),"",IF(M244&gt;D244*0.05,"VOL-HIGH","VOL-NORMAL"))</f>
        <v/>
      </c>
      <c r="Z244" s="14">
        <f>IF(OR(D244="",M244&lt;=0),"",IF(AND(N244="VOL-OK",Y244="VOL-NORMAL",W244="2ND"),"OK","NG"))</f>
        <v/>
      </c>
      <c r="AA244" s="14">
        <f>IF(OR(D244="",M244&lt;=0),"",IF(AND(E244&gt;I244,F244&gt;J244),"UP",IF(AND(E244&lt;I244,F244&lt;J244),"DOWN","FLAT")))</f>
        <v/>
      </c>
    </row>
    <row r="245" ht="26" customHeight="1" s="1">
      <c r="A245" s="8">
        <f>IF(B245="","",ROW()-2)</f>
        <v/>
      </c>
      <c r="B245" s="9">
        <f>IF('StockList_MS2'!A244="","",HYPERLINK("https://kabutan.jp/stock/?code="&amp;'StockList_MS2'!A244,'StockList_MS2'!A244))</f>
        <v/>
      </c>
      <c r="C245" s="10">
        <f>IF('StockList_MS2'!A244="","",'StockList_MS2'!B244)</f>
        <v/>
      </c>
      <c r="D245" s="11" t="n"/>
      <c r="E245" s="11" t="n"/>
      <c r="F245" s="11" t="n"/>
      <c r="G245" s="11" t="n"/>
      <c r="H245" s="12" t="n"/>
      <c r="I245" s="11" t="n"/>
      <c r="J245" s="11" t="n"/>
      <c r="K245" s="11" t="n"/>
      <c r="L245" s="8">
        <f>IF(D245="","",IF(D245&gt;K245,"BUY-DAY","SELL-DAY"))</f>
        <v/>
      </c>
      <c r="M245" s="13">
        <f>IF(D245="","",MAX(E245-F245,ABS(E245-K245),ABS(F245-K245)))</f>
        <v/>
      </c>
      <c r="N245" s="8">
        <f>IF(D245="","",IF(AND(H245&gt;0,H245&gt;(H245/3)*2.5),"VOL-OK","VOL-NG"))</f>
        <v/>
      </c>
      <c r="O245" s="8">
        <f>IF(D245="","",IF(D245&gt;I245,"ON","OFF"))</f>
        <v/>
      </c>
      <c r="P245" s="8">
        <f>IF(D245="","",IF(D245&lt;J245,"ON","OFF"))</f>
        <v/>
      </c>
      <c r="Q245" s="8">
        <f>IF(OR(D245="",M245&lt;=0),"",IF(AND(L245="BUY-DAY",N245="VOL-OK",P245="ON",Z245="OK",AA245&lt;&gt;"DOWN"),"BUY",IF(AND(L245="SELL-DAY",N245="VOL-OK",O245="ON",Z245="OK",AA245&lt;&gt;"UP"),"SELL","")))</f>
        <v/>
      </c>
      <c r="R245" s="13">
        <f>IF(Q245="","",D245)</f>
        <v/>
      </c>
      <c r="S245" s="13">
        <f>IF(Q245="","",IF(Q245="BUY",D245-M245*1.5,D245+M245*1.5))</f>
        <v/>
      </c>
      <c r="T245" s="13">
        <f>IF(Q245="","",IF(Q245="BUY",D245+M245*1.5,D245-M245*1.5))</f>
        <v/>
      </c>
      <c r="U245" s="13">
        <f>IF(Q245="","",IF(Q245="BUY",D245+M245*2,D245-M245*2))</f>
        <v/>
      </c>
      <c r="V245" s="13">
        <f>IF(Q245="","",IF(Q245="BUY",D245+M245*3,D245-M245*3))</f>
        <v/>
      </c>
      <c r="W245" s="8">
        <f>IF(OR(D245="",M245&lt;=0),"",IF(AND(D245&gt;G245,ABS(D245-G245)&lt;M245*0.5),"2ND","1ST"))</f>
        <v/>
      </c>
      <c r="X245" s="8">
        <f>IF(OR(D245="",M245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5" s="8">
        <f>IF(OR(D245="",M245&lt;=0),"",IF(M245&gt;D245*0.05,"VOL-HIGH","VOL-NORMAL"))</f>
        <v/>
      </c>
      <c r="Z245" s="8">
        <f>IF(OR(D245="",M245&lt;=0),"",IF(AND(N245="VOL-OK",Y245="VOL-NORMAL",W245="2ND"),"OK","NG"))</f>
        <v/>
      </c>
      <c r="AA245" s="8">
        <f>IF(OR(D245="",M245&lt;=0),"",IF(AND(E245&gt;I245,F245&gt;J245),"UP",IF(AND(E245&lt;I245,F245&lt;J245),"DOWN","FLAT")))</f>
        <v/>
      </c>
    </row>
    <row r="246" ht="26" customHeight="1" s="1">
      <c r="A246" s="14">
        <f>IF(B246="","",ROW()-2)</f>
        <v/>
      </c>
      <c r="B246" s="15">
        <f>IF('StockList_MS2'!A245="","",HYPERLINK("https://kabutan.jp/stock/?code="&amp;'StockList_MS2'!A245,'StockList_MS2'!A245))</f>
        <v/>
      </c>
      <c r="C246" s="16">
        <f>IF('StockList_MS2'!A245="","",'StockList_MS2'!B245)</f>
        <v/>
      </c>
      <c r="D246" s="17" t="n"/>
      <c r="E246" s="17" t="n"/>
      <c r="F246" s="17" t="n"/>
      <c r="G246" s="17" t="n"/>
      <c r="H246" s="18" t="n"/>
      <c r="I246" s="17" t="n"/>
      <c r="J246" s="17" t="n"/>
      <c r="K246" s="17" t="n"/>
      <c r="L246" s="14">
        <f>IF(D246="","",IF(D246&gt;K246,"BUY-DAY","SELL-DAY"))</f>
        <v/>
      </c>
      <c r="M246" s="19">
        <f>IF(D246="","",MAX(E246-F246,ABS(E246-K246),ABS(F246-K246)))</f>
        <v/>
      </c>
      <c r="N246" s="14">
        <f>IF(D246="","",IF(AND(H246&gt;0,H246&gt;(H246/3)*2.5),"VOL-OK","VOL-NG"))</f>
        <v/>
      </c>
      <c r="O246" s="14">
        <f>IF(D246="","",IF(D246&gt;I246,"ON","OFF"))</f>
        <v/>
      </c>
      <c r="P246" s="14">
        <f>IF(D246="","",IF(D246&lt;J246,"ON","OFF"))</f>
        <v/>
      </c>
      <c r="Q246" s="14">
        <f>IF(OR(D246="",M246&lt;=0),"",IF(AND(L246="BUY-DAY",N246="VOL-OK",P246="ON",Z246="OK",AA246&lt;&gt;"DOWN"),"BUY",IF(AND(L246="SELL-DAY",N246="VOL-OK",O246="ON",Z246="OK",AA246&lt;&gt;"UP"),"SELL","")))</f>
        <v/>
      </c>
      <c r="R246" s="19">
        <f>IF(Q246="","",D246)</f>
        <v/>
      </c>
      <c r="S246" s="19">
        <f>IF(Q246="","",IF(Q246="BUY",D246-M246*1.5,D246+M246*1.5))</f>
        <v/>
      </c>
      <c r="T246" s="19">
        <f>IF(Q246="","",IF(Q246="BUY",D246+M246*1.5,D246-M246*1.5))</f>
        <v/>
      </c>
      <c r="U246" s="19">
        <f>IF(Q246="","",IF(Q246="BUY",D246+M246*2,D246-M246*2))</f>
        <v/>
      </c>
      <c r="V246" s="19">
        <f>IF(Q246="","",IF(Q246="BUY",D246+M246*3,D246-M246*3))</f>
        <v/>
      </c>
      <c r="W246" s="14">
        <f>IF(OR(D246="",M246&lt;=0),"",IF(AND(D246&gt;G246,ABS(D246-G246)&lt;M246*0.5),"2ND","1ST"))</f>
        <v/>
      </c>
      <c r="X246" s="14">
        <f>IF(OR(D246="",M246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6" s="14">
        <f>IF(OR(D246="",M246&lt;=0),"",IF(M246&gt;D246*0.05,"VOL-HIGH","VOL-NORMAL"))</f>
        <v/>
      </c>
      <c r="Z246" s="14">
        <f>IF(OR(D246="",M246&lt;=0),"",IF(AND(N246="VOL-OK",Y246="VOL-NORMAL",W246="2ND"),"OK","NG"))</f>
        <v/>
      </c>
      <c r="AA246" s="14">
        <f>IF(OR(D246="",M246&lt;=0),"",IF(AND(E246&gt;I246,F246&gt;J246),"UP",IF(AND(E246&lt;I246,F246&lt;J246),"DOWN","FLAT")))</f>
        <v/>
      </c>
    </row>
    <row r="247" ht="26" customHeight="1" s="1">
      <c r="A247" s="8">
        <f>IF(B247="","",ROW()-2)</f>
        <v/>
      </c>
      <c r="B247" s="9">
        <f>IF('StockList_MS2'!A246="","",HYPERLINK("https://kabutan.jp/stock/?code="&amp;'StockList_MS2'!A246,'StockList_MS2'!A246))</f>
        <v/>
      </c>
      <c r="C247" s="10">
        <f>IF('StockList_MS2'!A246="","",'StockList_MS2'!B246)</f>
        <v/>
      </c>
      <c r="D247" s="11" t="n"/>
      <c r="E247" s="11" t="n"/>
      <c r="F247" s="11" t="n"/>
      <c r="G247" s="11" t="n"/>
      <c r="H247" s="12" t="n"/>
      <c r="I247" s="11" t="n"/>
      <c r="J247" s="11" t="n"/>
      <c r="K247" s="11" t="n"/>
      <c r="L247" s="8">
        <f>IF(D247="","",IF(D247&gt;K247,"BUY-DAY","SELL-DAY"))</f>
        <v/>
      </c>
      <c r="M247" s="13">
        <f>IF(D247="","",MAX(E247-F247,ABS(E247-K247),ABS(F247-K247)))</f>
        <v/>
      </c>
      <c r="N247" s="8">
        <f>IF(D247="","",IF(AND(H247&gt;0,H247&gt;(H247/3)*2.5),"VOL-OK","VOL-NG"))</f>
        <v/>
      </c>
      <c r="O247" s="8">
        <f>IF(D247="","",IF(D247&gt;I247,"ON","OFF"))</f>
        <v/>
      </c>
      <c r="P247" s="8">
        <f>IF(D247="","",IF(D247&lt;J247,"ON","OFF"))</f>
        <v/>
      </c>
      <c r="Q247" s="8">
        <f>IF(OR(D247="",M247&lt;=0),"",IF(AND(L247="BUY-DAY",N247="VOL-OK",P247="ON",Z247="OK",AA247&lt;&gt;"DOWN"),"BUY",IF(AND(L247="SELL-DAY",N247="VOL-OK",O247="ON",Z247="OK",AA247&lt;&gt;"UP"),"SELL","")))</f>
        <v/>
      </c>
      <c r="R247" s="13">
        <f>IF(Q247="","",D247)</f>
        <v/>
      </c>
      <c r="S247" s="13">
        <f>IF(Q247="","",IF(Q247="BUY",D247-M247*1.5,D247+M247*1.5))</f>
        <v/>
      </c>
      <c r="T247" s="13">
        <f>IF(Q247="","",IF(Q247="BUY",D247+M247*1.5,D247-M247*1.5))</f>
        <v/>
      </c>
      <c r="U247" s="13">
        <f>IF(Q247="","",IF(Q247="BUY",D247+M247*2,D247-M247*2))</f>
        <v/>
      </c>
      <c r="V247" s="13">
        <f>IF(Q247="","",IF(Q247="BUY",D247+M247*3,D247-M247*3))</f>
        <v/>
      </c>
      <c r="W247" s="8">
        <f>IF(OR(D247="",M247&lt;=0),"",IF(AND(D247&gt;G247,ABS(D247-G247)&lt;M247*0.5),"2ND","1ST"))</f>
        <v/>
      </c>
      <c r="X247" s="8">
        <f>IF(OR(D247="",M247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7" s="8">
        <f>IF(OR(D247="",M247&lt;=0),"",IF(M247&gt;D247*0.05,"VOL-HIGH","VOL-NORMAL"))</f>
        <v/>
      </c>
      <c r="Z247" s="8">
        <f>IF(OR(D247="",M247&lt;=0),"",IF(AND(N247="VOL-OK",Y247="VOL-NORMAL",W247="2ND"),"OK","NG"))</f>
        <v/>
      </c>
      <c r="AA247" s="8">
        <f>IF(OR(D247="",M247&lt;=0),"",IF(AND(E247&gt;I247,F247&gt;J247),"UP",IF(AND(E247&lt;I247,F247&lt;J247),"DOWN","FLAT")))</f>
        <v/>
      </c>
    </row>
    <row r="248" ht="26" customHeight="1" s="1">
      <c r="A248" s="14">
        <f>IF(B248="","",ROW()-2)</f>
        <v/>
      </c>
      <c r="B248" s="15">
        <f>IF('StockList_MS2'!A247="","",HYPERLINK("https://kabutan.jp/stock/?code="&amp;'StockList_MS2'!A247,'StockList_MS2'!A247))</f>
        <v/>
      </c>
      <c r="C248" s="16">
        <f>IF('StockList_MS2'!A247="","",'StockList_MS2'!B247)</f>
        <v/>
      </c>
      <c r="D248" s="17" t="n"/>
      <c r="E248" s="17" t="n"/>
      <c r="F248" s="17" t="n"/>
      <c r="G248" s="17" t="n"/>
      <c r="H248" s="18" t="n"/>
      <c r="I248" s="17" t="n"/>
      <c r="J248" s="17" t="n"/>
      <c r="K248" s="17" t="n"/>
      <c r="L248" s="14">
        <f>IF(D248="","",IF(D248&gt;K248,"BUY-DAY","SELL-DAY"))</f>
        <v/>
      </c>
      <c r="M248" s="19">
        <f>IF(D248="","",MAX(E248-F248,ABS(E248-K248),ABS(F248-K248)))</f>
        <v/>
      </c>
      <c r="N248" s="14">
        <f>IF(D248="","",IF(AND(H248&gt;0,H248&gt;(H248/3)*2.5),"VOL-OK","VOL-NG"))</f>
        <v/>
      </c>
      <c r="O248" s="14">
        <f>IF(D248="","",IF(D248&gt;I248,"ON","OFF"))</f>
        <v/>
      </c>
      <c r="P248" s="14">
        <f>IF(D248="","",IF(D248&lt;J248,"ON","OFF"))</f>
        <v/>
      </c>
      <c r="Q248" s="14">
        <f>IF(OR(D248="",M248&lt;=0),"",IF(AND(L248="BUY-DAY",N248="VOL-OK",P248="ON",Z248="OK",AA248&lt;&gt;"DOWN"),"BUY",IF(AND(L248="SELL-DAY",N248="VOL-OK",O248="ON",Z248="OK",AA248&lt;&gt;"UP"),"SELL","")))</f>
        <v/>
      </c>
      <c r="R248" s="19">
        <f>IF(Q248="","",D248)</f>
        <v/>
      </c>
      <c r="S248" s="19">
        <f>IF(Q248="","",IF(Q248="BUY",D248-M248*1.5,D248+M248*1.5))</f>
        <v/>
      </c>
      <c r="T248" s="19">
        <f>IF(Q248="","",IF(Q248="BUY",D248+M248*1.5,D248-M248*1.5))</f>
        <v/>
      </c>
      <c r="U248" s="19">
        <f>IF(Q248="","",IF(Q248="BUY",D248+M248*2,D248-M248*2))</f>
        <v/>
      </c>
      <c r="V248" s="19">
        <f>IF(Q248="","",IF(Q248="BUY",D248+M248*3,D248-M248*3))</f>
        <v/>
      </c>
      <c r="W248" s="14">
        <f>IF(OR(D248="",M248&lt;=0),"",IF(AND(D248&gt;G248,ABS(D248-G248)&lt;M248*0.5),"2ND","1ST"))</f>
        <v/>
      </c>
      <c r="X248" s="14">
        <f>IF(OR(D248="",M248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8" s="14">
        <f>IF(OR(D248="",M248&lt;=0),"",IF(M248&gt;D248*0.05,"VOL-HIGH","VOL-NORMAL"))</f>
        <v/>
      </c>
      <c r="Z248" s="14">
        <f>IF(OR(D248="",M248&lt;=0),"",IF(AND(N248="VOL-OK",Y248="VOL-NORMAL",W248="2ND"),"OK","NG"))</f>
        <v/>
      </c>
      <c r="AA248" s="14">
        <f>IF(OR(D248="",M248&lt;=0),"",IF(AND(E248&gt;I248,F248&gt;J248),"UP",IF(AND(E248&lt;I248,F248&lt;J248),"DOWN","FLAT")))</f>
        <v/>
      </c>
    </row>
    <row r="249" ht="26" customHeight="1" s="1">
      <c r="A249" s="8">
        <f>IF(B249="","",ROW()-2)</f>
        <v/>
      </c>
      <c r="B249" s="9">
        <f>IF('StockList_MS2'!A248="","",HYPERLINK("https://kabutan.jp/stock/?code="&amp;'StockList_MS2'!A248,'StockList_MS2'!A248))</f>
        <v/>
      </c>
      <c r="C249" s="10">
        <f>IF('StockList_MS2'!A248="","",'StockList_MS2'!B248)</f>
        <v/>
      </c>
      <c r="D249" s="11" t="n"/>
      <c r="E249" s="11" t="n"/>
      <c r="F249" s="11" t="n"/>
      <c r="G249" s="11" t="n"/>
      <c r="H249" s="12" t="n"/>
      <c r="I249" s="11" t="n"/>
      <c r="J249" s="11" t="n"/>
      <c r="K249" s="11" t="n"/>
      <c r="L249" s="8">
        <f>IF(D249="","",IF(D249&gt;K249,"BUY-DAY","SELL-DAY"))</f>
        <v/>
      </c>
      <c r="M249" s="13">
        <f>IF(D249="","",MAX(E249-F249,ABS(E249-K249),ABS(F249-K249)))</f>
        <v/>
      </c>
      <c r="N249" s="8">
        <f>IF(D249="","",IF(AND(H249&gt;0,H249&gt;(H249/3)*2.5),"VOL-OK","VOL-NG"))</f>
        <v/>
      </c>
      <c r="O249" s="8">
        <f>IF(D249="","",IF(D249&gt;I249,"ON","OFF"))</f>
        <v/>
      </c>
      <c r="P249" s="8">
        <f>IF(D249="","",IF(D249&lt;J249,"ON","OFF"))</f>
        <v/>
      </c>
      <c r="Q249" s="8">
        <f>IF(OR(D249="",M249&lt;=0),"",IF(AND(L249="BUY-DAY",N249="VOL-OK",P249="ON",Z249="OK",AA249&lt;&gt;"DOWN"),"BUY",IF(AND(L249="SELL-DAY",N249="VOL-OK",O249="ON",Z249="OK",AA249&lt;&gt;"UP"),"SELL","")))</f>
        <v/>
      </c>
      <c r="R249" s="13">
        <f>IF(Q249="","",D249)</f>
        <v/>
      </c>
      <c r="S249" s="13">
        <f>IF(Q249="","",IF(Q249="BUY",D249-M249*1.5,D249+M249*1.5))</f>
        <v/>
      </c>
      <c r="T249" s="13">
        <f>IF(Q249="","",IF(Q249="BUY",D249+M249*1.5,D249-M249*1.5))</f>
        <v/>
      </c>
      <c r="U249" s="13">
        <f>IF(Q249="","",IF(Q249="BUY",D249+M249*2,D249-M249*2))</f>
        <v/>
      </c>
      <c r="V249" s="13">
        <f>IF(Q249="","",IF(Q249="BUY",D249+M249*3,D249-M249*3))</f>
        <v/>
      </c>
      <c r="W249" s="8">
        <f>IF(OR(D249="",M249&lt;=0),"",IF(AND(D249&gt;G249,ABS(D249-G249)&lt;M249*0.5),"2ND","1ST"))</f>
        <v/>
      </c>
      <c r="X249" s="8">
        <f>IF(OR(D249="",M249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49" s="8">
        <f>IF(OR(D249="",M249&lt;=0),"",IF(M249&gt;D249*0.05,"VOL-HIGH","VOL-NORMAL"))</f>
        <v/>
      </c>
      <c r="Z249" s="8">
        <f>IF(OR(D249="",M249&lt;=0),"",IF(AND(N249="VOL-OK",Y249="VOL-NORMAL",W249="2ND"),"OK","NG"))</f>
        <v/>
      </c>
      <c r="AA249" s="8">
        <f>IF(OR(D249="",M249&lt;=0),"",IF(AND(E249&gt;I249,F249&gt;J249),"UP",IF(AND(E249&lt;I249,F249&lt;J249),"DOWN","FLAT")))</f>
        <v/>
      </c>
    </row>
    <row r="250" ht="26" customHeight="1" s="1">
      <c r="A250" s="14">
        <f>IF(B250="","",ROW()-2)</f>
        <v/>
      </c>
      <c r="B250" s="15">
        <f>IF('StockList_MS2'!A249="","",HYPERLINK("https://kabutan.jp/stock/?code="&amp;'StockList_MS2'!A249,'StockList_MS2'!A249))</f>
        <v/>
      </c>
      <c r="C250" s="16">
        <f>IF('StockList_MS2'!A249="","",'StockList_MS2'!B249)</f>
        <v/>
      </c>
      <c r="D250" s="17" t="n"/>
      <c r="E250" s="17" t="n"/>
      <c r="F250" s="17" t="n"/>
      <c r="G250" s="17" t="n"/>
      <c r="H250" s="18" t="n"/>
      <c r="I250" s="17" t="n"/>
      <c r="J250" s="17" t="n"/>
      <c r="K250" s="17" t="n"/>
      <c r="L250" s="14">
        <f>IF(D250="","",IF(D250&gt;K250,"BUY-DAY","SELL-DAY"))</f>
        <v/>
      </c>
      <c r="M250" s="19">
        <f>IF(D250="","",MAX(E250-F250,ABS(E250-K250),ABS(F250-K250)))</f>
        <v/>
      </c>
      <c r="N250" s="14">
        <f>IF(D250="","",IF(AND(H250&gt;0,H250&gt;(H250/3)*2.5),"VOL-OK","VOL-NG"))</f>
        <v/>
      </c>
      <c r="O250" s="14">
        <f>IF(D250="","",IF(D250&gt;I250,"ON","OFF"))</f>
        <v/>
      </c>
      <c r="P250" s="14">
        <f>IF(D250="","",IF(D250&lt;J250,"ON","OFF"))</f>
        <v/>
      </c>
      <c r="Q250" s="14">
        <f>IF(OR(D250="",M250&lt;=0),"",IF(AND(L250="BUY-DAY",N250="VOL-OK",P250="ON",Z250="OK",AA250&lt;&gt;"DOWN"),"BUY",IF(AND(L250="SELL-DAY",N250="VOL-OK",O250="ON",Z250="OK",AA250&lt;&gt;"UP"),"SELL","")))</f>
        <v/>
      </c>
      <c r="R250" s="19">
        <f>IF(Q250="","",D250)</f>
        <v/>
      </c>
      <c r="S250" s="19">
        <f>IF(Q250="","",IF(Q250="BUY",D250-M250*1.5,D250+M250*1.5))</f>
        <v/>
      </c>
      <c r="T250" s="19">
        <f>IF(Q250="","",IF(Q250="BUY",D250+M250*1.5,D250-M250*1.5))</f>
        <v/>
      </c>
      <c r="U250" s="19">
        <f>IF(Q250="","",IF(Q250="BUY",D250+M250*2,D250-M250*2))</f>
        <v/>
      </c>
      <c r="V250" s="19">
        <f>IF(Q250="","",IF(Q250="BUY",D250+M250*3,D250-M250*3))</f>
        <v/>
      </c>
      <c r="W250" s="14">
        <f>IF(OR(D250="",M250&lt;=0),"",IF(AND(D250&gt;G250,ABS(D250-G250)&lt;M250*0.5),"2ND","1ST"))</f>
        <v/>
      </c>
      <c r="X250" s="14">
        <f>IF(OR(D250="",M250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0" s="14">
        <f>IF(OR(D250="",M250&lt;=0),"",IF(M250&gt;D250*0.05,"VOL-HIGH","VOL-NORMAL"))</f>
        <v/>
      </c>
      <c r="Z250" s="14">
        <f>IF(OR(D250="",M250&lt;=0),"",IF(AND(N250="VOL-OK",Y250="VOL-NORMAL",W250="2ND"),"OK","NG"))</f>
        <v/>
      </c>
      <c r="AA250" s="14">
        <f>IF(OR(D250="",M250&lt;=0),"",IF(AND(E250&gt;I250,F250&gt;J250),"UP",IF(AND(E250&lt;I250,F250&lt;J250),"DOWN","FLAT")))</f>
        <v/>
      </c>
    </row>
    <row r="251" ht="26" customHeight="1" s="1">
      <c r="A251" s="8">
        <f>IF(B251="","",ROW()-2)</f>
        <v/>
      </c>
      <c r="B251" s="9">
        <f>IF('StockList_MS2'!A250="","",HYPERLINK("https://kabutan.jp/stock/?code="&amp;'StockList_MS2'!A250,'StockList_MS2'!A250))</f>
        <v/>
      </c>
      <c r="C251" s="10">
        <f>IF('StockList_MS2'!A250="","",'StockList_MS2'!B250)</f>
        <v/>
      </c>
      <c r="D251" s="11" t="n"/>
      <c r="E251" s="11" t="n"/>
      <c r="F251" s="11" t="n"/>
      <c r="G251" s="11" t="n"/>
      <c r="H251" s="12" t="n"/>
      <c r="I251" s="11" t="n"/>
      <c r="J251" s="11" t="n"/>
      <c r="K251" s="11" t="n"/>
      <c r="L251" s="8">
        <f>IF(D251="","",IF(D251&gt;K251,"BUY-DAY","SELL-DAY"))</f>
        <v/>
      </c>
      <c r="M251" s="13">
        <f>IF(D251="","",MAX(E251-F251,ABS(E251-K251),ABS(F251-K251)))</f>
        <v/>
      </c>
      <c r="N251" s="8">
        <f>IF(D251="","",IF(AND(H251&gt;0,H251&gt;(H251/3)*2.5),"VOL-OK","VOL-NG"))</f>
        <v/>
      </c>
      <c r="O251" s="8">
        <f>IF(D251="","",IF(D251&gt;I251,"ON","OFF"))</f>
        <v/>
      </c>
      <c r="P251" s="8">
        <f>IF(D251="","",IF(D251&lt;J251,"ON","OFF"))</f>
        <v/>
      </c>
      <c r="Q251" s="8">
        <f>IF(OR(D251="",M251&lt;=0),"",IF(AND(L251="BUY-DAY",N251="VOL-OK",P251="ON",Z251="OK",AA251&lt;&gt;"DOWN"),"BUY",IF(AND(L251="SELL-DAY",N251="VOL-OK",O251="ON",Z251="OK",AA251&lt;&gt;"UP"),"SELL","")))</f>
        <v/>
      </c>
      <c r="R251" s="13">
        <f>IF(Q251="","",D251)</f>
        <v/>
      </c>
      <c r="S251" s="13">
        <f>IF(Q251="","",IF(Q251="BUY",D251-M251*1.5,D251+M251*1.5))</f>
        <v/>
      </c>
      <c r="T251" s="13">
        <f>IF(Q251="","",IF(Q251="BUY",D251+M251*1.5,D251-M251*1.5))</f>
        <v/>
      </c>
      <c r="U251" s="13">
        <f>IF(Q251="","",IF(Q251="BUY",D251+M251*2,D251-M251*2))</f>
        <v/>
      </c>
      <c r="V251" s="13">
        <f>IF(Q251="","",IF(Q251="BUY",D251+M251*3,D251-M251*3))</f>
        <v/>
      </c>
      <c r="W251" s="8">
        <f>IF(OR(D251="",M251&lt;=0),"",IF(AND(D251&gt;G251,ABS(D251-G251)&lt;M251*0.5),"2ND","1ST"))</f>
        <v/>
      </c>
      <c r="X251" s="8">
        <f>IF(OR(D251="",M251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1" s="8">
        <f>IF(OR(D251="",M251&lt;=0),"",IF(M251&gt;D251*0.05,"VOL-HIGH","VOL-NORMAL"))</f>
        <v/>
      </c>
      <c r="Z251" s="8">
        <f>IF(OR(D251="",M251&lt;=0),"",IF(AND(N251="VOL-OK",Y251="VOL-NORMAL",W251="2ND"),"OK","NG"))</f>
        <v/>
      </c>
      <c r="AA251" s="8">
        <f>IF(OR(D251="",M251&lt;=0),"",IF(AND(E251&gt;I251,F251&gt;J251),"UP",IF(AND(E251&lt;I251,F251&lt;J251),"DOWN","FLAT")))</f>
        <v/>
      </c>
    </row>
    <row r="252" ht="26" customHeight="1" s="1">
      <c r="A252" s="14">
        <f>IF(B252="","",ROW()-2)</f>
        <v/>
      </c>
      <c r="B252" s="15">
        <f>IF('StockList_MS2'!A251="","",HYPERLINK("https://kabutan.jp/stock/?code="&amp;'StockList_MS2'!A251,'StockList_MS2'!A251))</f>
        <v/>
      </c>
      <c r="C252" s="16">
        <f>IF('StockList_MS2'!A251="","",'StockList_MS2'!B251)</f>
        <v/>
      </c>
      <c r="D252" s="17" t="n"/>
      <c r="E252" s="17" t="n"/>
      <c r="F252" s="17" t="n"/>
      <c r="G252" s="17" t="n"/>
      <c r="H252" s="18" t="n"/>
      <c r="I252" s="17" t="n"/>
      <c r="J252" s="17" t="n"/>
      <c r="K252" s="17" t="n"/>
      <c r="L252" s="14">
        <f>IF(D252="","",IF(D252&gt;K252,"BUY-DAY","SELL-DAY"))</f>
        <v/>
      </c>
      <c r="M252" s="19">
        <f>IF(D252="","",MAX(E252-F252,ABS(E252-K252),ABS(F252-K252)))</f>
        <v/>
      </c>
      <c r="N252" s="14">
        <f>IF(D252="","",IF(AND(H252&gt;0,H252&gt;(H252/3)*2.5),"VOL-OK","VOL-NG"))</f>
        <v/>
      </c>
      <c r="O252" s="14">
        <f>IF(D252="","",IF(D252&gt;I252,"ON","OFF"))</f>
        <v/>
      </c>
      <c r="P252" s="14">
        <f>IF(D252="","",IF(D252&lt;J252,"ON","OFF"))</f>
        <v/>
      </c>
      <c r="Q252" s="14">
        <f>IF(OR(D252="",M252&lt;=0),"",IF(AND(L252="BUY-DAY",N252="VOL-OK",P252="ON",Z252="OK",AA252&lt;&gt;"DOWN"),"BUY",IF(AND(L252="SELL-DAY",N252="VOL-OK",O252="ON",Z252="OK",AA252&lt;&gt;"UP"),"SELL","")))</f>
        <v/>
      </c>
      <c r="R252" s="19">
        <f>IF(Q252="","",D252)</f>
        <v/>
      </c>
      <c r="S252" s="19">
        <f>IF(Q252="","",IF(Q252="BUY",D252-M252*1.5,D252+M252*1.5))</f>
        <v/>
      </c>
      <c r="T252" s="19">
        <f>IF(Q252="","",IF(Q252="BUY",D252+M252*1.5,D252-M252*1.5))</f>
        <v/>
      </c>
      <c r="U252" s="19">
        <f>IF(Q252="","",IF(Q252="BUY",D252+M252*2,D252-M252*2))</f>
        <v/>
      </c>
      <c r="V252" s="19">
        <f>IF(Q252="","",IF(Q252="BUY",D252+M252*3,D252-M252*3))</f>
        <v/>
      </c>
      <c r="W252" s="14">
        <f>IF(OR(D252="",M252&lt;=0),"",IF(AND(D252&gt;G252,ABS(D252-G252)&lt;M252*0.5),"2ND","1ST"))</f>
        <v/>
      </c>
      <c r="X252" s="14">
        <f>IF(OR(D252="",M252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2" s="14">
        <f>IF(OR(D252="",M252&lt;=0),"",IF(M252&gt;D252*0.05,"VOL-HIGH","VOL-NORMAL"))</f>
        <v/>
      </c>
      <c r="Z252" s="14">
        <f>IF(OR(D252="",M252&lt;=0),"",IF(AND(N252="VOL-OK",Y252="VOL-NORMAL",W252="2ND"),"OK","NG"))</f>
        <v/>
      </c>
      <c r="AA252" s="14">
        <f>IF(OR(D252="",M252&lt;=0),"",IF(AND(E252&gt;I252,F252&gt;J252),"UP",IF(AND(E252&lt;I252,F252&lt;J252),"DOWN","FLAT")))</f>
        <v/>
      </c>
    </row>
    <row r="253" ht="26" customHeight="1" s="1">
      <c r="A253" s="8">
        <f>IF(B253="","",ROW()-2)</f>
        <v/>
      </c>
      <c r="B253" s="9">
        <f>IF('StockList_MS2'!A252="","",HYPERLINK("https://kabutan.jp/stock/?code="&amp;'StockList_MS2'!A252,'StockList_MS2'!A252))</f>
        <v/>
      </c>
      <c r="C253" s="10">
        <f>IF('StockList_MS2'!A252="","",'StockList_MS2'!B252)</f>
        <v/>
      </c>
      <c r="D253" s="11" t="n"/>
      <c r="E253" s="11" t="n"/>
      <c r="F253" s="11" t="n"/>
      <c r="G253" s="11" t="n"/>
      <c r="H253" s="12" t="n"/>
      <c r="I253" s="11" t="n"/>
      <c r="J253" s="11" t="n"/>
      <c r="K253" s="11" t="n"/>
      <c r="L253" s="8">
        <f>IF(D253="","",IF(D253&gt;K253,"BUY-DAY","SELL-DAY"))</f>
        <v/>
      </c>
      <c r="M253" s="13">
        <f>IF(D253="","",MAX(E253-F253,ABS(E253-K253),ABS(F253-K253)))</f>
        <v/>
      </c>
      <c r="N253" s="8">
        <f>IF(D253="","",IF(AND(H253&gt;0,H253&gt;(H253/3)*2.5),"VOL-OK","VOL-NG"))</f>
        <v/>
      </c>
      <c r="O253" s="8">
        <f>IF(D253="","",IF(D253&gt;I253,"ON","OFF"))</f>
        <v/>
      </c>
      <c r="P253" s="8">
        <f>IF(D253="","",IF(D253&lt;J253,"ON","OFF"))</f>
        <v/>
      </c>
      <c r="Q253" s="8">
        <f>IF(OR(D253="",M253&lt;=0),"",IF(AND(L253="BUY-DAY",N253="VOL-OK",P253="ON",Z253="OK",AA253&lt;&gt;"DOWN"),"BUY",IF(AND(L253="SELL-DAY",N253="VOL-OK",O253="ON",Z253="OK",AA253&lt;&gt;"UP"),"SELL","")))</f>
        <v/>
      </c>
      <c r="R253" s="13">
        <f>IF(Q253="","",D253)</f>
        <v/>
      </c>
      <c r="S253" s="13">
        <f>IF(Q253="","",IF(Q253="BUY",D253-M253*1.5,D253+M253*1.5))</f>
        <v/>
      </c>
      <c r="T253" s="13">
        <f>IF(Q253="","",IF(Q253="BUY",D253+M253*1.5,D253-M253*1.5))</f>
        <v/>
      </c>
      <c r="U253" s="13">
        <f>IF(Q253="","",IF(Q253="BUY",D253+M253*2,D253-M253*2))</f>
        <v/>
      </c>
      <c r="V253" s="13">
        <f>IF(Q253="","",IF(Q253="BUY",D253+M253*3,D253-M253*3))</f>
        <v/>
      </c>
      <c r="W253" s="8">
        <f>IF(OR(D253="",M253&lt;=0),"",IF(AND(D253&gt;G253,ABS(D253-G253)&lt;M253*0.5),"2ND","1ST"))</f>
        <v/>
      </c>
      <c r="X253" s="8">
        <f>IF(OR(D253="",M253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3" s="8">
        <f>IF(OR(D253="",M253&lt;=0),"",IF(M253&gt;D253*0.05,"VOL-HIGH","VOL-NORMAL"))</f>
        <v/>
      </c>
      <c r="Z253" s="8">
        <f>IF(OR(D253="",M253&lt;=0),"",IF(AND(N253="VOL-OK",Y253="VOL-NORMAL",W253="2ND"),"OK","NG"))</f>
        <v/>
      </c>
      <c r="AA253" s="8">
        <f>IF(OR(D253="",M253&lt;=0),"",IF(AND(E253&gt;I253,F253&gt;J253),"UP",IF(AND(E253&lt;I253,F253&lt;J253),"DOWN","FLAT")))</f>
        <v/>
      </c>
    </row>
    <row r="254" ht="26" customHeight="1" s="1">
      <c r="A254" s="14">
        <f>IF(B254="","",ROW()-2)</f>
        <v/>
      </c>
      <c r="B254" s="15">
        <f>IF('StockList_MS2'!A253="","",HYPERLINK("https://kabutan.jp/stock/?code="&amp;'StockList_MS2'!A253,'StockList_MS2'!A253))</f>
        <v/>
      </c>
      <c r="C254" s="16">
        <f>IF('StockList_MS2'!A253="","",'StockList_MS2'!B253)</f>
        <v/>
      </c>
      <c r="D254" s="17" t="n"/>
      <c r="E254" s="17" t="n"/>
      <c r="F254" s="17" t="n"/>
      <c r="G254" s="17" t="n"/>
      <c r="H254" s="18" t="n"/>
      <c r="I254" s="17" t="n"/>
      <c r="J254" s="17" t="n"/>
      <c r="K254" s="17" t="n"/>
      <c r="L254" s="14">
        <f>IF(D254="","",IF(D254&gt;K254,"BUY-DAY","SELL-DAY"))</f>
        <v/>
      </c>
      <c r="M254" s="19">
        <f>IF(D254="","",MAX(E254-F254,ABS(E254-K254),ABS(F254-K254)))</f>
        <v/>
      </c>
      <c r="N254" s="14">
        <f>IF(D254="","",IF(AND(H254&gt;0,H254&gt;(H254/3)*2.5),"VOL-OK","VOL-NG"))</f>
        <v/>
      </c>
      <c r="O254" s="14">
        <f>IF(D254="","",IF(D254&gt;I254,"ON","OFF"))</f>
        <v/>
      </c>
      <c r="P254" s="14">
        <f>IF(D254="","",IF(D254&lt;J254,"ON","OFF"))</f>
        <v/>
      </c>
      <c r="Q254" s="14">
        <f>IF(OR(D254="",M254&lt;=0),"",IF(AND(L254="BUY-DAY",N254="VOL-OK",P254="ON",Z254="OK",AA254&lt;&gt;"DOWN"),"BUY",IF(AND(L254="SELL-DAY",N254="VOL-OK",O254="ON",Z254="OK",AA254&lt;&gt;"UP"),"SELL","")))</f>
        <v/>
      </c>
      <c r="R254" s="19">
        <f>IF(Q254="","",D254)</f>
        <v/>
      </c>
      <c r="S254" s="19">
        <f>IF(Q254="","",IF(Q254="BUY",D254-M254*1.5,D254+M254*1.5))</f>
        <v/>
      </c>
      <c r="T254" s="19">
        <f>IF(Q254="","",IF(Q254="BUY",D254+M254*1.5,D254-M254*1.5))</f>
        <v/>
      </c>
      <c r="U254" s="19">
        <f>IF(Q254="","",IF(Q254="BUY",D254+M254*2,D254-M254*2))</f>
        <v/>
      </c>
      <c r="V254" s="19">
        <f>IF(Q254="","",IF(Q254="BUY",D254+M254*3,D254-M254*3))</f>
        <v/>
      </c>
      <c r="W254" s="14">
        <f>IF(OR(D254="",M254&lt;=0),"",IF(AND(D254&gt;G254,ABS(D254-G254)&lt;M254*0.5),"2ND","1ST"))</f>
        <v/>
      </c>
      <c r="X254" s="14">
        <f>IF(OR(D254="",M254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4" s="14">
        <f>IF(OR(D254="",M254&lt;=0),"",IF(M254&gt;D254*0.05,"VOL-HIGH","VOL-NORMAL"))</f>
        <v/>
      </c>
      <c r="Z254" s="14">
        <f>IF(OR(D254="",M254&lt;=0),"",IF(AND(N254="VOL-OK",Y254="VOL-NORMAL",W254="2ND"),"OK","NG"))</f>
        <v/>
      </c>
      <c r="AA254" s="14">
        <f>IF(OR(D254="",M254&lt;=0),"",IF(AND(E254&gt;I254,F254&gt;J254),"UP",IF(AND(E254&lt;I254,F254&lt;J254),"DOWN","FLAT")))</f>
        <v/>
      </c>
    </row>
    <row r="255" ht="26" customHeight="1" s="1">
      <c r="A255" s="8">
        <f>IF(B255="","",ROW()-2)</f>
        <v/>
      </c>
      <c r="B255" s="9">
        <f>IF('StockList_MS2'!A254="","",HYPERLINK("https://kabutan.jp/stock/?code="&amp;'StockList_MS2'!A254,'StockList_MS2'!A254))</f>
        <v/>
      </c>
      <c r="C255" s="10">
        <f>IF('StockList_MS2'!A254="","",'StockList_MS2'!B254)</f>
        <v/>
      </c>
      <c r="D255" s="11" t="n"/>
      <c r="E255" s="11" t="n"/>
      <c r="F255" s="11" t="n"/>
      <c r="G255" s="11" t="n"/>
      <c r="H255" s="12" t="n"/>
      <c r="I255" s="11" t="n"/>
      <c r="J255" s="11" t="n"/>
      <c r="K255" s="11" t="n"/>
      <c r="L255" s="8">
        <f>IF(D255="","",IF(D255&gt;K255,"BUY-DAY","SELL-DAY"))</f>
        <v/>
      </c>
      <c r="M255" s="13">
        <f>IF(D255="","",MAX(E255-F255,ABS(E255-K255),ABS(F255-K255)))</f>
        <v/>
      </c>
      <c r="N255" s="8">
        <f>IF(D255="","",IF(AND(H255&gt;0,H255&gt;(H255/3)*2.5),"VOL-OK","VOL-NG"))</f>
        <v/>
      </c>
      <c r="O255" s="8">
        <f>IF(D255="","",IF(D255&gt;I255,"ON","OFF"))</f>
        <v/>
      </c>
      <c r="P255" s="8">
        <f>IF(D255="","",IF(D255&lt;J255,"ON","OFF"))</f>
        <v/>
      </c>
      <c r="Q255" s="8">
        <f>IF(OR(D255="",M255&lt;=0),"",IF(AND(L255="BUY-DAY",N255="VOL-OK",P255="ON",Z255="OK",AA255&lt;&gt;"DOWN"),"BUY",IF(AND(L255="SELL-DAY",N255="VOL-OK",O255="ON",Z255="OK",AA255&lt;&gt;"UP"),"SELL","")))</f>
        <v/>
      </c>
      <c r="R255" s="13">
        <f>IF(Q255="","",D255)</f>
        <v/>
      </c>
      <c r="S255" s="13">
        <f>IF(Q255="","",IF(Q255="BUY",D255-M255*1.5,D255+M255*1.5))</f>
        <v/>
      </c>
      <c r="T255" s="13">
        <f>IF(Q255="","",IF(Q255="BUY",D255+M255*1.5,D255-M255*1.5))</f>
        <v/>
      </c>
      <c r="U255" s="13">
        <f>IF(Q255="","",IF(Q255="BUY",D255+M255*2,D255-M255*2))</f>
        <v/>
      </c>
      <c r="V255" s="13">
        <f>IF(Q255="","",IF(Q255="BUY",D255+M255*3,D255-M255*3))</f>
        <v/>
      </c>
      <c r="W255" s="8">
        <f>IF(OR(D255="",M255&lt;=0),"",IF(AND(D255&gt;G255,ABS(D255-G255)&lt;M255*0.5),"2ND","1ST"))</f>
        <v/>
      </c>
      <c r="X255" s="8">
        <f>IF(OR(D255="",M255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5" s="8">
        <f>IF(OR(D255="",M255&lt;=0),"",IF(M255&gt;D255*0.05,"VOL-HIGH","VOL-NORMAL"))</f>
        <v/>
      </c>
      <c r="Z255" s="8">
        <f>IF(OR(D255="",M255&lt;=0),"",IF(AND(N255="VOL-OK",Y255="VOL-NORMAL",W255="2ND"),"OK","NG"))</f>
        <v/>
      </c>
      <c r="AA255" s="8">
        <f>IF(OR(D255="",M255&lt;=0),"",IF(AND(E255&gt;I255,F255&gt;J255),"UP",IF(AND(E255&lt;I255,F255&lt;J255),"DOWN","FLAT")))</f>
        <v/>
      </c>
    </row>
    <row r="256" ht="26" customHeight="1" s="1">
      <c r="A256" s="14">
        <f>IF(B256="","",ROW()-2)</f>
        <v/>
      </c>
      <c r="B256" s="15">
        <f>IF('StockList_MS2'!A255="","",HYPERLINK("https://kabutan.jp/stock/?code="&amp;'StockList_MS2'!A255,'StockList_MS2'!A255))</f>
        <v/>
      </c>
      <c r="C256" s="16">
        <f>IF('StockList_MS2'!A255="","",'StockList_MS2'!B255)</f>
        <v/>
      </c>
      <c r="D256" s="17" t="n"/>
      <c r="E256" s="17" t="n"/>
      <c r="F256" s="17" t="n"/>
      <c r="G256" s="17" t="n"/>
      <c r="H256" s="18" t="n"/>
      <c r="I256" s="17" t="n"/>
      <c r="J256" s="17" t="n"/>
      <c r="K256" s="17" t="n"/>
      <c r="L256" s="14">
        <f>IF(D256="","",IF(D256&gt;K256,"BUY-DAY","SELL-DAY"))</f>
        <v/>
      </c>
      <c r="M256" s="19">
        <f>IF(D256="","",MAX(E256-F256,ABS(E256-K256),ABS(F256-K256)))</f>
        <v/>
      </c>
      <c r="N256" s="14">
        <f>IF(D256="","",IF(AND(H256&gt;0,H256&gt;(H256/3)*2.5),"VOL-OK","VOL-NG"))</f>
        <v/>
      </c>
      <c r="O256" s="14">
        <f>IF(D256="","",IF(D256&gt;I256,"ON","OFF"))</f>
        <v/>
      </c>
      <c r="P256" s="14">
        <f>IF(D256="","",IF(D256&lt;J256,"ON","OFF"))</f>
        <v/>
      </c>
      <c r="Q256" s="14">
        <f>IF(OR(D256="",M256&lt;=0),"",IF(AND(L256="BUY-DAY",N256="VOL-OK",P256="ON",Z256="OK",AA256&lt;&gt;"DOWN"),"BUY",IF(AND(L256="SELL-DAY",N256="VOL-OK",O256="ON",Z256="OK",AA256&lt;&gt;"UP"),"SELL","")))</f>
        <v/>
      </c>
      <c r="R256" s="19">
        <f>IF(Q256="","",D256)</f>
        <v/>
      </c>
      <c r="S256" s="19">
        <f>IF(Q256="","",IF(Q256="BUY",D256-M256*1.5,D256+M256*1.5))</f>
        <v/>
      </c>
      <c r="T256" s="19">
        <f>IF(Q256="","",IF(Q256="BUY",D256+M256*1.5,D256-M256*1.5))</f>
        <v/>
      </c>
      <c r="U256" s="19">
        <f>IF(Q256="","",IF(Q256="BUY",D256+M256*2,D256-M256*2))</f>
        <v/>
      </c>
      <c r="V256" s="19">
        <f>IF(Q256="","",IF(Q256="BUY",D256+M256*3,D256-M256*3))</f>
        <v/>
      </c>
      <c r="W256" s="14">
        <f>IF(OR(D256="",M256&lt;=0),"",IF(AND(D256&gt;G256,ABS(D256-G256)&lt;M256*0.5),"2ND","1ST"))</f>
        <v/>
      </c>
      <c r="X256" s="14">
        <f>IF(OR(D256="",M256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6" s="14">
        <f>IF(OR(D256="",M256&lt;=0),"",IF(M256&gt;D256*0.05,"VOL-HIGH","VOL-NORMAL"))</f>
        <v/>
      </c>
      <c r="Z256" s="14">
        <f>IF(OR(D256="",M256&lt;=0),"",IF(AND(N256="VOL-OK",Y256="VOL-NORMAL",W256="2ND"),"OK","NG"))</f>
        <v/>
      </c>
      <c r="AA256" s="14">
        <f>IF(OR(D256="",M256&lt;=0),"",IF(AND(E256&gt;I256,F256&gt;J256),"UP",IF(AND(E256&lt;I256,F256&lt;J256),"DOWN","FLAT")))</f>
        <v/>
      </c>
    </row>
    <row r="257" ht="26" customHeight="1" s="1">
      <c r="A257" s="8">
        <f>IF(B257="","",ROW()-2)</f>
        <v/>
      </c>
      <c r="B257" s="9">
        <f>IF('StockList_MS2'!A256="","",HYPERLINK("https://kabutan.jp/stock/?code="&amp;'StockList_MS2'!A256,'StockList_MS2'!A256))</f>
        <v/>
      </c>
      <c r="C257" s="10">
        <f>IF('StockList_MS2'!A256="","",'StockList_MS2'!B256)</f>
        <v/>
      </c>
      <c r="D257" s="11" t="n"/>
      <c r="E257" s="11" t="n"/>
      <c r="F257" s="11" t="n"/>
      <c r="G257" s="11" t="n"/>
      <c r="H257" s="12" t="n"/>
      <c r="I257" s="11" t="n"/>
      <c r="J257" s="11" t="n"/>
      <c r="K257" s="11" t="n"/>
      <c r="L257" s="8">
        <f>IF(D257="","",IF(D257&gt;K257,"BUY-DAY","SELL-DAY"))</f>
        <v/>
      </c>
      <c r="M257" s="13">
        <f>IF(D257="","",MAX(E257-F257,ABS(E257-K257),ABS(F257-K257)))</f>
        <v/>
      </c>
      <c r="N257" s="8">
        <f>IF(D257="","",IF(AND(H257&gt;0,H257&gt;(H257/3)*2.5),"VOL-OK","VOL-NG"))</f>
        <v/>
      </c>
      <c r="O257" s="8">
        <f>IF(D257="","",IF(D257&gt;I257,"ON","OFF"))</f>
        <v/>
      </c>
      <c r="P257" s="8">
        <f>IF(D257="","",IF(D257&lt;J257,"ON","OFF"))</f>
        <v/>
      </c>
      <c r="Q257" s="8">
        <f>IF(OR(D257="",M257&lt;=0),"",IF(AND(L257="BUY-DAY",N257="VOL-OK",P257="ON",Z257="OK",AA257&lt;&gt;"DOWN"),"BUY",IF(AND(L257="SELL-DAY",N257="VOL-OK",O257="ON",Z257="OK",AA257&lt;&gt;"UP"),"SELL","")))</f>
        <v/>
      </c>
      <c r="R257" s="13">
        <f>IF(Q257="","",D257)</f>
        <v/>
      </c>
      <c r="S257" s="13">
        <f>IF(Q257="","",IF(Q257="BUY",D257-M257*1.5,D257+M257*1.5))</f>
        <v/>
      </c>
      <c r="T257" s="13">
        <f>IF(Q257="","",IF(Q257="BUY",D257+M257*1.5,D257-M257*1.5))</f>
        <v/>
      </c>
      <c r="U257" s="13">
        <f>IF(Q257="","",IF(Q257="BUY",D257+M257*2,D257-M257*2))</f>
        <v/>
      </c>
      <c r="V257" s="13">
        <f>IF(Q257="","",IF(Q257="BUY",D257+M257*3,D257-M257*3))</f>
        <v/>
      </c>
      <c r="W257" s="8">
        <f>IF(OR(D257="",M257&lt;=0),"",IF(AND(D257&gt;G257,ABS(D257-G257)&lt;M257*0.5),"2ND","1ST"))</f>
        <v/>
      </c>
      <c r="X257" s="8">
        <f>IF(OR(D257="",M257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7" s="8">
        <f>IF(OR(D257="",M257&lt;=0),"",IF(M257&gt;D257*0.05,"VOL-HIGH","VOL-NORMAL"))</f>
        <v/>
      </c>
      <c r="Z257" s="8">
        <f>IF(OR(D257="",M257&lt;=0),"",IF(AND(N257="VOL-OK",Y257="VOL-NORMAL",W257="2ND"),"OK","NG"))</f>
        <v/>
      </c>
      <c r="AA257" s="8">
        <f>IF(OR(D257="",M257&lt;=0),"",IF(AND(E257&gt;I257,F257&gt;J257),"UP",IF(AND(E257&lt;I257,F257&lt;J257),"DOWN","FLAT")))</f>
        <v/>
      </c>
    </row>
    <row r="258" ht="26" customHeight="1" s="1">
      <c r="A258" s="14">
        <f>IF(B258="","",ROW()-2)</f>
        <v/>
      </c>
      <c r="B258" s="15">
        <f>IF('StockList_MS2'!A257="","",HYPERLINK("https://kabutan.jp/stock/?code="&amp;'StockList_MS2'!A257,'StockList_MS2'!A257))</f>
        <v/>
      </c>
      <c r="C258" s="16">
        <f>IF('StockList_MS2'!A257="","",'StockList_MS2'!B257)</f>
        <v/>
      </c>
      <c r="D258" s="17" t="n"/>
      <c r="E258" s="17" t="n"/>
      <c r="F258" s="17" t="n"/>
      <c r="G258" s="17" t="n"/>
      <c r="H258" s="18" t="n"/>
      <c r="I258" s="17" t="n"/>
      <c r="J258" s="17" t="n"/>
      <c r="K258" s="17" t="n"/>
      <c r="L258" s="14">
        <f>IF(D258="","",IF(D258&gt;K258,"BUY-DAY","SELL-DAY"))</f>
        <v/>
      </c>
      <c r="M258" s="19">
        <f>IF(D258="","",MAX(E258-F258,ABS(E258-K258),ABS(F258-K258)))</f>
        <v/>
      </c>
      <c r="N258" s="14">
        <f>IF(D258="","",IF(AND(H258&gt;0,H258&gt;(H258/3)*2.5),"VOL-OK","VOL-NG"))</f>
        <v/>
      </c>
      <c r="O258" s="14">
        <f>IF(D258="","",IF(D258&gt;I258,"ON","OFF"))</f>
        <v/>
      </c>
      <c r="P258" s="14">
        <f>IF(D258="","",IF(D258&lt;J258,"ON","OFF"))</f>
        <v/>
      </c>
      <c r="Q258" s="14">
        <f>IF(OR(D258="",M258&lt;=0),"",IF(AND(L258="BUY-DAY",N258="VOL-OK",P258="ON",Z258="OK",AA258&lt;&gt;"DOWN"),"BUY",IF(AND(L258="SELL-DAY",N258="VOL-OK",O258="ON",Z258="OK",AA258&lt;&gt;"UP"),"SELL","")))</f>
        <v/>
      </c>
      <c r="R258" s="19">
        <f>IF(Q258="","",D258)</f>
        <v/>
      </c>
      <c r="S258" s="19">
        <f>IF(Q258="","",IF(Q258="BUY",D258-M258*1.5,D258+M258*1.5))</f>
        <v/>
      </c>
      <c r="T258" s="19">
        <f>IF(Q258="","",IF(Q258="BUY",D258+M258*1.5,D258-M258*1.5))</f>
        <v/>
      </c>
      <c r="U258" s="19">
        <f>IF(Q258="","",IF(Q258="BUY",D258+M258*2,D258-M258*2))</f>
        <v/>
      </c>
      <c r="V258" s="19">
        <f>IF(Q258="","",IF(Q258="BUY",D258+M258*3,D258-M258*3))</f>
        <v/>
      </c>
      <c r="W258" s="14">
        <f>IF(OR(D258="",M258&lt;=0),"",IF(AND(D258&gt;G258,ABS(D258-G258)&lt;M258*0.5),"2ND","1ST"))</f>
        <v/>
      </c>
      <c r="X258" s="14">
        <f>IF(OR(D258="",M258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8" s="14">
        <f>IF(OR(D258="",M258&lt;=0),"",IF(M258&gt;D258*0.05,"VOL-HIGH","VOL-NORMAL"))</f>
        <v/>
      </c>
      <c r="Z258" s="14">
        <f>IF(OR(D258="",M258&lt;=0),"",IF(AND(N258="VOL-OK",Y258="VOL-NORMAL",W258="2ND"),"OK","NG"))</f>
        <v/>
      </c>
      <c r="AA258" s="14">
        <f>IF(OR(D258="",M258&lt;=0),"",IF(AND(E258&gt;I258,F258&gt;J258),"UP",IF(AND(E258&lt;I258,F258&lt;J258),"DOWN","FLAT")))</f>
        <v/>
      </c>
    </row>
    <row r="259" ht="26" customHeight="1" s="1">
      <c r="A259" s="8">
        <f>IF(B259="","",ROW()-2)</f>
        <v/>
      </c>
      <c r="B259" s="9">
        <f>IF('StockList_MS2'!A258="","",HYPERLINK("https://kabutan.jp/stock/?code="&amp;'StockList_MS2'!A258,'StockList_MS2'!A258))</f>
        <v/>
      </c>
      <c r="C259" s="10">
        <f>IF('StockList_MS2'!A258="","",'StockList_MS2'!B258)</f>
        <v/>
      </c>
      <c r="D259" s="11" t="n"/>
      <c r="E259" s="11" t="n"/>
      <c r="F259" s="11" t="n"/>
      <c r="G259" s="11" t="n"/>
      <c r="H259" s="12" t="n"/>
      <c r="I259" s="11" t="n"/>
      <c r="J259" s="11" t="n"/>
      <c r="K259" s="11" t="n"/>
      <c r="L259" s="8">
        <f>IF(D259="","",IF(D259&gt;K259,"BUY-DAY","SELL-DAY"))</f>
        <v/>
      </c>
      <c r="M259" s="13">
        <f>IF(D259="","",MAX(E259-F259,ABS(E259-K259),ABS(F259-K259)))</f>
        <v/>
      </c>
      <c r="N259" s="8">
        <f>IF(D259="","",IF(AND(H259&gt;0,H259&gt;(H259/3)*2.5),"VOL-OK","VOL-NG"))</f>
        <v/>
      </c>
      <c r="O259" s="8">
        <f>IF(D259="","",IF(D259&gt;I259,"ON","OFF"))</f>
        <v/>
      </c>
      <c r="P259" s="8">
        <f>IF(D259="","",IF(D259&lt;J259,"ON","OFF"))</f>
        <v/>
      </c>
      <c r="Q259" s="8">
        <f>IF(OR(D259="",M259&lt;=0),"",IF(AND(L259="BUY-DAY",N259="VOL-OK",P259="ON",Z259="OK",AA259&lt;&gt;"DOWN"),"BUY",IF(AND(L259="SELL-DAY",N259="VOL-OK",O259="ON",Z259="OK",AA259&lt;&gt;"UP"),"SELL","")))</f>
        <v/>
      </c>
      <c r="R259" s="13">
        <f>IF(Q259="","",D259)</f>
        <v/>
      </c>
      <c r="S259" s="13">
        <f>IF(Q259="","",IF(Q259="BUY",D259-M259*1.5,D259+M259*1.5))</f>
        <v/>
      </c>
      <c r="T259" s="13">
        <f>IF(Q259="","",IF(Q259="BUY",D259+M259*1.5,D259-M259*1.5))</f>
        <v/>
      </c>
      <c r="U259" s="13">
        <f>IF(Q259="","",IF(Q259="BUY",D259+M259*2,D259-M259*2))</f>
        <v/>
      </c>
      <c r="V259" s="13">
        <f>IF(Q259="","",IF(Q259="BUY",D259+M259*3,D259-M259*3))</f>
        <v/>
      </c>
      <c r="W259" s="8">
        <f>IF(OR(D259="",M259&lt;=0),"",IF(AND(D259&gt;G259,ABS(D259-G259)&lt;M259*0.5),"2ND","1ST"))</f>
        <v/>
      </c>
      <c r="X259" s="8">
        <f>IF(OR(D259="",M259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59" s="8">
        <f>IF(OR(D259="",M259&lt;=0),"",IF(M259&gt;D259*0.05,"VOL-HIGH","VOL-NORMAL"))</f>
        <v/>
      </c>
      <c r="Z259" s="8">
        <f>IF(OR(D259="",M259&lt;=0),"",IF(AND(N259="VOL-OK",Y259="VOL-NORMAL",W259="2ND"),"OK","NG"))</f>
        <v/>
      </c>
      <c r="AA259" s="8">
        <f>IF(OR(D259="",M259&lt;=0),"",IF(AND(E259&gt;I259,F259&gt;J259),"UP",IF(AND(E259&lt;I259,F259&lt;J259),"DOWN","FLAT")))</f>
        <v/>
      </c>
    </row>
    <row r="260" ht="26" customHeight="1" s="1">
      <c r="A260" s="14">
        <f>IF(B260="","",ROW()-2)</f>
        <v/>
      </c>
      <c r="B260" s="15">
        <f>IF('StockList_MS2'!A259="","",HYPERLINK("https://kabutan.jp/stock/?code="&amp;'StockList_MS2'!A259,'StockList_MS2'!A259))</f>
        <v/>
      </c>
      <c r="C260" s="16">
        <f>IF('StockList_MS2'!A259="","",'StockList_MS2'!B259)</f>
        <v/>
      </c>
      <c r="D260" s="17" t="n"/>
      <c r="E260" s="17" t="n"/>
      <c r="F260" s="17" t="n"/>
      <c r="G260" s="17" t="n"/>
      <c r="H260" s="18" t="n"/>
      <c r="I260" s="17" t="n"/>
      <c r="J260" s="17" t="n"/>
      <c r="K260" s="17" t="n"/>
      <c r="L260" s="14">
        <f>IF(D260="","",IF(D260&gt;K260,"BUY-DAY","SELL-DAY"))</f>
        <v/>
      </c>
      <c r="M260" s="19">
        <f>IF(D260="","",MAX(E260-F260,ABS(E260-K260),ABS(F260-K260)))</f>
        <v/>
      </c>
      <c r="N260" s="14">
        <f>IF(D260="","",IF(AND(H260&gt;0,H260&gt;(H260/3)*2.5),"VOL-OK","VOL-NG"))</f>
        <v/>
      </c>
      <c r="O260" s="14">
        <f>IF(D260="","",IF(D260&gt;I260,"ON","OFF"))</f>
        <v/>
      </c>
      <c r="P260" s="14">
        <f>IF(D260="","",IF(D260&lt;J260,"ON","OFF"))</f>
        <v/>
      </c>
      <c r="Q260" s="14">
        <f>IF(OR(D260="",M260&lt;=0),"",IF(AND(L260="BUY-DAY",N260="VOL-OK",P260="ON",Z260="OK",AA260&lt;&gt;"DOWN"),"BUY",IF(AND(L260="SELL-DAY",N260="VOL-OK",O260="ON",Z260="OK",AA260&lt;&gt;"UP"),"SELL","")))</f>
        <v/>
      </c>
      <c r="R260" s="19">
        <f>IF(Q260="","",D260)</f>
        <v/>
      </c>
      <c r="S260" s="19">
        <f>IF(Q260="","",IF(Q260="BUY",D260-M260*1.5,D260+M260*1.5))</f>
        <v/>
      </c>
      <c r="T260" s="19">
        <f>IF(Q260="","",IF(Q260="BUY",D260+M260*1.5,D260-M260*1.5))</f>
        <v/>
      </c>
      <c r="U260" s="19">
        <f>IF(Q260="","",IF(Q260="BUY",D260+M260*2,D260-M260*2))</f>
        <v/>
      </c>
      <c r="V260" s="19">
        <f>IF(Q260="","",IF(Q260="BUY",D260+M260*3,D260-M260*3))</f>
        <v/>
      </c>
      <c r="W260" s="14">
        <f>IF(OR(D260="",M260&lt;=0),"",IF(AND(D260&gt;G260,ABS(D260-G260)&lt;M260*0.5),"2ND","1ST"))</f>
        <v/>
      </c>
      <c r="X260" s="14">
        <f>IF(OR(D260="",M260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0" s="14">
        <f>IF(OR(D260="",M260&lt;=0),"",IF(M260&gt;D260*0.05,"VOL-HIGH","VOL-NORMAL"))</f>
        <v/>
      </c>
      <c r="Z260" s="14">
        <f>IF(OR(D260="",M260&lt;=0),"",IF(AND(N260="VOL-OK",Y260="VOL-NORMAL",W260="2ND"),"OK","NG"))</f>
        <v/>
      </c>
      <c r="AA260" s="14">
        <f>IF(OR(D260="",M260&lt;=0),"",IF(AND(E260&gt;I260,F260&gt;J260),"UP",IF(AND(E260&lt;I260,F260&lt;J260),"DOWN","FLAT")))</f>
        <v/>
      </c>
    </row>
    <row r="261" ht="26" customHeight="1" s="1">
      <c r="A261" s="8">
        <f>IF(B261="","",ROW()-2)</f>
        <v/>
      </c>
      <c r="B261" s="9">
        <f>IF('StockList_MS2'!A260="","",HYPERLINK("https://kabutan.jp/stock/?code="&amp;'StockList_MS2'!A260,'StockList_MS2'!A260))</f>
        <v/>
      </c>
      <c r="C261" s="10">
        <f>IF('StockList_MS2'!A260="","",'StockList_MS2'!B260)</f>
        <v/>
      </c>
      <c r="D261" s="11" t="n"/>
      <c r="E261" s="11" t="n"/>
      <c r="F261" s="11" t="n"/>
      <c r="G261" s="11" t="n"/>
      <c r="H261" s="12" t="n"/>
      <c r="I261" s="11" t="n"/>
      <c r="J261" s="11" t="n"/>
      <c r="K261" s="11" t="n"/>
      <c r="L261" s="8">
        <f>IF(D261="","",IF(D261&gt;K261,"BUY-DAY","SELL-DAY"))</f>
        <v/>
      </c>
      <c r="M261" s="13">
        <f>IF(D261="","",MAX(E261-F261,ABS(E261-K261),ABS(F261-K261)))</f>
        <v/>
      </c>
      <c r="N261" s="8">
        <f>IF(D261="","",IF(AND(H261&gt;0,H261&gt;(H261/3)*2.5),"VOL-OK","VOL-NG"))</f>
        <v/>
      </c>
      <c r="O261" s="8">
        <f>IF(D261="","",IF(D261&gt;I261,"ON","OFF"))</f>
        <v/>
      </c>
      <c r="P261" s="8">
        <f>IF(D261="","",IF(D261&lt;J261,"ON","OFF"))</f>
        <v/>
      </c>
      <c r="Q261" s="8">
        <f>IF(OR(D261="",M261&lt;=0),"",IF(AND(L261="BUY-DAY",N261="VOL-OK",P261="ON",Z261="OK",AA261&lt;&gt;"DOWN"),"BUY",IF(AND(L261="SELL-DAY",N261="VOL-OK",O261="ON",Z261="OK",AA261&lt;&gt;"UP"),"SELL","")))</f>
        <v/>
      </c>
      <c r="R261" s="13">
        <f>IF(Q261="","",D261)</f>
        <v/>
      </c>
      <c r="S261" s="13">
        <f>IF(Q261="","",IF(Q261="BUY",D261-M261*1.5,D261+M261*1.5))</f>
        <v/>
      </c>
      <c r="T261" s="13">
        <f>IF(Q261="","",IF(Q261="BUY",D261+M261*1.5,D261-M261*1.5))</f>
        <v/>
      </c>
      <c r="U261" s="13">
        <f>IF(Q261="","",IF(Q261="BUY",D261+M261*2,D261-M261*2))</f>
        <v/>
      </c>
      <c r="V261" s="13">
        <f>IF(Q261="","",IF(Q261="BUY",D261+M261*3,D261-M261*3))</f>
        <v/>
      </c>
      <c r="W261" s="8">
        <f>IF(OR(D261="",M261&lt;=0),"",IF(AND(D261&gt;G261,ABS(D261-G261)&lt;M261*0.5),"2ND","1ST"))</f>
        <v/>
      </c>
      <c r="X261" s="8">
        <f>IF(OR(D261="",M261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1" s="8">
        <f>IF(OR(D261="",M261&lt;=0),"",IF(M261&gt;D261*0.05,"VOL-HIGH","VOL-NORMAL"))</f>
        <v/>
      </c>
      <c r="Z261" s="8">
        <f>IF(OR(D261="",M261&lt;=0),"",IF(AND(N261="VOL-OK",Y261="VOL-NORMAL",W261="2ND"),"OK","NG"))</f>
        <v/>
      </c>
      <c r="AA261" s="8">
        <f>IF(OR(D261="",M261&lt;=0),"",IF(AND(E261&gt;I261,F261&gt;J261),"UP",IF(AND(E261&lt;I261,F261&lt;J261),"DOWN","FLAT")))</f>
        <v/>
      </c>
    </row>
    <row r="262" ht="26" customHeight="1" s="1">
      <c r="A262" s="14">
        <f>IF(B262="","",ROW()-2)</f>
        <v/>
      </c>
      <c r="B262" s="15">
        <f>IF('StockList_MS2'!A261="","",HYPERLINK("https://kabutan.jp/stock/?code="&amp;'StockList_MS2'!A261,'StockList_MS2'!A261))</f>
        <v/>
      </c>
      <c r="C262" s="16">
        <f>IF('StockList_MS2'!A261="","",'StockList_MS2'!B261)</f>
        <v/>
      </c>
      <c r="D262" s="17" t="n"/>
      <c r="E262" s="17" t="n"/>
      <c r="F262" s="17" t="n"/>
      <c r="G262" s="17" t="n"/>
      <c r="H262" s="18" t="n"/>
      <c r="I262" s="17" t="n"/>
      <c r="J262" s="17" t="n"/>
      <c r="K262" s="17" t="n"/>
      <c r="L262" s="14">
        <f>IF(D262="","",IF(D262&gt;K262,"BUY-DAY","SELL-DAY"))</f>
        <v/>
      </c>
      <c r="M262" s="19">
        <f>IF(D262="","",MAX(E262-F262,ABS(E262-K262),ABS(F262-K262)))</f>
        <v/>
      </c>
      <c r="N262" s="14">
        <f>IF(D262="","",IF(AND(H262&gt;0,H262&gt;(H262/3)*2.5),"VOL-OK","VOL-NG"))</f>
        <v/>
      </c>
      <c r="O262" s="14">
        <f>IF(D262="","",IF(D262&gt;I262,"ON","OFF"))</f>
        <v/>
      </c>
      <c r="P262" s="14">
        <f>IF(D262="","",IF(D262&lt;J262,"ON","OFF"))</f>
        <v/>
      </c>
      <c r="Q262" s="14">
        <f>IF(OR(D262="",M262&lt;=0),"",IF(AND(L262="BUY-DAY",N262="VOL-OK",P262="ON",Z262="OK",AA262&lt;&gt;"DOWN"),"BUY",IF(AND(L262="SELL-DAY",N262="VOL-OK",O262="ON",Z262="OK",AA262&lt;&gt;"UP"),"SELL","")))</f>
        <v/>
      </c>
      <c r="R262" s="19">
        <f>IF(Q262="","",D262)</f>
        <v/>
      </c>
      <c r="S262" s="19">
        <f>IF(Q262="","",IF(Q262="BUY",D262-M262*1.5,D262+M262*1.5))</f>
        <v/>
      </c>
      <c r="T262" s="19">
        <f>IF(Q262="","",IF(Q262="BUY",D262+M262*1.5,D262-M262*1.5))</f>
        <v/>
      </c>
      <c r="U262" s="19">
        <f>IF(Q262="","",IF(Q262="BUY",D262+M262*2,D262-M262*2))</f>
        <v/>
      </c>
      <c r="V262" s="19">
        <f>IF(Q262="","",IF(Q262="BUY",D262+M262*3,D262-M262*3))</f>
        <v/>
      </c>
      <c r="W262" s="14">
        <f>IF(OR(D262="",M262&lt;=0),"",IF(AND(D262&gt;G262,ABS(D262-G262)&lt;M262*0.5),"2ND","1ST"))</f>
        <v/>
      </c>
      <c r="X262" s="14">
        <f>IF(OR(D262="",M262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2" s="14">
        <f>IF(OR(D262="",M262&lt;=0),"",IF(M262&gt;D262*0.05,"VOL-HIGH","VOL-NORMAL"))</f>
        <v/>
      </c>
      <c r="Z262" s="14">
        <f>IF(OR(D262="",M262&lt;=0),"",IF(AND(N262="VOL-OK",Y262="VOL-NORMAL",W262="2ND"),"OK","NG"))</f>
        <v/>
      </c>
      <c r="AA262" s="14">
        <f>IF(OR(D262="",M262&lt;=0),"",IF(AND(E262&gt;I262,F262&gt;J262),"UP",IF(AND(E262&lt;I262,F262&lt;J262),"DOWN","FLAT")))</f>
        <v/>
      </c>
    </row>
    <row r="263" ht="26" customHeight="1" s="1">
      <c r="A263" s="8">
        <f>IF(B263="","",ROW()-2)</f>
        <v/>
      </c>
      <c r="B263" s="9">
        <f>IF('StockList_MS2'!A262="","",HYPERLINK("https://kabutan.jp/stock/?code="&amp;'StockList_MS2'!A262,'StockList_MS2'!A262))</f>
        <v/>
      </c>
      <c r="C263" s="10">
        <f>IF('StockList_MS2'!A262="","",'StockList_MS2'!B262)</f>
        <v/>
      </c>
      <c r="D263" s="11" t="n"/>
      <c r="E263" s="11" t="n"/>
      <c r="F263" s="11" t="n"/>
      <c r="G263" s="11" t="n"/>
      <c r="H263" s="12" t="n"/>
      <c r="I263" s="11" t="n"/>
      <c r="J263" s="11" t="n"/>
      <c r="K263" s="11" t="n"/>
      <c r="L263" s="8">
        <f>IF(D263="","",IF(D263&gt;K263,"BUY-DAY","SELL-DAY"))</f>
        <v/>
      </c>
      <c r="M263" s="13">
        <f>IF(D263="","",MAX(E263-F263,ABS(E263-K263),ABS(F263-K263)))</f>
        <v/>
      </c>
      <c r="N263" s="8">
        <f>IF(D263="","",IF(AND(H263&gt;0,H263&gt;(H263/3)*2.5),"VOL-OK","VOL-NG"))</f>
        <v/>
      </c>
      <c r="O263" s="8">
        <f>IF(D263="","",IF(D263&gt;I263,"ON","OFF"))</f>
        <v/>
      </c>
      <c r="P263" s="8">
        <f>IF(D263="","",IF(D263&lt;J263,"ON","OFF"))</f>
        <v/>
      </c>
      <c r="Q263" s="8">
        <f>IF(OR(D263="",M263&lt;=0),"",IF(AND(L263="BUY-DAY",N263="VOL-OK",P263="ON",Z263="OK",AA263&lt;&gt;"DOWN"),"BUY",IF(AND(L263="SELL-DAY",N263="VOL-OK",O263="ON",Z263="OK",AA263&lt;&gt;"UP"),"SELL","")))</f>
        <v/>
      </c>
      <c r="R263" s="13">
        <f>IF(Q263="","",D263)</f>
        <v/>
      </c>
      <c r="S263" s="13">
        <f>IF(Q263="","",IF(Q263="BUY",D263-M263*1.5,D263+M263*1.5))</f>
        <v/>
      </c>
      <c r="T263" s="13">
        <f>IF(Q263="","",IF(Q263="BUY",D263+M263*1.5,D263-M263*1.5))</f>
        <v/>
      </c>
      <c r="U263" s="13">
        <f>IF(Q263="","",IF(Q263="BUY",D263+M263*2,D263-M263*2))</f>
        <v/>
      </c>
      <c r="V263" s="13">
        <f>IF(Q263="","",IF(Q263="BUY",D263+M263*3,D263-M263*3))</f>
        <v/>
      </c>
      <c r="W263" s="8">
        <f>IF(OR(D263="",M263&lt;=0),"",IF(AND(D263&gt;G263,ABS(D263-G263)&lt;M263*0.5),"2ND","1ST"))</f>
        <v/>
      </c>
      <c r="X263" s="8">
        <f>IF(OR(D263="",M263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3" s="8">
        <f>IF(OR(D263="",M263&lt;=0),"",IF(M263&gt;D263*0.05,"VOL-HIGH","VOL-NORMAL"))</f>
        <v/>
      </c>
      <c r="Z263" s="8">
        <f>IF(OR(D263="",M263&lt;=0),"",IF(AND(N263="VOL-OK",Y263="VOL-NORMAL",W263="2ND"),"OK","NG"))</f>
        <v/>
      </c>
      <c r="AA263" s="8">
        <f>IF(OR(D263="",M263&lt;=0),"",IF(AND(E263&gt;I263,F263&gt;J263),"UP",IF(AND(E263&lt;I263,F263&lt;J263),"DOWN","FLAT")))</f>
        <v/>
      </c>
    </row>
    <row r="264" ht="26" customHeight="1" s="1">
      <c r="A264" s="14">
        <f>IF(B264="","",ROW()-2)</f>
        <v/>
      </c>
      <c r="B264" s="15">
        <f>IF('StockList_MS2'!A263="","",HYPERLINK("https://kabutan.jp/stock/?code="&amp;'StockList_MS2'!A263,'StockList_MS2'!A263))</f>
        <v/>
      </c>
      <c r="C264" s="16">
        <f>IF('StockList_MS2'!A263="","",'StockList_MS2'!B263)</f>
        <v/>
      </c>
      <c r="D264" s="17" t="n"/>
      <c r="E264" s="17" t="n"/>
      <c r="F264" s="17" t="n"/>
      <c r="G264" s="17" t="n"/>
      <c r="H264" s="18" t="n"/>
      <c r="I264" s="17" t="n"/>
      <c r="J264" s="17" t="n"/>
      <c r="K264" s="17" t="n"/>
      <c r="L264" s="14">
        <f>IF(D264="","",IF(D264&gt;K264,"BUY-DAY","SELL-DAY"))</f>
        <v/>
      </c>
      <c r="M264" s="19">
        <f>IF(D264="","",MAX(E264-F264,ABS(E264-K264),ABS(F264-K264)))</f>
        <v/>
      </c>
      <c r="N264" s="14">
        <f>IF(D264="","",IF(AND(H264&gt;0,H264&gt;(H264/3)*2.5),"VOL-OK","VOL-NG"))</f>
        <v/>
      </c>
      <c r="O264" s="14">
        <f>IF(D264="","",IF(D264&gt;I264,"ON","OFF"))</f>
        <v/>
      </c>
      <c r="P264" s="14">
        <f>IF(D264="","",IF(D264&lt;J264,"ON","OFF"))</f>
        <v/>
      </c>
      <c r="Q264" s="14">
        <f>IF(OR(D264="",M264&lt;=0),"",IF(AND(L264="BUY-DAY",N264="VOL-OK",P264="ON",Z264="OK",AA264&lt;&gt;"DOWN"),"BUY",IF(AND(L264="SELL-DAY",N264="VOL-OK",O264="ON",Z264="OK",AA264&lt;&gt;"UP"),"SELL","")))</f>
        <v/>
      </c>
      <c r="R264" s="19">
        <f>IF(Q264="","",D264)</f>
        <v/>
      </c>
      <c r="S264" s="19">
        <f>IF(Q264="","",IF(Q264="BUY",D264-M264*1.5,D264+M264*1.5))</f>
        <v/>
      </c>
      <c r="T264" s="19">
        <f>IF(Q264="","",IF(Q264="BUY",D264+M264*1.5,D264-M264*1.5))</f>
        <v/>
      </c>
      <c r="U264" s="19">
        <f>IF(Q264="","",IF(Q264="BUY",D264+M264*2,D264-M264*2))</f>
        <v/>
      </c>
      <c r="V264" s="19">
        <f>IF(Q264="","",IF(Q264="BUY",D264+M264*3,D264-M264*3))</f>
        <v/>
      </c>
      <c r="W264" s="14">
        <f>IF(OR(D264="",M264&lt;=0),"",IF(AND(D264&gt;G264,ABS(D264-G264)&lt;M264*0.5),"2ND","1ST"))</f>
        <v/>
      </c>
      <c r="X264" s="14">
        <f>IF(OR(D264="",M264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4" s="14">
        <f>IF(OR(D264="",M264&lt;=0),"",IF(M264&gt;D264*0.05,"VOL-HIGH","VOL-NORMAL"))</f>
        <v/>
      </c>
      <c r="Z264" s="14">
        <f>IF(OR(D264="",M264&lt;=0),"",IF(AND(N264="VOL-OK",Y264="VOL-NORMAL",W264="2ND"),"OK","NG"))</f>
        <v/>
      </c>
      <c r="AA264" s="14">
        <f>IF(OR(D264="",M264&lt;=0),"",IF(AND(E264&gt;I264,F264&gt;J264),"UP",IF(AND(E264&lt;I264,F264&lt;J264),"DOWN","FLAT")))</f>
        <v/>
      </c>
    </row>
    <row r="265" ht="26" customHeight="1" s="1">
      <c r="A265" s="8">
        <f>IF(B265="","",ROW()-2)</f>
        <v/>
      </c>
      <c r="B265" s="9">
        <f>IF('StockList_MS2'!A264="","",HYPERLINK("https://kabutan.jp/stock/?code="&amp;'StockList_MS2'!A264,'StockList_MS2'!A264))</f>
        <v/>
      </c>
      <c r="C265" s="10">
        <f>IF('StockList_MS2'!A264="","",'StockList_MS2'!B264)</f>
        <v/>
      </c>
      <c r="D265" s="11" t="n"/>
      <c r="E265" s="11" t="n"/>
      <c r="F265" s="11" t="n"/>
      <c r="G265" s="11" t="n"/>
      <c r="H265" s="12" t="n"/>
      <c r="I265" s="11" t="n"/>
      <c r="J265" s="11" t="n"/>
      <c r="K265" s="11" t="n"/>
      <c r="L265" s="8">
        <f>IF(D265="","",IF(D265&gt;K265,"BUY-DAY","SELL-DAY"))</f>
        <v/>
      </c>
      <c r="M265" s="13">
        <f>IF(D265="","",MAX(E265-F265,ABS(E265-K265),ABS(F265-K265)))</f>
        <v/>
      </c>
      <c r="N265" s="8">
        <f>IF(D265="","",IF(AND(H265&gt;0,H265&gt;(H265/3)*2.5),"VOL-OK","VOL-NG"))</f>
        <v/>
      </c>
      <c r="O265" s="8">
        <f>IF(D265="","",IF(D265&gt;I265,"ON","OFF"))</f>
        <v/>
      </c>
      <c r="P265" s="8">
        <f>IF(D265="","",IF(D265&lt;J265,"ON","OFF"))</f>
        <v/>
      </c>
      <c r="Q265" s="8">
        <f>IF(OR(D265="",M265&lt;=0),"",IF(AND(L265="BUY-DAY",N265="VOL-OK",P265="ON",Z265="OK",AA265&lt;&gt;"DOWN"),"BUY",IF(AND(L265="SELL-DAY",N265="VOL-OK",O265="ON",Z265="OK",AA265&lt;&gt;"UP"),"SELL","")))</f>
        <v/>
      </c>
      <c r="R265" s="13">
        <f>IF(Q265="","",D265)</f>
        <v/>
      </c>
      <c r="S265" s="13">
        <f>IF(Q265="","",IF(Q265="BUY",D265-M265*1.5,D265+M265*1.5))</f>
        <v/>
      </c>
      <c r="T265" s="13">
        <f>IF(Q265="","",IF(Q265="BUY",D265+M265*1.5,D265-M265*1.5))</f>
        <v/>
      </c>
      <c r="U265" s="13">
        <f>IF(Q265="","",IF(Q265="BUY",D265+M265*2,D265-M265*2))</f>
        <v/>
      </c>
      <c r="V265" s="13">
        <f>IF(Q265="","",IF(Q265="BUY",D265+M265*3,D265-M265*3))</f>
        <v/>
      </c>
      <c r="W265" s="8">
        <f>IF(OR(D265="",M265&lt;=0),"",IF(AND(D265&gt;G265,ABS(D265-G265)&lt;M265*0.5),"2ND","1ST"))</f>
        <v/>
      </c>
      <c r="X265" s="8">
        <f>IF(OR(D265="",M265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5" s="8">
        <f>IF(OR(D265="",M265&lt;=0),"",IF(M265&gt;D265*0.05,"VOL-HIGH","VOL-NORMAL"))</f>
        <v/>
      </c>
      <c r="Z265" s="8">
        <f>IF(OR(D265="",M265&lt;=0),"",IF(AND(N265="VOL-OK",Y265="VOL-NORMAL",W265="2ND"),"OK","NG"))</f>
        <v/>
      </c>
      <c r="AA265" s="8">
        <f>IF(OR(D265="",M265&lt;=0),"",IF(AND(E265&gt;I265,F265&gt;J265),"UP",IF(AND(E265&lt;I265,F265&lt;J265),"DOWN","FLAT")))</f>
        <v/>
      </c>
    </row>
    <row r="266" ht="26" customHeight="1" s="1">
      <c r="A266" s="14">
        <f>IF(B266="","",ROW()-2)</f>
        <v/>
      </c>
      <c r="B266" s="15">
        <f>IF('StockList_MS2'!A265="","",HYPERLINK("https://kabutan.jp/stock/?code="&amp;'StockList_MS2'!A265,'StockList_MS2'!A265))</f>
        <v/>
      </c>
      <c r="C266" s="16">
        <f>IF('StockList_MS2'!A265="","",'StockList_MS2'!B265)</f>
        <v/>
      </c>
      <c r="D266" s="17" t="n"/>
      <c r="E266" s="17" t="n"/>
      <c r="F266" s="17" t="n"/>
      <c r="G266" s="17" t="n"/>
      <c r="H266" s="18" t="n"/>
      <c r="I266" s="17" t="n"/>
      <c r="J266" s="17" t="n"/>
      <c r="K266" s="17" t="n"/>
      <c r="L266" s="14">
        <f>IF(D266="","",IF(D266&gt;K266,"BUY-DAY","SELL-DAY"))</f>
        <v/>
      </c>
      <c r="M266" s="19">
        <f>IF(D266="","",MAX(E266-F266,ABS(E266-K266),ABS(F266-K266)))</f>
        <v/>
      </c>
      <c r="N266" s="14">
        <f>IF(D266="","",IF(AND(H266&gt;0,H266&gt;(H266/3)*2.5),"VOL-OK","VOL-NG"))</f>
        <v/>
      </c>
      <c r="O266" s="14">
        <f>IF(D266="","",IF(D266&gt;I266,"ON","OFF"))</f>
        <v/>
      </c>
      <c r="P266" s="14">
        <f>IF(D266="","",IF(D266&lt;J266,"ON","OFF"))</f>
        <v/>
      </c>
      <c r="Q266" s="14">
        <f>IF(OR(D266="",M266&lt;=0),"",IF(AND(L266="BUY-DAY",N266="VOL-OK",P266="ON",Z266="OK",AA266&lt;&gt;"DOWN"),"BUY",IF(AND(L266="SELL-DAY",N266="VOL-OK",O266="ON",Z266="OK",AA266&lt;&gt;"UP"),"SELL","")))</f>
        <v/>
      </c>
      <c r="R266" s="19">
        <f>IF(Q266="","",D266)</f>
        <v/>
      </c>
      <c r="S266" s="19">
        <f>IF(Q266="","",IF(Q266="BUY",D266-M266*1.5,D266+M266*1.5))</f>
        <v/>
      </c>
      <c r="T266" s="19">
        <f>IF(Q266="","",IF(Q266="BUY",D266+M266*1.5,D266-M266*1.5))</f>
        <v/>
      </c>
      <c r="U266" s="19">
        <f>IF(Q266="","",IF(Q266="BUY",D266+M266*2,D266-M266*2))</f>
        <v/>
      </c>
      <c r="V266" s="19">
        <f>IF(Q266="","",IF(Q266="BUY",D266+M266*3,D266-M266*3))</f>
        <v/>
      </c>
      <c r="W266" s="14">
        <f>IF(OR(D266="",M266&lt;=0),"",IF(AND(D266&gt;G266,ABS(D266-G266)&lt;M266*0.5),"2ND","1ST"))</f>
        <v/>
      </c>
      <c r="X266" s="14">
        <f>IF(OR(D266="",M266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6" s="14">
        <f>IF(OR(D266="",M266&lt;=0),"",IF(M266&gt;D266*0.05,"VOL-HIGH","VOL-NORMAL"))</f>
        <v/>
      </c>
      <c r="Z266" s="14">
        <f>IF(OR(D266="",M266&lt;=0),"",IF(AND(N266="VOL-OK",Y266="VOL-NORMAL",W266="2ND"),"OK","NG"))</f>
        <v/>
      </c>
      <c r="AA266" s="14">
        <f>IF(OR(D266="",M266&lt;=0),"",IF(AND(E266&gt;I266,F266&gt;J266),"UP",IF(AND(E266&lt;I266,F266&lt;J266),"DOWN","FLAT")))</f>
        <v/>
      </c>
    </row>
    <row r="267" ht="26" customHeight="1" s="1">
      <c r="A267" s="8">
        <f>IF(B267="","",ROW()-2)</f>
        <v/>
      </c>
      <c r="B267" s="9">
        <f>IF('StockList_MS2'!A266="","",HYPERLINK("https://kabutan.jp/stock/?code="&amp;'StockList_MS2'!A266,'StockList_MS2'!A266))</f>
        <v/>
      </c>
      <c r="C267" s="10">
        <f>IF('StockList_MS2'!A266="","",'StockList_MS2'!B266)</f>
        <v/>
      </c>
      <c r="D267" s="11" t="n"/>
      <c r="E267" s="11" t="n"/>
      <c r="F267" s="11" t="n"/>
      <c r="G267" s="11" t="n"/>
      <c r="H267" s="12" t="n"/>
      <c r="I267" s="11" t="n"/>
      <c r="J267" s="11" t="n"/>
      <c r="K267" s="11" t="n"/>
      <c r="L267" s="8">
        <f>IF(D267="","",IF(D267&gt;K267,"BUY-DAY","SELL-DAY"))</f>
        <v/>
      </c>
      <c r="M267" s="13">
        <f>IF(D267="","",MAX(E267-F267,ABS(E267-K267),ABS(F267-K267)))</f>
        <v/>
      </c>
      <c r="N267" s="8">
        <f>IF(D267="","",IF(AND(H267&gt;0,H267&gt;(H267/3)*2.5),"VOL-OK","VOL-NG"))</f>
        <v/>
      </c>
      <c r="O267" s="8">
        <f>IF(D267="","",IF(D267&gt;I267,"ON","OFF"))</f>
        <v/>
      </c>
      <c r="P267" s="8">
        <f>IF(D267="","",IF(D267&lt;J267,"ON","OFF"))</f>
        <v/>
      </c>
      <c r="Q267" s="8">
        <f>IF(OR(D267="",M267&lt;=0),"",IF(AND(L267="BUY-DAY",N267="VOL-OK",P267="ON",Z267="OK",AA267&lt;&gt;"DOWN"),"BUY",IF(AND(L267="SELL-DAY",N267="VOL-OK",O267="ON",Z267="OK",AA267&lt;&gt;"UP"),"SELL","")))</f>
        <v/>
      </c>
      <c r="R267" s="13">
        <f>IF(Q267="","",D267)</f>
        <v/>
      </c>
      <c r="S267" s="13">
        <f>IF(Q267="","",IF(Q267="BUY",D267-M267*1.5,D267+M267*1.5))</f>
        <v/>
      </c>
      <c r="T267" s="13">
        <f>IF(Q267="","",IF(Q267="BUY",D267+M267*1.5,D267-M267*1.5))</f>
        <v/>
      </c>
      <c r="U267" s="13">
        <f>IF(Q267="","",IF(Q267="BUY",D267+M267*2,D267-M267*2))</f>
        <v/>
      </c>
      <c r="V267" s="13">
        <f>IF(Q267="","",IF(Q267="BUY",D267+M267*3,D267-M267*3))</f>
        <v/>
      </c>
      <c r="W267" s="8">
        <f>IF(OR(D267="",M267&lt;=0),"",IF(AND(D267&gt;G267,ABS(D267-G267)&lt;M267*0.5),"2ND","1ST"))</f>
        <v/>
      </c>
      <c r="X267" s="8">
        <f>IF(OR(D267="",M267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7" s="8">
        <f>IF(OR(D267="",M267&lt;=0),"",IF(M267&gt;D267*0.05,"VOL-HIGH","VOL-NORMAL"))</f>
        <v/>
      </c>
      <c r="Z267" s="8">
        <f>IF(OR(D267="",M267&lt;=0),"",IF(AND(N267="VOL-OK",Y267="VOL-NORMAL",W267="2ND"),"OK","NG"))</f>
        <v/>
      </c>
      <c r="AA267" s="8">
        <f>IF(OR(D267="",M267&lt;=0),"",IF(AND(E267&gt;I267,F267&gt;J267),"UP",IF(AND(E267&lt;I267,F267&lt;J267),"DOWN","FLAT")))</f>
        <v/>
      </c>
    </row>
    <row r="268" ht="26" customHeight="1" s="1">
      <c r="A268" s="14">
        <f>IF(B268="","",ROW()-2)</f>
        <v/>
      </c>
      <c r="B268" s="15">
        <f>IF('StockList_MS2'!A267="","",HYPERLINK("https://kabutan.jp/stock/?code="&amp;'StockList_MS2'!A267,'StockList_MS2'!A267))</f>
        <v/>
      </c>
      <c r="C268" s="16">
        <f>IF('StockList_MS2'!A267="","",'StockList_MS2'!B267)</f>
        <v/>
      </c>
      <c r="D268" s="17" t="n"/>
      <c r="E268" s="17" t="n"/>
      <c r="F268" s="17" t="n"/>
      <c r="G268" s="17" t="n"/>
      <c r="H268" s="18" t="n"/>
      <c r="I268" s="17" t="n"/>
      <c r="J268" s="17" t="n"/>
      <c r="K268" s="17" t="n"/>
      <c r="L268" s="14">
        <f>IF(D268="","",IF(D268&gt;K268,"BUY-DAY","SELL-DAY"))</f>
        <v/>
      </c>
      <c r="M268" s="19">
        <f>IF(D268="","",MAX(E268-F268,ABS(E268-K268),ABS(F268-K268)))</f>
        <v/>
      </c>
      <c r="N268" s="14">
        <f>IF(D268="","",IF(AND(H268&gt;0,H268&gt;(H268/3)*2.5),"VOL-OK","VOL-NG"))</f>
        <v/>
      </c>
      <c r="O268" s="14">
        <f>IF(D268="","",IF(D268&gt;I268,"ON","OFF"))</f>
        <v/>
      </c>
      <c r="P268" s="14">
        <f>IF(D268="","",IF(D268&lt;J268,"ON","OFF"))</f>
        <v/>
      </c>
      <c r="Q268" s="14">
        <f>IF(OR(D268="",M268&lt;=0),"",IF(AND(L268="BUY-DAY",N268="VOL-OK",P268="ON",Z268="OK",AA268&lt;&gt;"DOWN"),"BUY",IF(AND(L268="SELL-DAY",N268="VOL-OK",O268="ON",Z268="OK",AA268&lt;&gt;"UP"),"SELL","")))</f>
        <v/>
      </c>
      <c r="R268" s="19">
        <f>IF(Q268="","",D268)</f>
        <v/>
      </c>
      <c r="S268" s="19">
        <f>IF(Q268="","",IF(Q268="BUY",D268-M268*1.5,D268+M268*1.5))</f>
        <v/>
      </c>
      <c r="T268" s="19">
        <f>IF(Q268="","",IF(Q268="BUY",D268+M268*1.5,D268-M268*1.5))</f>
        <v/>
      </c>
      <c r="U268" s="19">
        <f>IF(Q268="","",IF(Q268="BUY",D268+M268*2,D268-M268*2))</f>
        <v/>
      </c>
      <c r="V268" s="19">
        <f>IF(Q268="","",IF(Q268="BUY",D268+M268*3,D268-M268*3))</f>
        <v/>
      </c>
      <c r="W268" s="14">
        <f>IF(OR(D268="",M268&lt;=0),"",IF(AND(D268&gt;G268,ABS(D268-G268)&lt;M268*0.5),"2ND","1ST"))</f>
        <v/>
      </c>
      <c r="X268" s="14">
        <f>IF(OR(D268="",M268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8" s="14">
        <f>IF(OR(D268="",M268&lt;=0),"",IF(M268&gt;D268*0.05,"VOL-HIGH","VOL-NORMAL"))</f>
        <v/>
      </c>
      <c r="Z268" s="14">
        <f>IF(OR(D268="",M268&lt;=0),"",IF(AND(N268="VOL-OK",Y268="VOL-NORMAL",W268="2ND"),"OK","NG"))</f>
        <v/>
      </c>
      <c r="AA268" s="14">
        <f>IF(OR(D268="",M268&lt;=0),"",IF(AND(E268&gt;I268,F268&gt;J268),"UP",IF(AND(E268&lt;I268,F268&lt;J268),"DOWN","FLAT")))</f>
        <v/>
      </c>
    </row>
    <row r="269" ht="26" customHeight="1" s="1">
      <c r="A269" s="8">
        <f>IF(B269="","",ROW()-2)</f>
        <v/>
      </c>
      <c r="B269" s="9">
        <f>IF('StockList_MS2'!A268="","",HYPERLINK("https://kabutan.jp/stock/?code="&amp;'StockList_MS2'!A268,'StockList_MS2'!A268))</f>
        <v/>
      </c>
      <c r="C269" s="10">
        <f>IF('StockList_MS2'!A268="","",'StockList_MS2'!B268)</f>
        <v/>
      </c>
      <c r="D269" s="11" t="n"/>
      <c r="E269" s="11" t="n"/>
      <c r="F269" s="11" t="n"/>
      <c r="G269" s="11" t="n"/>
      <c r="H269" s="12" t="n"/>
      <c r="I269" s="11" t="n"/>
      <c r="J269" s="11" t="n"/>
      <c r="K269" s="11" t="n"/>
      <c r="L269" s="8">
        <f>IF(D269="","",IF(D269&gt;K269,"BUY-DAY","SELL-DAY"))</f>
        <v/>
      </c>
      <c r="M269" s="13">
        <f>IF(D269="","",MAX(E269-F269,ABS(E269-K269),ABS(F269-K269)))</f>
        <v/>
      </c>
      <c r="N269" s="8">
        <f>IF(D269="","",IF(AND(H269&gt;0,H269&gt;(H269/3)*2.5),"VOL-OK","VOL-NG"))</f>
        <v/>
      </c>
      <c r="O269" s="8">
        <f>IF(D269="","",IF(D269&gt;I269,"ON","OFF"))</f>
        <v/>
      </c>
      <c r="P269" s="8">
        <f>IF(D269="","",IF(D269&lt;J269,"ON","OFF"))</f>
        <v/>
      </c>
      <c r="Q269" s="8">
        <f>IF(OR(D269="",M269&lt;=0),"",IF(AND(L269="BUY-DAY",N269="VOL-OK",P269="ON",Z269="OK",AA269&lt;&gt;"DOWN"),"BUY",IF(AND(L269="SELL-DAY",N269="VOL-OK",O269="ON",Z269="OK",AA269&lt;&gt;"UP"),"SELL","")))</f>
        <v/>
      </c>
      <c r="R269" s="13">
        <f>IF(Q269="","",D269)</f>
        <v/>
      </c>
      <c r="S269" s="13">
        <f>IF(Q269="","",IF(Q269="BUY",D269-M269*1.5,D269+M269*1.5))</f>
        <v/>
      </c>
      <c r="T269" s="13">
        <f>IF(Q269="","",IF(Q269="BUY",D269+M269*1.5,D269-M269*1.5))</f>
        <v/>
      </c>
      <c r="U269" s="13">
        <f>IF(Q269="","",IF(Q269="BUY",D269+M269*2,D269-M269*2))</f>
        <v/>
      </c>
      <c r="V269" s="13">
        <f>IF(Q269="","",IF(Q269="BUY",D269+M269*3,D269-M269*3))</f>
        <v/>
      </c>
      <c r="W269" s="8">
        <f>IF(OR(D269="",M269&lt;=0),"",IF(AND(D269&gt;G269,ABS(D269-G269)&lt;M269*0.5),"2ND","1ST"))</f>
        <v/>
      </c>
      <c r="X269" s="8">
        <f>IF(OR(D269="",M269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69" s="8">
        <f>IF(OR(D269="",M269&lt;=0),"",IF(M269&gt;D269*0.05,"VOL-HIGH","VOL-NORMAL"))</f>
        <v/>
      </c>
      <c r="Z269" s="8">
        <f>IF(OR(D269="",M269&lt;=0),"",IF(AND(N269="VOL-OK",Y269="VOL-NORMAL",W269="2ND"),"OK","NG"))</f>
        <v/>
      </c>
      <c r="AA269" s="8">
        <f>IF(OR(D269="",M269&lt;=0),"",IF(AND(E269&gt;I269,F269&gt;J269),"UP",IF(AND(E269&lt;I269,F269&lt;J269),"DOWN","FLAT")))</f>
        <v/>
      </c>
    </row>
    <row r="270" ht="26" customHeight="1" s="1">
      <c r="A270" s="14">
        <f>IF(B270="","",ROW()-2)</f>
        <v/>
      </c>
      <c r="B270" s="15">
        <f>IF('StockList_MS2'!A269="","",HYPERLINK("https://kabutan.jp/stock/?code="&amp;'StockList_MS2'!A269,'StockList_MS2'!A269))</f>
        <v/>
      </c>
      <c r="C270" s="16">
        <f>IF('StockList_MS2'!A269="","",'StockList_MS2'!B269)</f>
        <v/>
      </c>
      <c r="D270" s="17" t="n"/>
      <c r="E270" s="17" t="n"/>
      <c r="F270" s="17" t="n"/>
      <c r="G270" s="17" t="n"/>
      <c r="H270" s="18" t="n"/>
      <c r="I270" s="17" t="n"/>
      <c r="J270" s="17" t="n"/>
      <c r="K270" s="17" t="n"/>
      <c r="L270" s="14">
        <f>IF(D270="","",IF(D270&gt;K270,"BUY-DAY","SELL-DAY"))</f>
        <v/>
      </c>
      <c r="M270" s="19">
        <f>IF(D270="","",MAX(E270-F270,ABS(E270-K270),ABS(F270-K270)))</f>
        <v/>
      </c>
      <c r="N270" s="14">
        <f>IF(D270="","",IF(AND(H270&gt;0,H270&gt;(H270/3)*2.5),"VOL-OK","VOL-NG"))</f>
        <v/>
      </c>
      <c r="O270" s="14">
        <f>IF(D270="","",IF(D270&gt;I270,"ON","OFF"))</f>
        <v/>
      </c>
      <c r="P270" s="14">
        <f>IF(D270="","",IF(D270&lt;J270,"ON","OFF"))</f>
        <v/>
      </c>
      <c r="Q270" s="14">
        <f>IF(OR(D270="",M270&lt;=0),"",IF(AND(L270="BUY-DAY",N270="VOL-OK",P270="ON",Z270="OK",AA270&lt;&gt;"DOWN"),"BUY",IF(AND(L270="SELL-DAY",N270="VOL-OK",O270="ON",Z270="OK",AA270&lt;&gt;"UP"),"SELL","")))</f>
        <v/>
      </c>
      <c r="R270" s="19">
        <f>IF(Q270="","",D270)</f>
        <v/>
      </c>
      <c r="S270" s="19">
        <f>IF(Q270="","",IF(Q270="BUY",D270-M270*1.5,D270+M270*1.5))</f>
        <v/>
      </c>
      <c r="T270" s="19">
        <f>IF(Q270="","",IF(Q270="BUY",D270+M270*1.5,D270-M270*1.5))</f>
        <v/>
      </c>
      <c r="U270" s="19">
        <f>IF(Q270="","",IF(Q270="BUY",D270+M270*2,D270-M270*2))</f>
        <v/>
      </c>
      <c r="V270" s="19">
        <f>IF(Q270="","",IF(Q270="BUY",D270+M270*3,D270-M270*3))</f>
        <v/>
      </c>
      <c r="W270" s="14">
        <f>IF(OR(D270="",M270&lt;=0),"",IF(AND(D270&gt;G270,ABS(D270-G270)&lt;M270*0.5),"2ND","1ST"))</f>
        <v/>
      </c>
      <c r="X270" s="14">
        <f>IF(OR(D270="",M270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0" s="14">
        <f>IF(OR(D270="",M270&lt;=0),"",IF(M270&gt;D270*0.05,"VOL-HIGH","VOL-NORMAL"))</f>
        <v/>
      </c>
      <c r="Z270" s="14">
        <f>IF(OR(D270="",M270&lt;=0),"",IF(AND(N270="VOL-OK",Y270="VOL-NORMAL",W270="2ND"),"OK","NG"))</f>
        <v/>
      </c>
      <c r="AA270" s="14">
        <f>IF(OR(D270="",M270&lt;=0),"",IF(AND(E270&gt;I270,F270&gt;J270),"UP",IF(AND(E270&lt;I270,F270&lt;J270),"DOWN","FLAT")))</f>
        <v/>
      </c>
    </row>
    <row r="271" ht="26" customHeight="1" s="1">
      <c r="A271" s="8">
        <f>IF(B271="","",ROW()-2)</f>
        <v/>
      </c>
      <c r="B271" s="9">
        <f>IF('StockList_MS2'!A270="","",HYPERLINK("https://kabutan.jp/stock/?code="&amp;'StockList_MS2'!A270,'StockList_MS2'!A270))</f>
        <v/>
      </c>
      <c r="C271" s="10">
        <f>IF('StockList_MS2'!A270="","",'StockList_MS2'!B270)</f>
        <v/>
      </c>
      <c r="D271" s="11" t="n"/>
      <c r="E271" s="11" t="n"/>
      <c r="F271" s="11" t="n"/>
      <c r="G271" s="11" t="n"/>
      <c r="H271" s="12" t="n"/>
      <c r="I271" s="11" t="n"/>
      <c r="J271" s="11" t="n"/>
      <c r="K271" s="11" t="n"/>
      <c r="L271" s="8">
        <f>IF(D271="","",IF(D271&gt;K271,"BUY-DAY","SELL-DAY"))</f>
        <v/>
      </c>
      <c r="M271" s="13">
        <f>IF(D271="","",MAX(E271-F271,ABS(E271-K271),ABS(F271-K271)))</f>
        <v/>
      </c>
      <c r="N271" s="8">
        <f>IF(D271="","",IF(AND(H271&gt;0,H271&gt;(H271/3)*2.5),"VOL-OK","VOL-NG"))</f>
        <v/>
      </c>
      <c r="O271" s="8">
        <f>IF(D271="","",IF(D271&gt;I271,"ON","OFF"))</f>
        <v/>
      </c>
      <c r="P271" s="8">
        <f>IF(D271="","",IF(D271&lt;J271,"ON","OFF"))</f>
        <v/>
      </c>
      <c r="Q271" s="8">
        <f>IF(OR(D271="",M271&lt;=0),"",IF(AND(L271="BUY-DAY",N271="VOL-OK",P271="ON",Z271="OK",AA271&lt;&gt;"DOWN"),"BUY",IF(AND(L271="SELL-DAY",N271="VOL-OK",O271="ON",Z271="OK",AA271&lt;&gt;"UP"),"SELL","")))</f>
        <v/>
      </c>
      <c r="R271" s="13">
        <f>IF(Q271="","",D271)</f>
        <v/>
      </c>
      <c r="S271" s="13">
        <f>IF(Q271="","",IF(Q271="BUY",D271-M271*1.5,D271+M271*1.5))</f>
        <v/>
      </c>
      <c r="T271" s="13">
        <f>IF(Q271="","",IF(Q271="BUY",D271+M271*1.5,D271-M271*1.5))</f>
        <v/>
      </c>
      <c r="U271" s="13">
        <f>IF(Q271="","",IF(Q271="BUY",D271+M271*2,D271-M271*2))</f>
        <v/>
      </c>
      <c r="V271" s="13">
        <f>IF(Q271="","",IF(Q271="BUY",D271+M271*3,D271-M271*3))</f>
        <v/>
      </c>
      <c r="W271" s="8">
        <f>IF(OR(D271="",M271&lt;=0),"",IF(AND(D271&gt;G271,ABS(D271-G271)&lt;M271*0.5),"2ND","1ST"))</f>
        <v/>
      </c>
      <c r="X271" s="8">
        <f>IF(OR(D271="",M271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1" s="8">
        <f>IF(OR(D271="",M271&lt;=0),"",IF(M271&gt;D271*0.05,"VOL-HIGH","VOL-NORMAL"))</f>
        <v/>
      </c>
      <c r="Z271" s="8">
        <f>IF(OR(D271="",M271&lt;=0),"",IF(AND(N271="VOL-OK",Y271="VOL-NORMAL",W271="2ND"),"OK","NG"))</f>
        <v/>
      </c>
      <c r="AA271" s="8">
        <f>IF(OR(D271="",M271&lt;=0),"",IF(AND(E271&gt;I271,F271&gt;J271),"UP",IF(AND(E271&lt;I271,F271&lt;J271),"DOWN","FLAT")))</f>
        <v/>
      </c>
    </row>
    <row r="272" ht="26" customHeight="1" s="1">
      <c r="A272" s="14">
        <f>IF(B272="","",ROW()-2)</f>
        <v/>
      </c>
      <c r="B272" s="15">
        <f>IF('StockList_MS2'!A271="","",HYPERLINK("https://kabutan.jp/stock/?code="&amp;'StockList_MS2'!A271,'StockList_MS2'!A271))</f>
        <v/>
      </c>
      <c r="C272" s="16">
        <f>IF('StockList_MS2'!A271="","",'StockList_MS2'!B271)</f>
        <v/>
      </c>
      <c r="D272" s="17" t="n"/>
      <c r="E272" s="17" t="n"/>
      <c r="F272" s="17" t="n"/>
      <c r="G272" s="17" t="n"/>
      <c r="H272" s="18" t="n"/>
      <c r="I272" s="17" t="n"/>
      <c r="J272" s="17" t="n"/>
      <c r="K272" s="17" t="n"/>
      <c r="L272" s="14">
        <f>IF(D272="","",IF(D272&gt;K272,"BUY-DAY","SELL-DAY"))</f>
        <v/>
      </c>
      <c r="M272" s="19">
        <f>IF(D272="","",MAX(E272-F272,ABS(E272-K272),ABS(F272-K272)))</f>
        <v/>
      </c>
      <c r="N272" s="14">
        <f>IF(D272="","",IF(AND(H272&gt;0,H272&gt;(H272/3)*2.5),"VOL-OK","VOL-NG"))</f>
        <v/>
      </c>
      <c r="O272" s="14">
        <f>IF(D272="","",IF(D272&gt;I272,"ON","OFF"))</f>
        <v/>
      </c>
      <c r="P272" s="14">
        <f>IF(D272="","",IF(D272&lt;J272,"ON","OFF"))</f>
        <v/>
      </c>
      <c r="Q272" s="14">
        <f>IF(OR(D272="",M272&lt;=0),"",IF(AND(L272="BUY-DAY",N272="VOL-OK",P272="ON",Z272="OK",AA272&lt;&gt;"DOWN"),"BUY",IF(AND(L272="SELL-DAY",N272="VOL-OK",O272="ON",Z272="OK",AA272&lt;&gt;"UP"),"SELL","")))</f>
        <v/>
      </c>
      <c r="R272" s="19">
        <f>IF(Q272="","",D272)</f>
        <v/>
      </c>
      <c r="S272" s="19">
        <f>IF(Q272="","",IF(Q272="BUY",D272-M272*1.5,D272+M272*1.5))</f>
        <v/>
      </c>
      <c r="T272" s="19">
        <f>IF(Q272="","",IF(Q272="BUY",D272+M272*1.5,D272-M272*1.5))</f>
        <v/>
      </c>
      <c r="U272" s="19">
        <f>IF(Q272="","",IF(Q272="BUY",D272+M272*2,D272-M272*2))</f>
        <v/>
      </c>
      <c r="V272" s="19">
        <f>IF(Q272="","",IF(Q272="BUY",D272+M272*3,D272-M272*3))</f>
        <v/>
      </c>
      <c r="W272" s="14">
        <f>IF(OR(D272="",M272&lt;=0),"",IF(AND(D272&gt;G272,ABS(D272-G272)&lt;M272*0.5),"2ND","1ST"))</f>
        <v/>
      </c>
      <c r="X272" s="14">
        <f>IF(OR(D272="",M272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2" s="14">
        <f>IF(OR(D272="",M272&lt;=0),"",IF(M272&gt;D272*0.05,"VOL-HIGH","VOL-NORMAL"))</f>
        <v/>
      </c>
      <c r="Z272" s="14">
        <f>IF(OR(D272="",M272&lt;=0),"",IF(AND(N272="VOL-OK",Y272="VOL-NORMAL",W272="2ND"),"OK","NG"))</f>
        <v/>
      </c>
      <c r="AA272" s="14">
        <f>IF(OR(D272="",M272&lt;=0),"",IF(AND(E272&gt;I272,F272&gt;J272),"UP",IF(AND(E272&lt;I272,F272&lt;J272),"DOWN","FLAT")))</f>
        <v/>
      </c>
    </row>
    <row r="273" ht="26" customHeight="1" s="1">
      <c r="A273" s="8">
        <f>IF(B273="","",ROW()-2)</f>
        <v/>
      </c>
      <c r="B273" s="9">
        <f>IF('StockList_MS2'!A272="","",HYPERLINK("https://kabutan.jp/stock/?code="&amp;'StockList_MS2'!A272,'StockList_MS2'!A272))</f>
        <v/>
      </c>
      <c r="C273" s="10">
        <f>IF('StockList_MS2'!A272="","",'StockList_MS2'!B272)</f>
        <v/>
      </c>
      <c r="D273" s="11" t="n"/>
      <c r="E273" s="11" t="n"/>
      <c r="F273" s="11" t="n"/>
      <c r="G273" s="11" t="n"/>
      <c r="H273" s="12" t="n"/>
      <c r="I273" s="11" t="n"/>
      <c r="J273" s="11" t="n"/>
      <c r="K273" s="11" t="n"/>
      <c r="L273" s="8">
        <f>IF(D273="","",IF(D273&gt;K273,"BUY-DAY","SELL-DAY"))</f>
        <v/>
      </c>
      <c r="M273" s="13">
        <f>IF(D273="","",MAX(E273-F273,ABS(E273-K273),ABS(F273-K273)))</f>
        <v/>
      </c>
      <c r="N273" s="8">
        <f>IF(D273="","",IF(AND(H273&gt;0,H273&gt;(H273/3)*2.5),"VOL-OK","VOL-NG"))</f>
        <v/>
      </c>
      <c r="O273" s="8">
        <f>IF(D273="","",IF(D273&gt;I273,"ON","OFF"))</f>
        <v/>
      </c>
      <c r="P273" s="8">
        <f>IF(D273="","",IF(D273&lt;J273,"ON","OFF"))</f>
        <v/>
      </c>
      <c r="Q273" s="8">
        <f>IF(OR(D273="",M273&lt;=0),"",IF(AND(L273="BUY-DAY",N273="VOL-OK",P273="ON",Z273="OK",AA273&lt;&gt;"DOWN"),"BUY",IF(AND(L273="SELL-DAY",N273="VOL-OK",O273="ON",Z273="OK",AA273&lt;&gt;"UP"),"SELL","")))</f>
        <v/>
      </c>
      <c r="R273" s="13">
        <f>IF(Q273="","",D273)</f>
        <v/>
      </c>
      <c r="S273" s="13">
        <f>IF(Q273="","",IF(Q273="BUY",D273-M273*1.5,D273+M273*1.5))</f>
        <v/>
      </c>
      <c r="T273" s="13">
        <f>IF(Q273="","",IF(Q273="BUY",D273+M273*1.5,D273-M273*1.5))</f>
        <v/>
      </c>
      <c r="U273" s="13">
        <f>IF(Q273="","",IF(Q273="BUY",D273+M273*2,D273-M273*2))</f>
        <v/>
      </c>
      <c r="V273" s="13">
        <f>IF(Q273="","",IF(Q273="BUY",D273+M273*3,D273-M273*3))</f>
        <v/>
      </c>
      <c r="W273" s="8">
        <f>IF(OR(D273="",M273&lt;=0),"",IF(AND(D273&gt;G273,ABS(D273-G273)&lt;M273*0.5),"2ND","1ST"))</f>
        <v/>
      </c>
      <c r="X273" s="8">
        <f>IF(OR(D273="",M273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3" s="8">
        <f>IF(OR(D273="",M273&lt;=0),"",IF(M273&gt;D273*0.05,"VOL-HIGH","VOL-NORMAL"))</f>
        <v/>
      </c>
      <c r="Z273" s="8">
        <f>IF(OR(D273="",M273&lt;=0),"",IF(AND(N273="VOL-OK",Y273="VOL-NORMAL",W273="2ND"),"OK","NG"))</f>
        <v/>
      </c>
      <c r="AA273" s="8">
        <f>IF(OR(D273="",M273&lt;=0),"",IF(AND(E273&gt;I273,F273&gt;J273),"UP",IF(AND(E273&lt;I273,F273&lt;J273),"DOWN","FLAT")))</f>
        <v/>
      </c>
    </row>
    <row r="274" ht="26" customHeight="1" s="1">
      <c r="A274" s="14">
        <f>IF(B274="","",ROW()-2)</f>
        <v/>
      </c>
      <c r="B274" s="15">
        <f>IF('StockList_MS2'!A273="","",HYPERLINK("https://kabutan.jp/stock/?code="&amp;'StockList_MS2'!A273,'StockList_MS2'!A273))</f>
        <v/>
      </c>
      <c r="C274" s="16">
        <f>IF('StockList_MS2'!A273="","",'StockList_MS2'!B273)</f>
        <v/>
      </c>
      <c r="D274" s="17" t="n"/>
      <c r="E274" s="17" t="n"/>
      <c r="F274" s="17" t="n"/>
      <c r="G274" s="17" t="n"/>
      <c r="H274" s="18" t="n"/>
      <c r="I274" s="17" t="n"/>
      <c r="J274" s="17" t="n"/>
      <c r="K274" s="17" t="n"/>
      <c r="L274" s="14">
        <f>IF(D274="","",IF(D274&gt;K274,"BUY-DAY","SELL-DAY"))</f>
        <v/>
      </c>
      <c r="M274" s="19">
        <f>IF(D274="","",MAX(E274-F274,ABS(E274-K274),ABS(F274-K274)))</f>
        <v/>
      </c>
      <c r="N274" s="14">
        <f>IF(D274="","",IF(AND(H274&gt;0,H274&gt;(H274/3)*2.5),"VOL-OK","VOL-NG"))</f>
        <v/>
      </c>
      <c r="O274" s="14">
        <f>IF(D274="","",IF(D274&gt;I274,"ON","OFF"))</f>
        <v/>
      </c>
      <c r="P274" s="14">
        <f>IF(D274="","",IF(D274&lt;J274,"ON","OFF"))</f>
        <v/>
      </c>
      <c r="Q274" s="14">
        <f>IF(OR(D274="",M274&lt;=0),"",IF(AND(L274="BUY-DAY",N274="VOL-OK",P274="ON",Z274="OK",AA274&lt;&gt;"DOWN"),"BUY",IF(AND(L274="SELL-DAY",N274="VOL-OK",O274="ON",Z274="OK",AA274&lt;&gt;"UP"),"SELL","")))</f>
        <v/>
      </c>
      <c r="R274" s="19">
        <f>IF(Q274="","",D274)</f>
        <v/>
      </c>
      <c r="S274" s="19">
        <f>IF(Q274="","",IF(Q274="BUY",D274-M274*1.5,D274+M274*1.5))</f>
        <v/>
      </c>
      <c r="T274" s="19">
        <f>IF(Q274="","",IF(Q274="BUY",D274+M274*1.5,D274-M274*1.5))</f>
        <v/>
      </c>
      <c r="U274" s="19">
        <f>IF(Q274="","",IF(Q274="BUY",D274+M274*2,D274-M274*2))</f>
        <v/>
      </c>
      <c r="V274" s="19">
        <f>IF(Q274="","",IF(Q274="BUY",D274+M274*3,D274-M274*3))</f>
        <v/>
      </c>
      <c r="W274" s="14">
        <f>IF(OR(D274="",M274&lt;=0),"",IF(AND(D274&gt;G274,ABS(D274-G274)&lt;M274*0.5),"2ND","1ST"))</f>
        <v/>
      </c>
      <c r="X274" s="14">
        <f>IF(OR(D274="",M274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4" s="14">
        <f>IF(OR(D274="",M274&lt;=0),"",IF(M274&gt;D274*0.05,"VOL-HIGH","VOL-NORMAL"))</f>
        <v/>
      </c>
      <c r="Z274" s="14">
        <f>IF(OR(D274="",M274&lt;=0),"",IF(AND(N274="VOL-OK",Y274="VOL-NORMAL",W274="2ND"),"OK","NG"))</f>
        <v/>
      </c>
      <c r="AA274" s="14">
        <f>IF(OR(D274="",M274&lt;=0),"",IF(AND(E274&gt;I274,F274&gt;J274),"UP",IF(AND(E274&lt;I274,F274&lt;J274),"DOWN","FLAT")))</f>
        <v/>
      </c>
    </row>
    <row r="275" ht="26" customHeight="1" s="1">
      <c r="A275" s="8">
        <f>IF(B275="","",ROW()-2)</f>
        <v/>
      </c>
      <c r="B275" s="9">
        <f>IF('StockList_MS2'!A274="","",HYPERLINK("https://kabutan.jp/stock/?code="&amp;'StockList_MS2'!A274,'StockList_MS2'!A274))</f>
        <v/>
      </c>
      <c r="C275" s="10">
        <f>IF('StockList_MS2'!A274="","",'StockList_MS2'!B274)</f>
        <v/>
      </c>
      <c r="D275" s="11" t="n"/>
      <c r="E275" s="11" t="n"/>
      <c r="F275" s="11" t="n"/>
      <c r="G275" s="11" t="n"/>
      <c r="H275" s="12" t="n"/>
      <c r="I275" s="11" t="n"/>
      <c r="J275" s="11" t="n"/>
      <c r="K275" s="11" t="n"/>
      <c r="L275" s="8">
        <f>IF(D275="","",IF(D275&gt;K275,"BUY-DAY","SELL-DAY"))</f>
        <v/>
      </c>
      <c r="M275" s="13">
        <f>IF(D275="","",MAX(E275-F275,ABS(E275-K275),ABS(F275-K275)))</f>
        <v/>
      </c>
      <c r="N275" s="8">
        <f>IF(D275="","",IF(AND(H275&gt;0,H275&gt;(H275/3)*2.5),"VOL-OK","VOL-NG"))</f>
        <v/>
      </c>
      <c r="O275" s="8">
        <f>IF(D275="","",IF(D275&gt;I275,"ON","OFF"))</f>
        <v/>
      </c>
      <c r="P275" s="8">
        <f>IF(D275="","",IF(D275&lt;J275,"ON","OFF"))</f>
        <v/>
      </c>
      <c r="Q275" s="8">
        <f>IF(OR(D275="",M275&lt;=0),"",IF(AND(L275="BUY-DAY",N275="VOL-OK",P275="ON",Z275="OK",AA275&lt;&gt;"DOWN"),"BUY",IF(AND(L275="SELL-DAY",N275="VOL-OK",O275="ON",Z275="OK",AA275&lt;&gt;"UP"),"SELL","")))</f>
        <v/>
      </c>
      <c r="R275" s="13">
        <f>IF(Q275="","",D275)</f>
        <v/>
      </c>
      <c r="S275" s="13">
        <f>IF(Q275="","",IF(Q275="BUY",D275-M275*1.5,D275+M275*1.5))</f>
        <v/>
      </c>
      <c r="T275" s="13">
        <f>IF(Q275="","",IF(Q275="BUY",D275+M275*1.5,D275-M275*1.5))</f>
        <v/>
      </c>
      <c r="U275" s="13">
        <f>IF(Q275="","",IF(Q275="BUY",D275+M275*2,D275-M275*2))</f>
        <v/>
      </c>
      <c r="V275" s="13">
        <f>IF(Q275="","",IF(Q275="BUY",D275+M275*3,D275-M275*3))</f>
        <v/>
      </c>
      <c r="W275" s="8">
        <f>IF(OR(D275="",M275&lt;=0),"",IF(AND(D275&gt;G275,ABS(D275-G275)&lt;M275*0.5),"2ND","1ST"))</f>
        <v/>
      </c>
      <c r="X275" s="8">
        <f>IF(OR(D275="",M275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5" s="8">
        <f>IF(OR(D275="",M275&lt;=0),"",IF(M275&gt;D275*0.05,"VOL-HIGH","VOL-NORMAL"))</f>
        <v/>
      </c>
      <c r="Z275" s="8">
        <f>IF(OR(D275="",M275&lt;=0),"",IF(AND(N275="VOL-OK",Y275="VOL-NORMAL",W275="2ND"),"OK","NG"))</f>
        <v/>
      </c>
      <c r="AA275" s="8">
        <f>IF(OR(D275="",M275&lt;=0),"",IF(AND(E275&gt;I275,F275&gt;J275),"UP",IF(AND(E275&lt;I275,F275&lt;J275),"DOWN","FLAT")))</f>
        <v/>
      </c>
    </row>
    <row r="276" ht="26" customHeight="1" s="1">
      <c r="A276" s="14">
        <f>IF(B276="","",ROW()-2)</f>
        <v/>
      </c>
      <c r="B276" s="15">
        <f>IF('StockList_MS2'!A275="","",HYPERLINK("https://kabutan.jp/stock/?code="&amp;'StockList_MS2'!A275,'StockList_MS2'!A275))</f>
        <v/>
      </c>
      <c r="C276" s="16">
        <f>IF('StockList_MS2'!A275="","",'StockList_MS2'!B275)</f>
        <v/>
      </c>
      <c r="D276" s="17" t="n"/>
      <c r="E276" s="17" t="n"/>
      <c r="F276" s="17" t="n"/>
      <c r="G276" s="17" t="n"/>
      <c r="H276" s="18" t="n"/>
      <c r="I276" s="17" t="n"/>
      <c r="J276" s="17" t="n"/>
      <c r="K276" s="17" t="n"/>
      <c r="L276" s="14">
        <f>IF(D276="","",IF(D276&gt;K276,"BUY-DAY","SELL-DAY"))</f>
        <v/>
      </c>
      <c r="M276" s="19">
        <f>IF(D276="","",MAX(E276-F276,ABS(E276-K276),ABS(F276-K276)))</f>
        <v/>
      </c>
      <c r="N276" s="14">
        <f>IF(D276="","",IF(AND(H276&gt;0,H276&gt;(H276/3)*2.5),"VOL-OK","VOL-NG"))</f>
        <v/>
      </c>
      <c r="O276" s="14">
        <f>IF(D276="","",IF(D276&gt;I276,"ON","OFF"))</f>
        <v/>
      </c>
      <c r="P276" s="14">
        <f>IF(D276="","",IF(D276&lt;J276,"ON","OFF"))</f>
        <v/>
      </c>
      <c r="Q276" s="14">
        <f>IF(OR(D276="",M276&lt;=0),"",IF(AND(L276="BUY-DAY",N276="VOL-OK",P276="ON",Z276="OK",AA276&lt;&gt;"DOWN"),"BUY",IF(AND(L276="SELL-DAY",N276="VOL-OK",O276="ON",Z276="OK",AA276&lt;&gt;"UP"),"SELL","")))</f>
        <v/>
      </c>
      <c r="R276" s="19">
        <f>IF(Q276="","",D276)</f>
        <v/>
      </c>
      <c r="S276" s="19">
        <f>IF(Q276="","",IF(Q276="BUY",D276-M276*1.5,D276+M276*1.5))</f>
        <v/>
      </c>
      <c r="T276" s="19">
        <f>IF(Q276="","",IF(Q276="BUY",D276+M276*1.5,D276-M276*1.5))</f>
        <v/>
      </c>
      <c r="U276" s="19">
        <f>IF(Q276="","",IF(Q276="BUY",D276+M276*2,D276-M276*2))</f>
        <v/>
      </c>
      <c r="V276" s="19">
        <f>IF(Q276="","",IF(Q276="BUY",D276+M276*3,D276-M276*3))</f>
        <v/>
      </c>
      <c r="W276" s="14">
        <f>IF(OR(D276="",M276&lt;=0),"",IF(AND(D276&gt;G276,ABS(D276-G276)&lt;M276*0.5),"2ND","1ST"))</f>
        <v/>
      </c>
      <c r="X276" s="14">
        <f>IF(OR(D276="",M276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6" s="14">
        <f>IF(OR(D276="",M276&lt;=0),"",IF(M276&gt;D276*0.05,"VOL-HIGH","VOL-NORMAL"))</f>
        <v/>
      </c>
      <c r="Z276" s="14">
        <f>IF(OR(D276="",M276&lt;=0),"",IF(AND(N276="VOL-OK",Y276="VOL-NORMAL",W276="2ND"),"OK","NG"))</f>
        <v/>
      </c>
      <c r="AA276" s="14">
        <f>IF(OR(D276="",M276&lt;=0),"",IF(AND(E276&gt;I276,F276&gt;J276),"UP",IF(AND(E276&lt;I276,F276&lt;J276),"DOWN","FLAT")))</f>
        <v/>
      </c>
    </row>
    <row r="277" ht="26" customHeight="1" s="1">
      <c r="A277" s="8">
        <f>IF(B277="","",ROW()-2)</f>
        <v/>
      </c>
      <c r="B277" s="9">
        <f>IF('StockList_MS2'!A276="","",HYPERLINK("https://kabutan.jp/stock/?code="&amp;'StockList_MS2'!A276,'StockList_MS2'!A276))</f>
        <v/>
      </c>
      <c r="C277" s="10">
        <f>IF('StockList_MS2'!A276="","",'StockList_MS2'!B276)</f>
        <v/>
      </c>
      <c r="D277" s="11" t="n"/>
      <c r="E277" s="11" t="n"/>
      <c r="F277" s="11" t="n"/>
      <c r="G277" s="11" t="n"/>
      <c r="H277" s="12" t="n"/>
      <c r="I277" s="11" t="n"/>
      <c r="J277" s="11" t="n"/>
      <c r="K277" s="11" t="n"/>
      <c r="L277" s="8">
        <f>IF(D277="","",IF(D277&gt;K277,"BUY-DAY","SELL-DAY"))</f>
        <v/>
      </c>
      <c r="M277" s="13">
        <f>IF(D277="","",MAX(E277-F277,ABS(E277-K277),ABS(F277-K277)))</f>
        <v/>
      </c>
      <c r="N277" s="8">
        <f>IF(D277="","",IF(AND(H277&gt;0,H277&gt;(H277/3)*2.5),"VOL-OK","VOL-NG"))</f>
        <v/>
      </c>
      <c r="O277" s="8">
        <f>IF(D277="","",IF(D277&gt;I277,"ON","OFF"))</f>
        <v/>
      </c>
      <c r="P277" s="8">
        <f>IF(D277="","",IF(D277&lt;J277,"ON","OFF"))</f>
        <v/>
      </c>
      <c r="Q277" s="8">
        <f>IF(OR(D277="",M277&lt;=0),"",IF(AND(L277="BUY-DAY",N277="VOL-OK",P277="ON",Z277="OK",AA277&lt;&gt;"DOWN"),"BUY",IF(AND(L277="SELL-DAY",N277="VOL-OK",O277="ON",Z277="OK",AA277&lt;&gt;"UP"),"SELL","")))</f>
        <v/>
      </c>
      <c r="R277" s="13">
        <f>IF(Q277="","",D277)</f>
        <v/>
      </c>
      <c r="S277" s="13">
        <f>IF(Q277="","",IF(Q277="BUY",D277-M277*1.5,D277+M277*1.5))</f>
        <v/>
      </c>
      <c r="T277" s="13">
        <f>IF(Q277="","",IF(Q277="BUY",D277+M277*1.5,D277-M277*1.5))</f>
        <v/>
      </c>
      <c r="U277" s="13">
        <f>IF(Q277="","",IF(Q277="BUY",D277+M277*2,D277-M277*2))</f>
        <v/>
      </c>
      <c r="V277" s="13">
        <f>IF(Q277="","",IF(Q277="BUY",D277+M277*3,D277-M277*3))</f>
        <v/>
      </c>
      <c r="W277" s="8">
        <f>IF(OR(D277="",M277&lt;=0),"",IF(AND(D277&gt;G277,ABS(D277-G277)&lt;M277*0.5),"2ND","1ST"))</f>
        <v/>
      </c>
      <c r="X277" s="8">
        <f>IF(OR(D277="",M277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7" s="8">
        <f>IF(OR(D277="",M277&lt;=0),"",IF(M277&gt;D277*0.05,"VOL-HIGH","VOL-NORMAL"))</f>
        <v/>
      </c>
      <c r="Z277" s="8">
        <f>IF(OR(D277="",M277&lt;=0),"",IF(AND(N277="VOL-OK",Y277="VOL-NORMAL",W277="2ND"),"OK","NG"))</f>
        <v/>
      </c>
      <c r="AA277" s="8">
        <f>IF(OR(D277="",M277&lt;=0),"",IF(AND(E277&gt;I277,F277&gt;J277),"UP",IF(AND(E277&lt;I277,F277&lt;J277),"DOWN","FLAT")))</f>
        <v/>
      </c>
    </row>
    <row r="278" ht="26" customHeight="1" s="1">
      <c r="A278" s="14">
        <f>IF(B278="","",ROW()-2)</f>
        <v/>
      </c>
      <c r="B278" s="15">
        <f>IF('StockList_MS2'!A277="","",HYPERLINK("https://kabutan.jp/stock/?code="&amp;'StockList_MS2'!A277,'StockList_MS2'!A277))</f>
        <v/>
      </c>
      <c r="C278" s="16">
        <f>IF('StockList_MS2'!A277="","",'StockList_MS2'!B277)</f>
        <v/>
      </c>
      <c r="D278" s="17" t="n"/>
      <c r="E278" s="17" t="n"/>
      <c r="F278" s="17" t="n"/>
      <c r="G278" s="17" t="n"/>
      <c r="H278" s="18" t="n"/>
      <c r="I278" s="17" t="n"/>
      <c r="J278" s="17" t="n"/>
      <c r="K278" s="17" t="n"/>
      <c r="L278" s="14">
        <f>IF(D278="","",IF(D278&gt;K278,"BUY-DAY","SELL-DAY"))</f>
        <v/>
      </c>
      <c r="M278" s="19">
        <f>IF(D278="","",MAX(E278-F278,ABS(E278-K278),ABS(F278-K278)))</f>
        <v/>
      </c>
      <c r="N278" s="14">
        <f>IF(D278="","",IF(AND(H278&gt;0,H278&gt;(H278/3)*2.5),"VOL-OK","VOL-NG"))</f>
        <v/>
      </c>
      <c r="O278" s="14">
        <f>IF(D278="","",IF(D278&gt;I278,"ON","OFF"))</f>
        <v/>
      </c>
      <c r="P278" s="14">
        <f>IF(D278="","",IF(D278&lt;J278,"ON","OFF"))</f>
        <v/>
      </c>
      <c r="Q278" s="14">
        <f>IF(OR(D278="",M278&lt;=0),"",IF(AND(L278="BUY-DAY",N278="VOL-OK",P278="ON",Z278="OK",AA278&lt;&gt;"DOWN"),"BUY",IF(AND(L278="SELL-DAY",N278="VOL-OK",O278="ON",Z278="OK",AA278&lt;&gt;"UP"),"SELL","")))</f>
        <v/>
      </c>
      <c r="R278" s="19">
        <f>IF(Q278="","",D278)</f>
        <v/>
      </c>
      <c r="S278" s="19">
        <f>IF(Q278="","",IF(Q278="BUY",D278-M278*1.5,D278+M278*1.5))</f>
        <v/>
      </c>
      <c r="T278" s="19">
        <f>IF(Q278="","",IF(Q278="BUY",D278+M278*1.5,D278-M278*1.5))</f>
        <v/>
      </c>
      <c r="U278" s="19">
        <f>IF(Q278="","",IF(Q278="BUY",D278+M278*2,D278-M278*2))</f>
        <v/>
      </c>
      <c r="V278" s="19">
        <f>IF(Q278="","",IF(Q278="BUY",D278+M278*3,D278-M278*3))</f>
        <v/>
      </c>
      <c r="W278" s="14">
        <f>IF(OR(D278="",M278&lt;=0),"",IF(AND(D278&gt;G278,ABS(D278-G278)&lt;M278*0.5),"2ND","1ST"))</f>
        <v/>
      </c>
      <c r="X278" s="14">
        <f>IF(OR(D278="",M278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8" s="14">
        <f>IF(OR(D278="",M278&lt;=0),"",IF(M278&gt;D278*0.05,"VOL-HIGH","VOL-NORMAL"))</f>
        <v/>
      </c>
      <c r="Z278" s="14">
        <f>IF(OR(D278="",M278&lt;=0),"",IF(AND(N278="VOL-OK",Y278="VOL-NORMAL",W278="2ND"),"OK","NG"))</f>
        <v/>
      </c>
      <c r="AA278" s="14">
        <f>IF(OR(D278="",M278&lt;=0),"",IF(AND(E278&gt;I278,F278&gt;J278),"UP",IF(AND(E278&lt;I278,F278&lt;J278),"DOWN","FLAT")))</f>
        <v/>
      </c>
    </row>
    <row r="279" ht="26" customHeight="1" s="1">
      <c r="A279" s="8">
        <f>IF(B279="","",ROW()-2)</f>
        <v/>
      </c>
      <c r="B279" s="9">
        <f>IF('StockList_MS2'!A278="","",HYPERLINK("https://kabutan.jp/stock/?code="&amp;'StockList_MS2'!A278,'StockList_MS2'!A278))</f>
        <v/>
      </c>
      <c r="C279" s="10">
        <f>IF('StockList_MS2'!A278="","",'StockList_MS2'!B278)</f>
        <v/>
      </c>
      <c r="D279" s="11" t="n"/>
      <c r="E279" s="11" t="n"/>
      <c r="F279" s="11" t="n"/>
      <c r="G279" s="11" t="n"/>
      <c r="H279" s="12" t="n"/>
      <c r="I279" s="11" t="n"/>
      <c r="J279" s="11" t="n"/>
      <c r="K279" s="11" t="n"/>
      <c r="L279" s="8">
        <f>IF(D279="","",IF(D279&gt;K279,"BUY-DAY","SELL-DAY"))</f>
        <v/>
      </c>
      <c r="M279" s="13">
        <f>IF(D279="","",MAX(E279-F279,ABS(E279-K279),ABS(F279-K279)))</f>
        <v/>
      </c>
      <c r="N279" s="8">
        <f>IF(D279="","",IF(AND(H279&gt;0,H279&gt;(H279/3)*2.5),"VOL-OK","VOL-NG"))</f>
        <v/>
      </c>
      <c r="O279" s="8">
        <f>IF(D279="","",IF(D279&gt;I279,"ON","OFF"))</f>
        <v/>
      </c>
      <c r="P279" s="8">
        <f>IF(D279="","",IF(D279&lt;J279,"ON","OFF"))</f>
        <v/>
      </c>
      <c r="Q279" s="8">
        <f>IF(OR(D279="",M279&lt;=0),"",IF(AND(L279="BUY-DAY",N279="VOL-OK",P279="ON",Z279="OK",AA279&lt;&gt;"DOWN"),"BUY",IF(AND(L279="SELL-DAY",N279="VOL-OK",O279="ON",Z279="OK",AA279&lt;&gt;"UP"),"SELL","")))</f>
        <v/>
      </c>
      <c r="R279" s="13">
        <f>IF(Q279="","",D279)</f>
        <v/>
      </c>
      <c r="S279" s="13">
        <f>IF(Q279="","",IF(Q279="BUY",D279-M279*1.5,D279+M279*1.5))</f>
        <v/>
      </c>
      <c r="T279" s="13">
        <f>IF(Q279="","",IF(Q279="BUY",D279+M279*1.5,D279-M279*1.5))</f>
        <v/>
      </c>
      <c r="U279" s="13">
        <f>IF(Q279="","",IF(Q279="BUY",D279+M279*2,D279-M279*2))</f>
        <v/>
      </c>
      <c r="V279" s="13">
        <f>IF(Q279="","",IF(Q279="BUY",D279+M279*3,D279-M279*3))</f>
        <v/>
      </c>
      <c r="W279" s="8">
        <f>IF(OR(D279="",M279&lt;=0),"",IF(AND(D279&gt;G279,ABS(D279-G279)&lt;M279*0.5),"2ND","1ST"))</f>
        <v/>
      </c>
      <c r="X279" s="8">
        <f>IF(OR(D279="",M279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79" s="8">
        <f>IF(OR(D279="",M279&lt;=0),"",IF(M279&gt;D279*0.05,"VOL-HIGH","VOL-NORMAL"))</f>
        <v/>
      </c>
      <c r="Z279" s="8">
        <f>IF(OR(D279="",M279&lt;=0),"",IF(AND(N279="VOL-OK",Y279="VOL-NORMAL",W279="2ND"),"OK","NG"))</f>
        <v/>
      </c>
      <c r="AA279" s="8">
        <f>IF(OR(D279="",M279&lt;=0),"",IF(AND(E279&gt;I279,F279&gt;J279),"UP",IF(AND(E279&lt;I279,F279&lt;J279),"DOWN","FLAT")))</f>
        <v/>
      </c>
    </row>
    <row r="280" ht="26" customHeight="1" s="1">
      <c r="A280" s="14">
        <f>IF(B280="","",ROW()-2)</f>
        <v/>
      </c>
      <c r="B280" s="15">
        <f>IF('StockList_MS2'!A279="","",HYPERLINK("https://kabutan.jp/stock/?code="&amp;'StockList_MS2'!A279,'StockList_MS2'!A279))</f>
        <v/>
      </c>
      <c r="C280" s="16">
        <f>IF('StockList_MS2'!A279="","",'StockList_MS2'!B279)</f>
        <v/>
      </c>
      <c r="D280" s="17" t="n"/>
      <c r="E280" s="17" t="n"/>
      <c r="F280" s="17" t="n"/>
      <c r="G280" s="17" t="n"/>
      <c r="H280" s="18" t="n"/>
      <c r="I280" s="17" t="n"/>
      <c r="J280" s="17" t="n"/>
      <c r="K280" s="17" t="n"/>
      <c r="L280" s="14">
        <f>IF(D280="","",IF(D280&gt;K280,"BUY-DAY","SELL-DAY"))</f>
        <v/>
      </c>
      <c r="M280" s="19">
        <f>IF(D280="","",MAX(E280-F280,ABS(E280-K280),ABS(F280-K280)))</f>
        <v/>
      </c>
      <c r="N280" s="14">
        <f>IF(D280="","",IF(AND(H280&gt;0,H280&gt;(H280/3)*2.5),"VOL-OK","VOL-NG"))</f>
        <v/>
      </c>
      <c r="O280" s="14">
        <f>IF(D280="","",IF(D280&gt;I280,"ON","OFF"))</f>
        <v/>
      </c>
      <c r="P280" s="14">
        <f>IF(D280="","",IF(D280&lt;J280,"ON","OFF"))</f>
        <v/>
      </c>
      <c r="Q280" s="14">
        <f>IF(OR(D280="",M280&lt;=0),"",IF(AND(L280="BUY-DAY",N280="VOL-OK",P280="ON",Z280="OK",AA280&lt;&gt;"DOWN"),"BUY",IF(AND(L280="SELL-DAY",N280="VOL-OK",O280="ON",Z280="OK",AA280&lt;&gt;"UP"),"SELL","")))</f>
        <v/>
      </c>
      <c r="R280" s="19">
        <f>IF(Q280="","",D280)</f>
        <v/>
      </c>
      <c r="S280" s="19">
        <f>IF(Q280="","",IF(Q280="BUY",D280-M280*1.5,D280+M280*1.5))</f>
        <v/>
      </c>
      <c r="T280" s="19">
        <f>IF(Q280="","",IF(Q280="BUY",D280+M280*1.5,D280-M280*1.5))</f>
        <v/>
      </c>
      <c r="U280" s="19">
        <f>IF(Q280="","",IF(Q280="BUY",D280+M280*2,D280-M280*2))</f>
        <v/>
      </c>
      <c r="V280" s="19">
        <f>IF(Q280="","",IF(Q280="BUY",D280+M280*3,D280-M280*3))</f>
        <v/>
      </c>
      <c r="W280" s="14">
        <f>IF(OR(D280="",M280&lt;=0),"",IF(AND(D280&gt;G280,ABS(D280-G280)&lt;M280*0.5),"2ND","1ST"))</f>
        <v/>
      </c>
      <c r="X280" s="14">
        <f>IF(OR(D280="",M280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0" s="14">
        <f>IF(OR(D280="",M280&lt;=0),"",IF(M280&gt;D280*0.05,"VOL-HIGH","VOL-NORMAL"))</f>
        <v/>
      </c>
      <c r="Z280" s="14">
        <f>IF(OR(D280="",M280&lt;=0),"",IF(AND(N280="VOL-OK",Y280="VOL-NORMAL",W280="2ND"),"OK","NG"))</f>
        <v/>
      </c>
      <c r="AA280" s="14">
        <f>IF(OR(D280="",M280&lt;=0),"",IF(AND(E280&gt;I280,F280&gt;J280),"UP",IF(AND(E280&lt;I280,F280&lt;J280),"DOWN","FLAT")))</f>
        <v/>
      </c>
    </row>
    <row r="281" ht="26" customHeight="1" s="1">
      <c r="A281" s="8">
        <f>IF(B281="","",ROW()-2)</f>
        <v/>
      </c>
      <c r="B281" s="9">
        <f>IF('StockList_MS2'!A280="","",HYPERLINK("https://kabutan.jp/stock/?code="&amp;'StockList_MS2'!A280,'StockList_MS2'!A280))</f>
        <v/>
      </c>
      <c r="C281" s="10">
        <f>IF('StockList_MS2'!A280="","",'StockList_MS2'!B280)</f>
        <v/>
      </c>
      <c r="D281" s="11" t="n"/>
      <c r="E281" s="11" t="n"/>
      <c r="F281" s="11" t="n"/>
      <c r="G281" s="11" t="n"/>
      <c r="H281" s="12" t="n"/>
      <c r="I281" s="11" t="n"/>
      <c r="J281" s="11" t="n"/>
      <c r="K281" s="11" t="n"/>
      <c r="L281" s="8">
        <f>IF(D281="","",IF(D281&gt;K281,"BUY-DAY","SELL-DAY"))</f>
        <v/>
      </c>
      <c r="M281" s="13">
        <f>IF(D281="","",MAX(E281-F281,ABS(E281-K281),ABS(F281-K281)))</f>
        <v/>
      </c>
      <c r="N281" s="8">
        <f>IF(D281="","",IF(AND(H281&gt;0,H281&gt;(H281/3)*2.5),"VOL-OK","VOL-NG"))</f>
        <v/>
      </c>
      <c r="O281" s="8">
        <f>IF(D281="","",IF(D281&gt;I281,"ON","OFF"))</f>
        <v/>
      </c>
      <c r="P281" s="8">
        <f>IF(D281="","",IF(D281&lt;J281,"ON","OFF"))</f>
        <v/>
      </c>
      <c r="Q281" s="8">
        <f>IF(OR(D281="",M281&lt;=0),"",IF(AND(L281="BUY-DAY",N281="VOL-OK",P281="ON",Z281="OK",AA281&lt;&gt;"DOWN"),"BUY",IF(AND(L281="SELL-DAY",N281="VOL-OK",O281="ON",Z281="OK",AA281&lt;&gt;"UP"),"SELL","")))</f>
        <v/>
      </c>
      <c r="R281" s="13">
        <f>IF(Q281="","",D281)</f>
        <v/>
      </c>
      <c r="S281" s="13">
        <f>IF(Q281="","",IF(Q281="BUY",D281-M281*1.5,D281+M281*1.5))</f>
        <v/>
      </c>
      <c r="T281" s="13">
        <f>IF(Q281="","",IF(Q281="BUY",D281+M281*1.5,D281-M281*1.5))</f>
        <v/>
      </c>
      <c r="U281" s="13">
        <f>IF(Q281="","",IF(Q281="BUY",D281+M281*2,D281-M281*2))</f>
        <v/>
      </c>
      <c r="V281" s="13">
        <f>IF(Q281="","",IF(Q281="BUY",D281+M281*3,D281-M281*3))</f>
        <v/>
      </c>
      <c r="W281" s="8">
        <f>IF(OR(D281="",M281&lt;=0),"",IF(AND(D281&gt;G281,ABS(D281-G281)&lt;M281*0.5),"2ND","1ST"))</f>
        <v/>
      </c>
      <c r="X281" s="8">
        <f>IF(OR(D281="",M281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1" s="8">
        <f>IF(OR(D281="",M281&lt;=0),"",IF(M281&gt;D281*0.05,"VOL-HIGH","VOL-NORMAL"))</f>
        <v/>
      </c>
      <c r="Z281" s="8">
        <f>IF(OR(D281="",M281&lt;=0),"",IF(AND(N281="VOL-OK",Y281="VOL-NORMAL",W281="2ND"),"OK","NG"))</f>
        <v/>
      </c>
      <c r="AA281" s="8">
        <f>IF(OR(D281="",M281&lt;=0),"",IF(AND(E281&gt;I281,F281&gt;J281),"UP",IF(AND(E281&lt;I281,F281&lt;J281),"DOWN","FLAT")))</f>
        <v/>
      </c>
    </row>
    <row r="282" ht="26" customHeight="1" s="1">
      <c r="A282" s="14">
        <f>IF(B282="","",ROW()-2)</f>
        <v/>
      </c>
      <c r="B282" s="15">
        <f>IF('StockList_MS2'!A281="","",HYPERLINK("https://kabutan.jp/stock/?code="&amp;'StockList_MS2'!A281,'StockList_MS2'!A281))</f>
        <v/>
      </c>
      <c r="C282" s="16">
        <f>IF('StockList_MS2'!A281="","",'StockList_MS2'!B281)</f>
        <v/>
      </c>
      <c r="D282" s="17" t="n"/>
      <c r="E282" s="17" t="n"/>
      <c r="F282" s="17" t="n"/>
      <c r="G282" s="17" t="n"/>
      <c r="H282" s="18" t="n"/>
      <c r="I282" s="17" t="n"/>
      <c r="J282" s="17" t="n"/>
      <c r="K282" s="17" t="n"/>
      <c r="L282" s="14">
        <f>IF(D282="","",IF(D282&gt;K282,"BUY-DAY","SELL-DAY"))</f>
        <v/>
      </c>
      <c r="M282" s="19">
        <f>IF(D282="","",MAX(E282-F282,ABS(E282-K282),ABS(F282-K282)))</f>
        <v/>
      </c>
      <c r="N282" s="14">
        <f>IF(D282="","",IF(AND(H282&gt;0,H282&gt;(H282/3)*2.5),"VOL-OK","VOL-NG"))</f>
        <v/>
      </c>
      <c r="O282" s="14">
        <f>IF(D282="","",IF(D282&gt;I282,"ON","OFF"))</f>
        <v/>
      </c>
      <c r="P282" s="14">
        <f>IF(D282="","",IF(D282&lt;J282,"ON","OFF"))</f>
        <v/>
      </c>
      <c r="Q282" s="14">
        <f>IF(OR(D282="",M282&lt;=0),"",IF(AND(L282="BUY-DAY",N282="VOL-OK",P282="ON",Z282="OK",AA282&lt;&gt;"DOWN"),"BUY",IF(AND(L282="SELL-DAY",N282="VOL-OK",O282="ON",Z282="OK",AA282&lt;&gt;"UP"),"SELL","")))</f>
        <v/>
      </c>
      <c r="R282" s="19">
        <f>IF(Q282="","",D282)</f>
        <v/>
      </c>
      <c r="S282" s="19">
        <f>IF(Q282="","",IF(Q282="BUY",D282-M282*1.5,D282+M282*1.5))</f>
        <v/>
      </c>
      <c r="T282" s="19">
        <f>IF(Q282="","",IF(Q282="BUY",D282+M282*1.5,D282-M282*1.5))</f>
        <v/>
      </c>
      <c r="U282" s="19">
        <f>IF(Q282="","",IF(Q282="BUY",D282+M282*2,D282-M282*2))</f>
        <v/>
      </c>
      <c r="V282" s="19">
        <f>IF(Q282="","",IF(Q282="BUY",D282+M282*3,D282-M282*3))</f>
        <v/>
      </c>
      <c r="W282" s="14">
        <f>IF(OR(D282="",M282&lt;=0),"",IF(AND(D282&gt;G282,ABS(D282-G282)&lt;M282*0.5),"2ND","1ST"))</f>
        <v/>
      </c>
      <c r="X282" s="14">
        <f>IF(OR(D282="",M282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2" s="14">
        <f>IF(OR(D282="",M282&lt;=0),"",IF(M282&gt;D282*0.05,"VOL-HIGH","VOL-NORMAL"))</f>
        <v/>
      </c>
      <c r="Z282" s="14">
        <f>IF(OR(D282="",M282&lt;=0),"",IF(AND(N282="VOL-OK",Y282="VOL-NORMAL",W282="2ND"),"OK","NG"))</f>
        <v/>
      </c>
      <c r="AA282" s="14">
        <f>IF(OR(D282="",M282&lt;=0),"",IF(AND(E282&gt;I282,F282&gt;J282),"UP",IF(AND(E282&lt;I282,F282&lt;J282),"DOWN","FLAT")))</f>
        <v/>
      </c>
    </row>
    <row r="283" ht="26" customHeight="1" s="1">
      <c r="A283" s="8">
        <f>IF(B283="","",ROW()-2)</f>
        <v/>
      </c>
      <c r="B283" s="9">
        <f>IF('StockList_MS2'!A282="","",HYPERLINK("https://kabutan.jp/stock/?code="&amp;'StockList_MS2'!A282,'StockList_MS2'!A282))</f>
        <v/>
      </c>
      <c r="C283" s="10">
        <f>IF('StockList_MS2'!A282="","",'StockList_MS2'!B282)</f>
        <v/>
      </c>
      <c r="D283" s="11" t="n"/>
      <c r="E283" s="11" t="n"/>
      <c r="F283" s="11" t="n"/>
      <c r="G283" s="11" t="n"/>
      <c r="H283" s="12" t="n"/>
      <c r="I283" s="11" t="n"/>
      <c r="J283" s="11" t="n"/>
      <c r="K283" s="11" t="n"/>
      <c r="L283" s="8">
        <f>IF(D283="","",IF(D283&gt;K283,"BUY-DAY","SELL-DAY"))</f>
        <v/>
      </c>
      <c r="M283" s="13">
        <f>IF(D283="","",MAX(E283-F283,ABS(E283-K283),ABS(F283-K283)))</f>
        <v/>
      </c>
      <c r="N283" s="8">
        <f>IF(D283="","",IF(AND(H283&gt;0,H283&gt;(H283/3)*2.5),"VOL-OK","VOL-NG"))</f>
        <v/>
      </c>
      <c r="O283" s="8">
        <f>IF(D283="","",IF(D283&gt;I283,"ON","OFF"))</f>
        <v/>
      </c>
      <c r="P283" s="8">
        <f>IF(D283="","",IF(D283&lt;J283,"ON","OFF"))</f>
        <v/>
      </c>
      <c r="Q283" s="8">
        <f>IF(OR(D283="",M283&lt;=0),"",IF(AND(L283="BUY-DAY",N283="VOL-OK",P283="ON",Z283="OK",AA283&lt;&gt;"DOWN"),"BUY",IF(AND(L283="SELL-DAY",N283="VOL-OK",O283="ON",Z283="OK",AA283&lt;&gt;"UP"),"SELL","")))</f>
        <v/>
      </c>
      <c r="R283" s="13">
        <f>IF(Q283="","",D283)</f>
        <v/>
      </c>
      <c r="S283" s="13">
        <f>IF(Q283="","",IF(Q283="BUY",D283-M283*1.5,D283+M283*1.5))</f>
        <v/>
      </c>
      <c r="T283" s="13">
        <f>IF(Q283="","",IF(Q283="BUY",D283+M283*1.5,D283-M283*1.5))</f>
        <v/>
      </c>
      <c r="U283" s="13">
        <f>IF(Q283="","",IF(Q283="BUY",D283+M283*2,D283-M283*2))</f>
        <v/>
      </c>
      <c r="V283" s="13">
        <f>IF(Q283="","",IF(Q283="BUY",D283+M283*3,D283-M283*3))</f>
        <v/>
      </c>
      <c r="W283" s="8">
        <f>IF(OR(D283="",M283&lt;=0),"",IF(AND(D283&gt;G283,ABS(D283-G283)&lt;M283*0.5),"2ND","1ST"))</f>
        <v/>
      </c>
      <c r="X283" s="8">
        <f>IF(OR(D283="",M283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3" s="8">
        <f>IF(OR(D283="",M283&lt;=0),"",IF(M283&gt;D283*0.05,"VOL-HIGH","VOL-NORMAL"))</f>
        <v/>
      </c>
      <c r="Z283" s="8">
        <f>IF(OR(D283="",M283&lt;=0),"",IF(AND(N283="VOL-OK",Y283="VOL-NORMAL",W283="2ND"),"OK","NG"))</f>
        <v/>
      </c>
      <c r="AA283" s="8">
        <f>IF(OR(D283="",M283&lt;=0),"",IF(AND(E283&gt;I283,F283&gt;J283),"UP",IF(AND(E283&lt;I283,F283&lt;J283),"DOWN","FLAT")))</f>
        <v/>
      </c>
    </row>
    <row r="284" ht="26" customHeight="1" s="1">
      <c r="A284" s="14">
        <f>IF(B284="","",ROW()-2)</f>
        <v/>
      </c>
      <c r="B284" s="15">
        <f>IF('StockList_MS2'!A283="","",HYPERLINK("https://kabutan.jp/stock/?code="&amp;'StockList_MS2'!A283,'StockList_MS2'!A283))</f>
        <v/>
      </c>
      <c r="C284" s="16">
        <f>IF('StockList_MS2'!A283="","",'StockList_MS2'!B283)</f>
        <v/>
      </c>
      <c r="D284" s="17" t="n"/>
      <c r="E284" s="17" t="n"/>
      <c r="F284" s="17" t="n"/>
      <c r="G284" s="17" t="n"/>
      <c r="H284" s="18" t="n"/>
      <c r="I284" s="17" t="n"/>
      <c r="J284" s="17" t="n"/>
      <c r="K284" s="17" t="n"/>
      <c r="L284" s="14">
        <f>IF(D284="","",IF(D284&gt;K284,"BUY-DAY","SELL-DAY"))</f>
        <v/>
      </c>
      <c r="M284" s="19">
        <f>IF(D284="","",MAX(E284-F284,ABS(E284-K284),ABS(F284-K284)))</f>
        <v/>
      </c>
      <c r="N284" s="14">
        <f>IF(D284="","",IF(AND(H284&gt;0,H284&gt;(H284/3)*2.5),"VOL-OK","VOL-NG"))</f>
        <v/>
      </c>
      <c r="O284" s="14">
        <f>IF(D284="","",IF(D284&gt;I284,"ON","OFF"))</f>
        <v/>
      </c>
      <c r="P284" s="14">
        <f>IF(D284="","",IF(D284&lt;J284,"ON","OFF"))</f>
        <v/>
      </c>
      <c r="Q284" s="14">
        <f>IF(OR(D284="",M284&lt;=0),"",IF(AND(L284="BUY-DAY",N284="VOL-OK",P284="ON",Z284="OK",AA284&lt;&gt;"DOWN"),"BUY",IF(AND(L284="SELL-DAY",N284="VOL-OK",O284="ON",Z284="OK",AA284&lt;&gt;"UP"),"SELL","")))</f>
        <v/>
      </c>
      <c r="R284" s="19">
        <f>IF(Q284="","",D284)</f>
        <v/>
      </c>
      <c r="S284" s="19">
        <f>IF(Q284="","",IF(Q284="BUY",D284-M284*1.5,D284+M284*1.5))</f>
        <v/>
      </c>
      <c r="T284" s="19">
        <f>IF(Q284="","",IF(Q284="BUY",D284+M284*1.5,D284-M284*1.5))</f>
        <v/>
      </c>
      <c r="U284" s="19">
        <f>IF(Q284="","",IF(Q284="BUY",D284+M284*2,D284-M284*2))</f>
        <v/>
      </c>
      <c r="V284" s="19">
        <f>IF(Q284="","",IF(Q284="BUY",D284+M284*3,D284-M284*3))</f>
        <v/>
      </c>
      <c r="W284" s="14">
        <f>IF(OR(D284="",M284&lt;=0),"",IF(AND(D284&gt;G284,ABS(D284-G284)&lt;M284*0.5),"2ND","1ST"))</f>
        <v/>
      </c>
      <c r="X284" s="14">
        <f>IF(OR(D284="",M284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4" s="14">
        <f>IF(OR(D284="",M284&lt;=0),"",IF(M284&gt;D284*0.05,"VOL-HIGH","VOL-NORMAL"))</f>
        <v/>
      </c>
      <c r="Z284" s="14">
        <f>IF(OR(D284="",M284&lt;=0),"",IF(AND(N284="VOL-OK",Y284="VOL-NORMAL",W284="2ND"),"OK","NG"))</f>
        <v/>
      </c>
      <c r="AA284" s="14">
        <f>IF(OR(D284="",M284&lt;=0),"",IF(AND(E284&gt;I284,F284&gt;J284),"UP",IF(AND(E284&lt;I284,F284&lt;J284),"DOWN","FLAT")))</f>
        <v/>
      </c>
    </row>
    <row r="285" ht="26" customHeight="1" s="1">
      <c r="A285" s="8">
        <f>IF(B285="","",ROW()-2)</f>
        <v/>
      </c>
      <c r="B285" s="9">
        <f>IF('StockList_MS2'!A284="","",HYPERLINK("https://kabutan.jp/stock/?code="&amp;'StockList_MS2'!A284,'StockList_MS2'!A284))</f>
        <v/>
      </c>
      <c r="C285" s="10">
        <f>IF('StockList_MS2'!A284="","",'StockList_MS2'!B284)</f>
        <v/>
      </c>
      <c r="D285" s="11" t="n"/>
      <c r="E285" s="11" t="n"/>
      <c r="F285" s="11" t="n"/>
      <c r="G285" s="11" t="n"/>
      <c r="H285" s="12" t="n"/>
      <c r="I285" s="11" t="n"/>
      <c r="J285" s="11" t="n"/>
      <c r="K285" s="11" t="n"/>
      <c r="L285" s="8">
        <f>IF(D285="","",IF(D285&gt;K285,"BUY-DAY","SELL-DAY"))</f>
        <v/>
      </c>
      <c r="M285" s="13">
        <f>IF(D285="","",MAX(E285-F285,ABS(E285-K285),ABS(F285-K285)))</f>
        <v/>
      </c>
      <c r="N285" s="8">
        <f>IF(D285="","",IF(AND(H285&gt;0,H285&gt;(H285/3)*2.5),"VOL-OK","VOL-NG"))</f>
        <v/>
      </c>
      <c r="O285" s="8">
        <f>IF(D285="","",IF(D285&gt;I285,"ON","OFF"))</f>
        <v/>
      </c>
      <c r="P285" s="8">
        <f>IF(D285="","",IF(D285&lt;J285,"ON","OFF"))</f>
        <v/>
      </c>
      <c r="Q285" s="8">
        <f>IF(OR(D285="",M285&lt;=0),"",IF(AND(L285="BUY-DAY",N285="VOL-OK",P285="ON",Z285="OK",AA285&lt;&gt;"DOWN"),"BUY",IF(AND(L285="SELL-DAY",N285="VOL-OK",O285="ON",Z285="OK",AA285&lt;&gt;"UP"),"SELL","")))</f>
        <v/>
      </c>
      <c r="R285" s="13">
        <f>IF(Q285="","",D285)</f>
        <v/>
      </c>
      <c r="S285" s="13">
        <f>IF(Q285="","",IF(Q285="BUY",D285-M285*1.5,D285+M285*1.5))</f>
        <v/>
      </c>
      <c r="T285" s="13">
        <f>IF(Q285="","",IF(Q285="BUY",D285+M285*1.5,D285-M285*1.5))</f>
        <v/>
      </c>
      <c r="U285" s="13">
        <f>IF(Q285="","",IF(Q285="BUY",D285+M285*2,D285-M285*2))</f>
        <v/>
      </c>
      <c r="V285" s="13">
        <f>IF(Q285="","",IF(Q285="BUY",D285+M285*3,D285-M285*3))</f>
        <v/>
      </c>
      <c r="W285" s="8">
        <f>IF(OR(D285="",M285&lt;=0),"",IF(AND(D285&gt;G285,ABS(D285-G285)&lt;M285*0.5),"2ND","1ST"))</f>
        <v/>
      </c>
      <c r="X285" s="8">
        <f>IF(OR(D285="",M285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5" s="8">
        <f>IF(OR(D285="",M285&lt;=0),"",IF(M285&gt;D285*0.05,"VOL-HIGH","VOL-NORMAL"))</f>
        <v/>
      </c>
      <c r="Z285" s="8">
        <f>IF(OR(D285="",M285&lt;=0),"",IF(AND(N285="VOL-OK",Y285="VOL-NORMAL",W285="2ND"),"OK","NG"))</f>
        <v/>
      </c>
      <c r="AA285" s="8">
        <f>IF(OR(D285="",M285&lt;=0),"",IF(AND(E285&gt;I285,F285&gt;J285),"UP",IF(AND(E285&lt;I285,F285&lt;J285),"DOWN","FLAT")))</f>
        <v/>
      </c>
    </row>
    <row r="286" ht="26" customHeight="1" s="1">
      <c r="A286" s="14">
        <f>IF(B286="","",ROW()-2)</f>
        <v/>
      </c>
      <c r="B286" s="15">
        <f>IF('StockList_MS2'!A285="","",HYPERLINK("https://kabutan.jp/stock/?code="&amp;'StockList_MS2'!A285,'StockList_MS2'!A285))</f>
        <v/>
      </c>
      <c r="C286" s="16">
        <f>IF('StockList_MS2'!A285="","",'StockList_MS2'!B285)</f>
        <v/>
      </c>
      <c r="D286" s="17" t="n"/>
      <c r="E286" s="17" t="n"/>
      <c r="F286" s="17" t="n"/>
      <c r="G286" s="17" t="n"/>
      <c r="H286" s="18" t="n"/>
      <c r="I286" s="17" t="n"/>
      <c r="J286" s="17" t="n"/>
      <c r="K286" s="17" t="n"/>
      <c r="L286" s="14">
        <f>IF(D286="","",IF(D286&gt;K286,"BUY-DAY","SELL-DAY"))</f>
        <v/>
      </c>
      <c r="M286" s="19">
        <f>IF(D286="","",MAX(E286-F286,ABS(E286-K286),ABS(F286-K286)))</f>
        <v/>
      </c>
      <c r="N286" s="14">
        <f>IF(D286="","",IF(AND(H286&gt;0,H286&gt;(H286/3)*2.5),"VOL-OK","VOL-NG"))</f>
        <v/>
      </c>
      <c r="O286" s="14">
        <f>IF(D286="","",IF(D286&gt;I286,"ON","OFF"))</f>
        <v/>
      </c>
      <c r="P286" s="14">
        <f>IF(D286="","",IF(D286&lt;J286,"ON","OFF"))</f>
        <v/>
      </c>
      <c r="Q286" s="14">
        <f>IF(OR(D286="",M286&lt;=0),"",IF(AND(L286="BUY-DAY",N286="VOL-OK",P286="ON",Z286="OK",AA286&lt;&gt;"DOWN"),"BUY",IF(AND(L286="SELL-DAY",N286="VOL-OK",O286="ON",Z286="OK",AA286&lt;&gt;"UP"),"SELL","")))</f>
        <v/>
      </c>
      <c r="R286" s="19">
        <f>IF(Q286="","",D286)</f>
        <v/>
      </c>
      <c r="S286" s="19">
        <f>IF(Q286="","",IF(Q286="BUY",D286-M286*1.5,D286+M286*1.5))</f>
        <v/>
      </c>
      <c r="T286" s="19">
        <f>IF(Q286="","",IF(Q286="BUY",D286+M286*1.5,D286-M286*1.5))</f>
        <v/>
      </c>
      <c r="U286" s="19">
        <f>IF(Q286="","",IF(Q286="BUY",D286+M286*2,D286-M286*2))</f>
        <v/>
      </c>
      <c r="V286" s="19">
        <f>IF(Q286="","",IF(Q286="BUY",D286+M286*3,D286-M286*3))</f>
        <v/>
      </c>
      <c r="W286" s="14">
        <f>IF(OR(D286="",M286&lt;=0),"",IF(AND(D286&gt;G286,ABS(D286-G286)&lt;M286*0.5),"2ND","1ST"))</f>
        <v/>
      </c>
      <c r="X286" s="14">
        <f>IF(OR(D286="",M286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6" s="14">
        <f>IF(OR(D286="",M286&lt;=0),"",IF(M286&gt;D286*0.05,"VOL-HIGH","VOL-NORMAL"))</f>
        <v/>
      </c>
      <c r="Z286" s="14">
        <f>IF(OR(D286="",M286&lt;=0),"",IF(AND(N286="VOL-OK",Y286="VOL-NORMAL",W286="2ND"),"OK","NG"))</f>
        <v/>
      </c>
      <c r="AA286" s="14">
        <f>IF(OR(D286="",M286&lt;=0),"",IF(AND(E286&gt;I286,F286&gt;J286),"UP",IF(AND(E286&lt;I286,F286&lt;J286),"DOWN","FLAT")))</f>
        <v/>
      </c>
    </row>
    <row r="287" ht="26" customHeight="1" s="1">
      <c r="A287" s="8">
        <f>IF(B287="","",ROW()-2)</f>
        <v/>
      </c>
      <c r="B287" s="9">
        <f>IF('StockList_MS2'!A286="","",HYPERLINK("https://kabutan.jp/stock/?code="&amp;'StockList_MS2'!A286,'StockList_MS2'!A286))</f>
        <v/>
      </c>
      <c r="C287" s="10">
        <f>IF('StockList_MS2'!A286="","",'StockList_MS2'!B286)</f>
        <v/>
      </c>
      <c r="D287" s="11" t="n"/>
      <c r="E287" s="11" t="n"/>
      <c r="F287" s="11" t="n"/>
      <c r="G287" s="11" t="n"/>
      <c r="H287" s="12" t="n"/>
      <c r="I287" s="11" t="n"/>
      <c r="J287" s="11" t="n"/>
      <c r="K287" s="11" t="n"/>
      <c r="L287" s="8">
        <f>IF(D287="","",IF(D287&gt;K287,"BUY-DAY","SELL-DAY"))</f>
        <v/>
      </c>
      <c r="M287" s="13">
        <f>IF(D287="","",MAX(E287-F287,ABS(E287-K287),ABS(F287-K287)))</f>
        <v/>
      </c>
      <c r="N287" s="8">
        <f>IF(D287="","",IF(AND(H287&gt;0,H287&gt;(H287/3)*2.5),"VOL-OK","VOL-NG"))</f>
        <v/>
      </c>
      <c r="O287" s="8">
        <f>IF(D287="","",IF(D287&gt;I287,"ON","OFF"))</f>
        <v/>
      </c>
      <c r="P287" s="8">
        <f>IF(D287="","",IF(D287&lt;J287,"ON","OFF"))</f>
        <v/>
      </c>
      <c r="Q287" s="8">
        <f>IF(OR(D287="",M287&lt;=0),"",IF(AND(L287="BUY-DAY",N287="VOL-OK",P287="ON",Z287="OK",AA287&lt;&gt;"DOWN"),"BUY",IF(AND(L287="SELL-DAY",N287="VOL-OK",O287="ON",Z287="OK",AA287&lt;&gt;"UP"),"SELL","")))</f>
        <v/>
      </c>
      <c r="R287" s="13">
        <f>IF(Q287="","",D287)</f>
        <v/>
      </c>
      <c r="S287" s="13">
        <f>IF(Q287="","",IF(Q287="BUY",D287-M287*1.5,D287+M287*1.5))</f>
        <v/>
      </c>
      <c r="T287" s="13">
        <f>IF(Q287="","",IF(Q287="BUY",D287+M287*1.5,D287-M287*1.5))</f>
        <v/>
      </c>
      <c r="U287" s="13">
        <f>IF(Q287="","",IF(Q287="BUY",D287+M287*2,D287-M287*2))</f>
        <v/>
      </c>
      <c r="V287" s="13">
        <f>IF(Q287="","",IF(Q287="BUY",D287+M287*3,D287-M287*3))</f>
        <v/>
      </c>
      <c r="W287" s="8">
        <f>IF(OR(D287="",M287&lt;=0),"",IF(AND(D287&gt;G287,ABS(D287-G287)&lt;M287*0.5),"2ND","1ST"))</f>
        <v/>
      </c>
      <c r="X287" s="8">
        <f>IF(OR(D287="",M287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7" s="8">
        <f>IF(OR(D287="",M287&lt;=0),"",IF(M287&gt;D287*0.05,"VOL-HIGH","VOL-NORMAL"))</f>
        <v/>
      </c>
      <c r="Z287" s="8">
        <f>IF(OR(D287="",M287&lt;=0),"",IF(AND(N287="VOL-OK",Y287="VOL-NORMAL",W287="2ND"),"OK","NG"))</f>
        <v/>
      </c>
      <c r="AA287" s="8">
        <f>IF(OR(D287="",M287&lt;=0),"",IF(AND(E287&gt;I287,F287&gt;J287),"UP",IF(AND(E287&lt;I287,F287&lt;J287),"DOWN","FLAT")))</f>
        <v/>
      </c>
    </row>
    <row r="288" ht="26" customHeight="1" s="1">
      <c r="A288" s="14">
        <f>IF(B288="","",ROW()-2)</f>
        <v/>
      </c>
      <c r="B288" s="15">
        <f>IF('StockList_MS2'!A287="","",HYPERLINK("https://kabutan.jp/stock/?code="&amp;'StockList_MS2'!A287,'StockList_MS2'!A287))</f>
        <v/>
      </c>
      <c r="C288" s="16">
        <f>IF('StockList_MS2'!A287="","",'StockList_MS2'!B287)</f>
        <v/>
      </c>
      <c r="D288" s="17" t="n"/>
      <c r="E288" s="17" t="n"/>
      <c r="F288" s="17" t="n"/>
      <c r="G288" s="17" t="n"/>
      <c r="H288" s="18" t="n"/>
      <c r="I288" s="17" t="n"/>
      <c r="J288" s="17" t="n"/>
      <c r="K288" s="17" t="n"/>
      <c r="L288" s="14">
        <f>IF(D288="","",IF(D288&gt;K288,"BUY-DAY","SELL-DAY"))</f>
        <v/>
      </c>
      <c r="M288" s="19">
        <f>IF(D288="","",MAX(E288-F288,ABS(E288-K288),ABS(F288-K288)))</f>
        <v/>
      </c>
      <c r="N288" s="14">
        <f>IF(D288="","",IF(AND(H288&gt;0,H288&gt;(H288/3)*2.5),"VOL-OK","VOL-NG"))</f>
        <v/>
      </c>
      <c r="O288" s="14">
        <f>IF(D288="","",IF(D288&gt;I288,"ON","OFF"))</f>
        <v/>
      </c>
      <c r="P288" s="14">
        <f>IF(D288="","",IF(D288&lt;J288,"ON","OFF"))</f>
        <v/>
      </c>
      <c r="Q288" s="14">
        <f>IF(OR(D288="",M288&lt;=0),"",IF(AND(L288="BUY-DAY",N288="VOL-OK",P288="ON",Z288="OK",AA288&lt;&gt;"DOWN"),"BUY",IF(AND(L288="SELL-DAY",N288="VOL-OK",O288="ON",Z288="OK",AA288&lt;&gt;"UP"),"SELL","")))</f>
        <v/>
      </c>
      <c r="R288" s="19">
        <f>IF(Q288="","",D288)</f>
        <v/>
      </c>
      <c r="S288" s="19">
        <f>IF(Q288="","",IF(Q288="BUY",D288-M288*1.5,D288+M288*1.5))</f>
        <v/>
      </c>
      <c r="T288" s="19">
        <f>IF(Q288="","",IF(Q288="BUY",D288+M288*1.5,D288-M288*1.5))</f>
        <v/>
      </c>
      <c r="U288" s="19">
        <f>IF(Q288="","",IF(Q288="BUY",D288+M288*2,D288-M288*2))</f>
        <v/>
      </c>
      <c r="V288" s="19">
        <f>IF(Q288="","",IF(Q288="BUY",D288+M288*3,D288-M288*3))</f>
        <v/>
      </c>
      <c r="W288" s="14">
        <f>IF(OR(D288="",M288&lt;=0),"",IF(AND(D288&gt;G288,ABS(D288-G288)&lt;M288*0.5),"2ND","1ST"))</f>
        <v/>
      </c>
      <c r="X288" s="14">
        <f>IF(OR(D288="",M288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8" s="14">
        <f>IF(OR(D288="",M288&lt;=0),"",IF(M288&gt;D288*0.05,"VOL-HIGH","VOL-NORMAL"))</f>
        <v/>
      </c>
      <c r="Z288" s="14">
        <f>IF(OR(D288="",M288&lt;=0),"",IF(AND(N288="VOL-OK",Y288="VOL-NORMAL",W288="2ND"),"OK","NG"))</f>
        <v/>
      </c>
      <c r="AA288" s="14">
        <f>IF(OR(D288="",M288&lt;=0),"",IF(AND(E288&gt;I288,F288&gt;J288),"UP",IF(AND(E288&lt;I288,F288&lt;J288),"DOWN","FLAT")))</f>
        <v/>
      </c>
    </row>
    <row r="289" ht="26" customHeight="1" s="1">
      <c r="A289" s="8">
        <f>IF(B289="","",ROW()-2)</f>
        <v/>
      </c>
      <c r="B289" s="9">
        <f>IF('StockList_MS2'!A288="","",HYPERLINK("https://kabutan.jp/stock/?code="&amp;'StockList_MS2'!A288,'StockList_MS2'!A288))</f>
        <v/>
      </c>
      <c r="C289" s="10">
        <f>IF('StockList_MS2'!A288="","",'StockList_MS2'!B288)</f>
        <v/>
      </c>
      <c r="D289" s="11" t="n"/>
      <c r="E289" s="11" t="n"/>
      <c r="F289" s="11" t="n"/>
      <c r="G289" s="11" t="n"/>
      <c r="H289" s="12" t="n"/>
      <c r="I289" s="11" t="n"/>
      <c r="J289" s="11" t="n"/>
      <c r="K289" s="11" t="n"/>
      <c r="L289" s="8">
        <f>IF(D289="","",IF(D289&gt;K289,"BUY-DAY","SELL-DAY"))</f>
        <v/>
      </c>
      <c r="M289" s="13">
        <f>IF(D289="","",MAX(E289-F289,ABS(E289-K289),ABS(F289-K289)))</f>
        <v/>
      </c>
      <c r="N289" s="8">
        <f>IF(D289="","",IF(AND(H289&gt;0,H289&gt;(H289/3)*2.5),"VOL-OK","VOL-NG"))</f>
        <v/>
      </c>
      <c r="O289" s="8">
        <f>IF(D289="","",IF(D289&gt;I289,"ON","OFF"))</f>
        <v/>
      </c>
      <c r="P289" s="8">
        <f>IF(D289="","",IF(D289&lt;J289,"ON","OFF"))</f>
        <v/>
      </c>
      <c r="Q289" s="8">
        <f>IF(OR(D289="",M289&lt;=0),"",IF(AND(L289="BUY-DAY",N289="VOL-OK",P289="ON",Z289="OK",AA289&lt;&gt;"DOWN"),"BUY",IF(AND(L289="SELL-DAY",N289="VOL-OK",O289="ON",Z289="OK",AA289&lt;&gt;"UP"),"SELL","")))</f>
        <v/>
      </c>
      <c r="R289" s="13">
        <f>IF(Q289="","",D289)</f>
        <v/>
      </c>
      <c r="S289" s="13">
        <f>IF(Q289="","",IF(Q289="BUY",D289-M289*1.5,D289+M289*1.5))</f>
        <v/>
      </c>
      <c r="T289" s="13">
        <f>IF(Q289="","",IF(Q289="BUY",D289+M289*1.5,D289-M289*1.5))</f>
        <v/>
      </c>
      <c r="U289" s="13">
        <f>IF(Q289="","",IF(Q289="BUY",D289+M289*2,D289-M289*2))</f>
        <v/>
      </c>
      <c r="V289" s="13">
        <f>IF(Q289="","",IF(Q289="BUY",D289+M289*3,D289-M289*3))</f>
        <v/>
      </c>
      <c r="W289" s="8">
        <f>IF(OR(D289="",M289&lt;=0),"",IF(AND(D289&gt;G289,ABS(D289-G289)&lt;M289*0.5),"2ND","1ST"))</f>
        <v/>
      </c>
      <c r="X289" s="8">
        <f>IF(OR(D289="",M289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89" s="8">
        <f>IF(OR(D289="",M289&lt;=0),"",IF(M289&gt;D289*0.05,"VOL-HIGH","VOL-NORMAL"))</f>
        <v/>
      </c>
      <c r="Z289" s="8">
        <f>IF(OR(D289="",M289&lt;=0),"",IF(AND(N289="VOL-OK",Y289="VOL-NORMAL",W289="2ND"),"OK","NG"))</f>
        <v/>
      </c>
      <c r="AA289" s="8">
        <f>IF(OR(D289="",M289&lt;=0),"",IF(AND(E289&gt;I289,F289&gt;J289),"UP",IF(AND(E289&lt;I289,F289&lt;J289),"DOWN","FLAT")))</f>
        <v/>
      </c>
    </row>
    <row r="290" ht="26" customHeight="1" s="1">
      <c r="A290" s="14">
        <f>IF(B290="","",ROW()-2)</f>
        <v/>
      </c>
      <c r="B290" s="15">
        <f>IF('StockList_MS2'!A289="","",HYPERLINK("https://kabutan.jp/stock/?code="&amp;'StockList_MS2'!A289,'StockList_MS2'!A289))</f>
        <v/>
      </c>
      <c r="C290" s="16">
        <f>IF('StockList_MS2'!A289="","",'StockList_MS2'!B289)</f>
        <v/>
      </c>
      <c r="D290" s="17" t="n"/>
      <c r="E290" s="17" t="n"/>
      <c r="F290" s="17" t="n"/>
      <c r="G290" s="17" t="n"/>
      <c r="H290" s="18" t="n"/>
      <c r="I290" s="17" t="n"/>
      <c r="J290" s="17" t="n"/>
      <c r="K290" s="17" t="n"/>
      <c r="L290" s="14">
        <f>IF(D290="","",IF(D290&gt;K290,"BUY-DAY","SELL-DAY"))</f>
        <v/>
      </c>
      <c r="M290" s="19">
        <f>IF(D290="","",MAX(E290-F290,ABS(E290-K290),ABS(F290-K290)))</f>
        <v/>
      </c>
      <c r="N290" s="14">
        <f>IF(D290="","",IF(AND(H290&gt;0,H290&gt;(H290/3)*2.5),"VOL-OK","VOL-NG"))</f>
        <v/>
      </c>
      <c r="O290" s="14">
        <f>IF(D290="","",IF(D290&gt;I290,"ON","OFF"))</f>
        <v/>
      </c>
      <c r="P290" s="14">
        <f>IF(D290="","",IF(D290&lt;J290,"ON","OFF"))</f>
        <v/>
      </c>
      <c r="Q290" s="14">
        <f>IF(OR(D290="",M290&lt;=0),"",IF(AND(L290="BUY-DAY",N290="VOL-OK",P290="ON",Z290="OK",AA290&lt;&gt;"DOWN"),"BUY",IF(AND(L290="SELL-DAY",N290="VOL-OK",O290="ON",Z290="OK",AA290&lt;&gt;"UP"),"SELL","")))</f>
        <v/>
      </c>
      <c r="R290" s="19">
        <f>IF(Q290="","",D290)</f>
        <v/>
      </c>
      <c r="S290" s="19">
        <f>IF(Q290="","",IF(Q290="BUY",D290-M290*1.5,D290+M290*1.5))</f>
        <v/>
      </c>
      <c r="T290" s="19">
        <f>IF(Q290="","",IF(Q290="BUY",D290+M290*1.5,D290-M290*1.5))</f>
        <v/>
      </c>
      <c r="U290" s="19">
        <f>IF(Q290="","",IF(Q290="BUY",D290+M290*2,D290-M290*2))</f>
        <v/>
      </c>
      <c r="V290" s="19">
        <f>IF(Q290="","",IF(Q290="BUY",D290+M290*3,D290-M290*3))</f>
        <v/>
      </c>
      <c r="W290" s="14">
        <f>IF(OR(D290="",M290&lt;=0),"",IF(AND(D290&gt;G290,ABS(D290-G290)&lt;M290*0.5),"2ND","1ST"))</f>
        <v/>
      </c>
      <c r="X290" s="14">
        <f>IF(OR(D290="",M290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0" s="14">
        <f>IF(OR(D290="",M290&lt;=0),"",IF(M290&gt;D290*0.05,"VOL-HIGH","VOL-NORMAL"))</f>
        <v/>
      </c>
      <c r="Z290" s="14">
        <f>IF(OR(D290="",M290&lt;=0),"",IF(AND(N290="VOL-OK",Y290="VOL-NORMAL",W290="2ND"),"OK","NG"))</f>
        <v/>
      </c>
      <c r="AA290" s="14">
        <f>IF(OR(D290="",M290&lt;=0),"",IF(AND(E290&gt;I290,F290&gt;J290),"UP",IF(AND(E290&lt;I290,F290&lt;J290),"DOWN","FLAT")))</f>
        <v/>
      </c>
    </row>
    <row r="291" ht="26" customHeight="1" s="1">
      <c r="A291" s="8">
        <f>IF(B291="","",ROW()-2)</f>
        <v/>
      </c>
      <c r="B291" s="9">
        <f>IF('StockList_MS2'!A290="","",HYPERLINK("https://kabutan.jp/stock/?code="&amp;'StockList_MS2'!A290,'StockList_MS2'!A290))</f>
        <v/>
      </c>
      <c r="C291" s="10">
        <f>IF('StockList_MS2'!A290="","",'StockList_MS2'!B290)</f>
        <v/>
      </c>
      <c r="D291" s="11" t="n"/>
      <c r="E291" s="11" t="n"/>
      <c r="F291" s="11" t="n"/>
      <c r="G291" s="11" t="n"/>
      <c r="H291" s="12" t="n"/>
      <c r="I291" s="11" t="n"/>
      <c r="J291" s="11" t="n"/>
      <c r="K291" s="11" t="n"/>
      <c r="L291" s="8">
        <f>IF(D291="","",IF(D291&gt;K291,"BUY-DAY","SELL-DAY"))</f>
        <v/>
      </c>
      <c r="M291" s="13">
        <f>IF(D291="","",MAX(E291-F291,ABS(E291-K291),ABS(F291-K291)))</f>
        <v/>
      </c>
      <c r="N291" s="8">
        <f>IF(D291="","",IF(AND(H291&gt;0,H291&gt;(H291/3)*2.5),"VOL-OK","VOL-NG"))</f>
        <v/>
      </c>
      <c r="O291" s="8">
        <f>IF(D291="","",IF(D291&gt;I291,"ON","OFF"))</f>
        <v/>
      </c>
      <c r="P291" s="8">
        <f>IF(D291="","",IF(D291&lt;J291,"ON","OFF"))</f>
        <v/>
      </c>
      <c r="Q291" s="8">
        <f>IF(OR(D291="",M291&lt;=0),"",IF(AND(L291="BUY-DAY",N291="VOL-OK",P291="ON",Z291="OK",AA291&lt;&gt;"DOWN"),"BUY",IF(AND(L291="SELL-DAY",N291="VOL-OK",O291="ON",Z291="OK",AA291&lt;&gt;"UP"),"SELL","")))</f>
        <v/>
      </c>
      <c r="R291" s="13">
        <f>IF(Q291="","",D291)</f>
        <v/>
      </c>
      <c r="S291" s="13">
        <f>IF(Q291="","",IF(Q291="BUY",D291-M291*1.5,D291+M291*1.5))</f>
        <v/>
      </c>
      <c r="T291" s="13">
        <f>IF(Q291="","",IF(Q291="BUY",D291+M291*1.5,D291-M291*1.5))</f>
        <v/>
      </c>
      <c r="U291" s="13">
        <f>IF(Q291="","",IF(Q291="BUY",D291+M291*2,D291-M291*2))</f>
        <v/>
      </c>
      <c r="V291" s="13">
        <f>IF(Q291="","",IF(Q291="BUY",D291+M291*3,D291-M291*3))</f>
        <v/>
      </c>
      <c r="W291" s="8">
        <f>IF(OR(D291="",M291&lt;=0),"",IF(AND(D291&gt;G291,ABS(D291-G291)&lt;M291*0.5),"2ND","1ST"))</f>
        <v/>
      </c>
      <c r="X291" s="8">
        <f>IF(OR(D291="",M291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1" s="8">
        <f>IF(OR(D291="",M291&lt;=0),"",IF(M291&gt;D291*0.05,"VOL-HIGH","VOL-NORMAL"))</f>
        <v/>
      </c>
      <c r="Z291" s="8">
        <f>IF(OR(D291="",M291&lt;=0),"",IF(AND(N291="VOL-OK",Y291="VOL-NORMAL",W291="2ND"),"OK","NG"))</f>
        <v/>
      </c>
      <c r="AA291" s="8">
        <f>IF(OR(D291="",M291&lt;=0),"",IF(AND(E291&gt;I291,F291&gt;J291),"UP",IF(AND(E291&lt;I291,F291&lt;J291),"DOWN","FLAT")))</f>
        <v/>
      </c>
    </row>
    <row r="292" ht="26" customHeight="1" s="1">
      <c r="A292" s="14">
        <f>IF(B292="","",ROW()-2)</f>
        <v/>
      </c>
      <c r="B292" s="15">
        <f>IF('StockList_MS2'!A291="","",HYPERLINK("https://kabutan.jp/stock/?code="&amp;'StockList_MS2'!A291,'StockList_MS2'!A291))</f>
        <v/>
      </c>
      <c r="C292" s="16">
        <f>IF('StockList_MS2'!A291="","",'StockList_MS2'!B291)</f>
        <v/>
      </c>
      <c r="D292" s="17" t="n"/>
      <c r="E292" s="17" t="n"/>
      <c r="F292" s="17" t="n"/>
      <c r="G292" s="17" t="n"/>
      <c r="H292" s="18" t="n"/>
      <c r="I292" s="17" t="n"/>
      <c r="J292" s="17" t="n"/>
      <c r="K292" s="17" t="n"/>
      <c r="L292" s="14">
        <f>IF(D292="","",IF(D292&gt;K292,"BUY-DAY","SELL-DAY"))</f>
        <v/>
      </c>
      <c r="M292" s="19">
        <f>IF(D292="","",MAX(E292-F292,ABS(E292-K292),ABS(F292-K292)))</f>
        <v/>
      </c>
      <c r="N292" s="14">
        <f>IF(D292="","",IF(AND(H292&gt;0,H292&gt;(H292/3)*2.5),"VOL-OK","VOL-NG"))</f>
        <v/>
      </c>
      <c r="O292" s="14">
        <f>IF(D292="","",IF(D292&gt;I292,"ON","OFF"))</f>
        <v/>
      </c>
      <c r="P292" s="14">
        <f>IF(D292="","",IF(D292&lt;J292,"ON","OFF"))</f>
        <v/>
      </c>
      <c r="Q292" s="14">
        <f>IF(OR(D292="",M292&lt;=0),"",IF(AND(L292="BUY-DAY",N292="VOL-OK",P292="ON",Z292="OK",AA292&lt;&gt;"DOWN"),"BUY",IF(AND(L292="SELL-DAY",N292="VOL-OK",O292="ON",Z292="OK",AA292&lt;&gt;"UP"),"SELL","")))</f>
        <v/>
      </c>
      <c r="R292" s="19">
        <f>IF(Q292="","",D292)</f>
        <v/>
      </c>
      <c r="S292" s="19">
        <f>IF(Q292="","",IF(Q292="BUY",D292-M292*1.5,D292+M292*1.5))</f>
        <v/>
      </c>
      <c r="T292" s="19">
        <f>IF(Q292="","",IF(Q292="BUY",D292+M292*1.5,D292-M292*1.5))</f>
        <v/>
      </c>
      <c r="U292" s="19">
        <f>IF(Q292="","",IF(Q292="BUY",D292+M292*2,D292-M292*2))</f>
        <v/>
      </c>
      <c r="V292" s="19">
        <f>IF(Q292="","",IF(Q292="BUY",D292+M292*3,D292-M292*3))</f>
        <v/>
      </c>
      <c r="W292" s="14">
        <f>IF(OR(D292="",M292&lt;=0),"",IF(AND(D292&gt;G292,ABS(D292-G292)&lt;M292*0.5),"2ND","1ST"))</f>
        <v/>
      </c>
      <c r="X292" s="14">
        <f>IF(OR(D292="",M292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2" s="14">
        <f>IF(OR(D292="",M292&lt;=0),"",IF(M292&gt;D292*0.05,"VOL-HIGH","VOL-NORMAL"))</f>
        <v/>
      </c>
      <c r="Z292" s="14">
        <f>IF(OR(D292="",M292&lt;=0),"",IF(AND(N292="VOL-OK",Y292="VOL-NORMAL",W292="2ND"),"OK","NG"))</f>
        <v/>
      </c>
      <c r="AA292" s="14">
        <f>IF(OR(D292="",M292&lt;=0),"",IF(AND(E292&gt;I292,F292&gt;J292),"UP",IF(AND(E292&lt;I292,F292&lt;J292),"DOWN","FLAT")))</f>
        <v/>
      </c>
    </row>
    <row r="293" ht="26" customHeight="1" s="1">
      <c r="A293" s="8">
        <f>IF(B293="","",ROW()-2)</f>
        <v/>
      </c>
      <c r="B293" s="9">
        <f>IF('StockList_MS2'!A292="","",HYPERLINK("https://kabutan.jp/stock/?code="&amp;'StockList_MS2'!A292,'StockList_MS2'!A292))</f>
        <v/>
      </c>
      <c r="C293" s="10">
        <f>IF('StockList_MS2'!A292="","",'StockList_MS2'!B292)</f>
        <v/>
      </c>
      <c r="D293" s="11" t="n"/>
      <c r="E293" s="11" t="n"/>
      <c r="F293" s="11" t="n"/>
      <c r="G293" s="11" t="n"/>
      <c r="H293" s="12" t="n"/>
      <c r="I293" s="11" t="n"/>
      <c r="J293" s="11" t="n"/>
      <c r="K293" s="11" t="n"/>
      <c r="L293" s="8">
        <f>IF(D293="","",IF(D293&gt;K293,"BUY-DAY","SELL-DAY"))</f>
        <v/>
      </c>
      <c r="M293" s="13">
        <f>IF(D293="","",MAX(E293-F293,ABS(E293-K293),ABS(F293-K293)))</f>
        <v/>
      </c>
      <c r="N293" s="8">
        <f>IF(D293="","",IF(AND(H293&gt;0,H293&gt;(H293/3)*2.5),"VOL-OK","VOL-NG"))</f>
        <v/>
      </c>
      <c r="O293" s="8">
        <f>IF(D293="","",IF(D293&gt;I293,"ON","OFF"))</f>
        <v/>
      </c>
      <c r="P293" s="8">
        <f>IF(D293="","",IF(D293&lt;J293,"ON","OFF"))</f>
        <v/>
      </c>
      <c r="Q293" s="8">
        <f>IF(OR(D293="",M293&lt;=0),"",IF(AND(L293="BUY-DAY",N293="VOL-OK",P293="ON",Z293="OK",AA293&lt;&gt;"DOWN"),"BUY",IF(AND(L293="SELL-DAY",N293="VOL-OK",O293="ON",Z293="OK",AA293&lt;&gt;"UP"),"SELL","")))</f>
        <v/>
      </c>
      <c r="R293" s="13">
        <f>IF(Q293="","",D293)</f>
        <v/>
      </c>
      <c r="S293" s="13">
        <f>IF(Q293="","",IF(Q293="BUY",D293-M293*1.5,D293+M293*1.5))</f>
        <v/>
      </c>
      <c r="T293" s="13">
        <f>IF(Q293="","",IF(Q293="BUY",D293+M293*1.5,D293-M293*1.5))</f>
        <v/>
      </c>
      <c r="U293" s="13">
        <f>IF(Q293="","",IF(Q293="BUY",D293+M293*2,D293-M293*2))</f>
        <v/>
      </c>
      <c r="V293" s="13">
        <f>IF(Q293="","",IF(Q293="BUY",D293+M293*3,D293-M293*3))</f>
        <v/>
      </c>
      <c r="W293" s="8">
        <f>IF(OR(D293="",M293&lt;=0),"",IF(AND(D293&gt;G293,ABS(D293-G293)&lt;M293*0.5),"2ND","1ST"))</f>
        <v/>
      </c>
      <c r="X293" s="8">
        <f>IF(OR(D293="",M293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3" s="8">
        <f>IF(OR(D293="",M293&lt;=0),"",IF(M293&gt;D293*0.05,"VOL-HIGH","VOL-NORMAL"))</f>
        <v/>
      </c>
      <c r="Z293" s="8">
        <f>IF(OR(D293="",M293&lt;=0),"",IF(AND(N293="VOL-OK",Y293="VOL-NORMAL",W293="2ND"),"OK","NG"))</f>
        <v/>
      </c>
      <c r="AA293" s="8">
        <f>IF(OR(D293="",M293&lt;=0),"",IF(AND(E293&gt;I293,F293&gt;J293),"UP",IF(AND(E293&lt;I293,F293&lt;J293),"DOWN","FLAT")))</f>
        <v/>
      </c>
    </row>
    <row r="294" ht="26" customHeight="1" s="1">
      <c r="A294" s="14">
        <f>IF(B294="","",ROW()-2)</f>
        <v/>
      </c>
      <c r="B294" s="15">
        <f>IF('StockList_MS2'!A293="","",HYPERLINK("https://kabutan.jp/stock/?code="&amp;'StockList_MS2'!A293,'StockList_MS2'!A293))</f>
        <v/>
      </c>
      <c r="C294" s="16">
        <f>IF('StockList_MS2'!A293="","",'StockList_MS2'!B293)</f>
        <v/>
      </c>
      <c r="D294" s="17" t="n"/>
      <c r="E294" s="17" t="n"/>
      <c r="F294" s="17" t="n"/>
      <c r="G294" s="17" t="n"/>
      <c r="H294" s="18" t="n"/>
      <c r="I294" s="17" t="n"/>
      <c r="J294" s="17" t="n"/>
      <c r="K294" s="17" t="n"/>
      <c r="L294" s="14">
        <f>IF(D294="","",IF(D294&gt;K294,"BUY-DAY","SELL-DAY"))</f>
        <v/>
      </c>
      <c r="M294" s="19">
        <f>IF(D294="","",MAX(E294-F294,ABS(E294-K294),ABS(F294-K294)))</f>
        <v/>
      </c>
      <c r="N294" s="14">
        <f>IF(D294="","",IF(AND(H294&gt;0,H294&gt;(H294/3)*2.5),"VOL-OK","VOL-NG"))</f>
        <v/>
      </c>
      <c r="O294" s="14">
        <f>IF(D294="","",IF(D294&gt;I294,"ON","OFF"))</f>
        <v/>
      </c>
      <c r="P294" s="14">
        <f>IF(D294="","",IF(D294&lt;J294,"ON","OFF"))</f>
        <v/>
      </c>
      <c r="Q294" s="14">
        <f>IF(OR(D294="",M294&lt;=0),"",IF(AND(L294="BUY-DAY",N294="VOL-OK",P294="ON",Z294="OK",AA294&lt;&gt;"DOWN"),"BUY",IF(AND(L294="SELL-DAY",N294="VOL-OK",O294="ON",Z294="OK",AA294&lt;&gt;"UP"),"SELL","")))</f>
        <v/>
      </c>
      <c r="R294" s="19">
        <f>IF(Q294="","",D294)</f>
        <v/>
      </c>
      <c r="S294" s="19">
        <f>IF(Q294="","",IF(Q294="BUY",D294-M294*1.5,D294+M294*1.5))</f>
        <v/>
      </c>
      <c r="T294" s="19">
        <f>IF(Q294="","",IF(Q294="BUY",D294+M294*1.5,D294-M294*1.5))</f>
        <v/>
      </c>
      <c r="U294" s="19">
        <f>IF(Q294="","",IF(Q294="BUY",D294+M294*2,D294-M294*2))</f>
        <v/>
      </c>
      <c r="V294" s="19">
        <f>IF(Q294="","",IF(Q294="BUY",D294+M294*3,D294-M294*3))</f>
        <v/>
      </c>
      <c r="W294" s="14">
        <f>IF(OR(D294="",M294&lt;=0),"",IF(AND(D294&gt;G294,ABS(D294-G294)&lt;M294*0.5),"2ND","1ST"))</f>
        <v/>
      </c>
      <c r="X294" s="14">
        <f>IF(OR(D294="",M294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4" s="14">
        <f>IF(OR(D294="",M294&lt;=0),"",IF(M294&gt;D294*0.05,"VOL-HIGH","VOL-NORMAL"))</f>
        <v/>
      </c>
      <c r="Z294" s="14">
        <f>IF(OR(D294="",M294&lt;=0),"",IF(AND(N294="VOL-OK",Y294="VOL-NORMAL",W294="2ND"),"OK","NG"))</f>
        <v/>
      </c>
      <c r="AA294" s="14">
        <f>IF(OR(D294="",M294&lt;=0),"",IF(AND(E294&gt;I294,F294&gt;J294),"UP",IF(AND(E294&lt;I294,F294&lt;J294),"DOWN","FLAT")))</f>
        <v/>
      </c>
    </row>
    <row r="295" ht="26" customHeight="1" s="1">
      <c r="A295" s="8">
        <f>IF(B295="","",ROW()-2)</f>
        <v/>
      </c>
      <c r="B295" s="9">
        <f>IF('StockList_MS2'!A294="","",HYPERLINK("https://kabutan.jp/stock/?code="&amp;'StockList_MS2'!A294,'StockList_MS2'!A294))</f>
        <v/>
      </c>
      <c r="C295" s="10">
        <f>IF('StockList_MS2'!A294="","",'StockList_MS2'!B294)</f>
        <v/>
      </c>
      <c r="D295" s="11" t="n"/>
      <c r="E295" s="11" t="n"/>
      <c r="F295" s="11" t="n"/>
      <c r="G295" s="11" t="n"/>
      <c r="H295" s="12" t="n"/>
      <c r="I295" s="11" t="n"/>
      <c r="J295" s="11" t="n"/>
      <c r="K295" s="11" t="n"/>
      <c r="L295" s="8">
        <f>IF(D295="","",IF(D295&gt;K295,"BUY-DAY","SELL-DAY"))</f>
        <v/>
      </c>
      <c r="M295" s="13">
        <f>IF(D295="","",MAX(E295-F295,ABS(E295-K295),ABS(F295-K295)))</f>
        <v/>
      </c>
      <c r="N295" s="8">
        <f>IF(D295="","",IF(AND(H295&gt;0,H295&gt;(H295/3)*2.5),"VOL-OK","VOL-NG"))</f>
        <v/>
      </c>
      <c r="O295" s="8">
        <f>IF(D295="","",IF(D295&gt;I295,"ON","OFF"))</f>
        <v/>
      </c>
      <c r="P295" s="8">
        <f>IF(D295="","",IF(D295&lt;J295,"ON","OFF"))</f>
        <v/>
      </c>
      <c r="Q295" s="8">
        <f>IF(OR(D295="",M295&lt;=0),"",IF(AND(L295="BUY-DAY",N295="VOL-OK",P295="ON",Z295="OK",AA295&lt;&gt;"DOWN"),"BUY",IF(AND(L295="SELL-DAY",N295="VOL-OK",O295="ON",Z295="OK",AA295&lt;&gt;"UP"),"SELL","")))</f>
        <v/>
      </c>
      <c r="R295" s="13">
        <f>IF(Q295="","",D295)</f>
        <v/>
      </c>
      <c r="S295" s="13">
        <f>IF(Q295="","",IF(Q295="BUY",D295-M295*1.5,D295+M295*1.5))</f>
        <v/>
      </c>
      <c r="T295" s="13">
        <f>IF(Q295="","",IF(Q295="BUY",D295+M295*1.5,D295-M295*1.5))</f>
        <v/>
      </c>
      <c r="U295" s="13">
        <f>IF(Q295="","",IF(Q295="BUY",D295+M295*2,D295-M295*2))</f>
        <v/>
      </c>
      <c r="V295" s="13">
        <f>IF(Q295="","",IF(Q295="BUY",D295+M295*3,D295-M295*3))</f>
        <v/>
      </c>
      <c r="W295" s="8">
        <f>IF(OR(D295="",M295&lt;=0),"",IF(AND(D295&gt;G295,ABS(D295-G295)&lt;M295*0.5),"2ND","1ST"))</f>
        <v/>
      </c>
      <c r="X295" s="8">
        <f>IF(OR(D295="",M295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5" s="8">
        <f>IF(OR(D295="",M295&lt;=0),"",IF(M295&gt;D295*0.05,"VOL-HIGH","VOL-NORMAL"))</f>
        <v/>
      </c>
      <c r="Z295" s="8">
        <f>IF(OR(D295="",M295&lt;=0),"",IF(AND(N295="VOL-OK",Y295="VOL-NORMAL",W295="2ND"),"OK","NG"))</f>
        <v/>
      </c>
      <c r="AA295" s="8">
        <f>IF(OR(D295="",M295&lt;=0),"",IF(AND(E295&gt;I295,F295&gt;J295),"UP",IF(AND(E295&lt;I295,F295&lt;J295),"DOWN","FLAT")))</f>
        <v/>
      </c>
    </row>
    <row r="296" ht="26" customHeight="1" s="1">
      <c r="A296" s="14">
        <f>IF(B296="","",ROW()-2)</f>
        <v/>
      </c>
      <c r="B296" s="15">
        <f>IF('StockList_MS2'!A295="","",HYPERLINK("https://kabutan.jp/stock/?code="&amp;'StockList_MS2'!A295,'StockList_MS2'!A295))</f>
        <v/>
      </c>
      <c r="C296" s="16">
        <f>IF('StockList_MS2'!A295="","",'StockList_MS2'!B295)</f>
        <v/>
      </c>
      <c r="D296" s="17" t="n"/>
      <c r="E296" s="17" t="n"/>
      <c r="F296" s="17" t="n"/>
      <c r="G296" s="17" t="n"/>
      <c r="H296" s="18" t="n"/>
      <c r="I296" s="17" t="n"/>
      <c r="J296" s="17" t="n"/>
      <c r="K296" s="17" t="n"/>
      <c r="L296" s="14">
        <f>IF(D296="","",IF(D296&gt;K296,"BUY-DAY","SELL-DAY"))</f>
        <v/>
      </c>
      <c r="M296" s="19">
        <f>IF(D296="","",MAX(E296-F296,ABS(E296-K296),ABS(F296-K296)))</f>
        <v/>
      </c>
      <c r="N296" s="14">
        <f>IF(D296="","",IF(AND(H296&gt;0,H296&gt;(H296/3)*2.5),"VOL-OK","VOL-NG"))</f>
        <v/>
      </c>
      <c r="O296" s="14">
        <f>IF(D296="","",IF(D296&gt;I296,"ON","OFF"))</f>
        <v/>
      </c>
      <c r="P296" s="14">
        <f>IF(D296="","",IF(D296&lt;J296,"ON","OFF"))</f>
        <v/>
      </c>
      <c r="Q296" s="14">
        <f>IF(OR(D296="",M296&lt;=0),"",IF(AND(L296="BUY-DAY",N296="VOL-OK",P296="ON",Z296="OK",AA296&lt;&gt;"DOWN"),"BUY",IF(AND(L296="SELL-DAY",N296="VOL-OK",O296="ON",Z296="OK",AA296&lt;&gt;"UP"),"SELL","")))</f>
        <v/>
      </c>
      <c r="R296" s="19">
        <f>IF(Q296="","",D296)</f>
        <v/>
      </c>
      <c r="S296" s="19">
        <f>IF(Q296="","",IF(Q296="BUY",D296-M296*1.5,D296+M296*1.5))</f>
        <v/>
      </c>
      <c r="T296" s="19">
        <f>IF(Q296="","",IF(Q296="BUY",D296+M296*1.5,D296-M296*1.5))</f>
        <v/>
      </c>
      <c r="U296" s="19">
        <f>IF(Q296="","",IF(Q296="BUY",D296+M296*2,D296-M296*2))</f>
        <v/>
      </c>
      <c r="V296" s="19">
        <f>IF(Q296="","",IF(Q296="BUY",D296+M296*3,D296-M296*3))</f>
        <v/>
      </c>
      <c r="W296" s="14">
        <f>IF(OR(D296="",M296&lt;=0),"",IF(AND(D296&gt;G296,ABS(D296-G296)&lt;M296*0.5),"2ND","1ST"))</f>
        <v/>
      </c>
      <c r="X296" s="14">
        <f>IF(OR(D296="",M296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6" s="14">
        <f>IF(OR(D296="",M296&lt;=0),"",IF(M296&gt;D296*0.05,"VOL-HIGH","VOL-NORMAL"))</f>
        <v/>
      </c>
      <c r="Z296" s="14">
        <f>IF(OR(D296="",M296&lt;=0),"",IF(AND(N296="VOL-OK",Y296="VOL-NORMAL",W296="2ND"),"OK","NG"))</f>
        <v/>
      </c>
      <c r="AA296" s="14">
        <f>IF(OR(D296="",M296&lt;=0),"",IF(AND(E296&gt;I296,F296&gt;J296),"UP",IF(AND(E296&lt;I296,F296&lt;J296),"DOWN","FLAT")))</f>
        <v/>
      </c>
    </row>
    <row r="297" ht="26" customHeight="1" s="1">
      <c r="A297" s="8">
        <f>IF(B297="","",ROW()-2)</f>
        <v/>
      </c>
      <c r="B297" s="9">
        <f>IF('StockList_MS2'!A296="","",HYPERLINK("https://kabutan.jp/stock/?code="&amp;'StockList_MS2'!A296,'StockList_MS2'!A296))</f>
        <v/>
      </c>
      <c r="C297" s="10">
        <f>IF('StockList_MS2'!A296="","",'StockList_MS2'!B296)</f>
        <v/>
      </c>
      <c r="D297" s="11" t="n"/>
      <c r="E297" s="11" t="n"/>
      <c r="F297" s="11" t="n"/>
      <c r="G297" s="11" t="n"/>
      <c r="H297" s="12" t="n"/>
      <c r="I297" s="11" t="n"/>
      <c r="J297" s="11" t="n"/>
      <c r="K297" s="11" t="n"/>
      <c r="L297" s="8">
        <f>IF(D297="","",IF(D297&gt;K297,"BUY-DAY","SELL-DAY"))</f>
        <v/>
      </c>
      <c r="M297" s="13">
        <f>IF(D297="","",MAX(E297-F297,ABS(E297-K297),ABS(F297-K297)))</f>
        <v/>
      </c>
      <c r="N297" s="8">
        <f>IF(D297="","",IF(AND(H297&gt;0,H297&gt;(H297/3)*2.5),"VOL-OK","VOL-NG"))</f>
        <v/>
      </c>
      <c r="O297" s="8">
        <f>IF(D297="","",IF(D297&gt;I297,"ON","OFF"))</f>
        <v/>
      </c>
      <c r="P297" s="8">
        <f>IF(D297="","",IF(D297&lt;J297,"ON","OFF"))</f>
        <v/>
      </c>
      <c r="Q297" s="8">
        <f>IF(OR(D297="",M297&lt;=0),"",IF(AND(L297="BUY-DAY",N297="VOL-OK",P297="ON",Z297="OK",AA297&lt;&gt;"DOWN"),"BUY",IF(AND(L297="SELL-DAY",N297="VOL-OK",O297="ON",Z297="OK",AA297&lt;&gt;"UP"),"SELL","")))</f>
        <v/>
      </c>
      <c r="R297" s="13">
        <f>IF(Q297="","",D297)</f>
        <v/>
      </c>
      <c r="S297" s="13">
        <f>IF(Q297="","",IF(Q297="BUY",D297-M297*1.5,D297+M297*1.5))</f>
        <v/>
      </c>
      <c r="T297" s="13">
        <f>IF(Q297="","",IF(Q297="BUY",D297+M297*1.5,D297-M297*1.5))</f>
        <v/>
      </c>
      <c r="U297" s="13">
        <f>IF(Q297="","",IF(Q297="BUY",D297+M297*2,D297-M297*2))</f>
        <v/>
      </c>
      <c r="V297" s="13">
        <f>IF(Q297="","",IF(Q297="BUY",D297+M297*3,D297-M297*3))</f>
        <v/>
      </c>
      <c r="W297" s="8">
        <f>IF(OR(D297="",M297&lt;=0),"",IF(AND(D297&gt;G297,ABS(D297-G297)&lt;M297*0.5),"2ND","1ST"))</f>
        <v/>
      </c>
      <c r="X297" s="8">
        <f>IF(OR(D297="",M297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7" s="8">
        <f>IF(OR(D297="",M297&lt;=0),"",IF(M297&gt;D297*0.05,"VOL-HIGH","VOL-NORMAL"))</f>
        <v/>
      </c>
      <c r="Z297" s="8">
        <f>IF(OR(D297="",M297&lt;=0),"",IF(AND(N297="VOL-OK",Y297="VOL-NORMAL",W297="2ND"),"OK","NG"))</f>
        <v/>
      </c>
      <c r="AA297" s="8">
        <f>IF(OR(D297="",M297&lt;=0),"",IF(AND(E297&gt;I297,F297&gt;J297),"UP",IF(AND(E297&lt;I297,F297&lt;J297),"DOWN","FLAT")))</f>
        <v/>
      </c>
    </row>
    <row r="298" ht="26" customHeight="1" s="1">
      <c r="A298" s="14">
        <f>IF(B298="","",ROW()-2)</f>
        <v/>
      </c>
      <c r="B298" s="15">
        <f>IF('StockList_MS2'!A297="","",HYPERLINK("https://kabutan.jp/stock/?code="&amp;'StockList_MS2'!A297,'StockList_MS2'!A297))</f>
        <v/>
      </c>
      <c r="C298" s="16">
        <f>IF('StockList_MS2'!A297="","",'StockList_MS2'!B297)</f>
        <v/>
      </c>
      <c r="D298" s="17" t="n"/>
      <c r="E298" s="17" t="n"/>
      <c r="F298" s="17" t="n"/>
      <c r="G298" s="17" t="n"/>
      <c r="H298" s="18" t="n"/>
      <c r="I298" s="17" t="n"/>
      <c r="J298" s="17" t="n"/>
      <c r="K298" s="17" t="n"/>
      <c r="L298" s="14">
        <f>IF(D298="","",IF(D298&gt;K298,"BUY-DAY","SELL-DAY"))</f>
        <v/>
      </c>
      <c r="M298" s="19">
        <f>IF(D298="","",MAX(E298-F298,ABS(E298-K298),ABS(F298-K298)))</f>
        <v/>
      </c>
      <c r="N298" s="14">
        <f>IF(D298="","",IF(AND(H298&gt;0,H298&gt;(H298/3)*2.5),"VOL-OK","VOL-NG"))</f>
        <v/>
      </c>
      <c r="O298" s="14">
        <f>IF(D298="","",IF(D298&gt;I298,"ON","OFF"))</f>
        <v/>
      </c>
      <c r="P298" s="14">
        <f>IF(D298="","",IF(D298&lt;J298,"ON","OFF"))</f>
        <v/>
      </c>
      <c r="Q298" s="14">
        <f>IF(OR(D298="",M298&lt;=0),"",IF(AND(L298="BUY-DAY",N298="VOL-OK",P298="ON",Z298="OK",AA298&lt;&gt;"DOWN"),"BUY",IF(AND(L298="SELL-DAY",N298="VOL-OK",O298="ON",Z298="OK",AA298&lt;&gt;"UP"),"SELL","")))</f>
        <v/>
      </c>
      <c r="R298" s="19">
        <f>IF(Q298="","",D298)</f>
        <v/>
      </c>
      <c r="S298" s="19">
        <f>IF(Q298="","",IF(Q298="BUY",D298-M298*1.5,D298+M298*1.5))</f>
        <v/>
      </c>
      <c r="T298" s="19">
        <f>IF(Q298="","",IF(Q298="BUY",D298+M298*1.5,D298-M298*1.5))</f>
        <v/>
      </c>
      <c r="U298" s="19">
        <f>IF(Q298="","",IF(Q298="BUY",D298+M298*2,D298-M298*2))</f>
        <v/>
      </c>
      <c r="V298" s="19">
        <f>IF(Q298="","",IF(Q298="BUY",D298+M298*3,D298-M298*3))</f>
        <v/>
      </c>
      <c r="W298" s="14">
        <f>IF(OR(D298="",M298&lt;=0),"",IF(AND(D298&gt;G298,ABS(D298-G298)&lt;M298*0.5),"2ND","1ST"))</f>
        <v/>
      </c>
      <c r="X298" s="14">
        <f>IF(OR(D298="",M298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8" s="14">
        <f>IF(OR(D298="",M298&lt;=0),"",IF(M298&gt;D298*0.05,"VOL-HIGH","VOL-NORMAL"))</f>
        <v/>
      </c>
      <c r="Z298" s="14">
        <f>IF(OR(D298="",M298&lt;=0),"",IF(AND(N298="VOL-OK",Y298="VOL-NORMAL",W298="2ND"),"OK","NG"))</f>
        <v/>
      </c>
      <c r="AA298" s="14">
        <f>IF(OR(D298="",M298&lt;=0),"",IF(AND(E298&gt;I298,F298&gt;J298),"UP",IF(AND(E298&lt;I298,F298&lt;J298),"DOWN","FLAT")))</f>
        <v/>
      </c>
    </row>
    <row r="299" ht="26" customHeight="1" s="1">
      <c r="A299" s="8">
        <f>IF(B299="","",ROW()-2)</f>
        <v/>
      </c>
      <c r="B299" s="9">
        <f>IF('StockList_MS2'!A298="","",HYPERLINK("https://kabutan.jp/stock/?code="&amp;'StockList_MS2'!A298,'StockList_MS2'!A298))</f>
        <v/>
      </c>
      <c r="C299" s="10">
        <f>IF('StockList_MS2'!A298="","",'StockList_MS2'!B298)</f>
        <v/>
      </c>
      <c r="D299" s="11" t="n"/>
      <c r="E299" s="11" t="n"/>
      <c r="F299" s="11" t="n"/>
      <c r="G299" s="11" t="n"/>
      <c r="H299" s="12" t="n"/>
      <c r="I299" s="11" t="n"/>
      <c r="J299" s="11" t="n"/>
      <c r="K299" s="11" t="n"/>
      <c r="L299" s="8">
        <f>IF(D299="","",IF(D299&gt;K299,"BUY-DAY","SELL-DAY"))</f>
        <v/>
      </c>
      <c r="M299" s="13">
        <f>IF(D299="","",MAX(E299-F299,ABS(E299-K299),ABS(F299-K299)))</f>
        <v/>
      </c>
      <c r="N299" s="8">
        <f>IF(D299="","",IF(AND(H299&gt;0,H299&gt;(H299/3)*2.5),"VOL-OK","VOL-NG"))</f>
        <v/>
      </c>
      <c r="O299" s="8">
        <f>IF(D299="","",IF(D299&gt;I299,"ON","OFF"))</f>
        <v/>
      </c>
      <c r="P299" s="8">
        <f>IF(D299="","",IF(D299&lt;J299,"ON","OFF"))</f>
        <v/>
      </c>
      <c r="Q299" s="8">
        <f>IF(OR(D299="",M299&lt;=0),"",IF(AND(L299="BUY-DAY",N299="VOL-OK",P299="ON",Z299="OK",AA299&lt;&gt;"DOWN"),"BUY",IF(AND(L299="SELL-DAY",N299="VOL-OK",O299="ON",Z299="OK",AA299&lt;&gt;"UP"),"SELL","")))</f>
        <v/>
      </c>
      <c r="R299" s="13">
        <f>IF(Q299="","",D299)</f>
        <v/>
      </c>
      <c r="S299" s="13">
        <f>IF(Q299="","",IF(Q299="BUY",D299-M299*1.5,D299+M299*1.5))</f>
        <v/>
      </c>
      <c r="T299" s="13">
        <f>IF(Q299="","",IF(Q299="BUY",D299+M299*1.5,D299-M299*1.5))</f>
        <v/>
      </c>
      <c r="U299" s="13">
        <f>IF(Q299="","",IF(Q299="BUY",D299+M299*2,D299-M299*2))</f>
        <v/>
      </c>
      <c r="V299" s="13">
        <f>IF(Q299="","",IF(Q299="BUY",D299+M299*3,D299-M299*3))</f>
        <v/>
      </c>
      <c r="W299" s="8">
        <f>IF(OR(D299="",M299&lt;=0),"",IF(AND(D299&gt;G299,ABS(D299-G299)&lt;M299*0.5),"2ND","1ST"))</f>
        <v/>
      </c>
      <c r="X299" s="8">
        <f>IF(OR(D299="",M299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299" s="8">
        <f>IF(OR(D299="",M299&lt;=0),"",IF(M299&gt;D299*0.05,"VOL-HIGH","VOL-NORMAL"))</f>
        <v/>
      </c>
      <c r="Z299" s="8">
        <f>IF(OR(D299="",M299&lt;=0),"",IF(AND(N299="VOL-OK",Y299="VOL-NORMAL",W299="2ND"),"OK","NG"))</f>
        <v/>
      </c>
      <c r="AA299" s="8">
        <f>IF(OR(D299="",M299&lt;=0),"",IF(AND(E299&gt;I299,F299&gt;J299),"UP",IF(AND(E299&lt;I299,F299&lt;J299),"DOWN","FLAT")))</f>
        <v/>
      </c>
    </row>
    <row r="300" ht="26" customHeight="1" s="1">
      <c r="A300" s="14">
        <f>IF(B300="","",ROW()-2)</f>
        <v/>
      </c>
      <c r="B300" s="15">
        <f>IF('StockList_MS2'!A299="","",HYPERLINK("https://kabutan.jp/stock/?code="&amp;'StockList_MS2'!A299,'StockList_MS2'!A299))</f>
        <v/>
      </c>
      <c r="C300" s="16">
        <f>IF('StockList_MS2'!A299="","",'StockList_MS2'!B299)</f>
        <v/>
      </c>
      <c r="D300" s="17" t="n"/>
      <c r="E300" s="17" t="n"/>
      <c r="F300" s="17" t="n"/>
      <c r="G300" s="17" t="n"/>
      <c r="H300" s="18" t="n"/>
      <c r="I300" s="17" t="n"/>
      <c r="J300" s="17" t="n"/>
      <c r="K300" s="17" t="n"/>
      <c r="L300" s="14">
        <f>IF(D300="","",IF(D300&gt;K300,"BUY-DAY","SELL-DAY"))</f>
        <v/>
      </c>
      <c r="M300" s="19">
        <f>IF(D300="","",MAX(E300-F300,ABS(E300-K300),ABS(F300-K300)))</f>
        <v/>
      </c>
      <c r="N300" s="14">
        <f>IF(D300="","",IF(AND(H300&gt;0,H300&gt;(H300/3)*2.5),"VOL-OK","VOL-NG"))</f>
        <v/>
      </c>
      <c r="O300" s="14">
        <f>IF(D300="","",IF(D300&gt;I300,"ON","OFF"))</f>
        <v/>
      </c>
      <c r="P300" s="14">
        <f>IF(D300="","",IF(D300&lt;J300,"ON","OFF"))</f>
        <v/>
      </c>
      <c r="Q300" s="14">
        <f>IF(OR(D300="",M300&lt;=0),"",IF(AND(L300="BUY-DAY",N300="VOL-OK",P300="ON",Z300="OK",AA300&lt;&gt;"DOWN"),"BUY",IF(AND(L300="SELL-DAY",N300="VOL-OK",O300="ON",Z300="OK",AA300&lt;&gt;"UP"),"SELL","")))</f>
        <v/>
      </c>
      <c r="R300" s="19">
        <f>IF(Q300="","",D300)</f>
        <v/>
      </c>
      <c r="S300" s="19">
        <f>IF(Q300="","",IF(Q300="BUY",D300-M300*1.5,D300+M300*1.5))</f>
        <v/>
      </c>
      <c r="T300" s="19">
        <f>IF(Q300="","",IF(Q300="BUY",D300+M300*1.5,D300-M300*1.5))</f>
        <v/>
      </c>
      <c r="U300" s="19">
        <f>IF(Q300="","",IF(Q300="BUY",D300+M300*2,D300-M300*2))</f>
        <v/>
      </c>
      <c r="V300" s="19">
        <f>IF(Q300="","",IF(Q300="BUY",D300+M300*3,D300-M300*3))</f>
        <v/>
      </c>
      <c r="W300" s="14">
        <f>IF(OR(D300="",M300&lt;=0),"",IF(AND(D300&gt;G300,ABS(D300-G300)&lt;M300*0.5),"2ND","1ST"))</f>
        <v/>
      </c>
      <c r="X300" s="14">
        <f>IF(OR(D300="",M300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0" s="14">
        <f>IF(OR(D300="",M300&lt;=0),"",IF(M300&gt;D300*0.05,"VOL-HIGH","VOL-NORMAL"))</f>
        <v/>
      </c>
      <c r="Z300" s="14">
        <f>IF(OR(D300="",M300&lt;=0),"",IF(AND(N300="VOL-OK",Y300="VOL-NORMAL",W300="2ND"),"OK","NG"))</f>
        <v/>
      </c>
      <c r="AA300" s="14">
        <f>IF(OR(D300="",M300&lt;=0),"",IF(AND(E300&gt;I300,F300&gt;J300),"UP",IF(AND(E300&lt;I300,F300&lt;J300),"DOWN","FLAT")))</f>
        <v/>
      </c>
    </row>
    <row r="301" ht="26" customHeight="1" s="1">
      <c r="A301" s="8">
        <f>IF(B301="","",ROW()-2)</f>
        <v/>
      </c>
      <c r="B301" s="9">
        <f>IF('StockList_MS2'!A300="","",HYPERLINK("https://kabutan.jp/stock/?code="&amp;'StockList_MS2'!A300,'StockList_MS2'!A300))</f>
        <v/>
      </c>
      <c r="C301" s="10">
        <f>IF('StockList_MS2'!A300="","",'StockList_MS2'!B300)</f>
        <v/>
      </c>
      <c r="D301" s="11" t="n"/>
      <c r="E301" s="11" t="n"/>
      <c r="F301" s="11" t="n"/>
      <c r="G301" s="11" t="n"/>
      <c r="H301" s="12" t="n"/>
      <c r="I301" s="11" t="n"/>
      <c r="J301" s="11" t="n"/>
      <c r="K301" s="11" t="n"/>
      <c r="L301" s="8">
        <f>IF(D301="","",IF(D301&gt;K301,"BUY-DAY","SELL-DAY"))</f>
        <v/>
      </c>
      <c r="M301" s="13">
        <f>IF(D301="","",MAX(E301-F301,ABS(E301-K301),ABS(F301-K301)))</f>
        <v/>
      </c>
      <c r="N301" s="8">
        <f>IF(D301="","",IF(AND(H301&gt;0,H301&gt;(H301/3)*2.5),"VOL-OK","VOL-NG"))</f>
        <v/>
      </c>
      <c r="O301" s="8">
        <f>IF(D301="","",IF(D301&gt;I301,"ON","OFF"))</f>
        <v/>
      </c>
      <c r="P301" s="8">
        <f>IF(D301="","",IF(D301&lt;J301,"ON","OFF"))</f>
        <v/>
      </c>
      <c r="Q301" s="8">
        <f>IF(OR(D301="",M301&lt;=0),"",IF(AND(L301="BUY-DAY",N301="VOL-OK",P301="ON",Z301="OK",AA301&lt;&gt;"DOWN"),"BUY",IF(AND(L301="SELL-DAY",N301="VOL-OK",O301="ON",Z301="OK",AA301&lt;&gt;"UP"),"SELL","")))</f>
        <v/>
      </c>
      <c r="R301" s="13">
        <f>IF(Q301="","",D301)</f>
        <v/>
      </c>
      <c r="S301" s="13">
        <f>IF(Q301="","",IF(Q301="BUY",D301-M301*1.5,D301+M301*1.5))</f>
        <v/>
      </c>
      <c r="T301" s="13">
        <f>IF(Q301="","",IF(Q301="BUY",D301+M301*1.5,D301-M301*1.5))</f>
        <v/>
      </c>
      <c r="U301" s="13">
        <f>IF(Q301="","",IF(Q301="BUY",D301+M301*2,D301-M301*2))</f>
        <v/>
      </c>
      <c r="V301" s="13">
        <f>IF(Q301="","",IF(Q301="BUY",D301+M301*3,D301-M301*3))</f>
        <v/>
      </c>
      <c r="W301" s="8">
        <f>IF(OR(D301="",M301&lt;=0),"",IF(AND(D301&gt;G301,ABS(D301-G301)&lt;M301*0.5),"2ND","1ST"))</f>
        <v/>
      </c>
      <c r="X301" s="8">
        <f>IF(OR(D301="",M301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1" s="8">
        <f>IF(OR(D301="",M301&lt;=0),"",IF(M301&gt;D301*0.05,"VOL-HIGH","VOL-NORMAL"))</f>
        <v/>
      </c>
      <c r="Z301" s="8">
        <f>IF(OR(D301="",M301&lt;=0),"",IF(AND(N301="VOL-OK",Y301="VOL-NORMAL",W301="2ND"),"OK","NG"))</f>
        <v/>
      </c>
      <c r="AA301" s="8">
        <f>IF(OR(D301="",M301&lt;=0),"",IF(AND(E301&gt;I301,F301&gt;J301),"UP",IF(AND(E301&lt;I301,F301&lt;J301),"DOWN","FLAT")))</f>
        <v/>
      </c>
    </row>
    <row r="302" ht="26" customHeight="1" s="1">
      <c r="A302" s="14">
        <f>IF(B302="","",ROW()-2)</f>
        <v/>
      </c>
      <c r="B302" s="15">
        <f>IF('StockList_MS2'!A301="","",HYPERLINK("https://kabutan.jp/stock/?code="&amp;'StockList_MS2'!A301,'StockList_MS2'!A301))</f>
        <v/>
      </c>
      <c r="C302" s="16">
        <f>IF('StockList_MS2'!A301="","",'StockList_MS2'!B301)</f>
        <v/>
      </c>
      <c r="D302" s="17" t="n"/>
      <c r="E302" s="17" t="n"/>
      <c r="F302" s="17" t="n"/>
      <c r="G302" s="17" t="n"/>
      <c r="H302" s="18" t="n"/>
      <c r="I302" s="17" t="n"/>
      <c r="J302" s="17" t="n"/>
      <c r="K302" s="17" t="n"/>
      <c r="L302" s="14">
        <f>IF(D302="","",IF(D302&gt;K302,"BUY-DAY","SELL-DAY"))</f>
        <v/>
      </c>
      <c r="M302" s="19">
        <f>IF(D302="","",MAX(E302-F302,ABS(E302-K302),ABS(F302-K302)))</f>
        <v/>
      </c>
      <c r="N302" s="14">
        <f>IF(D302="","",IF(AND(H302&gt;0,H302&gt;(H302/3)*2.5),"VOL-OK","VOL-NG"))</f>
        <v/>
      </c>
      <c r="O302" s="14">
        <f>IF(D302="","",IF(D302&gt;I302,"ON","OFF"))</f>
        <v/>
      </c>
      <c r="P302" s="14">
        <f>IF(D302="","",IF(D302&lt;J302,"ON","OFF"))</f>
        <v/>
      </c>
      <c r="Q302" s="14">
        <f>IF(OR(D302="",M302&lt;=0),"",IF(AND(L302="BUY-DAY",N302="VOL-OK",P302="ON",Z302="OK",AA302&lt;&gt;"DOWN"),"BUY",IF(AND(L302="SELL-DAY",N302="VOL-OK",O302="ON",Z302="OK",AA302&lt;&gt;"UP"),"SELL","")))</f>
        <v/>
      </c>
      <c r="R302" s="19">
        <f>IF(Q302="","",D302)</f>
        <v/>
      </c>
      <c r="S302" s="19">
        <f>IF(Q302="","",IF(Q302="BUY",D302-M302*1.5,D302+M302*1.5))</f>
        <v/>
      </c>
      <c r="T302" s="19">
        <f>IF(Q302="","",IF(Q302="BUY",D302+M302*1.5,D302-M302*1.5))</f>
        <v/>
      </c>
      <c r="U302" s="19">
        <f>IF(Q302="","",IF(Q302="BUY",D302+M302*2,D302-M302*2))</f>
        <v/>
      </c>
      <c r="V302" s="19">
        <f>IF(Q302="","",IF(Q302="BUY",D302+M302*3,D302-M302*3))</f>
        <v/>
      </c>
      <c r="W302" s="14">
        <f>IF(OR(D302="",M302&lt;=0),"",IF(AND(D302&gt;G302,ABS(D302-G302)&lt;M302*0.5),"2ND","1ST"))</f>
        <v/>
      </c>
      <c r="X302" s="14">
        <f>IF(OR(D302="",M302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2" s="14">
        <f>IF(OR(D302="",M302&lt;=0),"",IF(M302&gt;D302*0.05,"VOL-HIGH","VOL-NORMAL"))</f>
        <v/>
      </c>
      <c r="Z302" s="14">
        <f>IF(OR(D302="",M302&lt;=0),"",IF(AND(N302="VOL-OK",Y302="VOL-NORMAL",W302="2ND"),"OK","NG"))</f>
        <v/>
      </c>
      <c r="AA302" s="14">
        <f>IF(OR(D302="",M302&lt;=0),"",IF(AND(E302&gt;I302,F302&gt;J302),"UP",IF(AND(E302&lt;I302,F302&lt;J302),"DOWN","FLAT")))</f>
        <v/>
      </c>
    </row>
    <row r="303" ht="26" customHeight="1" s="1">
      <c r="A303" s="8">
        <f>IF(B303="","",ROW()-2)</f>
        <v/>
      </c>
      <c r="B303" s="9">
        <f>IF('StockList_MS2'!A302="","",HYPERLINK("https://kabutan.jp/stock/?code="&amp;'StockList_MS2'!A302,'StockList_MS2'!A302))</f>
        <v/>
      </c>
      <c r="C303" s="10">
        <f>IF('StockList_MS2'!A302="","",'StockList_MS2'!B302)</f>
        <v/>
      </c>
      <c r="D303" s="11" t="n"/>
      <c r="E303" s="11" t="n"/>
      <c r="F303" s="11" t="n"/>
      <c r="G303" s="11" t="n"/>
      <c r="H303" s="12" t="n"/>
      <c r="I303" s="11" t="n"/>
      <c r="J303" s="11" t="n"/>
      <c r="K303" s="11" t="n"/>
      <c r="L303" s="8">
        <f>IF(D303="","",IF(D303&gt;K303,"BUY-DAY","SELL-DAY"))</f>
        <v/>
      </c>
      <c r="M303" s="13">
        <f>IF(D303="","",MAX(E303-F303,ABS(E303-K303),ABS(F303-K303)))</f>
        <v/>
      </c>
      <c r="N303" s="8">
        <f>IF(D303="","",IF(AND(H303&gt;0,H303&gt;(H303/3)*2.5),"VOL-OK","VOL-NG"))</f>
        <v/>
      </c>
      <c r="O303" s="8">
        <f>IF(D303="","",IF(D303&gt;I303,"ON","OFF"))</f>
        <v/>
      </c>
      <c r="P303" s="8">
        <f>IF(D303="","",IF(D303&lt;J303,"ON","OFF"))</f>
        <v/>
      </c>
      <c r="Q303" s="8">
        <f>IF(OR(D303="",M303&lt;=0),"",IF(AND(L303="BUY-DAY",N303="VOL-OK",P303="ON",Z303="OK",AA303&lt;&gt;"DOWN"),"BUY",IF(AND(L303="SELL-DAY",N303="VOL-OK",O303="ON",Z303="OK",AA303&lt;&gt;"UP"),"SELL","")))</f>
        <v/>
      </c>
      <c r="R303" s="13">
        <f>IF(Q303="","",D303)</f>
        <v/>
      </c>
      <c r="S303" s="13">
        <f>IF(Q303="","",IF(Q303="BUY",D303-M303*1.5,D303+M303*1.5))</f>
        <v/>
      </c>
      <c r="T303" s="13">
        <f>IF(Q303="","",IF(Q303="BUY",D303+M303*1.5,D303-M303*1.5))</f>
        <v/>
      </c>
      <c r="U303" s="13">
        <f>IF(Q303="","",IF(Q303="BUY",D303+M303*2,D303-M303*2))</f>
        <v/>
      </c>
      <c r="V303" s="13">
        <f>IF(Q303="","",IF(Q303="BUY",D303+M303*3,D303-M303*3))</f>
        <v/>
      </c>
      <c r="W303" s="8">
        <f>IF(OR(D303="",M303&lt;=0),"",IF(AND(D303&gt;G303,ABS(D303-G303)&lt;M303*0.5),"2ND","1ST"))</f>
        <v/>
      </c>
      <c r="X303" s="8">
        <f>IF(OR(D303="",M303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3" s="8">
        <f>IF(OR(D303="",M303&lt;=0),"",IF(M303&gt;D303*0.05,"VOL-HIGH","VOL-NORMAL"))</f>
        <v/>
      </c>
      <c r="Z303" s="8">
        <f>IF(OR(D303="",M303&lt;=0),"",IF(AND(N303="VOL-OK",Y303="VOL-NORMAL",W303="2ND"),"OK","NG"))</f>
        <v/>
      </c>
      <c r="AA303" s="8">
        <f>IF(OR(D303="",M303&lt;=0),"",IF(AND(E303&gt;I303,F303&gt;J303),"UP",IF(AND(E303&lt;I303,F303&lt;J303),"DOWN","FLAT")))</f>
        <v/>
      </c>
    </row>
    <row r="304" ht="26" customHeight="1" s="1">
      <c r="A304" s="14">
        <f>IF(B304="","",ROW()-2)</f>
        <v/>
      </c>
      <c r="B304" s="15">
        <f>IF('StockList_MS2'!A303="","",HYPERLINK("https://kabutan.jp/stock/?code="&amp;'StockList_MS2'!A303,'StockList_MS2'!A303))</f>
        <v/>
      </c>
      <c r="C304" s="16">
        <f>IF('StockList_MS2'!A303="","",'StockList_MS2'!B303)</f>
        <v/>
      </c>
      <c r="D304" s="17" t="n"/>
      <c r="E304" s="17" t="n"/>
      <c r="F304" s="17" t="n"/>
      <c r="G304" s="17" t="n"/>
      <c r="H304" s="18" t="n"/>
      <c r="I304" s="17" t="n"/>
      <c r="J304" s="17" t="n"/>
      <c r="K304" s="17" t="n"/>
      <c r="L304" s="14">
        <f>IF(D304="","",IF(D304&gt;K304,"BUY-DAY","SELL-DAY"))</f>
        <v/>
      </c>
      <c r="M304" s="19">
        <f>IF(D304="","",MAX(E304-F304,ABS(E304-K304),ABS(F304-K304)))</f>
        <v/>
      </c>
      <c r="N304" s="14">
        <f>IF(D304="","",IF(AND(H304&gt;0,H304&gt;(H304/3)*2.5),"VOL-OK","VOL-NG"))</f>
        <v/>
      </c>
      <c r="O304" s="14">
        <f>IF(D304="","",IF(D304&gt;I304,"ON","OFF"))</f>
        <v/>
      </c>
      <c r="P304" s="14">
        <f>IF(D304="","",IF(D304&lt;J304,"ON","OFF"))</f>
        <v/>
      </c>
      <c r="Q304" s="14">
        <f>IF(OR(D304="",M304&lt;=0),"",IF(AND(L304="BUY-DAY",N304="VOL-OK",P304="ON",Z304="OK",AA304&lt;&gt;"DOWN"),"BUY",IF(AND(L304="SELL-DAY",N304="VOL-OK",O304="ON",Z304="OK",AA304&lt;&gt;"UP"),"SELL","")))</f>
        <v/>
      </c>
      <c r="R304" s="19">
        <f>IF(Q304="","",D304)</f>
        <v/>
      </c>
      <c r="S304" s="19">
        <f>IF(Q304="","",IF(Q304="BUY",D304-M304*1.5,D304+M304*1.5))</f>
        <v/>
      </c>
      <c r="T304" s="19">
        <f>IF(Q304="","",IF(Q304="BUY",D304+M304*1.5,D304-M304*1.5))</f>
        <v/>
      </c>
      <c r="U304" s="19">
        <f>IF(Q304="","",IF(Q304="BUY",D304+M304*2,D304-M304*2))</f>
        <v/>
      </c>
      <c r="V304" s="19">
        <f>IF(Q304="","",IF(Q304="BUY",D304+M304*3,D304-M304*3))</f>
        <v/>
      </c>
      <c r="W304" s="14">
        <f>IF(OR(D304="",M304&lt;=0),"",IF(AND(D304&gt;G304,ABS(D304-G304)&lt;M304*0.5),"2ND","1ST"))</f>
        <v/>
      </c>
      <c r="X304" s="14">
        <f>IF(OR(D304="",M304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4" s="14">
        <f>IF(OR(D304="",M304&lt;=0),"",IF(M304&gt;D304*0.05,"VOL-HIGH","VOL-NORMAL"))</f>
        <v/>
      </c>
      <c r="Z304" s="14">
        <f>IF(OR(D304="",M304&lt;=0),"",IF(AND(N304="VOL-OK",Y304="VOL-NORMAL",W304="2ND"),"OK","NG"))</f>
        <v/>
      </c>
      <c r="AA304" s="14">
        <f>IF(OR(D304="",M304&lt;=0),"",IF(AND(E304&gt;I304,F304&gt;J304),"UP",IF(AND(E304&lt;I304,F304&lt;J304),"DOWN","FLAT")))</f>
        <v/>
      </c>
    </row>
    <row r="305" ht="26" customHeight="1" s="1">
      <c r="A305" s="8">
        <f>IF(B305="","",ROW()-2)</f>
        <v/>
      </c>
      <c r="B305" s="9">
        <f>IF('StockList_MS2'!A304="","",HYPERLINK("https://kabutan.jp/stock/?code="&amp;'StockList_MS2'!A304,'StockList_MS2'!A304))</f>
        <v/>
      </c>
      <c r="C305" s="10">
        <f>IF('StockList_MS2'!A304="","",'StockList_MS2'!B304)</f>
        <v/>
      </c>
      <c r="D305" s="11" t="n"/>
      <c r="E305" s="11" t="n"/>
      <c r="F305" s="11" t="n"/>
      <c r="G305" s="11" t="n"/>
      <c r="H305" s="12" t="n"/>
      <c r="I305" s="11" t="n"/>
      <c r="J305" s="11" t="n"/>
      <c r="K305" s="11" t="n"/>
      <c r="L305" s="8">
        <f>IF(D305="","",IF(D305&gt;K305,"BUY-DAY","SELL-DAY"))</f>
        <v/>
      </c>
      <c r="M305" s="13">
        <f>IF(D305="","",MAX(E305-F305,ABS(E305-K305),ABS(F305-K305)))</f>
        <v/>
      </c>
      <c r="N305" s="8">
        <f>IF(D305="","",IF(AND(H305&gt;0,H305&gt;(H305/3)*2.5),"VOL-OK","VOL-NG"))</f>
        <v/>
      </c>
      <c r="O305" s="8">
        <f>IF(D305="","",IF(D305&gt;I305,"ON","OFF"))</f>
        <v/>
      </c>
      <c r="P305" s="8">
        <f>IF(D305="","",IF(D305&lt;J305,"ON","OFF"))</f>
        <v/>
      </c>
      <c r="Q305" s="8">
        <f>IF(OR(D305="",M305&lt;=0),"",IF(AND(L305="BUY-DAY",N305="VOL-OK",P305="ON",Z305="OK",AA305&lt;&gt;"DOWN"),"BUY",IF(AND(L305="SELL-DAY",N305="VOL-OK",O305="ON",Z305="OK",AA305&lt;&gt;"UP"),"SELL","")))</f>
        <v/>
      </c>
      <c r="R305" s="13">
        <f>IF(Q305="","",D305)</f>
        <v/>
      </c>
      <c r="S305" s="13">
        <f>IF(Q305="","",IF(Q305="BUY",D305-M305*1.5,D305+M305*1.5))</f>
        <v/>
      </c>
      <c r="T305" s="13">
        <f>IF(Q305="","",IF(Q305="BUY",D305+M305*1.5,D305-M305*1.5))</f>
        <v/>
      </c>
      <c r="U305" s="13">
        <f>IF(Q305="","",IF(Q305="BUY",D305+M305*2,D305-M305*2))</f>
        <v/>
      </c>
      <c r="V305" s="13">
        <f>IF(Q305="","",IF(Q305="BUY",D305+M305*3,D305-M305*3))</f>
        <v/>
      </c>
      <c r="W305" s="8">
        <f>IF(OR(D305="",M305&lt;=0),"",IF(AND(D305&gt;G305,ABS(D305-G305)&lt;M305*0.5),"2ND","1ST"))</f>
        <v/>
      </c>
      <c r="X305" s="8">
        <f>IF(OR(D305="",M305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5" s="8">
        <f>IF(OR(D305="",M305&lt;=0),"",IF(M305&gt;D305*0.05,"VOL-HIGH","VOL-NORMAL"))</f>
        <v/>
      </c>
      <c r="Z305" s="8">
        <f>IF(OR(D305="",M305&lt;=0),"",IF(AND(N305="VOL-OK",Y305="VOL-NORMAL",W305="2ND"),"OK","NG"))</f>
        <v/>
      </c>
      <c r="AA305" s="8">
        <f>IF(OR(D305="",M305&lt;=0),"",IF(AND(E305&gt;I305,F305&gt;J305),"UP",IF(AND(E305&lt;I305,F305&lt;J305),"DOWN","FLAT")))</f>
        <v/>
      </c>
    </row>
    <row r="306" ht="26" customHeight="1" s="1">
      <c r="A306" s="14">
        <f>IF(B306="","",ROW()-2)</f>
        <v/>
      </c>
      <c r="B306" s="15">
        <f>IF('StockList_MS2'!A305="","",HYPERLINK("https://kabutan.jp/stock/?code="&amp;'StockList_MS2'!A305,'StockList_MS2'!A305))</f>
        <v/>
      </c>
      <c r="C306" s="16">
        <f>IF('StockList_MS2'!A305="","",'StockList_MS2'!B305)</f>
        <v/>
      </c>
      <c r="D306" s="17" t="n"/>
      <c r="E306" s="17" t="n"/>
      <c r="F306" s="17" t="n"/>
      <c r="G306" s="17" t="n"/>
      <c r="H306" s="18" t="n"/>
      <c r="I306" s="17" t="n"/>
      <c r="J306" s="17" t="n"/>
      <c r="K306" s="17" t="n"/>
      <c r="L306" s="14">
        <f>IF(D306="","",IF(D306&gt;K306,"BUY-DAY","SELL-DAY"))</f>
        <v/>
      </c>
      <c r="M306" s="19">
        <f>IF(D306="","",MAX(E306-F306,ABS(E306-K306),ABS(F306-K306)))</f>
        <v/>
      </c>
      <c r="N306" s="14">
        <f>IF(D306="","",IF(AND(H306&gt;0,H306&gt;(H306/3)*2.5),"VOL-OK","VOL-NG"))</f>
        <v/>
      </c>
      <c r="O306" s="14">
        <f>IF(D306="","",IF(D306&gt;I306,"ON","OFF"))</f>
        <v/>
      </c>
      <c r="P306" s="14">
        <f>IF(D306="","",IF(D306&lt;J306,"ON","OFF"))</f>
        <v/>
      </c>
      <c r="Q306" s="14">
        <f>IF(OR(D306="",M306&lt;=0),"",IF(AND(L306="BUY-DAY",N306="VOL-OK",P306="ON",Z306="OK",AA306&lt;&gt;"DOWN"),"BUY",IF(AND(L306="SELL-DAY",N306="VOL-OK",O306="ON",Z306="OK",AA306&lt;&gt;"UP"),"SELL","")))</f>
        <v/>
      </c>
      <c r="R306" s="19">
        <f>IF(Q306="","",D306)</f>
        <v/>
      </c>
      <c r="S306" s="19">
        <f>IF(Q306="","",IF(Q306="BUY",D306-M306*1.5,D306+M306*1.5))</f>
        <v/>
      </c>
      <c r="T306" s="19">
        <f>IF(Q306="","",IF(Q306="BUY",D306+M306*1.5,D306-M306*1.5))</f>
        <v/>
      </c>
      <c r="U306" s="19">
        <f>IF(Q306="","",IF(Q306="BUY",D306+M306*2,D306-M306*2))</f>
        <v/>
      </c>
      <c r="V306" s="19">
        <f>IF(Q306="","",IF(Q306="BUY",D306+M306*3,D306-M306*3))</f>
        <v/>
      </c>
      <c r="W306" s="14">
        <f>IF(OR(D306="",M306&lt;=0),"",IF(AND(D306&gt;G306,ABS(D306-G306)&lt;M306*0.5),"2ND","1ST"))</f>
        <v/>
      </c>
      <c r="X306" s="14">
        <f>IF(OR(D306="",M306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6" s="14">
        <f>IF(OR(D306="",M306&lt;=0),"",IF(M306&gt;D306*0.05,"VOL-HIGH","VOL-NORMAL"))</f>
        <v/>
      </c>
      <c r="Z306" s="14">
        <f>IF(OR(D306="",M306&lt;=0),"",IF(AND(N306="VOL-OK",Y306="VOL-NORMAL",W306="2ND"),"OK","NG"))</f>
        <v/>
      </c>
      <c r="AA306" s="14">
        <f>IF(OR(D306="",M306&lt;=0),"",IF(AND(E306&gt;I306,F306&gt;J306),"UP",IF(AND(E306&lt;I306,F306&lt;J306),"DOWN","FLAT")))</f>
        <v/>
      </c>
    </row>
    <row r="307" ht="26" customHeight="1" s="1">
      <c r="A307" s="8">
        <f>IF(B307="","",ROW()-2)</f>
        <v/>
      </c>
      <c r="B307" s="9">
        <f>IF('StockList_MS2'!A306="","",HYPERLINK("https://kabutan.jp/stock/?code="&amp;'StockList_MS2'!A306,'StockList_MS2'!A306))</f>
        <v/>
      </c>
      <c r="C307" s="10">
        <f>IF('StockList_MS2'!A306="","",'StockList_MS2'!B306)</f>
        <v/>
      </c>
      <c r="D307" s="11" t="n"/>
      <c r="E307" s="11" t="n"/>
      <c r="F307" s="11" t="n"/>
      <c r="G307" s="11" t="n"/>
      <c r="H307" s="12" t="n"/>
      <c r="I307" s="11" t="n"/>
      <c r="J307" s="11" t="n"/>
      <c r="K307" s="11" t="n"/>
      <c r="L307" s="8">
        <f>IF(D307="","",IF(D307&gt;K307,"BUY-DAY","SELL-DAY"))</f>
        <v/>
      </c>
      <c r="M307" s="13">
        <f>IF(D307="","",MAX(E307-F307,ABS(E307-K307),ABS(F307-K307)))</f>
        <v/>
      </c>
      <c r="N307" s="8">
        <f>IF(D307="","",IF(AND(H307&gt;0,H307&gt;(H307/3)*2.5),"VOL-OK","VOL-NG"))</f>
        <v/>
      </c>
      <c r="O307" s="8">
        <f>IF(D307="","",IF(D307&gt;I307,"ON","OFF"))</f>
        <v/>
      </c>
      <c r="P307" s="8">
        <f>IF(D307="","",IF(D307&lt;J307,"ON","OFF"))</f>
        <v/>
      </c>
      <c r="Q307" s="8">
        <f>IF(OR(D307="",M307&lt;=0),"",IF(AND(L307="BUY-DAY",N307="VOL-OK",P307="ON",Z307="OK",AA307&lt;&gt;"DOWN"),"BUY",IF(AND(L307="SELL-DAY",N307="VOL-OK",O307="ON",Z307="OK",AA307&lt;&gt;"UP"),"SELL","")))</f>
        <v/>
      </c>
      <c r="R307" s="13">
        <f>IF(Q307="","",D307)</f>
        <v/>
      </c>
      <c r="S307" s="13">
        <f>IF(Q307="","",IF(Q307="BUY",D307-M307*1.5,D307+M307*1.5))</f>
        <v/>
      </c>
      <c r="T307" s="13">
        <f>IF(Q307="","",IF(Q307="BUY",D307+M307*1.5,D307-M307*1.5))</f>
        <v/>
      </c>
      <c r="U307" s="13">
        <f>IF(Q307="","",IF(Q307="BUY",D307+M307*2,D307-M307*2))</f>
        <v/>
      </c>
      <c r="V307" s="13">
        <f>IF(Q307="","",IF(Q307="BUY",D307+M307*3,D307-M307*3))</f>
        <v/>
      </c>
      <c r="W307" s="8">
        <f>IF(OR(D307="",M307&lt;=0),"",IF(AND(D307&gt;G307,ABS(D307-G307)&lt;M307*0.5),"2ND","1ST"))</f>
        <v/>
      </c>
      <c r="X307" s="8">
        <f>IF(OR(D307="",M307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7" s="8">
        <f>IF(OR(D307="",M307&lt;=0),"",IF(M307&gt;D307*0.05,"VOL-HIGH","VOL-NORMAL"))</f>
        <v/>
      </c>
      <c r="Z307" s="8">
        <f>IF(OR(D307="",M307&lt;=0),"",IF(AND(N307="VOL-OK",Y307="VOL-NORMAL",W307="2ND"),"OK","NG"))</f>
        <v/>
      </c>
      <c r="AA307" s="8">
        <f>IF(OR(D307="",M307&lt;=0),"",IF(AND(E307&gt;I307,F307&gt;J307),"UP",IF(AND(E307&lt;I307,F307&lt;J307),"DOWN","FLAT")))</f>
        <v/>
      </c>
    </row>
    <row r="308" ht="26" customHeight="1" s="1">
      <c r="A308" s="14">
        <f>IF(B308="","",ROW()-2)</f>
        <v/>
      </c>
      <c r="B308" s="15">
        <f>IF('StockList_MS2'!A307="","",HYPERLINK("https://kabutan.jp/stock/?code="&amp;'StockList_MS2'!A307,'StockList_MS2'!A307))</f>
        <v/>
      </c>
      <c r="C308" s="16">
        <f>IF('StockList_MS2'!A307="","",'StockList_MS2'!B307)</f>
        <v/>
      </c>
      <c r="D308" s="17" t="n"/>
      <c r="E308" s="17" t="n"/>
      <c r="F308" s="17" t="n"/>
      <c r="G308" s="17" t="n"/>
      <c r="H308" s="18" t="n"/>
      <c r="I308" s="17" t="n"/>
      <c r="J308" s="17" t="n"/>
      <c r="K308" s="17" t="n"/>
      <c r="L308" s="14">
        <f>IF(D308="","",IF(D308&gt;K308,"BUY-DAY","SELL-DAY"))</f>
        <v/>
      </c>
      <c r="M308" s="19">
        <f>IF(D308="","",MAX(E308-F308,ABS(E308-K308),ABS(F308-K308)))</f>
        <v/>
      </c>
      <c r="N308" s="14">
        <f>IF(D308="","",IF(AND(H308&gt;0,H308&gt;(H308/3)*2.5),"VOL-OK","VOL-NG"))</f>
        <v/>
      </c>
      <c r="O308" s="14">
        <f>IF(D308="","",IF(D308&gt;I308,"ON","OFF"))</f>
        <v/>
      </c>
      <c r="P308" s="14">
        <f>IF(D308="","",IF(D308&lt;J308,"ON","OFF"))</f>
        <v/>
      </c>
      <c r="Q308" s="14">
        <f>IF(OR(D308="",M308&lt;=0),"",IF(AND(L308="BUY-DAY",N308="VOL-OK",P308="ON",Z308="OK",AA308&lt;&gt;"DOWN"),"BUY",IF(AND(L308="SELL-DAY",N308="VOL-OK",O308="ON",Z308="OK",AA308&lt;&gt;"UP"),"SELL","")))</f>
        <v/>
      </c>
      <c r="R308" s="19">
        <f>IF(Q308="","",D308)</f>
        <v/>
      </c>
      <c r="S308" s="19">
        <f>IF(Q308="","",IF(Q308="BUY",D308-M308*1.5,D308+M308*1.5))</f>
        <v/>
      </c>
      <c r="T308" s="19">
        <f>IF(Q308="","",IF(Q308="BUY",D308+M308*1.5,D308-M308*1.5))</f>
        <v/>
      </c>
      <c r="U308" s="19">
        <f>IF(Q308="","",IF(Q308="BUY",D308+M308*2,D308-M308*2))</f>
        <v/>
      </c>
      <c r="V308" s="19">
        <f>IF(Q308="","",IF(Q308="BUY",D308+M308*3,D308-M308*3))</f>
        <v/>
      </c>
      <c r="W308" s="14">
        <f>IF(OR(D308="",M308&lt;=0),"",IF(AND(D308&gt;G308,ABS(D308-G308)&lt;M308*0.5),"2ND","1ST"))</f>
        <v/>
      </c>
      <c r="X308" s="14">
        <f>IF(OR(D308="",M308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8" s="14">
        <f>IF(OR(D308="",M308&lt;=0),"",IF(M308&gt;D308*0.05,"VOL-HIGH","VOL-NORMAL"))</f>
        <v/>
      </c>
      <c r="Z308" s="14">
        <f>IF(OR(D308="",M308&lt;=0),"",IF(AND(N308="VOL-OK",Y308="VOL-NORMAL",W308="2ND"),"OK","NG"))</f>
        <v/>
      </c>
      <c r="AA308" s="14">
        <f>IF(OR(D308="",M308&lt;=0),"",IF(AND(E308&gt;I308,F308&gt;J308),"UP",IF(AND(E308&lt;I308,F308&lt;J308),"DOWN","FLAT")))</f>
        <v/>
      </c>
    </row>
    <row r="309" ht="26" customHeight="1" s="1">
      <c r="A309" s="8">
        <f>IF(B309="","",ROW()-2)</f>
        <v/>
      </c>
      <c r="B309" s="9">
        <f>IF('StockList_MS2'!A308="","",HYPERLINK("https://kabutan.jp/stock/?code="&amp;'StockList_MS2'!A308,'StockList_MS2'!A308))</f>
        <v/>
      </c>
      <c r="C309" s="10">
        <f>IF('StockList_MS2'!A308="","",'StockList_MS2'!B308)</f>
        <v/>
      </c>
      <c r="D309" s="11" t="n"/>
      <c r="E309" s="11" t="n"/>
      <c r="F309" s="11" t="n"/>
      <c r="G309" s="11" t="n"/>
      <c r="H309" s="12" t="n"/>
      <c r="I309" s="11" t="n"/>
      <c r="J309" s="11" t="n"/>
      <c r="K309" s="11" t="n"/>
      <c r="L309" s="8">
        <f>IF(D309="","",IF(D309&gt;K309,"BUY-DAY","SELL-DAY"))</f>
        <v/>
      </c>
      <c r="M309" s="13">
        <f>IF(D309="","",MAX(E309-F309,ABS(E309-K309),ABS(F309-K309)))</f>
        <v/>
      </c>
      <c r="N309" s="8">
        <f>IF(D309="","",IF(AND(H309&gt;0,H309&gt;(H309/3)*2.5),"VOL-OK","VOL-NG"))</f>
        <v/>
      </c>
      <c r="O309" s="8">
        <f>IF(D309="","",IF(D309&gt;I309,"ON","OFF"))</f>
        <v/>
      </c>
      <c r="P309" s="8">
        <f>IF(D309="","",IF(D309&lt;J309,"ON","OFF"))</f>
        <v/>
      </c>
      <c r="Q309" s="8">
        <f>IF(OR(D309="",M309&lt;=0),"",IF(AND(L309="BUY-DAY",N309="VOL-OK",P309="ON",Z309="OK",AA309&lt;&gt;"DOWN"),"BUY",IF(AND(L309="SELL-DAY",N309="VOL-OK",O309="ON",Z309="OK",AA309&lt;&gt;"UP"),"SELL","")))</f>
        <v/>
      </c>
      <c r="R309" s="13">
        <f>IF(Q309="","",D309)</f>
        <v/>
      </c>
      <c r="S309" s="13">
        <f>IF(Q309="","",IF(Q309="BUY",D309-M309*1.5,D309+M309*1.5))</f>
        <v/>
      </c>
      <c r="T309" s="13">
        <f>IF(Q309="","",IF(Q309="BUY",D309+M309*1.5,D309-M309*1.5))</f>
        <v/>
      </c>
      <c r="U309" s="13">
        <f>IF(Q309="","",IF(Q309="BUY",D309+M309*2,D309-M309*2))</f>
        <v/>
      </c>
      <c r="V309" s="13">
        <f>IF(Q309="","",IF(Q309="BUY",D309+M309*3,D309-M309*3))</f>
        <v/>
      </c>
      <c r="W309" s="8">
        <f>IF(OR(D309="",M309&lt;=0),"",IF(AND(D309&gt;G309,ABS(D309-G309)&lt;M309*0.5),"2ND","1ST"))</f>
        <v/>
      </c>
      <c r="X309" s="8">
        <f>IF(OR(D309="",M309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09" s="8">
        <f>IF(OR(D309="",M309&lt;=0),"",IF(M309&gt;D309*0.05,"VOL-HIGH","VOL-NORMAL"))</f>
        <v/>
      </c>
      <c r="Z309" s="8">
        <f>IF(OR(D309="",M309&lt;=0),"",IF(AND(N309="VOL-OK",Y309="VOL-NORMAL",W309="2ND"),"OK","NG"))</f>
        <v/>
      </c>
      <c r="AA309" s="8">
        <f>IF(OR(D309="",M309&lt;=0),"",IF(AND(E309&gt;I309,F309&gt;J309),"UP",IF(AND(E309&lt;I309,F309&lt;J309),"DOWN","FLAT")))</f>
        <v/>
      </c>
    </row>
    <row r="310" ht="26" customHeight="1" s="1">
      <c r="A310" s="14">
        <f>IF(B310="","",ROW()-2)</f>
        <v/>
      </c>
      <c r="B310" s="15">
        <f>IF('StockList_MS2'!A309="","",HYPERLINK("https://kabutan.jp/stock/?code="&amp;'StockList_MS2'!A309,'StockList_MS2'!A309))</f>
        <v/>
      </c>
      <c r="C310" s="16">
        <f>IF('StockList_MS2'!A309="","",'StockList_MS2'!B309)</f>
        <v/>
      </c>
      <c r="D310" s="17" t="n"/>
      <c r="E310" s="17" t="n"/>
      <c r="F310" s="17" t="n"/>
      <c r="G310" s="17" t="n"/>
      <c r="H310" s="18" t="n"/>
      <c r="I310" s="17" t="n"/>
      <c r="J310" s="17" t="n"/>
      <c r="K310" s="17" t="n"/>
      <c r="L310" s="14">
        <f>IF(D310="","",IF(D310&gt;K310,"BUY-DAY","SELL-DAY"))</f>
        <v/>
      </c>
      <c r="M310" s="19">
        <f>IF(D310="","",MAX(E310-F310,ABS(E310-K310),ABS(F310-K310)))</f>
        <v/>
      </c>
      <c r="N310" s="14">
        <f>IF(D310="","",IF(AND(H310&gt;0,H310&gt;(H310/3)*2.5),"VOL-OK","VOL-NG"))</f>
        <v/>
      </c>
      <c r="O310" s="14">
        <f>IF(D310="","",IF(D310&gt;I310,"ON","OFF"))</f>
        <v/>
      </c>
      <c r="P310" s="14">
        <f>IF(D310="","",IF(D310&lt;J310,"ON","OFF"))</f>
        <v/>
      </c>
      <c r="Q310" s="14">
        <f>IF(OR(D310="",M310&lt;=0),"",IF(AND(L310="BUY-DAY",N310="VOL-OK",P310="ON",Z310="OK",AA310&lt;&gt;"DOWN"),"BUY",IF(AND(L310="SELL-DAY",N310="VOL-OK",O310="ON",Z310="OK",AA310&lt;&gt;"UP"),"SELL","")))</f>
        <v/>
      </c>
      <c r="R310" s="19">
        <f>IF(Q310="","",D310)</f>
        <v/>
      </c>
      <c r="S310" s="19">
        <f>IF(Q310="","",IF(Q310="BUY",D310-M310*1.5,D310+M310*1.5))</f>
        <v/>
      </c>
      <c r="T310" s="19">
        <f>IF(Q310="","",IF(Q310="BUY",D310+M310*1.5,D310-M310*1.5))</f>
        <v/>
      </c>
      <c r="U310" s="19">
        <f>IF(Q310="","",IF(Q310="BUY",D310+M310*2,D310-M310*2))</f>
        <v/>
      </c>
      <c r="V310" s="19">
        <f>IF(Q310="","",IF(Q310="BUY",D310+M310*3,D310-M310*3))</f>
        <v/>
      </c>
      <c r="W310" s="14">
        <f>IF(OR(D310="",M310&lt;=0),"",IF(AND(D310&gt;G310,ABS(D310-G310)&lt;M310*0.5),"2ND","1ST"))</f>
        <v/>
      </c>
      <c r="X310" s="14">
        <f>IF(OR(D310="",M310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0" s="14">
        <f>IF(OR(D310="",M310&lt;=0),"",IF(M310&gt;D310*0.05,"VOL-HIGH","VOL-NORMAL"))</f>
        <v/>
      </c>
      <c r="Z310" s="14">
        <f>IF(OR(D310="",M310&lt;=0),"",IF(AND(N310="VOL-OK",Y310="VOL-NORMAL",W310="2ND"),"OK","NG"))</f>
        <v/>
      </c>
      <c r="AA310" s="14">
        <f>IF(OR(D310="",M310&lt;=0),"",IF(AND(E310&gt;I310,F310&gt;J310),"UP",IF(AND(E310&lt;I310,F310&lt;J310),"DOWN","FLAT")))</f>
        <v/>
      </c>
    </row>
    <row r="311" ht="26" customHeight="1" s="1">
      <c r="A311" s="8">
        <f>IF(B311="","",ROW()-2)</f>
        <v/>
      </c>
      <c r="B311" s="9">
        <f>IF('StockList_MS2'!A310="","",HYPERLINK("https://kabutan.jp/stock/?code="&amp;'StockList_MS2'!A310,'StockList_MS2'!A310))</f>
        <v/>
      </c>
      <c r="C311" s="10">
        <f>IF('StockList_MS2'!A310="","",'StockList_MS2'!B310)</f>
        <v/>
      </c>
      <c r="D311" s="11" t="n"/>
      <c r="E311" s="11" t="n"/>
      <c r="F311" s="11" t="n"/>
      <c r="G311" s="11" t="n"/>
      <c r="H311" s="12" t="n"/>
      <c r="I311" s="11" t="n"/>
      <c r="J311" s="11" t="n"/>
      <c r="K311" s="11" t="n"/>
      <c r="L311" s="8">
        <f>IF(D311="","",IF(D311&gt;K311,"BUY-DAY","SELL-DAY"))</f>
        <v/>
      </c>
      <c r="M311" s="13">
        <f>IF(D311="","",MAX(E311-F311,ABS(E311-K311),ABS(F311-K311)))</f>
        <v/>
      </c>
      <c r="N311" s="8">
        <f>IF(D311="","",IF(AND(H311&gt;0,H311&gt;(H311/3)*2.5),"VOL-OK","VOL-NG"))</f>
        <v/>
      </c>
      <c r="O311" s="8">
        <f>IF(D311="","",IF(D311&gt;I311,"ON","OFF"))</f>
        <v/>
      </c>
      <c r="P311" s="8">
        <f>IF(D311="","",IF(D311&lt;J311,"ON","OFF"))</f>
        <v/>
      </c>
      <c r="Q311" s="8">
        <f>IF(OR(D311="",M311&lt;=0),"",IF(AND(L311="BUY-DAY",N311="VOL-OK",P311="ON",Z311="OK",AA311&lt;&gt;"DOWN"),"BUY",IF(AND(L311="SELL-DAY",N311="VOL-OK",O311="ON",Z311="OK",AA311&lt;&gt;"UP"),"SELL","")))</f>
        <v/>
      </c>
      <c r="R311" s="13">
        <f>IF(Q311="","",D311)</f>
        <v/>
      </c>
      <c r="S311" s="13">
        <f>IF(Q311="","",IF(Q311="BUY",D311-M311*1.5,D311+M311*1.5))</f>
        <v/>
      </c>
      <c r="T311" s="13">
        <f>IF(Q311="","",IF(Q311="BUY",D311+M311*1.5,D311-M311*1.5))</f>
        <v/>
      </c>
      <c r="U311" s="13">
        <f>IF(Q311="","",IF(Q311="BUY",D311+M311*2,D311-M311*2))</f>
        <v/>
      </c>
      <c r="V311" s="13">
        <f>IF(Q311="","",IF(Q311="BUY",D311+M311*3,D311-M311*3))</f>
        <v/>
      </c>
      <c r="W311" s="8">
        <f>IF(OR(D311="",M311&lt;=0),"",IF(AND(D311&gt;G311,ABS(D311-G311)&lt;M311*0.5),"2ND","1ST"))</f>
        <v/>
      </c>
      <c r="X311" s="8">
        <f>IF(OR(D311="",M311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1" s="8">
        <f>IF(OR(D311="",M311&lt;=0),"",IF(M311&gt;D311*0.05,"VOL-HIGH","VOL-NORMAL"))</f>
        <v/>
      </c>
      <c r="Z311" s="8">
        <f>IF(OR(D311="",M311&lt;=0),"",IF(AND(N311="VOL-OK",Y311="VOL-NORMAL",W311="2ND"),"OK","NG"))</f>
        <v/>
      </c>
      <c r="AA311" s="8">
        <f>IF(OR(D311="",M311&lt;=0),"",IF(AND(E311&gt;I311,F311&gt;J311),"UP",IF(AND(E311&lt;I311,F311&lt;J311),"DOWN","FLAT")))</f>
        <v/>
      </c>
    </row>
    <row r="312" ht="26" customHeight="1" s="1">
      <c r="A312" s="14">
        <f>IF(B312="","",ROW()-2)</f>
        <v/>
      </c>
      <c r="B312" s="15">
        <f>IF('StockList_MS2'!A311="","",HYPERLINK("https://kabutan.jp/stock/?code="&amp;'StockList_MS2'!A311,'StockList_MS2'!A311))</f>
        <v/>
      </c>
      <c r="C312" s="16">
        <f>IF('StockList_MS2'!A311="","",'StockList_MS2'!B311)</f>
        <v/>
      </c>
      <c r="D312" s="17" t="n"/>
      <c r="E312" s="17" t="n"/>
      <c r="F312" s="17" t="n"/>
      <c r="G312" s="17" t="n"/>
      <c r="H312" s="18" t="n"/>
      <c r="I312" s="17" t="n"/>
      <c r="J312" s="17" t="n"/>
      <c r="K312" s="17" t="n"/>
      <c r="L312" s="14">
        <f>IF(D312="","",IF(D312&gt;K312,"BUY-DAY","SELL-DAY"))</f>
        <v/>
      </c>
      <c r="M312" s="19">
        <f>IF(D312="","",MAX(E312-F312,ABS(E312-K312),ABS(F312-K312)))</f>
        <v/>
      </c>
      <c r="N312" s="14">
        <f>IF(D312="","",IF(AND(H312&gt;0,H312&gt;(H312/3)*2.5),"VOL-OK","VOL-NG"))</f>
        <v/>
      </c>
      <c r="O312" s="14">
        <f>IF(D312="","",IF(D312&gt;I312,"ON","OFF"))</f>
        <v/>
      </c>
      <c r="P312" s="14">
        <f>IF(D312="","",IF(D312&lt;J312,"ON","OFF"))</f>
        <v/>
      </c>
      <c r="Q312" s="14">
        <f>IF(OR(D312="",M312&lt;=0),"",IF(AND(L312="BUY-DAY",N312="VOL-OK",P312="ON",Z312="OK",AA312&lt;&gt;"DOWN"),"BUY",IF(AND(L312="SELL-DAY",N312="VOL-OK",O312="ON",Z312="OK",AA312&lt;&gt;"UP"),"SELL","")))</f>
        <v/>
      </c>
      <c r="R312" s="19">
        <f>IF(Q312="","",D312)</f>
        <v/>
      </c>
      <c r="S312" s="19">
        <f>IF(Q312="","",IF(Q312="BUY",D312-M312*1.5,D312+M312*1.5))</f>
        <v/>
      </c>
      <c r="T312" s="19">
        <f>IF(Q312="","",IF(Q312="BUY",D312+M312*1.5,D312-M312*1.5))</f>
        <v/>
      </c>
      <c r="U312" s="19">
        <f>IF(Q312="","",IF(Q312="BUY",D312+M312*2,D312-M312*2))</f>
        <v/>
      </c>
      <c r="V312" s="19">
        <f>IF(Q312="","",IF(Q312="BUY",D312+M312*3,D312-M312*3))</f>
        <v/>
      </c>
      <c r="W312" s="14">
        <f>IF(OR(D312="",M312&lt;=0),"",IF(AND(D312&gt;G312,ABS(D312-G312)&lt;M312*0.5),"2ND","1ST"))</f>
        <v/>
      </c>
      <c r="X312" s="14">
        <f>IF(OR(D312="",M312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2" s="14">
        <f>IF(OR(D312="",M312&lt;=0),"",IF(M312&gt;D312*0.05,"VOL-HIGH","VOL-NORMAL"))</f>
        <v/>
      </c>
      <c r="Z312" s="14">
        <f>IF(OR(D312="",M312&lt;=0),"",IF(AND(N312="VOL-OK",Y312="VOL-NORMAL",W312="2ND"),"OK","NG"))</f>
        <v/>
      </c>
      <c r="AA312" s="14">
        <f>IF(OR(D312="",M312&lt;=0),"",IF(AND(E312&gt;I312,F312&gt;J312),"UP",IF(AND(E312&lt;I312,F312&lt;J312),"DOWN","FLAT")))</f>
        <v/>
      </c>
    </row>
    <row r="313" ht="26" customHeight="1" s="1">
      <c r="A313" s="8">
        <f>IF(B313="","",ROW()-2)</f>
        <v/>
      </c>
      <c r="B313" s="9">
        <f>IF('StockList_MS2'!A312="","",HYPERLINK("https://kabutan.jp/stock/?code="&amp;'StockList_MS2'!A312,'StockList_MS2'!A312))</f>
        <v/>
      </c>
      <c r="C313" s="10">
        <f>IF('StockList_MS2'!A312="","",'StockList_MS2'!B312)</f>
        <v/>
      </c>
      <c r="D313" s="11" t="n"/>
      <c r="E313" s="11" t="n"/>
      <c r="F313" s="11" t="n"/>
      <c r="G313" s="11" t="n"/>
      <c r="H313" s="12" t="n"/>
      <c r="I313" s="11" t="n"/>
      <c r="J313" s="11" t="n"/>
      <c r="K313" s="11" t="n"/>
      <c r="L313" s="8">
        <f>IF(D313="","",IF(D313&gt;K313,"BUY-DAY","SELL-DAY"))</f>
        <v/>
      </c>
      <c r="M313" s="13">
        <f>IF(D313="","",MAX(E313-F313,ABS(E313-K313),ABS(F313-K313)))</f>
        <v/>
      </c>
      <c r="N313" s="8">
        <f>IF(D313="","",IF(AND(H313&gt;0,H313&gt;(H313/3)*2.5),"VOL-OK","VOL-NG"))</f>
        <v/>
      </c>
      <c r="O313" s="8">
        <f>IF(D313="","",IF(D313&gt;I313,"ON","OFF"))</f>
        <v/>
      </c>
      <c r="P313" s="8">
        <f>IF(D313="","",IF(D313&lt;J313,"ON","OFF"))</f>
        <v/>
      </c>
      <c r="Q313" s="8">
        <f>IF(OR(D313="",M313&lt;=0),"",IF(AND(L313="BUY-DAY",N313="VOL-OK",P313="ON",Z313="OK",AA313&lt;&gt;"DOWN"),"BUY",IF(AND(L313="SELL-DAY",N313="VOL-OK",O313="ON",Z313="OK",AA313&lt;&gt;"UP"),"SELL","")))</f>
        <v/>
      </c>
      <c r="R313" s="13">
        <f>IF(Q313="","",D313)</f>
        <v/>
      </c>
      <c r="S313" s="13">
        <f>IF(Q313="","",IF(Q313="BUY",D313-M313*1.5,D313+M313*1.5))</f>
        <v/>
      </c>
      <c r="T313" s="13">
        <f>IF(Q313="","",IF(Q313="BUY",D313+M313*1.5,D313-M313*1.5))</f>
        <v/>
      </c>
      <c r="U313" s="13">
        <f>IF(Q313="","",IF(Q313="BUY",D313+M313*2,D313-M313*2))</f>
        <v/>
      </c>
      <c r="V313" s="13">
        <f>IF(Q313="","",IF(Q313="BUY",D313+M313*3,D313-M313*3))</f>
        <v/>
      </c>
      <c r="W313" s="8">
        <f>IF(OR(D313="",M313&lt;=0),"",IF(AND(D313&gt;G313,ABS(D313-G313)&lt;M313*0.5),"2ND","1ST"))</f>
        <v/>
      </c>
      <c r="X313" s="8">
        <f>IF(OR(D313="",M313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3" s="8">
        <f>IF(OR(D313="",M313&lt;=0),"",IF(M313&gt;D313*0.05,"VOL-HIGH","VOL-NORMAL"))</f>
        <v/>
      </c>
      <c r="Z313" s="8">
        <f>IF(OR(D313="",M313&lt;=0),"",IF(AND(N313="VOL-OK",Y313="VOL-NORMAL",W313="2ND"),"OK","NG"))</f>
        <v/>
      </c>
      <c r="AA313" s="8">
        <f>IF(OR(D313="",M313&lt;=0),"",IF(AND(E313&gt;I313,F313&gt;J313),"UP",IF(AND(E313&lt;I313,F313&lt;J313),"DOWN","FLAT")))</f>
        <v/>
      </c>
    </row>
    <row r="314" ht="26" customHeight="1" s="1">
      <c r="A314" s="14">
        <f>IF(B314="","",ROW()-2)</f>
        <v/>
      </c>
      <c r="B314" s="15">
        <f>IF('StockList_MS2'!A313="","",HYPERLINK("https://kabutan.jp/stock/?code="&amp;'StockList_MS2'!A313,'StockList_MS2'!A313))</f>
        <v/>
      </c>
      <c r="C314" s="16">
        <f>IF('StockList_MS2'!A313="","",'StockList_MS2'!B313)</f>
        <v/>
      </c>
      <c r="D314" s="17" t="n"/>
      <c r="E314" s="17" t="n"/>
      <c r="F314" s="17" t="n"/>
      <c r="G314" s="17" t="n"/>
      <c r="H314" s="18" t="n"/>
      <c r="I314" s="17" t="n"/>
      <c r="J314" s="17" t="n"/>
      <c r="K314" s="17" t="n"/>
      <c r="L314" s="14">
        <f>IF(D314="","",IF(D314&gt;K314,"BUY-DAY","SELL-DAY"))</f>
        <v/>
      </c>
      <c r="M314" s="19">
        <f>IF(D314="","",MAX(E314-F314,ABS(E314-K314),ABS(F314-K314)))</f>
        <v/>
      </c>
      <c r="N314" s="14">
        <f>IF(D314="","",IF(AND(H314&gt;0,H314&gt;(H314/3)*2.5),"VOL-OK","VOL-NG"))</f>
        <v/>
      </c>
      <c r="O314" s="14">
        <f>IF(D314="","",IF(D314&gt;I314,"ON","OFF"))</f>
        <v/>
      </c>
      <c r="P314" s="14">
        <f>IF(D314="","",IF(D314&lt;J314,"ON","OFF"))</f>
        <v/>
      </c>
      <c r="Q314" s="14">
        <f>IF(OR(D314="",M314&lt;=0),"",IF(AND(L314="BUY-DAY",N314="VOL-OK",P314="ON",Z314="OK",AA314&lt;&gt;"DOWN"),"BUY",IF(AND(L314="SELL-DAY",N314="VOL-OK",O314="ON",Z314="OK",AA314&lt;&gt;"UP"),"SELL","")))</f>
        <v/>
      </c>
      <c r="R314" s="19">
        <f>IF(Q314="","",D314)</f>
        <v/>
      </c>
      <c r="S314" s="19">
        <f>IF(Q314="","",IF(Q314="BUY",D314-M314*1.5,D314+M314*1.5))</f>
        <v/>
      </c>
      <c r="T314" s="19">
        <f>IF(Q314="","",IF(Q314="BUY",D314+M314*1.5,D314-M314*1.5))</f>
        <v/>
      </c>
      <c r="U314" s="19">
        <f>IF(Q314="","",IF(Q314="BUY",D314+M314*2,D314-M314*2))</f>
        <v/>
      </c>
      <c r="V314" s="19">
        <f>IF(Q314="","",IF(Q314="BUY",D314+M314*3,D314-M314*3))</f>
        <v/>
      </c>
      <c r="W314" s="14">
        <f>IF(OR(D314="",M314&lt;=0),"",IF(AND(D314&gt;G314,ABS(D314-G314)&lt;M314*0.5),"2ND","1ST"))</f>
        <v/>
      </c>
      <c r="X314" s="14">
        <f>IF(OR(D314="",M314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4" s="14">
        <f>IF(OR(D314="",M314&lt;=0),"",IF(M314&gt;D314*0.05,"VOL-HIGH","VOL-NORMAL"))</f>
        <v/>
      </c>
      <c r="Z314" s="14">
        <f>IF(OR(D314="",M314&lt;=0),"",IF(AND(N314="VOL-OK",Y314="VOL-NORMAL",W314="2ND"),"OK","NG"))</f>
        <v/>
      </c>
      <c r="AA314" s="14">
        <f>IF(OR(D314="",M314&lt;=0),"",IF(AND(E314&gt;I314,F314&gt;J314),"UP",IF(AND(E314&lt;I314,F314&lt;J314),"DOWN","FLAT")))</f>
        <v/>
      </c>
    </row>
    <row r="315" ht="26" customHeight="1" s="1">
      <c r="A315" s="8">
        <f>IF(B315="","",ROW()-2)</f>
        <v/>
      </c>
      <c r="B315" s="9">
        <f>IF('StockList_MS2'!A314="","",HYPERLINK("https://kabutan.jp/stock/?code="&amp;'StockList_MS2'!A314,'StockList_MS2'!A314))</f>
        <v/>
      </c>
      <c r="C315" s="10">
        <f>IF('StockList_MS2'!A314="","",'StockList_MS2'!B314)</f>
        <v/>
      </c>
      <c r="D315" s="11" t="n"/>
      <c r="E315" s="11" t="n"/>
      <c r="F315" s="11" t="n"/>
      <c r="G315" s="11" t="n"/>
      <c r="H315" s="12" t="n"/>
      <c r="I315" s="11" t="n"/>
      <c r="J315" s="11" t="n"/>
      <c r="K315" s="11" t="n"/>
      <c r="L315" s="8">
        <f>IF(D315="","",IF(D315&gt;K315,"BUY-DAY","SELL-DAY"))</f>
        <v/>
      </c>
      <c r="M315" s="13">
        <f>IF(D315="","",MAX(E315-F315,ABS(E315-K315),ABS(F315-K315)))</f>
        <v/>
      </c>
      <c r="N315" s="8">
        <f>IF(D315="","",IF(AND(H315&gt;0,H315&gt;(H315/3)*2.5),"VOL-OK","VOL-NG"))</f>
        <v/>
      </c>
      <c r="O315" s="8">
        <f>IF(D315="","",IF(D315&gt;I315,"ON","OFF"))</f>
        <v/>
      </c>
      <c r="P315" s="8">
        <f>IF(D315="","",IF(D315&lt;J315,"ON","OFF"))</f>
        <v/>
      </c>
      <c r="Q315" s="8">
        <f>IF(OR(D315="",M315&lt;=0),"",IF(AND(L315="BUY-DAY",N315="VOL-OK",P315="ON",Z315="OK",AA315&lt;&gt;"DOWN"),"BUY",IF(AND(L315="SELL-DAY",N315="VOL-OK",O315="ON",Z315="OK",AA315&lt;&gt;"UP"),"SELL","")))</f>
        <v/>
      </c>
      <c r="R315" s="13">
        <f>IF(Q315="","",D315)</f>
        <v/>
      </c>
      <c r="S315" s="13">
        <f>IF(Q315="","",IF(Q315="BUY",D315-M315*1.5,D315+M315*1.5))</f>
        <v/>
      </c>
      <c r="T315" s="13">
        <f>IF(Q315="","",IF(Q315="BUY",D315+M315*1.5,D315-M315*1.5))</f>
        <v/>
      </c>
      <c r="U315" s="13">
        <f>IF(Q315="","",IF(Q315="BUY",D315+M315*2,D315-M315*2))</f>
        <v/>
      </c>
      <c r="V315" s="13">
        <f>IF(Q315="","",IF(Q315="BUY",D315+M315*3,D315-M315*3))</f>
        <v/>
      </c>
      <c r="W315" s="8">
        <f>IF(OR(D315="",M315&lt;=0),"",IF(AND(D315&gt;G315,ABS(D315-G315)&lt;M315*0.5),"2ND","1ST"))</f>
        <v/>
      </c>
      <c r="X315" s="8">
        <f>IF(OR(D315="",M315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5" s="8">
        <f>IF(OR(D315="",M315&lt;=0),"",IF(M315&gt;D315*0.05,"VOL-HIGH","VOL-NORMAL"))</f>
        <v/>
      </c>
      <c r="Z315" s="8">
        <f>IF(OR(D315="",M315&lt;=0),"",IF(AND(N315="VOL-OK",Y315="VOL-NORMAL",W315="2ND"),"OK","NG"))</f>
        <v/>
      </c>
      <c r="AA315" s="8">
        <f>IF(OR(D315="",M315&lt;=0),"",IF(AND(E315&gt;I315,F315&gt;J315),"UP",IF(AND(E315&lt;I315,F315&lt;J315),"DOWN","FLAT")))</f>
        <v/>
      </c>
    </row>
    <row r="316" ht="26" customHeight="1" s="1">
      <c r="A316" s="14">
        <f>IF(B316="","",ROW()-2)</f>
        <v/>
      </c>
      <c r="B316" s="15">
        <f>IF('StockList_MS2'!A315="","",HYPERLINK("https://kabutan.jp/stock/?code="&amp;'StockList_MS2'!A315,'StockList_MS2'!A315))</f>
        <v/>
      </c>
      <c r="C316" s="16">
        <f>IF('StockList_MS2'!A315="","",'StockList_MS2'!B315)</f>
        <v/>
      </c>
      <c r="D316" s="17" t="n"/>
      <c r="E316" s="17" t="n"/>
      <c r="F316" s="17" t="n"/>
      <c r="G316" s="17" t="n"/>
      <c r="H316" s="18" t="n"/>
      <c r="I316" s="17" t="n"/>
      <c r="J316" s="17" t="n"/>
      <c r="K316" s="17" t="n"/>
      <c r="L316" s="14">
        <f>IF(D316="","",IF(D316&gt;K316,"BUY-DAY","SELL-DAY"))</f>
        <v/>
      </c>
      <c r="M316" s="19">
        <f>IF(D316="","",MAX(E316-F316,ABS(E316-K316),ABS(F316-K316)))</f>
        <v/>
      </c>
      <c r="N316" s="14">
        <f>IF(D316="","",IF(AND(H316&gt;0,H316&gt;(H316/3)*2.5),"VOL-OK","VOL-NG"))</f>
        <v/>
      </c>
      <c r="O316" s="14">
        <f>IF(D316="","",IF(D316&gt;I316,"ON","OFF"))</f>
        <v/>
      </c>
      <c r="P316" s="14">
        <f>IF(D316="","",IF(D316&lt;J316,"ON","OFF"))</f>
        <v/>
      </c>
      <c r="Q316" s="14">
        <f>IF(OR(D316="",M316&lt;=0),"",IF(AND(L316="BUY-DAY",N316="VOL-OK",P316="ON",Z316="OK",AA316&lt;&gt;"DOWN"),"BUY",IF(AND(L316="SELL-DAY",N316="VOL-OK",O316="ON",Z316="OK",AA316&lt;&gt;"UP"),"SELL","")))</f>
        <v/>
      </c>
      <c r="R316" s="19">
        <f>IF(Q316="","",D316)</f>
        <v/>
      </c>
      <c r="S316" s="19">
        <f>IF(Q316="","",IF(Q316="BUY",D316-M316*1.5,D316+M316*1.5))</f>
        <v/>
      </c>
      <c r="T316" s="19">
        <f>IF(Q316="","",IF(Q316="BUY",D316+M316*1.5,D316-M316*1.5))</f>
        <v/>
      </c>
      <c r="U316" s="19">
        <f>IF(Q316="","",IF(Q316="BUY",D316+M316*2,D316-M316*2))</f>
        <v/>
      </c>
      <c r="V316" s="19">
        <f>IF(Q316="","",IF(Q316="BUY",D316+M316*3,D316-M316*3))</f>
        <v/>
      </c>
      <c r="W316" s="14">
        <f>IF(OR(D316="",M316&lt;=0),"",IF(AND(D316&gt;G316,ABS(D316-G316)&lt;M316*0.5),"2ND","1ST"))</f>
        <v/>
      </c>
      <c r="X316" s="14">
        <f>IF(OR(D316="",M316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6" s="14">
        <f>IF(OR(D316="",M316&lt;=0),"",IF(M316&gt;D316*0.05,"VOL-HIGH","VOL-NORMAL"))</f>
        <v/>
      </c>
      <c r="Z316" s="14">
        <f>IF(OR(D316="",M316&lt;=0),"",IF(AND(N316="VOL-OK",Y316="VOL-NORMAL",W316="2ND"),"OK","NG"))</f>
        <v/>
      </c>
      <c r="AA316" s="14">
        <f>IF(OR(D316="",M316&lt;=0),"",IF(AND(E316&gt;I316,F316&gt;J316),"UP",IF(AND(E316&lt;I316,F316&lt;J316),"DOWN","FLAT")))</f>
        <v/>
      </c>
    </row>
    <row r="317" ht="26" customHeight="1" s="1">
      <c r="A317" s="8">
        <f>IF(B317="","",ROW()-2)</f>
        <v/>
      </c>
      <c r="B317" s="9">
        <f>IF('StockList_MS2'!A316="","",HYPERLINK("https://kabutan.jp/stock/?code="&amp;'StockList_MS2'!A316,'StockList_MS2'!A316))</f>
        <v/>
      </c>
      <c r="C317" s="10">
        <f>IF('StockList_MS2'!A316="","",'StockList_MS2'!B316)</f>
        <v/>
      </c>
      <c r="D317" s="11" t="n"/>
      <c r="E317" s="11" t="n"/>
      <c r="F317" s="11" t="n"/>
      <c r="G317" s="11" t="n"/>
      <c r="H317" s="12" t="n"/>
      <c r="I317" s="11" t="n"/>
      <c r="J317" s="11" t="n"/>
      <c r="K317" s="11" t="n"/>
      <c r="L317" s="8">
        <f>IF(D317="","",IF(D317&gt;K317,"BUY-DAY","SELL-DAY"))</f>
        <v/>
      </c>
      <c r="M317" s="13">
        <f>IF(D317="","",MAX(E317-F317,ABS(E317-K317),ABS(F317-K317)))</f>
        <v/>
      </c>
      <c r="N317" s="8">
        <f>IF(D317="","",IF(AND(H317&gt;0,H317&gt;(H317/3)*2.5),"VOL-OK","VOL-NG"))</f>
        <v/>
      </c>
      <c r="O317" s="8">
        <f>IF(D317="","",IF(D317&gt;I317,"ON","OFF"))</f>
        <v/>
      </c>
      <c r="P317" s="8">
        <f>IF(D317="","",IF(D317&lt;J317,"ON","OFF"))</f>
        <v/>
      </c>
      <c r="Q317" s="8">
        <f>IF(OR(D317="",M317&lt;=0),"",IF(AND(L317="BUY-DAY",N317="VOL-OK",P317="ON",Z317="OK",AA317&lt;&gt;"DOWN"),"BUY",IF(AND(L317="SELL-DAY",N317="VOL-OK",O317="ON",Z317="OK",AA317&lt;&gt;"UP"),"SELL","")))</f>
        <v/>
      </c>
      <c r="R317" s="13">
        <f>IF(Q317="","",D317)</f>
        <v/>
      </c>
      <c r="S317" s="13">
        <f>IF(Q317="","",IF(Q317="BUY",D317-M317*1.5,D317+M317*1.5))</f>
        <v/>
      </c>
      <c r="T317" s="13">
        <f>IF(Q317="","",IF(Q317="BUY",D317+M317*1.5,D317-M317*1.5))</f>
        <v/>
      </c>
      <c r="U317" s="13">
        <f>IF(Q317="","",IF(Q317="BUY",D317+M317*2,D317-M317*2))</f>
        <v/>
      </c>
      <c r="V317" s="13">
        <f>IF(Q317="","",IF(Q317="BUY",D317+M317*3,D317-M317*3))</f>
        <v/>
      </c>
      <c r="W317" s="8">
        <f>IF(OR(D317="",M317&lt;=0),"",IF(AND(D317&gt;G317,ABS(D317-G317)&lt;M317*0.5),"2ND","1ST"))</f>
        <v/>
      </c>
      <c r="X317" s="8">
        <f>IF(OR(D317="",M317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7" s="8">
        <f>IF(OR(D317="",M317&lt;=0),"",IF(M317&gt;D317*0.05,"VOL-HIGH","VOL-NORMAL"))</f>
        <v/>
      </c>
      <c r="Z317" s="8">
        <f>IF(OR(D317="",M317&lt;=0),"",IF(AND(N317="VOL-OK",Y317="VOL-NORMAL",W317="2ND"),"OK","NG"))</f>
        <v/>
      </c>
      <c r="AA317" s="8">
        <f>IF(OR(D317="",M317&lt;=0),"",IF(AND(E317&gt;I317,F317&gt;J317),"UP",IF(AND(E317&lt;I317,F317&lt;J317),"DOWN","FLAT")))</f>
        <v/>
      </c>
    </row>
    <row r="318" ht="26" customHeight="1" s="1">
      <c r="A318" s="14">
        <f>IF(B318="","",ROW()-2)</f>
        <v/>
      </c>
      <c r="B318" s="15">
        <f>IF('StockList_MS2'!A317="","",HYPERLINK("https://kabutan.jp/stock/?code="&amp;'StockList_MS2'!A317,'StockList_MS2'!A317))</f>
        <v/>
      </c>
      <c r="C318" s="16">
        <f>IF('StockList_MS2'!A317="","",'StockList_MS2'!B317)</f>
        <v/>
      </c>
      <c r="D318" s="17" t="n"/>
      <c r="E318" s="17" t="n"/>
      <c r="F318" s="17" t="n"/>
      <c r="G318" s="17" t="n"/>
      <c r="H318" s="18" t="n"/>
      <c r="I318" s="17" t="n"/>
      <c r="J318" s="17" t="n"/>
      <c r="K318" s="17" t="n"/>
      <c r="L318" s="14">
        <f>IF(D318="","",IF(D318&gt;K318,"BUY-DAY","SELL-DAY"))</f>
        <v/>
      </c>
      <c r="M318" s="19">
        <f>IF(D318="","",MAX(E318-F318,ABS(E318-K318),ABS(F318-K318)))</f>
        <v/>
      </c>
      <c r="N318" s="14">
        <f>IF(D318="","",IF(AND(H318&gt;0,H318&gt;(H318/3)*2.5),"VOL-OK","VOL-NG"))</f>
        <v/>
      </c>
      <c r="O318" s="14">
        <f>IF(D318="","",IF(D318&gt;I318,"ON","OFF"))</f>
        <v/>
      </c>
      <c r="P318" s="14">
        <f>IF(D318="","",IF(D318&lt;J318,"ON","OFF"))</f>
        <v/>
      </c>
      <c r="Q318" s="14">
        <f>IF(OR(D318="",M318&lt;=0),"",IF(AND(L318="BUY-DAY",N318="VOL-OK",P318="ON",Z318="OK",AA318&lt;&gt;"DOWN"),"BUY",IF(AND(L318="SELL-DAY",N318="VOL-OK",O318="ON",Z318="OK",AA318&lt;&gt;"UP"),"SELL","")))</f>
        <v/>
      </c>
      <c r="R318" s="19">
        <f>IF(Q318="","",D318)</f>
        <v/>
      </c>
      <c r="S318" s="19">
        <f>IF(Q318="","",IF(Q318="BUY",D318-M318*1.5,D318+M318*1.5))</f>
        <v/>
      </c>
      <c r="T318" s="19">
        <f>IF(Q318="","",IF(Q318="BUY",D318+M318*1.5,D318-M318*1.5))</f>
        <v/>
      </c>
      <c r="U318" s="19">
        <f>IF(Q318="","",IF(Q318="BUY",D318+M318*2,D318-M318*2))</f>
        <v/>
      </c>
      <c r="V318" s="19">
        <f>IF(Q318="","",IF(Q318="BUY",D318+M318*3,D318-M318*3))</f>
        <v/>
      </c>
      <c r="W318" s="14">
        <f>IF(OR(D318="",M318&lt;=0),"",IF(AND(D318&gt;G318,ABS(D318-G318)&lt;M318*0.5),"2ND","1ST"))</f>
        <v/>
      </c>
      <c r="X318" s="14">
        <f>IF(OR(D318="",M318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8" s="14">
        <f>IF(OR(D318="",M318&lt;=0),"",IF(M318&gt;D318*0.05,"VOL-HIGH","VOL-NORMAL"))</f>
        <v/>
      </c>
      <c r="Z318" s="14">
        <f>IF(OR(D318="",M318&lt;=0),"",IF(AND(N318="VOL-OK",Y318="VOL-NORMAL",W318="2ND"),"OK","NG"))</f>
        <v/>
      </c>
      <c r="AA318" s="14">
        <f>IF(OR(D318="",M318&lt;=0),"",IF(AND(E318&gt;I318,F318&gt;J318),"UP",IF(AND(E318&lt;I318,F318&lt;J318),"DOWN","FLAT")))</f>
        <v/>
      </c>
    </row>
    <row r="319" ht="26" customHeight="1" s="1">
      <c r="A319" s="8">
        <f>IF(B319="","",ROW()-2)</f>
        <v/>
      </c>
      <c r="B319" s="9">
        <f>IF('StockList_MS2'!A318="","",HYPERLINK("https://kabutan.jp/stock/?code="&amp;'StockList_MS2'!A318,'StockList_MS2'!A318))</f>
        <v/>
      </c>
      <c r="C319" s="10">
        <f>IF('StockList_MS2'!A318="","",'StockList_MS2'!B318)</f>
        <v/>
      </c>
      <c r="D319" s="11" t="n"/>
      <c r="E319" s="11" t="n"/>
      <c r="F319" s="11" t="n"/>
      <c r="G319" s="11" t="n"/>
      <c r="H319" s="12" t="n"/>
      <c r="I319" s="11" t="n"/>
      <c r="J319" s="11" t="n"/>
      <c r="K319" s="11" t="n"/>
      <c r="L319" s="8">
        <f>IF(D319="","",IF(D319&gt;K319,"BUY-DAY","SELL-DAY"))</f>
        <v/>
      </c>
      <c r="M319" s="13">
        <f>IF(D319="","",MAX(E319-F319,ABS(E319-K319),ABS(F319-K319)))</f>
        <v/>
      </c>
      <c r="N319" s="8">
        <f>IF(D319="","",IF(AND(H319&gt;0,H319&gt;(H319/3)*2.5),"VOL-OK","VOL-NG"))</f>
        <v/>
      </c>
      <c r="O319" s="8">
        <f>IF(D319="","",IF(D319&gt;I319,"ON","OFF"))</f>
        <v/>
      </c>
      <c r="P319" s="8">
        <f>IF(D319="","",IF(D319&lt;J319,"ON","OFF"))</f>
        <v/>
      </c>
      <c r="Q319" s="8">
        <f>IF(OR(D319="",M319&lt;=0),"",IF(AND(L319="BUY-DAY",N319="VOL-OK",P319="ON",Z319="OK",AA319&lt;&gt;"DOWN"),"BUY",IF(AND(L319="SELL-DAY",N319="VOL-OK",O319="ON",Z319="OK",AA319&lt;&gt;"UP"),"SELL","")))</f>
        <v/>
      </c>
      <c r="R319" s="13">
        <f>IF(Q319="","",D319)</f>
        <v/>
      </c>
      <c r="S319" s="13">
        <f>IF(Q319="","",IF(Q319="BUY",D319-M319*1.5,D319+M319*1.5))</f>
        <v/>
      </c>
      <c r="T319" s="13">
        <f>IF(Q319="","",IF(Q319="BUY",D319+M319*1.5,D319-M319*1.5))</f>
        <v/>
      </c>
      <c r="U319" s="13">
        <f>IF(Q319="","",IF(Q319="BUY",D319+M319*2,D319-M319*2))</f>
        <v/>
      </c>
      <c r="V319" s="13">
        <f>IF(Q319="","",IF(Q319="BUY",D319+M319*3,D319-M319*3))</f>
        <v/>
      </c>
      <c r="W319" s="8">
        <f>IF(OR(D319="",M319&lt;=0),"",IF(AND(D319&gt;G319,ABS(D319-G319)&lt;M319*0.5),"2ND","1ST"))</f>
        <v/>
      </c>
      <c r="X319" s="8">
        <f>IF(OR(D319="",M319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19" s="8">
        <f>IF(OR(D319="",M319&lt;=0),"",IF(M319&gt;D319*0.05,"VOL-HIGH","VOL-NORMAL"))</f>
        <v/>
      </c>
      <c r="Z319" s="8">
        <f>IF(OR(D319="",M319&lt;=0),"",IF(AND(N319="VOL-OK",Y319="VOL-NORMAL",W319="2ND"),"OK","NG"))</f>
        <v/>
      </c>
      <c r="AA319" s="8">
        <f>IF(OR(D319="",M319&lt;=0),"",IF(AND(E319&gt;I319,F319&gt;J319),"UP",IF(AND(E319&lt;I319,F319&lt;J319),"DOWN","FLAT")))</f>
        <v/>
      </c>
    </row>
    <row r="320" ht="26" customHeight="1" s="1">
      <c r="A320" s="14">
        <f>IF(B320="","",ROW()-2)</f>
        <v/>
      </c>
      <c r="B320" s="15">
        <f>IF('StockList_MS2'!A319="","",HYPERLINK("https://kabutan.jp/stock/?code="&amp;'StockList_MS2'!A319,'StockList_MS2'!A319))</f>
        <v/>
      </c>
      <c r="C320" s="16">
        <f>IF('StockList_MS2'!A319="","",'StockList_MS2'!B319)</f>
        <v/>
      </c>
      <c r="D320" s="17" t="n"/>
      <c r="E320" s="17" t="n"/>
      <c r="F320" s="17" t="n"/>
      <c r="G320" s="17" t="n"/>
      <c r="H320" s="18" t="n"/>
      <c r="I320" s="17" t="n"/>
      <c r="J320" s="17" t="n"/>
      <c r="K320" s="17" t="n"/>
      <c r="L320" s="14">
        <f>IF(D320="","",IF(D320&gt;K320,"BUY-DAY","SELL-DAY"))</f>
        <v/>
      </c>
      <c r="M320" s="19">
        <f>IF(D320="","",MAX(E320-F320,ABS(E320-K320),ABS(F320-K320)))</f>
        <v/>
      </c>
      <c r="N320" s="14">
        <f>IF(D320="","",IF(AND(H320&gt;0,H320&gt;(H320/3)*2.5),"VOL-OK","VOL-NG"))</f>
        <v/>
      </c>
      <c r="O320" s="14">
        <f>IF(D320="","",IF(D320&gt;I320,"ON","OFF"))</f>
        <v/>
      </c>
      <c r="P320" s="14">
        <f>IF(D320="","",IF(D320&lt;J320,"ON","OFF"))</f>
        <v/>
      </c>
      <c r="Q320" s="14">
        <f>IF(OR(D320="",M320&lt;=0),"",IF(AND(L320="BUY-DAY",N320="VOL-OK",P320="ON",Z320="OK",AA320&lt;&gt;"DOWN"),"BUY",IF(AND(L320="SELL-DAY",N320="VOL-OK",O320="ON",Z320="OK",AA320&lt;&gt;"UP"),"SELL","")))</f>
        <v/>
      </c>
      <c r="R320" s="19">
        <f>IF(Q320="","",D320)</f>
        <v/>
      </c>
      <c r="S320" s="19">
        <f>IF(Q320="","",IF(Q320="BUY",D320-M320*1.5,D320+M320*1.5))</f>
        <v/>
      </c>
      <c r="T320" s="19">
        <f>IF(Q320="","",IF(Q320="BUY",D320+M320*1.5,D320-M320*1.5))</f>
        <v/>
      </c>
      <c r="U320" s="19">
        <f>IF(Q320="","",IF(Q320="BUY",D320+M320*2,D320-M320*2))</f>
        <v/>
      </c>
      <c r="V320" s="19">
        <f>IF(Q320="","",IF(Q320="BUY",D320+M320*3,D320-M320*3))</f>
        <v/>
      </c>
      <c r="W320" s="14">
        <f>IF(OR(D320="",M320&lt;=0),"",IF(AND(D320&gt;G320,ABS(D320-G320)&lt;M320*0.5),"2ND","1ST"))</f>
        <v/>
      </c>
      <c r="X320" s="14">
        <f>IF(OR(D320="",M320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0" s="14">
        <f>IF(OR(D320="",M320&lt;=0),"",IF(M320&gt;D320*0.05,"VOL-HIGH","VOL-NORMAL"))</f>
        <v/>
      </c>
      <c r="Z320" s="14">
        <f>IF(OR(D320="",M320&lt;=0),"",IF(AND(N320="VOL-OK",Y320="VOL-NORMAL",W320="2ND"),"OK","NG"))</f>
        <v/>
      </c>
      <c r="AA320" s="14">
        <f>IF(OR(D320="",M320&lt;=0),"",IF(AND(E320&gt;I320,F320&gt;J320),"UP",IF(AND(E320&lt;I320,F320&lt;J320),"DOWN","FLAT")))</f>
        <v/>
      </c>
    </row>
    <row r="321" ht="26" customHeight="1" s="1">
      <c r="A321" s="8">
        <f>IF(B321="","",ROW()-2)</f>
        <v/>
      </c>
      <c r="B321" s="9">
        <f>IF('StockList_MS2'!A320="","",HYPERLINK("https://kabutan.jp/stock/?code="&amp;'StockList_MS2'!A320,'StockList_MS2'!A320))</f>
        <v/>
      </c>
      <c r="C321" s="10">
        <f>IF('StockList_MS2'!A320="","",'StockList_MS2'!B320)</f>
        <v/>
      </c>
      <c r="D321" s="11" t="n"/>
      <c r="E321" s="11" t="n"/>
      <c r="F321" s="11" t="n"/>
      <c r="G321" s="11" t="n"/>
      <c r="H321" s="12" t="n"/>
      <c r="I321" s="11" t="n"/>
      <c r="J321" s="11" t="n"/>
      <c r="K321" s="11" t="n"/>
      <c r="L321" s="8">
        <f>IF(D321="","",IF(D321&gt;K321,"BUY-DAY","SELL-DAY"))</f>
        <v/>
      </c>
      <c r="M321" s="13">
        <f>IF(D321="","",MAX(E321-F321,ABS(E321-K321),ABS(F321-K321)))</f>
        <v/>
      </c>
      <c r="N321" s="8">
        <f>IF(D321="","",IF(AND(H321&gt;0,H321&gt;(H321/3)*2.5),"VOL-OK","VOL-NG"))</f>
        <v/>
      </c>
      <c r="O321" s="8">
        <f>IF(D321="","",IF(D321&gt;I321,"ON","OFF"))</f>
        <v/>
      </c>
      <c r="P321" s="8">
        <f>IF(D321="","",IF(D321&lt;J321,"ON","OFF"))</f>
        <v/>
      </c>
      <c r="Q321" s="8">
        <f>IF(OR(D321="",M321&lt;=0),"",IF(AND(L321="BUY-DAY",N321="VOL-OK",P321="ON",Z321="OK",AA321&lt;&gt;"DOWN"),"BUY",IF(AND(L321="SELL-DAY",N321="VOL-OK",O321="ON",Z321="OK",AA321&lt;&gt;"UP"),"SELL","")))</f>
        <v/>
      </c>
      <c r="R321" s="13">
        <f>IF(Q321="","",D321)</f>
        <v/>
      </c>
      <c r="S321" s="13">
        <f>IF(Q321="","",IF(Q321="BUY",D321-M321*1.5,D321+M321*1.5))</f>
        <v/>
      </c>
      <c r="T321" s="13">
        <f>IF(Q321="","",IF(Q321="BUY",D321+M321*1.5,D321-M321*1.5))</f>
        <v/>
      </c>
      <c r="U321" s="13">
        <f>IF(Q321="","",IF(Q321="BUY",D321+M321*2,D321-M321*2))</f>
        <v/>
      </c>
      <c r="V321" s="13">
        <f>IF(Q321="","",IF(Q321="BUY",D321+M321*3,D321-M321*3))</f>
        <v/>
      </c>
      <c r="W321" s="8">
        <f>IF(OR(D321="",M321&lt;=0),"",IF(AND(D321&gt;G321,ABS(D321-G321)&lt;M321*0.5),"2ND","1ST"))</f>
        <v/>
      </c>
      <c r="X321" s="8">
        <f>IF(OR(D321="",M321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1" s="8">
        <f>IF(OR(D321="",M321&lt;=0),"",IF(M321&gt;D321*0.05,"VOL-HIGH","VOL-NORMAL"))</f>
        <v/>
      </c>
      <c r="Z321" s="8">
        <f>IF(OR(D321="",M321&lt;=0),"",IF(AND(N321="VOL-OK",Y321="VOL-NORMAL",W321="2ND"),"OK","NG"))</f>
        <v/>
      </c>
      <c r="AA321" s="8">
        <f>IF(OR(D321="",M321&lt;=0),"",IF(AND(E321&gt;I321,F321&gt;J321),"UP",IF(AND(E321&lt;I321,F321&lt;J321),"DOWN","FLAT")))</f>
        <v/>
      </c>
    </row>
    <row r="322" ht="26" customHeight="1" s="1">
      <c r="A322" s="14">
        <f>IF(B322="","",ROW()-2)</f>
        <v/>
      </c>
      <c r="B322" s="15">
        <f>IF('StockList_MS2'!A321="","",HYPERLINK("https://kabutan.jp/stock/?code="&amp;'StockList_MS2'!A321,'StockList_MS2'!A321))</f>
        <v/>
      </c>
      <c r="C322" s="16">
        <f>IF('StockList_MS2'!A321="","",'StockList_MS2'!B321)</f>
        <v/>
      </c>
      <c r="D322" s="17" t="n"/>
      <c r="E322" s="17" t="n"/>
      <c r="F322" s="17" t="n"/>
      <c r="G322" s="17" t="n"/>
      <c r="H322" s="18" t="n"/>
      <c r="I322" s="17" t="n"/>
      <c r="J322" s="17" t="n"/>
      <c r="K322" s="17" t="n"/>
      <c r="L322" s="14">
        <f>IF(D322="","",IF(D322&gt;K322,"BUY-DAY","SELL-DAY"))</f>
        <v/>
      </c>
      <c r="M322" s="19">
        <f>IF(D322="","",MAX(E322-F322,ABS(E322-K322),ABS(F322-K322)))</f>
        <v/>
      </c>
      <c r="N322" s="14">
        <f>IF(D322="","",IF(AND(H322&gt;0,H322&gt;(H322/3)*2.5),"VOL-OK","VOL-NG"))</f>
        <v/>
      </c>
      <c r="O322" s="14">
        <f>IF(D322="","",IF(D322&gt;I322,"ON","OFF"))</f>
        <v/>
      </c>
      <c r="P322" s="14">
        <f>IF(D322="","",IF(D322&lt;J322,"ON","OFF"))</f>
        <v/>
      </c>
      <c r="Q322" s="14">
        <f>IF(OR(D322="",M322&lt;=0),"",IF(AND(L322="BUY-DAY",N322="VOL-OK",P322="ON",Z322="OK",AA322&lt;&gt;"DOWN"),"BUY",IF(AND(L322="SELL-DAY",N322="VOL-OK",O322="ON",Z322="OK",AA322&lt;&gt;"UP"),"SELL","")))</f>
        <v/>
      </c>
      <c r="R322" s="19">
        <f>IF(Q322="","",D322)</f>
        <v/>
      </c>
      <c r="S322" s="19">
        <f>IF(Q322="","",IF(Q322="BUY",D322-M322*1.5,D322+M322*1.5))</f>
        <v/>
      </c>
      <c r="T322" s="19">
        <f>IF(Q322="","",IF(Q322="BUY",D322+M322*1.5,D322-M322*1.5))</f>
        <v/>
      </c>
      <c r="U322" s="19">
        <f>IF(Q322="","",IF(Q322="BUY",D322+M322*2,D322-M322*2))</f>
        <v/>
      </c>
      <c r="V322" s="19">
        <f>IF(Q322="","",IF(Q322="BUY",D322+M322*3,D322-M322*3))</f>
        <v/>
      </c>
      <c r="W322" s="14">
        <f>IF(OR(D322="",M322&lt;=0),"",IF(AND(D322&gt;G322,ABS(D322-G322)&lt;M322*0.5),"2ND","1ST"))</f>
        <v/>
      </c>
      <c r="X322" s="14">
        <f>IF(OR(D322="",M322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2" s="14">
        <f>IF(OR(D322="",M322&lt;=0),"",IF(M322&gt;D322*0.05,"VOL-HIGH","VOL-NORMAL"))</f>
        <v/>
      </c>
      <c r="Z322" s="14">
        <f>IF(OR(D322="",M322&lt;=0),"",IF(AND(N322="VOL-OK",Y322="VOL-NORMAL",W322="2ND"),"OK","NG"))</f>
        <v/>
      </c>
      <c r="AA322" s="14">
        <f>IF(OR(D322="",M322&lt;=0),"",IF(AND(E322&gt;I322,F322&gt;J322),"UP",IF(AND(E322&lt;I322,F322&lt;J322),"DOWN","FLAT")))</f>
        <v/>
      </c>
    </row>
    <row r="323" ht="26" customHeight="1" s="1">
      <c r="A323" s="8">
        <f>IF(B323="","",ROW()-2)</f>
        <v/>
      </c>
      <c r="B323" s="9">
        <f>IF('StockList_MS2'!A322="","",HYPERLINK("https://kabutan.jp/stock/?code="&amp;'StockList_MS2'!A322,'StockList_MS2'!A322))</f>
        <v/>
      </c>
      <c r="C323" s="10">
        <f>IF('StockList_MS2'!A322="","",'StockList_MS2'!B322)</f>
        <v/>
      </c>
      <c r="D323" s="11" t="n"/>
      <c r="E323" s="11" t="n"/>
      <c r="F323" s="11" t="n"/>
      <c r="G323" s="11" t="n"/>
      <c r="H323" s="12" t="n"/>
      <c r="I323" s="11" t="n"/>
      <c r="J323" s="11" t="n"/>
      <c r="K323" s="11" t="n"/>
      <c r="L323" s="8">
        <f>IF(D323="","",IF(D323&gt;K323,"BUY-DAY","SELL-DAY"))</f>
        <v/>
      </c>
      <c r="M323" s="13">
        <f>IF(D323="","",MAX(E323-F323,ABS(E323-K323),ABS(F323-K323)))</f>
        <v/>
      </c>
      <c r="N323" s="8">
        <f>IF(D323="","",IF(AND(H323&gt;0,H323&gt;(H323/3)*2.5),"VOL-OK","VOL-NG"))</f>
        <v/>
      </c>
      <c r="O323" s="8">
        <f>IF(D323="","",IF(D323&gt;I323,"ON","OFF"))</f>
        <v/>
      </c>
      <c r="P323" s="8">
        <f>IF(D323="","",IF(D323&lt;J323,"ON","OFF"))</f>
        <v/>
      </c>
      <c r="Q323" s="8">
        <f>IF(OR(D323="",M323&lt;=0),"",IF(AND(L323="BUY-DAY",N323="VOL-OK",P323="ON",Z323="OK",AA323&lt;&gt;"DOWN"),"BUY",IF(AND(L323="SELL-DAY",N323="VOL-OK",O323="ON",Z323="OK",AA323&lt;&gt;"UP"),"SELL","")))</f>
        <v/>
      </c>
      <c r="R323" s="13">
        <f>IF(Q323="","",D323)</f>
        <v/>
      </c>
      <c r="S323" s="13">
        <f>IF(Q323="","",IF(Q323="BUY",D323-M323*1.5,D323+M323*1.5))</f>
        <v/>
      </c>
      <c r="T323" s="13">
        <f>IF(Q323="","",IF(Q323="BUY",D323+M323*1.5,D323-M323*1.5))</f>
        <v/>
      </c>
      <c r="U323" s="13">
        <f>IF(Q323="","",IF(Q323="BUY",D323+M323*2,D323-M323*2))</f>
        <v/>
      </c>
      <c r="V323" s="13">
        <f>IF(Q323="","",IF(Q323="BUY",D323+M323*3,D323-M323*3))</f>
        <v/>
      </c>
      <c r="W323" s="8">
        <f>IF(OR(D323="",M323&lt;=0),"",IF(AND(D323&gt;G323,ABS(D323-G323)&lt;M323*0.5),"2ND","1ST"))</f>
        <v/>
      </c>
      <c r="X323" s="8">
        <f>IF(OR(D323="",M323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3" s="8">
        <f>IF(OR(D323="",M323&lt;=0),"",IF(M323&gt;D323*0.05,"VOL-HIGH","VOL-NORMAL"))</f>
        <v/>
      </c>
      <c r="Z323" s="8">
        <f>IF(OR(D323="",M323&lt;=0),"",IF(AND(N323="VOL-OK",Y323="VOL-NORMAL",W323="2ND"),"OK","NG"))</f>
        <v/>
      </c>
      <c r="AA323" s="8">
        <f>IF(OR(D323="",M323&lt;=0),"",IF(AND(E323&gt;I323,F323&gt;J323),"UP",IF(AND(E323&lt;I323,F323&lt;J323),"DOWN","FLAT")))</f>
        <v/>
      </c>
    </row>
    <row r="324" ht="26" customHeight="1" s="1">
      <c r="A324" s="14">
        <f>IF(B324="","",ROW()-2)</f>
        <v/>
      </c>
      <c r="B324" s="15">
        <f>IF('StockList_MS2'!A323="","",HYPERLINK("https://kabutan.jp/stock/?code="&amp;'StockList_MS2'!A323,'StockList_MS2'!A323))</f>
        <v/>
      </c>
      <c r="C324" s="16">
        <f>IF('StockList_MS2'!A323="","",'StockList_MS2'!B323)</f>
        <v/>
      </c>
      <c r="D324" s="17" t="n"/>
      <c r="E324" s="17" t="n"/>
      <c r="F324" s="17" t="n"/>
      <c r="G324" s="17" t="n"/>
      <c r="H324" s="18" t="n"/>
      <c r="I324" s="17" t="n"/>
      <c r="J324" s="17" t="n"/>
      <c r="K324" s="17" t="n"/>
      <c r="L324" s="14">
        <f>IF(D324="","",IF(D324&gt;K324,"BUY-DAY","SELL-DAY"))</f>
        <v/>
      </c>
      <c r="M324" s="19">
        <f>IF(D324="","",MAX(E324-F324,ABS(E324-K324),ABS(F324-K324)))</f>
        <v/>
      </c>
      <c r="N324" s="14">
        <f>IF(D324="","",IF(AND(H324&gt;0,H324&gt;(H324/3)*2.5),"VOL-OK","VOL-NG"))</f>
        <v/>
      </c>
      <c r="O324" s="14">
        <f>IF(D324="","",IF(D324&gt;I324,"ON","OFF"))</f>
        <v/>
      </c>
      <c r="P324" s="14">
        <f>IF(D324="","",IF(D324&lt;J324,"ON","OFF"))</f>
        <v/>
      </c>
      <c r="Q324" s="14">
        <f>IF(OR(D324="",M324&lt;=0),"",IF(AND(L324="BUY-DAY",N324="VOL-OK",P324="ON",Z324="OK",AA324&lt;&gt;"DOWN"),"BUY",IF(AND(L324="SELL-DAY",N324="VOL-OK",O324="ON",Z324="OK",AA324&lt;&gt;"UP"),"SELL","")))</f>
        <v/>
      </c>
      <c r="R324" s="19">
        <f>IF(Q324="","",D324)</f>
        <v/>
      </c>
      <c r="S324" s="19">
        <f>IF(Q324="","",IF(Q324="BUY",D324-M324*1.5,D324+M324*1.5))</f>
        <v/>
      </c>
      <c r="T324" s="19">
        <f>IF(Q324="","",IF(Q324="BUY",D324+M324*1.5,D324-M324*1.5))</f>
        <v/>
      </c>
      <c r="U324" s="19">
        <f>IF(Q324="","",IF(Q324="BUY",D324+M324*2,D324-M324*2))</f>
        <v/>
      </c>
      <c r="V324" s="19">
        <f>IF(Q324="","",IF(Q324="BUY",D324+M324*3,D324-M324*3))</f>
        <v/>
      </c>
      <c r="W324" s="14">
        <f>IF(OR(D324="",M324&lt;=0),"",IF(AND(D324&gt;G324,ABS(D324-G324)&lt;M324*0.5),"2ND","1ST"))</f>
        <v/>
      </c>
      <c r="X324" s="14">
        <f>IF(OR(D324="",M324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4" s="14">
        <f>IF(OR(D324="",M324&lt;=0),"",IF(M324&gt;D324*0.05,"VOL-HIGH","VOL-NORMAL"))</f>
        <v/>
      </c>
      <c r="Z324" s="14">
        <f>IF(OR(D324="",M324&lt;=0),"",IF(AND(N324="VOL-OK",Y324="VOL-NORMAL",W324="2ND"),"OK","NG"))</f>
        <v/>
      </c>
      <c r="AA324" s="14">
        <f>IF(OR(D324="",M324&lt;=0),"",IF(AND(E324&gt;I324,F324&gt;J324),"UP",IF(AND(E324&lt;I324,F324&lt;J324),"DOWN","FLAT")))</f>
        <v/>
      </c>
    </row>
    <row r="325" ht="26" customHeight="1" s="1">
      <c r="A325" s="8">
        <f>IF(B325="","",ROW()-2)</f>
        <v/>
      </c>
      <c r="B325" s="9">
        <f>IF('StockList_MS2'!A324="","",HYPERLINK("https://kabutan.jp/stock/?code="&amp;'StockList_MS2'!A324,'StockList_MS2'!A324))</f>
        <v/>
      </c>
      <c r="C325" s="10">
        <f>IF('StockList_MS2'!A324="","",'StockList_MS2'!B324)</f>
        <v/>
      </c>
      <c r="D325" s="11" t="n"/>
      <c r="E325" s="11" t="n"/>
      <c r="F325" s="11" t="n"/>
      <c r="G325" s="11" t="n"/>
      <c r="H325" s="12" t="n"/>
      <c r="I325" s="11" t="n"/>
      <c r="J325" s="11" t="n"/>
      <c r="K325" s="11" t="n"/>
      <c r="L325" s="8">
        <f>IF(D325="","",IF(D325&gt;K325,"BUY-DAY","SELL-DAY"))</f>
        <v/>
      </c>
      <c r="M325" s="13">
        <f>IF(D325="","",MAX(E325-F325,ABS(E325-K325),ABS(F325-K325)))</f>
        <v/>
      </c>
      <c r="N325" s="8">
        <f>IF(D325="","",IF(AND(H325&gt;0,H325&gt;(H325/3)*2.5),"VOL-OK","VOL-NG"))</f>
        <v/>
      </c>
      <c r="O325" s="8">
        <f>IF(D325="","",IF(D325&gt;I325,"ON","OFF"))</f>
        <v/>
      </c>
      <c r="P325" s="8">
        <f>IF(D325="","",IF(D325&lt;J325,"ON","OFF"))</f>
        <v/>
      </c>
      <c r="Q325" s="8">
        <f>IF(OR(D325="",M325&lt;=0),"",IF(AND(L325="BUY-DAY",N325="VOL-OK",P325="ON",Z325="OK",AA325&lt;&gt;"DOWN"),"BUY",IF(AND(L325="SELL-DAY",N325="VOL-OK",O325="ON",Z325="OK",AA325&lt;&gt;"UP"),"SELL","")))</f>
        <v/>
      </c>
      <c r="R325" s="13">
        <f>IF(Q325="","",D325)</f>
        <v/>
      </c>
      <c r="S325" s="13">
        <f>IF(Q325="","",IF(Q325="BUY",D325-M325*1.5,D325+M325*1.5))</f>
        <v/>
      </c>
      <c r="T325" s="13">
        <f>IF(Q325="","",IF(Q325="BUY",D325+M325*1.5,D325-M325*1.5))</f>
        <v/>
      </c>
      <c r="U325" s="13">
        <f>IF(Q325="","",IF(Q325="BUY",D325+M325*2,D325-M325*2))</f>
        <v/>
      </c>
      <c r="V325" s="13">
        <f>IF(Q325="","",IF(Q325="BUY",D325+M325*3,D325-M325*3))</f>
        <v/>
      </c>
      <c r="W325" s="8">
        <f>IF(OR(D325="",M325&lt;=0),"",IF(AND(D325&gt;G325,ABS(D325-G325)&lt;M325*0.5),"2ND","1ST"))</f>
        <v/>
      </c>
      <c r="X325" s="8">
        <f>IF(OR(D325="",M325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5" s="8">
        <f>IF(OR(D325="",M325&lt;=0),"",IF(M325&gt;D325*0.05,"VOL-HIGH","VOL-NORMAL"))</f>
        <v/>
      </c>
      <c r="Z325" s="8">
        <f>IF(OR(D325="",M325&lt;=0),"",IF(AND(N325="VOL-OK",Y325="VOL-NORMAL",W325="2ND"),"OK","NG"))</f>
        <v/>
      </c>
      <c r="AA325" s="8">
        <f>IF(OR(D325="",M325&lt;=0),"",IF(AND(E325&gt;I325,F325&gt;J325),"UP",IF(AND(E325&lt;I325,F325&lt;J325),"DOWN","FLAT")))</f>
        <v/>
      </c>
    </row>
    <row r="326" ht="26" customHeight="1" s="1">
      <c r="A326" s="14">
        <f>IF(B326="","",ROW()-2)</f>
        <v/>
      </c>
      <c r="B326" s="15">
        <f>IF('StockList_MS2'!A325="","",HYPERLINK("https://kabutan.jp/stock/?code="&amp;'StockList_MS2'!A325,'StockList_MS2'!A325))</f>
        <v/>
      </c>
      <c r="C326" s="16">
        <f>IF('StockList_MS2'!A325="","",'StockList_MS2'!B325)</f>
        <v/>
      </c>
      <c r="D326" s="17" t="n"/>
      <c r="E326" s="17" t="n"/>
      <c r="F326" s="17" t="n"/>
      <c r="G326" s="17" t="n"/>
      <c r="H326" s="18" t="n"/>
      <c r="I326" s="17" t="n"/>
      <c r="J326" s="17" t="n"/>
      <c r="K326" s="17" t="n"/>
      <c r="L326" s="14">
        <f>IF(D326="","",IF(D326&gt;K326,"BUY-DAY","SELL-DAY"))</f>
        <v/>
      </c>
      <c r="M326" s="19">
        <f>IF(D326="","",MAX(E326-F326,ABS(E326-K326),ABS(F326-K326)))</f>
        <v/>
      </c>
      <c r="N326" s="14">
        <f>IF(D326="","",IF(AND(H326&gt;0,H326&gt;(H326/3)*2.5),"VOL-OK","VOL-NG"))</f>
        <v/>
      </c>
      <c r="O326" s="14">
        <f>IF(D326="","",IF(D326&gt;I326,"ON","OFF"))</f>
        <v/>
      </c>
      <c r="P326" s="14">
        <f>IF(D326="","",IF(D326&lt;J326,"ON","OFF"))</f>
        <v/>
      </c>
      <c r="Q326" s="14">
        <f>IF(OR(D326="",M326&lt;=0),"",IF(AND(L326="BUY-DAY",N326="VOL-OK",P326="ON",Z326="OK",AA326&lt;&gt;"DOWN"),"BUY",IF(AND(L326="SELL-DAY",N326="VOL-OK",O326="ON",Z326="OK",AA326&lt;&gt;"UP"),"SELL","")))</f>
        <v/>
      </c>
      <c r="R326" s="19">
        <f>IF(Q326="","",D326)</f>
        <v/>
      </c>
      <c r="S326" s="19">
        <f>IF(Q326="","",IF(Q326="BUY",D326-M326*1.5,D326+M326*1.5))</f>
        <v/>
      </c>
      <c r="T326" s="19">
        <f>IF(Q326="","",IF(Q326="BUY",D326+M326*1.5,D326-M326*1.5))</f>
        <v/>
      </c>
      <c r="U326" s="19">
        <f>IF(Q326="","",IF(Q326="BUY",D326+M326*2,D326-M326*2))</f>
        <v/>
      </c>
      <c r="V326" s="19">
        <f>IF(Q326="","",IF(Q326="BUY",D326+M326*3,D326-M326*3))</f>
        <v/>
      </c>
      <c r="W326" s="14">
        <f>IF(OR(D326="",M326&lt;=0),"",IF(AND(D326&gt;G326,ABS(D326-G326)&lt;M326*0.5),"2ND","1ST"))</f>
        <v/>
      </c>
      <c r="X326" s="14">
        <f>IF(OR(D326="",M326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6" s="14">
        <f>IF(OR(D326="",M326&lt;=0),"",IF(M326&gt;D326*0.05,"VOL-HIGH","VOL-NORMAL"))</f>
        <v/>
      </c>
      <c r="Z326" s="14">
        <f>IF(OR(D326="",M326&lt;=0),"",IF(AND(N326="VOL-OK",Y326="VOL-NORMAL",W326="2ND"),"OK","NG"))</f>
        <v/>
      </c>
      <c r="AA326" s="14">
        <f>IF(OR(D326="",M326&lt;=0),"",IF(AND(E326&gt;I326,F326&gt;J326),"UP",IF(AND(E326&lt;I326,F326&lt;J326),"DOWN","FLAT")))</f>
        <v/>
      </c>
    </row>
    <row r="327" ht="26" customHeight="1" s="1">
      <c r="A327" s="8">
        <f>IF(B327="","",ROW()-2)</f>
        <v/>
      </c>
      <c r="B327" s="9">
        <f>IF('StockList_MS2'!A326="","",HYPERLINK("https://kabutan.jp/stock/?code="&amp;'StockList_MS2'!A326,'StockList_MS2'!A326))</f>
        <v/>
      </c>
      <c r="C327" s="10">
        <f>IF('StockList_MS2'!A326="","",'StockList_MS2'!B326)</f>
        <v/>
      </c>
      <c r="D327" s="11" t="n"/>
      <c r="E327" s="11" t="n"/>
      <c r="F327" s="11" t="n"/>
      <c r="G327" s="11" t="n"/>
      <c r="H327" s="12" t="n"/>
      <c r="I327" s="11" t="n"/>
      <c r="J327" s="11" t="n"/>
      <c r="K327" s="11" t="n"/>
      <c r="L327" s="8">
        <f>IF(D327="","",IF(D327&gt;K327,"BUY-DAY","SELL-DAY"))</f>
        <v/>
      </c>
      <c r="M327" s="13">
        <f>IF(D327="","",MAX(E327-F327,ABS(E327-K327),ABS(F327-K327)))</f>
        <v/>
      </c>
      <c r="N327" s="8">
        <f>IF(D327="","",IF(AND(H327&gt;0,H327&gt;(H327/3)*2.5),"VOL-OK","VOL-NG"))</f>
        <v/>
      </c>
      <c r="O327" s="8">
        <f>IF(D327="","",IF(D327&gt;I327,"ON","OFF"))</f>
        <v/>
      </c>
      <c r="P327" s="8">
        <f>IF(D327="","",IF(D327&lt;J327,"ON","OFF"))</f>
        <v/>
      </c>
      <c r="Q327" s="8">
        <f>IF(OR(D327="",M327&lt;=0),"",IF(AND(L327="BUY-DAY",N327="VOL-OK",P327="ON",Z327="OK",AA327&lt;&gt;"DOWN"),"BUY",IF(AND(L327="SELL-DAY",N327="VOL-OK",O327="ON",Z327="OK",AA327&lt;&gt;"UP"),"SELL","")))</f>
        <v/>
      </c>
      <c r="R327" s="13">
        <f>IF(Q327="","",D327)</f>
        <v/>
      </c>
      <c r="S327" s="13">
        <f>IF(Q327="","",IF(Q327="BUY",D327-M327*1.5,D327+M327*1.5))</f>
        <v/>
      </c>
      <c r="T327" s="13">
        <f>IF(Q327="","",IF(Q327="BUY",D327+M327*1.5,D327-M327*1.5))</f>
        <v/>
      </c>
      <c r="U327" s="13">
        <f>IF(Q327="","",IF(Q327="BUY",D327+M327*2,D327-M327*2))</f>
        <v/>
      </c>
      <c r="V327" s="13">
        <f>IF(Q327="","",IF(Q327="BUY",D327+M327*3,D327-M327*3))</f>
        <v/>
      </c>
      <c r="W327" s="8">
        <f>IF(OR(D327="",M327&lt;=0),"",IF(AND(D327&gt;G327,ABS(D327-G327)&lt;M327*0.5),"2ND","1ST"))</f>
        <v/>
      </c>
      <c r="X327" s="8">
        <f>IF(OR(D327="",M327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7" s="8">
        <f>IF(OR(D327="",M327&lt;=0),"",IF(M327&gt;D327*0.05,"VOL-HIGH","VOL-NORMAL"))</f>
        <v/>
      </c>
      <c r="Z327" s="8">
        <f>IF(OR(D327="",M327&lt;=0),"",IF(AND(N327="VOL-OK",Y327="VOL-NORMAL",W327="2ND"),"OK","NG"))</f>
        <v/>
      </c>
      <c r="AA327" s="8">
        <f>IF(OR(D327="",M327&lt;=0),"",IF(AND(E327&gt;I327,F327&gt;J327),"UP",IF(AND(E327&lt;I327,F327&lt;J327),"DOWN","FLAT")))</f>
        <v/>
      </c>
    </row>
    <row r="328" ht="26" customHeight="1" s="1">
      <c r="A328" s="14">
        <f>IF(B328="","",ROW()-2)</f>
        <v/>
      </c>
      <c r="B328" s="15">
        <f>IF('StockList_MS2'!A327="","",HYPERLINK("https://kabutan.jp/stock/?code="&amp;'StockList_MS2'!A327,'StockList_MS2'!A327))</f>
        <v/>
      </c>
      <c r="C328" s="16">
        <f>IF('StockList_MS2'!A327="","",'StockList_MS2'!B327)</f>
        <v/>
      </c>
      <c r="D328" s="17" t="n"/>
      <c r="E328" s="17" t="n"/>
      <c r="F328" s="17" t="n"/>
      <c r="G328" s="17" t="n"/>
      <c r="H328" s="18" t="n"/>
      <c r="I328" s="17" t="n"/>
      <c r="J328" s="17" t="n"/>
      <c r="K328" s="17" t="n"/>
      <c r="L328" s="14">
        <f>IF(D328="","",IF(D328&gt;K328,"BUY-DAY","SELL-DAY"))</f>
        <v/>
      </c>
      <c r="M328" s="19">
        <f>IF(D328="","",MAX(E328-F328,ABS(E328-K328),ABS(F328-K328)))</f>
        <v/>
      </c>
      <c r="N328" s="14">
        <f>IF(D328="","",IF(AND(H328&gt;0,H328&gt;(H328/3)*2.5),"VOL-OK","VOL-NG"))</f>
        <v/>
      </c>
      <c r="O328" s="14">
        <f>IF(D328="","",IF(D328&gt;I328,"ON","OFF"))</f>
        <v/>
      </c>
      <c r="P328" s="14">
        <f>IF(D328="","",IF(D328&lt;J328,"ON","OFF"))</f>
        <v/>
      </c>
      <c r="Q328" s="14">
        <f>IF(OR(D328="",M328&lt;=0),"",IF(AND(L328="BUY-DAY",N328="VOL-OK",P328="ON",Z328="OK",AA328&lt;&gt;"DOWN"),"BUY",IF(AND(L328="SELL-DAY",N328="VOL-OK",O328="ON",Z328="OK",AA328&lt;&gt;"UP"),"SELL","")))</f>
        <v/>
      </c>
      <c r="R328" s="19">
        <f>IF(Q328="","",D328)</f>
        <v/>
      </c>
      <c r="S328" s="19">
        <f>IF(Q328="","",IF(Q328="BUY",D328-M328*1.5,D328+M328*1.5))</f>
        <v/>
      </c>
      <c r="T328" s="19">
        <f>IF(Q328="","",IF(Q328="BUY",D328+M328*1.5,D328-M328*1.5))</f>
        <v/>
      </c>
      <c r="U328" s="19">
        <f>IF(Q328="","",IF(Q328="BUY",D328+M328*2,D328-M328*2))</f>
        <v/>
      </c>
      <c r="V328" s="19">
        <f>IF(Q328="","",IF(Q328="BUY",D328+M328*3,D328-M328*3))</f>
        <v/>
      </c>
      <c r="W328" s="14">
        <f>IF(OR(D328="",M328&lt;=0),"",IF(AND(D328&gt;G328,ABS(D328-G328)&lt;M328*0.5),"2ND","1ST"))</f>
        <v/>
      </c>
      <c r="X328" s="14">
        <f>IF(OR(D328="",M328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8" s="14">
        <f>IF(OR(D328="",M328&lt;=0),"",IF(M328&gt;D328*0.05,"VOL-HIGH","VOL-NORMAL"))</f>
        <v/>
      </c>
      <c r="Z328" s="14">
        <f>IF(OR(D328="",M328&lt;=0),"",IF(AND(N328="VOL-OK",Y328="VOL-NORMAL",W328="2ND"),"OK","NG"))</f>
        <v/>
      </c>
      <c r="AA328" s="14">
        <f>IF(OR(D328="",M328&lt;=0),"",IF(AND(E328&gt;I328,F328&gt;J328),"UP",IF(AND(E328&lt;I328,F328&lt;J328),"DOWN","FLAT")))</f>
        <v/>
      </c>
    </row>
    <row r="329" ht="26" customHeight="1" s="1">
      <c r="A329" s="8">
        <f>IF(B329="","",ROW()-2)</f>
        <v/>
      </c>
      <c r="B329" s="9">
        <f>IF('StockList_MS2'!A328="","",HYPERLINK("https://kabutan.jp/stock/?code="&amp;'StockList_MS2'!A328,'StockList_MS2'!A328))</f>
        <v/>
      </c>
      <c r="C329" s="10">
        <f>IF('StockList_MS2'!A328="","",'StockList_MS2'!B328)</f>
        <v/>
      </c>
      <c r="D329" s="11" t="n"/>
      <c r="E329" s="11" t="n"/>
      <c r="F329" s="11" t="n"/>
      <c r="G329" s="11" t="n"/>
      <c r="H329" s="12" t="n"/>
      <c r="I329" s="11" t="n"/>
      <c r="J329" s="11" t="n"/>
      <c r="K329" s="11" t="n"/>
      <c r="L329" s="8">
        <f>IF(D329="","",IF(D329&gt;K329,"BUY-DAY","SELL-DAY"))</f>
        <v/>
      </c>
      <c r="M329" s="13">
        <f>IF(D329="","",MAX(E329-F329,ABS(E329-K329),ABS(F329-K329)))</f>
        <v/>
      </c>
      <c r="N329" s="8">
        <f>IF(D329="","",IF(AND(H329&gt;0,H329&gt;(H329/3)*2.5),"VOL-OK","VOL-NG"))</f>
        <v/>
      </c>
      <c r="O329" s="8">
        <f>IF(D329="","",IF(D329&gt;I329,"ON","OFF"))</f>
        <v/>
      </c>
      <c r="P329" s="8">
        <f>IF(D329="","",IF(D329&lt;J329,"ON","OFF"))</f>
        <v/>
      </c>
      <c r="Q329" s="8">
        <f>IF(OR(D329="",M329&lt;=0),"",IF(AND(L329="BUY-DAY",N329="VOL-OK",P329="ON",Z329="OK",AA329&lt;&gt;"DOWN"),"BUY",IF(AND(L329="SELL-DAY",N329="VOL-OK",O329="ON",Z329="OK",AA329&lt;&gt;"UP"),"SELL","")))</f>
        <v/>
      </c>
      <c r="R329" s="13">
        <f>IF(Q329="","",D329)</f>
        <v/>
      </c>
      <c r="S329" s="13">
        <f>IF(Q329="","",IF(Q329="BUY",D329-M329*1.5,D329+M329*1.5))</f>
        <v/>
      </c>
      <c r="T329" s="13">
        <f>IF(Q329="","",IF(Q329="BUY",D329+M329*1.5,D329-M329*1.5))</f>
        <v/>
      </c>
      <c r="U329" s="13">
        <f>IF(Q329="","",IF(Q329="BUY",D329+M329*2,D329-M329*2))</f>
        <v/>
      </c>
      <c r="V329" s="13">
        <f>IF(Q329="","",IF(Q329="BUY",D329+M329*3,D329-M329*3))</f>
        <v/>
      </c>
      <c r="W329" s="8">
        <f>IF(OR(D329="",M329&lt;=0),"",IF(AND(D329&gt;G329,ABS(D329-G329)&lt;M329*0.5),"2ND","1ST"))</f>
        <v/>
      </c>
      <c r="X329" s="8">
        <f>IF(OR(D329="",M329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29" s="8">
        <f>IF(OR(D329="",M329&lt;=0),"",IF(M329&gt;D329*0.05,"VOL-HIGH","VOL-NORMAL"))</f>
        <v/>
      </c>
      <c r="Z329" s="8">
        <f>IF(OR(D329="",M329&lt;=0),"",IF(AND(N329="VOL-OK",Y329="VOL-NORMAL",W329="2ND"),"OK","NG"))</f>
        <v/>
      </c>
      <c r="AA329" s="8">
        <f>IF(OR(D329="",M329&lt;=0),"",IF(AND(E329&gt;I329,F329&gt;J329),"UP",IF(AND(E329&lt;I329,F329&lt;J329),"DOWN","FLAT")))</f>
        <v/>
      </c>
    </row>
    <row r="330" ht="26" customHeight="1" s="1">
      <c r="A330" s="14">
        <f>IF(B330="","",ROW()-2)</f>
        <v/>
      </c>
      <c r="B330" s="15">
        <f>IF('StockList_MS2'!A329="","",HYPERLINK("https://kabutan.jp/stock/?code="&amp;'StockList_MS2'!A329,'StockList_MS2'!A329))</f>
        <v/>
      </c>
      <c r="C330" s="16">
        <f>IF('StockList_MS2'!A329="","",'StockList_MS2'!B329)</f>
        <v/>
      </c>
      <c r="D330" s="17" t="n"/>
      <c r="E330" s="17" t="n"/>
      <c r="F330" s="17" t="n"/>
      <c r="G330" s="17" t="n"/>
      <c r="H330" s="18" t="n"/>
      <c r="I330" s="17" t="n"/>
      <c r="J330" s="17" t="n"/>
      <c r="K330" s="17" t="n"/>
      <c r="L330" s="14">
        <f>IF(D330="","",IF(D330&gt;K330,"BUY-DAY","SELL-DAY"))</f>
        <v/>
      </c>
      <c r="M330" s="19">
        <f>IF(D330="","",MAX(E330-F330,ABS(E330-K330),ABS(F330-K330)))</f>
        <v/>
      </c>
      <c r="N330" s="14">
        <f>IF(D330="","",IF(AND(H330&gt;0,H330&gt;(H330/3)*2.5),"VOL-OK","VOL-NG"))</f>
        <v/>
      </c>
      <c r="O330" s="14">
        <f>IF(D330="","",IF(D330&gt;I330,"ON","OFF"))</f>
        <v/>
      </c>
      <c r="P330" s="14">
        <f>IF(D330="","",IF(D330&lt;J330,"ON","OFF"))</f>
        <v/>
      </c>
      <c r="Q330" s="14">
        <f>IF(OR(D330="",M330&lt;=0),"",IF(AND(L330="BUY-DAY",N330="VOL-OK",P330="ON",Z330="OK",AA330&lt;&gt;"DOWN"),"BUY",IF(AND(L330="SELL-DAY",N330="VOL-OK",O330="ON",Z330="OK",AA330&lt;&gt;"UP"),"SELL","")))</f>
        <v/>
      </c>
      <c r="R330" s="19">
        <f>IF(Q330="","",D330)</f>
        <v/>
      </c>
      <c r="S330" s="19">
        <f>IF(Q330="","",IF(Q330="BUY",D330-M330*1.5,D330+M330*1.5))</f>
        <v/>
      </c>
      <c r="T330" s="19">
        <f>IF(Q330="","",IF(Q330="BUY",D330+M330*1.5,D330-M330*1.5))</f>
        <v/>
      </c>
      <c r="U330" s="19">
        <f>IF(Q330="","",IF(Q330="BUY",D330+M330*2,D330-M330*2))</f>
        <v/>
      </c>
      <c r="V330" s="19">
        <f>IF(Q330="","",IF(Q330="BUY",D330+M330*3,D330-M330*3))</f>
        <v/>
      </c>
      <c r="W330" s="14">
        <f>IF(OR(D330="",M330&lt;=0),"",IF(AND(D330&gt;G330,ABS(D330-G330)&lt;M330*0.5),"2ND","1ST"))</f>
        <v/>
      </c>
      <c r="X330" s="14">
        <f>IF(OR(D330="",M330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0" s="14">
        <f>IF(OR(D330="",M330&lt;=0),"",IF(M330&gt;D330*0.05,"VOL-HIGH","VOL-NORMAL"))</f>
        <v/>
      </c>
      <c r="Z330" s="14">
        <f>IF(OR(D330="",M330&lt;=0),"",IF(AND(N330="VOL-OK",Y330="VOL-NORMAL",W330="2ND"),"OK","NG"))</f>
        <v/>
      </c>
      <c r="AA330" s="14">
        <f>IF(OR(D330="",M330&lt;=0),"",IF(AND(E330&gt;I330,F330&gt;J330),"UP",IF(AND(E330&lt;I330,F330&lt;J330),"DOWN","FLAT")))</f>
        <v/>
      </c>
    </row>
    <row r="331" ht="26" customHeight="1" s="1">
      <c r="A331" s="8">
        <f>IF(B331="","",ROW()-2)</f>
        <v/>
      </c>
      <c r="B331" s="9">
        <f>IF('StockList_MS2'!A330="","",HYPERLINK("https://kabutan.jp/stock/?code="&amp;'StockList_MS2'!A330,'StockList_MS2'!A330))</f>
        <v/>
      </c>
      <c r="C331" s="10">
        <f>IF('StockList_MS2'!A330="","",'StockList_MS2'!B330)</f>
        <v/>
      </c>
      <c r="D331" s="11" t="n"/>
      <c r="E331" s="11" t="n"/>
      <c r="F331" s="11" t="n"/>
      <c r="G331" s="11" t="n"/>
      <c r="H331" s="12" t="n"/>
      <c r="I331" s="11" t="n"/>
      <c r="J331" s="11" t="n"/>
      <c r="K331" s="11" t="n"/>
      <c r="L331" s="8">
        <f>IF(D331="","",IF(D331&gt;K331,"BUY-DAY","SELL-DAY"))</f>
        <v/>
      </c>
      <c r="M331" s="13">
        <f>IF(D331="","",MAX(E331-F331,ABS(E331-K331),ABS(F331-K331)))</f>
        <v/>
      </c>
      <c r="N331" s="8">
        <f>IF(D331="","",IF(AND(H331&gt;0,H331&gt;(H331/3)*2.5),"VOL-OK","VOL-NG"))</f>
        <v/>
      </c>
      <c r="O331" s="8">
        <f>IF(D331="","",IF(D331&gt;I331,"ON","OFF"))</f>
        <v/>
      </c>
      <c r="P331" s="8">
        <f>IF(D331="","",IF(D331&lt;J331,"ON","OFF"))</f>
        <v/>
      </c>
      <c r="Q331" s="8">
        <f>IF(OR(D331="",M331&lt;=0),"",IF(AND(L331="BUY-DAY",N331="VOL-OK",P331="ON",Z331="OK",AA331&lt;&gt;"DOWN"),"BUY",IF(AND(L331="SELL-DAY",N331="VOL-OK",O331="ON",Z331="OK",AA331&lt;&gt;"UP"),"SELL","")))</f>
        <v/>
      </c>
      <c r="R331" s="13">
        <f>IF(Q331="","",D331)</f>
        <v/>
      </c>
      <c r="S331" s="13">
        <f>IF(Q331="","",IF(Q331="BUY",D331-M331*1.5,D331+M331*1.5))</f>
        <v/>
      </c>
      <c r="T331" s="13">
        <f>IF(Q331="","",IF(Q331="BUY",D331+M331*1.5,D331-M331*1.5))</f>
        <v/>
      </c>
      <c r="U331" s="13">
        <f>IF(Q331="","",IF(Q331="BUY",D331+M331*2,D331-M331*2))</f>
        <v/>
      </c>
      <c r="V331" s="13">
        <f>IF(Q331="","",IF(Q331="BUY",D331+M331*3,D331-M331*3))</f>
        <v/>
      </c>
      <c r="W331" s="8">
        <f>IF(OR(D331="",M331&lt;=0),"",IF(AND(D331&gt;G331,ABS(D331-G331)&lt;M331*0.5),"2ND","1ST"))</f>
        <v/>
      </c>
      <c r="X331" s="8">
        <f>IF(OR(D331="",M331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1" s="8">
        <f>IF(OR(D331="",M331&lt;=0),"",IF(M331&gt;D331*0.05,"VOL-HIGH","VOL-NORMAL"))</f>
        <v/>
      </c>
      <c r="Z331" s="8">
        <f>IF(OR(D331="",M331&lt;=0),"",IF(AND(N331="VOL-OK",Y331="VOL-NORMAL",W331="2ND"),"OK","NG"))</f>
        <v/>
      </c>
      <c r="AA331" s="8">
        <f>IF(OR(D331="",M331&lt;=0),"",IF(AND(E331&gt;I331,F331&gt;J331),"UP",IF(AND(E331&lt;I331,F331&lt;J331),"DOWN","FLAT")))</f>
        <v/>
      </c>
    </row>
    <row r="332" ht="26" customHeight="1" s="1">
      <c r="A332" s="14">
        <f>IF(B332="","",ROW()-2)</f>
        <v/>
      </c>
      <c r="B332" s="15">
        <f>IF('StockList_MS2'!A331="","",HYPERLINK("https://kabutan.jp/stock/?code="&amp;'StockList_MS2'!A331,'StockList_MS2'!A331))</f>
        <v/>
      </c>
      <c r="C332" s="16">
        <f>IF('StockList_MS2'!A331="","",'StockList_MS2'!B331)</f>
        <v/>
      </c>
      <c r="D332" s="17" t="n"/>
      <c r="E332" s="17" t="n"/>
      <c r="F332" s="17" t="n"/>
      <c r="G332" s="17" t="n"/>
      <c r="H332" s="18" t="n"/>
      <c r="I332" s="17" t="n"/>
      <c r="J332" s="17" t="n"/>
      <c r="K332" s="17" t="n"/>
      <c r="L332" s="14">
        <f>IF(D332="","",IF(D332&gt;K332,"BUY-DAY","SELL-DAY"))</f>
        <v/>
      </c>
      <c r="M332" s="19">
        <f>IF(D332="","",MAX(E332-F332,ABS(E332-K332),ABS(F332-K332)))</f>
        <v/>
      </c>
      <c r="N332" s="14">
        <f>IF(D332="","",IF(AND(H332&gt;0,H332&gt;(H332/3)*2.5),"VOL-OK","VOL-NG"))</f>
        <v/>
      </c>
      <c r="O332" s="14">
        <f>IF(D332="","",IF(D332&gt;I332,"ON","OFF"))</f>
        <v/>
      </c>
      <c r="P332" s="14">
        <f>IF(D332="","",IF(D332&lt;J332,"ON","OFF"))</f>
        <v/>
      </c>
      <c r="Q332" s="14">
        <f>IF(OR(D332="",M332&lt;=0),"",IF(AND(L332="BUY-DAY",N332="VOL-OK",P332="ON",Z332="OK",AA332&lt;&gt;"DOWN"),"BUY",IF(AND(L332="SELL-DAY",N332="VOL-OK",O332="ON",Z332="OK",AA332&lt;&gt;"UP"),"SELL","")))</f>
        <v/>
      </c>
      <c r="R332" s="19">
        <f>IF(Q332="","",D332)</f>
        <v/>
      </c>
      <c r="S332" s="19">
        <f>IF(Q332="","",IF(Q332="BUY",D332-M332*1.5,D332+M332*1.5))</f>
        <v/>
      </c>
      <c r="T332" s="19">
        <f>IF(Q332="","",IF(Q332="BUY",D332+M332*1.5,D332-M332*1.5))</f>
        <v/>
      </c>
      <c r="U332" s="19">
        <f>IF(Q332="","",IF(Q332="BUY",D332+M332*2,D332-M332*2))</f>
        <v/>
      </c>
      <c r="V332" s="19">
        <f>IF(Q332="","",IF(Q332="BUY",D332+M332*3,D332-M332*3))</f>
        <v/>
      </c>
      <c r="W332" s="14">
        <f>IF(OR(D332="",M332&lt;=0),"",IF(AND(D332&gt;G332,ABS(D332-G332)&lt;M332*0.5),"2ND","1ST"))</f>
        <v/>
      </c>
      <c r="X332" s="14">
        <f>IF(OR(D332="",M332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2" s="14">
        <f>IF(OR(D332="",M332&lt;=0),"",IF(M332&gt;D332*0.05,"VOL-HIGH","VOL-NORMAL"))</f>
        <v/>
      </c>
      <c r="Z332" s="14">
        <f>IF(OR(D332="",M332&lt;=0),"",IF(AND(N332="VOL-OK",Y332="VOL-NORMAL",W332="2ND"),"OK","NG"))</f>
        <v/>
      </c>
      <c r="AA332" s="14">
        <f>IF(OR(D332="",M332&lt;=0),"",IF(AND(E332&gt;I332,F332&gt;J332),"UP",IF(AND(E332&lt;I332,F332&lt;J332),"DOWN","FLAT")))</f>
        <v/>
      </c>
    </row>
    <row r="333" ht="26" customHeight="1" s="1">
      <c r="A333" s="8">
        <f>IF(B333="","",ROW()-2)</f>
        <v/>
      </c>
      <c r="B333" s="9">
        <f>IF('StockList_MS2'!A332="","",HYPERLINK("https://kabutan.jp/stock/?code="&amp;'StockList_MS2'!A332,'StockList_MS2'!A332))</f>
        <v/>
      </c>
      <c r="C333" s="10">
        <f>IF('StockList_MS2'!A332="","",'StockList_MS2'!B332)</f>
        <v/>
      </c>
      <c r="D333" s="11" t="n"/>
      <c r="E333" s="11" t="n"/>
      <c r="F333" s="11" t="n"/>
      <c r="G333" s="11" t="n"/>
      <c r="H333" s="12" t="n"/>
      <c r="I333" s="11" t="n"/>
      <c r="J333" s="11" t="n"/>
      <c r="K333" s="11" t="n"/>
      <c r="L333" s="8">
        <f>IF(D333="","",IF(D333&gt;K333,"BUY-DAY","SELL-DAY"))</f>
        <v/>
      </c>
      <c r="M333" s="13">
        <f>IF(D333="","",MAX(E333-F333,ABS(E333-K333),ABS(F333-K333)))</f>
        <v/>
      </c>
      <c r="N333" s="8">
        <f>IF(D333="","",IF(AND(H333&gt;0,H333&gt;(H333/3)*2.5),"VOL-OK","VOL-NG"))</f>
        <v/>
      </c>
      <c r="O333" s="8">
        <f>IF(D333="","",IF(D333&gt;I333,"ON","OFF"))</f>
        <v/>
      </c>
      <c r="P333" s="8">
        <f>IF(D333="","",IF(D333&lt;J333,"ON","OFF"))</f>
        <v/>
      </c>
      <c r="Q333" s="8">
        <f>IF(OR(D333="",M333&lt;=0),"",IF(AND(L333="BUY-DAY",N333="VOL-OK",P333="ON",Z333="OK",AA333&lt;&gt;"DOWN"),"BUY",IF(AND(L333="SELL-DAY",N333="VOL-OK",O333="ON",Z333="OK",AA333&lt;&gt;"UP"),"SELL","")))</f>
        <v/>
      </c>
      <c r="R333" s="13">
        <f>IF(Q333="","",D333)</f>
        <v/>
      </c>
      <c r="S333" s="13">
        <f>IF(Q333="","",IF(Q333="BUY",D333-M333*1.5,D333+M333*1.5))</f>
        <v/>
      </c>
      <c r="T333" s="13">
        <f>IF(Q333="","",IF(Q333="BUY",D333+M333*1.5,D333-M333*1.5))</f>
        <v/>
      </c>
      <c r="U333" s="13">
        <f>IF(Q333="","",IF(Q333="BUY",D333+M333*2,D333-M333*2))</f>
        <v/>
      </c>
      <c r="V333" s="13">
        <f>IF(Q333="","",IF(Q333="BUY",D333+M333*3,D333-M333*3))</f>
        <v/>
      </c>
      <c r="W333" s="8">
        <f>IF(OR(D333="",M333&lt;=0),"",IF(AND(D333&gt;G333,ABS(D333-G333)&lt;M333*0.5),"2ND","1ST"))</f>
        <v/>
      </c>
      <c r="X333" s="8">
        <f>IF(OR(D333="",M333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3" s="8">
        <f>IF(OR(D333="",M333&lt;=0),"",IF(M333&gt;D333*0.05,"VOL-HIGH","VOL-NORMAL"))</f>
        <v/>
      </c>
      <c r="Z333" s="8">
        <f>IF(OR(D333="",M333&lt;=0),"",IF(AND(N333="VOL-OK",Y333="VOL-NORMAL",W333="2ND"),"OK","NG"))</f>
        <v/>
      </c>
      <c r="AA333" s="8">
        <f>IF(OR(D333="",M333&lt;=0),"",IF(AND(E333&gt;I333,F333&gt;J333),"UP",IF(AND(E333&lt;I333,F333&lt;J333),"DOWN","FLAT")))</f>
        <v/>
      </c>
    </row>
    <row r="334" ht="26" customHeight="1" s="1">
      <c r="A334" s="14">
        <f>IF(B334="","",ROW()-2)</f>
        <v/>
      </c>
      <c r="B334" s="15">
        <f>IF('StockList_MS2'!A333="","",HYPERLINK("https://kabutan.jp/stock/?code="&amp;'StockList_MS2'!A333,'StockList_MS2'!A333))</f>
        <v/>
      </c>
      <c r="C334" s="16">
        <f>IF('StockList_MS2'!A333="","",'StockList_MS2'!B333)</f>
        <v/>
      </c>
      <c r="D334" s="17" t="n"/>
      <c r="E334" s="17" t="n"/>
      <c r="F334" s="17" t="n"/>
      <c r="G334" s="17" t="n"/>
      <c r="H334" s="18" t="n"/>
      <c r="I334" s="17" t="n"/>
      <c r="J334" s="17" t="n"/>
      <c r="K334" s="17" t="n"/>
      <c r="L334" s="14">
        <f>IF(D334="","",IF(D334&gt;K334,"BUY-DAY","SELL-DAY"))</f>
        <v/>
      </c>
      <c r="M334" s="19">
        <f>IF(D334="","",MAX(E334-F334,ABS(E334-K334),ABS(F334-K334)))</f>
        <v/>
      </c>
      <c r="N334" s="14">
        <f>IF(D334="","",IF(AND(H334&gt;0,H334&gt;(H334/3)*2.5),"VOL-OK","VOL-NG"))</f>
        <v/>
      </c>
      <c r="O334" s="14">
        <f>IF(D334="","",IF(D334&gt;I334,"ON","OFF"))</f>
        <v/>
      </c>
      <c r="P334" s="14">
        <f>IF(D334="","",IF(D334&lt;J334,"ON","OFF"))</f>
        <v/>
      </c>
      <c r="Q334" s="14">
        <f>IF(OR(D334="",M334&lt;=0),"",IF(AND(L334="BUY-DAY",N334="VOL-OK",P334="ON",Z334="OK",AA334&lt;&gt;"DOWN"),"BUY",IF(AND(L334="SELL-DAY",N334="VOL-OK",O334="ON",Z334="OK",AA334&lt;&gt;"UP"),"SELL","")))</f>
        <v/>
      </c>
      <c r="R334" s="19">
        <f>IF(Q334="","",D334)</f>
        <v/>
      </c>
      <c r="S334" s="19">
        <f>IF(Q334="","",IF(Q334="BUY",D334-M334*1.5,D334+M334*1.5))</f>
        <v/>
      </c>
      <c r="T334" s="19">
        <f>IF(Q334="","",IF(Q334="BUY",D334+M334*1.5,D334-M334*1.5))</f>
        <v/>
      </c>
      <c r="U334" s="19">
        <f>IF(Q334="","",IF(Q334="BUY",D334+M334*2,D334-M334*2))</f>
        <v/>
      </c>
      <c r="V334" s="19">
        <f>IF(Q334="","",IF(Q334="BUY",D334+M334*3,D334-M334*3))</f>
        <v/>
      </c>
      <c r="W334" s="14">
        <f>IF(OR(D334="",M334&lt;=0),"",IF(AND(D334&gt;G334,ABS(D334-G334)&lt;M334*0.5),"2ND","1ST"))</f>
        <v/>
      </c>
      <c r="X334" s="14">
        <f>IF(OR(D334="",M334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4" s="14">
        <f>IF(OR(D334="",M334&lt;=0),"",IF(M334&gt;D334*0.05,"VOL-HIGH","VOL-NORMAL"))</f>
        <v/>
      </c>
      <c r="Z334" s="14">
        <f>IF(OR(D334="",M334&lt;=0),"",IF(AND(N334="VOL-OK",Y334="VOL-NORMAL",W334="2ND"),"OK","NG"))</f>
        <v/>
      </c>
      <c r="AA334" s="14">
        <f>IF(OR(D334="",M334&lt;=0),"",IF(AND(E334&gt;I334,F334&gt;J334),"UP",IF(AND(E334&lt;I334,F334&lt;J334),"DOWN","FLAT")))</f>
        <v/>
      </c>
    </row>
    <row r="335" ht="26" customHeight="1" s="1">
      <c r="A335" s="8">
        <f>IF(B335="","",ROW()-2)</f>
        <v/>
      </c>
      <c r="B335" s="9">
        <f>IF('StockList_MS2'!A334="","",HYPERLINK("https://kabutan.jp/stock/?code="&amp;'StockList_MS2'!A334,'StockList_MS2'!A334))</f>
        <v/>
      </c>
      <c r="C335" s="10">
        <f>IF('StockList_MS2'!A334="","",'StockList_MS2'!B334)</f>
        <v/>
      </c>
      <c r="D335" s="11" t="n"/>
      <c r="E335" s="11" t="n"/>
      <c r="F335" s="11" t="n"/>
      <c r="G335" s="11" t="n"/>
      <c r="H335" s="12" t="n"/>
      <c r="I335" s="11" t="n"/>
      <c r="J335" s="11" t="n"/>
      <c r="K335" s="11" t="n"/>
      <c r="L335" s="8">
        <f>IF(D335="","",IF(D335&gt;K335,"BUY-DAY","SELL-DAY"))</f>
        <v/>
      </c>
      <c r="M335" s="13">
        <f>IF(D335="","",MAX(E335-F335,ABS(E335-K335),ABS(F335-K335)))</f>
        <v/>
      </c>
      <c r="N335" s="8">
        <f>IF(D335="","",IF(AND(H335&gt;0,H335&gt;(H335/3)*2.5),"VOL-OK","VOL-NG"))</f>
        <v/>
      </c>
      <c r="O335" s="8">
        <f>IF(D335="","",IF(D335&gt;I335,"ON","OFF"))</f>
        <v/>
      </c>
      <c r="P335" s="8">
        <f>IF(D335="","",IF(D335&lt;J335,"ON","OFF"))</f>
        <v/>
      </c>
      <c r="Q335" s="8">
        <f>IF(OR(D335="",M335&lt;=0),"",IF(AND(L335="BUY-DAY",N335="VOL-OK",P335="ON",Z335="OK",AA335&lt;&gt;"DOWN"),"BUY",IF(AND(L335="SELL-DAY",N335="VOL-OK",O335="ON",Z335="OK",AA335&lt;&gt;"UP"),"SELL","")))</f>
        <v/>
      </c>
      <c r="R335" s="13">
        <f>IF(Q335="","",D335)</f>
        <v/>
      </c>
      <c r="S335" s="13">
        <f>IF(Q335="","",IF(Q335="BUY",D335-M335*1.5,D335+M335*1.5))</f>
        <v/>
      </c>
      <c r="T335" s="13">
        <f>IF(Q335="","",IF(Q335="BUY",D335+M335*1.5,D335-M335*1.5))</f>
        <v/>
      </c>
      <c r="U335" s="13">
        <f>IF(Q335="","",IF(Q335="BUY",D335+M335*2,D335-M335*2))</f>
        <v/>
      </c>
      <c r="V335" s="13">
        <f>IF(Q335="","",IF(Q335="BUY",D335+M335*3,D335-M335*3))</f>
        <v/>
      </c>
      <c r="W335" s="8">
        <f>IF(OR(D335="",M335&lt;=0),"",IF(AND(D335&gt;G335,ABS(D335-G335)&lt;M335*0.5),"2ND","1ST"))</f>
        <v/>
      </c>
      <c r="X335" s="8">
        <f>IF(OR(D335="",M335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5" s="8">
        <f>IF(OR(D335="",M335&lt;=0),"",IF(M335&gt;D335*0.05,"VOL-HIGH","VOL-NORMAL"))</f>
        <v/>
      </c>
      <c r="Z335" s="8">
        <f>IF(OR(D335="",M335&lt;=0),"",IF(AND(N335="VOL-OK",Y335="VOL-NORMAL",W335="2ND"),"OK","NG"))</f>
        <v/>
      </c>
      <c r="AA335" s="8">
        <f>IF(OR(D335="",M335&lt;=0),"",IF(AND(E335&gt;I335,F335&gt;J335),"UP",IF(AND(E335&lt;I335,F335&lt;J335),"DOWN","FLAT")))</f>
        <v/>
      </c>
    </row>
    <row r="336" ht="26" customHeight="1" s="1">
      <c r="A336" s="14">
        <f>IF(B336="","",ROW()-2)</f>
        <v/>
      </c>
      <c r="B336" s="15">
        <f>IF('StockList_MS2'!A335="","",HYPERLINK("https://kabutan.jp/stock/?code="&amp;'StockList_MS2'!A335,'StockList_MS2'!A335))</f>
        <v/>
      </c>
      <c r="C336" s="16">
        <f>IF('StockList_MS2'!A335="","",'StockList_MS2'!B335)</f>
        <v/>
      </c>
      <c r="D336" s="17" t="n"/>
      <c r="E336" s="17" t="n"/>
      <c r="F336" s="17" t="n"/>
      <c r="G336" s="17" t="n"/>
      <c r="H336" s="18" t="n"/>
      <c r="I336" s="17" t="n"/>
      <c r="J336" s="17" t="n"/>
      <c r="K336" s="17" t="n"/>
      <c r="L336" s="14">
        <f>IF(D336="","",IF(D336&gt;K336,"BUY-DAY","SELL-DAY"))</f>
        <v/>
      </c>
      <c r="M336" s="19">
        <f>IF(D336="","",MAX(E336-F336,ABS(E336-K336),ABS(F336-K336)))</f>
        <v/>
      </c>
      <c r="N336" s="14">
        <f>IF(D336="","",IF(AND(H336&gt;0,H336&gt;(H336/3)*2.5),"VOL-OK","VOL-NG"))</f>
        <v/>
      </c>
      <c r="O336" s="14">
        <f>IF(D336="","",IF(D336&gt;I336,"ON","OFF"))</f>
        <v/>
      </c>
      <c r="P336" s="14">
        <f>IF(D336="","",IF(D336&lt;J336,"ON","OFF"))</f>
        <v/>
      </c>
      <c r="Q336" s="14">
        <f>IF(OR(D336="",M336&lt;=0),"",IF(AND(L336="BUY-DAY",N336="VOL-OK",P336="ON",Z336="OK",AA336&lt;&gt;"DOWN"),"BUY",IF(AND(L336="SELL-DAY",N336="VOL-OK",O336="ON",Z336="OK",AA336&lt;&gt;"UP"),"SELL","")))</f>
        <v/>
      </c>
      <c r="R336" s="19">
        <f>IF(Q336="","",D336)</f>
        <v/>
      </c>
      <c r="S336" s="19">
        <f>IF(Q336="","",IF(Q336="BUY",D336-M336*1.5,D336+M336*1.5))</f>
        <v/>
      </c>
      <c r="T336" s="19">
        <f>IF(Q336="","",IF(Q336="BUY",D336+M336*1.5,D336-M336*1.5))</f>
        <v/>
      </c>
      <c r="U336" s="19">
        <f>IF(Q336="","",IF(Q336="BUY",D336+M336*2,D336-M336*2))</f>
        <v/>
      </c>
      <c r="V336" s="19">
        <f>IF(Q336="","",IF(Q336="BUY",D336+M336*3,D336-M336*3))</f>
        <v/>
      </c>
      <c r="W336" s="14">
        <f>IF(OR(D336="",M336&lt;=0),"",IF(AND(D336&gt;G336,ABS(D336-G336)&lt;M336*0.5),"2ND","1ST"))</f>
        <v/>
      </c>
      <c r="X336" s="14">
        <f>IF(OR(D336="",M336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6" s="14">
        <f>IF(OR(D336="",M336&lt;=0),"",IF(M336&gt;D336*0.05,"VOL-HIGH","VOL-NORMAL"))</f>
        <v/>
      </c>
      <c r="Z336" s="14">
        <f>IF(OR(D336="",M336&lt;=0),"",IF(AND(N336="VOL-OK",Y336="VOL-NORMAL",W336="2ND"),"OK","NG"))</f>
        <v/>
      </c>
      <c r="AA336" s="14">
        <f>IF(OR(D336="",M336&lt;=0),"",IF(AND(E336&gt;I336,F336&gt;J336),"UP",IF(AND(E336&lt;I336,F336&lt;J336),"DOWN","FLAT")))</f>
        <v/>
      </c>
    </row>
    <row r="337" ht="26" customHeight="1" s="1">
      <c r="A337" s="8">
        <f>IF(B337="","",ROW()-2)</f>
        <v/>
      </c>
      <c r="B337" s="9">
        <f>IF('StockList_MS2'!A336="","",HYPERLINK("https://kabutan.jp/stock/?code="&amp;'StockList_MS2'!A336,'StockList_MS2'!A336))</f>
        <v/>
      </c>
      <c r="C337" s="10">
        <f>IF('StockList_MS2'!A336="","",'StockList_MS2'!B336)</f>
        <v/>
      </c>
      <c r="D337" s="11" t="n"/>
      <c r="E337" s="11" t="n"/>
      <c r="F337" s="11" t="n"/>
      <c r="G337" s="11" t="n"/>
      <c r="H337" s="12" t="n"/>
      <c r="I337" s="11" t="n"/>
      <c r="J337" s="11" t="n"/>
      <c r="K337" s="11" t="n"/>
      <c r="L337" s="8">
        <f>IF(D337="","",IF(D337&gt;K337,"BUY-DAY","SELL-DAY"))</f>
        <v/>
      </c>
      <c r="M337" s="13">
        <f>IF(D337="","",MAX(E337-F337,ABS(E337-K337),ABS(F337-K337)))</f>
        <v/>
      </c>
      <c r="N337" s="8">
        <f>IF(D337="","",IF(AND(H337&gt;0,H337&gt;(H337/3)*2.5),"VOL-OK","VOL-NG"))</f>
        <v/>
      </c>
      <c r="O337" s="8">
        <f>IF(D337="","",IF(D337&gt;I337,"ON","OFF"))</f>
        <v/>
      </c>
      <c r="P337" s="8">
        <f>IF(D337="","",IF(D337&lt;J337,"ON","OFF"))</f>
        <v/>
      </c>
      <c r="Q337" s="8">
        <f>IF(OR(D337="",M337&lt;=0),"",IF(AND(L337="BUY-DAY",N337="VOL-OK",P337="ON",Z337="OK",AA337&lt;&gt;"DOWN"),"BUY",IF(AND(L337="SELL-DAY",N337="VOL-OK",O337="ON",Z337="OK",AA337&lt;&gt;"UP"),"SELL","")))</f>
        <v/>
      </c>
      <c r="R337" s="13">
        <f>IF(Q337="","",D337)</f>
        <v/>
      </c>
      <c r="S337" s="13">
        <f>IF(Q337="","",IF(Q337="BUY",D337-M337*1.5,D337+M337*1.5))</f>
        <v/>
      </c>
      <c r="T337" s="13">
        <f>IF(Q337="","",IF(Q337="BUY",D337+M337*1.5,D337-M337*1.5))</f>
        <v/>
      </c>
      <c r="U337" s="13">
        <f>IF(Q337="","",IF(Q337="BUY",D337+M337*2,D337-M337*2))</f>
        <v/>
      </c>
      <c r="V337" s="13">
        <f>IF(Q337="","",IF(Q337="BUY",D337+M337*3,D337-M337*3))</f>
        <v/>
      </c>
      <c r="W337" s="8">
        <f>IF(OR(D337="",M337&lt;=0),"",IF(AND(D337&gt;G337,ABS(D337-G337)&lt;M337*0.5),"2ND","1ST"))</f>
        <v/>
      </c>
      <c r="X337" s="8">
        <f>IF(OR(D337="",M337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7" s="8">
        <f>IF(OR(D337="",M337&lt;=0),"",IF(M337&gt;D337*0.05,"VOL-HIGH","VOL-NORMAL"))</f>
        <v/>
      </c>
      <c r="Z337" s="8">
        <f>IF(OR(D337="",M337&lt;=0),"",IF(AND(N337="VOL-OK",Y337="VOL-NORMAL",W337="2ND"),"OK","NG"))</f>
        <v/>
      </c>
      <c r="AA337" s="8">
        <f>IF(OR(D337="",M337&lt;=0),"",IF(AND(E337&gt;I337,F337&gt;J337),"UP",IF(AND(E337&lt;I337,F337&lt;J337),"DOWN","FLAT")))</f>
        <v/>
      </c>
    </row>
    <row r="338" ht="26" customHeight="1" s="1">
      <c r="A338" s="14">
        <f>IF(B338="","",ROW()-2)</f>
        <v/>
      </c>
      <c r="B338" s="15">
        <f>IF('StockList_MS2'!A337="","",HYPERLINK("https://kabutan.jp/stock/?code="&amp;'StockList_MS2'!A337,'StockList_MS2'!A337))</f>
        <v/>
      </c>
      <c r="C338" s="16">
        <f>IF('StockList_MS2'!A337="","",'StockList_MS2'!B337)</f>
        <v/>
      </c>
      <c r="D338" s="17" t="n"/>
      <c r="E338" s="17" t="n"/>
      <c r="F338" s="17" t="n"/>
      <c r="G338" s="17" t="n"/>
      <c r="H338" s="18" t="n"/>
      <c r="I338" s="17" t="n"/>
      <c r="J338" s="17" t="n"/>
      <c r="K338" s="17" t="n"/>
      <c r="L338" s="14">
        <f>IF(D338="","",IF(D338&gt;K338,"BUY-DAY","SELL-DAY"))</f>
        <v/>
      </c>
      <c r="M338" s="19">
        <f>IF(D338="","",MAX(E338-F338,ABS(E338-K338),ABS(F338-K338)))</f>
        <v/>
      </c>
      <c r="N338" s="14">
        <f>IF(D338="","",IF(AND(H338&gt;0,H338&gt;(H338/3)*2.5),"VOL-OK","VOL-NG"))</f>
        <v/>
      </c>
      <c r="O338" s="14">
        <f>IF(D338="","",IF(D338&gt;I338,"ON","OFF"))</f>
        <v/>
      </c>
      <c r="P338" s="14">
        <f>IF(D338="","",IF(D338&lt;J338,"ON","OFF"))</f>
        <v/>
      </c>
      <c r="Q338" s="14">
        <f>IF(OR(D338="",M338&lt;=0),"",IF(AND(L338="BUY-DAY",N338="VOL-OK",P338="ON",Z338="OK",AA338&lt;&gt;"DOWN"),"BUY",IF(AND(L338="SELL-DAY",N338="VOL-OK",O338="ON",Z338="OK",AA338&lt;&gt;"UP"),"SELL","")))</f>
        <v/>
      </c>
      <c r="R338" s="19">
        <f>IF(Q338="","",D338)</f>
        <v/>
      </c>
      <c r="S338" s="19">
        <f>IF(Q338="","",IF(Q338="BUY",D338-M338*1.5,D338+M338*1.5))</f>
        <v/>
      </c>
      <c r="T338" s="19">
        <f>IF(Q338="","",IF(Q338="BUY",D338+M338*1.5,D338-M338*1.5))</f>
        <v/>
      </c>
      <c r="U338" s="19">
        <f>IF(Q338="","",IF(Q338="BUY",D338+M338*2,D338-M338*2))</f>
        <v/>
      </c>
      <c r="V338" s="19">
        <f>IF(Q338="","",IF(Q338="BUY",D338+M338*3,D338-M338*3))</f>
        <v/>
      </c>
      <c r="W338" s="14">
        <f>IF(OR(D338="",M338&lt;=0),"",IF(AND(D338&gt;G338,ABS(D338-G338)&lt;M338*0.5),"2ND","1ST"))</f>
        <v/>
      </c>
      <c r="X338" s="14">
        <f>IF(OR(D338="",M338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8" s="14">
        <f>IF(OR(D338="",M338&lt;=0),"",IF(M338&gt;D338*0.05,"VOL-HIGH","VOL-NORMAL"))</f>
        <v/>
      </c>
      <c r="Z338" s="14">
        <f>IF(OR(D338="",M338&lt;=0),"",IF(AND(N338="VOL-OK",Y338="VOL-NORMAL",W338="2ND"),"OK","NG"))</f>
        <v/>
      </c>
      <c r="AA338" s="14">
        <f>IF(OR(D338="",M338&lt;=0),"",IF(AND(E338&gt;I338,F338&gt;J338),"UP",IF(AND(E338&lt;I338,F338&lt;J338),"DOWN","FLAT")))</f>
        <v/>
      </c>
    </row>
    <row r="339" ht="26" customHeight="1" s="1">
      <c r="A339" s="8">
        <f>IF(B339="","",ROW()-2)</f>
        <v/>
      </c>
      <c r="B339" s="9">
        <f>IF('StockList_MS2'!A338="","",HYPERLINK("https://kabutan.jp/stock/?code="&amp;'StockList_MS2'!A338,'StockList_MS2'!A338))</f>
        <v/>
      </c>
      <c r="C339" s="10">
        <f>IF('StockList_MS2'!A338="","",'StockList_MS2'!B338)</f>
        <v/>
      </c>
      <c r="D339" s="11" t="n"/>
      <c r="E339" s="11" t="n"/>
      <c r="F339" s="11" t="n"/>
      <c r="G339" s="11" t="n"/>
      <c r="H339" s="12" t="n"/>
      <c r="I339" s="11" t="n"/>
      <c r="J339" s="11" t="n"/>
      <c r="K339" s="11" t="n"/>
      <c r="L339" s="8">
        <f>IF(D339="","",IF(D339&gt;K339,"BUY-DAY","SELL-DAY"))</f>
        <v/>
      </c>
      <c r="M339" s="13">
        <f>IF(D339="","",MAX(E339-F339,ABS(E339-K339),ABS(F339-K339)))</f>
        <v/>
      </c>
      <c r="N339" s="8">
        <f>IF(D339="","",IF(AND(H339&gt;0,H339&gt;(H339/3)*2.5),"VOL-OK","VOL-NG"))</f>
        <v/>
      </c>
      <c r="O339" s="8">
        <f>IF(D339="","",IF(D339&gt;I339,"ON","OFF"))</f>
        <v/>
      </c>
      <c r="P339" s="8">
        <f>IF(D339="","",IF(D339&lt;J339,"ON","OFF"))</f>
        <v/>
      </c>
      <c r="Q339" s="8">
        <f>IF(OR(D339="",M339&lt;=0),"",IF(AND(L339="BUY-DAY",N339="VOL-OK",P339="ON",Z339="OK",AA339&lt;&gt;"DOWN"),"BUY",IF(AND(L339="SELL-DAY",N339="VOL-OK",O339="ON",Z339="OK",AA339&lt;&gt;"UP"),"SELL","")))</f>
        <v/>
      </c>
      <c r="R339" s="13">
        <f>IF(Q339="","",D339)</f>
        <v/>
      </c>
      <c r="S339" s="13">
        <f>IF(Q339="","",IF(Q339="BUY",D339-M339*1.5,D339+M339*1.5))</f>
        <v/>
      </c>
      <c r="T339" s="13">
        <f>IF(Q339="","",IF(Q339="BUY",D339+M339*1.5,D339-M339*1.5))</f>
        <v/>
      </c>
      <c r="U339" s="13">
        <f>IF(Q339="","",IF(Q339="BUY",D339+M339*2,D339-M339*2))</f>
        <v/>
      </c>
      <c r="V339" s="13">
        <f>IF(Q339="","",IF(Q339="BUY",D339+M339*3,D339-M339*3))</f>
        <v/>
      </c>
      <c r="W339" s="8">
        <f>IF(OR(D339="",M339&lt;=0),"",IF(AND(D339&gt;G339,ABS(D339-G339)&lt;M339*0.5),"2ND","1ST"))</f>
        <v/>
      </c>
      <c r="X339" s="8">
        <f>IF(OR(D339="",M339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39" s="8">
        <f>IF(OR(D339="",M339&lt;=0),"",IF(M339&gt;D339*0.05,"VOL-HIGH","VOL-NORMAL"))</f>
        <v/>
      </c>
      <c r="Z339" s="8">
        <f>IF(OR(D339="",M339&lt;=0),"",IF(AND(N339="VOL-OK",Y339="VOL-NORMAL",W339="2ND"),"OK","NG"))</f>
        <v/>
      </c>
      <c r="AA339" s="8">
        <f>IF(OR(D339="",M339&lt;=0),"",IF(AND(E339&gt;I339,F339&gt;J339),"UP",IF(AND(E339&lt;I339,F339&lt;J339),"DOWN","FLAT")))</f>
        <v/>
      </c>
    </row>
    <row r="340" ht="26" customHeight="1" s="1">
      <c r="A340" s="14">
        <f>IF(B340="","",ROW()-2)</f>
        <v/>
      </c>
      <c r="B340" s="15">
        <f>IF('StockList_MS2'!A339="","",HYPERLINK("https://kabutan.jp/stock/?code="&amp;'StockList_MS2'!A339,'StockList_MS2'!A339))</f>
        <v/>
      </c>
      <c r="C340" s="16">
        <f>IF('StockList_MS2'!A339="","",'StockList_MS2'!B339)</f>
        <v/>
      </c>
      <c r="D340" s="17" t="n"/>
      <c r="E340" s="17" t="n"/>
      <c r="F340" s="17" t="n"/>
      <c r="G340" s="17" t="n"/>
      <c r="H340" s="18" t="n"/>
      <c r="I340" s="17" t="n"/>
      <c r="J340" s="17" t="n"/>
      <c r="K340" s="17" t="n"/>
      <c r="L340" s="14">
        <f>IF(D340="","",IF(D340&gt;K340,"BUY-DAY","SELL-DAY"))</f>
        <v/>
      </c>
      <c r="M340" s="19">
        <f>IF(D340="","",MAX(E340-F340,ABS(E340-K340),ABS(F340-K340)))</f>
        <v/>
      </c>
      <c r="N340" s="14">
        <f>IF(D340="","",IF(AND(H340&gt;0,H340&gt;(H340/3)*2.5),"VOL-OK","VOL-NG"))</f>
        <v/>
      </c>
      <c r="O340" s="14">
        <f>IF(D340="","",IF(D340&gt;I340,"ON","OFF"))</f>
        <v/>
      </c>
      <c r="P340" s="14">
        <f>IF(D340="","",IF(D340&lt;J340,"ON","OFF"))</f>
        <v/>
      </c>
      <c r="Q340" s="14">
        <f>IF(OR(D340="",M340&lt;=0),"",IF(AND(L340="BUY-DAY",N340="VOL-OK",P340="ON",Z340="OK",AA340&lt;&gt;"DOWN"),"BUY",IF(AND(L340="SELL-DAY",N340="VOL-OK",O340="ON",Z340="OK",AA340&lt;&gt;"UP"),"SELL","")))</f>
        <v/>
      </c>
      <c r="R340" s="19">
        <f>IF(Q340="","",D340)</f>
        <v/>
      </c>
      <c r="S340" s="19">
        <f>IF(Q340="","",IF(Q340="BUY",D340-M340*1.5,D340+M340*1.5))</f>
        <v/>
      </c>
      <c r="T340" s="19">
        <f>IF(Q340="","",IF(Q340="BUY",D340+M340*1.5,D340-M340*1.5))</f>
        <v/>
      </c>
      <c r="U340" s="19">
        <f>IF(Q340="","",IF(Q340="BUY",D340+M340*2,D340-M340*2))</f>
        <v/>
      </c>
      <c r="V340" s="19">
        <f>IF(Q340="","",IF(Q340="BUY",D340+M340*3,D340-M340*3))</f>
        <v/>
      </c>
      <c r="W340" s="14">
        <f>IF(OR(D340="",M340&lt;=0),"",IF(AND(D340&gt;G340,ABS(D340-G340)&lt;M340*0.5),"2ND","1ST"))</f>
        <v/>
      </c>
      <c r="X340" s="14">
        <f>IF(OR(D340="",M340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0" s="14">
        <f>IF(OR(D340="",M340&lt;=0),"",IF(M340&gt;D340*0.05,"VOL-HIGH","VOL-NORMAL"))</f>
        <v/>
      </c>
      <c r="Z340" s="14">
        <f>IF(OR(D340="",M340&lt;=0),"",IF(AND(N340="VOL-OK",Y340="VOL-NORMAL",W340="2ND"),"OK","NG"))</f>
        <v/>
      </c>
      <c r="AA340" s="14">
        <f>IF(OR(D340="",M340&lt;=0),"",IF(AND(E340&gt;I340,F340&gt;J340),"UP",IF(AND(E340&lt;I340,F340&lt;J340),"DOWN","FLAT")))</f>
        <v/>
      </c>
    </row>
    <row r="341" ht="26" customHeight="1" s="1">
      <c r="A341" s="8">
        <f>IF(B341="","",ROW()-2)</f>
        <v/>
      </c>
      <c r="B341" s="9">
        <f>IF('StockList_MS2'!A340="","",HYPERLINK("https://kabutan.jp/stock/?code="&amp;'StockList_MS2'!A340,'StockList_MS2'!A340))</f>
        <v/>
      </c>
      <c r="C341" s="10">
        <f>IF('StockList_MS2'!A340="","",'StockList_MS2'!B340)</f>
        <v/>
      </c>
      <c r="D341" s="11" t="n"/>
      <c r="E341" s="11" t="n"/>
      <c r="F341" s="11" t="n"/>
      <c r="G341" s="11" t="n"/>
      <c r="H341" s="12" t="n"/>
      <c r="I341" s="11" t="n"/>
      <c r="J341" s="11" t="n"/>
      <c r="K341" s="11" t="n"/>
      <c r="L341" s="8">
        <f>IF(D341="","",IF(D341&gt;K341,"BUY-DAY","SELL-DAY"))</f>
        <v/>
      </c>
      <c r="M341" s="13">
        <f>IF(D341="","",MAX(E341-F341,ABS(E341-K341),ABS(F341-K341)))</f>
        <v/>
      </c>
      <c r="N341" s="8">
        <f>IF(D341="","",IF(AND(H341&gt;0,H341&gt;(H341/3)*2.5),"VOL-OK","VOL-NG"))</f>
        <v/>
      </c>
      <c r="O341" s="8">
        <f>IF(D341="","",IF(D341&gt;I341,"ON","OFF"))</f>
        <v/>
      </c>
      <c r="P341" s="8">
        <f>IF(D341="","",IF(D341&lt;J341,"ON","OFF"))</f>
        <v/>
      </c>
      <c r="Q341" s="8">
        <f>IF(OR(D341="",M341&lt;=0),"",IF(AND(L341="BUY-DAY",N341="VOL-OK",P341="ON",Z341="OK",AA341&lt;&gt;"DOWN"),"BUY",IF(AND(L341="SELL-DAY",N341="VOL-OK",O341="ON",Z341="OK",AA341&lt;&gt;"UP"),"SELL","")))</f>
        <v/>
      </c>
      <c r="R341" s="13">
        <f>IF(Q341="","",D341)</f>
        <v/>
      </c>
      <c r="S341" s="13">
        <f>IF(Q341="","",IF(Q341="BUY",D341-M341*1.5,D341+M341*1.5))</f>
        <v/>
      </c>
      <c r="T341" s="13">
        <f>IF(Q341="","",IF(Q341="BUY",D341+M341*1.5,D341-M341*1.5))</f>
        <v/>
      </c>
      <c r="U341" s="13">
        <f>IF(Q341="","",IF(Q341="BUY",D341+M341*2,D341-M341*2))</f>
        <v/>
      </c>
      <c r="V341" s="13">
        <f>IF(Q341="","",IF(Q341="BUY",D341+M341*3,D341-M341*3))</f>
        <v/>
      </c>
      <c r="W341" s="8">
        <f>IF(OR(D341="",M341&lt;=0),"",IF(AND(D341&gt;G341,ABS(D341-G341)&lt;M341*0.5),"2ND","1ST"))</f>
        <v/>
      </c>
      <c r="X341" s="8">
        <f>IF(OR(D341="",M341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1" s="8">
        <f>IF(OR(D341="",M341&lt;=0),"",IF(M341&gt;D341*0.05,"VOL-HIGH","VOL-NORMAL"))</f>
        <v/>
      </c>
      <c r="Z341" s="8">
        <f>IF(OR(D341="",M341&lt;=0),"",IF(AND(N341="VOL-OK",Y341="VOL-NORMAL",W341="2ND"),"OK","NG"))</f>
        <v/>
      </c>
      <c r="AA341" s="8">
        <f>IF(OR(D341="",M341&lt;=0),"",IF(AND(E341&gt;I341,F341&gt;J341),"UP",IF(AND(E341&lt;I341,F341&lt;J341),"DOWN","FLAT")))</f>
        <v/>
      </c>
    </row>
    <row r="342" ht="26" customHeight="1" s="1">
      <c r="A342" s="14">
        <f>IF(B342="","",ROW()-2)</f>
        <v/>
      </c>
      <c r="B342" s="15">
        <f>IF('StockList_MS2'!A341="","",HYPERLINK("https://kabutan.jp/stock/?code="&amp;'StockList_MS2'!A341,'StockList_MS2'!A341))</f>
        <v/>
      </c>
      <c r="C342" s="16">
        <f>IF('StockList_MS2'!A341="","",'StockList_MS2'!B341)</f>
        <v/>
      </c>
      <c r="D342" s="17" t="n"/>
      <c r="E342" s="17" t="n"/>
      <c r="F342" s="17" t="n"/>
      <c r="G342" s="17" t="n"/>
      <c r="H342" s="18" t="n"/>
      <c r="I342" s="17" t="n"/>
      <c r="J342" s="17" t="n"/>
      <c r="K342" s="17" t="n"/>
      <c r="L342" s="14">
        <f>IF(D342="","",IF(D342&gt;K342,"BUY-DAY","SELL-DAY"))</f>
        <v/>
      </c>
      <c r="M342" s="19">
        <f>IF(D342="","",MAX(E342-F342,ABS(E342-K342),ABS(F342-K342)))</f>
        <v/>
      </c>
      <c r="N342" s="14">
        <f>IF(D342="","",IF(AND(H342&gt;0,H342&gt;(H342/3)*2.5),"VOL-OK","VOL-NG"))</f>
        <v/>
      </c>
      <c r="O342" s="14">
        <f>IF(D342="","",IF(D342&gt;I342,"ON","OFF"))</f>
        <v/>
      </c>
      <c r="P342" s="14">
        <f>IF(D342="","",IF(D342&lt;J342,"ON","OFF"))</f>
        <v/>
      </c>
      <c r="Q342" s="14">
        <f>IF(OR(D342="",M342&lt;=0),"",IF(AND(L342="BUY-DAY",N342="VOL-OK",P342="ON",Z342="OK",AA342&lt;&gt;"DOWN"),"BUY",IF(AND(L342="SELL-DAY",N342="VOL-OK",O342="ON",Z342="OK",AA342&lt;&gt;"UP"),"SELL","")))</f>
        <v/>
      </c>
      <c r="R342" s="19">
        <f>IF(Q342="","",D342)</f>
        <v/>
      </c>
      <c r="S342" s="19">
        <f>IF(Q342="","",IF(Q342="BUY",D342-M342*1.5,D342+M342*1.5))</f>
        <v/>
      </c>
      <c r="T342" s="19">
        <f>IF(Q342="","",IF(Q342="BUY",D342+M342*1.5,D342-M342*1.5))</f>
        <v/>
      </c>
      <c r="U342" s="19">
        <f>IF(Q342="","",IF(Q342="BUY",D342+M342*2,D342-M342*2))</f>
        <v/>
      </c>
      <c r="V342" s="19">
        <f>IF(Q342="","",IF(Q342="BUY",D342+M342*3,D342-M342*3))</f>
        <v/>
      </c>
      <c r="W342" s="14">
        <f>IF(OR(D342="",M342&lt;=0),"",IF(AND(D342&gt;G342,ABS(D342-G342)&lt;M342*0.5),"2ND","1ST"))</f>
        <v/>
      </c>
      <c r="X342" s="14">
        <f>IF(OR(D342="",M342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2" s="14">
        <f>IF(OR(D342="",M342&lt;=0),"",IF(M342&gt;D342*0.05,"VOL-HIGH","VOL-NORMAL"))</f>
        <v/>
      </c>
      <c r="Z342" s="14">
        <f>IF(OR(D342="",M342&lt;=0),"",IF(AND(N342="VOL-OK",Y342="VOL-NORMAL",W342="2ND"),"OK","NG"))</f>
        <v/>
      </c>
      <c r="AA342" s="14">
        <f>IF(OR(D342="",M342&lt;=0),"",IF(AND(E342&gt;I342,F342&gt;J342),"UP",IF(AND(E342&lt;I342,F342&lt;J342),"DOWN","FLAT")))</f>
        <v/>
      </c>
    </row>
    <row r="343" ht="26" customHeight="1" s="1">
      <c r="A343" s="8">
        <f>IF(B343="","",ROW()-2)</f>
        <v/>
      </c>
      <c r="B343" s="9">
        <f>IF('StockList_MS2'!A342="","",HYPERLINK("https://kabutan.jp/stock/?code="&amp;'StockList_MS2'!A342,'StockList_MS2'!A342))</f>
        <v/>
      </c>
      <c r="C343" s="10">
        <f>IF('StockList_MS2'!A342="","",'StockList_MS2'!B342)</f>
        <v/>
      </c>
      <c r="D343" s="11" t="n"/>
      <c r="E343" s="11" t="n"/>
      <c r="F343" s="11" t="n"/>
      <c r="G343" s="11" t="n"/>
      <c r="H343" s="12" t="n"/>
      <c r="I343" s="11" t="n"/>
      <c r="J343" s="11" t="n"/>
      <c r="K343" s="11" t="n"/>
      <c r="L343" s="8">
        <f>IF(D343="","",IF(D343&gt;K343,"BUY-DAY","SELL-DAY"))</f>
        <v/>
      </c>
      <c r="M343" s="13">
        <f>IF(D343="","",MAX(E343-F343,ABS(E343-K343),ABS(F343-K343)))</f>
        <v/>
      </c>
      <c r="N343" s="8">
        <f>IF(D343="","",IF(AND(H343&gt;0,H343&gt;(H343/3)*2.5),"VOL-OK","VOL-NG"))</f>
        <v/>
      </c>
      <c r="O343" s="8">
        <f>IF(D343="","",IF(D343&gt;I343,"ON","OFF"))</f>
        <v/>
      </c>
      <c r="P343" s="8">
        <f>IF(D343="","",IF(D343&lt;J343,"ON","OFF"))</f>
        <v/>
      </c>
      <c r="Q343" s="8">
        <f>IF(OR(D343="",M343&lt;=0),"",IF(AND(L343="BUY-DAY",N343="VOL-OK",P343="ON",Z343="OK",AA343&lt;&gt;"DOWN"),"BUY",IF(AND(L343="SELL-DAY",N343="VOL-OK",O343="ON",Z343="OK",AA343&lt;&gt;"UP"),"SELL","")))</f>
        <v/>
      </c>
      <c r="R343" s="13">
        <f>IF(Q343="","",D343)</f>
        <v/>
      </c>
      <c r="S343" s="13">
        <f>IF(Q343="","",IF(Q343="BUY",D343-M343*1.5,D343+M343*1.5))</f>
        <v/>
      </c>
      <c r="T343" s="13">
        <f>IF(Q343="","",IF(Q343="BUY",D343+M343*1.5,D343-M343*1.5))</f>
        <v/>
      </c>
      <c r="U343" s="13">
        <f>IF(Q343="","",IF(Q343="BUY",D343+M343*2,D343-M343*2))</f>
        <v/>
      </c>
      <c r="V343" s="13">
        <f>IF(Q343="","",IF(Q343="BUY",D343+M343*3,D343-M343*3))</f>
        <v/>
      </c>
      <c r="W343" s="8">
        <f>IF(OR(D343="",M343&lt;=0),"",IF(AND(D343&gt;G343,ABS(D343-G343)&lt;M343*0.5),"2ND","1ST"))</f>
        <v/>
      </c>
      <c r="X343" s="8">
        <f>IF(OR(D343="",M343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3" s="8">
        <f>IF(OR(D343="",M343&lt;=0),"",IF(M343&gt;D343*0.05,"VOL-HIGH","VOL-NORMAL"))</f>
        <v/>
      </c>
      <c r="Z343" s="8">
        <f>IF(OR(D343="",M343&lt;=0),"",IF(AND(N343="VOL-OK",Y343="VOL-NORMAL",W343="2ND"),"OK","NG"))</f>
        <v/>
      </c>
      <c r="AA343" s="8">
        <f>IF(OR(D343="",M343&lt;=0),"",IF(AND(E343&gt;I343,F343&gt;J343),"UP",IF(AND(E343&lt;I343,F343&lt;J343),"DOWN","FLAT")))</f>
        <v/>
      </c>
    </row>
    <row r="344" ht="26" customHeight="1" s="1">
      <c r="A344" s="14">
        <f>IF(B344="","",ROW()-2)</f>
        <v/>
      </c>
      <c r="B344" s="15">
        <f>IF('StockList_MS2'!A343="","",HYPERLINK("https://kabutan.jp/stock/?code="&amp;'StockList_MS2'!A343,'StockList_MS2'!A343))</f>
        <v/>
      </c>
      <c r="C344" s="16">
        <f>IF('StockList_MS2'!A343="","",'StockList_MS2'!B343)</f>
        <v/>
      </c>
      <c r="D344" s="17" t="n"/>
      <c r="E344" s="17" t="n"/>
      <c r="F344" s="17" t="n"/>
      <c r="G344" s="17" t="n"/>
      <c r="H344" s="18" t="n"/>
      <c r="I344" s="17" t="n"/>
      <c r="J344" s="17" t="n"/>
      <c r="K344" s="17" t="n"/>
      <c r="L344" s="14">
        <f>IF(D344="","",IF(D344&gt;K344,"BUY-DAY","SELL-DAY"))</f>
        <v/>
      </c>
      <c r="M344" s="19">
        <f>IF(D344="","",MAX(E344-F344,ABS(E344-K344),ABS(F344-K344)))</f>
        <v/>
      </c>
      <c r="N344" s="14">
        <f>IF(D344="","",IF(AND(H344&gt;0,H344&gt;(H344/3)*2.5),"VOL-OK","VOL-NG"))</f>
        <v/>
      </c>
      <c r="O344" s="14">
        <f>IF(D344="","",IF(D344&gt;I344,"ON","OFF"))</f>
        <v/>
      </c>
      <c r="P344" s="14">
        <f>IF(D344="","",IF(D344&lt;J344,"ON","OFF"))</f>
        <v/>
      </c>
      <c r="Q344" s="14">
        <f>IF(OR(D344="",M344&lt;=0),"",IF(AND(L344="BUY-DAY",N344="VOL-OK",P344="ON",Z344="OK",AA344&lt;&gt;"DOWN"),"BUY",IF(AND(L344="SELL-DAY",N344="VOL-OK",O344="ON",Z344="OK",AA344&lt;&gt;"UP"),"SELL","")))</f>
        <v/>
      </c>
      <c r="R344" s="19">
        <f>IF(Q344="","",D344)</f>
        <v/>
      </c>
      <c r="S344" s="19">
        <f>IF(Q344="","",IF(Q344="BUY",D344-M344*1.5,D344+M344*1.5))</f>
        <v/>
      </c>
      <c r="T344" s="19">
        <f>IF(Q344="","",IF(Q344="BUY",D344+M344*1.5,D344-M344*1.5))</f>
        <v/>
      </c>
      <c r="U344" s="19">
        <f>IF(Q344="","",IF(Q344="BUY",D344+M344*2,D344-M344*2))</f>
        <v/>
      </c>
      <c r="V344" s="19">
        <f>IF(Q344="","",IF(Q344="BUY",D344+M344*3,D344-M344*3))</f>
        <v/>
      </c>
      <c r="W344" s="14">
        <f>IF(OR(D344="",M344&lt;=0),"",IF(AND(D344&gt;G344,ABS(D344-G344)&lt;M344*0.5),"2ND","1ST"))</f>
        <v/>
      </c>
      <c r="X344" s="14">
        <f>IF(OR(D344="",M344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4" s="14">
        <f>IF(OR(D344="",M344&lt;=0),"",IF(M344&gt;D344*0.05,"VOL-HIGH","VOL-NORMAL"))</f>
        <v/>
      </c>
      <c r="Z344" s="14">
        <f>IF(OR(D344="",M344&lt;=0),"",IF(AND(N344="VOL-OK",Y344="VOL-NORMAL",W344="2ND"),"OK","NG"))</f>
        <v/>
      </c>
      <c r="AA344" s="14">
        <f>IF(OR(D344="",M344&lt;=0),"",IF(AND(E344&gt;I344,F344&gt;J344),"UP",IF(AND(E344&lt;I344,F344&lt;J344),"DOWN","FLAT")))</f>
        <v/>
      </c>
    </row>
    <row r="345" ht="26" customHeight="1" s="1">
      <c r="A345" s="8">
        <f>IF(B345="","",ROW()-2)</f>
        <v/>
      </c>
      <c r="B345" s="9">
        <f>IF('StockList_MS2'!A344="","",HYPERLINK("https://kabutan.jp/stock/?code="&amp;'StockList_MS2'!A344,'StockList_MS2'!A344))</f>
        <v/>
      </c>
      <c r="C345" s="10">
        <f>IF('StockList_MS2'!A344="","",'StockList_MS2'!B344)</f>
        <v/>
      </c>
      <c r="D345" s="11" t="n"/>
      <c r="E345" s="11" t="n"/>
      <c r="F345" s="11" t="n"/>
      <c r="G345" s="11" t="n"/>
      <c r="H345" s="12" t="n"/>
      <c r="I345" s="11" t="n"/>
      <c r="J345" s="11" t="n"/>
      <c r="K345" s="11" t="n"/>
      <c r="L345" s="8">
        <f>IF(D345="","",IF(D345&gt;K345,"BUY-DAY","SELL-DAY"))</f>
        <v/>
      </c>
      <c r="M345" s="13">
        <f>IF(D345="","",MAX(E345-F345,ABS(E345-K345),ABS(F345-K345)))</f>
        <v/>
      </c>
      <c r="N345" s="8">
        <f>IF(D345="","",IF(AND(H345&gt;0,H345&gt;(H345/3)*2.5),"VOL-OK","VOL-NG"))</f>
        <v/>
      </c>
      <c r="O345" s="8">
        <f>IF(D345="","",IF(D345&gt;I345,"ON","OFF"))</f>
        <v/>
      </c>
      <c r="P345" s="8">
        <f>IF(D345="","",IF(D345&lt;J345,"ON","OFF"))</f>
        <v/>
      </c>
      <c r="Q345" s="8">
        <f>IF(OR(D345="",M345&lt;=0),"",IF(AND(L345="BUY-DAY",N345="VOL-OK",P345="ON",Z345="OK",AA345&lt;&gt;"DOWN"),"BUY",IF(AND(L345="SELL-DAY",N345="VOL-OK",O345="ON",Z345="OK",AA345&lt;&gt;"UP"),"SELL","")))</f>
        <v/>
      </c>
      <c r="R345" s="13">
        <f>IF(Q345="","",D345)</f>
        <v/>
      </c>
      <c r="S345" s="13">
        <f>IF(Q345="","",IF(Q345="BUY",D345-M345*1.5,D345+M345*1.5))</f>
        <v/>
      </c>
      <c r="T345" s="13">
        <f>IF(Q345="","",IF(Q345="BUY",D345+M345*1.5,D345-M345*1.5))</f>
        <v/>
      </c>
      <c r="U345" s="13">
        <f>IF(Q345="","",IF(Q345="BUY",D345+M345*2,D345-M345*2))</f>
        <v/>
      </c>
      <c r="V345" s="13">
        <f>IF(Q345="","",IF(Q345="BUY",D345+M345*3,D345-M345*3))</f>
        <v/>
      </c>
      <c r="W345" s="8">
        <f>IF(OR(D345="",M345&lt;=0),"",IF(AND(D345&gt;G345,ABS(D345-G345)&lt;M345*0.5),"2ND","1ST"))</f>
        <v/>
      </c>
      <c r="X345" s="8">
        <f>IF(OR(D345="",M345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5" s="8">
        <f>IF(OR(D345="",M345&lt;=0),"",IF(M345&gt;D345*0.05,"VOL-HIGH","VOL-NORMAL"))</f>
        <v/>
      </c>
      <c r="Z345" s="8">
        <f>IF(OR(D345="",M345&lt;=0),"",IF(AND(N345="VOL-OK",Y345="VOL-NORMAL",W345="2ND"),"OK","NG"))</f>
        <v/>
      </c>
      <c r="AA345" s="8">
        <f>IF(OR(D345="",M345&lt;=0),"",IF(AND(E345&gt;I345,F345&gt;J345),"UP",IF(AND(E345&lt;I345,F345&lt;J345),"DOWN","FLAT")))</f>
        <v/>
      </c>
    </row>
    <row r="346" ht="26" customHeight="1" s="1">
      <c r="A346" s="14">
        <f>IF(B346="","",ROW()-2)</f>
        <v/>
      </c>
      <c r="B346" s="15">
        <f>IF('StockList_MS2'!A345="","",HYPERLINK("https://kabutan.jp/stock/?code="&amp;'StockList_MS2'!A345,'StockList_MS2'!A345))</f>
        <v/>
      </c>
      <c r="C346" s="16">
        <f>IF('StockList_MS2'!A345="","",'StockList_MS2'!B345)</f>
        <v/>
      </c>
      <c r="D346" s="17" t="n"/>
      <c r="E346" s="17" t="n"/>
      <c r="F346" s="17" t="n"/>
      <c r="G346" s="17" t="n"/>
      <c r="H346" s="18" t="n"/>
      <c r="I346" s="17" t="n"/>
      <c r="J346" s="17" t="n"/>
      <c r="K346" s="17" t="n"/>
      <c r="L346" s="14">
        <f>IF(D346="","",IF(D346&gt;K346,"BUY-DAY","SELL-DAY"))</f>
        <v/>
      </c>
      <c r="M346" s="19">
        <f>IF(D346="","",MAX(E346-F346,ABS(E346-K346),ABS(F346-K346)))</f>
        <v/>
      </c>
      <c r="N346" s="14">
        <f>IF(D346="","",IF(AND(H346&gt;0,H346&gt;(H346/3)*2.5),"VOL-OK","VOL-NG"))</f>
        <v/>
      </c>
      <c r="O346" s="14">
        <f>IF(D346="","",IF(D346&gt;I346,"ON","OFF"))</f>
        <v/>
      </c>
      <c r="P346" s="14">
        <f>IF(D346="","",IF(D346&lt;J346,"ON","OFF"))</f>
        <v/>
      </c>
      <c r="Q346" s="14">
        <f>IF(OR(D346="",M346&lt;=0),"",IF(AND(L346="BUY-DAY",N346="VOL-OK",P346="ON",Z346="OK",AA346&lt;&gt;"DOWN"),"BUY",IF(AND(L346="SELL-DAY",N346="VOL-OK",O346="ON",Z346="OK",AA346&lt;&gt;"UP"),"SELL","")))</f>
        <v/>
      </c>
      <c r="R346" s="19">
        <f>IF(Q346="","",D346)</f>
        <v/>
      </c>
      <c r="S346" s="19">
        <f>IF(Q346="","",IF(Q346="BUY",D346-M346*1.5,D346+M346*1.5))</f>
        <v/>
      </c>
      <c r="T346" s="19">
        <f>IF(Q346="","",IF(Q346="BUY",D346+M346*1.5,D346-M346*1.5))</f>
        <v/>
      </c>
      <c r="U346" s="19">
        <f>IF(Q346="","",IF(Q346="BUY",D346+M346*2,D346-M346*2))</f>
        <v/>
      </c>
      <c r="V346" s="19">
        <f>IF(Q346="","",IF(Q346="BUY",D346+M346*3,D346-M346*3))</f>
        <v/>
      </c>
      <c r="W346" s="14">
        <f>IF(OR(D346="",M346&lt;=0),"",IF(AND(D346&gt;G346,ABS(D346-G346)&lt;M346*0.5),"2ND","1ST"))</f>
        <v/>
      </c>
      <c r="X346" s="14">
        <f>IF(OR(D346="",M346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6" s="14">
        <f>IF(OR(D346="",M346&lt;=0),"",IF(M346&gt;D346*0.05,"VOL-HIGH","VOL-NORMAL"))</f>
        <v/>
      </c>
      <c r="Z346" s="14">
        <f>IF(OR(D346="",M346&lt;=0),"",IF(AND(N346="VOL-OK",Y346="VOL-NORMAL",W346="2ND"),"OK","NG"))</f>
        <v/>
      </c>
      <c r="AA346" s="14">
        <f>IF(OR(D346="",M346&lt;=0),"",IF(AND(E346&gt;I346,F346&gt;J346),"UP",IF(AND(E346&lt;I346,F346&lt;J346),"DOWN","FLAT")))</f>
        <v/>
      </c>
    </row>
    <row r="347" ht="26" customHeight="1" s="1">
      <c r="A347" s="8">
        <f>IF(B347="","",ROW()-2)</f>
        <v/>
      </c>
      <c r="B347" s="9">
        <f>IF('StockList_MS2'!A346="","",HYPERLINK("https://kabutan.jp/stock/?code="&amp;'StockList_MS2'!A346,'StockList_MS2'!A346))</f>
        <v/>
      </c>
      <c r="C347" s="10">
        <f>IF('StockList_MS2'!A346="","",'StockList_MS2'!B346)</f>
        <v/>
      </c>
      <c r="D347" s="11" t="n"/>
      <c r="E347" s="11" t="n"/>
      <c r="F347" s="11" t="n"/>
      <c r="G347" s="11" t="n"/>
      <c r="H347" s="12" t="n"/>
      <c r="I347" s="11" t="n"/>
      <c r="J347" s="11" t="n"/>
      <c r="K347" s="11" t="n"/>
      <c r="L347" s="8">
        <f>IF(D347="","",IF(D347&gt;K347,"BUY-DAY","SELL-DAY"))</f>
        <v/>
      </c>
      <c r="M347" s="13">
        <f>IF(D347="","",MAX(E347-F347,ABS(E347-K347),ABS(F347-K347)))</f>
        <v/>
      </c>
      <c r="N347" s="8">
        <f>IF(D347="","",IF(AND(H347&gt;0,H347&gt;(H347/3)*2.5),"VOL-OK","VOL-NG"))</f>
        <v/>
      </c>
      <c r="O347" s="8">
        <f>IF(D347="","",IF(D347&gt;I347,"ON","OFF"))</f>
        <v/>
      </c>
      <c r="P347" s="8">
        <f>IF(D347="","",IF(D347&lt;J347,"ON","OFF"))</f>
        <v/>
      </c>
      <c r="Q347" s="8">
        <f>IF(OR(D347="",M347&lt;=0),"",IF(AND(L347="BUY-DAY",N347="VOL-OK",P347="ON",Z347="OK",AA347&lt;&gt;"DOWN"),"BUY",IF(AND(L347="SELL-DAY",N347="VOL-OK",O347="ON",Z347="OK",AA347&lt;&gt;"UP"),"SELL","")))</f>
        <v/>
      </c>
      <c r="R347" s="13">
        <f>IF(Q347="","",D347)</f>
        <v/>
      </c>
      <c r="S347" s="13">
        <f>IF(Q347="","",IF(Q347="BUY",D347-M347*1.5,D347+M347*1.5))</f>
        <v/>
      </c>
      <c r="T347" s="13">
        <f>IF(Q347="","",IF(Q347="BUY",D347+M347*1.5,D347-M347*1.5))</f>
        <v/>
      </c>
      <c r="U347" s="13">
        <f>IF(Q347="","",IF(Q347="BUY",D347+M347*2,D347-M347*2))</f>
        <v/>
      </c>
      <c r="V347" s="13">
        <f>IF(Q347="","",IF(Q347="BUY",D347+M347*3,D347-M347*3))</f>
        <v/>
      </c>
      <c r="W347" s="8">
        <f>IF(OR(D347="",M347&lt;=0),"",IF(AND(D347&gt;G347,ABS(D347-G347)&lt;M347*0.5),"2ND","1ST"))</f>
        <v/>
      </c>
      <c r="X347" s="8">
        <f>IF(OR(D347="",M347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7" s="8">
        <f>IF(OR(D347="",M347&lt;=0),"",IF(M347&gt;D347*0.05,"VOL-HIGH","VOL-NORMAL"))</f>
        <v/>
      </c>
      <c r="Z347" s="8">
        <f>IF(OR(D347="",M347&lt;=0),"",IF(AND(N347="VOL-OK",Y347="VOL-NORMAL",W347="2ND"),"OK","NG"))</f>
        <v/>
      </c>
      <c r="AA347" s="8">
        <f>IF(OR(D347="",M347&lt;=0),"",IF(AND(E347&gt;I347,F347&gt;J347),"UP",IF(AND(E347&lt;I347,F347&lt;J347),"DOWN","FLAT")))</f>
        <v/>
      </c>
    </row>
    <row r="348" ht="26" customHeight="1" s="1">
      <c r="A348" s="14">
        <f>IF(B348="","",ROW()-2)</f>
        <v/>
      </c>
      <c r="B348" s="15">
        <f>IF('StockList_MS2'!A347="","",HYPERLINK("https://kabutan.jp/stock/?code="&amp;'StockList_MS2'!A347,'StockList_MS2'!A347))</f>
        <v/>
      </c>
      <c r="C348" s="16">
        <f>IF('StockList_MS2'!A347="","",'StockList_MS2'!B347)</f>
        <v/>
      </c>
      <c r="D348" s="17" t="n"/>
      <c r="E348" s="17" t="n"/>
      <c r="F348" s="17" t="n"/>
      <c r="G348" s="17" t="n"/>
      <c r="H348" s="18" t="n"/>
      <c r="I348" s="17" t="n"/>
      <c r="J348" s="17" t="n"/>
      <c r="K348" s="17" t="n"/>
      <c r="L348" s="14">
        <f>IF(D348="","",IF(D348&gt;K348,"BUY-DAY","SELL-DAY"))</f>
        <v/>
      </c>
      <c r="M348" s="19">
        <f>IF(D348="","",MAX(E348-F348,ABS(E348-K348),ABS(F348-K348)))</f>
        <v/>
      </c>
      <c r="N348" s="14">
        <f>IF(D348="","",IF(AND(H348&gt;0,H348&gt;(H348/3)*2.5),"VOL-OK","VOL-NG"))</f>
        <v/>
      </c>
      <c r="O348" s="14">
        <f>IF(D348="","",IF(D348&gt;I348,"ON","OFF"))</f>
        <v/>
      </c>
      <c r="P348" s="14">
        <f>IF(D348="","",IF(D348&lt;J348,"ON","OFF"))</f>
        <v/>
      </c>
      <c r="Q348" s="14">
        <f>IF(OR(D348="",M348&lt;=0),"",IF(AND(L348="BUY-DAY",N348="VOL-OK",P348="ON",Z348="OK",AA348&lt;&gt;"DOWN"),"BUY",IF(AND(L348="SELL-DAY",N348="VOL-OK",O348="ON",Z348="OK",AA348&lt;&gt;"UP"),"SELL","")))</f>
        <v/>
      </c>
      <c r="R348" s="19">
        <f>IF(Q348="","",D348)</f>
        <v/>
      </c>
      <c r="S348" s="19">
        <f>IF(Q348="","",IF(Q348="BUY",D348-M348*1.5,D348+M348*1.5))</f>
        <v/>
      </c>
      <c r="T348" s="19">
        <f>IF(Q348="","",IF(Q348="BUY",D348+M348*1.5,D348-M348*1.5))</f>
        <v/>
      </c>
      <c r="U348" s="19">
        <f>IF(Q348="","",IF(Q348="BUY",D348+M348*2,D348-M348*2))</f>
        <v/>
      </c>
      <c r="V348" s="19">
        <f>IF(Q348="","",IF(Q348="BUY",D348+M348*3,D348-M348*3))</f>
        <v/>
      </c>
      <c r="W348" s="14">
        <f>IF(OR(D348="",M348&lt;=0),"",IF(AND(D348&gt;G348,ABS(D348-G348)&lt;M348*0.5),"2ND","1ST"))</f>
        <v/>
      </c>
      <c r="X348" s="14">
        <f>IF(OR(D348="",M348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8" s="14">
        <f>IF(OR(D348="",M348&lt;=0),"",IF(M348&gt;D348*0.05,"VOL-HIGH","VOL-NORMAL"))</f>
        <v/>
      </c>
      <c r="Z348" s="14">
        <f>IF(OR(D348="",M348&lt;=0),"",IF(AND(N348="VOL-OK",Y348="VOL-NORMAL",W348="2ND"),"OK","NG"))</f>
        <v/>
      </c>
      <c r="AA348" s="14">
        <f>IF(OR(D348="",M348&lt;=0),"",IF(AND(E348&gt;I348,F348&gt;J348),"UP",IF(AND(E348&lt;I348,F348&lt;J348),"DOWN","FLAT")))</f>
        <v/>
      </c>
    </row>
    <row r="349" ht="26" customHeight="1" s="1">
      <c r="A349" s="8">
        <f>IF(B349="","",ROW()-2)</f>
        <v/>
      </c>
      <c r="B349" s="9">
        <f>IF('StockList_MS2'!A348="","",HYPERLINK("https://kabutan.jp/stock/?code="&amp;'StockList_MS2'!A348,'StockList_MS2'!A348))</f>
        <v/>
      </c>
      <c r="C349" s="10">
        <f>IF('StockList_MS2'!A348="","",'StockList_MS2'!B348)</f>
        <v/>
      </c>
      <c r="D349" s="11" t="n"/>
      <c r="E349" s="11" t="n"/>
      <c r="F349" s="11" t="n"/>
      <c r="G349" s="11" t="n"/>
      <c r="H349" s="12" t="n"/>
      <c r="I349" s="11" t="n"/>
      <c r="J349" s="11" t="n"/>
      <c r="K349" s="11" t="n"/>
      <c r="L349" s="8">
        <f>IF(D349="","",IF(D349&gt;K349,"BUY-DAY","SELL-DAY"))</f>
        <v/>
      </c>
      <c r="M349" s="13">
        <f>IF(D349="","",MAX(E349-F349,ABS(E349-K349),ABS(F349-K349)))</f>
        <v/>
      </c>
      <c r="N349" s="8">
        <f>IF(D349="","",IF(AND(H349&gt;0,H349&gt;(H349/3)*2.5),"VOL-OK","VOL-NG"))</f>
        <v/>
      </c>
      <c r="O349" s="8">
        <f>IF(D349="","",IF(D349&gt;I349,"ON","OFF"))</f>
        <v/>
      </c>
      <c r="P349" s="8">
        <f>IF(D349="","",IF(D349&lt;J349,"ON","OFF"))</f>
        <v/>
      </c>
      <c r="Q349" s="8">
        <f>IF(OR(D349="",M349&lt;=0),"",IF(AND(L349="BUY-DAY",N349="VOL-OK",P349="ON",Z349="OK",AA349&lt;&gt;"DOWN"),"BUY",IF(AND(L349="SELL-DAY",N349="VOL-OK",O349="ON",Z349="OK",AA349&lt;&gt;"UP"),"SELL","")))</f>
        <v/>
      </c>
      <c r="R349" s="13">
        <f>IF(Q349="","",D349)</f>
        <v/>
      </c>
      <c r="S349" s="13">
        <f>IF(Q349="","",IF(Q349="BUY",D349-M349*1.5,D349+M349*1.5))</f>
        <v/>
      </c>
      <c r="T349" s="13">
        <f>IF(Q349="","",IF(Q349="BUY",D349+M349*1.5,D349-M349*1.5))</f>
        <v/>
      </c>
      <c r="U349" s="13">
        <f>IF(Q349="","",IF(Q349="BUY",D349+M349*2,D349-M349*2))</f>
        <v/>
      </c>
      <c r="V349" s="13">
        <f>IF(Q349="","",IF(Q349="BUY",D349+M349*3,D349-M349*3))</f>
        <v/>
      </c>
      <c r="W349" s="8">
        <f>IF(OR(D349="",M349&lt;=0),"",IF(AND(D349&gt;G349,ABS(D349-G349)&lt;M349*0.5),"2ND","1ST"))</f>
        <v/>
      </c>
      <c r="X349" s="8">
        <f>IF(OR(D349="",M349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49" s="8">
        <f>IF(OR(D349="",M349&lt;=0),"",IF(M349&gt;D349*0.05,"VOL-HIGH","VOL-NORMAL"))</f>
        <v/>
      </c>
      <c r="Z349" s="8">
        <f>IF(OR(D349="",M349&lt;=0),"",IF(AND(N349="VOL-OK",Y349="VOL-NORMAL",W349="2ND"),"OK","NG"))</f>
        <v/>
      </c>
      <c r="AA349" s="8">
        <f>IF(OR(D349="",M349&lt;=0),"",IF(AND(E349&gt;I349,F349&gt;J349),"UP",IF(AND(E349&lt;I349,F349&lt;J349),"DOWN","FLAT")))</f>
        <v/>
      </c>
    </row>
    <row r="350" ht="26" customHeight="1" s="1">
      <c r="A350" s="14">
        <f>IF(B350="","",ROW()-2)</f>
        <v/>
      </c>
      <c r="B350" s="15">
        <f>IF('StockList_MS2'!A349="","",HYPERLINK("https://kabutan.jp/stock/?code="&amp;'StockList_MS2'!A349,'StockList_MS2'!A349))</f>
        <v/>
      </c>
      <c r="C350" s="16">
        <f>IF('StockList_MS2'!A349="","",'StockList_MS2'!B349)</f>
        <v/>
      </c>
      <c r="D350" s="17" t="n"/>
      <c r="E350" s="17" t="n"/>
      <c r="F350" s="17" t="n"/>
      <c r="G350" s="17" t="n"/>
      <c r="H350" s="18" t="n"/>
      <c r="I350" s="17" t="n"/>
      <c r="J350" s="17" t="n"/>
      <c r="K350" s="17" t="n"/>
      <c r="L350" s="14">
        <f>IF(D350="","",IF(D350&gt;K350,"BUY-DAY","SELL-DAY"))</f>
        <v/>
      </c>
      <c r="M350" s="19">
        <f>IF(D350="","",MAX(E350-F350,ABS(E350-K350),ABS(F350-K350)))</f>
        <v/>
      </c>
      <c r="N350" s="14">
        <f>IF(D350="","",IF(AND(H350&gt;0,H350&gt;(H350/3)*2.5),"VOL-OK","VOL-NG"))</f>
        <v/>
      </c>
      <c r="O350" s="14">
        <f>IF(D350="","",IF(D350&gt;I350,"ON","OFF"))</f>
        <v/>
      </c>
      <c r="P350" s="14">
        <f>IF(D350="","",IF(D350&lt;J350,"ON","OFF"))</f>
        <v/>
      </c>
      <c r="Q350" s="14">
        <f>IF(OR(D350="",M350&lt;=0),"",IF(AND(L350="BUY-DAY",N350="VOL-OK",P350="ON",Z350="OK",AA350&lt;&gt;"DOWN"),"BUY",IF(AND(L350="SELL-DAY",N350="VOL-OK",O350="ON",Z350="OK",AA350&lt;&gt;"UP"),"SELL","")))</f>
        <v/>
      </c>
      <c r="R350" s="19">
        <f>IF(Q350="","",D350)</f>
        <v/>
      </c>
      <c r="S350" s="19">
        <f>IF(Q350="","",IF(Q350="BUY",D350-M350*1.5,D350+M350*1.5))</f>
        <v/>
      </c>
      <c r="T350" s="19">
        <f>IF(Q350="","",IF(Q350="BUY",D350+M350*1.5,D350-M350*1.5))</f>
        <v/>
      </c>
      <c r="U350" s="19">
        <f>IF(Q350="","",IF(Q350="BUY",D350+M350*2,D350-M350*2))</f>
        <v/>
      </c>
      <c r="V350" s="19">
        <f>IF(Q350="","",IF(Q350="BUY",D350+M350*3,D350-M350*3))</f>
        <v/>
      </c>
      <c r="W350" s="14">
        <f>IF(OR(D350="",M350&lt;=0),"",IF(AND(D350&gt;G350,ABS(D350-G350)&lt;M350*0.5),"2ND","1ST"))</f>
        <v/>
      </c>
      <c r="X350" s="14">
        <f>IF(OR(D350="",M350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50" s="14">
        <f>IF(OR(D350="",M350&lt;=0),"",IF(M350&gt;D350*0.05,"VOL-HIGH","VOL-NORMAL"))</f>
        <v/>
      </c>
      <c r="Z350" s="14">
        <f>IF(OR(D350="",M350&lt;=0),"",IF(AND(N350="VOL-OK",Y350="VOL-NORMAL",W350="2ND"),"OK","NG"))</f>
        <v/>
      </c>
      <c r="AA350" s="14">
        <f>IF(OR(D350="",M350&lt;=0),"",IF(AND(E350&gt;I350,F350&gt;J350),"UP",IF(AND(E350&lt;I350,F350&lt;J350),"DOWN","FLAT")))</f>
        <v/>
      </c>
    </row>
    <row r="351" ht="26" customHeight="1" s="1">
      <c r="A351" s="8">
        <f>IF(B351="","",ROW()-2)</f>
        <v/>
      </c>
      <c r="B351" s="9">
        <f>IF('StockList_MS2'!A350="","",HYPERLINK("https://kabutan.jp/stock/?code="&amp;'StockList_MS2'!A350,'StockList_MS2'!A350))</f>
        <v/>
      </c>
      <c r="C351" s="10">
        <f>IF('StockList_MS2'!A350="","",'StockList_MS2'!B350)</f>
        <v/>
      </c>
      <c r="D351" s="11" t="n"/>
      <c r="E351" s="11" t="n"/>
      <c r="F351" s="11" t="n"/>
      <c r="G351" s="11" t="n"/>
      <c r="H351" s="12" t="n"/>
      <c r="I351" s="11" t="n"/>
      <c r="J351" s="11" t="n"/>
      <c r="K351" s="11" t="n"/>
      <c r="L351" s="8">
        <f>IF(D351="","",IF(D351&gt;K351,"BUY-DAY","SELL-DAY"))</f>
        <v/>
      </c>
      <c r="M351" s="13">
        <f>IF(D351="","",MAX(E351-F351,ABS(E351-K351),ABS(F351-K351)))</f>
        <v/>
      </c>
      <c r="N351" s="8">
        <f>IF(D351="","",IF(AND(H351&gt;0,H351&gt;(H351/3)*2.5),"VOL-OK","VOL-NG"))</f>
        <v/>
      </c>
      <c r="O351" s="8">
        <f>IF(D351="","",IF(D351&gt;I351,"ON","OFF"))</f>
        <v/>
      </c>
      <c r="P351" s="8">
        <f>IF(D351="","",IF(D351&lt;J351,"ON","OFF"))</f>
        <v/>
      </c>
      <c r="Q351" s="8">
        <f>IF(OR(D351="",M351&lt;=0),"",IF(AND(L351="BUY-DAY",N351="VOL-OK",P351="ON",Z351="OK",AA351&lt;&gt;"DOWN"),"BUY",IF(AND(L351="SELL-DAY",N351="VOL-OK",O351="ON",Z351="OK",AA351&lt;&gt;"UP"),"SELL","")))</f>
        <v/>
      </c>
      <c r="R351" s="13">
        <f>IF(Q351="","",D351)</f>
        <v/>
      </c>
      <c r="S351" s="13">
        <f>IF(Q351="","",IF(Q351="BUY",D351-M351*1.5,D351+M351*1.5))</f>
        <v/>
      </c>
      <c r="T351" s="13">
        <f>IF(Q351="","",IF(Q351="BUY",D351+M351*1.5,D351-M351*1.5))</f>
        <v/>
      </c>
      <c r="U351" s="13">
        <f>IF(Q351="","",IF(Q351="BUY",D351+M351*2,D351-M351*2))</f>
        <v/>
      </c>
      <c r="V351" s="13">
        <f>IF(Q351="","",IF(Q351="BUY",D351+M351*3,D351-M351*3))</f>
        <v/>
      </c>
      <c r="W351" s="8">
        <f>IF(OR(D351="",M351&lt;=0),"",IF(AND(D351&gt;G351,ABS(D351-G351)&lt;M351*0.5),"2ND","1ST"))</f>
        <v/>
      </c>
      <c r="X351" s="8">
        <f>IF(OR(D351="",M351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51" s="8">
        <f>IF(OR(D351="",M351&lt;=0),"",IF(M351&gt;D351*0.05,"VOL-HIGH","VOL-NORMAL"))</f>
        <v/>
      </c>
      <c r="Z351" s="8">
        <f>IF(OR(D351="",M351&lt;=0),"",IF(AND(N351="VOL-OK",Y351="VOL-NORMAL",W351="2ND"),"OK","NG"))</f>
        <v/>
      </c>
      <c r="AA351" s="8">
        <f>IF(OR(D351="",M351&lt;=0),"",IF(AND(E351&gt;I351,F351&gt;J351),"UP",IF(AND(E351&lt;I351,F351&lt;J351),"DOWN","FLAT")))</f>
        <v/>
      </c>
    </row>
    <row r="352" ht="26" customHeight="1" s="1">
      <c r="A352" s="14">
        <f>IF(B352="","",ROW()-2)</f>
        <v/>
      </c>
      <c r="B352" s="15">
        <f>IF('StockList_MS2'!A351="","",HYPERLINK("https://kabutan.jp/stock/?code="&amp;'StockList_MS2'!A351,'StockList_MS2'!A351))</f>
        <v/>
      </c>
      <c r="C352" s="16">
        <f>IF('StockList_MS2'!A351="","",'StockList_MS2'!B351)</f>
        <v/>
      </c>
      <c r="D352" s="17" t="n"/>
      <c r="E352" s="17" t="n"/>
      <c r="F352" s="17" t="n"/>
      <c r="G352" s="17" t="n"/>
      <c r="H352" s="18" t="n"/>
      <c r="I352" s="17" t="n"/>
      <c r="J352" s="17" t="n"/>
      <c r="K352" s="17" t="n"/>
      <c r="L352" s="14">
        <f>IF(D352="","",IF(D352&gt;K352,"BUY-DAY","SELL-DAY"))</f>
        <v/>
      </c>
      <c r="M352" s="19">
        <f>IF(D352="","",MAX(E352-F352,ABS(E352-K352),ABS(F352-K352)))</f>
        <v/>
      </c>
      <c r="N352" s="14">
        <f>IF(D352="","",IF(AND(H352&gt;0,H352&gt;(H352/3)*2.5),"VOL-OK","VOL-NG"))</f>
        <v/>
      </c>
      <c r="O352" s="14">
        <f>IF(D352="","",IF(D352&gt;I352,"ON","OFF"))</f>
        <v/>
      </c>
      <c r="P352" s="14">
        <f>IF(D352="","",IF(D352&lt;J352,"ON","OFF"))</f>
        <v/>
      </c>
      <c r="Q352" s="14">
        <f>IF(OR(D352="",M352&lt;=0),"",IF(AND(L352="BUY-DAY",N352="VOL-OK",P352="ON",Z352="OK",AA352&lt;&gt;"DOWN"),"BUY",IF(AND(L352="SELL-DAY",N352="VOL-OK",O352="ON",Z352="OK",AA352&lt;&gt;"UP"),"SELL","")))</f>
        <v/>
      </c>
      <c r="R352" s="19">
        <f>IF(Q352="","",D352)</f>
        <v/>
      </c>
      <c r="S352" s="19">
        <f>IF(Q352="","",IF(Q352="BUY",D352-M352*1.5,D352+M352*1.5))</f>
        <v/>
      </c>
      <c r="T352" s="19">
        <f>IF(Q352="","",IF(Q352="BUY",D352+M352*1.5,D352-M352*1.5))</f>
        <v/>
      </c>
      <c r="U352" s="19">
        <f>IF(Q352="","",IF(Q352="BUY",D352+M352*2,D352-M352*2))</f>
        <v/>
      </c>
      <c r="V352" s="19">
        <f>IF(Q352="","",IF(Q352="BUY",D352+M352*3,D352-M352*3))</f>
        <v/>
      </c>
      <c r="W352" s="14">
        <f>IF(OR(D352="",M352&lt;=0),"",IF(AND(D352&gt;G352,ABS(D352-G352)&lt;M352*0.5),"2ND","1ST"))</f>
        <v/>
      </c>
      <c r="X352" s="14">
        <f>IF(OR(D352="",M352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Y352" s="14">
        <f>IF(OR(D352="",M352&lt;=0),"",IF(M352&gt;D352*0.05,"VOL-HIGH","VOL-NORMAL"))</f>
        <v/>
      </c>
      <c r="Z352" s="14">
        <f>IF(OR(D352="",M352&lt;=0),"",IF(AND(N352="VOL-OK",Y352="VOL-NORMAL",W352="2ND"),"OK","NG"))</f>
        <v/>
      </c>
      <c r="AA352" s="14">
        <f>IF(OR(D352="",M352&lt;=0),"",IF(AND(E352&gt;I352,F352&gt;J352),"UP",IF(AND(E352&lt;I352,F352&lt;J352),"DOWN","FLAT")))</f>
        <v/>
      </c>
    </row>
    <row r="354">
      <c r="M354" s="3" t="inlineStr">
        <is>
          <t>※M列=当足のTrue Range。厳密な14期間ATR(5分足)は『ATR更新_MS2』マクロで蓄積算出。</t>
        </is>
      </c>
    </row>
  </sheetData>
  <autoFilter ref="A2:AA2"/>
  <mergeCells count="1">
    <mergeCell ref="A1:AA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style="1" min="1" max="1"/>
    <col width="13" customWidth="1" style="1" min="2" max="2"/>
    <col width="13" customWidth="1" style="1" min="3" max="3"/>
    <col width="13" customWidth="1" style="1" min="4" max="4"/>
    <col width="13" customWidth="1" style="1" min="5" max="5"/>
    <col width="13" customWidth="1" style="1" min="6" max="6"/>
    <col width="13" customWidth="1" style="1" min="7" max="7"/>
    <col width="13" customWidth="1" style="1" min="8" max="8"/>
    <col width="13" customWidth="1" style="1" min="9" max="9"/>
    <col width="13" customWidth="1" style="1" min="10" max="10"/>
    <col width="13" customWidth="1" style="1" min="11" max="11"/>
    <col width="13" customWidth="1" style="1" min="12" max="12"/>
  </cols>
  <sheetData>
    <row r="1" ht="46" customHeight="1" s="1">
      <c r="A1" s="4" t="inlineStr">
        <is>
          <t>No</t>
        </is>
      </c>
      <c r="B1" s="4" t="inlineStr">
        <is>
          <t>銘柄コード</t>
        </is>
      </c>
      <c r="C1" s="4" t="inlineStr">
        <is>
          <t>売買種別</t>
        </is>
      </c>
      <c r="D1" s="4" t="inlineStr">
        <is>
          <t>Entry</t>
        </is>
      </c>
      <c r="E1" s="4" t="inlineStr">
        <is>
          <t>SL</t>
        </is>
      </c>
      <c r="F1" s="4" t="inlineStr">
        <is>
          <t>TP1</t>
        </is>
      </c>
      <c r="G1" s="4" t="inlineStr">
        <is>
          <t>TP2</t>
        </is>
      </c>
      <c r="H1" s="4" t="inlineStr">
        <is>
          <t>TP3</t>
        </is>
      </c>
      <c r="I1" s="4" t="inlineStr">
        <is>
          <t>結果</t>
        </is>
      </c>
      <c r="J1" s="4" t="inlineStr">
        <is>
          <t>損益</t>
        </is>
      </c>
      <c r="K1" s="4" t="inlineStr">
        <is>
          <t>開始時刻</t>
        </is>
      </c>
      <c r="L1" s="4" t="inlineStr">
        <is>
          <t>終了時刻</t>
        </is>
      </c>
    </row>
    <row r="3">
      <c r="A3" s="3" t="inlineStr">
        <is>
          <t>※『売買抽出_MS2』『結果判定_MS2』マクロで自動出力されます。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style="1" min="1" max="1"/>
    <col width="13" customWidth="1" style="1" min="2" max="2"/>
    <col width="13" customWidth="1" style="1" min="3" max="3"/>
    <col width="13" customWidth="1" style="1" min="4" max="4"/>
    <col width="13" customWidth="1" style="1" min="5" max="5"/>
    <col width="13" customWidth="1" style="1" min="6" max="6"/>
    <col width="13" customWidth="1" style="1" min="7" max="7"/>
    <col width="13" customWidth="1" style="1" min="8" max="8"/>
    <col width="13" customWidth="1" style="1" min="9" max="9"/>
    <col width="13" customWidth="1" style="1" min="10" max="10"/>
    <col width="13" customWidth="1" style="1" min="11" max="11"/>
  </cols>
  <sheetData>
    <row r="1" ht="46" customHeight="1" s="1">
      <c r="A1" s="4" t="inlineStr">
        <is>
          <t>銘柄コード（株探）</t>
        </is>
      </c>
      <c r="B1" s="4" t="inlineStr">
        <is>
          <t>勝率</t>
        </is>
      </c>
      <c r="C1" s="4" t="inlineStr">
        <is>
          <t>PF</t>
        </is>
      </c>
      <c r="D1" s="4" t="inlineStr">
        <is>
          <t>銘柄名</t>
        </is>
      </c>
      <c r="E1" s="4" t="inlineStr">
        <is>
          <t>RR</t>
        </is>
      </c>
      <c r="F1" s="4" t="inlineStr">
        <is>
          <t>最大DD</t>
        </is>
      </c>
      <c r="G1" s="4" t="inlineStr">
        <is>
          <t>平均RR</t>
        </is>
      </c>
      <c r="H1" s="4" t="inlineStr">
        <is>
          <t>連勝</t>
        </is>
      </c>
      <c r="I1" s="4" t="inlineStr">
        <is>
          <t>連敗</t>
        </is>
      </c>
      <c r="J1" s="4" t="inlineStr">
        <is>
          <t>月次損益</t>
        </is>
      </c>
      <c r="K1" s="4" t="inlineStr">
        <is>
          <t>トレード数</t>
        </is>
      </c>
    </row>
    <row r="3">
      <c r="A3" s="3" t="inlineStr">
        <is>
          <t>※『ランキング_MS2』マクロで TRADE_MS2 を集計して出力します。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英明 阿部</dc:creator>
  <dcterms:created xsi:type="dcterms:W3CDTF">2026-08-01T12:40:50Z</dcterms:created>
  <dcterms:modified xsi:type="dcterms:W3CDTF">2026-08-01T23:58:35Z</dcterms:modified>
  <cp:lastModifiedBy>英明 阿部</cp:lastModifiedBy>
</cp:coreProperties>
</file>