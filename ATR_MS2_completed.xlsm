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768" yWindow="1368" windowWidth="28404" windowHeight="18144" tabRatio="600" firstSheet="0" activeTab="0" autoFilterDateGrouping="1"/>
  </bookViews>
  <sheets>
    <sheet name="使い方" sheetId="1" state="visible" r:id="rId1"/>
    <sheet name="StockList_MS2" sheetId="2" state="visible" r:id="rId2"/>
    <sheet name="DATA_MS2" sheetId="3" state="visible" r:id="rId3"/>
    <sheet name="TRADE_MS2" sheetId="4" state="visible" r:id="rId4"/>
    <sheet name="RANK_MS2" sheetId="5" state="visible" r:id="rId5"/>
  </sheets>
  <definedNames>
    <definedName name="_xlnm._FilterDatabase" localSheetId="1" hidden="1">'StockList_MS2'!$A$1:$B$1</definedName>
    <definedName name="_xlnm._FilterDatabase" localSheetId="2" hidden="1">'DATA_MS2'!$A$2:$AB$2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#,##0.0"/>
  </numFmts>
  <fonts count="8">
    <font>
      <name val="游ゴシック"/>
      <charset val="128"/>
      <family val="2"/>
      <color theme="1"/>
      <sz val="14"/>
      <scheme val="minor"/>
    </font>
    <font>
      <name val="游ゴシック"/>
      <charset val="128"/>
      <family val="2"/>
      <sz val="7"/>
      <scheme val="minor"/>
    </font>
    <font>
      <name val="Meiryo"/>
      <b val="1"/>
      <sz val="18"/>
    </font>
    <font>
      <name val="Meiryo"/>
      <i val="1"/>
      <color rgb="00555555"/>
      <sz val="18"/>
    </font>
    <font>
      <name val="Meiryo"/>
      <b val="1"/>
      <color rgb="00FFFFFF"/>
      <sz val="18"/>
    </font>
    <font>
      <name val="Meiryo"/>
      <color rgb="000000FF"/>
      <sz val="18"/>
    </font>
    <font>
      <name val="Meiryo"/>
      <color rgb="00000000"/>
      <sz val="18"/>
    </font>
    <font>
      <name val="Meiryo"/>
      <color rgb="000563C1"/>
      <sz val="18"/>
      <u val="single"/>
    </font>
  </fonts>
  <fills count="5">
    <fill>
      <patternFill/>
    </fill>
    <fill>
      <patternFill patternType="gray125"/>
    </fill>
    <fill>
      <patternFill patternType="solid">
        <fgColor rgb="001F4E78"/>
      </patternFill>
    </fill>
    <fill>
      <patternFill patternType="solid">
        <fgColor rgb="00BDD7EE"/>
      </patternFill>
    </fill>
    <fill>
      <patternFill patternType="solid">
        <fgColor rgb="00F2F7FC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 applyAlignment="1">
      <alignment vertical="center"/>
    </xf>
  </cellStyleXfs>
  <cellXfs count="20"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0" fillId="3" borderId="0" pivotButton="0" quotePrefix="0" xfId="0"/>
    <xf numFmtId="0" fontId="6" fillId="4" borderId="1" applyAlignment="1" pivotButton="0" quotePrefix="0" xfId="0">
      <alignment horizontal="center" vertical="center" wrapText="1"/>
    </xf>
    <xf numFmtId="0" fontId="7" fillId="4" borderId="1" applyAlignment="1" pivotButton="0" quotePrefix="0" xfId="0">
      <alignment horizontal="center" vertical="center" wrapText="1"/>
    </xf>
    <xf numFmtId="0" fontId="6" fillId="4" borderId="1" applyAlignment="1" pivotButton="0" quotePrefix="0" xfId="0">
      <alignment horizontal="left" vertical="center"/>
    </xf>
    <xf numFmtId="164" fontId="5" fillId="4" borderId="1" applyAlignment="1" pivotButton="0" quotePrefix="0" xfId="0">
      <alignment horizontal="right" vertical="center"/>
    </xf>
    <xf numFmtId="3" fontId="5" fillId="4" borderId="1" applyAlignment="1" pivotButton="0" quotePrefix="0" xfId="0">
      <alignment horizontal="right" vertical="center"/>
    </xf>
    <xf numFmtId="164" fontId="6" fillId="4" borderId="1" applyAlignment="1" pivotButton="0" quotePrefix="0" xfId="0">
      <alignment horizontal="right" vertical="center"/>
    </xf>
    <xf numFmtId="0" fontId="6" fillId="0" borderId="1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3" fontId="5" fillId="0" borderId="1" applyAlignment="1" pivotButton="0" quotePrefix="0" xfId="0">
      <alignment horizontal="right" vertical="center"/>
    </xf>
    <xf numFmtId="164" fontId="6" fillId="0" borderId="1" applyAlignment="1" pivotButton="0" quotePrefix="0" xfId="0">
      <alignment horizontal="right" vertical="center"/>
    </xf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8"/>
  <sheetViews>
    <sheetView showGridLines="0" tabSelected="1" workbookViewId="0">
      <selection activeCell="B3" sqref="B3"/>
    </sheetView>
  </sheetViews>
  <sheetFormatPr baseColWidth="8" defaultRowHeight="22.2"/>
  <cols>
    <col width="100" customWidth="1" style="1" min="1" max="1"/>
  </cols>
  <sheetData>
    <row r="1">
      <c r="A1" s="2" t="inlineStr">
        <is>
          <t>ATR デイトレ管理ブック（MS2）</t>
        </is>
      </c>
    </row>
    <row r="2">
      <c r="A2" s="3" t="inlineStr"/>
    </row>
    <row r="3">
      <c r="A3" s="3" t="inlineStr">
        <is>
          <t>楽天証券 MARKETSPEED II RSS（RssMarket 関数）を使った日本株デイトレ用テンプレートです。</t>
        </is>
      </c>
    </row>
    <row r="4">
      <c r="A4" s="3" t="inlineStr"/>
    </row>
    <row r="5">
      <c r="A5" s="3" t="inlineStr">
        <is>
          <t>【シート構成】</t>
        </is>
      </c>
    </row>
    <row r="6">
      <c r="A6" s="3" t="inlineStr">
        <is>
          <t xml:space="preserve">　① StockList_MS2 … 銘柄コード・銘柄名を入力（最大350）</t>
        </is>
      </c>
    </row>
    <row r="7">
      <c r="A7" s="3" t="inlineStr">
        <is>
          <t xml:space="preserve">　② DATA_MS2      … メイン表。列順＝No / 株探リンク / コード / 銘柄名 / 現在値〜</t>
        </is>
      </c>
    </row>
    <row r="8">
      <c r="A8" s="3" t="inlineStr">
        <is>
          <t xml:space="preserve">　③ TRADE_MS2     … 抽出トレードと結果ログ（マクロ出力）</t>
        </is>
      </c>
    </row>
    <row r="9">
      <c r="A9" s="3" t="inlineStr">
        <is>
          <t xml:space="preserve">　④ RANK_MS2      … 銘柄別成績（A=株探 / D=銘柄名）</t>
        </is>
      </c>
    </row>
    <row r="10">
      <c r="A10" s="3" t="inlineStr"/>
    </row>
    <row r="11">
      <c r="A11" s="3" t="inlineStr">
        <is>
          <t>【使い方】</t>
        </is>
      </c>
    </row>
    <row r="12">
      <c r="A12" s="3" t="inlineStr">
        <is>
          <t xml:space="preserve">　A. 数式：StockList に銘柄→ DATA_MS2 の E〜L（青字）に株価→ M〜AB が自動計算。</t>
        </is>
      </c>
    </row>
    <row r="13">
      <c r="A13" s="3" t="inlineStr">
        <is>
          <t xml:space="preserve">　B. ボタン：VBEで旧モジュールを削除し MS2_Core.bas をインポート → MS2_Build_Menu 実行。</t>
        </is>
      </c>
    </row>
    <row r="14">
      <c r="A14" s="3" t="inlineStr"/>
    </row>
    <row r="15">
      <c r="A15" s="3" t="inlineStr">
        <is>
          <t>【注意】</t>
        </is>
      </c>
    </row>
    <row r="16">
      <c r="A16" s="3" t="inlineStr">
        <is>
          <t xml:space="preserve">　・DATA_MS2 の入力列は E〜L（現在値/高値/安値/終値/出来高/前日高値/前日安値/前日終値）。</t>
        </is>
      </c>
    </row>
    <row r="17">
      <c r="A17" s="3" t="inlineStr">
        <is>
          <t xml:space="preserve">　・A=No、B=株探リンク、C=銘柄コード、D=銘柄名（B〜Dは StockList 連動）。</t>
        </is>
      </c>
    </row>
    <row r="18">
      <c r="A18" s="3" t="inlineStr">
        <is>
          <t xml:space="preserve">　・ATRは N列（ATR(14・5分足)）。厳密な14期間ATRは ATR更新マクロで蓄積。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35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8" customWidth="1" style="1" min="1" max="1"/>
    <col width="30" customWidth="1" style="1" min="2" max="2"/>
  </cols>
  <sheetData>
    <row r="1" ht="46" customHeight="1" s="1">
      <c r="A1" s="4" t="inlineStr">
        <is>
          <t>銘柄コード</t>
        </is>
      </c>
      <c r="B1" s="4" t="inlineStr">
        <is>
          <t>銘柄名</t>
        </is>
      </c>
    </row>
    <row r="2" ht="26" customHeight="1" s="1">
      <c r="A2" s="5" t="inlineStr">
        <is>
          <t>7203</t>
        </is>
      </c>
      <c r="B2" s="5" t="inlineStr">
        <is>
          <t>トヨタ自動車</t>
        </is>
      </c>
    </row>
    <row r="3" ht="26" customHeight="1" s="1">
      <c r="A3" s="5" t="inlineStr">
        <is>
          <t>6758</t>
        </is>
      </c>
      <c r="B3" s="5" t="inlineStr">
        <is>
          <t>ソニーグループ</t>
        </is>
      </c>
    </row>
    <row r="4" ht="26" customHeight="1" s="1">
      <c r="A4" s="5" t="inlineStr">
        <is>
          <t>9984</t>
        </is>
      </c>
      <c r="B4" s="5" t="inlineStr">
        <is>
          <t>ソフトバンクG</t>
        </is>
      </c>
    </row>
    <row r="5" ht="26" customHeight="1" s="1">
      <c r="A5" s="5" t="inlineStr">
        <is>
          <t>8306</t>
        </is>
      </c>
      <c r="B5" s="5" t="inlineStr">
        <is>
          <t>三菱UFJ</t>
        </is>
      </c>
    </row>
    <row r="6" ht="26" customHeight="1" s="1">
      <c r="A6" s="5" t="inlineStr">
        <is>
          <t>6501</t>
        </is>
      </c>
      <c r="B6" s="5" t="inlineStr">
        <is>
          <t>日立製作所</t>
        </is>
      </c>
    </row>
    <row r="7" ht="26" customHeight="1" s="1">
      <c r="A7" s="5" t="n"/>
      <c r="B7" s="5" t="n"/>
    </row>
    <row r="8" ht="26" customHeight="1" s="1">
      <c r="A8" s="5" t="n"/>
      <c r="B8" s="5" t="n"/>
    </row>
    <row r="9" ht="26" customHeight="1" s="1">
      <c r="A9" s="5" t="n"/>
      <c r="B9" s="5" t="n"/>
    </row>
    <row r="10" ht="26" customHeight="1" s="1">
      <c r="A10" s="5" t="n"/>
      <c r="B10" s="5" t="n"/>
    </row>
    <row r="11" ht="26" customHeight="1" s="1">
      <c r="A11" s="5" t="n"/>
      <c r="B11" s="5" t="n"/>
    </row>
    <row r="12" ht="26" customHeight="1" s="1">
      <c r="A12" s="5" t="n"/>
      <c r="B12" s="5" t="n"/>
    </row>
    <row r="13" ht="26" customHeight="1" s="1">
      <c r="A13" s="5" t="n"/>
      <c r="B13" s="5" t="n"/>
    </row>
    <row r="14" ht="26" customHeight="1" s="1">
      <c r="A14" s="5" t="n"/>
      <c r="B14" s="5" t="n"/>
    </row>
    <row r="15" ht="26" customHeight="1" s="1">
      <c r="A15" s="5" t="n"/>
      <c r="B15" s="5" t="n"/>
    </row>
    <row r="16" ht="26" customHeight="1" s="1">
      <c r="A16" s="5" t="n"/>
      <c r="B16" s="5" t="n"/>
    </row>
    <row r="17" ht="26" customHeight="1" s="1">
      <c r="A17" s="5" t="n"/>
      <c r="B17" s="5" t="n"/>
    </row>
    <row r="18" ht="26" customHeight="1" s="1">
      <c r="A18" s="5" t="n"/>
      <c r="B18" s="5" t="n"/>
    </row>
    <row r="19" ht="26" customHeight="1" s="1">
      <c r="A19" s="5" t="n"/>
      <c r="B19" s="5" t="n"/>
    </row>
    <row r="20" ht="26" customHeight="1" s="1">
      <c r="A20" s="5" t="n"/>
      <c r="B20" s="5" t="n"/>
    </row>
    <row r="21" ht="26" customHeight="1" s="1">
      <c r="A21" s="5" t="n"/>
      <c r="B21" s="5" t="n"/>
    </row>
    <row r="22" ht="26" customHeight="1" s="1">
      <c r="A22" s="5" t="n"/>
      <c r="B22" s="5" t="n"/>
    </row>
    <row r="23" ht="26" customHeight="1" s="1">
      <c r="A23" s="5" t="n"/>
      <c r="B23" s="5" t="n"/>
    </row>
    <row r="24" ht="26" customHeight="1" s="1">
      <c r="A24" s="5" t="n"/>
      <c r="B24" s="5" t="n"/>
    </row>
    <row r="25" ht="26" customHeight="1" s="1">
      <c r="A25" s="5" t="n"/>
      <c r="B25" s="5" t="n"/>
    </row>
    <row r="26" ht="26" customHeight="1" s="1">
      <c r="A26" s="5" t="n"/>
      <c r="B26" s="5" t="n"/>
    </row>
    <row r="27" ht="26" customHeight="1" s="1">
      <c r="A27" s="5" t="n"/>
      <c r="B27" s="5" t="n"/>
    </row>
    <row r="28" ht="26" customHeight="1" s="1">
      <c r="A28" s="5" t="n"/>
      <c r="B28" s="5" t="n"/>
    </row>
    <row r="29" ht="26" customHeight="1" s="1">
      <c r="A29" s="5" t="n"/>
      <c r="B29" s="5" t="n"/>
    </row>
    <row r="30" ht="26" customHeight="1" s="1">
      <c r="A30" s="5" t="n"/>
      <c r="B30" s="5" t="n"/>
    </row>
    <row r="31" ht="26" customHeight="1" s="1">
      <c r="A31" s="5" t="n"/>
      <c r="B31" s="5" t="n"/>
    </row>
    <row r="32" ht="26" customHeight="1" s="1">
      <c r="A32" s="5" t="n"/>
      <c r="B32" s="5" t="n"/>
    </row>
    <row r="33" ht="26" customHeight="1" s="1">
      <c r="A33" s="5" t="n"/>
      <c r="B33" s="5" t="n"/>
    </row>
    <row r="34" ht="26" customHeight="1" s="1">
      <c r="A34" s="5" t="n"/>
      <c r="B34" s="5" t="n"/>
    </row>
    <row r="35" ht="26" customHeight="1" s="1">
      <c r="A35" s="5" t="n"/>
      <c r="B35" s="5" t="n"/>
    </row>
    <row r="36" ht="26" customHeight="1" s="1">
      <c r="A36" s="5" t="n"/>
      <c r="B36" s="5" t="n"/>
    </row>
    <row r="37" ht="26" customHeight="1" s="1">
      <c r="A37" s="5" t="n"/>
      <c r="B37" s="5" t="n"/>
    </row>
    <row r="38" ht="26" customHeight="1" s="1">
      <c r="A38" s="5" t="n"/>
      <c r="B38" s="5" t="n"/>
    </row>
    <row r="39" ht="26" customHeight="1" s="1">
      <c r="A39" s="5" t="n"/>
      <c r="B39" s="5" t="n"/>
    </row>
    <row r="40" ht="26" customHeight="1" s="1">
      <c r="A40" s="5" t="n"/>
      <c r="B40" s="5" t="n"/>
    </row>
    <row r="41" ht="26" customHeight="1" s="1">
      <c r="A41" s="5" t="n"/>
      <c r="B41" s="5" t="n"/>
    </row>
    <row r="42" ht="26" customHeight="1" s="1">
      <c r="A42" s="5" t="n"/>
      <c r="B42" s="5" t="n"/>
    </row>
    <row r="43" ht="26" customHeight="1" s="1">
      <c r="A43" s="5" t="n"/>
      <c r="B43" s="5" t="n"/>
    </row>
    <row r="44" ht="26" customHeight="1" s="1">
      <c r="A44" s="5" t="n"/>
      <c r="B44" s="5" t="n"/>
    </row>
    <row r="45" ht="26" customHeight="1" s="1">
      <c r="A45" s="5" t="n"/>
      <c r="B45" s="5" t="n"/>
    </row>
    <row r="46" ht="26" customHeight="1" s="1">
      <c r="A46" s="5" t="n"/>
      <c r="B46" s="5" t="n"/>
    </row>
    <row r="47" ht="26" customHeight="1" s="1">
      <c r="A47" s="5" t="n"/>
      <c r="B47" s="5" t="n"/>
    </row>
    <row r="48" ht="26" customHeight="1" s="1">
      <c r="A48" s="5" t="n"/>
      <c r="B48" s="5" t="n"/>
    </row>
    <row r="49" ht="26" customHeight="1" s="1">
      <c r="A49" s="5" t="n"/>
      <c r="B49" s="5" t="n"/>
    </row>
    <row r="50" ht="26" customHeight="1" s="1">
      <c r="A50" s="5" t="n"/>
      <c r="B50" s="5" t="n"/>
    </row>
    <row r="51" ht="26" customHeight="1" s="1">
      <c r="A51" s="5" t="n"/>
      <c r="B51" s="5" t="n"/>
    </row>
    <row r="52" ht="26" customHeight="1" s="1">
      <c r="A52" s="5" t="n"/>
      <c r="B52" s="5" t="n"/>
    </row>
    <row r="53" ht="26" customHeight="1" s="1">
      <c r="A53" s="5" t="n"/>
      <c r="B53" s="5" t="n"/>
    </row>
    <row r="54" ht="26" customHeight="1" s="1">
      <c r="A54" s="5" t="n"/>
      <c r="B54" s="5" t="n"/>
    </row>
    <row r="55" ht="26" customHeight="1" s="1">
      <c r="A55" s="5" t="n"/>
      <c r="B55" s="5" t="n"/>
    </row>
    <row r="56" ht="26" customHeight="1" s="1">
      <c r="A56" s="5" t="n"/>
      <c r="B56" s="5" t="n"/>
    </row>
    <row r="57" ht="26" customHeight="1" s="1">
      <c r="A57" s="5" t="n"/>
      <c r="B57" s="5" t="n"/>
    </row>
    <row r="58" ht="26" customHeight="1" s="1">
      <c r="A58" s="5" t="n"/>
      <c r="B58" s="5" t="n"/>
    </row>
    <row r="59" ht="26" customHeight="1" s="1">
      <c r="A59" s="5" t="n"/>
      <c r="B59" s="5" t="n"/>
    </row>
    <row r="60" ht="26" customHeight="1" s="1">
      <c r="A60" s="5" t="n"/>
      <c r="B60" s="5" t="n"/>
    </row>
    <row r="61" ht="26" customHeight="1" s="1">
      <c r="A61" s="5" t="n"/>
      <c r="B61" s="5" t="n"/>
    </row>
    <row r="62" ht="26" customHeight="1" s="1">
      <c r="A62" s="5" t="n"/>
      <c r="B62" s="5" t="n"/>
    </row>
    <row r="63" ht="26" customHeight="1" s="1">
      <c r="A63" s="5" t="n"/>
      <c r="B63" s="5" t="n"/>
    </row>
    <row r="64" ht="26" customHeight="1" s="1">
      <c r="A64" s="5" t="n"/>
      <c r="B64" s="5" t="n"/>
    </row>
    <row r="65" ht="26" customHeight="1" s="1">
      <c r="A65" s="5" t="n"/>
      <c r="B65" s="5" t="n"/>
    </row>
    <row r="66" ht="26" customHeight="1" s="1">
      <c r="A66" s="5" t="n"/>
      <c r="B66" s="5" t="n"/>
    </row>
    <row r="67" ht="26" customHeight="1" s="1">
      <c r="A67" s="5" t="n"/>
      <c r="B67" s="5" t="n"/>
    </row>
    <row r="68" ht="26" customHeight="1" s="1">
      <c r="A68" s="5" t="n"/>
      <c r="B68" s="5" t="n"/>
    </row>
    <row r="69" ht="26" customHeight="1" s="1">
      <c r="A69" s="5" t="n"/>
      <c r="B69" s="5" t="n"/>
    </row>
    <row r="70" ht="26" customHeight="1" s="1">
      <c r="A70" s="5" t="n"/>
      <c r="B70" s="5" t="n"/>
    </row>
    <row r="71" ht="26" customHeight="1" s="1">
      <c r="A71" s="5" t="n"/>
      <c r="B71" s="5" t="n"/>
    </row>
    <row r="72" ht="26" customHeight="1" s="1">
      <c r="A72" s="5" t="n"/>
      <c r="B72" s="5" t="n"/>
    </row>
    <row r="73" ht="26" customHeight="1" s="1">
      <c r="A73" s="5" t="n"/>
      <c r="B73" s="5" t="n"/>
    </row>
    <row r="74" ht="26" customHeight="1" s="1">
      <c r="A74" s="5" t="n"/>
      <c r="B74" s="5" t="n"/>
    </row>
    <row r="75" ht="26" customHeight="1" s="1">
      <c r="A75" s="5" t="n"/>
      <c r="B75" s="5" t="n"/>
    </row>
    <row r="76" ht="26" customHeight="1" s="1">
      <c r="A76" s="5" t="n"/>
      <c r="B76" s="5" t="n"/>
    </row>
    <row r="77" ht="26" customHeight="1" s="1">
      <c r="A77" s="5" t="n"/>
      <c r="B77" s="5" t="n"/>
    </row>
    <row r="78" ht="26" customHeight="1" s="1">
      <c r="A78" s="5" t="n"/>
      <c r="B78" s="5" t="n"/>
    </row>
    <row r="79" ht="26" customHeight="1" s="1">
      <c r="A79" s="5" t="n"/>
      <c r="B79" s="5" t="n"/>
    </row>
    <row r="80" ht="26" customHeight="1" s="1">
      <c r="A80" s="5" t="n"/>
      <c r="B80" s="5" t="n"/>
    </row>
    <row r="81" ht="26" customHeight="1" s="1">
      <c r="A81" s="5" t="n"/>
      <c r="B81" s="5" t="n"/>
    </row>
    <row r="82" ht="26" customHeight="1" s="1">
      <c r="A82" s="5" t="n"/>
      <c r="B82" s="5" t="n"/>
    </row>
    <row r="83" ht="26" customHeight="1" s="1">
      <c r="A83" s="5" t="n"/>
      <c r="B83" s="5" t="n"/>
    </row>
    <row r="84" ht="26" customHeight="1" s="1">
      <c r="A84" s="5" t="n"/>
      <c r="B84" s="5" t="n"/>
    </row>
    <row r="85" ht="26" customHeight="1" s="1">
      <c r="A85" s="5" t="n"/>
      <c r="B85" s="5" t="n"/>
    </row>
    <row r="86" ht="26" customHeight="1" s="1">
      <c r="A86" s="5" t="n"/>
      <c r="B86" s="5" t="n"/>
    </row>
    <row r="87" ht="26" customHeight="1" s="1">
      <c r="A87" s="5" t="n"/>
      <c r="B87" s="5" t="n"/>
    </row>
    <row r="88" ht="26" customHeight="1" s="1">
      <c r="A88" s="5" t="n"/>
      <c r="B88" s="5" t="n"/>
    </row>
    <row r="89" ht="26" customHeight="1" s="1">
      <c r="A89" s="5" t="n"/>
      <c r="B89" s="5" t="n"/>
    </row>
    <row r="90" ht="26" customHeight="1" s="1">
      <c r="A90" s="5" t="n"/>
      <c r="B90" s="5" t="n"/>
    </row>
    <row r="91" ht="26" customHeight="1" s="1">
      <c r="A91" s="5" t="n"/>
      <c r="B91" s="5" t="n"/>
    </row>
    <row r="92" ht="26" customHeight="1" s="1">
      <c r="A92" s="5" t="n"/>
      <c r="B92" s="5" t="n"/>
    </row>
    <row r="93" ht="26" customHeight="1" s="1">
      <c r="A93" s="5" t="n"/>
      <c r="B93" s="5" t="n"/>
    </row>
    <row r="94" ht="26" customHeight="1" s="1">
      <c r="A94" s="5" t="n"/>
      <c r="B94" s="5" t="n"/>
    </row>
    <row r="95" ht="26" customHeight="1" s="1">
      <c r="A95" s="5" t="n"/>
      <c r="B95" s="5" t="n"/>
    </row>
    <row r="96" ht="26" customHeight="1" s="1">
      <c r="A96" s="5" t="n"/>
      <c r="B96" s="5" t="n"/>
    </row>
    <row r="97" ht="26" customHeight="1" s="1">
      <c r="A97" s="5" t="n"/>
      <c r="B97" s="5" t="n"/>
    </row>
    <row r="98" ht="26" customHeight="1" s="1">
      <c r="A98" s="5" t="n"/>
      <c r="B98" s="5" t="n"/>
    </row>
    <row r="99" ht="26" customHeight="1" s="1">
      <c r="A99" s="5" t="n"/>
      <c r="B99" s="5" t="n"/>
    </row>
    <row r="100" ht="26" customHeight="1" s="1">
      <c r="A100" s="5" t="n"/>
      <c r="B100" s="5" t="n"/>
    </row>
    <row r="101" ht="26" customHeight="1" s="1">
      <c r="A101" s="5" t="n"/>
      <c r="B101" s="5" t="n"/>
    </row>
    <row r="102" ht="26" customHeight="1" s="1">
      <c r="A102" s="5" t="n"/>
      <c r="B102" s="5" t="n"/>
    </row>
    <row r="103" ht="26" customHeight="1" s="1">
      <c r="A103" s="5" t="n"/>
      <c r="B103" s="5" t="n"/>
    </row>
    <row r="104" ht="26" customHeight="1" s="1">
      <c r="A104" s="5" t="n"/>
      <c r="B104" s="5" t="n"/>
    </row>
    <row r="105" ht="26" customHeight="1" s="1">
      <c r="A105" s="5" t="n"/>
      <c r="B105" s="5" t="n"/>
    </row>
    <row r="106" ht="26" customHeight="1" s="1">
      <c r="A106" s="5" t="n"/>
      <c r="B106" s="5" t="n"/>
    </row>
    <row r="107" ht="26" customHeight="1" s="1">
      <c r="A107" s="5" t="n"/>
      <c r="B107" s="5" t="n"/>
    </row>
    <row r="108" ht="26" customHeight="1" s="1">
      <c r="A108" s="5" t="n"/>
      <c r="B108" s="5" t="n"/>
    </row>
    <row r="109" ht="26" customHeight="1" s="1">
      <c r="A109" s="5" t="n"/>
      <c r="B109" s="5" t="n"/>
    </row>
    <row r="110" ht="26" customHeight="1" s="1">
      <c r="A110" s="5" t="n"/>
      <c r="B110" s="5" t="n"/>
    </row>
    <row r="111" ht="26" customHeight="1" s="1">
      <c r="A111" s="5" t="n"/>
      <c r="B111" s="5" t="n"/>
    </row>
    <row r="112" ht="26" customHeight="1" s="1">
      <c r="A112" s="5" t="n"/>
      <c r="B112" s="5" t="n"/>
    </row>
    <row r="113" ht="26" customHeight="1" s="1">
      <c r="A113" s="5" t="n"/>
      <c r="B113" s="5" t="n"/>
    </row>
    <row r="114" ht="26" customHeight="1" s="1">
      <c r="A114" s="5" t="n"/>
      <c r="B114" s="5" t="n"/>
    </row>
    <row r="115" ht="26" customHeight="1" s="1">
      <c r="A115" s="5" t="n"/>
      <c r="B115" s="5" t="n"/>
    </row>
    <row r="116" ht="26" customHeight="1" s="1">
      <c r="A116" s="5" t="n"/>
      <c r="B116" s="5" t="n"/>
    </row>
    <row r="117" ht="26" customHeight="1" s="1">
      <c r="A117" s="5" t="n"/>
      <c r="B117" s="5" t="n"/>
    </row>
    <row r="118" ht="26" customHeight="1" s="1">
      <c r="A118" s="5" t="n"/>
      <c r="B118" s="5" t="n"/>
    </row>
    <row r="119" ht="26" customHeight="1" s="1">
      <c r="A119" s="5" t="n"/>
      <c r="B119" s="5" t="n"/>
    </row>
    <row r="120" ht="26" customHeight="1" s="1">
      <c r="A120" s="5" t="n"/>
      <c r="B120" s="5" t="n"/>
    </row>
    <row r="121" ht="26" customHeight="1" s="1">
      <c r="A121" s="5" t="n"/>
      <c r="B121" s="5" t="n"/>
    </row>
    <row r="122" ht="26" customHeight="1" s="1">
      <c r="A122" s="5" t="n"/>
      <c r="B122" s="5" t="n"/>
    </row>
    <row r="123" ht="26" customHeight="1" s="1">
      <c r="A123" s="5" t="n"/>
      <c r="B123" s="5" t="n"/>
    </row>
    <row r="124" ht="26" customHeight="1" s="1">
      <c r="A124" s="5" t="n"/>
      <c r="B124" s="5" t="n"/>
    </row>
    <row r="125" ht="26" customHeight="1" s="1">
      <c r="A125" s="5" t="n"/>
      <c r="B125" s="5" t="n"/>
    </row>
    <row r="126" ht="26" customHeight="1" s="1">
      <c r="A126" s="5" t="n"/>
      <c r="B126" s="5" t="n"/>
    </row>
    <row r="127" ht="26" customHeight="1" s="1">
      <c r="A127" s="5" t="n"/>
      <c r="B127" s="5" t="n"/>
    </row>
    <row r="128" ht="26" customHeight="1" s="1">
      <c r="A128" s="5" t="n"/>
      <c r="B128" s="5" t="n"/>
    </row>
    <row r="129" ht="26" customHeight="1" s="1">
      <c r="A129" s="5" t="n"/>
      <c r="B129" s="5" t="n"/>
    </row>
    <row r="130" ht="26" customHeight="1" s="1">
      <c r="A130" s="5" t="n"/>
      <c r="B130" s="5" t="n"/>
    </row>
    <row r="131" ht="26" customHeight="1" s="1">
      <c r="A131" s="5" t="n"/>
      <c r="B131" s="5" t="n"/>
    </row>
    <row r="132" ht="26" customHeight="1" s="1">
      <c r="A132" s="5" t="n"/>
      <c r="B132" s="5" t="n"/>
    </row>
    <row r="133" ht="26" customHeight="1" s="1">
      <c r="A133" s="5" t="n"/>
      <c r="B133" s="5" t="n"/>
    </row>
    <row r="134" ht="26" customHeight="1" s="1">
      <c r="A134" s="5" t="n"/>
      <c r="B134" s="5" t="n"/>
    </row>
    <row r="135" ht="26" customHeight="1" s="1">
      <c r="A135" s="5" t="n"/>
      <c r="B135" s="5" t="n"/>
    </row>
    <row r="136" ht="26" customHeight="1" s="1">
      <c r="A136" s="5" t="n"/>
      <c r="B136" s="5" t="n"/>
    </row>
    <row r="137" ht="26" customHeight="1" s="1">
      <c r="A137" s="5" t="n"/>
      <c r="B137" s="5" t="n"/>
    </row>
    <row r="138" ht="26" customHeight="1" s="1">
      <c r="A138" s="5" t="n"/>
      <c r="B138" s="5" t="n"/>
    </row>
    <row r="139" ht="26" customHeight="1" s="1">
      <c r="A139" s="5" t="n"/>
      <c r="B139" s="5" t="n"/>
    </row>
    <row r="140" ht="26" customHeight="1" s="1">
      <c r="A140" s="5" t="n"/>
      <c r="B140" s="5" t="n"/>
    </row>
    <row r="141" ht="26" customHeight="1" s="1">
      <c r="A141" s="5" t="n"/>
      <c r="B141" s="5" t="n"/>
    </row>
    <row r="142" ht="26" customHeight="1" s="1">
      <c r="A142" s="5" t="n"/>
      <c r="B142" s="5" t="n"/>
    </row>
    <row r="143" ht="26" customHeight="1" s="1">
      <c r="A143" s="5" t="n"/>
      <c r="B143" s="5" t="n"/>
    </row>
    <row r="144" ht="26" customHeight="1" s="1">
      <c r="A144" s="5" t="n"/>
      <c r="B144" s="5" t="n"/>
    </row>
    <row r="145" ht="26" customHeight="1" s="1">
      <c r="A145" s="5" t="n"/>
      <c r="B145" s="5" t="n"/>
    </row>
    <row r="146" ht="26" customHeight="1" s="1">
      <c r="A146" s="5" t="n"/>
      <c r="B146" s="5" t="n"/>
    </row>
    <row r="147" ht="26" customHeight="1" s="1">
      <c r="A147" s="5" t="n"/>
      <c r="B147" s="5" t="n"/>
    </row>
    <row r="148" ht="26" customHeight="1" s="1">
      <c r="A148" s="5" t="n"/>
      <c r="B148" s="5" t="n"/>
    </row>
    <row r="149" ht="26" customHeight="1" s="1">
      <c r="A149" s="5" t="n"/>
      <c r="B149" s="5" t="n"/>
    </row>
    <row r="150" ht="26" customHeight="1" s="1">
      <c r="A150" s="5" t="n"/>
      <c r="B150" s="5" t="n"/>
    </row>
    <row r="151" ht="26" customHeight="1" s="1">
      <c r="A151" s="5" t="n"/>
      <c r="B151" s="5" t="n"/>
    </row>
    <row r="152" ht="26" customHeight="1" s="1">
      <c r="A152" s="5" t="n"/>
      <c r="B152" s="5" t="n"/>
    </row>
    <row r="153" ht="26" customHeight="1" s="1">
      <c r="A153" s="5" t="n"/>
      <c r="B153" s="5" t="n"/>
    </row>
    <row r="154" ht="26" customHeight="1" s="1">
      <c r="A154" s="5" t="n"/>
      <c r="B154" s="5" t="n"/>
    </row>
    <row r="155" ht="26" customHeight="1" s="1">
      <c r="A155" s="5" t="n"/>
      <c r="B155" s="5" t="n"/>
    </row>
    <row r="156" ht="26" customHeight="1" s="1">
      <c r="A156" s="5" t="n"/>
      <c r="B156" s="5" t="n"/>
    </row>
    <row r="157" ht="26" customHeight="1" s="1">
      <c r="A157" s="5" t="n"/>
      <c r="B157" s="5" t="n"/>
    </row>
    <row r="158" ht="26" customHeight="1" s="1">
      <c r="A158" s="5" t="n"/>
      <c r="B158" s="5" t="n"/>
    </row>
    <row r="159" ht="26" customHeight="1" s="1">
      <c r="A159" s="5" t="n"/>
      <c r="B159" s="5" t="n"/>
    </row>
    <row r="160" ht="26" customHeight="1" s="1">
      <c r="A160" s="5" t="n"/>
      <c r="B160" s="5" t="n"/>
    </row>
    <row r="161" ht="26" customHeight="1" s="1">
      <c r="A161" s="5" t="n"/>
      <c r="B161" s="5" t="n"/>
    </row>
    <row r="162" ht="26" customHeight="1" s="1">
      <c r="A162" s="5" t="n"/>
      <c r="B162" s="5" t="n"/>
    </row>
    <row r="163" ht="26" customHeight="1" s="1">
      <c r="A163" s="5" t="n"/>
      <c r="B163" s="5" t="n"/>
    </row>
    <row r="164" ht="26" customHeight="1" s="1">
      <c r="A164" s="5" t="n"/>
      <c r="B164" s="5" t="n"/>
    </row>
    <row r="165" ht="26" customHeight="1" s="1">
      <c r="A165" s="5" t="n"/>
      <c r="B165" s="5" t="n"/>
    </row>
    <row r="166" ht="26" customHeight="1" s="1">
      <c r="A166" s="5" t="n"/>
      <c r="B166" s="5" t="n"/>
    </row>
    <row r="167" ht="26" customHeight="1" s="1">
      <c r="A167" s="5" t="n"/>
      <c r="B167" s="5" t="n"/>
    </row>
    <row r="168" ht="26" customHeight="1" s="1">
      <c r="A168" s="5" t="n"/>
      <c r="B168" s="5" t="n"/>
    </row>
    <row r="169" ht="26" customHeight="1" s="1">
      <c r="A169" s="5" t="n"/>
      <c r="B169" s="5" t="n"/>
    </row>
    <row r="170" ht="26" customHeight="1" s="1">
      <c r="A170" s="5" t="n"/>
      <c r="B170" s="5" t="n"/>
    </row>
    <row r="171" ht="26" customHeight="1" s="1">
      <c r="A171" s="5" t="n"/>
      <c r="B171" s="5" t="n"/>
    </row>
    <row r="172" ht="26" customHeight="1" s="1">
      <c r="A172" s="5" t="n"/>
      <c r="B172" s="5" t="n"/>
    </row>
    <row r="173" ht="26" customHeight="1" s="1">
      <c r="A173" s="5" t="n"/>
      <c r="B173" s="5" t="n"/>
    </row>
    <row r="174" ht="26" customHeight="1" s="1">
      <c r="A174" s="5" t="n"/>
      <c r="B174" s="5" t="n"/>
    </row>
    <row r="175" ht="26" customHeight="1" s="1">
      <c r="A175" s="5" t="n"/>
      <c r="B175" s="5" t="n"/>
    </row>
    <row r="176" ht="26" customHeight="1" s="1">
      <c r="A176" s="5" t="n"/>
      <c r="B176" s="5" t="n"/>
    </row>
    <row r="177" ht="26" customHeight="1" s="1">
      <c r="A177" s="5" t="n"/>
      <c r="B177" s="5" t="n"/>
    </row>
    <row r="178" ht="26" customHeight="1" s="1">
      <c r="A178" s="5" t="n"/>
      <c r="B178" s="5" t="n"/>
    </row>
    <row r="179" ht="26" customHeight="1" s="1">
      <c r="A179" s="5" t="n"/>
      <c r="B179" s="5" t="n"/>
    </row>
    <row r="180" ht="26" customHeight="1" s="1">
      <c r="A180" s="5" t="n"/>
      <c r="B180" s="5" t="n"/>
    </row>
    <row r="181" ht="26" customHeight="1" s="1">
      <c r="A181" s="5" t="n"/>
      <c r="B181" s="5" t="n"/>
    </row>
    <row r="182" ht="26" customHeight="1" s="1">
      <c r="A182" s="5" t="n"/>
      <c r="B182" s="5" t="n"/>
    </row>
    <row r="183" ht="26" customHeight="1" s="1">
      <c r="A183" s="5" t="n"/>
      <c r="B183" s="5" t="n"/>
    </row>
    <row r="184" ht="26" customHeight="1" s="1">
      <c r="A184" s="5" t="n"/>
      <c r="B184" s="5" t="n"/>
    </row>
    <row r="185" ht="26" customHeight="1" s="1">
      <c r="A185" s="5" t="n"/>
      <c r="B185" s="5" t="n"/>
    </row>
    <row r="186" ht="26" customHeight="1" s="1">
      <c r="A186" s="5" t="n"/>
      <c r="B186" s="5" t="n"/>
    </row>
    <row r="187" ht="26" customHeight="1" s="1">
      <c r="A187" s="5" t="n"/>
      <c r="B187" s="5" t="n"/>
    </row>
    <row r="188" ht="26" customHeight="1" s="1">
      <c r="A188" s="5" t="n"/>
      <c r="B188" s="5" t="n"/>
    </row>
    <row r="189" ht="26" customHeight="1" s="1">
      <c r="A189" s="5" t="n"/>
      <c r="B189" s="5" t="n"/>
    </row>
    <row r="190" ht="26" customHeight="1" s="1">
      <c r="A190" s="5" t="n"/>
      <c r="B190" s="5" t="n"/>
    </row>
    <row r="191" ht="26" customHeight="1" s="1">
      <c r="A191" s="5" t="n"/>
      <c r="B191" s="5" t="n"/>
    </row>
    <row r="192" ht="26" customHeight="1" s="1">
      <c r="A192" s="5" t="n"/>
      <c r="B192" s="5" t="n"/>
    </row>
    <row r="193" ht="26" customHeight="1" s="1">
      <c r="A193" s="5" t="n"/>
      <c r="B193" s="5" t="n"/>
    </row>
    <row r="194" ht="26" customHeight="1" s="1">
      <c r="A194" s="5" t="n"/>
      <c r="B194" s="5" t="n"/>
    </row>
    <row r="195" ht="26" customHeight="1" s="1">
      <c r="A195" s="5" t="n"/>
      <c r="B195" s="5" t="n"/>
    </row>
    <row r="196" ht="26" customHeight="1" s="1">
      <c r="A196" s="5" t="n"/>
      <c r="B196" s="5" t="n"/>
    </row>
    <row r="197" ht="26" customHeight="1" s="1">
      <c r="A197" s="5" t="n"/>
      <c r="B197" s="5" t="n"/>
    </row>
    <row r="198" ht="26" customHeight="1" s="1">
      <c r="A198" s="5" t="n"/>
      <c r="B198" s="5" t="n"/>
    </row>
    <row r="199" ht="26" customHeight="1" s="1">
      <c r="A199" s="5" t="n"/>
      <c r="B199" s="5" t="n"/>
    </row>
    <row r="200" ht="26" customHeight="1" s="1">
      <c r="A200" s="5" t="n"/>
      <c r="B200" s="5" t="n"/>
    </row>
    <row r="201" ht="26" customHeight="1" s="1">
      <c r="A201" s="5" t="n"/>
      <c r="B201" s="5" t="n"/>
    </row>
    <row r="202" ht="26" customHeight="1" s="1">
      <c r="A202" s="5" t="n"/>
      <c r="B202" s="5" t="n"/>
    </row>
    <row r="203" ht="26" customHeight="1" s="1">
      <c r="A203" s="5" t="n"/>
      <c r="B203" s="5" t="n"/>
    </row>
    <row r="204" ht="26" customHeight="1" s="1">
      <c r="A204" s="5" t="n"/>
      <c r="B204" s="5" t="n"/>
    </row>
    <row r="205" ht="26" customHeight="1" s="1">
      <c r="A205" s="5" t="n"/>
      <c r="B205" s="5" t="n"/>
    </row>
    <row r="206" ht="26" customHeight="1" s="1">
      <c r="A206" s="5" t="n"/>
      <c r="B206" s="5" t="n"/>
    </row>
    <row r="207" ht="26" customHeight="1" s="1">
      <c r="A207" s="5" t="n"/>
      <c r="B207" s="5" t="n"/>
    </row>
    <row r="208" ht="26" customHeight="1" s="1">
      <c r="A208" s="5" t="n"/>
      <c r="B208" s="5" t="n"/>
    </row>
    <row r="209" ht="26" customHeight="1" s="1">
      <c r="A209" s="5" t="n"/>
      <c r="B209" s="5" t="n"/>
    </row>
    <row r="210" ht="26" customHeight="1" s="1">
      <c r="A210" s="5" t="n"/>
      <c r="B210" s="5" t="n"/>
    </row>
    <row r="211" ht="26" customHeight="1" s="1">
      <c r="A211" s="5" t="n"/>
      <c r="B211" s="5" t="n"/>
    </row>
    <row r="212" ht="26" customHeight="1" s="1">
      <c r="A212" s="5" t="n"/>
      <c r="B212" s="5" t="n"/>
    </row>
    <row r="213" ht="26" customHeight="1" s="1">
      <c r="A213" s="5" t="n"/>
      <c r="B213" s="5" t="n"/>
    </row>
    <row r="214" ht="26" customHeight="1" s="1">
      <c r="A214" s="5" t="n"/>
      <c r="B214" s="5" t="n"/>
    </row>
    <row r="215" ht="26" customHeight="1" s="1">
      <c r="A215" s="5" t="n"/>
      <c r="B215" s="5" t="n"/>
    </row>
    <row r="216" ht="26" customHeight="1" s="1">
      <c r="A216" s="5" t="n"/>
      <c r="B216" s="5" t="n"/>
    </row>
    <row r="217" ht="26" customHeight="1" s="1">
      <c r="A217" s="5" t="n"/>
      <c r="B217" s="5" t="n"/>
    </row>
    <row r="218" ht="26" customHeight="1" s="1">
      <c r="A218" s="5" t="n"/>
      <c r="B218" s="5" t="n"/>
    </row>
    <row r="219" ht="26" customHeight="1" s="1">
      <c r="A219" s="5" t="n"/>
      <c r="B219" s="5" t="n"/>
    </row>
    <row r="220" ht="26" customHeight="1" s="1">
      <c r="A220" s="5" t="n"/>
      <c r="B220" s="5" t="n"/>
    </row>
    <row r="221" ht="26" customHeight="1" s="1">
      <c r="A221" s="5" t="n"/>
      <c r="B221" s="5" t="n"/>
    </row>
    <row r="222" ht="26" customHeight="1" s="1">
      <c r="A222" s="5" t="n"/>
      <c r="B222" s="5" t="n"/>
    </row>
    <row r="223" ht="26" customHeight="1" s="1">
      <c r="A223" s="5" t="n"/>
      <c r="B223" s="5" t="n"/>
    </row>
    <row r="224" ht="26" customHeight="1" s="1">
      <c r="A224" s="5" t="n"/>
      <c r="B224" s="5" t="n"/>
    </row>
    <row r="225" ht="26" customHeight="1" s="1">
      <c r="A225" s="5" t="n"/>
      <c r="B225" s="5" t="n"/>
    </row>
    <row r="226" ht="26" customHeight="1" s="1">
      <c r="A226" s="5" t="n"/>
      <c r="B226" s="5" t="n"/>
    </row>
    <row r="227" ht="26" customHeight="1" s="1">
      <c r="A227" s="5" t="n"/>
      <c r="B227" s="5" t="n"/>
    </row>
    <row r="228" ht="26" customHeight="1" s="1">
      <c r="A228" s="5" t="n"/>
      <c r="B228" s="5" t="n"/>
    </row>
    <row r="229" ht="26" customHeight="1" s="1">
      <c r="A229" s="5" t="n"/>
      <c r="B229" s="5" t="n"/>
    </row>
    <row r="230" ht="26" customHeight="1" s="1">
      <c r="A230" s="5" t="n"/>
      <c r="B230" s="5" t="n"/>
    </row>
    <row r="231" ht="26" customHeight="1" s="1">
      <c r="A231" s="5" t="n"/>
      <c r="B231" s="5" t="n"/>
    </row>
    <row r="232" ht="26" customHeight="1" s="1">
      <c r="A232" s="5" t="n"/>
      <c r="B232" s="5" t="n"/>
    </row>
    <row r="233" ht="26" customHeight="1" s="1">
      <c r="A233" s="5" t="n"/>
      <c r="B233" s="5" t="n"/>
    </row>
    <row r="234" ht="26" customHeight="1" s="1">
      <c r="A234" s="5" t="n"/>
      <c r="B234" s="5" t="n"/>
    </row>
    <row r="235" ht="26" customHeight="1" s="1">
      <c r="A235" s="5" t="n"/>
      <c r="B235" s="5" t="n"/>
    </row>
    <row r="236" ht="26" customHeight="1" s="1">
      <c r="A236" s="5" t="n"/>
      <c r="B236" s="5" t="n"/>
    </row>
    <row r="237" ht="26" customHeight="1" s="1">
      <c r="A237" s="5" t="n"/>
      <c r="B237" s="5" t="n"/>
    </row>
    <row r="238" ht="26" customHeight="1" s="1">
      <c r="A238" s="5" t="n"/>
      <c r="B238" s="5" t="n"/>
    </row>
    <row r="239" ht="26" customHeight="1" s="1">
      <c r="A239" s="5" t="n"/>
      <c r="B239" s="5" t="n"/>
    </row>
    <row r="240" ht="26" customHeight="1" s="1">
      <c r="A240" s="5" t="n"/>
      <c r="B240" s="5" t="n"/>
    </row>
    <row r="241" ht="26" customHeight="1" s="1">
      <c r="A241" s="5" t="n"/>
      <c r="B241" s="5" t="n"/>
    </row>
    <row r="242" ht="26" customHeight="1" s="1">
      <c r="A242" s="5" t="n"/>
      <c r="B242" s="5" t="n"/>
    </row>
    <row r="243" ht="26" customHeight="1" s="1">
      <c r="A243" s="5" t="n"/>
      <c r="B243" s="5" t="n"/>
    </row>
    <row r="244" ht="26" customHeight="1" s="1">
      <c r="A244" s="5" t="n"/>
      <c r="B244" s="5" t="n"/>
    </row>
    <row r="245" ht="26" customHeight="1" s="1">
      <c r="A245" s="5" t="n"/>
      <c r="B245" s="5" t="n"/>
    </row>
    <row r="246" ht="26" customHeight="1" s="1">
      <c r="A246" s="5" t="n"/>
      <c r="B246" s="5" t="n"/>
    </row>
    <row r="247" ht="26" customHeight="1" s="1">
      <c r="A247" s="5" t="n"/>
      <c r="B247" s="5" t="n"/>
    </row>
    <row r="248" ht="26" customHeight="1" s="1">
      <c r="A248" s="5" t="n"/>
      <c r="B248" s="5" t="n"/>
    </row>
    <row r="249" ht="26" customHeight="1" s="1">
      <c r="A249" s="5" t="n"/>
      <c r="B249" s="5" t="n"/>
    </row>
    <row r="250" ht="26" customHeight="1" s="1">
      <c r="A250" s="5" t="n"/>
      <c r="B250" s="5" t="n"/>
    </row>
    <row r="251" ht="26" customHeight="1" s="1">
      <c r="A251" s="5" t="n"/>
      <c r="B251" s="5" t="n"/>
    </row>
    <row r="252" ht="26" customHeight="1" s="1">
      <c r="A252" s="5" t="n"/>
      <c r="B252" s="5" t="n"/>
    </row>
    <row r="253" ht="26" customHeight="1" s="1">
      <c r="A253" s="5" t="n"/>
      <c r="B253" s="5" t="n"/>
    </row>
    <row r="254" ht="26" customHeight="1" s="1">
      <c r="A254" s="5" t="n"/>
      <c r="B254" s="5" t="n"/>
    </row>
    <row r="255" ht="26" customHeight="1" s="1">
      <c r="A255" s="5" t="n"/>
      <c r="B255" s="5" t="n"/>
    </row>
    <row r="256" ht="26" customHeight="1" s="1">
      <c r="A256" s="5" t="n"/>
      <c r="B256" s="5" t="n"/>
    </row>
    <row r="257" ht="26" customHeight="1" s="1">
      <c r="A257" s="5" t="n"/>
      <c r="B257" s="5" t="n"/>
    </row>
    <row r="258" ht="26" customHeight="1" s="1">
      <c r="A258" s="5" t="n"/>
      <c r="B258" s="5" t="n"/>
    </row>
    <row r="259" ht="26" customHeight="1" s="1">
      <c r="A259" s="5" t="n"/>
      <c r="B259" s="5" t="n"/>
    </row>
    <row r="260" ht="26" customHeight="1" s="1">
      <c r="A260" s="5" t="n"/>
      <c r="B260" s="5" t="n"/>
    </row>
    <row r="261" ht="26" customHeight="1" s="1">
      <c r="A261" s="5" t="n"/>
      <c r="B261" s="5" t="n"/>
    </row>
    <row r="262" ht="26" customHeight="1" s="1">
      <c r="A262" s="5" t="n"/>
      <c r="B262" s="5" t="n"/>
    </row>
    <row r="263" ht="26" customHeight="1" s="1">
      <c r="A263" s="5" t="n"/>
      <c r="B263" s="5" t="n"/>
    </row>
    <row r="264" ht="26" customHeight="1" s="1">
      <c r="A264" s="5" t="n"/>
      <c r="B264" s="5" t="n"/>
    </row>
    <row r="265" ht="26" customHeight="1" s="1">
      <c r="A265" s="5" t="n"/>
      <c r="B265" s="5" t="n"/>
    </row>
    <row r="266" ht="26" customHeight="1" s="1">
      <c r="A266" s="5" t="n"/>
      <c r="B266" s="5" t="n"/>
    </row>
    <row r="267" ht="26" customHeight="1" s="1">
      <c r="A267" s="5" t="n"/>
      <c r="B267" s="5" t="n"/>
    </row>
    <row r="268" ht="26" customHeight="1" s="1">
      <c r="A268" s="5" t="n"/>
      <c r="B268" s="5" t="n"/>
    </row>
    <row r="269" ht="26" customHeight="1" s="1">
      <c r="A269" s="5" t="n"/>
      <c r="B269" s="5" t="n"/>
    </row>
    <row r="270" ht="26" customHeight="1" s="1">
      <c r="A270" s="5" t="n"/>
      <c r="B270" s="5" t="n"/>
    </row>
    <row r="271" ht="26" customHeight="1" s="1">
      <c r="A271" s="5" t="n"/>
      <c r="B271" s="5" t="n"/>
    </row>
    <row r="272" ht="26" customHeight="1" s="1">
      <c r="A272" s="5" t="n"/>
      <c r="B272" s="5" t="n"/>
    </row>
    <row r="273" ht="26" customHeight="1" s="1">
      <c r="A273" s="5" t="n"/>
      <c r="B273" s="5" t="n"/>
    </row>
    <row r="274" ht="26" customHeight="1" s="1">
      <c r="A274" s="5" t="n"/>
      <c r="B274" s="5" t="n"/>
    </row>
    <row r="275" ht="26" customHeight="1" s="1">
      <c r="A275" s="5" t="n"/>
      <c r="B275" s="5" t="n"/>
    </row>
    <row r="276" ht="26" customHeight="1" s="1">
      <c r="A276" s="5" t="n"/>
      <c r="B276" s="5" t="n"/>
    </row>
    <row r="277" ht="26" customHeight="1" s="1">
      <c r="A277" s="5" t="n"/>
      <c r="B277" s="5" t="n"/>
    </row>
    <row r="278" ht="26" customHeight="1" s="1">
      <c r="A278" s="5" t="n"/>
      <c r="B278" s="5" t="n"/>
    </row>
    <row r="279" ht="26" customHeight="1" s="1">
      <c r="A279" s="5" t="n"/>
      <c r="B279" s="5" t="n"/>
    </row>
    <row r="280" ht="26" customHeight="1" s="1">
      <c r="A280" s="5" t="n"/>
      <c r="B280" s="5" t="n"/>
    </row>
    <row r="281" ht="26" customHeight="1" s="1">
      <c r="A281" s="5" t="n"/>
      <c r="B281" s="5" t="n"/>
    </row>
    <row r="282" ht="26" customHeight="1" s="1">
      <c r="A282" s="5" t="n"/>
      <c r="B282" s="5" t="n"/>
    </row>
    <row r="283" ht="26" customHeight="1" s="1">
      <c r="A283" s="5" t="n"/>
      <c r="B283" s="5" t="n"/>
    </row>
    <row r="284" ht="26" customHeight="1" s="1">
      <c r="A284" s="5" t="n"/>
      <c r="B284" s="5" t="n"/>
    </row>
    <row r="285" ht="26" customHeight="1" s="1">
      <c r="A285" s="5" t="n"/>
      <c r="B285" s="5" t="n"/>
    </row>
    <row r="286" ht="26" customHeight="1" s="1">
      <c r="A286" s="5" t="n"/>
      <c r="B286" s="5" t="n"/>
    </row>
    <row r="287" ht="26" customHeight="1" s="1">
      <c r="A287" s="5" t="n"/>
      <c r="B287" s="5" t="n"/>
    </row>
    <row r="288" ht="26" customHeight="1" s="1">
      <c r="A288" s="5" t="n"/>
      <c r="B288" s="5" t="n"/>
    </row>
    <row r="289" ht="26" customHeight="1" s="1">
      <c r="A289" s="5" t="n"/>
      <c r="B289" s="5" t="n"/>
    </row>
    <row r="290" ht="26" customHeight="1" s="1">
      <c r="A290" s="5" t="n"/>
      <c r="B290" s="5" t="n"/>
    </row>
    <row r="291" ht="26" customHeight="1" s="1">
      <c r="A291" s="5" t="n"/>
      <c r="B291" s="5" t="n"/>
    </row>
    <row r="292" ht="26" customHeight="1" s="1">
      <c r="A292" s="5" t="n"/>
      <c r="B292" s="5" t="n"/>
    </row>
    <row r="293" ht="26" customHeight="1" s="1">
      <c r="A293" s="5" t="n"/>
      <c r="B293" s="5" t="n"/>
    </row>
    <row r="294" ht="26" customHeight="1" s="1">
      <c r="A294" s="5" t="n"/>
      <c r="B294" s="5" t="n"/>
    </row>
    <row r="295" ht="26" customHeight="1" s="1">
      <c r="A295" s="5" t="n"/>
      <c r="B295" s="5" t="n"/>
    </row>
    <row r="296" ht="26" customHeight="1" s="1">
      <c r="A296" s="5" t="n"/>
      <c r="B296" s="5" t="n"/>
    </row>
    <row r="297" ht="26" customHeight="1" s="1">
      <c r="A297" s="5" t="n"/>
      <c r="B297" s="5" t="n"/>
    </row>
    <row r="298" ht="26" customHeight="1" s="1">
      <c r="A298" s="5" t="n"/>
      <c r="B298" s="5" t="n"/>
    </row>
    <row r="299" ht="26" customHeight="1" s="1">
      <c r="A299" s="5" t="n"/>
      <c r="B299" s="5" t="n"/>
    </row>
    <row r="300" ht="26" customHeight="1" s="1">
      <c r="A300" s="5" t="n"/>
      <c r="B300" s="5" t="n"/>
    </row>
    <row r="301" ht="26" customHeight="1" s="1">
      <c r="A301" s="5" t="n"/>
      <c r="B301" s="5" t="n"/>
    </row>
    <row r="302" ht="26" customHeight="1" s="1">
      <c r="A302" s="5" t="n"/>
      <c r="B302" s="5" t="n"/>
    </row>
    <row r="303" ht="26" customHeight="1" s="1">
      <c r="A303" s="5" t="n"/>
      <c r="B303" s="5" t="n"/>
    </row>
    <row r="304" ht="26" customHeight="1" s="1">
      <c r="A304" s="5" t="n"/>
      <c r="B304" s="5" t="n"/>
    </row>
    <row r="305" ht="26" customHeight="1" s="1">
      <c r="A305" s="5" t="n"/>
      <c r="B305" s="5" t="n"/>
    </row>
    <row r="306" ht="26" customHeight="1" s="1">
      <c r="A306" s="5" t="n"/>
      <c r="B306" s="5" t="n"/>
    </row>
    <row r="307" ht="26" customHeight="1" s="1">
      <c r="A307" s="5" t="n"/>
      <c r="B307" s="5" t="n"/>
    </row>
    <row r="308" ht="26" customHeight="1" s="1">
      <c r="A308" s="5" t="n"/>
      <c r="B308" s="5" t="n"/>
    </row>
    <row r="309" ht="26" customHeight="1" s="1">
      <c r="A309" s="5" t="n"/>
      <c r="B309" s="5" t="n"/>
    </row>
    <row r="310" ht="26" customHeight="1" s="1">
      <c r="A310" s="5" t="n"/>
      <c r="B310" s="5" t="n"/>
    </row>
    <row r="311" ht="26" customHeight="1" s="1">
      <c r="A311" s="5" t="n"/>
      <c r="B311" s="5" t="n"/>
    </row>
    <row r="312" ht="26" customHeight="1" s="1">
      <c r="A312" s="5" t="n"/>
      <c r="B312" s="5" t="n"/>
    </row>
    <row r="313" ht="26" customHeight="1" s="1">
      <c r="A313" s="5" t="n"/>
      <c r="B313" s="5" t="n"/>
    </row>
    <row r="314" ht="26" customHeight="1" s="1">
      <c r="A314" s="5" t="n"/>
      <c r="B314" s="5" t="n"/>
    </row>
    <row r="315" ht="26" customHeight="1" s="1">
      <c r="A315" s="5" t="n"/>
      <c r="B315" s="5" t="n"/>
    </row>
    <row r="316" ht="26" customHeight="1" s="1">
      <c r="A316" s="5" t="n"/>
      <c r="B316" s="5" t="n"/>
    </row>
    <row r="317" ht="26" customHeight="1" s="1">
      <c r="A317" s="5" t="n"/>
      <c r="B317" s="5" t="n"/>
    </row>
    <row r="318" ht="26" customHeight="1" s="1">
      <c r="A318" s="5" t="n"/>
      <c r="B318" s="5" t="n"/>
    </row>
    <row r="319" ht="26" customHeight="1" s="1">
      <c r="A319" s="5" t="n"/>
      <c r="B319" s="5" t="n"/>
    </row>
    <row r="320" ht="26" customHeight="1" s="1">
      <c r="A320" s="5" t="n"/>
      <c r="B320" s="5" t="n"/>
    </row>
    <row r="321" ht="26" customHeight="1" s="1">
      <c r="A321" s="5" t="n"/>
      <c r="B321" s="5" t="n"/>
    </row>
    <row r="322" ht="26" customHeight="1" s="1">
      <c r="A322" s="5" t="n"/>
      <c r="B322" s="5" t="n"/>
    </row>
    <row r="323" ht="26" customHeight="1" s="1">
      <c r="A323" s="5" t="n"/>
      <c r="B323" s="5" t="n"/>
    </row>
    <row r="324" ht="26" customHeight="1" s="1">
      <c r="A324" s="5" t="n"/>
      <c r="B324" s="5" t="n"/>
    </row>
    <row r="325" ht="26" customHeight="1" s="1">
      <c r="A325" s="5" t="n"/>
      <c r="B325" s="5" t="n"/>
    </row>
    <row r="326" ht="26" customHeight="1" s="1">
      <c r="A326" s="5" t="n"/>
      <c r="B326" s="5" t="n"/>
    </row>
    <row r="327" ht="26" customHeight="1" s="1">
      <c r="A327" s="5" t="n"/>
      <c r="B327" s="5" t="n"/>
    </row>
    <row r="328" ht="26" customHeight="1" s="1">
      <c r="A328" s="5" t="n"/>
      <c r="B328" s="5" t="n"/>
    </row>
    <row r="329" ht="26" customHeight="1" s="1">
      <c r="A329" s="5" t="n"/>
      <c r="B329" s="5" t="n"/>
    </row>
    <row r="330" ht="26" customHeight="1" s="1">
      <c r="A330" s="5" t="n"/>
      <c r="B330" s="5" t="n"/>
    </row>
    <row r="331" ht="26" customHeight="1" s="1">
      <c r="A331" s="5" t="n"/>
      <c r="B331" s="5" t="n"/>
    </row>
    <row r="332" ht="26" customHeight="1" s="1">
      <c r="A332" s="5" t="n"/>
      <c r="B332" s="5" t="n"/>
    </row>
    <row r="333" ht="26" customHeight="1" s="1">
      <c r="A333" s="5" t="n"/>
      <c r="B333" s="5" t="n"/>
    </row>
    <row r="334" ht="26" customHeight="1" s="1">
      <c r="A334" s="5" t="n"/>
      <c r="B334" s="5" t="n"/>
    </row>
    <row r="335" ht="26" customHeight="1" s="1">
      <c r="A335" s="5" t="n"/>
      <c r="B335" s="5" t="n"/>
    </row>
    <row r="336" ht="26" customHeight="1" s="1">
      <c r="A336" s="5" t="n"/>
      <c r="B336" s="5" t="n"/>
    </row>
    <row r="337" ht="26" customHeight="1" s="1">
      <c r="A337" s="5" t="n"/>
      <c r="B337" s="5" t="n"/>
    </row>
    <row r="338" ht="26" customHeight="1" s="1">
      <c r="A338" s="5" t="n"/>
      <c r="B338" s="5" t="n"/>
    </row>
    <row r="339" ht="26" customHeight="1" s="1">
      <c r="A339" s="5" t="n"/>
      <c r="B339" s="5" t="n"/>
    </row>
    <row r="340" ht="26" customHeight="1" s="1">
      <c r="A340" s="5" t="n"/>
      <c r="B340" s="5" t="n"/>
    </row>
    <row r="341" ht="26" customHeight="1" s="1">
      <c r="A341" s="5" t="n"/>
      <c r="B341" s="5" t="n"/>
    </row>
    <row r="342" ht="26" customHeight="1" s="1">
      <c r="A342" s="5" t="n"/>
      <c r="B342" s="5" t="n"/>
    </row>
    <row r="343" ht="26" customHeight="1" s="1">
      <c r="A343" s="5" t="n"/>
      <c r="B343" s="5" t="n"/>
    </row>
    <row r="344" ht="26" customHeight="1" s="1">
      <c r="A344" s="5" t="n"/>
      <c r="B344" s="5" t="n"/>
    </row>
    <row r="345" ht="26" customHeight="1" s="1">
      <c r="A345" s="5" t="n"/>
      <c r="B345" s="5" t="n"/>
    </row>
    <row r="346" ht="26" customHeight="1" s="1">
      <c r="A346" s="5" t="n"/>
      <c r="B346" s="5" t="n"/>
    </row>
    <row r="347" ht="26" customHeight="1" s="1">
      <c r="A347" s="5" t="n"/>
      <c r="B347" s="5" t="n"/>
    </row>
    <row r="348" ht="26" customHeight="1" s="1">
      <c r="A348" s="5" t="n"/>
      <c r="B348" s="5" t="n"/>
    </row>
    <row r="349" ht="26" customHeight="1" s="1">
      <c r="A349" s="5" t="n"/>
      <c r="B349" s="5" t="n"/>
    </row>
    <row r="350" ht="26" customHeight="1" s="1">
      <c r="A350" s="5" t="n"/>
      <c r="B350" s="5" t="n"/>
    </row>
    <row r="351" ht="26" customHeight="1" s="1">
      <c r="A351" s="5" t="n"/>
      <c r="B351" s="5" t="n"/>
    </row>
    <row r="353">
      <c r="A353" s="3" t="inlineStr">
        <is>
          <t>※ サンプルを、監視したい銘柄コード（4桁）と銘柄名に書き換えてください。</t>
        </is>
      </c>
    </row>
  </sheetData>
  <autoFilter ref="A1:B1"/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B354"/>
  <sheetViews>
    <sheetView workbookViewId="0">
      <pane xSplit="4" ySplit="2" topLeftCell="E3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" customWidth="1" style="1" min="1" max="1"/>
    <col width="10" customWidth="1" style="1" min="2" max="2"/>
    <col width="14" customWidth="1" style="1" min="3" max="3"/>
    <col width="20" customWidth="1" style="1" min="4" max="4"/>
    <col width="12" customWidth="1" style="1" min="5" max="5"/>
    <col width="12" customWidth="1" style="1" min="6" max="6"/>
    <col width="12" customWidth="1" style="1" min="7" max="7"/>
    <col width="12" customWidth="1" style="1" min="8" max="8"/>
    <col width="14" customWidth="1" style="1" min="9" max="9"/>
    <col width="12" customWidth="1" style="1" min="10" max="10"/>
    <col width="12" customWidth="1" style="1" min="11" max="11"/>
    <col width="12" customWidth="1" style="1" min="12" max="12"/>
    <col width="12" customWidth="1" style="1" min="13" max="13"/>
    <col width="15" customWidth="1" style="1" min="14" max="14"/>
    <col width="12" customWidth="1" style="1" min="15" max="15"/>
    <col width="12" customWidth="1" style="1" min="16" max="16"/>
    <col width="12" customWidth="1" style="1" min="17" max="17"/>
    <col width="12" customWidth="1" style="1" min="18" max="18"/>
    <col width="12" customWidth="1" style="1" min="19" max="19"/>
    <col width="12" customWidth="1" style="1" min="20" max="20"/>
    <col width="12" customWidth="1" style="1" min="21" max="21"/>
    <col width="12" customWidth="1" style="1" min="22" max="22"/>
    <col width="12" customWidth="1" style="1" min="23" max="23"/>
    <col width="12" customWidth="1" style="1" min="24" max="24"/>
    <col width="11" customWidth="1" style="1" min="25" max="25"/>
    <col width="12" customWidth="1" style="1" min="26" max="26"/>
    <col width="12" customWidth="1" style="1" min="27" max="27"/>
    <col width="12" customWidth="1" style="1" min="28" max="28"/>
  </cols>
  <sheetData>
    <row r="1" ht="44" customHeight="1" s="1">
      <c r="A1" s="6" t="n"/>
      <c r="B1" s="7" t="n"/>
      <c r="C1" s="7" t="n"/>
      <c r="D1" s="7" t="n"/>
      <c r="E1" s="7" t="n"/>
      <c r="F1" s="7" t="n"/>
      <c r="G1" s="7" t="n"/>
      <c r="H1" s="7" t="n"/>
      <c r="I1" s="7" t="n"/>
      <c r="J1" s="7" t="n"/>
      <c r="K1" s="7" t="n"/>
      <c r="L1" s="7" t="n"/>
      <c r="M1" s="7" t="n"/>
      <c r="N1" s="7" t="n"/>
      <c r="O1" s="7" t="n"/>
      <c r="P1" s="7" t="n"/>
      <c r="Q1" s="7" t="n"/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</row>
    <row r="2" ht="46" customHeight="1" s="1">
      <c r="A2" s="4" t="inlineStr">
        <is>
          <t>No</t>
        </is>
      </c>
      <c r="B2" s="4" t="inlineStr">
        <is>
          <t>株探リンク</t>
        </is>
      </c>
      <c r="C2" s="4" t="inlineStr">
        <is>
          <t>銘柄コード</t>
        </is>
      </c>
      <c r="D2" s="4" t="inlineStr">
        <is>
          <t>銘柄名</t>
        </is>
      </c>
      <c r="E2" s="4" t="inlineStr">
        <is>
          <t>現在値</t>
        </is>
      </c>
      <c r="F2" s="4" t="inlineStr">
        <is>
          <t>高値</t>
        </is>
      </c>
      <c r="G2" s="4" t="inlineStr">
        <is>
          <t>安値</t>
        </is>
      </c>
      <c r="H2" s="4" t="inlineStr">
        <is>
          <t>終値</t>
        </is>
      </c>
      <c r="I2" s="4" t="inlineStr">
        <is>
          <t>出来高</t>
        </is>
      </c>
      <c r="J2" s="4" t="inlineStr">
        <is>
          <t>前日高値</t>
        </is>
      </c>
      <c r="K2" s="4" t="inlineStr">
        <is>
          <t>前日安値</t>
        </is>
      </c>
      <c r="L2" s="4" t="inlineStr">
        <is>
          <t>前日終値</t>
        </is>
      </c>
      <c r="M2" s="4" t="inlineStr">
        <is>
          <t>寄り方向</t>
        </is>
      </c>
      <c r="N2" s="4" t="inlineStr">
        <is>
          <t>ATR(14・5分足)</t>
        </is>
      </c>
      <c r="O2" s="4" t="inlineStr">
        <is>
          <t>ゾーン</t>
        </is>
      </c>
      <c r="P2" s="4" t="inlineStr">
        <is>
          <t>STOP-BUY</t>
        </is>
      </c>
      <c r="Q2" s="4" t="inlineStr">
        <is>
          <t>STOP-SELL</t>
        </is>
      </c>
      <c r="R2" s="4" t="inlineStr">
        <is>
          <t>売買種別</t>
        </is>
      </c>
      <c r="S2" s="4" t="inlineStr">
        <is>
          <t>Entry</t>
        </is>
      </c>
      <c r="T2" s="4" t="inlineStr">
        <is>
          <t>SL</t>
        </is>
      </c>
      <c r="U2" s="4" t="inlineStr">
        <is>
          <t>TP1</t>
        </is>
      </c>
      <c r="V2" s="4" t="inlineStr">
        <is>
          <t>TP2</t>
        </is>
      </c>
      <c r="W2" s="4" t="inlineStr">
        <is>
          <t>TP3</t>
        </is>
      </c>
      <c r="X2" s="4" t="inlineStr">
        <is>
          <t>2回目戻し</t>
        </is>
      </c>
      <c r="Y2" s="4" t="inlineStr">
        <is>
          <t>時間帯</t>
        </is>
      </c>
      <c r="Z2" s="4" t="inlineStr">
        <is>
          <t>ボラフィルタ</t>
        </is>
      </c>
      <c r="AA2" s="4" t="inlineStr">
        <is>
          <t>ダマシ除去</t>
        </is>
      </c>
      <c r="AB2" s="4" t="inlineStr">
        <is>
          <t>トレンド方向</t>
        </is>
      </c>
    </row>
    <row r="3" ht="26" customHeight="1" s="1">
      <c r="A3" s="8">
        <f>IF(C3="","",ROW()-2)</f>
        <v/>
      </c>
      <c r="B3" s="9">
        <f>IF('StockList_MS2'!A2="","",HYPERLINK("https://kabutan.jp/stock/?code="&amp;'StockList_MS2'!A2,"株探"))</f>
        <v/>
      </c>
      <c r="C3" s="8">
        <f>IF('StockList_MS2'!A2="","",'StockList_MS2'!A2)</f>
        <v/>
      </c>
      <c r="D3" s="10">
        <f>IF('StockList_MS2'!A2="","",'StockList_MS2'!B2)</f>
        <v/>
      </c>
      <c r="E3" s="11" t="n">
        <v>2500</v>
      </c>
      <c r="F3" s="11" t="n">
        <v>2545</v>
      </c>
      <c r="G3" s="11" t="n">
        <v>2470</v>
      </c>
      <c r="H3" s="11" t="n">
        <v>2495</v>
      </c>
      <c r="I3" s="12" t="n">
        <v>15000000</v>
      </c>
      <c r="J3" s="11" t="n">
        <v>2520</v>
      </c>
      <c r="K3" s="11" t="n">
        <v>2460</v>
      </c>
      <c r="L3" s="11" t="n">
        <v>2490</v>
      </c>
      <c r="M3" s="8">
        <f>IF(E3="","",IF(E3&gt;L3,"BUY-DAY","SELL-DAY"))</f>
        <v/>
      </c>
      <c r="N3" s="13">
        <f>IF(E3="","",MAX(F3-G3,ABS(F3-L3),ABS(G3-L3)))</f>
        <v/>
      </c>
      <c r="O3" s="8">
        <f>IF(E3="","",IF(AND(I3&gt;0,I3&gt;(I3/3)*2.5),"VOL-OK","VOL-NG"))</f>
        <v/>
      </c>
      <c r="P3" s="8">
        <f>IF(E3="","",IF(E3&gt;J3,"ON","OFF"))</f>
        <v/>
      </c>
      <c r="Q3" s="8">
        <f>IF(E3="","",IF(E3&lt;K3,"ON","OFF"))</f>
        <v/>
      </c>
      <c r="R3" s="8">
        <f>IF(OR(E3="",N3&lt;=0),"",IF(AND(M3="BUY-DAY",O3="VOL-OK",Q3="ON",AA3="OK",AB3&lt;&gt;"DOWN"),"BUY",IF(AND(M3="SELL-DAY",O3="VOL-OK",P3="ON",AA3="OK",AB3&lt;&gt;"UP"),"SELL","")))</f>
        <v/>
      </c>
      <c r="S3" s="13">
        <f>IF(R3="","",E3)</f>
        <v/>
      </c>
      <c r="T3" s="13">
        <f>IF(R3="","",IF(R3="BUY",E3-N3*1.5,E3+N3*1.5))</f>
        <v/>
      </c>
      <c r="U3" s="13">
        <f>IF(R3="","",IF(R3="BUY",E3+N3*1.5,E3-N3*1.5))</f>
        <v/>
      </c>
      <c r="V3" s="13">
        <f>IF(R3="","",IF(R3="BUY",E3+N3*2,E3-N3*2))</f>
        <v/>
      </c>
      <c r="W3" s="13">
        <f>IF(R3="","",IF(R3="BUY",E3+N3*3,E3-N3*3))</f>
        <v/>
      </c>
      <c r="X3" s="8">
        <f>IF(OR(E3="",N3&lt;=0),"",IF(AND(E3&gt;H3,ABS(E3-H3)&lt;N3*0.5),"2ND","1ST"))</f>
        <v/>
      </c>
      <c r="Y3" s="8">
        <f>IF(OR(E3="",N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" s="8">
        <f>IF(OR(E3="",N3&lt;=0),"",IF(N3&gt;E3*0.05,"VOL-HIGH","VOL-NORMAL"))</f>
        <v/>
      </c>
      <c r="AA3" s="8">
        <f>IF(OR(E3="",N3&lt;=0),"",IF(AND(O3="VOL-OK",Z3="VOL-NORMAL",X3="2ND"),"OK","NG"))</f>
        <v/>
      </c>
      <c r="AB3" s="8">
        <f>IF(OR(E3="",N3&lt;=0),"",IF(AND(F3&gt;J3,G3&gt;K3),"UP",IF(AND(F3&lt;J3,G3&lt;K3),"DOWN","FLAT")))</f>
        <v/>
      </c>
    </row>
    <row r="4" ht="26" customHeight="1" s="1">
      <c r="A4" s="14">
        <f>IF(C4="","",ROW()-2)</f>
        <v/>
      </c>
      <c r="B4" s="15">
        <f>IF('StockList_MS2'!A3="","",HYPERLINK("https://kabutan.jp/stock/?code="&amp;'StockList_MS2'!A3,"株探"))</f>
        <v/>
      </c>
      <c r="C4" s="14">
        <f>IF('StockList_MS2'!A3="","",'StockList_MS2'!A3)</f>
        <v/>
      </c>
      <c r="D4" s="16">
        <f>IF('StockList_MS2'!A3="","",'StockList_MS2'!B3)</f>
        <v/>
      </c>
      <c r="E4" s="17" t="n"/>
      <c r="F4" s="17" t="n"/>
      <c r="G4" s="17" t="n"/>
      <c r="H4" s="17" t="n"/>
      <c r="I4" s="18" t="n"/>
      <c r="J4" s="17" t="n"/>
      <c r="K4" s="17" t="n"/>
      <c r="L4" s="17" t="n"/>
      <c r="M4" s="14">
        <f>IF(E4="","",IF(E4&gt;L4,"BUY-DAY","SELL-DAY"))</f>
        <v/>
      </c>
      <c r="N4" s="19">
        <f>IF(E4="","",MAX(F4-G4,ABS(F4-L4),ABS(G4-L4)))</f>
        <v/>
      </c>
      <c r="O4" s="14">
        <f>IF(E4="","",IF(AND(I4&gt;0,I4&gt;(I4/3)*2.5),"VOL-OK","VOL-NG"))</f>
        <v/>
      </c>
      <c r="P4" s="14">
        <f>IF(E4="","",IF(E4&gt;J4,"ON","OFF"))</f>
        <v/>
      </c>
      <c r="Q4" s="14">
        <f>IF(E4="","",IF(E4&lt;K4,"ON","OFF"))</f>
        <v/>
      </c>
      <c r="R4" s="14">
        <f>IF(OR(E4="",N4&lt;=0),"",IF(AND(M4="BUY-DAY",O4="VOL-OK",Q4="ON",AA4="OK",AB4&lt;&gt;"DOWN"),"BUY",IF(AND(M4="SELL-DAY",O4="VOL-OK",P4="ON",AA4="OK",AB4&lt;&gt;"UP"),"SELL","")))</f>
        <v/>
      </c>
      <c r="S4" s="19">
        <f>IF(R4="","",E4)</f>
        <v/>
      </c>
      <c r="T4" s="19">
        <f>IF(R4="","",IF(R4="BUY",E4-N4*1.5,E4+N4*1.5))</f>
        <v/>
      </c>
      <c r="U4" s="19">
        <f>IF(R4="","",IF(R4="BUY",E4+N4*1.5,E4-N4*1.5))</f>
        <v/>
      </c>
      <c r="V4" s="19">
        <f>IF(R4="","",IF(R4="BUY",E4+N4*2,E4-N4*2))</f>
        <v/>
      </c>
      <c r="W4" s="19">
        <f>IF(R4="","",IF(R4="BUY",E4+N4*3,E4-N4*3))</f>
        <v/>
      </c>
      <c r="X4" s="14">
        <f>IF(OR(E4="",N4&lt;=0),"",IF(AND(E4&gt;H4,ABS(E4-H4)&lt;N4*0.5),"2ND","1ST"))</f>
        <v/>
      </c>
      <c r="Y4" s="14">
        <f>IF(OR(E4="",N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4" s="14">
        <f>IF(OR(E4="",N4&lt;=0),"",IF(N4&gt;E4*0.05,"VOL-HIGH","VOL-NORMAL"))</f>
        <v/>
      </c>
      <c r="AA4" s="14">
        <f>IF(OR(E4="",N4&lt;=0),"",IF(AND(O4="VOL-OK",Z4="VOL-NORMAL",X4="2ND"),"OK","NG"))</f>
        <v/>
      </c>
      <c r="AB4" s="14">
        <f>IF(OR(E4="",N4&lt;=0),"",IF(AND(F4&gt;J4,G4&gt;K4),"UP",IF(AND(F4&lt;J4,G4&lt;K4),"DOWN","FLAT")))</f>
        <v/>
      </c>
    </row>
    <row r="5" ht="26" customHeight="1" s="1">
      <c r="A5" s="8">
        <f>IF(C5="","",ROW()-2)</f>
        <v/>
      </c>
      <c r="B5" s="9">
        <f>IF('StockList_MS2'!A4="","",HYPERLINK("https://kabutan.jp/stock/?code="&amp;'StockList_MS2'!A4,"株探"))</f>
        <v/>
      </c>
      <c r="C5" s="8">
        <f>IF('StockList_MS2'!A4="","",'StockList_MS2'!A4)</f>
        <v/>
      </c>
      <c r="D5" s="10">
        <f>IF('StockList_MS2'!A4="","",'StockList_MS2'!B4)</f>
        <v/>
      </c>
      <c r="E5" s="11" t="n"/>
      <c r="F5" s="11" t="n"/>
      <c r="G5" s="11" t="n"/>
      <c r="H5" s="11" t="n"/>
      <c r="I5" s="12" t="n"/>
      <c r="J5" s="11" t="n"/>
      <c r="K5" s="11" t="n"/>
      <c r="L5" s="11" t="n"/>
      <c r="M5" s="8">
        <f>IF(E5="","",IF(E5&gt;L5,"BUY-DAY","SELL-DAY"))</f>
        <v/>
      </c>
      <c r="N5" s="13">
        <f>IF(E5="","",MAX(F5-G5,ABS(F5-L5),ABS(G5-L5)))</f>
        <v/>
      </c>
      <c r="O5" s="8">
        <f>IF(E5="","",IF(AND(I5&gt;0,I5&gt;(I5/3)*2.5),"VOL-OK","VOL-NG"))</f>
        <v/>
      </c>
      <c r="P5" s="8">
        <f>IF(E5="","",IF(E5&gt;J5,"ON","OFF"))</f>
        <v/>
      </c>
      <c r="Q5" s="8">
        <f>IF(E5="","",IF(E5&lt;K5,"ON","OFF"))</f>
        <v/>
      </c>
      <c r="R5" s="8">
        <f>IF(OR(E5="",N5&lt;=0),"",IF(AND(M5="BUY-DAY",O5="VOL-OK",Q5="ON",AA5="OK",AB5&lt;&gt;"DOWN"),"BUY",IF(AND(M5="SELL-DAY",O5="VOL-OK",P5="ON",AA5="OK",AB5&lt;&gt;"UP"),"SELL","")))</f>
        <v/>
      </c>
      <c r="S5" s="13">
        <f>IF(R5="","",E5)</f>
        <v/>
      </c>
      <c r="T5" s="13">
        <f>IF(R5="","",IF(R5="BUY",E5-N5*1.5,E5+N5*1.5))</f>
        <v/>
      </c>
      <c r="U5" s="13">
        <f>IF(R5="","",IF(R5="BUY",E5+N5*1.5,E5-N5*1.5))</f>
        <v/>
      </c>
      <c r="V5" s="13">
        <f>IF(R5="","",IF(R5="BUY",E5+N5*2,E5-N5*2))</f>
        <v/>
      </c>
      <c r="W5" s="13">
        <f>IF(R5="","",IF(R5="BUY",E5+N5*3,E5-N5*3))</f>
        <v/>
      </c>
      <c r="X5" s="8">
        <f>IF(OR(E5="",N5&lt;=0),"",IF(AND(E5&gt;H5,ABS(E5-H5)&lt;N5*0.5),"2ND","1ST"))</f>
        <v/>
      </c>
      <c r="Y5" s="8">
        <f>IF(OR(E5="",N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5" s="8">
        <f>IF(OR(E5="",N5&lt;=0),"",IF(N5&gt;E5*0.05,"VOL-HIGH","VOL-NORMAL"))</f>
        <v/>
      </c>
      <c r="AA5" s="8">
        <f>IF(OR(E5="",N5&lt;=0),"",IF(AND(O5="VOL-OK",Z5="VOL-NORMAL",X5="2ND"),"OK","NG"))</f>
        <v/>
      </c>
      <c r="AB5" s="8">
        <f>IF(OR(E5="",N5&lt;=0),"",IF(AND(F5&gt;J5,G5&gt;K5),"UP",IF(AND(F5&lt;J5,G5&lt;K5),"DOWN","FLAT")))</f>
        <v/>
      </c>
    </row>
    <row r="6" ht="26" customHeight="1" s="1">
      <c r="A6" s="14">
        <f>IF(C6="","",ROW()-2)</f>
        <v/>
      </c>
      <c r="B6" s="15">
        <f>IF('StockList_MS2'!A5="","",HYPERLINK("https://kabutan.jp/stock/?code="&amp;'StockList_MS2'!A5,"株探"))</f>
        <v/>
      </c>
      <c r="C6" s="14">
        <f>IF('StockList_MS2'!A5="","",'StockList_MS2'!A5)</f>
        <v/>
      </c>
      <c r="D6" s="16">
        <f>IF('StockList_MS2'!A5="","",'StockList_MS2'!B5)</f>
        <v/>
      </c>
      <c r="E6" s="17" t="n"/>
      <c r="F6" s="17" t="n"/>
      <c r="G6" s="17" t="n"/>
      <c r="H6" s="17" t="n"/>
      <c r="I6" s="18" t="n"/>
      <c r="J6" s="17" t="n"/>
      <c r="K6" s="17" t="n"/>
      <c r="L6" s="17" t="n"/>
      <c r="M6" s="14">
        <f>IF(E6="","",IF(E6&gt;L6,"BUY-DAY","SELL-DAY"))</f>
        <v/>
      </c>
      <c r="N6" s="19">
        <f>IF(E6="","",MAX(F6-G6,ABS(F6-L6),ABS(G6-L6)))</f>
        <v/>
      </c>
      <c r="O6" s="14">
        <f>IF(E6="","",IF(AND(I6&gt;0,I6&gt;(I6/3)*2.5),"VOL-OK","VOL-NG"))</f>
        <v/>
      </c>
      <c r="P6" s="14">
        <f>IF(E6="","",IF(E6&gt;J6,"ON","OFF"))</f>
        <v/>
      </c>
      <c r="Q6" s="14">
        <f>IF(E6="","",IF(E6&lt;K6,"ON","OFF"))</f>
        <v/>
      </c>
      <c r="R6" s="14">
        <f>IF(OR(E6="",N6&lt;=0),"",IF(AND(M6="BUY-DAY",O6="VOL-OK",Q6="ON",AA6="OK",AB6&lt;&gt;"DOWN"),"BUY",IF(AND(M6="SELL-DAY",O6="VOL-OK",P6="ON",AA6="OK",AB6&lt;&gt;"UP"),"SELL","")))</f>
        <v/>
      </c>
      <c r="S6" s="19">
        <f>IF(R6="","",E6)</f>
        <v/>
      </c>
      <c r="T6" s="19">
        <f>IF(R6="","",IF(R6="BUY",E6-N6*1.5,E6+N6*1.5))</f>
        <v/>
      </c>
      <c r="U6" s="19">
        <f>IF(R6="","",IF(R6="BUY",E6+N6*1.5,E6-N6*1.5))</f>
        <v/>
      </c>
      <c r="V6" s="19">
        <f>IF(R6="","",IF(R6="BUY",E6+N6*2,E6-N6*2))</f>
        <v/>
      </c>
      <c r="W6" s="19">
        <f>IF(R6="","",IF(R6="BUY",E6+N6*3,E6-N6*3))</f>
        <v/>
      </c>
      <c r="X6" s="14">
        <f>IF(OR(E6="",N6&lt;=0),"",IF(AND(E6&gt;H6,ABS(E6-H6)&lt;N6*0.5),"2ND","1ST"))</f>
        <v/>
      </c>
      <c r="Y6" s="14">
        <f>IF(OR(E6="",N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6" s="14">
        <f>IF(OR(E6="",N6&lt;=0),"",IF(N6&gt;E6*0.05,"VOL-HIGH","VOL-NORMAL"))</f>
        <v/>
      </c>
      <c r="AA6" s="14">
        <f>IF(OR(E6="",N6&lt;=0),"",IF(AND(O6="VOL-OK",Z6="VOL-NORMAL",X6="2ND"),"OK","NG"))</f>
        <v/>
      </c>
      <c r="AB6" s="14">
        <f>IF(OR(E6="",N6&lt;=0),"",IF(AND(F6&gt;J6,G6&gt;K6),"UP",IF(AND(F6&lt;J6,G6&lt;K6),"DOWN","FLAT")))</f>
        <v/>
      </c>
    </row>
    <row r="7" ht="26" customHeight="1" s="1">
      <c r="A7" s="8">
        <f>IF(C7="","",ROW()-2)</f>
        <v/>
      </c>
      <c r="B7" s="9">
        <f>IF('StockList_MS2'!A6="","",HYPERLINK("https://kabutan.jp/stock/?code="&amp;'StockList_MS2'!A6,"株探"))</f>
        <v/>
      </c>
      <c r="C7" s="8">
        <f>IF('StockList_MS2'!A6="","",'StockList_MS2'!A6)</f>
        <v/>
      </c>
      <c r="D7" s="10">
        <f>IF('StockList_MS2'!A6="","",'StockList_MS2'!B6)</f>
        <v/>
      </c>
      <c r="E7" s="11" t="n"/>
      <c r="F7" s="11" t="n"/>
      <c r="G7" s="11" t="n"/>
      <c r="H7" s="11" t="n"/>
      <c r="I7" s="12" t="n"/>
      <c r="J7" s="11" t="n"/>
      <c r="K7" s="11" t="n"/>
      <c r="L7" s="11" t="n"/>
      <c r="M7" s="8">
        <f>IF(E7="","",IF(E7&gt;L7,"BUY-DAY","SELL-DAY"))</f>
        <v/>
      </c>
      <c r="N7" s="13">
        <f>IF(E7="","",MAX(F7-G7,ABS(F7-L7),ABS(G7-L7)))</f>
        <v/>
      </c>
      <c r="O7" s="8">
        <f>IF(E7="","",IF(AND(I7&gt;0,I7&gt;(I7/3)*2.5),"VOL-OK","VOL-NG"))</f>
        <v/>
      </c>
      <c r="P7" s="8">
        <f>IF(E7="","",IF(E7&gt;J7,"ON","OFF"))</f>
        <v/>
      </c>
      <c r="Q7" s="8">
        <f>IF(E7="","",IF(E7&lt;K7,"ON","OFF"))</f>
        <v/>
      </c>
      <c r="R7" s="8">
        <f>IF(OR(E7="",N7&lt;=0),"",IF(AND(M7="BUY-DAY",O7="VOL-OK",Q7="ON",AA7="OK",AB7&lt;&gt;"DOWN"),"BUY",IF(AND(M7="SELL-DAY",O7="VOL-OK",P7="ON",AA7="OK",AB7&lt;&gt;"UP"),"SELL","")))</f>
        <v/>
      </c>
      <c r="S7" s="13">
        <f>IF(R7="","",E7)</f>
        <v/>
      </c>
      <c r="T7" s="13">
        <f>IF(R7="","",IF(R7="BUY",E7-N7*1.5,E7+N7*1.5))</f>
        <v/>
      </c>
      <c r="U7" s="13">
        <f>IF(R7="","",IF(R7="BUY",E7+N7*1.5,E7-N7*1.5))</f>
        <v/>
      </c>
      <c r="V7" s="13">
        <f>IF(R7="","",IF(R7="BUY",E7+N7*2,E7-N7*2))</f>
        <v/>
      </c>
      <c r="W7" s="13">
        <f>IF(R7="","",IF(R7="BUY",E7+N7*3,E7-N7*3))</f>
        <v/>
      </c>
      <c r="X7" s="8">
        <f>IF(OR(E7="",N7&lt;=0),"",IF(AND(E7&gt;H7,ABS(E7-H7)&lt;N7*0.5),"2ND","1ST"))</f>
        <v/>
      </c>
      <c r="Y7" s="8">
        <f>IF(OR(E7="",N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7" s="8">
        <f>IF(OR(E7="",N7&lt;=0),"",IF(N7&gt;E7*0.05,"VOL-HIGH","VOL-NORMAL"))</f>
        <v/>
      </c>
      <c r="AA7" s="8">
        <f>IF(OR(E7="",N7&lt;=0),"",IF(AND(O7="VOL-OK",Z7="VOL-NORMAL",X7="2ND"),"OK","NG"))</f>
        <v/>
      </c>
      <c r="AB7" s="8">
        <f>IF(OR(E7="",N7&lt;=0),"",IF(AND(F7&gt;J7,G7&gt;K7),"UP",IF(AND(F7&lt;J7,G7&lt;K7),"DOWN","FLAT")))</f>
        <v/>
      </c>
    </row>
    <row r="8" ht="26" customHeight="1" s="1">
      <c r="A8" s="14">
        <f>IF(C8="","",ROW()-2)</f>
        <v/>
      </c>
      <c r="B8" s="15">
        <f>IF('StockList_MS2'!A7="","",HYPERLINK("https://kabutan.jp/stock/?code="&amp;'StockList_MS2'!A7,"株探"))</f>
        <v/>
      </c>
      <c r="C8" s="14">
        <f>IF('StockList_MS2'!A7="","",'StockList_MS2'!A7)</f>
        <v/>
      </c>
      <c r="D8" s="16">
        <f>IF('StockList_MS2'!A7="","",'StockList_MS2'!B7)</f>
        <v/>
      </c>
      <c r="E8" s="17" t="n"/>
      <c r="F8" s="17" t="n"/>
      <c r="G8" s="17" t="n"/>
      <c r="H8" s="17" t="n"/>
      <c r="I8" s="18" t="n"/>
      <c r="J8" s="17" t="n"/>
      <c r="K8" s="17" t="n"/>
      <c r="L8" s="17" t="n"/>
      <c r="M8" s="14">
        <f>IF(E8="","",IF(E8&gt;L8,"BUY-DAY","SELL-DAY"))</f>
        <v/>
      </c>
      <c r="N8" s="19">
        <f>IF(E8="","",MAX(F8-G8,ABS(F8-L8),ABS(G8-L8)))</f>
        <v/>
      </c>
      <c r="O8" s="14">
        <f>IF(E8="","",IF(AND(I8&gt;0,I8&gt;(I8/3)*2.5),"VOL-OK","VOL-NG"))</f>
        <v/>
      </c>
      <c r="P8" s="14">
        <f>IF(E8="","",IF(E8&gt;J8,"ON","OFF"))</f>
        <v/>
      </c>
      <c r="Q8" s="14">
        <f>IF(E8="","",IF(E8&lt;K8,"ON","OFF"))</f>
        <v/>
      </c>
      <c r="R8" s="14">
        <f>IF(OR(E8="",N8&lt;=0),"",IF(AND(M8="BUY-DAY",O8="VOL-OK",Q8="ON",AA8="OK",AB8&lt;&gt;"DOWN"),"BUY",IF(AND(M8="SELL-DAY",O8="VOL-OK",P8="ON",AA8="OK",AB8&lt;&gt;"UP"),"SELL","")))</f>
        <v/>
      </c>
      <c r="S8" s="19">
        <f>IF(R8="","",E8)</f>
        <v/>
      </c>
      <c r="T8" s="19">
        <f>IF(R8="","",IF(R8="BUY",E8-N8*1.5,E8+N8*1.5))</f>
        <v/>
      </c>
      <c r="U8" s="19">
        <f>IF(R8="","",IF(R8="BUY",E8+N8*1.5,E8-N8*1.5))</f>
        <v/>
      </c>
      <c r="V8" s="19">
        <f>IF(R8="","",IF(R8="BUY",E8+N8*2,E8-N8*2))</f>
        <v/>
      </c>
      <c r="W8" s="19">
        <f>IF(R8="","",IF(R8="BUY",E8+N8*3,E8-N8*3))</f>
        <v/>
      </c>
      <c r="X8" s="14">
        <f>IF(OR(E8="",N8&lt;=0),"",IF(AND(E8&gt;H8,ABS(E8-H8)&lt;N8*0.5),"2ND","1ST"))</f>
        <v/>
      </c>
      <c r="Y8" s="14">
        <f>IF(OR(E8="",N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8" s="14">
        <f>IF(OR(E8="",N8&lt;=0),"",IF(N8&gt;E8*0.05,"VOL-HIGH","VOL-NORMAL"))</f>
        <v/>
      </c>
      <c r="AA8" s="14">
        <f>IF(OR(E8="",N8&lt;=0),"",IF(AND(O8="VOL-OK",Z8="VOL-NORMAL",X8="2ND"),"OK","NG"))</f>
        <v/>
      </c>
      <c r="AB8" s="14">
        <f>IF(OR(E8="",N8&lt;=0),"",IF(AND(F8&gt;J8,G8&gt;K8),"UP",IF(AND(F8&lt;J8,G8&lt;K8),"DOWN","FLAT")))</f>
        <v/>
      </c>
    </row>
    <row r="9" ht="26" customHeight="1" s="1">
      <c r="A9" s="8">
        <f>IF(C9="","",ROW()-2)</f>
        <v/>
      </c>
      <c r="B9" s="9">
        <f>IF('StockList_MS2'!A8="","",HYPERLINK("https://kabutan.jp/stock/?code="&amp;'StockList_MS2'!A8,"株探"))</f>
        <v/>
      </c>
      <c r="C9" s="8">
        <f>IF('StockList_MS2'!A8="","",'StockList_MS2'!A8)</f>
        <v/>
      </c>
      <c r="D9" s="10">
        <f>IF('StockList_MS2'!A8="","",'StockList_MS2'!B8)</f>
        <v/>
      </c>
      <c r="E9" s="11" t="n"/>
      <c r="F9" s="11" t="n"/>
      <c r="G9" s="11" t="n"/>
      <c r="H9" s="11" t="n"/>
      <c r="I9" s="12" t="n"/>
      <c r="J9" s="11" t="n"/>
      <c r="K9" s="11" t="n"/>
      <c r="L9" s="11" t="n"/>
      <c r="M9" s="8">
        <f>IF(E9="","",IF(E9&gt;L9,"BUY-DAY","SELL-DAY"))</f>
        <v/>
      </c>
      <c r="N9" s="13">
        <f>IF(E9="","",MAX(F9-G9,ABS(F9-L9),ABS(G9-L9)))</f>
        <v/>
      </c>
      <c r="O9" s="8">
        <f>IF(E9="","",IF(AND(I9&gt;0,I9&gt;(I9/3)*2.5),"VOL-OK","VOL-NG"))</f>
        <v/>
      </c>
      <c r="P9" s="8">
        <f>IF(E9="","",IF(E9&gt;J9,"ON","OFF"))</f>
        <v/>
      </c>
      <c r="Q9" s="8">
        <f>IF(E9="","",IF(E9&lt;K9,"ON","OFF"))</f>
        <v/>
      </c>
      <c r="R9" s="8">
        <f>IF(OR(E9="",N9&lt;=0),"",IF(AND(M9="BUY-DAY",O9="VOL-OK",Q9="ON",AA9="OK",AB9&lt;&gt;"DOWN"),"BUY",IF(AND(M9="SELL-DAY",O9="VOL-OK",P9="ON",AA9="OK",AB9&lt;&gt;"UP"),"SELL","")))</f>
        <v/>
      </c>
      <c r="S9" s="13">
        <f>IF(R9="","",E9)</f>
        <v/>
      </c>
      <c r="T9" s="13">
        <f>IF(R9="","",IF(R9="BUY",E9-N9*1.5,E9+N9*1.5))</f>
        <v/>
      </c>
      <c r="U9" s="13">
        <f>IF(R9="","",IF(R9="BUY",E9+N9*1.5,E9-N9*1.5))</f>
        <v/>
      </c>
      <c r="V9" s="13">
        <f>IF(R9="","",IF(R9="BUY",E9+N9*2,E9-N9*2))</f>
        <v/>
      </c>
      <c r="W9" s="13">
        <f>IF(R9="","",IF(R9="BUY",E9+N9*3,E9-N9*3))</f>
        <v/>
      </c>
      <c r="X9" s="8">
        <f>IF(OR(E9="",N9&lt;=0),"",IF(AND(E9&gt;H9,ABS(E9-H9)&lt;N9*0.5),"2ND","1ST"))</f>
        <v/>
      </c>
      <c r="Y9" s="8">
        <f>IF(OR(E9="",N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9" s="8">
        <f>IF(OR(E9="",N9&lt;=0),"",IF(N9&gt;E9*0.05,"VOL-HIGH","VOL-NORMAL"))</f>
        <v/>
      </c>
      <c r="AA9" s="8">
        <f>IF(OR(E9="",N9&lt;=0),"",IF(AND(O9="VOL-OK",Z9="VOL-NORMAL",X9="2ND"),"OK","NG"))</f>
        <v/>
      </c>
      <c r="AB9" s="8">
        <f>IF(OR(E9="",N9&lt;=0),"",IF(AND(F9&gt;J9,G9&gt;K9),"UP",IF(AND(F9&lt;J9,G9&lt;K9),"DOWN","FLAT")))</f>
        <v/>
      </c>
    </row>
    <row r="10" ht="26" customHeight="1" s="1">
      <c r="A10" s="14">
        <f>IF(C10="","",ROW()-2)</f>
        <v/>
      </c>
      <c r="B10" s="15">
        <f>IF('StockList_MS2'!A9="","",HYPERLINK("https://kabutan.jp/stock/?code="&amp;'StockList_MS2'!A9,"株探"))</f>
        <v/>
      </c>
      <c r="C10" s="14">
        <f>IF('StockList_MS2'!A9="","",'StockList_MS2'!A9)</f>
        <v/>
      </c>
      <c r="D10" s="16">
        <f>IF('StockList_MS2'!A9="","",'StockList_MS2'!B9)</f>
        <v/>
      </c>
      <c r="E10" s="17" t="n"/>
      <c r="F10" s="17" t="n"/>
      <c r="G10" s="17" t="n"/>
      <c r="H10" s="17" t="n"/>
      <c r="I10" s="18" t="n"/>
      <c r="J10" s="17" t="n"/>
      <c r="K10" s="17" t="n"/>
      <c r="L10" s="17" t="n"/>
      <c r="M10" s="14">
        <f>IF(E10="","",IF(E10&gt;L10,"BUY-DAY","SELL-DAY"))</f>
        <v/>
      </c>
      <c r="N10" s="19">
        <f>IF(E10="","",MAX(F10-G10,ABS(F10-L10),ABS(G10-L10)))</f>
        <v/>
      </c>
      <c r="O10" s="14">
        <f>IF(E10="","",IF(AND(I10&gt;0,I10&gt;(I10/3)*2.5),"VOL-OK","VOL-NG"))</f>
        <v/>
      </c>
      <c r="P10" s="14">
        <f>IF(E10="","",IF(E10&gt;J10,"ON","OFF"))</f>
        <v/>
      </c>
      <c r="Q10" s="14">
        <f>IF(E10="","",IF(E10&lt;K10,"ON","OFF"))</f>
        <v/>
      </c>
      <c r="R10" s="14">
        <f>IF(OR(E10="",N10&lt;=0),"",IF(AND(M10="BUY-DAY",O10="VOL-OK",Q10="ON",AA10="OK",AB10&lt;&gt;"DOWN"),"BUY",IF(AND(M10="SELL-DAY",O10="VOL-OK",P10="ON",AA10="OK",AB10&lt;&gt;"UP"),"SELL","")))</f>
        <v/>
      </c>
      <c r="S10" s="19">
        <f>IF(R10="","",E10)</f>
        <v/>
      </c>
      <c r="T10" s="19">
        <f>IF(R10="","",IF(R10="BUY",E10-N10*1.5,E10+N10*1.5))</f>
        <v/>
      </c>
      <c r="U10" s="19">
        <f>IF(R10="","",IF(R10="BUY",E10+N10*1.5,E10-N10*1.5))</f>
        <v/>
      </c>
      <c r="V10" s="19">
        <f>IF(R10="","",IF(R10="BUY",E10+N10*2,E10-N10*2))</f>
        <v/>
      </c>
      <c r="W10" s="19">
        <f>IF(R10="","",IF(R10="BUY",E10+N10*3,E10-N10*3))</f>
        <v/>
      </c>
      <c r="X10" s="14">
        <f>IF(OR(E10="",N10&lt;=0),"",IF(AND(E10&gt;H10,ABS(E10-H10)&lt;N10*0.5),"2ND","1ST"))</f>
        <v/>
      </c>
      <c r="Y10" s="14">
        <f>IF(OR(E10="",N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0" s="14">
        <f>IF(OR(E10="",N10&lt;=0),"",IF(N10&gt;E10*0.05,"VOL-HIGH","VOL-NORMAL"))</f>
        <v/>
      </c>
      <c r="AA10" s="14">
        <f>IF(OR(E10="",N10&lt;=0),"",IF(AND(O10="VOL-OK",Z10="VOL-NORMAL",X10="2ND"),"OK","NG"))</f>
        <v/>
      </c>
      <c r="AB10" s="14">
        <f>IF(OR(E10="",N10&lt;=0),"",IF(AND(F10&gt;J10,G10&gt;K10),"UP",IF(AND(F10&lt;J10,G10&lt;K10),"DOWN","FLAT")))</f>
        <v/>
      </c>
    </row>
    <row r="11" ht="26" customHeight="1" s="1">
      <c r="A11" s="8">
        <f>IF(C11="","",ROW()-2)</f>
        <v/>
      </c>
      <c r="B11" s="9">
        <f>IF('StockList_MS2'!A10="","",HYPERLINK("https://kabutan.jp/stock/?code="&amp;'StockList_MS2'!A10,"株探"))</f>
        <v/>
      </c>
      <c r="C11" s="8">
        <f>IF('StockList_MS2'!A10="","",'StockList_MS2'!A10)</f>
        <v/>
      </c>
      <c r="D11" s="10">
        <f>IF('StockList_MS2'!A10="","",'StockList_MS2'!B10)</f>
        <v/>
      </c>
      <c r="E11" s="11" t="n"/>
      <c r="F11" s="11" t="n"/>
      <c r="G11" s="11" t="n"/>
      <c r="H11" s="11" t="n"/>
      <c r="I11" s="12" t="n"/>
      <c r="J11" s="11" t="n"/>
      <c r="K11" s="11" t="n"/>
      <c r="L11" s="11" t="n"/>
      <c r="M11" s="8">
        <f>IF(E11="","",IF(E11&gt;L11,"BUY-DAY","SELL-DAY"))</f>
        <v/>
      </c>
      <c r="N11" s="13">
        <f>IF(E11="","",MAX(F11-G11,ABS(F11-L11),ABS(G11-L11)))</f>
        <v/>
      </c>
      <c r="O11" s="8">
        <f>IF(E11="","",IF(AND(I11&gt;0,I11&gt;(I11/3)*2.5),"VOL-OK","VOL-NG"))</f>
        <v/>
      </c>
      <c r="P11" s="8">
        <f>IF(E11="","",IF(E11&gt;J11,"ON","OFF"))</f>
        <v/>
      </c>
      <c r="Q11" s="8">
        <f>IF(E11="","",IF(E11&lt;K11,"ON","OFF"))</f>
        <v/>
      </c>
      <c r="R11" s="8">
        <f>IF(OR(E11="",N11&lt;=0),"",IF(AND(M11="BUY-DAY",O11="VOL-OK",Q11="ON",AA11="OK",AB11&lt;&gt;"DOWN"),"BUY",IF(AND(M11="SELL-DAY",O11="VOL-OK",P11="ON",AA11="OK",AB11&lt;&gt;"UP"),"SELL","")))</f>
        <v/>
      </c>
      <c r="S11" s="13">
        <f>IF(R11="","",E11)</f>
        <v/>
      </c>
      <c r="T11" s="13">
        <f>IF(R11="","",IF(R11="BUY",E11-N11*1.5,E11+N11*1.5))</f>
        <v/>
      </c>
      <c r="U11" s="13">
        <f>IF(R11="","",IF(R11="BUY",E11+N11*1.5,E11-N11*1.5))</f>
        <v/>
      </c>
      <c r="V11" s="13">
        <f>IF(R11="","",IF(R11="BUY",E11+N11*2,E11-N11*2))</f>
        <v/>
      </c>
      <c r="W11" s="13">
        <f>IF(R11="","",IF(R11="BUY",E11+N11*3,E11-N11*3))</f>
        <v/>
      </c>
      <c r="X11" s="8">
        <f>IF(OR(E11="",N11&lt;=0),"",IF(AND(E11&gt;H11,ABS(E11-H11)&lt;N11*0.5),"2ND","1ST"))</f>
        <v/>
      </c>
      <c r="Y11" s="8">
        <f>IF(OR(E11="",N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1" s="8">
        <f>IF(OR(E11="",N11&lt;=0),"",IF(N11&gt;E11*0.05,"VOL-HIGH","VOL-NORMAL"))</f>
        <v/>
      </c>
      <c r="AA11" s="8">
        <f>IF(OR(E11="",N11&lt;=0),"",IF(AND(O11="VOL-OK",Z11="VOL-NORMAL",X11="2ND"),"OK","NG"))</f>
        <v/>
      </c>
      <c r="AB11" s="8">
        <f>IF(OR(E11="",N11&lt;=0),"",IF(AND(F11&gt;J11,G11&gt;K11),"UP",IF(AND(F11&lt;J11,G11&lt;K11),"DOWN","FLAT")))</f>
        <v/>
      </c>
    </row>
    <row r="12" ht="26" customHeight="1" s="1">
      <c r="A12" s="14">
        <f>IF(C12="","",ROW()-2)</f>
        <v/>
      </c>
      <c r="B12" s="15">
        <f>IF('StockList_MS2'!A11="","",HYPERLINK("https://kabutan.jp/stock/?code="&amp;'StockList_MS2'!A11,"株探"))</f>
        <v/>
      </c>
      <c r="C12" s="14">
        <f>IF('StockList_MS2'!A11="","",'StockList_MS2'!A11)</f>
        <v/>
      </c>
      <c r="D12" s="16">
        <f>IF('StockList_MS2'!A11="","",'StockList_MS2'!B11)</f>
        <v/>
      </c>
      <c r="E12" s="17" t="n"/>
      <c r="F12" s="17" t="n"/>
      <c r="G12" s="17" t="n"/>
      <c r="H12" s="17" t="n"/>
      <c r="I12" s="18" t="n"/>
      <c r="J12" s="17" t="n"/>
      <c r="K12" s="17" t="n"/>
      <c r="L12" s="17" t="n"/>
      <c r="M12" s="14">
        <f>IF(E12="","",IF(E12&gt;L12,"BUY-DAY","SELL-DAY"))</f>
        <v/>
      </c>
      <c r="N12" s="19">
        <f>IF(E12="","",MAX(F12-G12,ABS(F12-L12),ABS(G12-L12)))</f>
        <v/>
      </c>
      <c r="O12" s="14">
        <f>IF(E12="","",IF(AND(I12&gt;0,I12&gt;(I12/3)*2.5),"VOL-OK","VOL-NG"))</f>
        <v/>
      </c>
      <c r="P12" s="14">
        <f>IF(E12="","",IF(E12&gt;J12,"ON","OFF"))</f>
        <v/>
      </c>
      <c r="Q12" s="14">
        <f>IF(E12="","",IF(E12&lt;K12,"ON","OFF"))</f>
        <v/>
      </c>
      <c r="R12" s="14">
        <f>IF(OR(E12="",N12&lt;=0),"",IF(AND(M12="BUY-DAY",O12="VOL-OK",Q12="ON",AA12="OK",AB12&lt;&gt;"DOWN"),"BUY",IF(AND(M12="SELL-DAY",O12="VOL-OK",P12="ON",AA12="OK",AB12&lt;&gt;"UP"),"SELL","")))</f>
        <v/>
      </c>
      <c r="S12" s="19">
        <f>IF(R12="","",E12)</f>
        <v/>
      </c>
      <c r="T12" s="19">
        <f>IF(R12="","",IF(R12="BUY",E12-N12*1.5,E12+N12*1.5))</f>
        <v/>
      </c>
      <c r="U12" s="19">
        <f>IF(R12="","",IF(R12="BUY",E12+N12*1.5,E12-N12*1.5))</f>
        <v/>
      </c>
      <c r="V12" s="19">
        <f>IF(R12="","",IF(R12="BUY",E12+N12*2,E12-N12*2))</f>
        <v/>
      </c>
      <c r="W12" s="19">
        <f>IF(R12="","",IF(R12="BUY",E12+N12*3,E12-N12*3))</f>
        <v/>
      </c>
      <c r="X12" s="14">
        <f>IF(OR(E12="",N12&lt;=0),"",IF(AND(E12&gt;H12,ABS(E12-H12)&lt;N12*0.5),"2ND","1ST"))</f>
        <v/>
      </c>
      <c r="Y12" s="14">
        <f>IF(OR(E12="",N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2" s="14">
        <f>IF(OR(E12="",N12&lt;=0),"",IF(N12&gt;E12*0.05,"VOL-HIGH","VOL-NORMAL"))</f>
        <v/>
      </c>
      <c r="AA12" s="14">
        <f>IF(OR(E12="",N12&lt;=0),"",IF(AND(O12="VOL-OK",Z12="VOL-NORMAL",X12="2ND"),"OK","NG"))</f>
        <v/>
      </c>
      <c r="AB12" s="14">
        <f>IF(OR(E12="",N12&lt;=0),"",IF(AND(F12&gt;J12,G12&gt;K12),"UP",IF(AND(F12&lt;J12,G12&lt;K12),"DOWN","FLAT")))</f>
        <v/>
      </c>
    </row>
    <row r="13" ht="26" customHeight="1" s="1">
      <c r="A13" s="8">
        <f>IF(C13="","",ROW()-2)</f>
        <v/>
      </c>
      <c r="B13" s="9">
        <f>IF('StockList_MS2'!A12="","",HYPERLINK("https://kabutan.jp/stock/?code="&amp;'StockList_MS2'!A12,"株探"))</f>
        <v/>
      </c>
      <c r="C13" s="8">
        <f>IF('StockList_MS2'!A12="","",'StockList_MS2'!A12)</f>
        <v/>
      </c>
      <c r="D13" s="10">
        <f>IF('StockList_MS2'!A12="","",'StockList_MS2'!B12)</f>
        <v/>
      </c>
      <c r="E13" s="11" t="n"/>
      <c r="F13" s="11" t="n"/>
      <c r="G13" s="11" t="n"/>
      <c r="H13" s="11" t="n"/>
      <c r="I13" s="12" t="n"/>
      <c r="J13" s="11" t="n"/>
      <c r="K13" s="11" t="n"/>
      <c r="L13" s="11" t="n"/>
      <c r="M13" s="8">
        <f>IF(E13="","",IF(E13&gt;L13,"BUY-DAY","SELL-DAY"))</f>
        <v/>
      </c>
      <c r="N13" s="13">
        <f>IF(E13="","",MAX(F13-G13,ABS(F13-L13),ABS(G13-L13)))</f>
        <v/>
      </c>
      <c r="O13" s="8">
        <f>IF(E13="","",IF(AND(I13&gt;0,I13&gt;(I13/3)*2.5),"VOL-OK","VOL-NG"))</f>
        <v/>
      </c>
      <c r="P13" s="8">
        <f>IF(E13="","",IF(E13&gt;J13,"ON","OFF"))</f>
        <v/>
      </c>
      <c r="Q13" s="8">
        <f>IF(E13="","",IF(E13&lt;K13,"ON","OFF"))</f>
        <v/>
      </c>
      <c r="R13" s="8">
        <f>IF(OR(E13="",N13&lt;=0),"",IF(AND(M13="BUY-DAY",O13="VOL-OK",Q13="ON",AA13="OK",AB13&lt;&gt;"DOWN"),"BUY",IF(AND(M13="SELL-DAY",O13="VOL-OK",P13="ON",AA13="OK",AB13&lt;&gt;"UP"),"SELL","")))</f>
        <v/>
      </c>
      <c r="S13" s="13">
        <f>IF(R13="","",E13)</f>
        <v/>
      </c>
      <c r="T13" s="13">
        <f>IF(R13="","",IF(R13="BUY",E13-N13*1.5,E13+N13*1.5))</f>
        <v/>
      </c>
      <c r="U13" s="13">
        <f>IF(R13="","",IF(R13="BUY",E13+N13*1.5,E13-N13*1.5))</f>
        <v/>
      </c>
      <c r="V13" s="13">
        <f>IF(R13="","",IF(R13="BUY",E13+N13*2,E13-N13*2))</f>
        <v/>
      </c>
      <c r="W13" s="13">
        <f>IF(R13="","",IF(R13="BUY",E13+N13*3,E13-N13*3))</f>
        <v/>
      </c>
      <c r="X13" s="8">
        <f>IF(OR(E13="",N13&lt;=0),"",IF(AND(E13&gt;H13,ABS(E13-H13)&lt;N13*0.5),"2ND","1ST"))</f>
        <v/>
      </c>
      <c r="Y13" s="8">
        <f>IF(OR(E13="",N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3" s="8">
        <f>IF(OR(E13="",N13&lt;=0),"",IF(N13&gt;E13*0.05,"VOL-HIGH","VOL-NORMAL"))</f>
        <v/>
      </c>
      <c r="AA13" s="8">
        <f>IF(OR(E13="",N13&lt;=0),"",IF(AND(O13="VOL-OK",Z13="VOL-NORMAL",X13="2ND"),"OK","NG"))</f>
        <v/>
      </c>
      <c r="AB13" s="8">
        <f>IF(OR(E13="",N13&lt;=0),"",IF(AND(F13&gt;J13,G13&gt;K13),"UP",IF(AND(F13&lt;J13,G13&lt;K13),"DOWN","FLAT")))</f>
        <v/>
      </c>
    </row>
    <row r="14" ht="26" customHeight="1" s="1">
      <c r="A14" s="14">
        <f>IF(C14="","",ROW()-2)</f>
        <v/>
      </c>
      <c r="B14" s="15">
        <f>IF('StockList_MS2'!A13="","",HYPERLINK("https://kabutan.jp/stock/?code="&amp;'StockList_MS2'!A13,"株探"))</f>
        <v/>
      </c>
      <c r="C14" s="14">
        <f>IF('StockList_MS2'!A13="","",'StockList_MS2'!A13)</f>
        <v/>
      </c>
      <c r="D14" s="16">
        <f>IF('StockList_MS2'!A13="","",'StockList_MS2'!B13)</f>
        <v/>
      </c>
      <c r="E14" s="17" t="n"/>
      <c r="F14" s="17" t="n"/>
      <c r="G14" s="17" t="n"/>
      <c r="H14" s="17" t="n"/>
      <c r="I14" s="18" t="n"/>
      <c r="J14" s="17" t="n"/>
      <c r="K14" s="17" t="n"/>
      <c r="L14" s="17" t="n"/>
      <c r="M14" s="14">
        <f>IF(E14="","",IF(E14&gt;L14,"BUY-DAY","SELL-DAY"))</f>
        <v/>
      </c>
      <c r="N14" s="19">
        <f>IF(E14="","",MAX(F14-G14,ABS(F14-L14),ABS(G14-L14)))</f>
        <v/>
      </c>
      <c r="O14" s="14">
        <f>IF(E14="","",IF(AND(I14&gt;0,I14&gt;(I14/3)*2.5),"VOL-OK","VOL-NG"))</f>
        <v/>
      </c>
      <c r="P14" s="14">
        <f>IF(E14="","",IF(E14&gt;J14,"ON","OFF"))</f>
        <v/>
      </c>
      <c r="Q14" s="14">
        <f>IF(E14="","",IF(E14&lt;K14,"ON","OFF"))</f>
        <v/>
      </c>
      <c r="R14" s="14">
        <f>IF(OR(E14="",N14&lt;=0),"",IF(AND(M14="BUY-DAY",O14="VOL-OK",Q14="ON",AA14="OK",AB14&lt;&gt;"DOWN"),"BUY",IF(AND(M14="SELL-DAY",O14="VOL-OK",P14="ON",AA14="OK",AB14&lt;&gt;"UP"),"SELL","")))</f>
        <v/>
      </c>
      <c r="S14" s="19">
        <f>IF(R14="","",E14)</f>
        <v/>
      </c>
      <c r="T14" s="19">
        <f>IF(R14="","",IF(R14="BUY",E14-N14*1.5,E14+N14*1.5))</f>
        <v/>
      </c>
      <c r="U14" s="19">
        <f>IF(R14="","",IF(R14="BUY",E14+N14*1.5,E14-N14*1.5))</f>
        <v/>
      </c>
      <c r="V14" s="19">
        <f>IF(R14="","",IF(R14="BUY",E14+N14*2,E14-N14*2))</f>
        <v/>
      </c>
      <c r="W14" s="19">
        <f>IF(R14="","",IF(R14="BUY",E14+N14*3,E14-N14*3))</f>
        <v/>
      </c>
      <c r="X14" s="14">
        <f>IF(OR(E14="",N14&lt;=0),"",IF(AND(E14&gt;H14,ABS(E14-H14)&lt;N14*0.5),"2ND","1ST"))</f>
        <v/>
      </c>
      <c r="Y14" s="14">
        <f>IF(OR(E14="",N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4" s="14">
        <f>IF(OR(E14="",N14&lt;=0),"",IF(N14&gt;E14*0.05,"VOL-HIGH","VOL-NORMAL"))</f>
        <v/>
      </c>
      <c r="AA14" s="14">
        <f>IF(OR(E14="",N14&lt;=0),"",IF(AND(O14="VOL-OK",Z14="VOL-NORMAL",X14="2ND"),"OK","NG"))</f>
        <v/>
      </c>
      <c r="AB14" s="14">
        <f>IF(OR(E14="",N14&lt;=0),"",IF(AND(F14&gt;J14,G14&gt;K14),"UP",IF(AND(F14&lt;J14,G14&lt;K14),"DOWN","FLAT")))</f>
        <v/>
      </c>
    </row>
    <row r="15" ht="26" customHeight="1" s="1">
      <c r="A15" s="8">
        <f>IF(C15="","",ROW()-2)</f>
        <v/>
      </c>
      <c r="B15" s="9">
        <f>IF('StockList_MS2'!A14="","",HYPERLINK("https://kabutan.jp/stock/?code="&amp;'StockList_MS2'!A14,"株探"))</f>
        <v/>
      </c>
      <c r="C15" s="8">
        <f>IF('StockList_MS2'!A14="","",'StockList_MS2'!A14)</f>
        <v/>
      </c>
      <c r="D15" s="10">
        <f>IF('StockList_MS2'!A14="","",'StockList_MS2'!B14)</f>
        <v/>
      </c>
      <c r="E15" s="11" t="n"/>
      <c r="F15" s="11" t="n"/>
      <c r="G15" s="11" t="n"/>
      <c r="H15" s="11" t="n"/>
      <c r="I15" s="12" t="n"/>
      <c r="J15" s="11" t="n"/>
      <c r="K15" s="11" t="n"/>
      <c r="L15" s="11" t="n"/>
      <c r="M15" s="8">
        <f>IF(E15="","",IF(E15&gt;L15,"BUY-DAY","SELL-DAY"))</f>
        <v/>
      </c>
      <c r="N15" s="13">
        <f>IF(E15="","",MAX(F15-G15,ABS(F15-L15),ABS(G15-L15)))</f>
        <v/>
      </c>
      <c r="O15" s="8">
        <f>IF(E15="","",IF(AND(I15&gt;0,I15&gt;(I15/3)*2.5),"VOL-OK","VOL-NG"))</f>
        <v/>
      </c>
      <c r="P15" s="8">
        <f>IF(E15="","",IF(E15&gt;J15,"ON","OFF"))</f>
        <v/>
      </c>
      <c r="Q15" s="8">
        <f>IF(E15="","",IF(E15&lt;K15,"ON","OFF"))</f>
        <v/>
      </c>
      <c r="R15" s="8">
        <f>IF(OR(E15="",N15&lt;=0),"",IF(AND(M15="BUY-DAY",O15="VOL-OK",Q15="ON",AA15="OK",AB15&lt;&gt;"DOWN"),"BUY",IF(AND(M15="SELL-DAY",O15="VOL-OK",P15="ON",AA15="OK",AB15&lt;&gt;"UP"),"SELL","")))</f>
        <v/>
      </c>
      <c r="S15" s="13">
        <f>IF(R15="","",E15)</f>
        <v/>
      </c>
      <c r="T15" s="13">
        <f>IF(R15="","",IF(R15="BUY",E15-N15*1.5,E15+N15*1.5))</f>
        <v/>
      </c>
      <c r="U15" s="13">
        <f>IF(R15="","",IF(R15="BUY",E15+N15*1.5,E15-N15*1.5))</f>
        <v/>
      </c>
      <c r="V15" s="13">
        <f>IF(R15="","",IF(R15="BUY",E15+N15*2,E15-N15*2))</f>
        <v/>
      </c>
      <c r="W15" s="13">
        <f>IF(R15="","",IF(R15="BUY",E15+N15*3,E15-N15*3))</f>
        <v/>
      </c>
      <c r="X15" s="8">
        <f>IF(OR(E15="",N15&lt;=0),"",IF(AND(E15&gt;H15,ABS(E15-H15)&lt;N15*0.5),"2ND","1ST"))</f>
        <v/>
      </c>
      <c r="Y15" s="8">
        <f>IF(OR(E15="",N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5" s="8">
        <f>IF(OR(E15="",N15&lt;=0),"",IF(N15&gt;E15*0.05,"VOL-HIGH","VOL-NORMAL"))</f>
        <v/>
      </c>
      <c r="AA15" s="8">
        <f>IF(OR(E15="",N15&lt;=0),"",IF(AND(O15="VOL-OK",Z15="VOL-NORMAL",X15="2ND"),"OK","NG"))</f>
        <v/>
      </c>
      <c r="AB15" s="8">
        <f>IF(OR(E15="",N15&lt;=0),"",IF(AND(F15&gt;J15,G15&gt;K15),"UP",IF(AND(F15&lt;J15,G15&lt;K15),"DOWN","FLAT")))</f>
        <v/>
      </c>
    </row>
    <row r="16" ht="26" customHeight="1" s="1">
      <c r="A16" s="14">
        <f>IF(C16="","",ROW()-2)</f>
        <v/>
      </c>
      <c r="B16" s="15">
        <f>IF('StockList_MS2'!A15="","",HYPERLINK("https://kabutan.jp/stock/?code="&amp;'StockList_MS2'!A15,"株探"))</f>
        <v/>
      </c>
      <c r="C16" s="14">
        <f>IF('StockList_MS2'!A15="","",'StockList_MS2'!A15)</f>
        <v/>
      </c>
      <c r="D16" s="16">
        <f>IF('StockList_MS2'!A15="","",'StockList_MS2'!B15)</f>
        <v/>
      </c>
      <c r="E16" s="17" t="n"/>
      <c r="F16" s="17" t="n"/>
      <c r="G16" s="17" t="n"/>
      <c r="H16" s="17" t="n"/>
      <c r="I16" s="18" t="n"/>
      <c r="J16" s="17" t="n"/>
      <c r="K16" s="17" t="n"/>
      <c r="L16" s="17" t="n"/>
      <c r="M16" s="14">
        <f>IF(E16="","",IF(E16&gt;L16,"BUY-DAY","SELL-DAY"))</f>
        <v/>
      </c>
      <c r="N16" s="19">
        <f>IF(E16="","",MAX(F16-G16,ABS(F16-L16),ABS(G16-L16)))</f>
        <v/>
      </c>
      <c r="O16" s="14">
        <f>IF(E16="","",IF(AND(I16&gt;0,I16&gt;(I16/3)*2.5),"VOL-OK","VOL-NG"))</f>
        <v/>
      </c>
      <c r="P16" s="14">
        <f>IF(E16="","",IF(E16&gt;J16,"ON","OFF"))</f>
        <v/>
      </c>
      <c r="Q16" s="14">
        <f>IF(E16="","",IF(E16&lt;K16,"ON","OFF"))</f>
        <v/>
      </c>
      <c r="R16" s="14">
        <f>IF(OR(E16="",N16&lt;=0),"",IF(AND(M16="BUY-DAY",O16="VOL-OK",Q16="ON",AA16="OK",AB16&lt;&gt;"DOWN"),"BUY",IF(AND(M16="SELL-DAY",O16="VOL-OK",P16="ON",AA16="OK",AB16&lt;&gt;"UP"),"SELL","")))</f>
        <v/>
      </c>
      <c r="S16" s="19">
        <f>IF(R16="","",E16)</f>
        <v/>
      </c>
      <c r="T16" s="19">
        <f>IF(R16="","",IF(R16="BUY",E16-N16*1.5,E16+N16*1.5))</f>
        <v/>
      </c>
      <c r="U16" s="19">
        <f>IF(R16="","",IF(R16="BUY",E16+N16*1.5,E16-N16*1.5))</f>
        <v/>
      </c>
      <c r="V16" s="19">
        <f>IF(R16="","",IF(R16="BUY",E16+N16*2,E16-N16*2))</f>
        <v/>
      </c>
      <c r="W16" s="19">
        <f>IF(R16="","",IF(R16="BUY",E16+N16*3,E16-N16*3))</f>
        <v/>
      </c>
      <c r="X16" s="14">
        <f>IF(OR(E16="",N16&lt;=0),"",IF(AND(E16&gt;H16,ABS(E16-H16)&lt;N16*0.5),"2ND","1ST"))</f>
        <v/>
      </c>
      <c r="Y16" s="14">
        <f>IF(OR(E16="",N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6" s="14">
        <f>IF(OR(E16="",N16&lt;=0),"",IF(N16&gt;E16*0.05,"VOL-HIGH","VOL-NORMAL"))</f>
        <v/>
      </c>
      <c r="AA16" s="14">
        <f>IF(OR(E16="",N16&lt;=0),"",IF(AND(O16="VOL-OK",Z16="VOL-NORMAL",X16="2ND"),"OK","NG"))</f>
        <v/>
      </c>
      <c r="AB16" s="14">
        <f>IF(OR(E16="",N16&lt;=0),"",IF(AND(F16&gt;J16,G16&gt;K16),"UP",IF(AND(F16&lt;J16,G16&lt;K16),"DOWN","FLAT")))</f>
        <v/>
      </c>
    </row>
    <row r="17" ht="26" customHeight="1" s="1">
      <c r="A17" s="8">
        <f>IF(C17="","",ROW()-2)</f>
        <v/>
      </c>
      <c r="B17" s="9">
        <f>IF('StockList_MS2'!A16="","",HYPERLINK("https://kabutan.jp/stock/?code="&amp;'StockList_MS2'!A16,"株探"))</f>
        <v/>
      </c>
      <c r="C17" s="8">
        <f>IF('StockList_MS2'!A16="","",'StockList_MS2'!A16)</f>
        <v/>
      </c>
      <c r="D17" s="10">
        <f>IF('StockList_MS2'!A16="","",'StockList_MS2'!B16)</f>
        <v/>
      </c>
      <c r="E17" s="11" t="n"/>
      <c r="F17" s="11" t="n"/>
      <c r="G17" s="11" t="n"/>
      <c r="H17" s="11" t="n"/>
      <c r="I17" s="12" t="n"/>
      <c r="J17" s="11" t="n"/>
      <c r="K17" s="11" t="n"/>
      <c r="L17" s="11" t="n"/>
      <c r="M17" s="8">
        <f>IF(E17="","",IF(E17&gt;L17,"BUY-DAY","SELL-DAY"))</f>
        <v/>
      </c>
      <c r="N17" s="13">
        <f>IF(E17="","",MAX(F17-G17,ABS(F17-L17),ABS(G17-L17)))</f>
        <v/>
      </c>
      <c r="O17" s="8">
        <f>IF(E17="","",IF(AND(I17&gt;0,I17&gt;(I17/3)*2.5),"VOL-OK","VOL-NG"))</f>
        <v/>
      </c>
      <c r="P17" s="8">
        <f>IF(E17="","",IF(E17&gt;J17,"ON","OFF"))</f>
        <v/>
      </c>
      <c r="Q17" s="8">
        <f>IF(E17="","",IF(E17&lt;K17,"ON","OFF"))</f>
        <v/>
      </c>
      <c r="R17" s="8">
        <f>IF(OR(E17="",N17&lt;=0),"",IF(AND(M17="BUY-DAY",O17="VOL-OK",Q17="ON",AA17="OK",AB17&lt;&gt;"DOWN"),"BUY",IF(AND(M17="SELL-DAY",O17="VOL-OK",P17="ON",AA17="OK",AB17&lt;&gt;"UP"),"SELL","")))</f>
        <v/>
      </c>
      <c r="S17" s="13">
        <f>IF(R17="","",E17)</f>
        <v/>
      </c>
      <c r="T17" s="13">
        <f>IF(R17="","",IF(R17="BUY",E17-N17*1.5,E17+N17*1.5))</f>
        <v/>
      </c>
      <c r="U17" s="13">
        <f>IF(R17="","",IF(R17="BUY",E17+N17*1.5,E17-N17*1.5))</f>
        <v/>
      </c>
      <c r="V17" s="13">
        <f>IF(R17="","",IF(R17="BUY",E17+N17*2,E17-N17*2))</f>
        <v/>
      </c>
      <c r="W17" s="13">
        <f>IF(R17="","",IF(R17="BUY",E17+N17*3,E17-N17*3))</f>
        <v/>
      </c>
      <c r="X17" s="8">
        <f>IF(OR(E17="",N17&lt;=0),"",IF(AND(E17&gt;H17,ABS(E17-H17)&lt;N17*0.5),"2ND","1ST"))</f>
        <v/>
      </c>
      <c r="Y17" s="8">
        <f>IF(OR(E17="",N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7" s="8">
        <f>IF(OR(E17="",N17&lt;=0),"",IF(N17&gt;E17*0.05,"VOL-HIGH","VOL-NORMAL"))</f>
        <v/>
      </c>
      <c r="AA17" s="8">
        <f>IF(OR(E17="",N17&lt;=0),"",IF(AND(O17="VOL-OK",Z17="VOL-NORMAL",X17="2ND"),"OK","NG"))</f>
        <v/>
      </c>
      <c r="AB17" s="8">
        <f>IF(OR(E17="",N17&lt;=0),"",IF(AND(F17&gt;J17,G17&gt;K17),"UP",IF(AND(F17&lt;J17,G17&lt;K17),"DOWN","FLAT")))</f>
        <v/>
      </c>
    </row>
    <row r="18" ht="26" customHeight="1" s="1">
      <c r="A18" s="14">
        <f>IF(C18="","",ROW()-2)</f>
        <v/>
      </c>
      <c r="B18" s="15">
        <f>IF('StockList_MS2'!A17="","",HYPERLINK("https://kabutan.jp/stock/?code="&amp;'StockList_MS2'!A17,"株探"))</f>
        <v/>
      </c>
      <c r="C18" s="14">
        <f>IF('StockList_MS2'!A17="","",'StockList_MS2'!A17)</f>
        <v/>
      </c>
      <c r="D18" s="16">
        <f>IF('StockList_MS2'!A17="","",'StockList_MS2'!B17)</f>
        <v/>
      </c>
      <c r="E18" s="17" t="n"/>
      <c r="F18" s="17" t="n"/>
      <c r="G18" s="17" t="n"/>
      <c r="H18" s="17" t="n"/>
      <c r="I18" s="18" t="n"/>
      <c r="J18" s="17" t="n"/>
      <c r="K18" s="17" t="n"/>
      <c r="L18" s="17" t="n"/>
      <c r="M18" s="14">
        <f>IF(E18="","",IF(E18&gt;L18,"BUY-DAY","SELL-DAY"))</f>
        <v/>
      </c>
      <c r="N18" s="19">
        <f>IF(E18="","",MAX(F18-G18,ABS(F18-L18),ABS(G18-L18)))</f>
        <v/>
      </c>
      <c r="O18" s="14">
        <f>IF(E18="","",IF(AND(I18&gt;0,I18&gt;(I18/3)*2.5),"VOL-OK","VOL-NG"))</f>
        <v/>
      </c>
      <c r="P18" s="14">
        <f>IF(E18="","",IF(E18&gt;J18,"ON","OFF"))</f>
        <v/>
      </c>
      <c r="Q18" s="14">
        <f>IF(E18="","",IF(E18&lt;K18,"ON","OFF"))</f>
        <v/>
      </c>
      <c r="R18" s="14">
        <f>IF(OR(E18="",N18&lt;=0),"",IF(AND(M18="BUY-DAY",O18="VOL-OK",Q18="ON",AA18="OK",AB18&lt;&gt;"DOWN"),"BUY",IF(AND(M18="SELL-DAY",O18="VOL-OK",P18="ON",AA18="OK",AB18&lt;&gt;"UP"),"SELL","")))</f>
        <v/>
      </c>
      <c r="S18" s="19">
        <f>IF(R18="","",E18)</f>
        <v/>
      </c>
      <c r="T18" s="19">
        <f>IF(R18="","",IF(R18="BUY",E18-N18*1.5,E18+N18*1.5))</f>
        <v/>
      </c>
      <c r="U18" s="19">
        <f>IF(R18="","",IF(R18="BUY",E18+N18*1.5,E18-N18*1.5))</f>
        <v/>
      </c>
      <c r="V18" s="19">
        <f>IF(R18="","",IF(R18="BUY",E18+N18*2,E18-N18*2))</f>
        <v/>
      </c>
      <c r="W18" s="19">
        <f>IF(R18="","",IF(R18="BUY",E18+N18*3,E18-N18*3))</f>
        <v/>
      </c>
      <c r="X18" s="14">
        <f>IF(OR(E18="",N18&lt;=0),"",IF(AND(E18&gt;H18,ABS(E18-H18)&lt;N18*0.5),"2ND","1ST"))</f>
        <v/>
      </c>
      <c r="Y18" s="14">
        <f>IF(OR(E18="",N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8" s="14">
        <f>IF(OR(E18="",N18&lt;=0),"",IF(N18&gt;E18*0.05,"VOL-HIGH","VOL-NORMAL"))</f>
        <v/>
      </c>
      <c r="AA18" s="14">
        <f>IF(OR(E18="",N18&lt;=0),"",IF(AND(O18="VOL-OK",Z18="VOL-NORMAL",X18="2ND"),"OK","NG"))</f>
        <v/>
      </c>
      <c r="AB18" s="14">
        <f>IF(OR(E18="",N18&lt;=0),"",IF(AND(F18&gt;J18,G18&gt;K18),"UP",IF(AND(F18&lt;J18,G18&lt;K18),"DOWN","FLAT")))</f>
        <v/>
      </c>
    </row>
    <row r="19" ht="26" customHeight="1" s="1">
      <c r="A19" s="8">
        <f>IF(C19="","",ROW()-2)</f>
        <v/>
      </c>
      <c r="B19" s="9">
        <f>IF('StockList_MS2'!A18="","",HYPERLINK("https://kabutan.jp/stock/?code="&amp;'StockList_MS2'!A18,"株探"))</f>
        <v/>
      </c>
      <c r="C19" s="8">
        <f>IF('StockList_MS2'!A18="","",'StockList_MS2'!A18)</f>
        <v/>
      </c>
      <c r="D19" s="10">
        <f>IF('StockList_MS2'!A18="","",'StockList_MS2'!B18)</f>
        <v/>
      </c>
      <c r="E19" s="11" t="n"/>
      <c r="F19" s="11" t="n"/>
      <c r="G19" s="11" t="n"/>
      <c r="H19" s="11" t="n"/>
      <c r="I19" s="12" t="n"/>
      <c r="J19" s="11" t="n"/>
      <c r="K19" s="11" t="n"/>
      <c r="L19" s="11" t="n"/>
      <c r="M19" s="8">
        <f>IF(E19="","",IF(E19&gt;L19,"BUY-DAY","SELL-DAY"))</f>
        <v/>
      </c>
      <c r="N19" s="13">
        <f>IF(E19="","",MAX(F19-G19,ABS(F19-L19),ABS(G19-L19)))</f>
        <v/>
      </c>
      <c r="O19" s="8">
        <f>IF(E19="","",IF(AND(I19&gt;0,I19&gt;(I19/3)*2.5),"VOL-OK","VOL-NG"))</f>
        <v/>
      </c>
      <c r="P19" s="8">
        <f>IF(E19="","",IF(E19&gt;J19,"ON","OFF"))</f>
        <v/>
      </c>
      <c r="Q19" s="8">
        <f>IF(E19="","",IF(E19&lt;K19,"ON","OFF"))</f>
        <v/>
      </c>
      <c r="R19" s="8">
        <f>IF(OR(E19="",N19&lt;=0),"",IF(AND(M19="BUY-DAY",O19="VOL-OK",Q19="ON",AA19="OK",AB19&lt;&gt;"DOWN"),"BUY",IF(AND(M19="SELL-DAY",O19="VOL-OK",P19="ON",AA19="OK",AB19&lt;&gt;"UP"),"SELL","")))</f>
        <v/>
      </c>
      <c r="S19" s="13">
        <f>IF(R19="","",E19)</f>
        <v/>
      </c>
      <c r="T19" s="13">
        <f>IF(R19="","",IF(R19="BUY",E19-N19*1.5,E19+N19*1.5))</f>
        <v/>
      </c>
      <c r="U19" s="13">
        <f>IF(R19="","",IF(R19="BUY",E19+N19*1.5,E19-N19*1.5))</f>
        <v/>
      </c>
      <c r="V19" s="13">
        <f>IF(R19="","",IF(R19="BUY",E19+N19*2,E19-N19*2))</f>
        <v/>
      </c>
      <c r="W19" s="13">
        <f>IF(R19="","",IF(R19="BUY",E19+N19*3,E19-N19*3))</f>
        <v/>
      </c>
      <c r="X19" s="8">
        <f>IF(OR(E19="",N19&lt;=0),"",IF(AND(E19&gt;H19,ABS(E19-H19)&lt;N19*0.5),"2ND","1ST"))</f>
        <v/>
      </c>
      <c r="Y19" s="8">
        <f>IF(OR(E19="",N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9" s="8">
        <f>IF(OR(E19="",N19&lt;=0),"",IF(N19&gt;E19*0.05,"VOL-HIGH","VOL-NORMAL"))</f>
        <v/>
      </c>
      <c r="AA19" s="8">
        <f>IF(OR(E19="",N19&lt;=0),"",IF(AND(O19="VOL-OK",Z19="VOL-NORMAL",X19="2ND"),"OK","NG"))</f>
        <v/>
      </c>
      <c r="AB19" s="8">
        <f>IF(OR(E19="",N19&lt;=0),"",IF(AND(F19&gt;J19,G19&gt;K19),"UP",IF(AND(F19&lt;J19,G19&lt;K19),"DOWN","FLAT")))</f>
        <v/>
      </c>
    </row>
    <row r="20" ht="26" customHeight="1" s="1">
      <c r="A20" s="14">
        <f>IF(C20="","",ROW()-2)</f>
        <v/>
      </c>
      <c r="B20" s="15">
        <f>IF('StockList_MS2'!A19="","",HYPERLINK("https://kabutan.jp/stock/?code="&amp;'StockList_MS2'!A19,"株探"))</f>
        <v/>
      </c>
      <c r="C20" s="14">
        <f>IF('StockList_MS2'!A19="","",'StockList_MS2'!A19)</f>
        <v/>
      </c>
      <c r="D20" s="16">
        <f>IF('StockList_MS2'!A19="","",'StockList_MS2'!B19)</f>
        <v/>
      </c>
      <c r="E20" s="17" t="n"/>
      <c r="F20" s="17" t="n"/>
      <c r="G20" s="17" t="n"/>
      <c r="H20" s="17" t="n"/>
      <c r="I20" s="18" t="n"/>
      <c r="J20" s="17" t="n"/>
      <c r="K20" s="17" t="n"/>
      <c r="L20" s="17" t="n"/>
      <c r="M20" s="14">
        <f>IF(E20="","",IF(E20&gt;L20,"BUY-DAY","SELL-DAY"))</f>
        <v/>
      </c>
      <c r="N20" s="19">
        <f>IF(E20="","",MAX(F20-G20,ABS(F20-L20),ABS(G20-L20)))</f>
        <v/>
      </c>
      <c r="O20" s="14">
        <f>IF(E20="","",IF(AND(I20&gt;0,I20&gt;(I20/3)*2.5),"VOL-OK","VOL-NG"))</f>
        <v/>
      </c>
      <c r="P20" s="14">
        <f>IF(E20="","",IF(E20&gt;J20,"ON","OFF"))</f>
        <v/>
      </c>
      <c r="Q20" s="14">
        <f>IF(E20="","",IF(E20&lt;K20,"ON","OFF"))</f>
        <v/>
      </c>
      <c r="R20" s="14">
        <f>IF(OR(E20="",N20&lt;=0),"",IF(AND(M20="BUY-DAY",O20="VOL-OK",Q20="ON",AA20="OK",AB20&lt;&gt;"DOWN"),"BUY",IF(AND(M20="SELL-DAY",O20="VOL-OK",P20="ON",AA20="OK",AB20&lt;&gt;"UP"),"SELL","")))</f>
        <v/>
      </c>
      <c r="S20" s="19">
        <f>IF(R20="","",E20)</f>
        <v/>
      </c>
      <c r="T20" s="19">
        <f>IF(R20="","",IF(R20="BUY",E20-N20*1.5,E20+N20*1.5))</f>
        <v/>
      </c>
      <c r="U20" s="19">
        <f>IF(R20="","",IF(R20="BUY",E20+N20*1.5,E20-N20*1.5))</f>
        <v/>
      </c>
      <c r="V20" s="19">
        <f>IF(R20="","",IF(R20="BUY",E20+N20*2,E20-N20*2))</f>
        <v/>
      </c>
      <c r="W20" s="19">
        <f>IF(R20="","",IF(R20="BUY",E20+N20*3,E20-N20*3))</f>
        <v/>
      </c>
      <c r="X20" s="14">
        <f>IF(OR(E20="",N20&lt;=0),"",IF(AND(E20&gt;H20,ABS(E20-H20)&lt;N20*0.5),"2ND","1ST"))</f>
        <v/>
      </c>
      <c r="Y20" s="14">
        <f>IF(OR(E20="",N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0" s="14">
        <f>IF(OR(E20="",N20&lt;=0),"",IF(N20&gt;E20*0.05,"VOL-HIGH","VOL-NORMAL"))</f>
        <v/>
      </c>
      <c r="AA20" s="14">
        <f>IF(OR(E20="",N20&lt;=0),"",IF(AND(O20="VOL-OK",Z20="VOL-NORMAL",X20="2ND"),"OK","NG"))</f>
        <v/>
      </c>
      <c r="AB20" s="14">
        <f>IF(OR(E20="",N20&lt;=0),"",IF(AND(F20&gt;J20,G20&gt;K20),"UP",IF(AND(F20&lt;J20,G20&lt;K20),"DOWN","FLAT")))</f>
        <v/>
      </c>
    </row>
    <row r="21" ht="26" customHeight="1" s="1">
      <c r="A21" s="8">
        <f>IF(C21="","",ROW()-2)</f>
        <v/>
      </c>
      <c r="B21" s="9">
        <f>IF('StockList_MS2'!A20="","",HYPERLINK("https://kabutan.jp/stock/?code="&amp;'StockList_MS2'!A20,"株探"))</f>
        <v/>
      </c>
      <c r="C21" s="8">
        <f>IF('StockList_MS2'!A20="","",'StockList_MS2'!A20)</f>
        <v/>
      </c>
      <c r="D21" s="10">
        <f>IF('StockList_MS2'!A20="","",'StockList_MS2'!B20)</f>
        <v/>
      </c>
      <c r="E21" s="11" t="n"/>
      <c r="F21" s="11" t="n"/>
      <c r="G21" s="11" t="n"/>
      <c r="H21" s="11" t="n"/>
      <c r="I21" s="12" t="n"/>
      <c r="J21" s="11" t="n"/>
      <c r="K21" s="11" t="n"/>
      <c r="L21" s="11" t="n"/>
      <c r="M21" s="8">
        <f>IF(E21="","",IF(E21&gt;L21,"BUY-DAY","SELL-DAY"))</f>
        <v/>
      </c>
      <c r="N21" s="13">
        <f>IF(E21="","",MAX(F21-G21,ABS(F21-L21),ABS(G21-L21)))</f>
        <v/>
      </c>
      <c r="O21" s="8">
        <f>IF(E21="","",IF(AND(I21&gt;0,I21&gt;(I21/3)*2.5),"VOL-OK","VOL-NG"))</f>
        <v/>
      </c>
      <c r="P21" s="8">
        <f>IF(E21="","",IF(E21&gt;J21,"ON","OFF"))</f>
        <v/>
      </c>
      <c r="Q21" s="8">
        <f>IF(E21="","",IF(E21&lt;K21,"ON","OFF"))</f>
        <v/>
      </c>
      <c r="R21" s="8">
        <f>IF(OR(E21="",N21&lt;=0),"",IF(AND(M21="BUY-DAY",O21="VOL-OK",Q21="ON",AA21="OK",AB21&lt;&gt;"DOWN"),"BUY",IF(AND(M21="SELL-DAY",O21="VOL-OK",P21="ON",AA21="OK",AB21&lt;&gt;"UP"),"SELL","")))</f>
        <v/>
      </c>
      <c r="S21" s="13">
        <f>IF(R21="","",E21)</f>
        <v/>
      </c>
      <c r="T21" s="13">
        <f>IF(R21="","",IF(R21="BUY",E21-N21*1.5,E21+N21*1.5))</f>
        <v/>
      </c>
      <c r="U21" s="13">
        <f>IF(R21="","",IF(R21="BUY",E21+N21*1.5,E21-N21*1.5))</f>
        <v/>
      </c>
      <c r="V21" s="13">
        <f>IF(R21="","",IF(R21="BUY",E21+N21*2,E21-N21*2))</f>
        <v/>
      </c>
      <c r="W21" s="13">
        <f>IF(R21="","",IF(R21="BUY",E21+N21*3,E21-N21*3))</f>
        <v/>
      </c>
      <c r="X21" s="8">
        <f>IF(OR(E21="",N21&lt;=0),"",IF(AND(E21&gt;H21,ABS(E21-H21)&lt;N21*0.5),"2ND","1ST"))</f>
        <v/>
      </c>
      <c r="Y21" s="8">
        <f>IF(OR(E21="",N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1" s="8">
        <f>IF(OR(E21="",N21&lt;=0),"",IF(N21&gt;E21*0.05,"VOL-HIGH","VOL-NORMAL"))</f>
        <v/>
      </c>
      <c r="AA21" s="8">
        <f>IF(OR(E21="",N21&lt;=0),"",IF(AND(O21="VOL-OK",Z21="VOL-NORMAL",X21="2ND"),"OK","NG"))</f>
        <v/>
      </c>
      <c r="AB21" s="8">
        <f>IF(OR(E21="",N21&lt;=0),"",IF(AND(F21&gt;J21,G21&gt;K21),"UP",IF(AND(F21&lt;J21,G21&lt;K21),"DOWN","FLAT")))</f>
        <v/>
      </c>
    </row>
    <row r="22" ht="26" customHeight="1" s="1">
      <c r="A22" s="14">
        <f>IF(C22="","",ROW()-2)</f>
        <v/>
      </c>
      <c r="B22" s="15">
        <f>IF('StockList_MS2'!A21="","",HYPERLINK("https://kabutan.jp/stock/?code="&amp;'StockList_MS2'!A21,"株探"))</f>
        <v/>
      </c>
      <c r="C22" s="14">
        <f>IF('StockList_MS2'!A21="","",'StockList_MS2'!A21)</f>
        <v/>
      </c>
      <c r="D22" s="16">
        <f>IF('StockList_MS2'!A21="","",'StockList_MS2'!B21)</f>
        <v/>
      </c>
      <c r="E22" s="17" t="n"/>
      <c r="F22" s="17" t="n"/>
      <c r="G22" s="17" t="n"/>
      <c r="H22" s="17" t="n"/>
      <c r="I22" s="18" t="n"/>
      <c r="J22" s="17" t="n"/>
      <c r="K22" s="17" t="n"/>
      <c r="L22" s="17" t="n"/>
      <c r="M22" s="14">
        <f>IF(E22="","",IF(E22&gt;L22,"BUY-DAY","SELL-DAY"))</f>
        <v/>
      </c>
      <c r="N22" s="19">
        <f>IF(E22="","",MAX(F22-G22,ABS(F22-L22),ABS(G22-L22)))</f>
        <v/>
      </c>
      <c r="O22" s="14">
        <f>IF(E22="","",IF(AND(I22&gt;0,I22&gt;(I22/3)*2.5),"VOL-OK","VOL-NG"))</f>
        <v/>
      </c>
      <c r="P22" s="14">
        <f>IF(E22="","",IF(E22&gt;J22,"ON","OFF"))</f>
        <v/>
      </c>
      <c r="Q22" s="14">
        <f>IF(E22="","",IF(E22&lt;K22,"ON","OFF"))</f>
        <v/>
      </c>
      <c r="R22" s="14">
        <f>IF(OR(E22="",N22&lt;=0),"",IF(AND(M22="BUY-DAY",O22="VOL-OK",Q22="ON",AA22="OK",AB22&lt;&gt;"DOWN"),"BUY",IF(AND(M22="SELL-DAY",O22="VOL-OK",P22="ON",AA22="OK",AB22&lt;&gt;"UP"),"SELL","")))</f>
        <v/>
      </c>
      <c r="S22" s="19">
        <f>IF(R22="","",E22)</f>
        <v/>
      </c>
      <c r="T22" s="19">
        <f>IF(R22="","",IF(R22="BUY",E22-N22*1.5,E22+N22*1.5))</f>
        <v/>
      </c>
      <c r="U22" s="19">
        <f>IF(R22="","",IF(R22="BUY",E22+N22*1.5,E22-N22*1.5))</f>
        <v/>
      </c>
      <c r="V22" s="19">
        <f>IF(R22="","",IF(R22="BUY",E22+N22*2,E22-N22*2))</f>
        <v/>
      </c>
      <c r="W22" s="19">
        <f>IF(R22="","",IF(R22="BUY",E22+N22*3,E22-N22*3))</f>
        <v/>
      </c>
      <c r="X22" s="14">
        <f>IF(OR(E22="",N22&lt;=0),"",IF(AND(E22&gt;H22,ABS(E22-H22)&lt;N22*0.5),"2ND","1ST"))</f>
        <v/>
      </c>
      <c r="Y22" s="14">
        <f>IF(OR(E22="",N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2" s="14">
        <f>IF(OR(E22="",N22&lt;=0),"",IF(N22&gt;E22*0.05,"VOL-HIGH","VOL-NORMAL"))</f>
        <v/>
      </c>
      <c r="AA22" s="14">
        <f>IF(OR(E22="",N22&lt;=0),"",IF(AND(O22="VOL-OK",Z22="VOL-NORMAL",X22="2ND"),"OK","NG"))</f>
        <v/>
      </c>
      <c r="AB22" s="14">
        <f>IF(OR(E22="",N22&lt;=0),"",IF(AND(F22&gt;J22,G22&gt;K22),"UP",IF(AND(F22&lt;J22,G22&lt;K22),"DOWN","FLAT")))</f>
        <v/>
      </c>
    </row>
    <row r="23" ht="26" customHeight="1" s="1">
      <c r="A23" s="8">
        <f>IF(C23="","",ROW()-2)</f>
        <v/>
      </c>
      <c r="B23" s="9">
        <f>IF('StockList_MS2'!A22="","",HYPERLINK("https://kabutan.jp/stock/?code="&amp;'StockList_MS2'!A22,"株探"))</f>
        <v/>
      </c>
      <c r="C23" s="8">
        <f>IF('StockList_MS2'!A22="","",'StockList_MS2'!A22)</f>
        <v/>
      </c>
      <c r="D23" s="10">
        <f>IF('StockList_MS2'!A22="","",'StockList_MS2'!B22)</f>
        <v/>
      </c>
      <c r="E23" s="11" t="n"/>
      <c r="F23" s="11" t="n"/>
      <c r="G23" s="11" t="n"/>
      <c r="H23" s="11" t="n"/>
      <c r="I23" s="12" t="n"/>
      <c r="J23" s="11" t="n"/>
      <c r="K23" s="11" t="n"/>
      <c r="L23" s="11" t="n"/>
      <c r="M23" s="8">
        <f>IF(E23="","",IF(E23&gt;L23,"BUY-DAY","SELL-DAY"))</f>
        <v/>
      </c>
      <c r="N23" s="13">
        <f>IF(E23="","",MAX(F23-G23,ABS(F23-L23),ABS(G23-L23)))</f>
        <v/>
      </c>
      <c r="O23" s="8">
        <f>IF(E23="","",IF(AND(I23&gt;0,I23&gt;(I23/3)*2.5),"VOL-OK","VOL-NG"))</f>
        <v/>
      </c>
      <c r="P23" s="8">
        <f>IF(E23="","",IF(E23&gt;J23,"ON","OFF"))</f>
        <v/>
      </c>
      <c r="Q23" s="8">
        <f>IF(E23="","",IF(E23&lt;K23,"ON","OFF"))</f>
        <v/>
      </c>
      <c r="R23" s="8">
        <f>IF(OR(E23="",N23&lt;=0),"",IF(AND(M23="BUY-DAY",O23="VOL-OK",Q23="ON",AA23="OK",AB23&lt;&gt;"DOWN"),"BUY",IF(AND(M23="SELL-DAY",O23="VOL-OK",P23="ON",AA23="OK",AB23&lt;&gt;"UP"),"SELL","")))</f>
        <v/>
      </c>
      <c r="S23" s="13">
        <f>IF(R23="","",E23)</f>
        <v/>
      </c>
      <c r="T23" s="13">
        <f>IF(R23="","",IF(R23="BUY",E23-N23*1.5,E23+N23*1.5))</f>
        <v/>
      </c>
      <c r="U23" s="13">
        <f>IF(R23="","",IF(R23="BUY",E23+N23*1.5,E23-N23*1.5))</f>
        <v/>
      </c>
      <c r="V23" s="13">
        <f>IF(R23="","",IF(R23="BUY",E23+N23*2,E23-N23*2))</f>
        <v/>
      </c>
      <c r="W23" s="13">
        <f>IF(R23="","",IF(R23="BUY",E23+N23*3,E23-N23*3))</f>
        <v/>
      </c>
      <c r="X23" s="8">
        <f>IF(OR(E23="",N23&lt;=0),"",IF(AND(E23&gt;H23,ABS(E23-H23)&lt;N23*0.5),"2ND","1ST"))</f>
        <v/>
      </c>
      <c r="Y23" s="8">
        <f>IF(OR(E23="",N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3" s="8">
        <f>IF(OR(E23="",N23&lt;=0),"",IF(N23&gt;E23*0.05,"VOL-HIGH","VOL-NORMAL"))</f>
        <v/>
      </c>
      <c r="AA23" s="8">
        <f>IF(OR(E23="",N23&lt;=0),"",IF(AND(O23="VOL-OK",Z23="VOL-NORMAL",X23="2ND"),"OK","NG"))</f>
        <v/>
      </c>
      <c r="AB23" s="8">
        <f>IF(OR(E23="",N23&lt;=0),"",IF(AND(F23&gt;J23,G23&gt;K23),"UP",IF(AND(F23&lt;J23,G23&lt;K23),"DOWN","FLAT")))</f>
        <v/>
      </c>
    </row>
    <row r="24" ht="26" customHeight="1" s="1">
      <c r="A24" s="14">
        <f>IF(C24="","",ROW()-2)</f>
        <v/>
      </c>
      <c r="B24" s="15">
        <f>IF('StockList_MS2'!A23="","",HYPERLINK("https://kabutan.jp/stock/?code="&amp;'StockList_MS2'!A23,"株探"))</f>
        <v/>
      </c>
      <c r="C24" s="14">
        <f>IF('StockList_MS2'!A23="","",'StockList_MS2'!A23)</f>
        <v/>
      </c>
      <c r="D24" s="16">
        <f>IF('StockList_MS2'!A23="","",'StockList_MS2'!B23)</f>
        <v/>
      </c>
      <c r="E24" s="17" t="n"/>
      <c r="F24" s="17" t="n"/>
      <c r="G24" s="17" t="n"/>
      <c r="H24" s="17" t="n"/>
      <c r="I24" s="18" t="n"/>
      <c r="J24" s="17" t="n"/>
      <c r="K24" s="17" t="n"/>
      <c r="L24" s="17" t="n"/>
      <c r="M24" s="14">
        <f>IF(E24="","",IF(E24&gt;L24,"BUY-DAY","SELL-DAY"))</f>
        <v/>
      </c>
      <c r="N24" s="19">
        <f>IF(E24="","",MAX(F24-G24,ABS(F24-L24),ABS(G24-L24)))</f>
        <v/>
      </c>
      <c r="O24" s="14">
        <f>IF(E24="","",IF(AND(I24&gt;0,I24&gt;(I24/3)*2.5),"VOL-OK","VOL-NG"))</f>
        <v/>
      </c>
      <c r="P24" s="14">
        <f>IF(E24="","",IF(E24&gt;J24,"ON","OFF"))</f>
        <v/>
      </c>
      <c r="Q24" s="14">
        <f>IF(E24="","",IF(E24&lt;K24,"ON","OFF"))</f>
        <v/>
      </c>
      <c r="R24" s="14">
        <f>IF(OR(E24="",N24&lt;=0),"",IF(AND(M24="BUY-DAY",O24="VOL-OK",Q24="ON",AA24="OK",AB24&lt;&gt;"DOWN"),"BUY",IF(AND(M24="SELL-DAY",O24="VOL-OK",P24="ON",AA24="OK",AB24&lt;&gt;"UP"),"SELL","")))</f>
        <v/>
      </c>
      <c r="S24" s="19">
        <f>IF(R24="","",E24)</f>
        <v/>
      </c>
      <c r="T24" s="19">
        <f>IF(R24="","",IF(R24="BUY",E24-N24*1.5,E24+N24*1.5))</f>
        <v/>
      </c>
      <c r="U24" s="19">
        <f>IF(R24="","",IF(R24="BUY",E24+N24*1.5,E24-N24*1.5))</f>
        <v/>
      </c>
      <c r="V24" s="19">
        <f>IF(R24="","",IF(R24="BUY",E24+N24*2,E24-N24*2))</f>
        <v/>
      </c>
      <c r="W24" s="19">
        <f>IF(R24="","",IF(R24="BUY",E24+N24*3,E24-N24*3))</f>
        <v/>
      </c>
      <c r="X24" s="14">
        <f>IF(OR(E24="",N24&lt;=0),"",IF(AND(E24&gt;H24,ABS(E24-H24)&lt;N24*0.5),"2ND","1ST"))</f>
        <v/>
      </c>
      <c r="Y24" s="14">
        <f>IF(OR(E24="",N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4" s="14">
        <f>IF(OR(E24="",N24&lt;=0),"",IF(N24&gt;E24*0.05,"VOL-HIGH","VOL-NORMAL"))</f>
        <v/>
      </c>
      <c r="AA24" s="14">
        <f>IF(OR(E24="",N24&lt;=0),"",IF(AND(O24="VOL-OK",Z24="VOL-NORMAL",X24="2ND"),"OK","NG"))</f>
        <v/>
      </c>
      <c r="AB24" s="14">
        <f>IF(OR(E24="",N24&lt;=0),"",IF(AND(F24&gt;J24,G24&gt;K24),"UP",IF(AND(F24&lt;J24,G24&lt;K24),"DOWN","FLAT")))</f>
        <v/>
      </c>
    </row>
    <row r="25" ht="26" customHeight="1" s="1">
      <c r="A25" s="8">
        <f>IF(C25="","",ROW()-2)</f>
        <v/>
      </c>
      <c r="B25" s="9">
        <f>IF('StockList_MS2'!A24="","",HYPERLINK("https://kabutan.jp/stock/?code="&amp;'StockList_MS2'!A24,"株探"))</f>
        <v/>
      </c>
      <c r="C25" s="8">
        <f>IF('StockList_MS2'!A24="","",'StockList_MS2'!A24)</f>
        <v/>
      </c>
      <c r="D25" s="10">
        <f>IF('StockList_MS2'!A24="","",'StockList_MS2'!B24)</f>
        <v/>
      </c>
      <c r="E25" s="11" t="n"/>
      <c r="F25" s="11" t="n"/>
      <c r="G25" s="11" t="n"/>
      <c r="H25" s="11" t="n"/>
      <c r="I25" s="12" t="n"/>
      <c r="J25" s="11" t="n"/>
      <c r="K25" s="11" t="n"/>
      <c r="L25" s="11" t="n"/>
      <c r="M25" s="8">
        <f>IF(E25="","",IF(E25&gt;L25,"BUY-DAY","SELL-DAY"))</f>
        <v/>
      </c>
      <c r="N25" s="13">
        <f>IF(E25="","",MAX(F25-G25,ABS(F25-L25),ABS(G25-L25)))</f>
        <v/>
      </c>
      <c r="O25" s="8">
        <f>IF(E25="","",IF(AND(I25&gt;0,I25&gt;(I25/3)*2.5),"VOL-OK","VOL-NG"))</f>
        <v/>
      </c>
      <c r="P25" s="8">
        <f>IF(E25="","",IF(E25&gt;J25,"ON","OFF"))</f>
        <v/>
      </c>
      <c r="Q25" s="8">
        <f>IF(E25="","",IF(E25&lt;K25,"ON","OFF"))</f>
        <v/>
      </c>
      <c r="R25" s="8">
        <f>IF(OR(E25="",N25&lt;=0),"",IF(AND(M25="BUY-DAY",O25="VOL-OK",Q25="ON",AA25="OK",AB25&lt;&gt;"DOWN"),"BUY",IF(AND(M25="SELL-DAY",O25="VOL-OK",P25="ON",AA25="OK",AB25&lt;&gt;"UP"),"SELL","")))</f>
        <v/>
      </c>
      <c r="S25" s="13">
        <f>IF(R25="","",E25)</f>
        <v/>
      </c>
      <c r="T25" s="13">
        <f>IF(R25="","",IF(R25="BUY",E25-N25*1.5,E25+N25*1.5))</f>
        <v/>
      </c>
      <c r="U25" s="13">
        <f>IF(R25="","",IF(R25="BUY",E25+N25*1.5,E25-N25*1.5))</f>
        <v/>
      </c>
      <c r="V25" s="13">
        <f>IF(R25="","",IF(R25="BUY",E25+N25*2,E25-N25*2))</f>
        <v/>
      </c>
      <c r="W25" s="13">
        <f>IF(R25="","",IF(R25="BUY",E25+N25*3,E25-N25*3))</f>
        <v/>
      </c>
      <c r="X25" s="8">
        <f>IF(OR(E25="",N25&lt;=0),"",IF(AND(E25&gt;H25,ABS(E25-H25)&lt;N25*0.5),"2ND","1ST"))</f>
        <v/>
      </c>
      <c r="Y25" s="8">
        <f>IF(OR(E25="",N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5" s="8">
        <f>IF(OR(E25="",N25&lt;=0),"",IF(N25&gt;E25*0.05,"VOL-HIGH","VOL-NORMAL"))</f>
        <v/>
      </c>
      <c r="AA25" s="8">
        <f>IF(OR(E25="",N25&lt;=0),"",IF(AND(O25="VOL-OK",Z25="VOL-NORMAL",X25="2ND"),"OK","NG"))</f>
        <v/>
      </c>
      <c r="AB25" s="8">
        <f>IF(OR(E25="",N25&lt;=0),"",IF(AND(F25&gt;J25,G25&gt;K25),"UP",IF(AND(F25&lt;J25,G25&lt;K25),"DOWN","FLAT")))</f>
        <v/>
      </c>
    </row>
    <row r="26" ht="26" customHeight="1" s="1">
      <c r="A26" s="14">
        <f>IF(C26="","",ROW()-2)</f>
        <v/>
      </c>
      <c r="B26" s="15">
        <f>IF('StockList_MS2'!A25="","",HYPERLINK("https://kabutan.jp/stock/?code="&amp;'StockList_MS2'!A25,"株探"))</f>
        <v/>
      </c>
      <c r="C26" s="14">
        <f>IF('StockList_MS2'!A25="","",'StockList_MS2'!A25)</f>
        <v/>
      </c>
      <c r="D26" s="16">
        <f>IF('StockList_MS2'!A25="","",'StockList_MS2'!B25)</f>
        <v/>
      </c>
      <c r="E26" s="17" t="n"/>
      <c r="F26" s="17" t="n"/>
      <c r="G26" s="17" t="n"/>
      <c r="H26" s="17" t="n"/>
      <c r="I26" s="18" t="n"/>
      <c r="J26" s="17" t="n"/>
      <c r="K26" s="17" t="n"/>
      <c r="L26" s="17" t="n"/>
      <c r="M26" s="14">
        <f>IF(E26="","",IF(E26&gt;L26,"BUY-DAY","SELL-DAY"))</f>
        <v/>
      </c>
      <c r="N26" s="19">
        <f>IF(E26="","",MAX(F26-G26,ABS(F26-L26),ABS(G26-L26)))</f>
        <v/>
      </c>
      <c r="O26" s="14">
        <f>IF(E26="","",IF(AND(I26&gt;0,I26&gt;(I26/3)*2.5),"VOL-OK","VOL-NG"))</f>
        <v/>
      </c>
      <c r="P26" s="14">
        <f>IF(E26="","",IF(E26&gt;J26,"ON","OFF"))</f>
        <v/>
      </c>
      <c r="Q26" s="14">
        <f>IF(E26="","",IF(E26&lt;K26,"ON","OFF"))</f>
        <v/>
      </c>
      <c r="R26" s="14">
        <f>IF(OR(E26="",N26&lt;=0),"",IF(AND(M26="BUY-DAY",O26="VOL-OK",Q26="ON",AA26="OK",AB26&lt;&gt;"DOWN"),"BUY",IF(AND(M26="SELL-DAY",O26="VOL-OK",P26="ON",AA26="OK",AB26&lt;&gt;"UP"),"SELL","")))</f>
        <v/>
      </c>
      <c r="S26" s="19">
        <f>IF(R26="","",E26)</f>
        <v/>
      </c>
      <c r="T26" s="19">
        <f>IF(R26="","",IF(R26="BUY",E26-N26*1.5,E26+N26*1.5))</f>
        <v/>
      </c>
      <c r="U26" s="19">
        <f>IF(R26="","",IF(R26="BUY",E26+N26*1.5,E26-N26*1.5))</f>
        <v/>
      </c>
      <c r="V26" s="19">
        <f>IF(R26="","",IF(R26="BUY",E26+N26*2,E26-N26*2))</f>
        <v/>
      </c>
      <c r="W26" s="19">
        <f>IF(R26="","",IF(R26="BUY",E26+N26*3,E26-N26*3))</f>
        <v/>
      </c>
      <c r="X26" s="14">
        <f>IF(OR(E26="",N26&lt;=0),"",IF(AND(E26&gt;H26,ABS(E26-H26)&lt;N26*0.5),"2ND","1ST"))</f>
        <v/>
      </c>
      <c r="Y26" s="14">
        <f>IF(OR(E26="",N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6" s="14">
        <f>IF(OR(E26="",N26&lt;=0),"",IF(N26&gt;E26*0.05,"VOL-HIGH","VOL-NORMAL"))</f>
        <v/>
      </c>
      <c r="AA26" s="14">
        <f>IF(OR(E26="",N26&lt;=0),"",IF(AND(O26="VOL-OK",Z26="VOL-NORMAL",X26="2ND"),"OK","NG"))</f>
        <v/>
      </c>
      <c r="AB26" s="14">
        <f>IF(OR(E26="",N26&lt;=0),"",IF(AND(F26&gt;J26,G26&gt;K26),"UP",IF(AND(F26&lt;J26,G26&lt;K26),"DOWN","FLAT")))</f>
        <v/>
      </c>
    </row>
    <row r="27" ht="26" customHeight="1" s="1">
      <c r="A27" s="8">
        <f>IF(C27="","",ROW()-2)</f>
        <v/>
      </c>
      <c r="B27" s="9">
        <f>IF('StockList_MS2'!A26="","",HYPERLINK("https://kabutan.jp/stock/?code="&amp;'StockList_MS2'!A26,"株探"))</f>
        <v/>
      </c>
      <c r="C27" s="8">
        <f>IF('StockList_MS2'!A26="","",'StockList_MS2'!A26)</f>
        <v/>
      </c>
      <c r="D27" s="10">
        <f>IF('StockList_MS2'!A26="","",'StockList_MS2'!B26)</f>
        <v/>
      </c>
      <c r="E27" s="11" t="n"/>
      <c r="F27" s="11" t="n"/>
      <c r="G27" s="11" t="n"/>
      <c r="H27" s="11" t="n"/>
      <c r="I27" s="12" t="n"/>
      <c r="J27" s="11" t="n"/>
      <c r="K27" s="11" t="n"/>
      <c r="L27" s="11" t="n"/>
      <c r="M27" s="8">
        <f>IF(E27="","",IF(E27&gt;L27,"BUY-DAY","SELL-DAY"))</f>
        <v/>
      </c>
      <c r="N27" s="13">
        <f>IF(E27="","",MAX(F27-G27,ABS(F27-L27),ABS(G27-L27)))</f>
        <v/>
      </c>
      <c r="O27" s="8">
        <f>IF(E27="","",IF(AND(I27&gt;0,I27&gt;(I27/3)*2.5),"VOL-OK","VOL-NG"))</f>
        <v/>
      </c>
      <c r="P27" s="8">
        <f>IF(E27="","",IF(E27&gt;J27,"ON","OFF"))</f>
        <v/>
      </c>
      <c r="Q27" s="8">
        <f>IF(E27="","",IF(E27&lt;K27,"ON","OFF"))</f>
        <v/>
      </c>
      <c r="R27" s="8">
        <f>IF(OR(E27="",N27&lt;=0),"",IF(AND(M27="BUY-DAY",O27="VOL-OK",Q27="ON",AA27="OK",AB27&lt;&gt;"DOWN"),"BUY",IF(AND(M27="SELL-DAY",O27="VOL-OK",P27="ON",AA27="OK",AB27&lt;&gt;"UP"),"SELL","")))</f>
        <v/>
      </c>
      <c r="S27" s="13">
        <f>IF(R27="","",E27)</f>
        <v/>
      </c>
      <c r="T27" s="13">
        <f>IF(R27="","",IF(R27="BUY",E27-N27*1.5,E27+N27*1.5))</f>
        <v/>
      </c>
      <c r="U27" s="13">
        <f>IF(R27="","",IF(R27="BUY",E27+N27*1.5,E27-N27*1.5))</f>
        <v/>
      </c>
      <c r="V27" s="13">
        <f>IF(R27="","",IF(R27="BUY",E27+N27*2,E27-N27*2))</f>
        <v/>
      </c>
      <c r="W27" s="13">
        <f>IF(R27="","",IF(R27="BUY",E27+N27*3,E27-N27*3))</f>
        <v/>
      </c>
      <c r="X27" s="8">
        <f>IF(OR(E27="",N27&lt;=0),"",IF(AND(E27&gt;H27,ABS(E27-H27)&lt;N27*0.5),"2ND","1ST"))</f>
        <v/>
      </c>
      <c r="Y27" s="8">
        <f>IF(OR(E27="",N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7" s="8">
        <f>IF(OR(E27="",N27&lt;=0),"",IF(N27&gt;E27*0.05,"VOL-HIGH","VOL-NORMAL"))</f>
        <v/>
      </c>
      <c r="AA27" s="8">
        <f>IF(OR(E27="",N27&lt;=0),"",IF(AND(O27="VOL-OK",Z27="VOL-NORMAL",X27="2ND"),"OK","NG"))</f>
        <v/>
      </c>
      <c r="AB27" s="8">
        <f>IF(OR(E27="",N27&lt;=0),"",IF(AND(F27&gt;J27,G27&gt;K27),"UP",IF(AND(F27&lt;J27,G27&lt;K27),"DOWN","FLAT")))</f>
        <v/>
      </c>
    </row>
    <row r="28" ht="26" customHeight="1" s="1">
      <c r="A28" s="14">
        <f>IF(C28="","",ROW()-2)</f>
        <v/>
      </c>
      <c r="B28" s="15">
        <f>IF('StockList_MS2'!A27="","",HYPERLINK("https://kabutan.jp/stock/?code="&amp;'StockList_MS2'!A27,"株探"))</f>
        <v/>
      </c>
      <c r="C28" s="14">
        <f>IF('StockList_MS2'!A27="","",'StockList_MS2'!A27)</f>
        <v/>
      </c>
      <c r="D28" s="16">
        <f>IF('StockList_MS2'!A27="","",'StockList_MS2'!B27)</f>
        <v/>
      </c>
      <c r="E28" s="17" t="n"/>
      <c r="F28" s="17" t="n"/>
      <c r="G28" s="17" t="n"/>
      <c r="H28" s="17" t="n"/>
      <c r="I28" s="18" t="n"/>
      <c r="J28" s="17" t="n"/>
      <c r="K28" s="17" t="n"/>
      <c r="L28" s="17" t="n"/>
      <c r="M28" s="14">
        <f>IF(E28="","",IF(E28&gt;L28,"BUY-DAY","SELL-DAY"))</f>
        <v/>
      </c>
      <c r="N28" s="19">
        <f>IF(E28="","",MAX(F28-G28,ABS(F28-L28),ABS(G28-L28)))</f>
        <v/>
      </c>
      <c r="O28" s="14">
        <f>IF(E28="","",IF(AND(I28&gt;0,I28&gt;(I28/3)*2.5),"VOL-OK","VOL-NG"))</f>
        <v/>
      </c>
      <c r="P28" s="14">
        <f>IF(E28="","",IF(E28&gt;J28,"ON","OFF"))</f>
        <v/>
      </c>
      <c r="Q28" s="14">
        <f>IF(E28="","",IF(E28&lt;K28,"ON","OFF"))</f>
        <v/>
      </c>
      <c r="R28" s="14">
        <f>IF(OR(E28="",N28&lt;=0),"",IF(AND(M28="BUY-DAY",O28="VOL-OK",Q28="ON",AA28="OK",AB28&lt;&gt;"DOWN"),"BUY",IF(AND(M28="SELL-DAY",O28="VOL-OK",P28="ON",AA28="OK",AB28&lt;&gt;"UP"),"SELL","")))</f>
        <v/>
      </c>
      <c r="S28" s="19">
        <f>IF(R28="","",E28)</f>
        <v/>
      </c>
      <c r="T28" s="19">
        <f>IF(R28="","",IF(R28="BUY",E28-N28*1.5,E28+N28*1.5))</f>
        <v/>
      </c>
      <c r="U28" s="19">
        <f>IF(R28="","",IF(R28="BUY",E28+N28*1.5,E28-N28*1.5))</f>
        <v/>
      </c>
      <c r="V28" s="19">
        <f>IF(R28="","",IF(R28="BUY",E28+N28*2,E28-N28*2))</f>
        <v/>
      </c>
      <c r="W28" s="19">
        <f>IF(R28="","",IF(R28="BUY",E28+N28*3,E28-N28*3))</f>
        <v/>
      </c>
      <c r="X28" s="14">
        <f>IF(OR(E28="",N28&lt;=0),"",IF(AND(E28&gt;H28,ABS(E28-H28)&lt;N28*0.5),"2ND","1ST"))</f>
        <v/>
      </c>
      <c r="Y28" s="14">
        <f>IF(OR(E28="",N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8" s="14">
        <f>IF(OR(E28="",N28&lt;=0),"",IF(N28&gt;E28*0.05,"VOL-HIGH","VOL-NORMAL"))</f>
        <v/>
      </c>
      <c r="AA28" s="14">
        <f>IF(OR(E28="",N28&lt;=0),"",IF(AND(O28="VOL-OK",Z28="VOL-NORMAL",X28="2ND"),"OK","NG"))</f>
        <v/>
      </c>
      <c r="AB28" s="14">
        <f>IF(OR(E28="",N28&lt;=0),"",IF(AND(F28&gt;J28,G28&gt;K28),"UP",IF(AND(F28&lt;J28,G28&lt;K28),"DOWN","FLAT")))</f>
        <v/>
      </c>
    </row>
    <row r="29" ht="26" customHeight="1" s="1">
      <c r="A29" s="8">
        <f>IF(C29="","",ROW()-2)</f>
        <v/>
      </c>
      <c r="B29" s="9">
        <f>IF('StockList_MS2'!A28="","",HYPERLINK("https://kabutan.jp/stock/?code="&amp;'StockList_MS2'!A28,"株探"))</f>
        <v/>
      </c>
      <c r="C29" s="8">
        <f>IF('StockList_MS2'!A28="","",'StockList_MS2'!A28)</f>
        <v/>
      </c>
      <c r="D29" s="10">
        <f>IF('StockList_MS2'!A28="","",'StockList_MS2'!B28)</f>
        <v/>
      </c>
      <c r="E29" s="11" t="n"/>
      <c r="F29" s="11" t="n"/>
      <c r="G29" s="11" t="n"/>
      <c r="H29" s="11" t="n"/>
      <c r="I29" s="12" t="n"/>
      <c r="J29" s="11" t="n"/>
      <c r="K29" s="11" t="n"/>
      <c r="L29" s="11" t="n"/>
      <c r="M29" s="8">
        <f>IF(E29="","",IF(E29&gt;L29,"BUY-DAY","SELL-DAY"))</f>
        <v/>
      </c>
      <c r="N29" s="13">
        <f>IF(E29="","",MAX(F29-G29,ABS(F29-L29),ABS(G29-L29)))</f>
        <v/>
      </c>
      <c r="O29" s="8">
        <f>IF(E29="","",IF(AND(I29&gt;0,I29&gt;(I29/3)*2.5),"VOL-OK","VOL-NG"))</f>
        <v/>
      </c>
      <c r="P29" s="8">
        <f>IF(E29="","",IF(E29&gt;J29,"ON","OFF"))</f>
        <v/>
      </c>
      <c r="Q29" s="8">
        <f>IF(E29="","",IF(E29&lt;K29,"ON","OFF"))</f>
        <v/>
      </c>
      <c r="R29" s="8">
        <f>IF(OR(E29="",N29&lt;=0),"",IF(AND(M29="BUY-DAY",O29="VOL-OK",Q29="ON",AA29="OK",AB29&lt;&gt;"DOWN"),"BUY",IF(AND(M29="SELL-DAY",O29="VOL-OK",P29="ON",AA29="OK",AB29&lt;&gt;"UP"),"SELL","")))</f>
        <v/>
      </c>
      <c r="S29" s="13">
        <f>IF(R29="","",E29)</f>
        <v/>
      </c>
      <c r="T29" s="13">
        <f>IF(R29="","",IF(R29="BUY",E29-N29*1.5,E29+N29*1.5))</f>
        <v/>
      </c>
      <c r="U29" s="13">
        <f>IF(R29="","",IF(R29="BUY",E29+N29*1.5,E29-N29*1.5))</f>
        <v/>
      </c>
      <c r="V29" s="13">
        <f>IF(R29="","",IF(R29="BUY",E29+N29*2,E29-N29*2))</f>
        <v/>
      </c>
      <c r="W29" s="13">
        <f>IF(R29="","",IF(R29="BUY",E29+N29*3,E29-N29*3))</f>
        <v/>
      </c>
      <c r="X29" s="8">
        <f>IF(OR(E29="",N29&lt;=0),"",IF(AND(E29&gt;H29,ABS(E29-H29)&lt;N29*0.5),"2ND","1ST"))</f>
        <v/>
      </c>
      <c r="Y29" s="8">
        <f>IF(OR(E29="",N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9" s="8">
        <f>IF(OR(E29="",N29&lt;=0),"",IF(N29&gt;E29*0.05,"VOL-HIGH","VOL-NORMAL"))</f>
        <v/>
      </c>
      <c r="AA29" s="8">
        <f>IF(OR(E29="",N29&lt;=0),"",IF(AND(O29="VOL-OK",Z29="VOL-NORMAL",X29="2ND"),"OK","NG"))</f>
        <v/>
      </c>
      <c r="AB29" s="8">
        <f>IF(OR(E29="",N29&lt;=0),"",IF(AND(F29&gt;J29,G29&gt;K29),"UP",IF(AND(F29&lt;J29,G29&lt;K29),"DOWN","FLAT")))</f>
        <v/>
      </c>
    </row>
    <row r="30" ht="26" customHeight="1" s="1">
      <c r="A30" s="14">
        <f>IF(C30="","",ROW()-2)</f>
        <v/>
      </c>
      <c r="B30" s="15">
        <f>IF('StockList_MS2'!A29="","",HYPERLINK("https://kabutan.jp/stock/?code="&amp;'StockList_MS2'!A29,"株探"))</f>
        <v/>
      </c>
      <c r="C30" s="14">
        <f>IF('StockList_MS2'!A29="","",'StockList_MS2'!A29)</f>
        <v/>
      </c>
      <c r="D30" s="16">
        <f>IF('StockList_MS2'!A29="","",'StockList_MS2'!B29)</f>
        <v/>
      </c>
      <c r="E30" s="17" t="n"/>
      <c r="F30" s="17" t="n"/>
      <c r="G30" s="17" t="n"/>
      <c r="H30" s="17" t="n"/>
      <c r="I30" s="18" t="n"/>
      <c r="J30" s="17" t="n"/>
      <c r="K30" s="17" t="n"/>
      <c r="L30" s="17" t="n"/>
      <c r="M30" s="14">
        <f>IF(E30="","",IF(E30&gt;L30,"BUY-DAY","SELL-DAY"))</f>
        <v/>
      </c>
      <c r="N30" s="19">
        <f>IF(E30="","",MAX(F30-G30,ABS(F30-L30),ABS(G30-L30)))</f>
        <v/>
      </c>
      <c r="O30" s="14">
        <f>IF(E30="","",IF(AND(I30&gt;0,I30&gt;(I30/3)*2.5),"VOL-OK","VOL-NG"))</f>
        <v/>
      </c>
      <c r="P30" s="14">
        <f>IF(E30="","",IF(E30&gt;J30,"ON","OFF"))</f>
        <v/>
      </c>
      <c r="Q30" s="14">
        <f>IF(E30="","",IF(E30&lt;K30,"ON","OFF"))</f>
        <v/>
      </c>
      <c r="R30" s="14">
        <f>IF(OR(E30="",N30&lt;=0),"",IF(AND(M30="BUY-DAY",O30="VOL-OK",Q30="ON",AA30="OK",AB30&lt;&gt;"DOWN"),"BUY",IF(AND(M30="SELL-DAY",O30="VOL-OK",P30="ON",AA30="OK",AB30&lt;&gt;"UP"),"SELL","")))</f>
        <v/>
      </c>
      <c r="S30" s="19">
        <f>IF(R30="","",E30)</f>
        <v/>
      </c>
      <c r="T30" s="19">
        <f>IF(R30="","",IF(R30="BUY",E30-N30*1.5,E30+N30*1.5))</f>
        <v/>
      </c>
      <c r="U30" s="19">
        <f>IF(R30="","",IF(R30="BUY",E30+N30*1.5,E30-N30*1.5))</f>
        <v/>
      </c>
      <c r="V30" s="19">
        <f>IF(R30="","",IF(R30="BUY",E30+N30*2,E30-N30*2))</f>
        <v/>
      </c>
      <c r="W30" s="19">
        <f>IF(R30="","",IF(R30="BUY",E30+N30*3,E30-N30*3))</f>
        <v/>
      </c>
      <c r="X30" s="14">
        <f>IF(OR(E30="",N30&lt;=0),"",IF(AND(E30&gt;H30,ABS(E30-H30)&lt;N30*0.5),"2ND","1ST"))</f>
        <v/>
      </c>
      <c r="Y30" s="14">
        <f>IF(OR(E30="",N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0" s="14">
        <f>IF(OR(E30="",N30&lt;=0),"",IF(N30&gt;E30*0.05,"VOL-HIGH","VOL-NORMAL"))</f>
        <v/>
      </c>
      <c r="AA30" s="14">
        <f>IF(OR(E30="",N30&lt;=0),"",IF(AND(O30="VOL-OK",Z30="VOL-NORMAL",X30="2ND"),"OK","NG"))</f>
        <v/>
      </c>
      <c r="AB30" s="14">
        <f>IF(OR(E30="",N30&lt;=0),"",IF(AND(F30&gt;J30,G30&gt;K30),"UP",IF(AND(F30&lt;J30,G30&lt;K30),"DOWN","FLAT")))</f>
        <v/>
      </c>
    </row>
    <row r="31" ht="26" customHeight="1" s="1">
      <c r="A31" s="8">
        <f>IF(C31="","",ROW()-2)</f>
        <v/>
      </c>
      <c r="B31" s="9">
        <f>IF('StockList_MS2'!A30="","",HYPERLINK("https://kabutan.jp/stock/?code="&amp;'StockList_MS2'!A30,"株探"))</f>
        <v/>
      </c>
      <c r="C31" s="8">
        <f>IF('StockList_MS2'!A30="","",'StockList_MS2'!A30)</f>
        <v/>
      </c>
      <c r="D31" s="10">
        <f>IF('StockList_MS2'!A30="","",'StockList_MS2'!B30)</f>
        <v/>
      </c>
      <c r="E31" s="11" t="n"/>
      <c r="F31" s="11" t="n"/>
      <c r="G31" s="11" t="n"/>
      <c r="H31" s="11" t="n"/>
      <c r="I31" s="12" t="n"/>
      <c r="J31" s="11" t="n"/>
      <c r="K31" s="11" t="n"/>
      <c r="L31" s="11" t="n"/>
      <c r="M31" s="8">
        <f>IF(E31="","",IF(E31&gt;L31,"BUY-DAY","SELL-DAY"))</f>
        <v/>
      </c>
      <c r="N31" s="13">
        <f>IF(E31="","",MAX(F31-G31,ABS(F31-L31),ABS(G31-L31)))</f>
        <v/>
      </c>
      <c r="O31" s="8">
        <f>IF(E31="","",IF(AND(I31&gt;0,I31&gt;(I31/3)*2.5),"VOL-OK","VOL-NG"))</f>
        <v/>
      </c>
      <c r="P31" s="8">
        <f>IF(E31="","",IF(E31&gt;J31,"ON","OFF"))</f>
        <v/>
      </c>
      <c r="Q31" s="8">
        <f>IF(E31="","",IF(E31&lt;K31,"ON","OFF"))</f>
        <v/>
      </c>
      <c r="R31" s="8">
        <f>IF(OR(E31="",N31&lt;=0),"",IF(AND(M31="BUY-DAY",O31="VOL-OK",Q31="ON",AA31="OK",AB31&lt;&gt;"DOWN"),"BUY",IF(AND(M31="SELL-DAY",O31="VOL-OK",P31="ON",AA31="OK",AB31&lt;&gt;"UP"),"SELL","")))</f>
        <v/>
      </c>
      <c r="S31" s="13">
        <f>IF(R31="","",E31)</f>
        <v/>
      </c>
      <c r="T31" s="13">
        <f>IF(R31="","",IF(R31="BUY",E31-N31*1.5,E31+N31*1.5))</f>
        <v/>
      </c>
      <c r="U31" s="13">
        <f>IF(R31="","",IF(R31="BUY",E31+N31*1.5,E31-N31*1.5))</f>
        <v/>
      </c>
      <c r="V31" s="13">
        <f>IF(R31="","",IF(R31="BUY",E31+N31*2,E31-N31*2))</f>
        <v/>
      </c>
      <c r="W31" s="13">
        <f>IF(R31="","",IF(R31="BUY",E31+N31*3,E31-N31*3))</f>
        <v/>
      </c>
      <c r="X31" s="8">
        <f>IF(OR(E31="",N31&lt;=0),"",IF(AND(E31&gt;H31,ABS(E31-H31)&lt;N31*0.5),"2ND","1ST"))</f>
        <v/>
      </c>
      <c r="Y31" s="8">
        <f>IF(OR(E31="",N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1" s="8">
        <f>IF(OR(E31="",N31&lt;=0),"",IF(N31&gt;E31*0.05,"VOL-HIGH","VOL-NORMAL"))</f>
        <v/>
      </c>
      <c r="AA31" s="8">
        <f>IF(OR(E31="",N31&lt;=0),"",IF(AND(O31="VOL-OK",Z31="VOL-NORMAL",X31="2ND"),"OK","NG"))</f>
        <v/>
      </c>
      <c r="AB31" s="8">
        <f>IF(OR(E31="",N31&lt;=0),"",IF(AND(F31&gt;J31,G31&gt;K31),"UP",IF(AND(F31&lt;J31,G31&lt;K31),"DOWN","FLAT")))</f>
        <v/>
      </c>
    </row>
    <row r="32" ht="26" customHeight="1" s="1">
      <c r="A32" s="14">
        <f>IF(C32="","",ROW()-2)</f>
        <v/>
      </c>
      <c r="B32" s="15">
        <f>IF('StockList_MS2'!A31="","",HYPERLINK("https://kabutan.jp/stock/?code="&amp;'StockList_MS2'!A31,"株探"))</f>
        <v/>
      </c>
      <c r="C32" s="14">
        <f>IF('StockList_MS2'!A31="","",'StockList_MS2'!A31)</f>
        <v/>
      </c>
      <c r="D32" s="16">
        <f>IF('StockList_MS2'!A31="","",'StockList_MS2'!B31)</f>
        <v/>
      </c>
      <c r="E32" s="17" t="n"/>
      <c r="F32" s="17" t="n"/>
      <c r="G32" s="17" t="n"/>
      <c r="H32" s="17" t="n"/>
      <c r="I32" s="18" t="n"/>
      <c r="J32" s="17" t="n"/>
      <c r="K32" s="17" t="n"/>
      <c r="L32" s="17" t="n"/>
      <c r="M32" s="14">
        <f>IF(E32="","",IF(E32&gt;L32,"BUY-DAY","SELL-DAY"))</f>
        <v/>
      </c>
      <c r="N32" s="19">
        <f>IF(E32="","",MAX(F32-G32,ABS(F32-L32),ABS(G32-L32)))</f>
        <v/>
      </c>
      <c r="O32" s="14">
        <f>IF(E32="","",IF(AND(I32&gt;0,I32&gt;(I32/3)*2.5),"VOL-OK","VOL-NG"))</f>
        <v/>
      </c>
      <c r="P32" s="14">
        <f>IF(E32="","",IF(E32&gt;J32,"ON","OFF"))</f>
        <v/>
      </c>
      <c r="Q32" s="14">
        <f>IF(E32="","",IF(E32&lt;K32,"ON","OFF"))</f>
        <v/>
      </c>
      <c r="R32" s="14">
        <f>IF(OR(E32="",N32&lt;=0),"",IF(AND(M32="BUY-DAY",O32="VOL-OK",Q32="ON",AA32="OK",AB32&lt;&gt;"DOWN"),"BUY",IF(AND(M32="SELL-DAY",O32="VOL-OK",P32="ON",AA32="OK",AB32&lt;&gt;"UP"),"SELL","")))</f>
        <v/>
      </c>
      <c r="S32" s="19">
        <f>IF(R32="","",E32)</f>
        <v/>
      </c>
      <c r="T32" s="19">
        <f>IF(R32="","",IF(R32="BUY",E32-N32*1.5,E32+N32*1.5))</f>
        <v/>
      </c>
      <c r="U32" s="19">
        <f>IF(R32="","",IF(R32="BUY",E32+N32*1.5,E32-N32*1.5))</f>
        <v/>
      </c>
      <c r="V32" s="19">
        <f>IF(R32="","",IF(R32="BUY",E32+N32*2,E32-N32*2))</f>
        <v/>
      </c>
      <c r="W32" s="19">
        <f>IF(R32="","",IF(R32="BUY",E32+N32*3,E32-N32*3))</f>
        <v/>
      </c>
      <c r="X32" s="14">
        <f>IF(OR(E32="",N32&lt;=0),"",IF(AND(E32&gt;H32,ABS(E32-H32)&lt;N32*0.5),"2ND","1ST"))</f>
        <v/>
      </c>
      <c r="Y32" s="14">
        <f>IF(OR(E32="",N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2" s="14">
        <f>IF(OR(E32="",N32&lt;=0),"",IF(N32&gt;E32*0.05,"VOL-HIGH","VOL-NORMAL"))</f>
        <v/>
      </c>
      <c r="AA32" s="14">
        <f>IF(OR(E32="",N32&lt;=0),"",IF(AND(O32="VOL-OK",Z32="VOL-NORMAL",X32="2ND"),"OK","NG"))</f>
        <v/>
      </c>
      <c r="AB32" s="14">
        <f>IF(OR(E32="",N32&lt;=0),"",IF(AND(F32&gt;J32,G32&gt;K32),"UP",IF(AND(F32&lt;J32,G32&lt;K32),"DOWN","FLAT")))</f>
        <v/>
      </c>
    </row>
    <row r="33" ht="26" customHeight="1" s="1">
      <c r="A33" s="8">
        <f>IF(C33="","",ROW()-2)</f>
        <v/>
      </c>
      <c r="B33" s="9">
        <f>IF('StockList_MS2'!A32="","",HYPERLINK("https://kabutan.jp/stock/?code="&amp;'StockList_MS2'!A32,"株探"))</f>
        <v/>
      </c>
      <c r="C33" s="8">
        <f>IF('StockList_MS2'!A32="","",'StockList_MS2'!A32)</f>
        <v/>
      </c>
      <c r="D33" s="10">
        <f>IF('StockList_MS2'!A32="","",'StockList_MS2'!B32)</f>
        <v/>
      </c>
      <c r="E33" s="11" t="n"/>
      <c r="F33" s="11" t="n"/>
      <c r="G33" s="11" t="n"/>
      <c r="H33" s="11" t="n"/>
      <c r="I33" s="12" t="n"/>
      <c r="J33" s="11" t="n"/>
      <c r="K33" s="11" t="n"/>
      <c r="L33" s="11" t="n"/>
      <c r="M33" s="8">
        <f>IF(E33="","",IF(E33&gt;L33,"BUY-DAY","SELL-DAY"))</f>
        <v/>
      </c>
      <c r="N33" s="13">
        <f>IF(E33="","",MAX(F33-G33,ABS(F33-L33),ABS(G33-L33)))</f>
        <v/>
      </c>
      <c r="O33" s="8">
        <f>IF(E33="","",IF(AND(I33&gt;0,I33&gt;(I33/3)*2.5),"VOL-OK","VOL-NG"))</f>
        <v/>
      </c>
      <c r="P33" s="8">
        <f>IF(E33="","",IF(E33&gt;J33,"ON","OFF"))</f>
        <v/>
      </c>
      <c r="Q33" s="8">
        <f>IF(E33="","",IF(E33&lt;K33,"ON","OFF"))</f>
        <v/>
      </c>
      <c r="R33" s="8">
        <f>IF(OR(E33="",N33&lt;=0),"",IF(AND(M33="BUY-DAY",O33="VOL-OK",Q33="ON",AA33="OK",AB33&lt;&gt;"DOWN"),"BUY",IF(AND(M33="SELL-DAY",O33="VOL-OK",P33="ON",AA33="OK",AB33&lt;&gt;"UP"),"SELL","")))</f>
        <v/>
      </c>
      <c r="S33" s="13">
        <f>IF(R33="","",E33)</f>
        <v/>
      </c>
      <c r="T33" s="13">
        <f>IF(R33="","",IF(R33="BUY",E33-N33*1.5,E33+N33*1.5))</f>
        <v/>
      </c>
      <c r="U33" s="13">
        <f>IF(R33="","",IF(R33="BUY",E33+N33*1.5,E33-N33*1.5))</f>
        <v/>
      </c>
      <c r="V33" s="13">
        <f>IF(R33="","",IF(R33="BUY",E33+N33*2,E33-N33*2))</f>
        <v/>
      </c>
      <c r="W33" s="13">
        <f>IF(R33="","",IF(R33="BUY",E33+N33*3,E33-N33*3))</f>
        <v/>
      </c>
      <c r="X33" s="8">
        <f>IF(OR(E33="",N33&lt;=0),"",IF(AND(E33&gt;H33,ABS(E33-H33)&lt;N33*0.5),"2ND","1ST"))</f>
        <v/>
      </c>
      <c r="Y33" s="8">
        <f>IF(OR(E33="",N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3" s="8">
        <f>IF(OR(E33="",N33&lt;=0),"",IF(N33&gt;E33*0.05,"VOL-HIGH","VOL-NORMAL"))</f>
        <v/>
      </c>
      <c r="AA33" s="8">
        <f>IF(OR(E33="",N33&lt;=0),"",IF(AND(O33="VOL-OK",Z33="VOL-NORMAL",X33="2ND"),"OK","NG"))</f>
        <v/>
      </c>
      <c r="AB33" s="8">
        <f>IF(OR(E33="",N33&lt;=0),"",IF(AND(F33&gt;J33,G33&gt;K33),"UP",IF(AND(F33&lt;J33,G33&lt;K33),"DOWN","FLAT")))</f>
        <v/>
      </c>
    </row>
    <row r="34" ht="26" customHeight="1" s="1">
      <c r="A34" s="14">
        <f>IF(C34="","",ROW()-2)</f>
        <v/>
      </c>
      <c r="B34" s="15">
        <f>IF('StockList_MS2'!A33="","",HYPERLINK("https://kabutan.jp/stock/?code="&amp;'StockList_MS2'!A33,"株探"))</f>
        <v/>
      </c>
      <c r="C34" s="14">
        <f>IF('StockList_MS2'!A33="","",'StockList_MS2'!A33)</f>
        <v/>
      </c>
      <c r="D34" s="16">
        <f>IF('StockList_MS2'!A33="","",'StockList_MS2'!B33)</f>
        <v/>
      </c>
      <c r="E34" s="17" t="n"/>
      <c r="F34" s="17" t="n"/>
      <c r="G34" s="17" t="n"/>
      <c r="H34" s="17" t="n"/>
      <c r="I34" s="18" t="n"/>
      <c r="J34" s="17" t="n"/>
      <c r="K34" s="17" t="n"/>
      <c r="L34" s="17" t="n"/>
      <c r="M34" s="14">
        <f>IF(E34="","",IF(E34&gt;L34,"BUY-DAY","SELL-DAY"))</f>
        <v/>
      </c>
      <c r="N34" s="19">
        <f>IF(E34="","",MAX(F34-G34,ABS(F34-L34),ABS(G34-L34)))</f>
        <v/>
      </c>
      <c r="O34" s="14">
        <f>IF(E34="","",IF(AND(I34&gt;0,I34&gt;(I34/3)*2.5),"VOL-OK","VOL-NG"))</f>
        <v/>
      </c>
      <c r="P34" s="14">
        <f>IF(E34="","",IF(E34&gt;J34,"ON","OFF"))</f>
        <v/>
      </c>
      <c r="Q34" s="14">
        <f>IF(E34="","",IF(E34&lt;K34,"ON","OFF"))</f>
        <v/>
      </c>
      <c r="R34" s="14">
        <f>IF(OR(E34="",N34&lt;=0),"",IF(AND(M34="BUY-DAY",O34="VOL-OK",Q34="ON",AA34="OK",AB34&lt;&gt;"DOWN"),"BUY",IF(AND(M34="SELL-DAY",O34="VOL-OK",P34="ON",AA34="OK",AB34&lt;&gt;"UP"),"SELL","")))</f>
        <v/>
      </c>
      <c r="S34" s="19">
        <f>IF(R34="","",E34)</f>
        <v/>
      </c>
      <c r="T34" s="19">
        <f>IF(R34="","",IF(R34="BUY",E34-N34*1.5,E34+N34*1.5))</f>
        <v/>
      </c>
      <c r="U34" s="19">
        <f>IF(R34="","",IF(R34="BUY",E34+N34*1.5,E34-N34*1.5))</f>
        <v/>
      </c>
      <c r="V34" s="19">
        <f>IF(R34="","",IF(R34="BUY",E34+N34*2,E34-N34*2))</f>
        <v/>
      </c>
      <c r="W34" s="19">
        <f>IF(R34="","",IF(R34="BUY",E34+N34*3,E34-N34*3))</f>
        <v/>
      </c>
      <c r="X34" s="14">
        <f>IF(OR(E34="",N34&lt;=0),"",IF(AND(E34&gt;H34,ABS(E34-H34)&lt;N34*0.5),"2ND","1ST"))</f>
        <v/>
      </c>
      <c r="Y34" s="14">
        <f>IF(OR(E34="",N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4" s="14">
        <f>IF(OR(E34="",N34&lt;=0),"",IF(N34&gt;E34*0.05,"VOL-HIGH","VOL-NORMAL"))</f>
        <v/>
      </c>
      <c r="AA34" s="14">
        <f>IF(OR(E34="",N34&lt;=0),"",IF(AND(O34="VOL-OK",Z34="VOL-NORMAL",X34="2ND"),"OK","NG"))</f>
        <v/>
      </c>
      <c r="AB34" s="14">
        <f>IF(OR(E34="",N34&lt;=0),"",IF(AND(F34&gt;J34,G34&gt;K34),"UP",IF(AND(F34&lt;J34,G34&lt;K34),"DOWN","FLAT")))</f>
        <v/>
      </c>
    </row>
    <row r="35" ht="26" customHeight="1" s="1">
      <c r="A35" s="8">
        <f>IF(C35="","",ROW()-2)</f>
        <v/>
      </c>
      <c r="B35" s="9">
        <f>IF('StockList_MS2'!A34="","",HYPERLINK("https://kabutan.jp/stock/?code="&amp;'StockList_MS2'!A34,"株探"))</f>
        <v/>
      </c>
      <c r="C35" s="8">
        <f>IF('StockList_MS2'!A34="","",'StockList_MS2'!A34)</f>
        <v/>
      </c>
      <c r="D35" s="10">
        <f>IF('StockList_MS2'!A34="","",'StockList_MS2'!B34)</f>
        <v/>
      </c>
      <c r="E35" s="11" t="n"/>
      <c r="F35" s="11" t="n"/>
      <c r="G35" s="11" t="n"/>
      <c r="H35" s="11" t="n"/>
      <c r="I35" s="12" t="n"/>
      <c r="J35" s="11" t="n"/>
      <c r="K35" s="11" t="n"/>
      <c r="L35" s="11" t="n"/>
      <c r="M35" s="8">
        <f>IF(E35="","",IF(E35&gt;L35,"BUY-DAY","SELL-DAY"))</f>
        <v/>
      </c>
      <c r="N35" s="13">
        <f>IF(E35="","",MAX(F35-G35,ABS(F35-L35),ABS(G35-L35)))</f>
        <v/>
      </c>
      <c r="O35" s="8">
        <f>IF(E35="","",IF(AND(I35&gt;0,I35&gt;(I35/3)*2.5),"VOL-OK","VOL-NG"))</f>
        <v/>
      </c>
      <c r="P35" s="8">
        <f>IF(E35="","",IF(E35&gt;J35,"ON","OFF"))</f>
        <v/>
      </c>
      <c r="Q35" s="8">
        <f>IF(E35="","",IF(E35&lt;K35,"ON","OFF"))</f>
        <v/>
      </c>
      <c r="R35" s="8">
        <f>IF(OR(E35="",N35&lt;=0),"",IF(AND(M35="BUY-DAY",O35="VOL-OK",Q35="ON",AA35="OK",AB35&lt;&gt;"DOWN"),"BUY",IF(AND(M35="SELL-DAY",O35="VOL-OK",P35="ON",AA35="OK",AB35&lt;&gt;"UP"),"SELL","")))</f>
        <v/>
      </c>
      <c r="S35" s="13">
        <f>IF(R35="","",E35)</f>
        <v/>
      </c>
      <c r="T35" s="13">
        <f>IF(R35="","",IF(R35="BUY",E35-N35*1.5,E35+N35*1.5))</f>
        <v/>
      </c>
      <c r="U35" s="13">
        <f>IF(R35="","",IF(R35="BUY",E35+N35*1.5,E35-N35*1.5))</f>
        <v/>
      </c>
      <c r="V35" s="13">
        <f>IF(R35="","",IF(R35="BUY",E35+N35*2,E35-N35*2))</f>
        <v/>
      </c>
      <c r="W35" s="13">
        <f>IF(R35="","",IF(R35="BUY",E35+N35*3,E35-N35*3))</f>
        <v/>
      </c>
      <c r="X35" s="8">
        <f>IF(OR(E35="",N35&lt;=0),"",IF(AND(E35&gt;H35,ABS(E35-H35)&lt;N35*0.5),"2ND","1ST"))</f>
        <v/>
      </c>
      <c r="Y35" s="8">
        <f>IF(OR(E35="",N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5" s="8">
        <f>IF(OR(E35="",N35&lt;=0),"",IF(N35&gt;E35*0.05,"VOL-HIGH","VOL-NORMAL"))</f>
        <v/>
      </c>
      <c r="AA35" s="8">
        <f>IF(OR(E35="",N35&lt;=0),"",IF(AND(O35="VOL-OK",Z35="VOL-NORMAL",X35="2ND"),"OK","NG"))</f>
        <v/>
      </c>
      <c r="AB35" s="8">
        <f>IF(OR(E35="",N35&lt;=0),"",IF(AND(F35&gt;J35,G35&gt;K35),"UP",IF(AND(F35&lt;J35,G35&lt;K35),"DOWN","FLAT")))</f>
        <v/>
      </c>
    </row>
    <row r="36" ht="26" customHeight="1" s="1">
      <c r="A36" s="14">
        <f>IF(C36="","",ROW()-2)</f>
        <v/>
      </c>
      <c r="B36" s="15">
        <f>IF('StockList_MS2'!A35="","",HYPERLINK("https://kabutan.jp/stock/?code="&amp;'StockList_MS2'!A35,"株探"))</f>
        <v/>
      </c>
      <c r="C36" s="14">
        <f>IF('StockList_MS2'!A35="","",'StockList_MS2'!A35)</f>
        <v/>
      </c>
      <c r="D36" s="16">
        <f>IF('StockList_MS2'!A35="","",'StockList_MS2'!B35)</f>
        <v/>
      </c>
      <c r="E36" s="17" t="n"/>
      <c r="F36" s="17" t="n"/>
      <c r="G36" s="17" t="n"/>
      <c r="H36" s="17" t="n"/>
      <c r="I36" s="18" t="n"/>
      <c r="J36" s="17" t="n"/>
      <c r="K36" s="17" t="n"/>
      <c r="L36" s="17" t="n"/>
      <c r="M36" s="14">
        <f>IF(E36="","",IF(E36&gt;L36,"BUY-DAY","SELL-DAY"))</f>
        <v/>
      </c>
      <c r="N36" s="19">
        <f>IF(E36="","",MAX(F36-G36,ABS(F36-L36),ABS(G36-L36)))</f>
        <v/>
      </c>
      <c r="O36" s="14">
        <f>IF(E36="","",IF(AND(I36&gt;0,I36&gt;(I36/3)*2.5),"VOL-OK","VOL-NG"))</f>
        <v/>
      </c>
      <c r="P36" s="14">
        <f>IF(E36="","",IF(E36&gt;J36,"ON","OFF"))</f>
        <v/>
      </c>
      <c r="Q36" s="14">
        <f>IF(E36="","",IF(E36&lt;K36,"ON","OFF"))</f>
        <v/>
      </c>
      <c r="R36" s="14">
        <f>IF(OR(E36="",N36&lt;=0),"",IF(AND(M36="BUY-DAY",O36="VOL-OK",Q36="ON",AA36="OK",AB36&lt;&gt;"DOWN"),"BUY",IF(AND(M36="SELL-DAY",O36="VOL-OK",P36="ON",AA36="OK",AB36&lt;&gt;"UP"),"SELL","")))</f>
        <v/>
      </c>
      <c r="S36" s="19">
        <f>IF(R36="","",E36)</f>
        <v/>
      </c>
      <c r="T36" s="19">
        <f>IF(R36="","",IF(R36="BUY",E36-N36*1.5,E36+N36*1.5))</f>
        <v/>
      </c>
      <c r="U36" s="19">
        <f>IF(R36="","",IF(R36="BUY",E36+N36*1.5,E36-N36*1.5))</f>
        <v/>
      </c>
      <c r="V36" s="19">
        <f>IF(R36="","",IF(R36="BUY",E36+N36*2,E36-N36*2))</f>
        <v/>
      </c>
      <c r="W36" s="19">
        <f>IF(R36="","",IF(R36="BUY",E36+N36*3,E36-N36*3))</f>
        <v/>
      </c>
      <c r="X36" s="14">
        <f>IF(OR(E36="",N36&lt;=0),"",IF(AND(E36&gt;H36,ABS(E36-H36)&lt;N36*0.5),"2ND","1ST"))</f>
        <v/>
      </c>
      <c r="Y36" s="14">
        <f>IF(OR(E36="",N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6" s="14">
        <f>IF(OR(E36="",N36&lt;=0),"",IF(N36&gt;E36*0.05,"VOL-HIGH","VOL-NORMAL"))</f>
        <v/>
      </c>
      <c r="AA36" s="14">
        <f>IF(OR(E36="",N36&lt;=0),"",IF(AND(O36="VOL-OK",Z36="VOL-NORMAL",X36="2ND"),"OK","NG"))</f>
        <v/>
      </c>
      <c r="AB36" s="14">
        <f>IF(OR(E36="",N36&lt;=0),"",IF(AND(F36&gt;J36,G36&gt;K36),"UP",IF(AND(F36&lt;J36,G36&lt;K36),"DOWN","FLAT")))</f>
        <v/>
      </c>
    </row>
    <row r="37" ht="26" customHeight="1" s="1">
      <c r="A37" s="8">
        <f>IF(C37="","",ROW()-2)</f>
        <v/>
      </c>
      <c r="B37" s="9">
        <f>IF('StockList_MS2'!A36="","",HYPERLINK("https://kabutan.jp/stock/?code="&amp;'StockList_MS2'!A36,"株探"))</f>
        <v/>
      </c>
      <c r="C37" s="8">
        <f>IF('StockList_MS2'!A36="","",'StockList_MS2'!A36)</f>
        <v/>
      </c>
      <c r="D37" s="10">
        <f>IF('StockList_MS2'!A36="","",'StockList_MS2'!B36)</f>
        <v/>
      </c>
      <c r="E37" s="11" t="n"/>
      <c r="F37" s="11" t="n"/>
      <c r="G37" s="11" t="n"/>
      <c r="H37" s="11" t="n"/>
      <c r="I37" s="12" t="n"/>
      <c r="J37" s="11" t="n"/>
      <c r="K37" s="11" t="n"/>
      <c r="L37" s="11" t="n"/>
      <c r="M37" s="8">
        <f>IF(E37="","",IF(E37&gt;L37,"BUY-DAY","SELL-DAY"))</f>
        <v/>
      </c>
      <c r="N37" s="13">
        <f>IF(E37="","",MAX(F37-G37,ABS(F37-L37),ABS(G37-L37)))</f>
        <v/>
      </c>
      <c r="O37" s="8">
        <f>IF(E37="","",IF(AND(I37&gt;0,I37&gt;(I37/3)*2.5),"VOL-OK","VOL-NG"))</f>
        <v/>
      </c>
      <c r="P37" s="8">
        <f>IF(E37="","",IF(E37&gt;J37,"ON","OFF"))</f>
        <v/>
      </c>
      <c r="Q37" s="8">
        <f>IF(E37="","",IF(E37&lt;K37,"ON","OFF"))</f>
        <v/>
      </c>
      <c r="R37" s="8">
        <f>IF(OR(E37="",N37&lt;=0),"",IF(AND(M37="BUY-DAY",O37="VOL-OK",Q37="ON",AA37="OK",AB37&lt;&gt;"DOWN"),"BUY",IF(AND(M37="SELL-DAY",O37="VOL-OK",P37="ON",AA37="OK",AB37&lt;&gt;"UP"),"SELL","")))</f>
        <v/>
      </c>
      <c r="S37" s="13">
        <f>IF(R37="","",E37)</f>
        <v/>
      </c>
      <c r="T37" s="13">
        <f>IF(R37="","",IF(R37="BUY",E37-N37*1.5,E37+N37*1.5))</f>
        <v/>
      </c>
      <c r="U37" s="13">
        <f>IF(R37="","",IF(R37="BUY",E37+N37*1.5,E37-N37*1.5))</f>
        <v/>
      </c>
      <c r="V37" s="13">
        <f>IF(R37="","",IF(R37="BUY",E37+N37*2,E37-N37*2))</f>
        <v/>
      </c>
      <c r="W37" s="13">
        <f>IF(R37="","",IF(R37="BUY",E37+N37*3,E37-N37*3))</f>
        <v/>
      </c>
      <c r="X37" s="8">
        <f>IF(OR(E37="",N37&lt;=0),"",IF(AND(E37&gt;H37,ABS(E37-H37)&lt;N37*0.5),"2ND","1ST"))</f>
        <v/>
      </c>
      <c r="Y37" s="8">
        <f>IF(OR(E37="",N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7" s="8">
        <f>IF(OR(E37="",N37&lt;=0),"",IF(N37&gt;E37*0.05,"VOL-HIGH","VOL-NORMAL"))</f>
        <v/>
      </c>
      <c r="AA37" s="8">
        <f>IF(OR(E37="",N37&lt;=0),"",IF(AND(O37="VOL-OK",Z37="VOL-NORMAL",X37="2ND"),"OK","NG"))</f>
        <v/>
      </c>
      <c r="AB37" s="8">
        <f>IF(OR(E37="",N37&lt;=0),"",IF(AND(F37&gt;J37,G37&gt;K37),"UP",IF(AND(F37&lt;J37,G37&lt;K37),"DOWN","FLAT")))</f>
        <v/>
      </c>
    </row>
    <row r="38" ht="26" customHeight="1" s="1">
      <c r="A38" s="14">
        <f>IF(C38="","",ROW()-2)</f>
        <v/>
      </c>
      <c r="B38" s="15">
        <f>IF('StockList_MS2'!A37="","",HYPERLINK("https://kabutan.jp/stock/?code="&amp;'StockList_MS2'!A37,"株探"))</f>
        <v/>
      </c>
      <c r="C38" s="14">
        <f>IF('StockList_MS2'!A37="","",'StockList_MS2'!A37)</f>
        <v/>
      </c>
      <c r="D38" s="16">
        <f>IF('StockList_MS2'!A37="","",'StockList_MS2'!B37)</f>
        <v/>
      </c>
      <c r="E38" s="17" t="n"/>
      <c r="F38" s="17" t="n"/>
      <c r="G38" s="17" t="n"/>
      <c r="H38" s="17" t="n"/>
      <c r="I38" s="18" t="n"/>
      <c r="J38" s="17" t="n"/>
      <c r="K38" s="17" t="n"/>
      <c r="L38" s="17" t="n"/>
      <c r="M38" s="14">
        <f>IF(E38="","",IF(E38&gt;L38,"BUY-DAY","SELL-DAY"))</f>
        <v/>
      </c>
      <c r="N38" s="19">
        <f>IF(E38="","",MAX(F38-G38,ABS(F38-L38),ABS(G38-L38)))</f>
        <v/>
      </c>
      <c r="O38" s="14">
        <f>IF(E38="","",IF(AND(I38&gt;0,I38&gt;(I38/3)*2.5),"VOL-OK","VOL-NG"))</f>
        <v/>
      </c>
      <c r="P38" s="14">
        <f>IF(E38="","",IF(E38&gt;J38,"ON","OFF"))</f>
        <v/>
      </c>
      <c r="Q38" s="14">
        <f>IF(E38="","",IF(E38&lt;K38,"ON","OFF"))</f>
        <v/>
      </c>
      <c r="R38" s="14">
        <f>IF(OR(E38="",N38&lt;=0),"",IF(AND(M38="BUY-DAY",O38="VOL-OK",Q38="ON",AA38="OK",AB38&lt;&gt;"DOWN"),"BUY",IF(AND(M38="SELL-DAY",O38="VOL-OK",P38="ON",AA38="OK",AB38&lt;&gt;"UP"),"SELL","")))</f>
        <v/>
      </c>
      <c r="S38" s="19">
        <f>IF(R38="","",E38)</f>
        <v/>
      </c>
      <c r="T38" s="19">
        <f>IF(R38="","",IF(R38="BUY",E38-N38*1.5,E38+N38*1.5))</f>
        <v/>
      </c>
      <c r="U38" s="19">
        <f>IF(R38="","",IF(R38="BUY",E38+N38*1.5,E38-N38*1.5))</f>
        <v/>
      </c>
      <c r="V38" s="19">
        <f>IF(R38="","",IF(R38="BUY",E38+N38*2,E38-N38*2))</f>
        <v/>
      </c>
      <c r="W38" s="19">
        <f>IF(R38="","",IF(R38="BUY",E38+N38*3,E38-N38*3))</f>
        <v/>
      </c>
      <c r="X38" s="14">
        <f>IF(OR(E38="",N38&lt;=0),"",IF(AND(E38&gt;H38,ABS(E38-H38)&lt;N38*0.5),"2ND","1ST"))</f>
        <v/>
      </c>
      <c r="Y38" s="14">
        <f>IF(OR(E38="",N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8" s="14">
        <f>IF(OR(E38="",N38&lt;=0),"",IF(N38&gt;E38*0.05,"VOL-HIGH","VOL-NORMAL"))</f>
        <v/>
      </c>
      <c r="AA38" s="14">
        <f>IF(OR(E38="",N38&lt;=0),"",IF(AND(O38="VOL-OK",Z38="VOL-NORMAL",X38="2ND"),"OK","NG"))</f>
        <v/>
      </c>
      <c r="AB38" s="14">
        <f>IF(OR(E38="",N38&lt;=0),"",IF(AND(F38&gt;J38,G38&gt;K38),"UP",IF(AND(F38&lt;J38,G38&lt;K38),"DOWN","FLAT")))</f>
        <v/>
      </c>
    </row>
    <row r="39" ht="26" customHeight="1" s="1">
      <c r="A39" s="8">
        <f>IF(C39="","",ROW()-2)</f>
        <v/>
      </c>
      <c r="B39" s="9">
        <f>IF('StockList_MS2'!A38="","",HYPERLINK("https://kabutan.jp/stock/?code="&amp;'StockList_MS2'!A38,"株探"))</f>
        <v/>
      </c>
      <c r="C39" s="8">
        <f>IF('StockList_MS2'!A38="","",'StockList_MS2'!A38)</f>
        <v/>
      </c>
      <c r="D39" s="10">
        <f>IF('StockList_MS2'!A38="","",'StockList_MS2'!B38)</f>
        <v/>
      </c>
      <c r="E39" s="11" t="n"/>
      <c r="F39" s="11" t="n"/>
      <c r="G39" s="11" t="n"/>
      <c r="H39" s="11" t="n"/>
      <c r="I39" s="12" t="n"/>
      <c r="J39" s="11" t="n"/>
      <c r="K39" s="11" t="n"/>
      <c r="L39" s="11" t="n"/>
      <c r="M39" s="8">
        <f>IF(E39="","",IF(E39&gt;L39,"BUY-DAY","SELL-DAY"))</f>
        <v/>
      </c>
      <c r="N39" s="13">
        <f>IF(E39="","",MAX(F39-G39,ABS(F39-L39),ABS(G39-L39)))</f>
        <v/>
      </c>
      <c r="O39" s="8">
        <f>IF(E39="","",IF(AND(I39&gt;0,I39&gt;(I39/3)*2.5),"VOL-OK","VOL-NG"))</f>
        <v/>
      </c>
      <c r="P39" s="8">
        <f>IF(E39="","",IF(E39&gt;J39,"ON","OFF"))</f>
        <v/>
      </c>
      <c r="Q39" s="8">
        <f>IF(E39="","",IF(E39&lt;K39,"ON","OFF"))</f>
        <v/>
      </c>
      <c r="R39" s="8">
        <f>IF(OR(E39="",N39&lt;=0),"",IF(AND(M39="BUY-DAY",O39="VOL-OK",Q39="ON",AA39="OK",AB39&lt;&gt;"DOWN"),"BUY",IF(AND(M39="SELL-DAY",O39="VOL-OK",P39="ON",AA39="OK",AB39&lt;&gt;"UP"),"SELL","")))</f>
        <v/>
      </c>
      <c r="S39" s="13">
        <f>IF(R39="","",E39)</f>
        <v/>
      </c>
      <c r="T39" s="13">
        <f>IF(R39="","",IF(R39="BUY",E39-N39*1.5,E39+N39*1.5))</f>
        <v/>
      </c>
      <c r="U39" s="13">
        <f>IF(R39="","",IF(R39="BUY",E39+N39*1.5,E39-N39*1.5))</f>
        <v/>
      </c>
      <c r="V39" s="13">
        <f>IF(R39="","",IF(R39="BUY",E39+N39*2,E39-N39*2))</f>
        <v/>
      </c>
      <c r="W39" s="13">
        <f>IF(R39="","",IF(R39="BUY",E39+N39*3,E39-N39*3))</f>
        <v/>
      </c>
      <c r="X39" s="8">
        <f>IF(OR(E39="",N39&lt;=0),"",IF(AND(E39&gt;H39,ABS(E39-H39)&lt;N39*0.5),"2ND","1ST"))</f>
        <v/>
      </c>
      <c r="Y39" s="8">
        <f>IF(OR(E39="",N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9" s="8">
        <f>IF(OR(E39="",N39&lt;=0),"",IF(N39&gt;E39*0.05,"VOL-HIGH","VOL-NORMAL"))</f>
        <v/>
      </c>
      <c r="AA39" s="8">
        <f>IF(OR(E39="",N39&lt;=0),"",IF(AND(O39="VOL-OK",Z39="VOL-NORMAL",X39="2ND"),"OK","NG"))</f>
        <v/>
      </c>
      <c r="AB39" s="8">
        <f>IF(OR(E39="",N39&lt;=0),"",IF(AND(F39&gt;J39,G39&gt;K39),"UP",IF(AND(F39&lt;J39,G39&lt;K39),"DOWN","FLAT")))</f>
        <v/>
      </c>
    </row>
    <row r="40" ht="26" customHeight="1" s="1">
      <c r="A40" s="14">
        <f>IF(C40="","",ROW()-2)</f>
        <v/>
      </c>
      <c r="B40" s="15">
        <f>IF('StockList_MS2'!A39="","",HYPERLINK("https://kabutan.jp/stock/?code="&amp;'StockList_MS2'!A39,"株探"))</f>
        <v/>
      </c>
      <c r="C40" s="14">
        <f>IF('StockList_MS2'!A39="","",'StockList_MS2'!A39)</f>
        <v/>
      </c>
      <c r="D40" s="16">
        <f>IF('StockList_MS2'!A39="","",'StockList_MS2'!B39)</f>
        <v/>
      </c>
      <c r="E40" s="17" t="n"/>
      <c r="F40" s="17" t="n"/>
      <c r="G40" s="17" t="n"/>
      <c r="H40" s="17" t="n"/>
      <c r="I40" s="18" t="n"/>
      <c r="J40" s="17" t="n"/>
      <c r="K40" s="17" t="n"/>
      <c r="L40" s="17" t="n"/>
      <c r="M40" s="14">
        <f>IF(E40="","",IF(E40&gt;L40,"BUY-DAY","SELL-DAY"))</f>
        <v/>
      </c>
      <c r="N40" s="19">
        <f>IF(E40="","",MAX(F40-G40,ABS(F40-L40),ABS(G40-L40)))</f>
        <v/>
      </c>
      <c r="O40" s="14">
        <f>IF(E40="","",IF(AND(I40&gt;0,I40&gt;(I40/3)*2.5),"VOL-OK","VOL-NG"))</f>
        <v/>
      </c>
      <c r="P40" s="14">
        <f>IF(E40="","",IF(E40&gt;J40,"ON","OFF"))</f>
        <v/>
      </c>
      <c r="Q40" s="14">
        <f>IF(E40="","",IF(E40&lt;K40,"ON","OFF"))</f>
        <v/>
      </c>
      <c r="R40" s="14">
        <f>IF(OR(E40="",N40&lt;=0),"",IF(AND(M40="BUY-DAY",O40="VOL-OK",Q40="ON",AA40="OK",AB40&lt;&gt;"DOWN"),"BUY",IF(AND(M40="SELL-DAY",O40="VOL-OK",P40="ON",AA40="OK",AB40&lt;&gt;"UP"),"SELL","")))</f>
        <v/>
      </c>
      <c r="S40" s="19">
        <f>IF(R40="","",E40)</f>
        <v/>
      </c>
      <c r="T40" s="19">
        <f>IF(R40="","",IF(R40="BUY",E40-N40*1.5,E40+N40*1.5))</f>
        <v/>
      </c>
      <c r="U40" s="19">
        <f>IF(R40="","",IF(R40="BUY",E40+N40*1.5,E40-N40*1.5))</f>
        <v/>
      </c>
      <c r="V40" s="19">
        <f>IF(R40="","",IF(R40="BUY",E40+N40*2,E40-N40*2))</f>
        <v/>
      </c>
      <c r="W40" s="19">
        <f>IF(R40="","",IF(R40="BUY",E40+N40*3,E40-N40*3))</f>
        <v/>
      </c>
      <c r="X40" s="14">
        <f>IF(OR(E40="",N40&lt;=0),"",IF(AND(E40&gt;H40,ABS(E40-H40)&lt;N40*0.5),"2ND","1ST"))</f>
        <v/>
      </c>
      <c r="Y40" s="14">
        <f>IF(OR(E40="",N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40" s="14">
        <f>IF(OR(E40="",N40&lt;=0),"",IF(N40&gt;E40*0.05,"VOL-HIGH","VOL-NORMAL"))</f>
        <v/>
      </c>
      <c r="AA40" s="14">
        <f>IF(OR(E40="",N40&lt;=0),"",IF(AND(O40="VOL-OK",Z40="VOL-NORMAL",X40="2ND"),"OK","NG"))</f>
        <v/>
      </c>
      <c r="AB40" s="14">
        <f>IF(OR(E40="",N40&lt;=0),"",IF(AND(F40&gt;J40,G40&gt;K40),"UP",IF(AND(F40&lt;J40,G40&lt;K40),"DOWN","FLAT")))</f>
        <v/>
      </c>
    </row>
    <row r="41" ht="26" customHeight="1" s="1">
      <c r="A41" s="8">
        <f>IF(C41="","",ROW()-2)</f>
        <v/>
      </c>
      <c r="B41" s="9">
        <f>IF('StockList_MS2'!A40="","",HYPERLINK("https://kabutan.jp/stock/?code="&amp;'StockList_MS2'!A40,"株探"))</f>
        <v/>
      </c>
      <c r="C41" s="8">
        <f>IF('StockList_MS2'!A40="","",'StockList_MS2'!A40)</f>
        <v/>
      </c>
      <c r="D41" s="10">
        <f>IF('StockList_MS2'!A40="","",'StockList_MS2'!B40)</f>
        <v/>
      </c>
      <c r="E41" s="11" t="n"/>
      <c r="F41" s="11" t="n"/>
      <c r="G41" s="11" t="n"/>
      <c r="H41" s="11" t="n"/>
      <c r="I41" s="12" t="n"/>
      <c r="J41" s="11" t="n"/>
      <c r="K41" s="11" t="n"/>
      <c r="L41" s="11" t="n"/>
      <c r="M41" s="8">
        <f>IF(E41="","",IF(E41&gt;L41,"BUY-DAY","SELL-DAY"))</f>
        <v/>
      </c>
      <c r="N41" s="13">
        <f>IF(E41="","",MAX(F41-G41,ABS(F41-L41),ABS(G41-L41)))</f>
        <v/>
      </c>
      <c r="O41" s="8">
        <f>IF(E41="","",IF(AND(I41&gt;0,I41&gt;(I41/3)*2.5),"VOL-OK","VOL-NG"))</f>
        <v/>
      </c>
      <c r="P41" s="8">
        <f>IF(E41="","",IF(E41&gt;J41,"ON","OFF"))</f>
        <v/>
      </c>
      <c r="Q41" s="8">
        <f>IF(E41="","",IF(E41&lt;K41,"ON","OFF"))</f>
        <v/>
      </c>
      <c r="R41" s="8">
        <f>IF(OR(E41="",N41&lt;=0),"",IF(AND(M41="BUY-DAY",O41="VOL-OK",Q41="ON",AA41="OK",AB41&lt;&gt;"DOWN"),"BUY",IF(AND(M41="SELL-DAY",O41="VOL-OK",P41="ON",AA41="OK",AB41&lt;&gt;"UP"),"SELL","")))</f>
        <v/>
      </c>
      <c r="S41" s="13">
        <f>IF(R41="","",E41)</f>
        <v/>
      </c>
      <c r="T41" s="13">
        <f>IF(R41="","",IF(R41="BUY",E41-N41*1.5,E41+N41*1.5))</f>
        <v/>
      </c>
      <c r="U41" s="13">
        <f>IF(R41="","",IF(R41="BUY",E41+N41*1.5,E41-N41*1.5))</f>
        <v/>
      </c>
      <c r="V41" s="13">
        <f>IF(R41="","",IF(R41="BUY",E41+N41*2,E41-N41*2))</f>
        <v/>
      </c>
      <c r="W41" s="13">
        <f>IF(R41="","",IF(R41="BUY",E41+N41*3,E41-N41*3))</f>
        <v/>
      </c>
      <c r="X41" s="8">
        <f>IF(OR(E41="",N41&lt;=0),"",IF(AND(E41&gt;H41,ABS(E41-H41)&lt;N41*0.5),"2ND","1ST"))</f>
        <v/>
      </c>
      <c r="Y41" s="8">
        <f>IF(OR(E41="",N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41" s="8">
        <f>IF(OR(E41="",N41&lt;=0),"",IF(N41&gt;E41*0.05,"VOL-HIGH","VOL-NORMAL"))</f>
        <v/>
      </c>
      <c r="AA41" s="8">
        <f>IF(OR(E41="",N41&lt;=0),"",IF(AND(O41="VOL-OK",Z41="VOL-NORMAL",X41="2ND"),"OK","NG"))</f>
        <v/>
      </c>
      <c r="AB41" s="8">
        <f>IF(OR(E41="",N41&lt;=0),"",IF(AND(F41&gt;J41,G41&gt;K41),"UP",IF(AND(F41&lt;J41,G41&lt;K41),"DOWN","FLAT")))</f>
        <v/>
      </c>
    </row>
    <row r="42" ht="26" customHeight="1" s="1">
      <c r="A42" s="14">
        <f>IF(C42="","",ROW()-2)</f>
        <v/>
      </c>
      <c r="B42" s="15">
        <f>IF('StockList_MS2'!A41="","",HYPERLINK("https://kabutan.jp/stock/?code="&amp;'StockList_MS2'!A41,"株探"))</f>
        <v/>
      </c>
      <c r="C42" s="14">
        <f>IF('StockList_MS2'!A41="","",'StockList_MS2'!A41)</f>
        <v/>
      </c>
      <c r="D42" s="16">
        <f>IF('StockList_MS2'!A41="","",'StockList_MS2'!B41)</f>
        <v/>
      </c>
      <c r="E42" s="17" t="n"/>
      <c r="F42" s="17" t="n"/>
      <c r="G42" s="17" t="n"/>
      <c r="H42" s="17" t="n"/>
      <c r="I42" s="18" t="n"/>
      <c r="J42" s="17" t="n"/>
      <c r="K42" s="17" t="n"/>
      <c r="L42" s="17" t="n"/>
      <c r="M42" s="14">
        <f>IF(E42="","",IF(E42&gt;L42,"BUY-DAY","SELL-DAY"))</f>
        <v/>
      </c>
      <c r="N42" s="19">
        <f>IF(E42="","",MAX(F42-G42,ABS(F42-L42),ABS(G42-L42)))</f>
        <v/>
      </c>
      <c r="O42" s="14">
        <f>IF(E42="","",IF(AND(I42&gt;0,I42&gt;(I42/3)*2.5),"VOL-OK","VOL-NG"))</f>
        <v/>
      </c>
      <c r="P42" s="14">
        <f>IF(E42="","",IF(E42&gt;J42,"ON","OFF"))</f>
        <v/>
      </c>
      <c r="Q42" s="14">
        <f>IF(E42="","",IF(E42&lt;K42,"ON","OFF"))</f>
        <v/>
      </c>
      <c r="R42" s="14">
        <f>IF(OR(E42="",N42&lt;=0),"",IF(AND(M42="BUY-DAY",O42="VOL-OK",Q42="ON",AA42="OK",AB42&lt;&gt;"DOWN"),"BUY",IF(AND(M42="SELL-DAY",O42="VOL-OK",P42="ON",AA42="OK",AB42&lt;&gt;"UP"),"SELL","")))</f>
        <v/>
      </c>
      <c r="S42" s="19">
        <f>IF(R42="","",E42)</f>
        <v/>
      </c>
      <c r="T42" s="19">
        <f>IF(R42="","",IF(R42="BUY",E42-N42*1.5,E42+N42*1.5))</f>
        <v/>
      </c>
      <c r="U42" s="19">
        <f>IF(R42="","",IF(R42="BUY",E42+N42*1.5,E42-N42*1.5))</f>
        <v/>
      </c>
      <c r="V42" s="19">
        <f>IF(R42="","",IF(R42="BUY",E42+N42*2,E42-N42*2))</f>
        <v/>
      </c>
      <c r="W42" s="19">
        <f>IF(R42="","",IF(R42="BUY",E42+N42*3,E42-N42*3))</f>
        <v/>
      </c>
      <c r="X42" s="14">
        <f>IF(OR(E42="",N42&lt;=0),"",IF(AND(E42&gt;H42,ABS(E42-H42)&lt;N42*0.5),"2ND","1ST"))</f>
        <v/>
      </c>
      <c r="Y42" s="14">
        <f>IF(OR(E42="",N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42" s="14">
        <f>IF(OR(E42="",N42&lt;=0),"",IF(N42&gt;E42*0.05,"VOL-HIGH","VOL-NORMAL"))</f>
        <v/>
      </c>
      <c r="AA42" s="14">
        <f>IF(OR(E42="",N42&lt;=0),"",IF(AND(O42="VOL-OK",Z42="VOL-NORMAL",X42="2ND"),"OK","NG"))</f>
        <v/>
      </c>
      <c r="AB42" s="14">
        <f>IF(OR(E42="",N42&lt;=0),"",IF(AND(F42&gt;J42,G42&gt;K42),"UP",IF(AND(F42&lt;J42,G42&lt;K42),"DOWN","FLAT")))</f>
        <v/>
      </c>
    </row>
    <row r="43" ht="26" customHeight="1" s="1">
      <c r="A43" s="8">
        <f>IF(C43="","",ROW()-2)</f>
        <v/>
      </c>
      <c r="B43" s="9">
        <f>IF('StockList_MS2'!A42="","",HYPERLINK("https://kabutan.jp/stock/?code="&amp;'StockList_MS2'!A42,"株探"))</f>
        <v/>
      </c>
      <c r="C43" s="8">
        <f>IF('StockList_MS2'!A42="","",'StockList_MS2'!A42)</f>
        <v/>
      </c>
      <c r="D43" s="10">
        <f>IF('StockList_MS2'!A42="","",'StockList_MS2'!B42)</f>
        <v/>
      </c>
      <c r="E43" s="11" t="n"/>
      <c r="F43" s="11" t="n"/>
      <c r="G43" s="11" t="n"/>
      <c r="H43" s="11" t="n"/>
      <c r="I43" s="12" t="n"/>
      <c r="J43" s="11" t="n"/>
      <c r="K43" s="11" t="n"/>
      <c r="L43" s="11" t="n"/>
      <c r="M43" s="8">
        <f>IF(E43="","",IF(E43&gt;L43,"BUY-DAY","SELL-DAY"))</f>
        <v/>
      </c>
      <c r="N43" s="13">
        <f>IF(E43="","",MAX(F43-G43,ABS(F43-L43),ABS(G43-L43)))</f>
        <v/>
      </c>
      <c r="O43" s="8">
        <f>IF(E43="","",IF(AND(I43&gt;0,I43&gt;(I43/3)*2.5),"VOL-OK","VOL-NG"))</f>
        <v/>
      </c>
      <c r="P43" s="8">
        <f>IF(E43="","",IF(E43&gt;J43,"ON","OFF"))</f>
        <v/>
      </c>
      <c r="Q43" s="8">
        <f>IF(E43="","",IF(E43&lt;K43,"ON","OFF"))</f>
        <v/>
      </c>
      <c r="R43" s="8">
        <f>IF(OR(E43="",N43&lt;=0),"",IF(AND(M43="BUY-DAY",O43="VOL-OK",Q43="ON",AA43="OK",AB43&lt;&gt;"DOWN"),"BUY",IF(AND(M43="SELL-DAY",O43="VOL-OK",P43="ON",AA43="OK",AB43&lt;&gt;"UP"),"SELL","")))</f>
        <v/>
      </c>
      <c r="S43" s="13">
        <f>IF(R43="","",E43)</f>
        <v/>
      </c>
      <c r="T43" s="13">
        <f>IF(R43="","",IF(R43="BUY",E43-N43*1.5,E43+N43*1.5))</f>
        <v/>
      </c>
      <c r="U43" s="13">
        <f>IF(R43="","",IF(R43="BUY",E43+N43*1.5,E43-N43*1.5))</f>
        <v/>
      </c>
      <c r="V43" s="13">
        <f>IF(R43="","",IF(R43="BUY",E43+N43*2,E43-N43*2))</f>
        <v/>
      </c>
      <c r="W43" s="13">
        <f>IF(R43="","",IF(R43="BUY",E43+N43*3,E43-N43*3))</f>
        <v/>
      </c>
      <c r="X43" s="8">
        <f>IF(OR(E43="",N43&lt;=0),"",IF(AND(E43&gt;H43,ABS(E43-H43)&lt;N43*0.5),"2ND","1ST"))</f>
        <v/>
      </c>
      <c r="Y43" s="8">
        <f>IF(OR(E43="",N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43" s="8">
        <f>IF(OR(E43="",N43&lt;=0),"",IF(N43&gt;E43*0.05,"VOL-HIGH","VOL-NORMAL"))</f>
        <v/>
      </c>
      <c r="AA43" s="8">
        <f>IF(OR(E43="",N43&lt;=0),"",IF(AND(O43="VOL-OK",Z43="VOL-NORMAL",X43="2ND"),"OK","NG"))</f>
        <v/>
      </c>
      <c r="AB43" s="8">
        <f>IF(OR(E43="",N43&lt;=0),"",IF(AND(F43&gt;J43,G43&gt;K43),"UP",IF(AND(F43&lt;J43,G43&lt;K43),"DOWN","FLAT")))</f>
        <v/>
      </c>
    </row>
    <row r="44" ht="26" customHeight="1" s="1">
      <c r="A44" s="14">
        <f>IF(C44="","",ROW()-2)</f>
        <v/>
      </c>
      <c r="B44" s="15">
        <f>IF('StockList_MS2'!A43="","",HYPERLINK("https://kabutan.jp/stock/?code="&amp;'StockList_MS2'!A43,"株探"))</f>
        <v/>
      </c>
      <c r="C44" s="14">
        <f>IF('StockList_MS2'!A43="","",'StockList_MS2'!A43)</f>
        <v/>
      </c>
      <c r="D44" s="16">
        <f>IF('StockList_MS2'!A43="","",'StockList_MS2'!B43)</f>
        <v/>
      </c>
      <c r="E44" s="17" t="n"/>
      <c r="F44" s="17" t="n"/>
      <c r="G44" s="17" t="n"/>
      <c r="H44" s="17" t="n"/>
      <c r="I44" s="18" t="n"/>
      <c r="J44" s="17" t="n"/>
      <c r="K44" s="17" t="n"/>
      <c r="L44" s="17" t="n"/>
      <c r="M44" s="14">
        <f>IF(E44="","",IF(E44&gt;L44,"BUY-DAY","SELL-DAY"))</f>
        <v/>
      </c>
      <c r="N44" s="19">
        <f>IF(E44="","",MAX(F44-G44,ABS(F44-L44),ABS(G44-L44)))</f>
        <v/>
      </c>
      <c r="O44" s="14">
        <f>IF(E44="","",IF(AND(I44&gt;0,I44&gt;(I44/3)*2.5),"VOL-OK","VOL-NG"))</f>
        <v/>
      </c>
      <c r="P44" s="14">
        <f>IF(E44="","",IF(E44&gt;J44,"ON","OFF"))</f>
        <v/>
      </c>
      <c r="Q44" s="14">
        <f>IF(E44="","",IF(E44&lt;K44,"ON","OFF"))</f>
        <v/>
      </c>
      <c r="R44" s="14">
        <f>IF(OR(E44="",N44&lt;=0),"",IF(AND(M44="BUY-DAY",O44="VOL-OK",Q44="ON",AA44="OK",AB44&lt;&gt;"DOWN"),"BUY",IF(AND(M44="SELL-DAY",O44="VOL-OK",P44="ON",AA44="OK",AB44&lt;&gt;"UP"),"SELL","")))</f>
        <v/>
      </c>
      <c r="S44" s="19">
        <f>IF(R44="","",E44)</f>
        <v/>
      </c>
      <c r="T44" s="19">
        <f>IF(R44="","",IF(R44="BUY",E44-N44*1.5,E44+N44*1.5))</f>
        <v/>
      </c>
      <c r="U44" s="19">
        <f>IF(R44="","",IF(R44="BUY",E44+N44*1.5,E44-N44*1.5))</f>
        <v/>
      </c>
      <c r="V44" s="19">
        <f>IF(R44="","",IF(R44="BUY",E44+N44*2,E44-N44*2))</f>
        <v/>
      </c>
      <c r="W44" s="19">
        <f>IF(R44="","",IF(R44="BUY",E44+N44*3,E44-N44*3))</f>
        <v/>
      </c>
      <c r="X44" s="14">
        <f>IF(OR(E44="",N44&lt;=0),"",IF(AND(E44&gt;H44,ABS(E44-H44)&lt;N44*0.5),"2ND","1ST"))</f>
        <v/>
      </c>
      <c r="Y44" s="14">
        <f>IF(OR(E44="",N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44" s="14">
        <f>IF(OR(E44="",N44&lt;=0),"",IF(N44&gt;E44*0.05,"VOL-HIGH","VOL-NORMAL"))</f>
        <v/>
      </c>
      <c r="AA44" s="14">
        <f>IF(OR(E44="",N44&lt;=0),"",IF(AND(O44="VOL-OK",Z44="VOL-NORMAL",X44="2ND"),"OK","NG"))</f>
        <v/>
      </c>
      <c r="AB44" s="14">
        <f>IF(OR(E44="",N44&lt;=0),"",IF(AND(F44&gt;J44,G44&gt;K44),"UP",IF(AND(F44&lt;J44,G44&lt;K44),"DOWN","FLAT")))</f>
        <v/>
      </c>
    </row>
    <row r="45" ht="26" customHeight="1" s="1">
      <c r="A45" s="8">
        <f>IF(C45="","",ROW()-2)</f>
        <v/>
      </c>
      <c r="B45" s="9">
        <f>IF('StockList_MS2'!A44="","",HYPERLINK("https://kabutan.jp/stock/?code="&amp;'StockList_MS2'!A44,"株探"))</f>
        <v/>
      </c>
      <c r="C45" s="8">
        <f>IF('StockList_MS2'!A44="","",'StockList_MS2'!A44)</f>
        <v/>
      </c>
      <c r="D45" s="10">
        <f>IF('StockList_MS2'!A44="","",'StockList_MS2'!B44)</f>
        <v/>
      </c>
      <c r="E45" s="11" t="n"/>
      <c r="F45" s="11" t="n"/>
      <c r="G45" s="11" t="n"/>
      <c r="H45" s="11" t="n"/>
      <c r="I45" s="12" t="n"/>
      <c r="J45" s="11" t="n"/>
      <c r="K45" s="11" t="n"/>
      <c r="L45" s="11" t="n"/>
      <c r="M45" s="8">
        <f>IF(E45="","",IF(E45&gt;L45,"BUY-DAY","SELL-DAY"))</f>
        <v/>
      </c>
      <c r="N45" s="13">
        <f>IF(E45="","",MAX(F45-G45,ABS(F45-L45),ABS(G45-L45)))</f>
        <v/>
      </c>
      <c r="O45" s="8">
        <f>IF(E45="","",IF(AND(I45&gt;0,I45&gt;(I45/3)*2.5),"VOL-OK","VOL-NG"))</f>
        <v/>
      </c>
      <c r="P45" s="8">
        <f>IF(E45="","",IF(E45&gt;J45,"ON","OFF"))</f>
        <v/>
      </c>
      <c r="Q45" s="8">
        <f>IF(E45="","",IF(E45&lt;K45,"ON","OFF"))</f>
        <v/>
      </c>
      <c r="R45" s="8">
        <f>IF(OR(E45="",N45&lt;=0),"",IF(AND(M45="BUY-DAY",O45="VOL-OK",Q45="ON",AA45="OK",AB45&lt;&gt;"DOWN"),"BUY",IF(AND(M45="SELL-DAY",O45="VOL-OK",P45="ON",AA45="OK",AB45&lt;&gt;"UP"),"SELL","")))</f>
        <v/>
      </c>
      <c r="S45" s="13">
        <f>IF(R45="","",E45)</f>
        <v/>
      </c>
      <c r="T45" s="13">
        <f>IF(R45="","",IF(R45="BUY",E45-N45*1.5,E45+N45*1.5))</f>
        <v/>
      </c>
      <c r="U45" s="13">
        <f>IF(R45="","",IF(R45="BUY",E45+N45*1.5,E45-N45*1.5))</f>
        <v/>
      </c>
      <c r="V45" s="13">
        <f>IF(R45="","",IF(R45="BUY",E45+N45*2,E45-N45*2))</f>
        <v/>
      </c>
      <c r="W45" s="13">
        <f>IF(R45="","",IF(R45="BUY",E45+N45*3,E45-N45*3))</f>
        <v/>
      </c>
      <c r="X45" s="8">
        <f>IF(OR(E45="",N45&lt;=0),"",IF(AND(E45&gt;H45,ABS(E45-H45)&lt;N45*0.5),"2ND","1ST"))</f>
        <v/>
      </c>
      <c r="Y45" s="8">
        <f>IF(OR(E45="",N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45" s="8">
        <f>IF(OR(E45="",N45&lt;=0),"",IF(N45&gt;E45*0.05,"VOL-HIGH","VOL-NORMAL"))</f>
        <v/>
      </c>
      <c r="AA45" s="8">
        <f>IF(OR(E45="",N45&lt;=0),"",IF(AND(O45="VOL-OK",Z45="VOL-NORMAL",X45="2ND"),"OK","NG"))</f>
        <v/>
      </c>
      <c r="AB45" s="8">
        <f>IF(OR(E45="",N45&lt;=0),"",IF(AND(F45&gt;J45,G45&gt;K45),"UP",IF(AND(F45&lt;J45,G45&lt;K45),"DOWN","FLAT")))</f>
        <v/>
      </c>
    </row>
    <row r="46" ht="26" customHeight="1" s="1">
      <c r="A46" s="14">
        <f>IF(C46="","",ROW()-2)</f>
        <v/>
      </c>
      <c r="B46" s="15">
        <f>IF('StockList_MS2'!A45="","",HYPERLINK("https://kabutan.jp/stock/?code="&amp;'StockList_MS2'!A45,"株探"))</f>
        <v/>
      </c>
      <c r="C46" s="14">
        <f>IF('StockList_MS2'!A45="","",'StockList_MS2'!A45)</f>
        <v/>
      </c>
      <c r="D46" s="16">
        <f>IF('StockList_MS2'!A45="","",'StockList_MS2'!B45)</f>
        <v/>
      </c>
      <c r="E46" s="17" t="n"/>
      <c r="F46" s="17" t="n"/>
      <c r="G46" s="17" t="n"/>
      <c r="H46" s="17" t="n"/>
      <c r="I46" s="18" t="n"/>
      <c r="J46" s="17" t="n"/>
      <c r="K46" s="17" t="n"/>
      <c r="L46" s="17" t="n"/>
      <c r="M46" s="14">
        <f>IF(E46="","",IF(E46&gt;L46,"BUY-DAY","SELL-DAY"))</f>
        <v/>
      </c>
      <c r="N46" s="19">
        <f>IF(E46="","",MAX(F46-G46,ABS(F46-L46),ABS(G46-L46)))</f>
        <v/>
      </c>
      <c r="O46" s="14">
        <f>IF(E46="","",IF(AND(I46&gt;0,I46&gt;(I46/3)*2.5),"VOL-OK","VOL-NG"))</f>
        <v/>
      </c>
      <c r="P46" s="14">
        <f>IF(E46="","",IF(E46&gt;J46,"ON","OFF"))</f>
        <v/>
      </c>
      <c r="Q46" s="14">
        <f>IF(E46="","",IF(E46&lt;K46,"ON","OFF"))</f>
        <v/>
      </c>
      <c r="R46" s="14">
        <f>IF(OR(E46="",N46&lt;=0),"",IF(AND(M46="BUY-DAY",O46="VOL-OK",Q46="ON",AA46="OK",AB46&lt;&gt;"DOWN"),"BUY",IF(AND(M46="SELL-DAY",O46="VOL-OK",P46="ON",AA46="OK",AB46&lt;&gt;"UP"),"SELL","")))</f>
        <v/>
      </c>
      <c r="S46" s="19">
        <f>IF(R46="","",E46)</f>
        <v/>
      </c>
      <c r="T46" s="19">
        <f>IF(R46="","",IF(R46="BUY",E46-N46*1.5,E46+N46*1.5))</f>
        <v/>
      </c>
      <c r="U46" s="19">
        <f>IF(R46="","",IF(R46="BUY",E46+N46*1.5,E46-N46*1.5))</f>
        <v/>
      </c>
      <c r="V46" s="19">
        <f>IF(R46="","",IF(R46="BUY",E46+N46*2,E46-N46*2))</f>
        <v/>
      </c>
      <c r="W46" s="19">
        <f>IF(R46="","",IF(R46="BUY",E46+N46*3,E46-N46*3))</f>
        <v/>
      </c>
      <c r="X46" s="14">
        <f>IF(OR(E46="",N46&lt;=0),"",IF(AND(E46&gt;H46,ABS(E46-H46)&lt;N46*0.5),"2ND","1ST"))</f>
        <v/>
      </c>
      <c r="Y46" s="14">
        <f>IF(OR(E46="",N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46" s="14">
        <f>IF(OR(E46="",N46&lt;=0),"",IF(N46&gt;E46*0.05,"VOL-HIGH","VOL-NORMAL"))</f>
        <v/>
      </c>
      <c r="AA46" s="14">
        <f>IF(OR(E46="",N46&lt;=0),"",IF(AND(O46="VOL-OK",Z46="VOL-NORMAL",X46="2ND"),"OK","NG"))</f>
        <v/>
      </c>
      <c r="AB46" s="14">
        <f>IF(OR(E46="",N46&lt;=0),"",IF(AND(F46&gt;J46,G46&gt;K46),"UP",IF(AND(F46&lt;J46,G46&lt;K46),"DOWN","FLAT")))</f>
        <v/>
      </c>
    </row>
    <row r="47" ht="26" customHeight="1" s="1">
      <c r="A47" s="8">
        <f>IF(C47="","",ROW()-2)</f>
        <v/>
      </c>
      <c r="B47" s="9">
        <f>IF('StockList_MS2'!A46="","",HYPERLINK("https://kabutan.jp/stock/?code="&amp;'StockList_MS2'!A46,"株探"))</f>
        <v/>
      </c>
      <c r="C47" s="8">
        <f>IF('StockList_MS2'!A46="","",'StockList_MS2'!A46)</f>
        <v/>
      </c>
      <c r="D47" s="10">
        <f>IF('StockList_MS2'!A46="","",'StockList_MS2'!B46)</f>
        <v/>
      </c>
      <c r="E47" s="11" t="n"/>
      <c r="F47" s="11" t="n"/>
      <c r="G47" s="11" t="n"/>
      <c r="H47" s="11" t="n"/>
      <c r="I47" s="12" t="n"/>
      <c r="J47" s="11" t="n"/>
      <c r="K47" s="11" t="n"/>
      <c r="L47" s="11" t="n"/>
      <c r="M47" s="8">
        <f>IF(E47="","",IF(E47&gt;L47,"BUY-DAY","SELL-DAY"))</f>
        <v/>
      </c>
      <c r="N47" s="13">
        <f>IF(E47="","",MAX(F47-G47,ABS(F47-L47),ABS(G47-L47)))</f>
        <v/>
      </c>
      <c r="O47" s="8">
        <f>IF(E47="","",IF(AND(I47&gt;0,I47&gt;(I47/3)*2.5),"VOL-OK","VOL-NG"))</f>
        <v/>
      </c>
      <c r="P47" s="8">
        <f>IF(E47="","",IF(E47&gt;J47,"ON","OFF"))</f>
        <v/>
      </c>
      <c r="Q47" s="8">
        <f>IF(E47="","",IF(E47&lt;K47,"ON","OFF"))</f>
        <v/>
      </c>
      <c r="R47" s="8">
        <f>IF(OR(E47="",N47&lt;=0),"",IF(AND(M47="BUY-DAY",O47="VOL-OK",Q47="ON",AA47="OK",AB47&lt;&gt;"DOWN"),"BUY",IF(AND(M47="SELL-DAY",O47="VOL-OK",P47="ON",AA47="OK",AB47&lt;&gt;"UP"),"SELL","")))</f>
        <v/>
      </c>
      <c r="S47" s="13">
        <f>IF(R47="","",E47)</f>
        <v/>
      </c>
      <c r="T47" s="13">
        <f>IF(R47="","",IF(R47="BUY",E47-N47*1.5,E47+N47*1.5))</f>
        <v/>
      </c>
      <c r="U47" s="13">
        <f>IF(R47="","",IF(R47="BUY",E47+N47*1.5,E47-N47*1.5))</f>
        <v/>
      </c>
      <c r="V47" s="13">
        <f>IF(R47="","",IF(R47="BUY",E47+N47*2,E47-N47*2))</f>
        <v/>
      </c>
      <c r="W47" s="13">
        <f>IF(R47="","",IF(R47="BUY",E47+N47*3,E47-N47*3))</f>
        <v/>
      </c>
      <c r="X47" s="8">
        <f>IF(OR(E47="",N47&lt;=0),"",IF(AND(E47&gt;H47,ABS(E47-H47)&lt;N47*0.5),"2ND","1ST"))</f>
        <v/>
      </c>
      <c r="Y47" s="8">
        <f>IF(OR(E47="",N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47" s="8">
        <f>IF(OR(E47="",N47&lt;=0),"",IF(N47&gt;E47*0.05,"VOL-HIGH","VOL-NORMAL"))</f>
        <v/>
      </c>
      <c r="AA47" s="8">
        <f>IF(OR(E47="",N47&lt;=0),"",IF(AND(O47="VOL-OK",Z47="VOL-NORMAL",X47="2ND"),"OK","NG"))</f>
        <v/>
      </c>
      <c r="AB47" s="8">
        <f>IF(OR(E47="",N47&lt;=0),"",IF(AND(F47&gt;J47,G47&gt;K47),"UP",IF(AND(F47&lt;J47,G47&lt;K47),"DOWN","FLAT")))</f>
        <v/>
      </c>
    </row>
    <row r="48" ht="26" customHeight="1" s="1">
      <c r="A48" s="14">
        <f>IF(C48="","",ROW()-2)</f>
        <v/>
      </c>
      <c r="B48" s="15">
        <f>IF('StockList_MS2'!A47="","",HYPERLINK("https://kabutan.jp/stock/?code="&amp;'StockList_MS2'!A47,"株探"))</f>
        <v/>
      </c>
      <c r="C48" s="14">
        <f>IF('StockList_MS2'!A47="","",'StockList_MS2'!A47)</f>
        <v/>
      </c>
      <c r="D48" s="16">
        <f>IF('StockList_MS2'!A47="","",'StockList_MS2'!B47)</f>
        <v/>
      </c>
      <c r="E48" s="17" t="n"/>
      <c r="F48" s="17" t="n"/>
      <c r="G48" s="17" t="n"/>
      <c r="H48" s="17" t="n"/>
      <c r="I48" s="18" t="n"/>
      <c r="J48" s="17" t="n"/>
      <c r="K48" s="17" t="n"/>
      <c r="L48" s="17" t="n"/>
      <c r="M48" s="14">
        <f>IF(E48="","",IF(E48&gt;L48,"BUY-DAY","SELL-DAY"))</f>
        <v/>
      </c>
      <c r="N48" s="19">
        <f>IF(E48="","",MAX(F48-G48,ABS(F48-L48),ABS(G48-L48)))</f>
        <v/>
      </c>
      <c r="O48" s="14">
        <f>IF(E48="","",IF(AND(I48&gt;0,I48&gt;(I48/3)*2.5),"VOL-OK","VOL-NG"))</f>
        <v/>
      </c>
      <c r="P48" s="14">
        <f>IF(E48="","",IF(E48&gt;J48,"ON","OFF"))</f>
        <v/>
      </c>
      <c r="Q48" s="14">
        <f>IF(E48="","",IF(E48&lt;K48,"ON","OFF"))</f>
        <v/>
      </c>
      <c r="R48" s="14">
        <f>IF(OR(E48="",N48&lt;=0),"",IF(AND(M48="BUY-DAY",O48="VOL-OK",Q48="ON",AA48="OK",AB48&lt;&gt;"DOWN"),"BUY",IF(AND(M48="SELL-DAY",O48="VOL-OK",P48="ON",AA48="OK",AB48&lt;&gt;"UP"),"SELL","")))</f>
        <v/>
      </c>
      <c r="S48" s="19">
        <f>IF(R48="","",E48)</f>
        <v/>
      </c>
      <c r="T48" s="19">
        <f>IF(R48="","",IF(R48="BUY",E48-N48*1.5,E48+N48*1.5))</f>
        <v/>
      </c>
      <c r="U48" s="19">
        <f>IF(R48="","",IF(R48="BUY",E48+N48*1.5,E48-N48*1.5))</f>
        <v/>
      </c>
      <c r="V48" s="19">
        <f>IF(R48="","",IF(R48="BUY",E48+N48*2,E48-N48*2))</f>
        <v/>
      </c>
      <c r="W48" s="19">
        <f>IF(R48="","",IF(R48="BUY",E48+N48*3,E48-N48*3))</f>
        <v/>
      </c>
      <c r="X48" s="14">
        <f>IF(OR(E48="",N48&lt;=0),"",IF(AND(E48&gt;H48,ABS(E48-H48)&lt;N48*0.5),"2ND","1ST"))</f>
        <v/>
      </c>
      <c r="Y48" s="14">
        <f>IF(OR(E48="",N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48" s="14">
        <f>IF(OR(E48="",N48&lt;=0),"",IF(N48&gt;E48*0.05,"VOL-HIGH","VOL-NORMAL"))</f>
        <v/>
      </c>
      <c r="AA48" s="14">
        <f>IF(OR(E48="",N48&lt;=0),"",IF(AND(O48="VOL-OK",Z48="VOL-NORMAL",X48="2ND"),"OK","NG"))</f>
        <v/>
      </c>
      <c r="AB48" s="14">
        <f>IF(OR(E48="",N48&lt;=0),"",IF(AND(F48&gt;J48,G48&gt;K48),"UP",IF(AND(F48&lt;J48,G48&lt;K48),"DOWN","FLAT")))</f>
        <v/>
      </c>
    </row>
    <row r="49" ht="26" customHeight="1" s="1">
      <c r="A49" s="8">
        <f>IF(C49="","",ROW()-2)</f>
        <v/>
      </c>
      <c r="B49" s="9">
        <f>IF('StockList_MS2'!A48="","",HYPERLINK("https://kabutan.jp/stock/?code="&amp;'StockList_MS2'!A48,"株探"))</f>
        <v/>
      </c>
      <c r="C49" s="8">
        <f>IF('StockList_MS2'!A48="","",'StockList_MS2'!A48)</f>
        <v/>
      </c>
      <c r="D49" s="10">
        <f>IF('StockList_MS2'!A48="","",'StockList_MS2'!B48)</f>
        <v/>
      </c>
      <c r="E49" s="11" t="n"/>
      <c r="F49" s="11" t="n"/>
      <c r="G49" s="11" t="n"/>
      <c r="H49" s="11" t="n"/>
      <c r="I49" s="12" t="n"/>
      <c r="J49" s="11" t="n"/>
      <c r="K49" s="11" t="n"/>
      <c r="L49" s="11" t="n"/>
      <c r="M49" s="8">
        <f>IF(E49="","",IF(E49&gt;L49,"BUY-DAY","SELL-DAY"))</f>
        <v/>
      </c>
      <c r="N49" s="13">
        <f>IF(E49="","",MAX(F49-G49,ABS(F49-L49),ABS(G49-L49)))</f>
        <v/>
      </c>
      <c r="O49" s="8">
        <f>IF(E49="","",IF(AND(I49&gt;0,I49&gt;(I49/3)*2.5),"VOL-OK","VOL-NG"))</f>
        <v/>
      </c>
      <c r="P49" s="8">
        <f>IF(E49="","",IF(E49&gt;J49,"ON","OFF"))</f>
        <v/>
      </c>
      <c r="Q49" s="8">
        <f>IF(E49="","",IF(E49&lt;K49,"ON","OFF"))</f>
        <v/>
      </c>
      <c r="R49" s="8">
        <f>IF(OR(E49="",N49&lt;=0),"",IF(AND(M49="BUY-DAY",O49="VOL-OK",Q49="ON",AA49="OK",AB49&lt;&gt;"DOWN"),"BUY",IF(AND(M49="SELL-DAY",O49="VOL-OK",P49="ON",AA49="OK",AB49&lt;&gt;"UP"),"SELL","")))</f>
        <v/>
      </c>
      <c r="S49" s="13">
        <f>IF(R49="","",E49)</f>
        <v/>
      </c>
      <c r="T49" s="13">
        <f>IF(R49="","",IF(R49="BUY",E49-N49*1.5,E49+N49*1.5))</f>
        <v/>
      </c>
      <c r="U49" s="13">
        <f>IF(R49="","",IF(R49="BUY",E49+N49*1.5,E49-N49*1.5))</f>
        <v/>
      </c>
      <c r="V49" s="13">
        <f>IF(R49="","",IF(R49="BUY",E49+N49*2,E49-N49*2))</f>
        <v/>
      </c>
      <c r="W49" s="13">
        <f>IF(R49="","",IF(R49="BUY",E49+N49*3,E49-N49*3))</f>
        <v/>
      </c>
      <c r="X49" s="8">
        <f>IF(OR(E49="",N49&lt;=0),"",IF(AND(E49&gt;H49,ABS(E49-H49)&lt;N49*0.5),"2ND","1ST"))</f>
        <v/>
      </c>
      <c r="Y49" s="8">
        <f>IF(OR(E49="",N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49" s="8">
        <f>IF(OR(E49="",N49&lt;=0),"",IF(N49&gt;E49*0.05,"VOL-HIGH","VOL-NORMAL"))</f>
        <v/>
      </c>
      <c r="AA49" s="8">
        <f>IF(OR(E49="",N49&lt;=0),"",IF(AND(O49="VOL-OK",Z49="VOL-NORMAL",X49="2ND"),"OK","NG"))</f>
        <v/>
      </c>
      <c r="AB49" s="8">
        <f>IF(OR(E49="",N49&lt;=0),"",IF(AND(F49&gt;J49,G49&gt;K49),"UP",IF(AND(F49&lt;J49,G49&lt;K49),"DOWN","FLAT")))</f>
        <v/>
      </c>
    </row>
    <row r="50" ht="26" customHeight="1" s="1">
      <c r="A50" s="14">
        <f>IF(C50="","",ROW()-2)</f>
        <v/>
      </c>
      <c r="B50" s="15">
        <f>IF('StockList_MS2'!A49="","",HYPERLINK("https://kabutan.jp/stock/?code="&amp;'StockList_MS2'!A49,"株探"))</f>
        <v/>
      </c>
      <c r="C50" s="14">
        <f>IF('StockList_MS2'!A49="","",'StockList_MS2'!A49)</f>
        <v/>
      </c>
      <c r="D50" s="16">
        <f>IF('StockList_MS2'!A49="","",'StockList_MS2'!B49)</f>
        <v/>
      </c>
      <c r="E50" s="17" t="n"/>
      <c r="F50" s="17" t="n"/>
      <c r="G50" s="17" t="n"/>
      <c r="H50" s="17" t="n"/>
      <c r="I50" s="18" t="n"/>
      <c r="J50" s="17" t="n"/>
      <c r="K50" s="17" t="n"/>
      <c r="L50" s="17" t="n"/>
      <c r="M50" s="14">
        <f>IF(E50="","",IF(E50&gt;L50,"BUY-DAY","SELL-DAY"))</f>
        <v/>
      </c>
      <c r="N50" s="19">
        <f>IF(E50="","",MAX(F50-G50,ABS(F50-L50),ABS(G50-L50)))</f>
        <v/>
      </c>
      <c r="O50" s="14">
        <f>IF(E50="","",IF(AND(I50&gt;0,I50&gt;(I50/3)*2.5),"VOL-OK","VOL-NG"))</f>
        <v/>
      </c>
      <c r="P50" s="14">
        <f>IF(E50="","",IF(E50&gt;J50,"ON","OFF"))</f>
        <v/>
      </c>
      <c r="Q50" s="14">
        <f>IF(E50="","",IF(E50&lt;K50,"ON","OFF"))</f>
        <v/>
      </c>
      <c r="R50" s="14">
        <f>IF(OR(E50="",N50&lt;=0),"",IF(AND(M50="BUY-DAY",O50="VOL-OK",Q50="ON",AA50="OK",AB50&lt;&gt;"DOWN"),"BUY",IF(AND(M50="SELL-DAY",O50="VOL-OK",P50="ON",AA50="OK",AB50&lt;&gt;"UP"),"SELL","")))</f>
        <v/>
      </c>
      <c r="S50" s="19">
        <f>IF(R50="","",E50)</f>
        <v/>
      </c>
      <c r="T50" s="19">
        <f>IF(R50="","",IF(R50="BUY",E50-N50*1.5,E50+N50*1.5))</f>
        <v/>
      </c>
      <c r="U50" s="19">
        <f>IF(R50="","",IF(R50="BUY",E50+N50*1.5,E50-N50*1.5))</f>
        <v/>
      </c>
      <c r="V50" s="19">
        <f>IF(R50="","",IF(R50="BUY",E50+N50*2,E50-N50*2))</f>
        <v/>
      </c>
      <c r="W50" s="19">
        <f>IF(R50="","",IF(R50="BUY",E50+N50*3,E50-N50*3))</f>
        <v/>
      </c>
      <c r="X50" s="14">
        <f>IF(OR(E50="",N50&lt;=0),"",IF(AND(E50&gt;H50,ABS(E50-H50)&lt;N50*0.5),"2ND","1ST"))</f>
        <v/>
      </c>
      <c r="Y50" s="14">
        <f>IF(OR(E50="",N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50" s="14">
        <f>IF(OR(E50="",N50&lt;=0),"",IF(N50&gt;E50*0.05,"VOL-HIGH","VOL-NORMAL"))</f>
        <v/>
      </c>
      <c r="AA50" s="14">
        <f>IF(OR(E50="",N50&lt;=0),"",IF(AND(O50="VOL-OK",Z50="VOL-NORMAL",X50="2ND"),"OK","NG"))</f>
        <v/>
      </c>
      <c r="AB50" s="14">
        <f>IF(OR(E50="",N50&lt;=0),"",IF(AND(F50&gt;J50,G50&gt;K50),"UP",IF(AND(F50&lt;J50,G50&lt;K50),"DOWN","FLAT")))</f>
        <v/>
      </c>
    </row>
    <row r="51" ht="26" customHeight="1" s="1">
      <c r="A51" s="8">
        <f>IF(C51="","",ROW()-2)</f>
        <v/>
      </c>
      <c r="B51" s="9">
        <f>IF('StockList_MS2'!A50="","",HYPERLINK("https://kabutan.jp/stock/?code="&amp;'StockList_MS2'!A50,"株探"))</f>
        <v/>
      </c>
      <c r="C51" s="8">
        <f>IF('StockList_MS2'!A50="","",'StockList_MS2'!A50)</f>
        <v/>
      </c>
      <c r="D51" s="10">
        <f>IF('StockList_MS2'!A50="","",'StockList_MS2'!B50)</f>
        <v/>
      </c>
      <c r="E51" s="11" t="n"/>
      <c r="F51" s="11" t="n"/>
      <c r="G51" s="11" t="n"/>
      <c r="H51" s="11" t="n"/>
      <c r="I51" s="12" t="n"/>
      <c r="J51" s="11" t="n"/>
      <c r="K51" s="11" t="n"/>
      <c r="L51" s="11" t="n"/>
      <c r="M51" s="8">
        <f>IF(E51="","",IF(E51&gt;L51,"BUY-DAY","SELL-DAY"))</f>
        <v/>
      </c>
      <c r="N51" s="13">
        <f>IF(E51="","",MAX(F51-G51,ABS(F51-L51),ABS(G51-L51)))</f>
        <v/>
      </c>
      <c r="O51" s="8">
        <f>IF(E51="","",IF(AND(I51&gt;0,I51&gt;(I51/3)*2.5),"VOL-OK","VOL-NG"))</f>
        <v/>
      </c>
      <c r="P51" s="8">
        <f>IF(E51="","",IF(E51&gt;J51,"ON","OFF"))</f>
        <v/>
      </c>
      <c r="Q51" s="8">
        <f>IF(E51="","",IF(E51&lt;K51,"ON","OFF"))</f>
        <v/>
      </c>
      <c r="R51" s="8">
        <f>IF(OR(E51="",N51&lt;=0),"",IF(AND(M51="BUY-DAY",O51="VOL-OK",Q51="ON",AA51="OK",AB51&lt;&gt;"DOWN"),"BUY",IF(AND(M51="SELL-DAY",O51="VOL-OK",P51="ON",AA51="OK",AB51&lt;&gt;"UP"),"SELL","")))</f>
        <v/>
      </c>
      <c r="S51" s="13">
        <f>IF(R51="","",E51)</f>
        <v/>
      </c>
      <c r="T51" s="13">
        <f>IF(R51="","",IF(R51="BUY",E51-N51*1.5,E51+N51*1.5))</f>
        <v/>
      </c>
      <c r="U51" s="13">
        <f>IF(R51="","",IF(R51="BUY",E51+N51*1.5,E51-N51*1.5))</f>
        <v/>
      </c>
      <c r="V51" s="13">
        <f>IF(R51="","",IF(R51="BUY",E51+N51*2,E51-N51*2))</f>
        <v/>
      </c>
      <c r="W51" s="13">
        <f>IF(R51="","",IF(R51="BUY",E51+N51*3,E51-N51*3))</f>
        <v/>
      </c>
      <c r="X51" s="8">
        <f>IF(OR(E51="",N51&lt;=0),"",IF(AND(E51&gt;H51,ABS(E51-H51)&lt;N51*0.5),"2ND","1ST"))</f>
        <v/>
      </c>
      <c r="Y51" s="8">
        <f>IF(OR(E51="",N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51" s="8">
        <f>IF(OR(E51="",N51&lt;=0),"",IF(N51&gt;E51*0.05,"VOL-HIGH","VOL-NORMAL"))</f>
        <v/>
      </c>
      <c r="AA51" s="8">
        <f>IF(OR(E51="",N51&lt;=0),"",IF(AND(O51="VOL-OK",Z51="VOL-NORMAL",X51="2ND"),"OK","NG"))</f>
        <v/>
      </c>
      <c r="AB51" s="8">
        <f>IF(OR(E51="",N51&lt;=0),"",IF(AND(F51&gt;J51,G51&gt;K51),"UP",IF(AND(F51&lt;J51,G51&lt;K51),"DOWN","FLAT")))</f>
        <v/>
      </c>
    </row>
    <row r="52" ht="26" customHeight="1" s="1">
      <c r="A52" s="14">
        <f>IF(C52="","",ROW()-2)</f>
        <v/>
      </c>
      <c r="B52" s="15">
        <f>IF('StockList_MS2'!A51="","",HYPERLINK("https://kabutan.jp/stock/?code="&amp;'StockList_MS2'!A51,"株探"))</f>
        <v/>
      </c>
      <c r="C52" s="14">
        <f>IF('StockList_MS2'!A51="","",'StockList_MS2'!A51)</f>
        <v/>
      </c>
      <c r="D52" s="16">
        <f>IF('StockList_MS2'!A51="","",'StockList_MS2'!B51)</f>
        <v/>
      </c>
      <c r="E52" s="17" t="n"/>
      <c r="F52" s="17" t="n"/>
      <c r="G52" s="17" t="n"/>
      <c r="H52" s="17" t="n"/>
      <c r="I52" s="18" t="n"/>
      <c r="J52" s="17" t="n"/>
      <c r="K52" s="17" t="n"/>
      <c r="L52" s="17" t="n"/>
      <c r="M52" s="14">
        <f>IF(E52="","",IF(E52&gt;L52,"BUY-DAY","SELL-DAY"))</f>
        <v/>
      </c>
      <c r="N52" s="19">
        <f>IF(E52="","",MAX(F52-G52,ABS(F52-L52),ABS(G52-L52)))</f>
        <v/>
      </c>
      <c r="O52" s="14">
        <f>IF(E52="","",IF(AND(I52&gt;0,I52&gt;(I52/3)*2.5),"VOL-OK","VOL-NG"))</f>
        <v/>
      </c>
      <c r="P52" s="14">
        <f>IF(E52="","",IF(E52&gt;J52,"ON","OFF"))</f>
        <v/>
      </c>
      <c r="Q52" s="14">
        <f>IF(E52="","",IF(E52&lt;K52,"ON","OFF"))</f>
        <v/>
      </c>
      <c r="R52" s="14">
        <f>IF(OR(E52="",N52&lt;=0),"",IF(AND(M52="BUY-DAY",O52="VOL-OK",Q52="ON",AA52="OK",AB52&lt;&gt;"DOWN"),"BUY",IF(AND(M52="SELL-DAY",O52="VOL-OK",P52="ON",AA52="OK",AB52&lt;&gt;"UP"),"SELL","")))</f>
        <v/>
      </c>
      <c r="S52" s="19">
        <f>IF(R52="","",E52)</f>
        <v/>
      </c>
      <c r="T52" s="19">
        <f>IF(R52="","",IF(R52="BUY",E52-N52*1.5,E52+N52*1.5))</f>
        <v/>
      </c>
      <c r="U52" s="19">
        <f>IF(R52="","",IF(R52="BUY",E52+N52*1.5,E52-N52*1.5))</f>
        <v/>
      </c>
      <c r="V52" s="19">
        <f>IF(R52="","",IF(R52="BUY",E52+N52*2,E52-N52*2))</f>
        <v/>
      </c>
      <c r="W52" s="19">
        <f>IF(R52="","",IF(R52="BUY",E52+N52*3,E52-N52*3))</f>
        <v/>
      </c>
      <c r="X52" s="14">
        <f>IF(OR(E52="",N52&lt;=0),"",IF(AND(E52&gt;H52,ABS(E52-H52)&lt;N52*0.5),"2ND","1ST"))</f>
        <v/>
      </c>
      <c r="Y52" s="14">
        <f>IF(OR(E52="",N52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52" s="14">
        <f>IF(OR(E52="",N52&lt;=0),"",IF(N52&gt;E52*0.05,"VOL-HIGH","VOL-NORMAL"))</f>
        <v/>
      </c>
      <c r="AA52" s="14">
        <f>IF(OR(E52="",N52&lt;=0),"",IF(AND(O52="VOL-OK",Z52="VOL-NORMAL",X52="2ND"),"OK","NG"))</f>
        <v/>
      </c>
      <c r="AB52" s="14">
        <f>IF(OR(E52="",N52&lt;=0),"",IF(AND(F52&gt;J52,G52&gt;K52),"UP",IF(AND(F52&lt;J52,G52&lt;K52),"DOWN","FLAT")))</f>
        <v/>
      </c>
    </row>
    <row r="53" ht="26" customHeight="1" s="1">
      <c r="A53" s="8">
        <f>IF(C53="","",ROW()-2)</f>
        <v/>
      </c>
      <c r="B53" s="9">
        <f>IF('StockList_MS2'!A52="","",HYPERLINK("https://kabutan.jp/stock/?code="&amp;'StockList_MS2'!A52,"株探"))</f>
        <v/>
      </c>
      <c r="C53" s="8">
        <f>IF('StockList_MS2'!A52="","",'StockList_MS2'!A52)</f>
        <v/>
      </c>
      <c r="D53" s="10">
        <f>IF('StockList_MS2'!A52="","",'StockList_MS2'!B52)</f>
        <v/>
      </c>
      <c r="E53" s="11" t="n"/>
      <c r="F53" s="11" t="n"/>
      <c r="G53" s="11" t="n"/>
      <c r="H53" s="11" t="n"/>
      <c r="I53" s="12" t="n"/>
      <c r="J53" s="11" t="n"/>
      <c r="K53" s="11" t="n"/>
      <c r="L53" s="11" t="n"/>
      <c r="M53" s="8">
        <f>IF(E53="","",IF(E53&gt;L53,"BUY-DAY","SELL-DAY"))</f>
        <v/>
      </c>
      <c r="N53" s="13">
        <f>IF(E53="","",MAX(F53-G53,ABS(F53-L53),ABS(G53-L53)))</f>
        <v/>
      </c>
      <c r="O53" s="8">
        <f>IF(E53="","",IF(AND(I53&gt;0,I53&gt;(I53/3)*2.5),"VOL-OK","VOL-NG"))</f>
        <v/>
      </c>
      <c r="P53" s="8">
        <f>IF(E53="","",IF(E53&gt;J53,"ON","OFF"))</f>
        <v/>
      </c>
      <c r="Q53" s="8">
        <f>IF(E53="","",IF(E53&lt;K53,"ON","OFF"))</f>
        <v/>
      </c>
      <c r="R53" s="8">
        <f>IF(OR(E53="",N53&lt;=0),"",IF(AND(M53="BUY-DAY",O53="VOL-OK",Q53="ON",AA53="OK",AB53&lt;&gt;"DOWN"),"BUY",IF(AND(M53="SELL-DAY",O53="VOL-OK",P53="ON",AA53="OK",AB53&lt;&gt;"UP"),"SELL","")))</f>
        <v/>
      </c>
      <c r="S53" s="13">
        <f>IF(R53="","",E53)</f>
        <v/>
      </c>
      <c r="T53" s="13">
        <f>IF(R53="","",IF(R53="BUY",E53-N53*1.5,E53+N53*1.5))</f>
        <v/>
      </c>
      <c r="U53" s="13">
        <f>IF(R53="","",IF(R53="BUY",E53+N53*1.5,E53-N53*1.5))</f>
        <v/>
      </c>
      <c r="V53" s="13">
        <f>IF(R53="","",IF(R53="BUY",E53+N53*2,E53-N53*2))</f>
        <v/>
      </c>
      <c r="W53" s="13">
        <f>IF(R53="","",IF(R53="BUY",E53+N53*3,E53-N53*3))</f>
        <v/>
      </c>
      <c r="X53" s="8">
        <f>IF(OR(E53="",N53&lt;=0),"",IF(AND(E53&gt;H53,ABS(E53-H53)&lt;N53*0.5),"2ND","1ST"))</f>
        <v/>
      </c>
      <c r="Y53" s="8">
        <f>IF(OR(E53="",N53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53" s="8">
        <f>IF(OR(E53="",N53&lt;=0),"",IF(N53&gt;E53*0.05,"VOL-HIGH","VOL-NORMAL"))</f>
        <v/>
      </c>
      <c r="AA53" s="8">
        <f>IF(OR(E53="",N53&lt;=0),"",IF(AND(O53="VOL-OK",Z53="VOL-NORMAL",X53="2ND"),"OK","NG"))</f>
        <v/>
      </c>
      <c r="AB53" s="8">
        <f>IF(OR(E53="",N53&lt;=0),"",IF(AND(F53&gt;J53,G53&gt;K53),"UP",IF(AND(F53&lt;J53,G53&lt;K53),"DOWN","FLAT")))</f>
        <v/>
      </c>
    </row>
    <row r="54" ht="26" customHeight="1" s="1">
      <c r="A54" s="14">
        <f>IF(C54="","",ROW()-2)</f>
        <v/>
      </c>
      <c r="B54" s="15">
        <f>IF('StockList_MS2'!A53="","",HYPERLINK("https://kabutan.jp/stock/?code="&amp;'StockList_MS2'!A53,"株探"))</f>
        <v/>
      </c>
      <c r="C54" s="14">
        <f>IF('StockList_MS2'!A53="","",'StockList_MS2'!A53)</f>
        <v/>
      </c>
      <c r="D54" s="16">
        <f>IF('StockList_MS2'!A53="","",'StockList_MS2'!B53)</f>
        <v/>
      </c>
      <c r="E54" s="17" t="n"/>
      <c r="F54" s="17" t="n"/>
      <c r="G54" s="17" t="n"/>
      <c r="H54" s="17" t="n"/>
      <c r="I54" s="18" t="n"/>
      <c r="J54" s="17" t="n"/>
      <c r="K54" s="17" t="n"/>
      <c r="L54" s="17" t="n"/>
      <c r="M54" s="14">
        <f>IF(E54="","",IF(E54&gt;L54,"BUY-DAY","SELL-DAY"))</f>
        <v/>
      </c>
      <c r="N54" s="19">
        <f>IF(E54="","",MAX(F54-G54,ABS(F54-L54),ABS(G54-L54)))</f>
        <v/>
      </c>
      <c r="O54" s="14">
        <f>IF(E54="","",IF(AND(I54&gt;0,I54&gt;(I54/3)*2.5),"VOL-OK","VOL-NG"))</f>
        <v/>
      </c>
      <c r="P54" s="14">
        <f>IF(E54="","",IF(E54&gt;J54,"ON","OFF"))</f>
        <v/>
      </c>
      <c r="Q54" s="14">
        <f>IF(E54="","",IF(E54&lt;K54,"ON","OFF"))</f>
        <v/>
      </c>
      <c r="R54" s="14">
        <f>IF(OR(E54="",N54&lt;=0),"",IF(AND(M54="BUY-DAY",O54="VOL-OK",Q54="ON",AA54="OK",AB54&lt;&gt;"DOWN"),"BUY",IF(AND(M54="SELL-DAY",O54="VOL-OK",P54="ON",AA54="OK",AB54&lt;&gt;"UP"),"SELL","")))</f>
        <v/>
      </c>
      <c r="S54" s="19">
        <f>IF(R54="","",E54)</f>
        <v/>
      </c>
      <c r="T54" s="19">
        <f>IF(R54="","",IF(R54="BUY",E54-N54*1.5,E54+N54*1.5))</f>
        <v/>
      </c>
      <c r="U54" s="19">
        <f>IF(R54="","",IF(R54="BUY",E54+N54*1.5,E54-N54*1.5))</f>
        <v/>
      </c>
      <c r="V54" s="19">
        <f>IF(R54="","",IF(R54="BUY",E54+N54*2,E54-N54*2))</f>
        <v/>
      </c>
      <c r="W54" s="19">
        <f>IF(R54="","",IF(R54="BUY",E54+N54*3,E54-N54*3))</f>
        <v/>
      </c>
      <c r="X54" s="14">
        <f>IF(OR(E54="",N54&lt;=0),"",IF(AND(E54&gt;H54,ABS(E54-H54)&lt;N54*0.5),"2ND","1ST"))</f>
        <v/>
      </c>
      <c r="Y54" s="14">
        <f>IF(OR(E54="",N54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54" s="14">
        <f>IF(OR(E54="",N54&lt;=0),"",IF(N54&gt;E54*0.05,"VOL-HIGH","VOL-NORMAL"))</f>
        <v/>
      </c>
      <c r="AA54" s="14">
        <f>IF(OR(E54="",N54&lt;=0),"",IF(AND(O54="VOL-OK",Z54="VOL-NORMAL",X54="2ND"),"OK","NG"))</f>
        <v/>
      </c>
      <c r="AB54" s="14">
        <f>IF(OR(E54="",N54&lt;=0),"",IF(AND(F54&gt;J54,G54&gt;K54),"UP",IF(AND(F54&lt;J54,G54&lt;K54),"DOWN","FLAT")))</f>
        <v/>
      </c>
    </row>
    <row r="55" ht="26" customHeight="1" s="1">
      <c r="A55" s="8">
        <f>IF(C55="","",ROW()-2)</f>
        <v/>
      </c>
      <c r="B55" s="9">
        <f>IF('StockList_MS2'!A54="","",HYPERLINK("https://kabutan.jp/stock/?code="&amp;'StockList_MS2'!A54,"株探"))</f>
        <v/>
      </c>
      <c r="C55" s="8">
        <f>IF('StockList_MS2'!A54="","",'StockList_MS2'!A54)</f>
        <v/>
      </c>
      <c r="D55" s="10">
        <f>IF('StockList_MS2'!A54="","",'StockList_MS2'!B54)</f>
        <v/>
      </c>
      <c r="E55" s="11" t="n"/>
      <c r="F55" s="11" t="n"/>
      <c r="G55" s="11" t="n"/>
      <c r="H55" s="11" t="n"/>
      <c r="I55" s="12" t="n"/>
      <c r="J55" s="11" t="n"/>
      <c r="K55" s="11" t="n"/>
      <c r="L55" s="11" t="n"/>
      <c r="M55" s="8">
        <f>IF(E55="","",IF(E55&gt;L55,"BUY-DAY","SELL-DAY"))</f>
        <v/>
      </c>
      <c r="N55" s="13">
        <f>IF(E55="","",MAX(F55-G55,ABS(F55-L55),ABS(G55-L55)))</f>
        <v/>
      </c>
      <c r="O55" s="8">
        <f>IF(E55="","",IF(AND(I55&gt;0,I55&gt;(I55/3)*2.5),"VOL-OK","VOL-NG"))</f>
        <v/>
      </c>
      <c r="P55" s="8">
        <f>IF(E55="","",IF(E55&gt;J55,"ON","OFF"))</f>
        <v/>
      </c>
      <c r="Q55" s="8">
        <f>IF(E55="","",IF(E55&lt;K55,"ON","OFF"))</f>
        <v/>
      </c>
      <c r="R55" s="8">
        <f>IF(OR(E55="",N55&lt;=0),"",IF(AND(M55="BUY-DAY",O55="VOL-OK",Q55="ON",AA55="OK",AB55&lt;&gt;"DOWN"),"BUY",IF(AND(M55="SELL-DAY",O55="VOL-OK",P55="ON",AA55="OK",AB55&lt;&gt;"UP"),"SELL","")))</f>
        <v/>
      </c>
      <c r="S55" s="13">
        <f>IF(R55="","",E55)</f>
        <v/>
      </c>
      <c r="T55" s="13">
        <f>IF(R55="","",IF(R55="BUY",E55-N55*1.5,E55+N55*1.5))</f>
        <v/>
      </c>
      <c r="U55" s="13">
        <f>IF(R55="","",IF(R55="BUY",E55+N55*1.5,E55-N55*1.5))</f>
        <v/>
      </c>
      <c r="V55" s="13">
        <f>IF(R55="","",IF(R55="BUY",E55+N55*2,E55-N55*2))</f>
        <v/>
      </c>
      <c r="W55" s="13">
        <f>IF(R55="","",IF(R55="BUY",E55+N55*3,E55-N55*3))</f>
        <v/>
      </c>
      <c r="X55" s="8">
        <f>IF(OR(E55="",N55&lt;=0),"",IF(AND(E55&gt;H55,ABS(E55-H55)&lt;N55*0.5),"2ND","1ST"))</f>
        <v/>
      </c>
      <c r="Y55" s="8">
        <f>IF(OR(E55="",N55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55" s="8">
        <f>IF(OR(E55="",N55&lt;=0),"",IF(N55&gt;E55*0.05,"VOL-HIGH","VOL-NORMAL"))</f>
        <v/>
      </c>
      <c r="AA55" s="8">
        <f>IF(OR(E55="",N55&lt;=0),"",IF(AND(O55="VOL-OK",Z55="VOL-NORMAL",X55="2ND"),"OK","NG"))</f>
        <v/>
      </c>
      <c r="AB55" s="8">
        <f>IF(OR(E55="",N55&lt;=0),"",IF(AND(F55&gt;J55,G55&gt;K55),"UP",IF(AND(F55&lt;J55,G55&lt;K55),"DOWN","FLAT")))</f>
        <v/>
      </c>
    </row>
    <row r="56" ht="26" customHeight="1" s="1">
      <c r="A56" s="14">
        <f>IF(C56="","",ROW()-2)</f>
        <v/>
      </c>
      <c r="B56" s="15">
        <f>IF('StockList_MS2'!A55="","",HYPERLINK("https://kabutan.jp/stock/?code="&amp;'StockList_MS2'!A55,"株探"))</f>
        <v/>
      </c>
      <c r="C56" s="14">
        <f>IF('StockList_MS2'!A55="","",'StockList_MS2'!A55)</f>
        <v/>
      </c>
      <c r="D56" s="16">
        <f>IF('StockList_MS2'!A55="","",'StockList_MS2'!B55)</f>
        <v/>
      </c>
      <c r="E56" s="17" t="n"/>
      <c r="F56" s="17" t="n"/>
      <c r="G56" s="17" t="n"/>
      <c r="H56" s="17" t="n"/>
      <c r="I56" s="18" t="n"/>
      <c r="J56" s="17" t="n"/>
      <c r="K56" s="17" t="n"/>
      <c r="L56" s="17" t="n"/>
      <c r="M56" s="14">
        <f>IF(E56="","",IF(E56&gt;L56,"BUY-DAY","SELL-DAY"))</f>
        <v/>
      </c>
      <c r="N56" s="19">
        <f>IF(E56="","",MAX(F56-G56,ABS(F56-L56),ABS(G56-L56)))</f>
        <v/>
      </c>
      <c r="O56" s="14">
        <f>IF(E56="","",IF(AND(I56&gt;0,I56&gt;(I56/3)*2.5),"VOL-OK","VOL-NG"))</f>
        <v/>
      </c>
      <c r="P56" s="14">
        <f>IF(E56="","",IF(E56&gt;J56,"ON","OFF"))</f>
        <v/>
      </c>
      <c r="Q56" s="14">
        <f>IF(E56="","",IF(E56&lt;K56,"ON","OFF"))</f>
        <v/>
      </c>
      <c r="R56" s="14">
        <f>IF(OR(E56="",N56&lt;=0),"",IF(AND(M56="BUY-DAY",O56="VOL-OK",Q56="ON",AA56="OK",AB56&lt;&gt;"DOWN"),"BUY",IF(AND(M56="SELL-DAY",O56="VOL-OK",P56="ON",AA56="OK",AB56&lt;&gt;"UP"),"SELL","")))</f>
        <v/>
      </c>
      <c r="S56" s="19">
        <f>IF(R56="","",E56)</f>
        <v/>
      </c>
      <c r="T56" s="19">
        <f>IF(R56="","",IF(R56="BUY",E56-N56*1.5,E56+N56*1.5))</f>
        <v/>
      </c>
      <c r="U56" s="19">
        <f>IF(R56="","",IF(R56="BUY",E56+N56*1.5,E56-N56*1.5))</f>
        <v/>
      </c>
      <c r="V56" s="19">
        <f>IF(R56="","",IF(R56="BUY",E56+N56*2,E56-N56*2))</f>
        <v/>
      </c>
      <c r="W56" s="19">
        <f>IF(R56="","",IF(R56="BUY",E56+N56*3,E56-N56*3))</f>
        <v/>
      </c>
      <c r="X56" s="14">
        <f>IF(OR(E56="",N56&lt;=0),"",IF(AND(E56&gt;H56,ABS(E56-H56)&lt;N56*0.5),"2ND","1ST"))</f>
        <v/>
      </c>
      <c r="Y56" s="14">
        <f>IF(OR(E56="",N56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56" s="14">
        <f>IF(OR(E56="",N56&lt;=0),"",IF(N56&gt;E56*0.05,"VOL-HIGH","VOL-NORMAL"))</f>
        <v/>
      </c>
      <c r="AA56" s="14">
        <f>IF(OR(E56="",N56&lt;=0),"",IF(AND(O56="VOL-OK",Z56="VOL-NORMAL",X56="2ND"),"OK","NG"))</f>
        <v/>
      </c>
      <c r="AB56" s="14">
        <f>IF(OR(E56="",N56&lt;=0),"",IF(AND(F56&gt;J56,G56&gt;K56),"UP",IF(AND(F56&lt;J56,G56&lt;K56),"DOWN","FLAT")))</f>
        <v/>
      </c>
    </row>
    <row r="57" ht="26" customHeight="1" s="1">
      <c r="A57" s="8">
        <f>IF(C57="","",ROW()-2)</f>
        <v/>
      </c>
      <c r="B57" s="9">
        <f>IF('StockList_MS2'!A56="","",HYPERLINK("https://kabutan.jp/stock/?code="&amp;'StockList_MS2'!A56,"株探"))</f>
        <v/>
      </c>
      <c r="C57" s="8">
        <f>IF('StockList_MS2'!A56="","",'StockList_MS2'!A56)</f>
        <v/>
      </c>
      <c r="D57" s="10">
        <f>IF('StockList_MS2'!A56="","",'StockList_MS2'!B56)</f>
        <v/>
      </c>
      <c r="E57" s="11" t="n"/>
      <c r="F57" s="11" t="n"/>
      <c r="G57" s="11" t="n"/>
      <c r="H57" s="11" t="n"/>
      <c r="I57" s="12" t="n"/>
      <c r="J57" s="11" t="n"/>
      <c r="K57" s="11" t="n"/>
      <c r="L57" s="11" t="n"/>
      <c r="M57" s="8">
        <f>IF(E57="","",IF(E57&gt;L57,"BUY-DAY","SELL-DAY"))</f>
        <v/>
      </c>
      <c r="N57" s="13">
        <f>IF(E57="","",MAX(F57-G57,ABS(F57-L57),ABS(G57-L57)))</f>
        <v/>
      </c>
      <c r="O57" s="8">
        <f>IF(E57="","",IF(AND(I57&gt;0,I57&gt;(I57/3)*2.5),"VOL-OK","VOL-NG"))</f>
        <v/>
      </c>
      <c r="P57" s="8">
        <f>IF(E57="","",IF(E57&gt;J57,"ON","OFF"))</f>
        <v/>
      </c>
      <c r="Q57" s="8">
        <f>IF(E57="","",IF(E57&lt;K57,"ON","OFF"))</f>
        <v/>
      </c>
      <c r="R57" s="8">
        <f>IF(OR(E57="",N57&lt;=0),"",IF(AND(M57="BUY-DAY",O57="VOL-OK",Q57="ON",AA57="OK",AB57&lt;&gt;"DOWN"),"BUY",IF(AND(M57="SELL-DAY",O57="VOL-OK",P57="ON",AA57="OK",AB57&lt;&gt;"UP"),"SELL","")))</f>
        <v/>
      </c>
      <c r="S57" s="13">
        <f>IF(R57="","",E57)</f>
        <v/>
      </c>
      <c r="T57" s="13">
        <f>IF(R57="","",IF(R57="BUY",E57-N57*1.5,E57+N57*1.5))</f>
        <v/>
      </c>
      <c r="U57" s="13">
        <f>IF(R57="","",IF(R57="BUY",E57+N57*1.5,E57-N57*1.5))</f>
        <v/>
      </c>
      <c r="V57" s="13">
        <f>IF(R57="","",IF(R57="BUY",E57+N57*2,E57-N57*2))</f>
        <v/>
      </c>
      <c r="W57" s="13">
        <f>IF(R57="","",IF(R57="BUY",E57+N57*3,E57-N57*3))</f>
        <v/>
      </c>
      <c r="X57" s="8">
        <f>IF(OR(E57="",N57&lt;=0),"",IF(AND(E57&gt;H57,ABS(E57-H57)&lt;N57*0.5),"2ND","1ST"))</f>
        <v/>
      </c>
      <c r="Y57" s="8">
        <f>IF(OR(E57="",N57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57" s="8">
        <f>IF(OR(E57="",N57&lt;=0),"",IF(N57&gt;E57*0.05,"VOL-HIGH","VOL-NORMAL"))</f>
        <v/>
      </c>
      <c r="AA57" s="8">
        <f>IF(OR(E57="",N57&lt;=0),"",IF(AND(O57="VOL-OK",Z57="VOL-NORMAL",X57="2ND"),"OK","NG"))</f>
        <v/>
      </c>
      <c r="AB57" s="8">
        <f>IF(OR(E57="",N57&lt;=0),"",IF(AND(F57&gt;J57,G57&gt;K57),"UP",IF(AND(F57&lt;J57,G57&lt;K57),"DOWN","FLAT")))</f>
        <v/>
      </c>
    </row>
    <row r="58" ht="26" customHeight="1" s="1">
      <c r="A58" s="14">
        <f>IF(C58="","",ROW()-2)</f>
        <v/>
      </c>
      <c r="B58" s="15">
        <f>IF('StockList_MS2'!A57="","",HYPERLINK("https://kabutan.jp/stock/?code="&amp;'StockList_MS2'!A57,"株探"))</f>
        <v/>
      </c>
      <c r="C58" s="14">
        <f>IF('StockList_MS2'!A57="","",'StockList_MS2'!A57)</f>
        <v/>
      </c>
      <c r="D58" s="16">
        <f>IF('StockList_MS2'!A57="","",'StockList_MS2'!B57)</f>
        <v/>
      </c>
      <c r="E58" s="17" t="n"/>
      <c r="F58" s="17" t="n"/>
      <c r="G58" s="17" t="n"/>
      <c r="H58" s="17" t="n"/>
      <c r="I58" s="18" t="n"/>
      <c r="J58" s="17" t="n"/>
      <c r="K58" s="17" t="n"/>
      <c r="L58" s="17" t="n"/>
      <c r="M58" s="14">
        <f>IF(E58="","",IF(E58&gt;L58,"BUY-DAY","SELL-DAY"))</f>
        <v/>
      </c>
      <c r="N58" s="19">
        <f>IF(E58="","",MAX(F58-G58,ABS(F58-L58),ABS(G58-L58)))</f>
        <v/>
      </c>
      <c r="O58" s="14">
        <f>IF(E58="","",IF(AND(I58&gt;0,I58&gt;(I58/3)*2.5),"VOL-OK","VOL-NG"))</f>
        <v/>
      </c>
      <c r="P58" s="14">
        <f>IF(E58="","",IF(E58&gt;J58,"ON","OFF"))</f>
        <v/>
      </c>
      <c r="Q58" s="14">
        <f>IF(E58="","",IF(E58&lt;K58,"ON","OFF"))</f>
        <v/>
      </c>
      <c r="R58" s="14">
        <f>IF(OR(E58="",N58&lt;=0),"",IF(AND(M58="BUY-DAY",O58="VOL-OK",Q58="ON",AA58="OK",AB58&lt;&gt;"DOWN"),"BUY",IF(AND(M58="SELL-DAY",O58="VOL-OK",P58="ON",AA58="OK",AB58&lt;&gt;"UP"),"SELL","")))</f>
        <v/>
      </c>
      <c r="S58" s="19">
        <f>IF(R58="","",E58)</f>
        <v/>
      </c>
      <c r="T58" s="19">
        <f>IF(R58="","",IF(R58="BUY",E58-N58*1.5,E58+N58*1.5))</f>
        <v/>
      </c>
      <c r="U58" s="19">
        <f>IF(R58="","",IF(R58="BUY",E58+N58*1.5,E58-N58*1.5))</f>
        <v/>
      </c>
      <c r="V58" s="19">
        <f>IF(R58="","",IF(R58="BUY",E58+N58*2,E58-N58*2))</f>
        <v/>
      </c>
      <c r="W58" s="19">
        <f>IF(R58="","",IF(R58="BUY",E58+N58*3,E58-N58*3))</f>
        <v/>
      </c>
      <c r="X58" s="14">
        <f>IF(OR(E58="",N58&lt;=0),"",IF(AND(E58&gt;H58,ABS(E58-H58)&lt;N58*0.5),"2ND","1ST"))</f>
        <v/>
      </c>
      <c r="Y58" s="14">
        <f>IF(OR(E58="",N58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58" s="14">
        <f>IF(OR(E58="",N58&lt;=0),"",IF(N58&gt;E58*0.05,"VOL-HIGH","VOL-NORMAL"))</f>
        <v/>
      </c>
      <c r="AA58" s="14">
        <f>IF(OR(E58="",N58&lt;=0),"",IF(AND(O58="VOL-OK",Z58="VOL-NORMAL",X58="2ND"),"OK","NG"))</f>
        <v/>
      </c>
      <c r="AB58" s="14">
        <f>IF(OR(E58="",N58&lt;=0),"",IF(AND(F58&gt;J58,G58&gt;K58),"UP",IF(AND(F58&lt;J58,G58&lt;K58),"DOWN","FLAT")))</f>
        <v/>
      </c>
    </row>
    <row r="59" ht="26" customHeight="1" s="1">
      <c r="A59" s="8">
        <f>IF(C59="","",ROW()-2)</f>
        <v/>
      </c>
      <c r="B59" s="9">
        <f>IF('StockList_MS2'!A58="","",HYPERLINK("https://kabutan.jp/stock/?code="&amp;'StockList_MS2'!A58,"株探"))</f>
        <v/>
      </c>
      <c r="C59" s="8">
        <f>IF('StockList_MS2'!A58="","",'StockList_MS2'!A58)</f>
        <v/>
      </c>
      <c r="D59" s="10">
        <f>IF('StockList_MS2'!A58="","",'StockList_MS2'!B58)</f>
        <v/>
      </c>
      <c r="E59" s="11" t="n"/>
      <c r="F59" s="11" t="n"/>
      <c r="G59" s="11" t="n"/>
      <c r="H59" s="11" t="n"/>
      <c r="I59" s="12" t="n"/>
      <c r="J59" s="11" t="n"/>
      <c r="K59" s="11" t="n"/>
      <c r="L59" s="11" t="n"/>
      <c r="M59" s="8">
        <f>IF(E59="","",IF(E59&gt;L59,"BUY-DAY","SELL-DAY"))</f>
        <v/>
      </c>
      <c r="N59" s="13">
        <f>IF(E59="","",MAX(F59-G59,ABS(F59-L59),ABS(G59-L59)))</f>
        <v/>
      </c>
      <c r="O59" s="8">
        <f>IF(E59="","",IF(AND(I59&gt;0,I59&gt;(I59/3)*2.5),"VOL-OK","VOL-NG"))</f>
        <v/>
      </c>
      <c r="P59" s="8">
        <f>IF(E59="","",IF(E59&gt;J59,"ON","OFF"))</f>
        <v/>
      </c>
      <c r="Q59" s="8">
        <f>IF(E59="","",IF(E59&lt;K59,"ON","OFF"))</f>
        <v/>
      </c>
      <c r="R59" s="8">
        <f>IF(OR(E59="",N59&lt;=0),"",IF(AND(M59="BUY-DAY",O59="VOL-OK",Q59="ON",AA59="OK",AB59&lt;&gt;"DOWN"),"BUY",IF(AND(M59="SELL-DAY",O59="VOL-OK",P59="ON",AA59="OK",AB59&lt;&gt;"UP"),"SELL","")))</f>
        <v/>
      </c>
      <c r="S59" s="13">
        <f>IF(R59="","",E59)</f>
        <v/>
      </c>
      <c r="T59" s="13">
        <f>IF(R59="","",IF(R59="BUY",E59-N59*1.5,E59+N59*1.5))</f>
        <v/>
      </c>
      <c r="U59" s="13">
        <f>IF(R59="","",IF(R59="BUY",E59+N59*1.5,E59-N59*1.5))</f>
        <v/>
      </c>
      <c r="V59" s="13">
        <f>IF(R59="","",IF(R59="BUY",E59+N59*2,E59-N59*2))</f>
        <v/>
      </c>
      <c r="W59" s="13">
        <f>IF(R59="","",IF(R59="BUY",E59+N59*3,E59-N59*3))</f>
        <v/>
      </c>
      <c r="X59" s="8">
        <f>IF(OR(E59="",N59&lt;=0),"",IF(AND(E59&gt;H59,ABS(E59-H59)&lt;N59*0.5),"2ND","1ST"))</f>
        <v/>
      </c>
      <c r="Y59" s="8">
        <f>IF(OR(E59="",N59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59" s="8">
        <f>IF(OR(E59="",N59&lt;=0),"",IF(N59&gt;E59*0.05,"VOL-HIGH","VOL-NORMAL"))</f>
        <v/>
      </c>
      <c r="AA59" s="8">
        <f>IF(OR(E59="",N59&lt;=0),"",IF(AND(O59="VOL-OK",Z59="VOL-NORMAL",X59="2ND"),"OK","NG"))</f>
        <v/>
      </c>
      <c r="AB59" s="8">
        <f>IF(OR(E59="",N59&lt;=0),"",IF(AND(F59&gt;J59,G59&gt;K59),"UP",IF(AND(F59&lt;J59,G59&lt;K59),"DOWN","FLAT")))</f>
        <v/>
      </c>
    </row>
    <row r="60" ht="26" customHeight="1" s="1">
      <c r="A60" s="14">
        <f>IF(C60="","",ROW()-2)</f>
        <v/>
      </c>
      <c r="B60" s="15">
        <f>IF('StockList_MS2'!A59="","",HYPERLINK("https://kabutan.jp/stock/?code="&amp;'StockList_MS2'!A59,"株探"))</f>
        <v/>
      </c>
      <c r="C60" s="14">
        <f>IF('StockList_MS2'!A59="","",'StockList_MS2'!A59)</f>
        <v/>
      </c>
      <c r="D60" s="16">
        <f>IF('StockList_MS2'!A59="","",'StockList_MS2'!B59)</f>
        <v/>
      </c>
      <c r="E60" s="17" t="n"/>
      <c r="F60" s="17" t="n"/>
      <c r="G60" s="17" t="n"/>
      <c r="H60" s="17" t="n"/>
      <c r="I60" s="18" t="n"/>
      <c r="J60" s="17" t="n"/>
      <c r="K60" s="17" t="n"/>
      <c r="L60" s="17" t="n"/>
      <c r="M60" s="14">
        <f>IF(E60="","",IF(E60&gt;L60,"BUY-DAY","SELL-DAY"))</f>
        <v/>
      </c>
      <c r="N60" s="19">
        <f>IF(E60="","",MAX(F60-G60,ABS(F60-L60),ABS(G60-L60)))</f>
        <v/>
      </c>
      <c r="O60" s="14">
        <f>IF(E60="","",IF(AND(I60&gt;0,I60&gt;(I60/3)*2.5),"VOL-OK","VOL-NG"))</f>
        <v/>
      </c>
      <c r="P60" s="14">
        <f>IF(E60="","",IF(E60&gt;J60,"ON","OFF"))</f>
        <v/>
      </c>
      <c r="Q60" s="14">
        <f>IF(E60="","",IF(E60&lt;K60,"ON","OFF"))</f>
        <v/>
      </c>
      <c r="R60" s="14">
        <f>IF(OR(E60="",N60&lt;=0),"",IF(AND(M60="BUY-DAY",O60="VOL-OK",Q60="ON",AA60="OK",AB60&lt;&gt;"DOWN"),"BUY",IF(AND(M60="SELL-DAY",O60="VOL-OK",P60="ON",AA60="OK",AB60&lt;&gt;"UP"),"SELL","")))</f>
        <v/>
      </c>
      <c r="S60" s="19">
        <f>IF(R60="","",E60)</f>
        <v/>
      </c>
      <c r="T60" s="19">
        <f>IF(R60="","",IF(R60="BUY",E60-N60*1.5,E60+N60*1.5))</f>
        <v/>
      </c>
      <c r="U60" s="19">
        <f>IF(R60="","",IF(R60="BUY",E60+N60*1.5,E60-N60*1.5))</f>
        <v/>
      </c>
      <c r="V60" s="19">
        <f>IF(R60="","",IF(R60="BUY",E60+N60*2,E60-N60*2))</f>
        <v/>
      </c>
      <c r="W60" s="19">
        <f>IF(R60="","",IF(R60="BUY",E60+N60*3,E60-N60*3))</f>
        <v/>
      </c>
      <c r="X60" s="14">
        <f>IF(OR(E60="",N60&lt;=0),"",IF(AND(E60&gt;H60,ABS(E60-H60)&lt;N60*0.5),"2ND","1ST"))</f>
        <v/>
      </c>
      <c r="Y60" s="14">
        <f>IF(OR(E60="",N60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60" s="14">
        <f>IF(OR(E60="",N60&lt;=0),"",IF(N60&gt;E60*0.05,"VOL-HIGH","VOL-NORMAL"))</f>
        <v/>
      </c>
      <c r="AA60" s="14">
        <f>IF(OR(E60="",N60&lt;=0),"",IF(AND(O60="VOL-OK",Z60="VOL-NORMAL",X60="2ND"),"OK","NG"))</f>
        <v/>
      </c>
      <c r="AB60" s="14">
        <f>IF(OR(E60="",N60&lt;=0),"",IF(AND(F60&gt;J60,G60&gt;K60),"UP",IF(AND(F60&lt;J60,G60&lt;K60),"DOWN","FLAT")))</f>
        <v/>
      </c>
    </row>
    <row r="61" ht="26" customHeight="1" s="1">
      <c r="A61" s="8">
        <f>IF(C61="","",ROW()-2)</f>
        <v/>
      </c>
      <c r="B61" s="9">
        <f>IF('StockList_MS2'!A60="","",HYPERLINK("https://kabutan.jp/stock/?code="&amp;'StockList_MS2'!A60,"株探"))</f>
        <v/>
      </c>
      <c r="C61" s="8">
        <f>IF('StockList_MS2'!A60="","",'StockList_MS2'!A60)</f>
        <v/>
      </c>
      <c r="D61" s="10">
        <f>IF('StockList_MS2'!A60="","",'StockList_MS2'!B60)</f>
        <v/>
      </c>
      <c r="E61" s="11" t="n"/>
      <c r="F61" s="11" t="n"/>
      <c r="G61" s="11" t="n"/>
      <c r="H61" s="11" t="n"/>
      <c r="I61" s="12" t="n"/>
      <c r="J61" s="11" t="n"/>
      <c r="K61" s="11" t="n"/>
      <c r="L61" s="11" t="n"/>
      <c r="M61" s="8">
        <f>IF(E61="","",IF(E61&gt;L61,"BUY-DAY","SELL-DAY"))</f>
        <v/>
      </c>
      <c r="N61" s="13">
        <f>IF(E61="","",MAX(F61-G61,ABS(F61-L61),ABS(G61-L61)))</f>
        <v/>
      </c>
      <c r="O61" s="8">
        <f>IF(E61="","",IF(AND(I61&gt;0,I61&gt;(I61/3)*2.5),"VOL-OK","VOL-NG"))</f>
        <v/>
      </c>
      <c r="P61" s="8">
        <f>IF(E61="","",IF(E61&gt;J61,"ON","OFF"))</f>
        <v/>
      </c>
      <c r="Q61" s="8">
        <f>IF(E61="","",IF(E61&lt;K61,"ON","OFF"))</f>
        <v/>
      </c>
      <c r="R61" s="8">
        <f>IF(OR(E61="",N61&lt;=0),"",IF(AND(M61="BUY-DAY",O61="VOL-OK",Q61="ON",AA61="OK",AB61&lt;&gt;"DOWN"),"BUY",IF(AND(M61="SELL-DAY",O61="VOL-OK",P61="ON",AA61="OK",AB61&lt;&gt;"UP"),"SELL","")))</f>
        <v/>
      </c>
      <c r="S61" s="13">
        <f>IF(R61="","",E61)</f>
        <v/>
      </c>
      <c r="T61" s="13">
        <f>IF(R61="","",IF(R61="BUY",E61-N61*1.5,E61+N61*1.5))</f>
        <v/>
      </c>
      <c r="U61" s="13">
        <f>IF(R61="","",IF(R61="BUY",E61+N61*1.5,E61-N61*1.5))</f>
        <v/>
      </c>
      <c r="V61" s="13">
        <f>IF(R61="","",IF(R61="BUY",E61+N61*2,E61-N61*2))</f>
        <v/>
      </c>
      <c r="W61" s="13">
        <f>IF(R61="","",IF(R61="BUY",E61+N61*3,E61-N61*3))</f>
        <v/>
      </c>
      <c r="X61" s="8">
        <f>IF(OR(E61="",N61&lt;=0),"",IF(AND(E61&gt;H61,ABS(E61-H61)&lt;N61*0.5),"2ND","1ST"))</f>
        <v/>
      </c>
      <c r="Y61" s="8">
        <f>IF(OR(E61="",N61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61" s="8">
        <f>IF(OR(E61="",N61&lt;=0),"",IF(N61&gt;E61*0.05,"VOL-HIGH","VOL-NORMAL"))</f>
        <v/>
      </c>
      <c r="AA61" s="8">
        <f>IF(OR(E61="",N61&lt;=0),"",IF(AND(O61="VOL-OK",Z61="VOL-NORMAL",X61="2ND"),"OK","NG"))</f>
        <v/>
      </c>
      <c r="AB61" s="8">
        <f>IF(OR(E61="",N61&lt;=0),"",IF(AND(F61&gt;J61,G61&gt;K61),"UP",IF(AND(F61&lt;J61,G61&lt;K61),"DOWN","FLAT")))</f>
        <v/>
      </c>
    </row>
    <row r="62" ht="26" customHeight="1" s="1">
      <c r="A62" s="14">
        <f>IF(C62="","",ROW()-2)</f>
        <v/>
      </c>
      <c r="B62" s="15">
        <f>IF('StockList_MS2'!A61="","",HYPERLINK("https://kabutan.jp/stock/?code="&amp;'StockList_MS2'!A61,"株探"))</f>
        <v/>
      </c>
      <c r="C62" s="14">
        <f>IF('StockList_MS2'!A61="","",'StockList_MS2'!A61)</f>
        <v/>
      </c>
      <c r="D62" s="16">
        <f>IF('StockList_MS2'!A61="","",'StockList_MS2'!B61)</f>
        <v/>
      </c>
      <c r="E62" s="17" t="n"/>
      <c r="F62" s="17" t="n"/>
      <c r="G62" s="17" t="n"/>
      <c r="H62" s="17" t="n"/>
      <c r="I62" s="18" t="n"/>
      <c r="J62" s="17" t="n"/>
      <c r="K62" s="17" t="n"/>
      <c r="L62" s="17" t="n"/>
      <c r="M62" s="14">
        <f>IF(E62="","",IF(E62&gt;L62,"BUY-DAY","SELL-DAY"))</f>
        <v/>
      </c>
      <c r="N62" s="19">
        <f>IF(E62="","",MAX(F62-G62,ABS(F62-L62),ABS(G62-L62)))</f>
        <v/>
      </c>
      <c r="O62" s="14">
        <f>IF(E62="","",IF(AND(I62&gt;0,I62&gt;(I62/3)*2.5),"VOL-OK","VOL-NG"))</f>
        <v/>
      </c>
      <c r="P62" s="14">
        <f>IF(E62="","",IF(E62&gt;J62,"ON","OFF"))</f>
        <v/>
      </c>
      <c r="Q62" s="14">
        <f>IF(E62="","",IF(E62&lt;K62,"ON","OFF"))</f>
        <v/>
      </c>
      <c r="R62" s="14">
        <f>IF(OR(E62="",N62&lt;=0),"",IF(AND(M62="BUY-DAY",O62="VOL-OK",Q62="ON",AA62="OK",AB62&lt;&gt;"DOWN"),"BUY",IF(AND(M62="SELL-DAY",O62="VOL-OK",P62="ON",AA62="OK",AB62&lt;&gt;"UP"),"SELL","")))</f>
        <v/>
      </c>
      <c r="S62" s="19">
        <f>IF(R62="","",E62)</f>
        <v/>
      </c>
      <c r="T62" s="19">
        <f>IF(R62="","",IF(R62="BUY",E62-N62*1.5,E62+N62*1.5))</f>
        <v/>
      </c>
      <c r="U62" s="19">
        <f>IF(R62="","",IF(R62="BUY",E62+N62*1.5,E62-N62*1.5))</f>
        <v/>
      </c>
      <c r="V62" s="19">
        <f>IF(R62="","",IF(R62="BUY",E62+N62*2,E62-N62*2))</f>
        <v/>
      </c>
      <c r="W62" s="19">
        <f>IF(R62="","",IF(R62="BUY",E62+N62*3,E62-N62*3))</f>
        <v/>
      </c>
      <c r="X62" s="14">
        <f>IF(OR(E62="",N62&lt;=0),"",IF(AND(E62&gt;H62,ABS(E62-H62)&lt;N62*0.5),"2ND","1ST"))</f>
        <v/>
      </c>
      <c r="Y62" s="14">
        <f>IF(OR(E62="",N62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62" s="14">
        <f>IF(OR(E62="",N62&lt;=0),"",IF(N62&gt;E62*0.05,"VOL-HIGH","VOL-NORMAL"))</f>
        <v/>
      </c>
      <c r="AA62" s="14">
        <f>IF(OR(E62="",N62&lt;=0),"",IF(AND(O62="VOL-OK",Z62="VOL-NORMAL",X62="2ND"),"OK","NG"))</f>
        <v/>
      </c>
      <c r="AB62" s="14">
        <f>IF(OR(E62="",N62&lt;=0),"",IF(AND(F62&gt;J62,G62&gt;K62),"UP",IF(AND(F62&lt;J62,G62&lt;K62),"DOWN","FLAT")))</f>
        <v/>
      </c>
    </row>
    <row r="63" ht="26" customHeight="1" s="1">
      <c r="A63" s="8">
        <f>IF(C63="","",ROW()-2)</f>
        <v/>
      </c>
      <c r="B63" s="9">
        <f>IF('StockList_MS2'!A62="","",HYPERLINK("https://kabutan.jp/stock/?code="&amp;'StockList_MS2'!A62,"株探"))</f>
        <v/>
      </c>
      <c r="C63" s="8">
        <f>IF('StockList_MS2'!A62="","",'StockList_MS2'!A62)</f>
        <v/>
      </c>
      <c r="D63" s="10">
        <f>IF('StockList_MS2'!A62="","",'StockList_MS2'!B62)</f>
        <v/>
      </c>
      <c r="E63" s="11" t="n"/>
      <c r="F63" s="11" t="n"/>
      <c r="G63" s="11" t="n"/>
      <c r="H63" s="11" t="n"/>
      <c r="I63" s="12" t="n"/>
      <c r="J63" s="11" t="n"/>
      <c r="K63" s="11" t="n"/>
      <c r="L63" s="11" t="n"/>
      <c r="M63" s="8">
        <f>IF(E63="","",IF(E63&gt;L63,"BUY-DAY","SELL-DAY"))</f>
        <v/>
      </c>
      <c r="N63" s="13">
        <f>IF(E63="","",MAX(F63-G63,ABS(F63-L63),ABS(G63-L63)))</f>
        <v/>
      </c>
      <c r="O63" s="8">
        <f>IF(E63="","",IF(AND(I63&gt;0,I63&gt;(I63/3)*2.5),"VOL-OK","VOL-NG"))</f>
        <v/>
      </c>
      <c r="P63" s="8">
        <f>IF(E63="","",IF(E63&gt;J63,"ON","OFF"))</f>
        <v/>
      </c>
      <c r="Q63" s="8">
        <f>IF(E63="","",IF(E63&lt;K63,"ON","OFF"))</f>
        <v/>
      </c>
      <c r="R63" s="8">
        <f>IF(OR(E63="",N63&lt;=0),"",IF(AND(M63="BUY-DAY",O63="VOL-OK",Q63="ON",AA63="OK",AB63&lt;&gt;"DOWN"),"BUY",IF(AND(M63="SELL-DAY",O63="VOL-OK",P63="ON",AA63="OK",AB63&lt;&gt;"UP"),"SELL","")))</f>
        <v/>
      </c>
      <c r="S63" s="13">
        <f>IF(R63="","",E63)</f>
        <v/>
      </c>
      <c r="T63" s="13">
        <f>IF(R63="","",IF(R63="BUY",E63-N63*1.5,E63+N63*1.5))</f>
        <v/>
      </c>
      <c r="U63" s="13">
        <f>IF(R63="","",IF(R63="BUY",E63+N63*1.5,E63-N63*1.5))</f>
        <v/>
      </c>
      <c r="V63" s="13">
        <f>IF(R63="","",IF(R63="BUY",E63+N63*2,E63-N63*2))</f>
        <v/>
      </c>
      <c r="W63" s="13">
        <f>IF(R63="","",IF(R63="BUY",E63+N63*3,E63-N63*3))</f>
        <v/>
      </c>
      <c r="X63" s="8">
        <f>IF(OR(E63="",N63&lt;=0),"",IF(AND(E63&gt;H63,ABS(E63-H63)&lt;N63*0.5),"2ND","1ST"))</f>
        <v/>
      </c>
      <c r="Y63" s="8">
        <f>IF(OR(E63="",N63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63" s="8">
        <f>IF(OR(E63="",N63&lt;=0),"",IF(N63&gt;E63*0.05,"VOL-HIGH","VOL-NORMAL"))</f>
        <v/>
      </c>
      <c r="AA63" s="8">
        <f>IF(OR(E63="",N63&lt;=0),"",IF(AND(O63="VOL-OK",Z63="VOL-NORMAL",X63="2ND"),"OK","NG"))</f>
        <v/>
      </c>
      <c r="AB63" s="8">
        <f>IF(OR(E63="",N63&lt;=0),"",IF(AND(F63&gt;J63,G63&gt;K63),"UP",IF(AND(F63&lt;J63,G63&lt;K63),"DOWN","FLAT")))</f>
        <v/>
      </c>
    </row>
    <row r="64" ht="26" customHeight="1" s="1">
      <c r="A64" s="14">
        <f>IF(C64="","",ROW()-2)</f>
        <v/>
      </c>
      <c r="B64" s="15">
        <f>IF('StockList_MS2'!A63="","",HYPERLINK("https://kabutan.jp/stock/?code="&amp;'StockList_MS2'!A63,"株探"))</f>
        <v/>
      </c>
      <c r="C64" s="14">
        <f>IF('StockList_MS2'!A63="","",'StockList_MS2'!A63)</f>
        <v/>
      </c>
      <c r="D64" s="16">
        <f>IF('StockList_MS2'!A63="","",'StockList_MS2'!B63)</f>
        <v/>
      </c>
      <c r="E64" s="17" t="n"/>
      <c r="F64" s="17" t="n"/>
      <c r="G64" s="17" t="n"/>
      <c r="H64" s="17" t="n"/>
      <c r="I64" s="18" t="n"/>
      <c r="J64" s="17" t="n"/>
      <c r="K64" s="17" t="n"/>
      <c r="L64" s="17" t="n"/>
      <c r="M64" s="14">
        <f>IF(E64="","",IF(E64&gt;L64,"BUY-DAY","SELL-DAY"))</f>
        <v/>
      </c>
      <c r="N64" s="19">
        <f>IF(E64="","",MAX(F64-G64,ABS(F64-L64),ABS(G64-L64)))</f>
        <v/>
      </c>
      <c r="O64" s="14">
        <f>IF(E64="","",IF(AND(I64&gt;0,I64&gt;(I64/3)*2.5),"VOL-OK","VOL-NG"))</f>
        <v/>
      </c>
      <c r="P64" s="14">
        <f>IF(E64="","",IF(E64&gt;J64,"ON","OFF"))</f>
        <v/>
      </c>
      <c r="Q64" s="14">
        <f>IF(E64="","",IF(E64&lt;K64,"ON","OFF"))</f>
        <v/>
      </c>
      <c r="R64" s="14">
        <f>IF(OR(E64="",N64&lt;=0),"",IF(AND(M64="BUY-DAY",O64="VOL-OK",Q64="ON",AA64="OK",AB64&lt;&gt;"DOWN"),"BUY",IF(AND(M64="SELL-DAY",O64="VOL-OK",P64="ON",AA64="OK",AB64&lt;&gt;"UP"),"SELL","")))</f>
        <v/>
      </c>
      <c r="S64" s="19">
        <f>IF(R64="","",E64)</f>
        <v/>
      </c>
      <c r="T64" s="19">
        <f>IF(R64="","",IF(R64="BUY",E64-N64*1.5,E64+N64*1.5))</f>
        <v/>
      </c>
      <c r="U64" s="19">
        <f>IF(R64="","",IF(R64="BUY",E64+N64*1.5,E64-N64*1.5))</f>
        <v/>
      </c>
      <c r="V64" s="19">
        <f>IF(R64="","",IF(R64="BUY",E64+N64*2,E64-N64*2))</f>
        <v/>
      </c>
      <c r="W64" s="19">
        <f>IF(R64="","",IF(R64="BUY",E64+N64*3,E64-N64*3))</f>
        <v/>
      </c>
      <c r="X64" s="14">
        <f>IF(OR(E64="",N64&lt;=0),"",IF(AND(E64&gt;H64,ABS(E64-H64)&lt;N64*0.5),"2ND","1ST"))</f>
        <v/>
      </c>
      <c r="Y64" s="14">
        <f>IF(OR(E64="",N64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64" s="14">
        <f>IF(OR(E64="",N64&lt;=0),"",IF(N64&gt;E64*0.05,"VOL-HIGH","VOL-NORMAL"))</f>
        <v/>
      </c>
      <c r="AA64" s="14">
        <f>IF(OR(E64="",N64&lt;=0),"",IF(AND(O64="VOL-OK",Z64="VOL-NORMAL",X64="2ND"),"OK","NG"))</f>
        <v/>
      </c>
      <c r="AB64" s="14">
        <f>IF(OR(E64="",N64&lt;=0),"",IF(AND(F64&gt;J64,G64&gt;K64),"UP",IF(AND(F64&lt;J64,G64&lt;K64),"DOWN","FLAT")))</f>
        <v/>
      </c>
    </row>
    <row r="65" ht="26" customHeight="1" s="1">
      <c r="A65" s="8">
        <f>IF(C65="","",ROW()-2)</f>
        <v/>
      </c>
      <c r="B65" s="9">
        <f>IF('StockList_MS2'!A64="","",HYPERLINK("https://kabutan.jp/stock/?code="&amp;'StockList_MS2'!A64,"株探"))</f>
        <v/>
      </c>
      <c r="C65" s="8">
        <f>IF('StockList_MS2'!A64="","",'StockList_MS2'!A64)</f>
        <v/>
      </c>
      <c r="D65" s="10">
        <f>IF('StockList_MS2'!A64="","",'StockList_MS2'!B64)</f>
        <v/>
      </c>
      <c r="E65" s="11" t="n"/>
      <c r="F65" s="11" t="n"/>
      <c r="G65" s="11" t="n"/>
      <c r="H65" s="11" t="n"/>
      <c r="I65" s="12" t="n"/>
      <c r="J65" s="11" t="n"/>
      <c r="K65" s="11" t="n"/>
      <c r="L65" s="11" t="n"/>
      <c r="M65" s="8">
        <f>IF(E65="","",IF(E65&gt;L65,"BUY-DAY","SELL-DAY"))</f>
        <v/>
      </c>
      <c r="N65" s="13">
        <f>IF(E65="","",MAX(F65-G65,ABS(F65-L65),ABS(G65-L65)))</f>
        <v/>
      </c>
      <c r="O65" s="8">
        <f>IF(E65="","",IF(AND(I65&gt;0,I65&gt;(I65/3)*2.5),"VOL-OK","VOL-NG"))</f>
        <v/>
      </c>
      <c r="P65" s="8">
        <f>IF(E65="","",IF(E65&gt;J65,"ON","OFF"))</f>
        <v/>
      </c>
      <c r="Q65" s="8">
        <f>IF(E65="","",IF(E65&lt;K65,"ON","OFF"))</f>
        <v/>
      </c>
      <c r="R65" s="8">
        <f>IF(OR(E65="",N65&lt;=0),"",IF(AND(M65="BUY-DAY",O65="VOL-OK",Q65="ON",AA65="OK",AB65&lt;&gt;"DOWN"),"BUY",IF(AND(M65="SELL-DAY",O65="VOL-OK",P65="ON",AA65="OK",AB65&lt;&gt;"UP"),"SELL","")))</f>
        <v/>
      </c>
      <c r="S65" s="13">
        <f>IF(R65="","",E65)</f>
        <v/>
      </c>
      <c r="T65" s="13">
        <f>IF(R65="","",IF(R65="BUY",E65-N65*1.5,E65+N65*1.5))</f>
        <v/>
      </c>
      <c r="U65" s="13">
        <f>IF(R65="","",IF(R65="BUY",E65+N65*1.5,E65-N65*1.5))</f>
        <v/>
      </c>
      <c r="V65" s="13">
        <f>IF(R65="","",IF(R65="BUY",E65+N65*2,E65-N65*2))</f>
        <v/>
      </c>
      <c r="W65" s="13">
        <f>IF(R65="","",IF(R65="BUY",E65+N65*3,E65-N65*3))</f>
        <v/>
      </c>
      <c r="X65" s="8">
        <f>IF(OR(E65="",N65&lt;=0),"",IF(AND(E65&gt;H65,ABS(E65-H65)&lt;N65*0.5),"2ND","1ST"))</f>
        <v/>
      </c>
      <c r="Y65" s="8">
        <f>IF(OR(E65="",N65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65" s="8">
        <f>IF(OR(E65="",N65&lt;=0),"",IF(N65&gt;E65*0.05,"VOL-HIGH","VOL-NORMAL"))</f>
        <v/>
      </c>
      <c r="AA65" s="8">
        <f>IF(OR(E65="",N65&lt;=0),"",IF(AND(O65="VOL-OK",Z65="VOL-NORMAL",X65="2ND"),"OK","NG"))</f>
        <v/>
      </c>
      <c r="AB65" s="8">
        <f>IF(OR(E65="",N65&lt;=0),"",IF(AND(F65&gt;J65,G65&gt;K65),"UP",IF(AND(F65&lt;J65,G65&lt;K65),"DOWN","FLAT")))</f>
        <v/>
      </c>
    </row>
    <row r="66" ht="26" customHeight="1" s="1">
      <c r="A66" s="14">
        <f>IF(C66="","",ROW()-2)</f>
        <v/>
      </c>
      <c r="B66" s="15">
        <f>IF('StockList_MS2'!A65="","",HYPERLINK("https://kabutan.jp/stock/?code="&amp;'StockList_MS2'!A65,"株探"))</f>
        <v/>
      </c>
      <c r="C66" s="14">
        <f>IF('StockList_MS2'!A65="","",'StockList_MS2'!A65)</f>
        <v/>
      </c>
      <c r="D66" s="16">
        <f>IF('StockList_MS2'!A65="","",'StockList_MS2'!B65)</f>
        <v/>
      </c>
      <c r="E66" s="17" t="n"/>
      <c r="F66" s="17" t="n"/>
      <c r="G66" s="17" t="n"/>
      <c r="H66" s="17" t="n"/>
      <c r="I66" s="18" t="n"/>
      <c r="J66" s="17" t="n"/>
      <c r="K66" s="17" t="n"/>
      <c r="L66" s="17" t="n"/>
      <c r="M66" s="14">
        <f>IF(E66="","",IF(E66&gt;L66,"BUY-DAY","SELL-DAY"))</f>
        <v/>
      </c>
      <c r="N66" s="19">
        <f>IF(E66="","",MAX(F66-G66,ABS(F66-L66),ABS(G66-L66)))</f>
        <v/>
      </c>
      <c r="O66" s="14">
        <f>IF(E66="","",IF(AND(I66&gt;0,I66&gt;(I66/3)*2.5),"VOL-OK","VOL-NG"))</f>
        <v/>
      </c>
      <c r="P66" s="14">
        <f>IF(E66="","",IF(E66&gt;J66,"ON","OFF"))</f>
        <v/>
      </c>
      <c r="Q66" s="14">
        <f>IF(E66="","",IF(E66&lt;K66,"ON","OFF"))</f>
        <v/>
      </c>
      <c r="R66" s="14">
        <f>IF(OR(E66="",N66&lt;=0),"",IF(AND(M66="BUY-DAY",O66="VOL-OK",Q66="ON",AA66="OK",AB66&lt;&gt;"DOWN"),"BUY",IF(AND(M66="SELL-DAY",O66="VOL-OK",P66="ON",AA66="OK",AB66&lt;&gt;"UP"),"SELL","")))</f>
        <v/>
      </c>
      <c r="S66" s="19">
        <f>IF(R66="","",E66)</f>
        <v/>
      </c>
      <c r="T66" s="19">
        <f>IF(R66="","",IF(R66="BUY",E66-N66*1.5,E66+N66*1.5))</f>
        <v/>
      </c>
      <c r="U66" s="19">
        <f>IF(R66="","",IF(R66="BUY",E66+N66*1.5,E66-N66*1.5))</f>
        <v/>
      </c>
      <c r="V66" s="19">
        <f>IF(R66="","",IF(R66="BUY",E66+N66*2,E66-N66*2))</f>
        <v/>
      </c>
      <c r="W66" s="19">
        <f>IF(R66="","",IF(R66="BUY",E66+N66*3,E66-N66*3))</f>
        <v/>
      </c>
      <c r="X66" s="14">
        <f>IF(OR(E66="",N66&lt;=0),"",IF(AND(E66&gt;H66,ABS(E66-H66)&lt;N66*0.5),"2ND","1ST"))</f>
        <v/>
      </c>
      <c r="Y66" s="14">
        <f>IF(OR(E66="",N66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66" s="14">
        <f>IF(OR(E66="",N66&lt;=0),"",IF(N66&gt;E66*0.05,"VOL-HIGH","VOL-NORMAL"))</f>
        <v/>
      </c>
      <c r="AA66" s="14">
        <f>IF(OR(E66="",N66&lt;=0),"",IF(AND(O66="VOL-OK",Z66="VOL-NORMAL",X66="2ND"),"OK","NG"))</f>
        <v/>
      </c>
      <c r="AB66" s="14">
        <f>IF(OR(E66="",N66&lt;=0),"",IF(AND(F66&gt;J66,G66&gt;K66),"UP",IF(AND(F66&lt;J66,G66&lt;K66),"DOWN","FLAT")))</f>
        <v/>
      </c>
    </row>
    <row r="67" ht="26" customHeight="1" s="1">
      <c r="A67" s="8">
        <f>IF(C67="","",ROW()-2)</f>
        <v/>
      </c>
      <c r="B67" s="9">
        <f>IF('StockList_MS2'!A66="","",HYPERLINK("https://kabutan.jp/stock/?code="&amp;'StockList_MS2'!A66,"株探"))</f>
        <v/>
      </c>
      <c r="C67" s="8">
        <f>IF('StockList_MS2'!A66="","",'StockList_MS2'!A66)</f>
        <v/>
      </c>
      <c r="D67" s="10">
        <f>IF('StockList_MS2'!A66="","",'StockList_MS2'!B66)</f>
        <v/>
      </c>
      <c r="E67" s="11" t="n"/>
      <c r="F67" s="11" t="n"/>
      <c r="G67" s="11" t="n"/>
      <c r="H67" s="11" t="n"/>
      <c r="I67" s="12" t="n"/>
      <c r="J67" s="11" t="n"/>
      <c r="K67" s="11" t="n"/>
      <c r="L67" s="11" t="n"/>
      <c r="M67" s="8">
        <f>IF(E67="","",IF(E67&gt;L67,"BUY-DAY","SELL-DAY"))</f>
        <v/>
      </c>
      <c r="N67" s="13">
        <f>IF(E67="","",MAX(F67-G67,ABS(F67-L67),ABS(G67-L67)))</f>
        <v/>
      </c>
      <c r="O67" s="8">
        <f>IF(E67="","",IF(AND(I67&gt;0,I67&gt;(I67/3)*2.5),"VOL-OK","VOL-NG"))</f>
        <v/>
      </c>
      <c r="P67" s="8">
        <f>IF(E67="","",IF(E67&gt;J67,"ON","OFF"))</f>
        <v/>
      </c>
      <c r="Q67" s="8">
        <f>IF(E67="","",IF(E67&lt;K67,"ON","OFF"))</f>
        <v/>
      </c>
      <c r="R67" s="8">
        <f>IF(OR(E67="",N67&lt;=0),"",IF(AND(M67="BUY-DAY",O67="VOL-OK",Q67="ON",AA67="OK",AB67&lt;&gt;"DOWN"),"BUY",IF(AND(M67="SELL-DAY",O67="VOL-OK",P67="ON",AA67="OK",AB67&lt;&gt;"UP"),"SELL","")))</f>
        <v/>
      </c>
      <c r="S67" s="13">
        <f>IF(R67="","",E67)</f>
        <v/>
      </c>
      <c r="T67" s="13">
        <f>IF(R67="","",IF(R67="BUY",E67-N67*1.5,E67+N67*1.5))</f>
        <v/>
      </c>
      <c r="U67" s="13">
        <f>IF(R67="","",IF(R67="BUY",E67+N67*1.5,E67-N67*1.5))</f>
        <v/>
      </c>
      <c r="V67" s="13">
        <f>IF(R67="","",IF(R67="BUY",E67+N67*2,E67-N67*2))</f>
        <v/>
      </c>
      <c r="W67" s="13">
        <f>IF(R67="","",IF(R67="BUY",E67+N67*3,E67-N67*3))</f>
        <v/>
      </c>
      <c r="X67" s="8">
        <f>IF(OR(E67="",N67&lt;=0),"",IF(AND(E67&gt;H67,ABS(E67-H67)&lt;N67*0.5),"2ND","1ST"))</f>
        <v/>
      </c>
      <c r="Y67" s="8">
        <f>IF(OR(E67="",N67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67" s="8">
        <f>IF(OR(E67="",N67&lt;=0),"",IF(N67&gt;E67*0.05,"VOL-HIGH","VOL-NORMAL"))</f>
        <v/>
      </c>
      <c r="AA67" s="8">
        <f>IF(OR(E67="",N67&lt;=0),"",IF(AND(O67="VOL-OK",Z67="VOL-NORMAL",X67="2ND"),"OK","NG"))</f>
        <v/>
      </c>
      <c r="AB67" s="8">
        <f>IF(OR(E67="",N67&lt;=0),"",IF(AND(F67&gt;J67,G67&gt;K67),"UP",IF(AND(F67&lt;J67,G67&lt;K67),"DOWN","FLAT")))</f>
        <v/>
      </c>
    </row>
    <row r="68" ht="26" customHeight="1" s="1">
      <c r="A68" s="14">
        <f>IF(C68="","",ROW()-2)</f>
        <v/>
      </c>
      <c r="B68" s="15">
        <f>IF('StockList_MS2'!A67="","",HYPERLINK("https://kabutan.jp/stock/?code="&amp;'StockList_MS2'!A67,"株探"))</f>
        <v/>
      </c>
      <c r="C68" s="14">
        <f>IF('StockList_MS2'!A67="","",'StockList_MS2'!A67)</f>
        <v/>
      </c>
      <c r="D68" s="16">
        <f>IF('StockList_MS2'!A67="","",'StockList_MS2'!B67)</f>
        <v/>
      </c>
      <c r="E68" s="17" t="n"/>
      <c r="F68" s="17" t="n"/>
      <c r="G68" s="17" t="n"/>
      <c r="H68" s="17" t="n"/>
      <c r="I68" s="18" t="n"/>
      <c r="J68" s="17" t="n"/>
      <c r="K68" s="17" t="n"/>
      <c r="L68" s="17" t="n"/>
      <c r="M68" s="14">
        <f>IF(E68="","",IF(E68&gt;L68,"BUY-DAY","SELL-DAY"))</f>
        <v/>
      </c>
      <c r="N68" s="19">
        <f>IF(E68="","",MAX(F68-G68,ABS(F68-L68),ABS(G68-L68)))</f>
        <v/>
      </c>
      <c r="O68" s="14">
        <f>IF(E68="","",IF(AND(I68&gt;0,I68&gt;(I68/3)*2.5),"VOL-OK","VOL-NG"))</f>
        <v/>
      </c>
      <c r="P68" s="14">
        <f>IF(E68="","",IF(E68&gt;J68,"ON","OFF"))</f>
        <v/>
      </c>
      <c r="Q68" s="14">
        <f>IF(E68="","",IF(E68&lt;K68,"ON","OFF"))</f>
        <v/>
      </c>
      <c r="R68" s="14">
        <f>IF(OR(E68="",N68&lt;=0),"",IF(AND(M68="BUY-DAY",O68="VOL-OK",Q68="ON",AA68="OK",AB68&lt;&gt;"DOWN"),"BUY",IF(AND(M68="SELL-DAY",O68="VOL-OK",P68="ON",AA68="OK",AB68&lt;&gt;"UP"),"SELL","")))</f>
        <v/>
      </c>
      <c r="S68" s="19">
        <f>IF(R68="","",E68)</f>
        <v/>
      </c>
      <c r="T68" s="19">
        <f>IF(R68="","",IF(R68="BUY",E68-N68*1.5,E68+N68*1.5))</f>
        <v/>
      </c>
      <c r="U68" s="19">
        <f>IF(R68="","",IF(R68="BUY",E68+N68*1.5,E68-N68*1.5))</f>
        <v/>
      </c>
      <c r="V68" s="19">
        <f>IF(R68="","",IF(R68="BUY",E68+N68*2,E68-N68*2))</f>
        <v/>
      </c>
      <c r="W68" s="19">
        <f>IF(R68="","",IF(R68="BUY",E68+N68*3,E68-N68*3))</f>
        <v/>
      </c>
      <c r="X68" s="14">
        <f>IF(OR(E68="",N68&lt;=0),"",IF(AND(E68&gt;H68,ABS(E68-H68)&lt;N68*0.5),"2ND","1ST"))</f>
        <v/>
      </c>
      <c r="Y68" s="14">
        <f>IF(OR(E68="",N68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68" s="14">
        <f>IF(OR(E68="",N68&lt;=0),"",IF(N68&gt;E68*0.05,"VOL-HIGH","VOL-NORMAL"))</f>
        <v/>
      </c>
      <c r="AA68" s="14">
        <f>IF(OR(E68="",N68&lt;=0),"",IF(AND(O68="VOL-OK",Z68="VOL-NORMAL",X68="2ND"),"OK","NG"))</f>
        <v/>
      </c>
      <c r="AB68" s="14">
        <f>IF(OR(E68="",N68&lt;=0),"",IF(AND(F68&gt;J68,G68&gt;K68),"UP",IF(AND(F68&lt;J68,G68&lt;K68),"DOWN","FLAT")))</f>
        <v/>
      </c>
    </row>
    <row r="69" ht="26" customHeight="1" s="1">
      <c r="A69" s="8">
        <f>IF(C69="","",ROW()-2)</f>
        <v/>
      </c>
      <c r="B69" s="9">
        <f>IF('StockList_MS2'!A68="","",HYPERLINK("https://kabutan.jp/stock/?code="&amp;'StockList_MS2'!A68,"株探"))</f>
        <v/>
      </c>
      <c r="C69" s="8">
        <f>IF('StockList_MS2'!A68="","",'StockList_MS2'!A68)</f>
        <v/>
      </c>
      <c r="D69" s="10">
        <f>IF('StockList_MS2'!A68="","",'StockList_MS2'!B68)</f>
        <v/>
      </c>
      <c r="E69" s="11" t="n"/>
      <c r="F69" s="11" t="n"/>
      <c r="G69" s="11" t="n"/>
      <c r="H69" s="11" t="n"/>
      <c r="I69" s="12" t="n"/>
      <c r="J69" s="11" t="n"/>
      <c r="K69" s="11" t="n"/>
      <c r="L69" s="11" t="n"/>
      <c r="M69" s="8">
        <f>IF(E69="","",IF(E69&gt;L69,"BUY-DAY","SELL-DAY"))</f>
        <v/>
      </c>
      <c r="N69" s="13">
        <f>IF(E69="","",MAX(F69-G69,ABS(F69-L69),ABS(G69-L69)))</f>
        <v/>
      </c>
      <c r="O69" s="8">
        <f>IF(E69="","",IF(AND(I69&gt;0,I69&gt;(I69/3)*2.5),"VOL-OK","VOL-NG"))</f>
        <v/>
      </c>
      <c r="P69" s="8">
        <f>IF(E69="","",IF(E69&gt;J69,"ON","OFF"))</f>
        <v/>
      </c>
      <c r="Q69" s="8">
        <f>IF(E69="","",IF(E69&lt;K69,"ON","OFF"))</f>
        <v/>
      </c>
      <c r="R69" s="8">
        <f>IF(OR(E69="",N69&lt;=0),"",IF(AND(M69="BUY-DAY",O69="VOL-OK",Q69="ON",AA69="OK",AB69&lt;&gt;"DOWN"),"BUY",IF(AND(M69="SELL-DAY",O69="VOL-OK",P69="ON",AA69="OK",AB69&lt;&gt;"UP"),"SELL","")))</f>
        <v/>
      </c>
      <c r="S69" s="13">
        <f>IF(R69="","",E69)</f>
        <v/>
      </c>
      <c r="T69" s="13">
        <f>IF(R69="","",IF(R69="BUY",E69-N69*1.5,E69+N69*1.5))</f>
        <v/>
      </c>
      <c r="U69" s="13">
        <f>IF(R69="","",IF(R69="BUY",E69+N69*1.5,E69-N69*1.5))</f>
        <v/>
      </c>
      <c r="V69" s="13">
        <f>IF(R69="","",IF(R69="BUY",E69+N69*2,E69-N69*2))</f>
        <v/>
      </c>
      <c r="W69" s="13">
        <f>IF(R69="","",IF(R69="BUY",E69+N69*3,E69-N69*3))</f>
        <v/>
      </c>
      <c r="X69" s="8">
        <f>IF(OR(E69="",N69&lt;=0),"",IF(AND(E69&gt;H69,ABS(E69-H69)&lt;N69*0.5),"2ND","1ST"))</f>
        <v/>
      </c>
      <c r="Y69" s="8">
        <f>IF(OR(E69="",N69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69" s="8">
        <f>IF(OR(E69="",N69&lt;=0),"",IF(N69&gt;E69*0.05,"VOL-HIGH","VOL-NORMAL"))</f>
        <v/>
      </c>
      <c r="AA69" s="8">
        <f>IF(OR(E69="",N69&lt;=0),"",IF(AND(O69="VOL-OK",Z69="VOL-NORMAL",X69="2ND"),"OK","NG"))</f>
        <v/>
      </c>
      <c r="AB69" s="8">
        <f>IF(OR(E69="",N69&lt;=0),"",IF(AND(F69&gt;J69,G69&gt;K69),"UP",IF(AND(F69&lt;J69,G69&lt;K69),"DOWN","FLAT")))</f>
        <v/>
      </c>
    </row>
    <row r="70" ht="26" customHeight="1" s="1">
      <c r="A70" s="14">
        <f>IF(C70="","",ROW()-2)</f>
        <v/>
      </c>
      <c r="B70" s="15">
        <f>IF('StockList_MS2'!A69="","",HYPERLINK("https://kabutan.jp/stock/?code="&amp;'StockList_MS2'!A69,"株探"))</f>
        <v/>
      </c>
      <c r="C70" s="14">
        <f>IF('StockList_MS2'!A69="","",'StockList_MS2'!A69)</f>
        <v/>
      </c>
      <c r="D70" s="16">
        <f>IF('StockList_MS2'!A69="","",'StockList_MS2'!B69)</f>
        <v/>
      </c>
      <c r="E70" s="17" t="n"/>
      <c r="F70" s="17" t="n"/>
      <c r="G70" s="17" t="n"/>
      <c r="H70" s="17" t="n"/>
      <c r="I70" s="18" t="n"/>
      <c r="J70" s="17" t="n"/>
      <c r="K70" s="17" t="n"/>
      <c r="L70" s="17" t="n"/>
      <c r="M70" s="14">
        <f>IF(E70="","",IF(E70&gt;L70,"BUY-DAY","SELL-DAY"))</f>
        <v/>
      </c>
      <c r="N70" s="19">
        <f>IF(E70="","",MAX(F70-G70,ABS(F70-L70),ABS(G70-L70)))</f>
        <v/>
      </c>
      <c r="O70" s="14">
        <f>IF(E70="","",IF(AND(I70&gt;0,I70&gt;(I70/3)*2.5),"VOL-OK","VOL-NG"))</f>
        <v/>
      </c>
      <c r="P70" s="14">
        <f>IF(E70="","",IF(E70&gt;J70,"ON","OFF"))</f>
        <v/>
      </c>
      <c r="Q70" s="14">
        <f>IF(E70="","",IF(E70&lt;K70,"ON","OFF"))</f>
        <v/>
      </c>
      <c r="R70" s="14">
        <f>IF(OR(E70="",N70&lt;=0),"",IF(AND(M70="BUY-DAY",O70="VOL-OK",Q70="ON",AA70="OK",AB70&lt;&gt;"DOWN"),"BUY",IF(AND(M70="SELL-DAY",O70="VOL-OK",P70="ON",AA70="OK",AB70&lt;&gt;"UP"),"SELL","")))</f>
        <v/>
      </c>
      <c r="S70" s="19">
        <f>IF(R70="","",E70)</f>
        <v/>
      </c>
      <c r="T70" s="19">
        <f>IF(R70="","",IF(R70="BUY",E70-N70*1.5,E70+N70*1.5))</f>
        <v/>
      </c>
      <c r="U70" s="19">
        <f>IF(R70="","",IF(R70="BUY",E70+N70*1.5,E70-N70*1.5))</f>
        <v/>
      </c>
      <c r="V70" s="19">
        <f>IF(R70="","",IF(R70="BUY",E70+N70*2,E70-N70*2))</f>
        <v/>
      </c>
      <c r="W70" s="19">
        <f>IF(R70="","",IF(R70="BUY",E70+N70*3,E70-N70*3))</f>
        <v/>
      </c>
      <c r="X70" s="14">
        <f>IF(OR(E70="",N70&lt;=0),"",IF(AND(E70&gt;H70,ABS(E70-H70)&lt;N70*0.5),"2ND","1ST"))</f>
        <v/>
      </c>
      <c r="Y70" s="14">
        <f>IF(OR(E70="",N70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70" s="14">
        <f>IF(OR(E70="",N70&lt;=0),"",IF(N70&gt;E70*0.05,"VOL-HIGH","VOL-NORMAL"))</f>
        <v/>
      </c>
      <c r="AA70" s="14">
        <f>IF(OR(E70="",N70&lt;=0),"",IF(AND(O70="VOL-OK",Z70="VOL-NORMAL",X70="2ND"),"OK","NG"))</f>
        <v/>
      </c>
      <c r="AB70" s="14">
        <f>IF(OR(E70="",N70&lt;=0),"",IF(AND(F70&gt;J70,G70&gt;K70),"UP",IF(AND(F70&lt;J70,G70&lt;K70),"DOWN","FLAT")))</f>
        <v/>
      </c>
    </row>
    <row r="71" ht="26" customHeight="1" s="1">
      <c r="A71" s="8">
        <f>IF(C71="","",ROW()-2)</f>
        <v/>
      </c>
      <c r="B71" s="9">
        <f>IF('StockList_MS2'!A70="","",HYPERLINK("https://kabutan.jp/stock/?code="&amp;'StockList_MS2'!A70,"株探"))</f>
        <v/>
      </c>
      <c r="C71" s="8">
        <f>IF('StockList_MS2'!A70="","",'StockList_MS2'!A70)</f>
        <v/>
      </c>
      <c r="D71" s="10">
        <f>IF('StockList_MS2'!A70="","",'StockList_MS2'!B70)</f>
        <v/>
      </c>
      <c r="E71" s="11" t="n"/>
      <c r="F71" s="11" t="n"/>
      <c r="G71" s="11" t="n"/>
      <c r="H71" s="11" t="n"/>
      <c r="I71" s="12" t="n"/>
      <c r="J71" s="11" t="n"/>
      <c r="K71" s="11" t="n"/>
      <c r="L71" s="11" t="n"/>
      <c r="M71" s="8">
        <f>IF(E71="","",IF(E71&gt;L71,"BUY-DAY","SELL-DAY"))</f>
        <v/>
      </c>
      <c r="N71" s="13">
        <f>IF(E71="","",MAX(F71-G71,ABS(F71-L71),ABS(G71-L71)))</f>
        <v/>
      </c>
      <c r="O71" s="8">
        <f>IF(E71="","",IF(AND(I71&gt;0,I71&gt;(I71/3)*2.5),"VOL-OK","VOL-NG"))</f>
        <v/>
      </c>
      <c r="P71" s="8">
        <f>IF(E71="","",IF(E71&gt;J71,"ON","OFF"))</f>
        <v/>
      </c>
      <c r="Q71" s="8">
        <f>IF(E71="","",IF(E71&lt;K71,"ON","OFF"))</f>
        <v/>
      </c>
      <c r="R71" s="8">
        <f>IF(OR(E71="",N71&lt;=0),"",IF(AND(M71="BUY-DAY",O71="VOL-OK",Q71="ON",AA71="OK",AB71&lt;&gt;"DOWN"),"BUY",IF(AND(M71="SELL-DAY",O71="VOL-OK",P71="ON",AA71="OK",AB71&lt;&gt;"UP"),"SELL","")))</f>
        <v/>
      </c>
      <c r="S71" s="13">
        <f>IF(R71="","",E71)</f>
        <v/>
      </c>
      <c r="T71" s="13">
        <f>IF(R71="","",IF(R71="BUY",E71-N71*1.5,E71+N71*1.5))</f>
        <v/>
      </c>
      <c r="U71" s="13">
        <f>IF(R71="","",IF(R71="BUY",E71+N71*1.5,E71-N71*1.5))</f>
        <v/>
      </c>
      <c r="V71" s="13">
        <f>IF(R71="","",IF(R71="BUY",E71+N71*2,E71-N71*2))</f>
        <v/>
      </c>
      <c r="W71" s="13">
        <f>IF(R71="","",IF(R71="BUY",E71+N71*3,E71-N71*3))</f>
        <v/>
      </c>
      <c r="X71" s="8">
        <f>IF(OR(E71="",N71&lt;=0),"",IF(AND(E71&gt;H71,ABS(E71-H71)&lt;N71*0.5),"2ND","1ST"))</f>
        <v/>
      </c>
      <c r="Y71" s="8">
        <f>IF(OR(E71="",N71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71" s="8">
        <f>IF(OR(E71="",N71&lt;=0),"",IF(N71&gt;E71*0.05,"VOL-HIGH","VOL-NORMAL"))</f>
        <v/>
      </c>
      <c r="AA71" s="8">
        <f>IF(OR(E71="",N71&lt;=0),"",IF(AND(O71="VOL-OK",Z71="VOL-NORMAL",X71="2ND"),"OK","NG"))</f>
        <v/>
      </c>
      <c r="AB71" s="8">
        <f>IF(OR(E71="",N71&lt;=0),"",IF(AND(F71&gt;J71,G71&gt;K71),"UP",IF(AND(F71&lt;J71,G71&lt;K71),"DOWN","FLAT")))</f>
        <v/>
      </c>
    </row>
    <row r="72" ht="26" customHeight="1" s="1">
      <c r="A72" s="14">
        <f>IF(C72="","",ROW()-2)</f>
        <v/>
      </c>
      <c r="B72" s="15">
        <f>IF('StockList_MS2'!A71="","",HYPERLINK("https://kabutan.jp/stock/?code="&amp;'StockList_MS2'!A71,"株探"))</f>
        <v/>
      </c>
      <c r="C72" s="14">
        <f>IF('StockList_MS2'!A71="","",'StockList_MS2'!A71)</f>
        <v/>
      </c>
      <c r="D72" s="16">
        <f>IF('StockList_MS2'!A71="","",'StockList_MS2'!B71)</f>
        <v/>
      </c>
      <c r="E72" s="17" t="n"/>
      <c r="F72" s="17" t="n"/>
      <c r="G72" s="17" t="n"/>
      <c r="H72" s="17" t="n"/>
      <c r="I72" s="18" t="n"/>
      <c r="J72" s="17" t="n"/>
      <c r="K72" s="17" t="n"/>
      <c r="L72" s="17" t="n"/>
      <c r="M72" s="14">
        <f>IF(E72="","",IF(E72&gt;L72,"BUY-DAY","SELL-DAY"))</f>
        <v/>
      </c>
      <c r="N72" s="19">
        <f>IF(E72="","",MAX(F72-G72,ABS(F72-L72),ABS(G72-L72)))</f>
        <v/>
      </c>
      <c r="O72" s="14">
        <f>IF(E72="","",IF(AND(I72&gt;0,I72&gt;(I72/3)*2.5),"VOL-OK","VOL-NG"))</f>
        <v/>
      </c>
      <c r="P72" s="14">
        <f>IF(E72="","",IF(E72&gt;J72,"ON","OFF"))</f>
        <v/>
      </c>
      <c r="Q72" s="14">
        <f>IF(E72="","",IF(E72&lt;K72,"ON","OFF"))</f>
        <v/>
      </c>
      <c r="R72" s="14">
        <f>IF(OR(E72="",N72&lt;=0),"",IF(AND(M72="BUY-DAY",O72="VOL-OK",Q72="ON",AA72="OK",AB72&lt;&gt;"DOWN"),"BUY",IF(AND(M72="SELL-DAY",O72="VOL-OK",P72="ON",AA72="OK",AB72&lt;&gt;"UP"),"SELL","")))</f>
        <v/>
      </c>
      <c r="S72" s="19">
        <f>IF(R72="","",E72)</f>
        <v/>
      </c>
      <c r="T72" s="19">
        <f>IF(R72="","",IF(R72="BUY",E72-N72*1.5,E72+N72*1.5))</f>
        <v/>
      </c>
      <c r="U72" s="19">
        <f>IF(R72="","",IF(R72="BUY",E72+N72*1.5,E72-N72*1.5))</f>
        <v/>
      </c>
      <c r="V72" s="19">
        <f>IF(R72="","",IF(R72="BUY",E72+N72*2,E72-N72*2))</f>
        <v/>
      </c>
      <c r="W72" s="19">
        <f>IF(R72="","",IF(R72="BUY",E72+N72*3,E72-N72*3))</f>
        <v/>
      </c>
      <c r="X72" s="14">
        <f>IF(OR(E72="",N72&lt;=0),"",IF(AND(E72&gt;H72,ABS(E72-H72)&lt;N72*0.5),"2ND","1ST"))</f>
        <v/>
      </c>
      <c r="Y72" s="14">
        <f>IF(OR(E72="",N72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72" s="14">
        <f>IF(OR(E72="",N72&lt;=0),"",IF(N72&gt;E72*0.05,"VOL-HIGH","VOL-NORMAL"))</f>
        <v/>
      </c>
      <c r="AA72" s="14">
        <f>IF(OR(E72="",N72&lt;=0),"",IF(AND(O72="VOL-OK",Z72="VOL-NORMAL",X72="2ND"),"OK","NG"))</f>
        <v/>
      </c>
      <c r="AB72" s="14">
        <f>IF(OR(E72="",N72&lt;=0),"",IF(AND(F72&gt;J72,G72&gt;K72),"UP",IF(AND(F72&lt;J72,G72&lt;K72),"DOWN","FLAT")))</f>
        <v/>
      </c>
    </row>
    <row r="73" ht="26" customHeight="1" s="1">
      <c r="A73" s="8">
        <f>IF(C73="","",ROW()-2)</f>
        <v/>
      </c>
      <c r="B73" s="9">
        <f>IF('StockList_MS2'!A72="","",HYPERLINK("https://kabutan.jp/stock/?code="&amp;'StockList_MS2'!A72,"株探"))</f>
        <v/>
      </c>
      <c r="C73" s="8">
        <f>IF('StockList_MS2'!A72="","",'StockList_MS2'!A72)</f>
        <v/>
      </c>
      <c r="D73" s="10">
        <f>IF('StockList_MS2'!A72="","",'StockList_MS2'!B72)</f>
        <v/>
      </c>
      <c r="E73" s="11" t="n"/>
      <c r="F73" s="11" t="n"/>
      <c r="G73" s="11" t="n"/>
      <c r="H73" s="11" t="n"/>
      <c r="I73" s="12" t="n"/>
      <c r="J73" s="11" t="n"/>
      <c r="K73" s="11" t="n"/>
      <c r="L73" s="11" t="n"/>
      <c r="M73" s="8">
        <f>IF(E73="","",IF(E73&gt;L73,"BUY-DAY","SELL-DAY"))</f>
        <v/>
      </c>
      <c r="N73" s="13">
        <f>IF(E73="","",MAX(F73-G73,ABS(F73-L73),ABS(G73-L73)))</f>
        <v/>
      </c>
      <c r="O73" s="8">
        <f>IF(E73="","",IF(AND(I73&gt;0,I73&gt;(I73/3)*2.5),"VOL-OK","VOL-NG"))</f>
        <v/>
      </c>
      <c r="P73" s="8">
        <f>IF(E73="","",IF(E73&gt;J73,"ON","OFF"))</f>
        <v/>
      </c>
      <c r="Q73" s="8">
        <f>IF(E73="","",IF(E73&lt;K73,"ON","OFF"))</f>
        <v/>
      </c>
      <c r="R73" s="8">
        <f>IF(OR(E73="",N73&lt;=0),"",IF(AND(M73="BUY-DAY",O73="VOL-OK",Q73="ON",AA73="OK",AB73&lt;&gt;"DOWN"),"BUY",IF(AND(M73="SELL-DAY",O73="VOL-OK",P73="ON",AA73="OK",AB73&lt;&gt;"UP"),"SELL","")))</f>
        <v/>
      </c>
      <c r="S73" s="13">
        <f>IF(R73="","",E73)</f>
        <v/>
      </c>
      <c r="T73" s="13">
        <f>IF(R73="","",IF(R73="BUY",E73-N73*1.5,E73+N73*1.5))</f>
        <v/>
      </c>
      <c r="U73" s="13">
        <f>IF(R73="","",IF(R73="BUY",E73+N73*1.5,E73-N73*1.5))</f>
        <v/>
      </c>
      <c r="V73" s="13">
        <f>IF(R73="","",IF(R73="BUY",E73+N73*2,E73-N73*2))</f>
        <v/>
      </c>
      <c r="W73" s="13">
        <f>IF(R73="","",IF(R73="BUY",E73+N73*3,E73-N73*3))</f>
        <v/>
      </c>
      <c r="X73" s="8">
        <f>IF(OR(E73="",N73&lt;=0),"",IF(AND(E73&gt;H73,ABS(E73-H73)&lt;N73*0.5),"2ND","1ST"))</f>
        <v/>
      </c>
      <c r="Y73" s="8">
        <f>IF(OR(E73="",N73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73" s="8">
        <f>IF(OR(E73="",N73&lt;=0),"",IF(N73&gt;E73*0.05,"VOL-HIGH","VOL-NORMAL"))</f>
        <v/>
      </c>
      <c r="AA73" s="8">
        <f>IF(OR(E73="",N73&lt;=0),"",IF(AND(O73="VOL-OK",Z73="VOL-NORMAL",X73="2ND"),"OK","NG"))</f>
        <v/>
      </c>
      <c r="AB73" s="8">
        <f>IF(OR(E73="",N73&lt;=0),"",IF(AND(F73&gt;J73,G73&gt;K73),"UP",IF(AND(F73&lt;J73,G73&lt;K73),"DOWN","FLAT")))</f>
        <v/>
      </c>
    </row>
    <row r="74" ht="26" customHeight="1" s="1">
      <c r="A74" s="14">
        <f>IF(C74="","",ROW()-2)</f>
        <v/>
      </c>
      <c r="B74" s="15">
        <f>IF('StockList_MS2'!A73="","",HYPERLINK("https://kabutan.jp/stock/?code="&amp;'StockList_MS2'!A73,"株探"))</f>
        <v/>
      </c>
      <c r="C74" s="14">
        <f>IF('StockList_MS2'!A73="","",'StockList_MS2'!A73)</f>
        <v/>
      </c>
      <c r="D74" s="16">
        <f>IF('StockList_MS2'!A73="","",'StockList_MS2'!B73)</f>
        <v/>
      </c>
      <c r="E74" s="17" t="n"/>
      <c r="F74" s="17" t="n"/>
      <c r="G74" s="17" t="n"/>
      <c r="H74" s="17" t="n"/>
      <c r="I74" s="18" t="n"/>
      <c r="J74" s="17" t="n"/>
      <c r="K74" s="17" t="n"/>
      <c r="L74" s="17" t="n"/>
      <c r="M74" s="14">
        <f>IF(E74="","",IF(E74&gt;L74,"BUY-DAY","SELL-DAY"))</f>
        <v/>
      </c>
      <c r="N74" s="19">
        <f>IF(E74="","",MAX(F74-G74,ABS(F74-L74),ABS(G74-L74)))</f>
        <v/>
      </c>
      <c r="O74" s="14">
        <f>IF(E74="","",IF(AND(I74&gt;0,I74&gt;(I74/3)*2.5),"VOL-OK","VOL-NG"))</f>
        <v/>
      </c>
      <c r="P74" s="14">
        <f>IF(E74="","",IF(E74&gt;J74,"ON","OFF"))</f>
        <v/>
      </c>
      <c r="Q74" s="14">
        <f>IF(E74="","",IF(E74&lt;K74,"ON","OFF"))</f>
        <v/>
      </c>
      <c r="R74" s="14">
        <f>IF(OR(E74="",N74&lt;=0),"",IF(AND(M74="BUY-DAY",O74="VOL-OK",Q74="ON",AA74="OK",AB74&lt;&gt;"DOWN"),"BUY",IF(AND(M74="SELL-DAY",O74="VOL-OK",P74="ON",AA74="OK",AB74&lt;&gt;"UP"),"SELL","")))</f>
        <v/>
      </c>
      <c r="S74" s="19">
        <f>IF(R74="","",E74)</f>
        <v/>
      </c>
      <c r="T74" s="19">
        <f>IF(R74="","",IF(R74="BUY",E74-N74*1.5,E74+N74*1.5))</f>
        <v/>
      </c>
      <c r="U74" s="19">
        <f>IF(R74="","",IF(R74="BUY",E74+N74*1.5,E74-N74*1.5))</f>
        <v/>
      </c>
      <c r="V74" s="19">
        <f>IF(R74="","",IF(R74="BUY",E74+N74*2,E74-N74*2))</f>
        <v/>
      </c>
      <c r="W74" s="19">
        <f>IF(R74="","",IF(R74="BUY",E74+N74*3,E74-N74*3))</f>
        <v/>
      </c>
      <c r="X74" s="14">
        <f>IF(OR(E74="",N74&lt;=0),"",IF(AND(E74&gt;H74,ABS(E74-H74)&lt;N74*0.5),"2ND","1ST"))</f>
        <v/>
      </c>
      <c r="Y74" s="14">
        <f>IF(OR(E74="",N74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74" s="14">
        <f>IF(OR(E74="",N74&lt;=0),"",IF(N74&gt;E74*0.05,"VOL-HIGH","VOL-NORMAL"))</f>
        <v/>
      </c>
      <c r="AA74" s="14">
        <f>IF(OR(E74="",N74&lt;=0),"",IF(AND(O74="VOL-OK",Z74="VOL-NORMAL",X74="2ND"),"OK","NG"))</f>
        <v/>
      </c>
      <c r="AB74" s="14">
        <f>IF(OR(E74="",N74&lt;=0),"",IF(AND(F74&gt;J74,G74&gt;K74),"UP",IF(AND(F74&lt;J74,G74&lt;K74),"DOWN","FLAT")))</f>
        <v/>
      </c>
    </row>
    <row r="75" ht="26" customHeight="1" s="1">
      <c r="A75" s="8">
        <f>IF(C75="","",ROW()-2)</f>
        <v/>
      </c>
      <c r="B75" s="9">
        <f>IF('StockList_MS2'!A74="","",HYPERLINK("https://kabutan.jp/stock/?code="&amp;'StockList_MS2'!A74,"株探"))</f>
        <v/>
      </c>
      <c r="C75" s="8">
        <f>IF('StockList_MS2'!A74="","",'StockList_MS2'!A74)</f>
        <v/>
      </c>
      <c r="D75" s="10">
        <f>IF('StockList_MS2'!A74="","",'StockList_MS2'!B74)</f>
        <v/>
      </c>
      <c r="E75" s="11" t="n"/>
      <c r="F75" s="11" t="n"/>
      <c r="G75" s="11" t="n"/>
      <c r="H75" s="11" t="n"/>
      <c r="I75" s="12" t="n"/>
      <c r="J75" s="11" t="n"/>
      <c r="K75" s="11" t="n"/>
      <c r="L75" s="11" t="n"/>
      <c r="M75" s="8">
        <f>IF(E75="","",IF(E75&gt;L75,"BUY-DAY","SELL-DAY"))</f>
        <v/>
      </c>
      <c r="N75" s="13">
        <f>IF(E75="","",MAX(F75-G75,ABS(F75-L75),ABS(G75-L75)))</f>
        <v/>
      </c>
      <c r="O75" s="8">
        <f>IF(E75="","",IF(AND(I75&gt;0,I75&gt;(I75/3)*2.5),"VOL-OK","VOL-NG"))</f>
        <v/>
      </c>
      <c r="P75" s="8">
        <f>IF(E75="","",IF(E75&gt;J75,"ON","OFF"))</f>
        <v/>
      </c>
      <c r="Q75" s="8">
        <f>IF(E75="","",IF(E75&lt;K75,"ON","OFF"))</f>
        <v/>
      </c>
      <c r="R75" s="8">
        <f>IF(OR(E75="",N75&lt;=0),"",IF(AND(M75="BUY-DAY",O75="VOL-OK",Q75="ON",AA75="OK",AB75&lt;&gt;"DOWN"),"BUY",IF(AND(M75="SELL-DAY",O75="VOL-OK",P75="ON",AA75="OK",AB75&lt;&gt;"UP"),"SELL","")))</f>
        <v/>
      </c>
      <c r="S75" s="13">
        <f>IF(R75="","",E75)</f>
        <v/>
      </c>
      <c r="T75" s="13">
        <f>IF(R75="","",IF(R75="BUY",E75-N75*1.5,E75+N75*1.5))</f>
        <v/>
      </c>
      <c r="U75" s="13">
        <f>IF(R75="","",IF(R75="BUY",E75+N75*1.5,E75-N75*1.5))</f>
        <v/>
      </c>
      <c r="V75" s="13">
        <f>IF(R75="","",IF(R75="BUY",E75+N75*2,E75-N75*2))</f>
        <v/>
      </c>
      <c r="W75" s="13">
        <f>IF(R75="","",IF(R75="BUY",E75+N75*3,E75-N75*3))</f>
        <v/>
      </c>
      <c r="X75" s="8">
        <f>IF(OR(E75="",N75&lt;=0),"",IF(AND(E75&gt;H75,ABS(E75-H75)&lt;N75*0.5),"2ND","1ST"))</f>
        <v/>
      </c>
      <c r="Y75" s="8">
        <f>IF(OR(E75="",N75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75" s="8">
        <f>IF(OR(E75="",N75&lt;=0),"",IF(N75&gt;E75*0.05,"VOL-HIGH","VOL-NORMAL"))</f>
        <v/>
      </c>
      <c r="AA75" s="8">
        <f>IF(OR(E75="",N75&lt;=0),"",IF(AND(O75="VOL-OK",Z75="VOL-NORMAL",X75="2ND"),"OK","NG"))</f>
        <v/>
      </c>
      <c r="AB75" s="8">
        <f>IF(OR(E75="",N75&lt;=0),"",IF(AND(F75&gt;J75,G75&gt;K75),"UP",IF(AND(F75&lt;J75,G75&lt;K75),"DOWN","FLAT")))</f>
        <v/>
      </c>
    </row>
    <row r="76" ht="26" customHeight="1" s="1">
      <c r="A76" s="14">
        <f>IF(C76="","",ROW()-2)</f>
        <v/>
      </c>
      <c r="B76" s="15">
        <f>IF('StockList_MS2'!A75="","",HYPERLINK("https://kabutan.jp/stock/?code="&amp;'StockList_MS2'!A75,"株探"))</f>
        <v/>
      </c>
      <c r="C76" s="14">
        <f>IF('StockList_MS2'!A75="","",'StockList_MS2'!A75)</f>
        <v/>
      </c>
      <c r="D76" s="16">
        <f>IF('StockList_MS2'!A75="","",'StockList_MS2'!B75)</f>
        <v/>
      </c>
      <c r="E76" s="17" t="n"/>
      <c r="F76" s="17" t="n"/>
      <c r="G76" s="17" t="n"/>
      <c r="H76" s="17" t="n"/>
      <c r="I76" s="18" t="n"/>
      <c r="J76" s="17" t="n"/>
      <c r="K76" s="17" t="n"/>
      <c r="L76" s="17" t="n"/>
      <c r="M76" s="14">
        <f>IF(E76="","",IF(E76&gt;L76,"BUY-DAY","SELL-DAY"))</f>
        <v/>
      </c>
      <c r="N76" s="19">
        <f>IF(E76="","",MAX(F76-G76,ABS(F76-L76),ABS(G76-L76)))</f>
        <v/>
      </c>
      <c r="O76" s="14">
        <f>IF(E76="","",IF(AND(I76&gt;0,I76&gt;(I76/3)*2.5),"VOL-OK","VOL-NG"))</f>
        <v/>
      </c>
      <c r="P76" s="14">
        <f>IF(E76="","",IF(E76&gt;J76,"ON","OFF"))</f>
        <v/>
      </c>
      <c r="Q76" s="14">
        <f>IF(E76="","",IF(E76&lt;K76,"ON","OFF"))</f>
        <v/>
      </c>
      <c r="R76" s="14">
        <f>IF(OR(E76="",N76&lt;=0),"",IF(AND(M76="BUY-DAY",O76="VOL-OK",Q76="ON",AA76="OK",AB76&lt;&gt;"DOWN"),"BUY",IF(AND(M76="SELL-DAY",O76="VOL-OK",P76="ON",AA76="OK",AB76&lt;&gt;"UP"),"SELL","")))</f>
        <v/>
      </c>
      <c r="S76" s="19">
        <f>IF(R76="","",E76)</f>
        <v/>
      </c>
      <c r="T76" s="19">
        <f>IF(R76="","",IF(R76="BUY",E76-N76*1.5,E76+N76*1.5))</f>
        <v/>
      </c>
      <c r="U76" s="19">
        <f>IF(R76="","",IF(R76="BUY",E76+N76*1.5,E76-N76*1.5))</f>
        <v/>
      </c>
      <c r="V76" s="19">
        <f>IF(R76="","",IF(R76="BUY",E76+N76*2,E76-N76*2))</f>
        <v/>
      </c>
      <c r="W76" s="19">
        <f>IF(R76="","",IF(R76="BUY",E76+N76*3,E76-N76*3))</f>
        <v/>
      </c>
      <c r="X76" s="14">
        <f>IF(OR(E76="",N76&lt;=0),"",IF(AND(E76&gt;H76,ABS(E76-H76)&lt;N76*0.5),"2ND","1ST"))</f>
        <v/>
      </c>
      <c r="Y76" s="14">
        <f>IF(OR(E76="",N76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76" s="14">
        <f>IF(OR(E76="",N76&lt;=0),"",IF(N76&gt;E76*0.05,"VOL-HIGH","VOL-NORMAL"))</f>
        <v/>
      </c>
      <c r="AA76" s="14">
        <f>IF(OR(E76="",N76&lt;=0),"",IF(AND(O76="VOL-OK",Z76="VOL-NORMAL",X76="2ND"),"OK","NG"))</f>
        <v/>
      </c>
      <c r="AB76" s="14">
        <f>IF(OR(E76="",N76&lt;=0),"",IF(AND(F76&gt;J76,G76&gt;K76),"UP",IF(AND(F76&lt;J76,G76&lt;K76),"DOWN","FLAT")))</f>
        <v/>
      </c>
    </row>
    <row r="77" ht="26" customHeight="1" s="1">
      <c r="A77" s="8">
        <f>IF(C77="","",ROW()-2)</f>
        <v/>
      </c>
      <c r="B77" s="9">
        <f>IF('StockList_MS2'!A76="","",HYPERLINK("https://kabutan.jp/stock/?code="&amp;'StockList_MS2'!A76,"株探"))</f>
        <v/>
      </c>
      <c r="C77" s="8">
        <f>IF('StockList_MS2'!A76="","",'StockList_MS2'!A76)</f>
        <v/>
      </c>
      <c r="D77" s="10">
        <f>IF('StockList_MS2'!A76="","",'StockList_MS2'!B76)</f>
        <v/>
      </c>
      <c r="E77" s="11" t="n"/>
      <c r="F77" s="11" t="n"/>
      <c r="G77" s="11" t="n"/>
      <c r="H77" s="11" t="n"/>
      <c r="I77" s="12" t="n"/>
      <c r="J77" s="11" t="n"/>
      <c r="K77" s="11" t="n"/>
      <c r="L77" s="11" t="n"/>
      <c r="M77" s="8">
        <f>IF(E77="","",IF(E77&gt;L77,"BUY-DAY","SELL-DAY"))</f>
        <v/>
      </c>
      <c r="N77" s="13">
        <f>IF(E77="","",MAX(F77-G77,ABS(F77-L77),ABS(G77-L77)))</f>
        <v/>
      </c>
      <c r="O77" s="8">
        <f>IF(E77="","",IF(AND(I77&gt;0,I77&gt;(I77/3)*2.5),"VOL-OK","VOL-NG"))</f>
        <v/>
      </c>
      <c r="P77" s="8">
        <f>IF(E77="","",IF(E77&gt;J77,"ON","OFF"))</f>
        <v/>
      </c>
      <c r="Q77" s="8">
        <f>IF(E77="","",IF(E77&lt;K77,"ON","OFF"))</f>
        <v/>
      </c>
      <c r="R77" s="8">
        <f>IF(OR(E77="",N77&lt;=0),"",IF(AND(M77="BUY-DAY",O77="VOL-OK",Q77="ON",AA77="OK",AB77&lt;&gt;"DOWN"),"BUY",IF(AND(M77="SELL-DAY",O77="VOL-OK",P77="ON",AA77="OK",AB77&lt;&gt;"UP"),"SELL","")))</f>
        <v/>
      </c>
      <c r="S77" s="13">
        <f>IF(R77="","",E77)</f>
        <v/>
      </c>
      <c r="T77" s="13">
        <f>IF(R77="","",IF(R77="BUY",E77-N77*1.5,E77+N77*1.5))</f>
        <v/>
      </c>
      <c r="U77" s="13">
        <f>IF(R77="","",IF(R77="BUY",E77+N77*1.5,E77-N77*1.5))</f>
        <v/>
      </c>
      <c r="V77" s="13">
        <f>IF(R77="","",IF(R77="BUY",E77+N77*2,E77-N77*2))</f>
        <v/>
      </c>
      <c r="W77" s="13">
        <f>IF(R77="","",IF(R77="BUY",E77+N77*3,E77-N77*3))</f>
        <v/>
      </c>
      <c r="X77" s="8">
        <f>IF(OR(E77="",N77&lt;=0),"",IF(AND(E77&gt;H77,ABS(E77-H77)&lt;N77*0.5),"2ND","1ST"))</f>
        <v/>
      </c>
      <c r="Y77" s="8">
        <f>IF(OR(E77="",N77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77" s="8">
        <f>IF(OR(E77="",N77&lt;=0),"",IF(N77&gt;E77*0.05,"VOL-HIGH","VOL-NORMAL"))</f>
        <v/>
      </c>
      <c r="AA77" s="8">
        <f>IF(OR(E77="",N77&lt;=0),"",IF(AND(O77="VOL-OK",Z77="VOL-NORMAL",X77="2ND"),"OK","NG"))</f>
        <v/>
      </c>
      <c r="AB77" s="8">
        <f>IF(OR(E77="",N77&lt;=0),"",IF(AND(F77&gt;J77,G77&gt;K77),"UP",IF(AND(F77&lt;J77,G77&lt;K77),"DOWN","FLAT")))</f>
        <v/>
      </c>
    </row>
    <row r="78" ht="26" customHeight="1" s="1">
      <c r="A78" s="14">
        <f>IF(C78="","",ROW()-2)</f>
        <v/>
      </c>
      <c r="B78" s="15">
        <f>IF('StockList_MS2'!A77="","",HYPERLINK("https://kabutan.jp/stock/?code="&amp;'StockList_MS2'!A77,"株探"))</f>
        <v/>
      </c>
      <c r="C78" s="14">
        <f>IF('StockList_MS2'!A77="","",'StockList_MS2'!A77)</f>
        <v/>
      </c>
      <c r="D78" s="16">
        <f>IF('StockList_MS2'!A77="","",'StockList_MS2'!B77)</f>
        <v/>
      </c>
      <c r="E78" s="17" t="n"/>
      <c r="F78" s="17" t="n"/>
      <c r="G78" s="17" t="n"/>
      <c r="H78" s="17" t="n"/>
      <c r="I78" s="18" t="n"/>
      <c r="J78" s="17" t="n"/>
      <c r="K78" s="17" t="n"/>
      <c r="L78" s="17" t="n"/>
      <c r="M78" s="14">
        <f>IF(E78="","",IF(E78&gt;L78,"BUY-DAY","SELL-DAY"))</f>
        <v/>
      </c>
      <c r="N78" s="19">
        <f>IF(E78="","",MAX(F78-G78,ABS(F78-L78),ABS(G78-L78)))</f>
        <v/>
      </c>
      <c r="O78" s="14">
        <f>IF(E78="","",IF(AND(I78&gt;0,I78&gt;(I78/3)*2.5),"VOL-OK","VOL-NG"))</f>
        <v/>
      </c>
      <c r="P78" s="14">
        <f>IF(E78="","",IF(E78&gt;J78,"ON","OFF"))</f>
        <v/>
      </c>
      <c r="Q78" s="14">
        <f>IF(E78="","",IF(E78&lt;K78,"ON","OFF"))</f>
        <v/>
      </c>
      <c r="R78" s="14">
        <f>IF(OR(E78="",N78&lt;=0),"",IF(AND(M78="BUY-DAY",O78="VOL-OK",Q78="ON",AA78="OK",AB78&lt;&gt;"DOWN"),"BUY",IF(AND(M78="SELL-DAY",O78="VOL-OK",P78="ON",AA78="OK",AB78&lt;&gt;"UP"),"SELL","")))</f>
        <v/>
      </c>
      <c r="S78" s="19">
        <f>IF(R78="","",E78)</f>
        <v/>
      </c>
      <c r="T78" s="19">
        <f>IF(R78="","",IF(R78="BUY",E78-N78*1.5,E78+N78*1.5))</f>
        <v/>
      </c>
      <c r="U78" s="19">
        <f>IF(R78="","",IF(R78="BUY",E78+N78*1.5,E78-N78*1.5))</f>
        <v/>
      </c>
      <c r="V78" s="19">
        <f>IF(R78="","",IF(R78="BUY",E78+N78*2,E78-N78*2))</f>
        <v/>
      </c>
      <c r="W78" s="19">
        <f>IF(R78="","",IF(R78="BUY",E78+N78*3,E78-N78*3))</f>
        <v/>
      </c>
      <c r="X78" s="14">
        <f>IF(OR(E78="",N78&lt;=0),"",IF(AND(E78&gt;H78,ABS(E78-H78)&lt;N78*0.5),"2ND","1ST"))</f>
        <v/>
      </c>
      <c r="Y78" s="14">
        <f>IF(OR(E78="",N78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78" s="14">
        <f>IF(OR(E78="",N78&lt;=0),"",IF(N78&gt;E78*0.05,"VOL-HIGH","VOL-NORMAL"))</f>
        <v/>
      </c>
      <c r="AA78" s="14">
        <f>IF(OR(E78="",N78&lt;=0),"",IF(AND(O78="VOL-OK",Z78="VOL-NORMAL",X78="2ND"),"OK","NG"))</f>
        <v/>
      </c>
      <c r="AB78" s="14">
        <f>IF(OR(E78="",N78&lt;=0),"",IF(AND(F78&gt;J78,G78&gt;K78),"UP",IF(AND(F78&lt;J78,G78&lt;K78),"DOWN","FLAT")))</f>
        <v/>
      </c>
    </row>
    <row r="79" ht="26" customHeight="1" s="1">
      <c r="A79" s="8">
        <f>IF(C79="","",ROW()-2)</f>
        <v/>
      </c>
      <c r="B79" s="9">
        <f>IF('StockList_MS2'!A78="","",HYPERLINK("https://kabutan.jp/stock/?code="&amp;'StockList_MS2'!A78,"株探"))</f>
        <v/>
      </c>
      <c r="C79" s="8">
        <f>IF('StockList_MS2'!A78="","",'StockList_MS2'!A78)</f>
        <v/>
      </c>
      <c r="D79" s="10">
        <f>IF('StockList_MS2'!A78="","",'StockList_MS2'!B78)</f>
        <v/>
      </c>
      <c r="E79" s="11" t="n"/>
      <c r="F79" s="11" t="n"/>
      <c r="G79" s="11" t="n"/>
      <c r="H79" s="11" t="n"/>
      <c r="I79" s="12" t="n"/>
      <c r="J79" s="11" t="n"/>
      <c r="K79" s="11" t="n"/>
      <c r="L79" s="11" t="n"/>
      <c r="M79" s="8">
        <f>IF(E79="","",IF(E79&gt;L79,"BUY-DAY","SELL-DAY"))</f>
        <v/>
      </c>
      <c r="N79" s="13">
        <f>IF(E79="","",MAX(F79-G79,ABS(F79-L79),ABS(G79-L79)))</f>
        <v/>
      </c>
      <c r="O79" s="8">
        <f>IF(E79="","",IF(AND(I79&gt;0,I79&gt;(I79/3)*2.5),"VOL-OK","VOL-NG"))</f>
        <v/>
      </c>
      <c r="P79" s="8">
        <f>IF(E79="","",IF(E79&gt;J79,"ON","OFF"))</f>
        <v/>
      </c>
      <c r="Q79" s="8">
        <f>IF(E79="","",IF(E79&lt;K79,"ON","OFF"))</f>
        <v/>
      </c>
      <c r="R79" s="8">
        <f>IF(OR(E79="",N79&lt;=0),"",IF(AND(M79="BUY-DAY",O79="VOL-OK",Q79="ON",AA79="OK",AB79&lt;&gt;"DOWN"),"BUY",IF(AND(M79="SELL-DAY",O79="VOL-OK",P79="ON",AA79="OK",AB79&lt;&gt;"UP"),"SELL","")))</f>
        <v/>
      </c>
      <c r="S79" s="13">
        <f>IF(R79="","",E79)</f>
        <v/>
      </c>
      <c r="T79" s="13">
        <f>IF(R79="","",IF(R79="BUY",E79-N79*1.5,E79+N79*1.5))</f>
        <v/>
      </c>
      <c r="U79" s="13">
        <f>IF(R79="","",IF(R79="BUY",E79+N79*1.5,E79-N79*1.5))</f>
        <v/>
      </c>
      <c r="V79" s="13">
        <f>IF(R79="","",IF(R79="BUY",E79+N79*2,E79-N79*2))</f>
        <v/>
      </c>
      <c r="W79" s="13">
        <f>IF(R79="","",IF(R79="BUY",E79+N79*3,E79-N79*3))</f>
        <v/>
      </c>
      <c r="X79" s="8">
        <f>IF(OR(E79="",N79&lt;=0),"",IF(AND(E79&gt;H79,ABS(E79-H79)&lt;N79*0.5),"2ND","1ST"))</f>
        <v/>
      </c>
      <c r="Y79" s="8">
        <f>IF(OR(E79="",N79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79" s="8">
        <f>IF(OR(E79="",N79&lt;=0),"",IF(N79&gt;E79*0.05,"VOL-HIGH","VOL-NORMAL"))</f>
        <v/>
      </c>
      <c r="AA79" s="8">
        <f>IF(OR(E79="",N79&lt;=0),"",IF(AND(O79="VOL-OK",Z79="VOL-NORMAL",X79="2ND"),"OK","NG"))</f>
        <v/>
      </c>
      <c r="AB79" s="8">
        <f>IF(OR(E79="",N79&lt;=0),"",IF(AND(F79&gt;J79,G79&gt;K79),"UP",IF(AND(F79&lt;J79,G79&lt;K79),"DOWN","FLAT")))</f>
        <v/>
      </c>
    </row>
    <row r="80" ht="26" customHeight="1" s="1">
      <c r="A80" s="14">
        <f>IF(C80="","",ROW()-2)</f>
        <v/>
      </c>
      <c r="B80" s="15">
        <f>IF('StockList_MS2'!A79="","",HYPERLINK("https://kabutan.jp/stock/?code="&amp;'StockList_MS2'!A79,"株探"))</f>
        <v/>
      </c>
      <c r="C80" s="14">
        <f>IF('StockList_MS2'!A79="","",'StockList_MS2'!A79)</f>
        <v/>
      </c>
      <c r="D80" s="16">
        <f>IF('StockList_MS2'!A79="","",'StockList_MS2'!B79)</f>
        <v/>
      </c>
      <c r="E80" s="17" t="n"/>
      <c r="F80" s="17" t="n"/>
      <c r="G80" s="17" t="n"/>
      <c r="H80" s="17" t="n"/>
      <c r="I80" s="18" t="n"/>
      <c r="J80" s="17" t="n"/>
      <c r="K80" s="17" t="n"/>
      <c r="L80" s="17" t="n"/>
      <c r="M80" s="14">
        <f>IF(E80="","",IF(E80&gt;L80,"BUY-DAY","SELL-DAY"))</f>
        <v/>
      </c>
      <c r="N80" s="19">
        <f>IF(E80="","",MAX(F80-G80,ABS(F80-L80),ABS(G80-L80)))</f>
        <v/>
      </c>
      <c r="O80" s="14">
        <f>IF(E80="","",IF(AND(I80&gt;0,I80&gt;(I80/3)*2.5),"VOL-OK","VOL-NG"))</f>
        <v/>
      </c>
      <c r="P80" s="14">
        <f>IF(E80="","",IF(E80&gt;J80,"ON","OFF"))</f>
        <v/>
      </c>
      <c r="Q80" s="14">
        <f>IF(E80="","",IF(E80&lt;K80,"ON","OFF"))</f>
        <v/>
      </c>
      <c r="R80" s="14">
        <f>IF(OR(E80="",N80&lt;=0),"",IF(AND(M80="BUY-DAY",O80="VOL-OK",Q80="ON",AA80="OK",AB80&lt;&gt;"DOWN"),"BUY",IF(AND(M80="SELL-DAY",O80="VOL-OK",P80="ON",AA80="OK",AB80&lt;&gt;"UP"),"SELL","")))</f>
        <v/>
      </c>
      <c r="S80" s="19">
        <f>IF(R80="","",E80)</f>
        <v/>
      </c>
      <c r="T80" s="19">
        <f>IF(R80="","",IF(R80="BUY",E80-N80*1.5,E80+N80*1.5))</f>
        <v/>
      </c>
      <c r="U80" s="19">
        <f>IF(R80="","",IF(R80="BUY",E80+N80*1.5,E80-N80*1.5))</f>
        <v/>
      </c>
      <c r="V80" s="19">
        <f>IF(R80="","",IF(R80="BUY",E80+N80*2,E80-N80*2))</f>
        <v/>
      </c>
      <c r="W80" s="19">
        <f>IF(R80="","",IF(R80="BUY",E80+N80*3,E80-N80*3))</f>
        <v/>
      </c>
      <c r="X80" s="14">
        <f>IF(OR(E80="",N80&lt;=0),"",IF(AND(E80&gt;H80,ABS(E80-H80)&lt;N80*0.5),"2ND","1ST"))</f>
        <v/>
      </c>
      <c r="Y80" s="14">
        <f>IF(OR(E80="",N80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80" s="14">
        <f>IF(OR(E80="",N80&lt;=0),"",IF(N80&gt;E80*0.05,"VOL-HIGH","VOL-NORMAL"))</f>
        <v/>
      </c>
      <c r="AA80" s="14">
        <f>IF(OR(E80="",N80&lt;=0),"",IF(AND(O80="VOL-OK",Z80="VOL-NORMAL",X80="2ND"),"OK","NG"))</f>
        <v/>
      </c>
      <c r="AB80" s="14">
        <f>IF(OR(E80="",N80&lt;=0),"",IF(AND(F80&gt;J80,G80&gt;K80),"UP",IF(AND(F80&lt;J80,G80&lt;K80),"DOWN","FLAT")))</f>
        <v/>
      </c>
    </row>
    <row r="81" ht="26" customHeight="1" s="1">
      <c r="A81" s="8">
        <f>IF(C81="","",ROW()-2)</f>
        <v/>
      </c>
      <c r="B81" s="9">
        <f>IF('StockList_MS2'!A80="","",HYPERLINK("https://kabutan.jp/stock/?code="&amp;'StockList_MS2'!A80,"株探"))</f>
        <v/>
      </c>
      <c r="C81" s="8">
        <f>IF('StockList_MS2'!A80="","",'StockList_MS2'!A80)</f>
        <v/>
      </c>
      <c r="D81" s="10">
        <f>IF('StockList_MS2'!A80="","",'StockList_MS2'!B80)</f>
        <v/>
      </c>
      <c r="E81" s="11" t="n"/>
      <c r="F81" s="11" t="n"/>
      <c r="G81" s="11" t="n"/>
      <c r="H81" s="11" t="n"/>
      <c r="I81" s="12" t="n"/>
      <c r="J81" s="11" t="n"/>
      <c r="K81" s="11" t="n"/>
      <c r="L81" s="11" t="n"/>
      <c r="M81" s="8">
        <f>IF(E81="","",IF(E81&gt;L81,"BUY-DAY","SELL-DAY"))</f>
        <v/>
      </c>
      <c r="N81" s="13">
        <f>IF(E81="","",MAX(F81-G81,ABS(F81-L81),ABS(G81-L81)))</f>
        <v/>
      </c>
      <c r="O81" s="8">
        <f>IF(E81="","",IF(AND(I81&gt;0,I81&gt;(I81/3)*2.5),"VOL-OK","VOL-NG"))</f>
        <v/>
      </c>
      <c r="P81" s="8">
        <f>IF(E81="","",IF(E81&gt;J81,"ON","OFF"))</f>
        <v/>
      </c>
      <c r="Q81" s="8">
        <f>IF(E81="","",IF(E81&lt;K81,"ON","OFF"))</f>
        <v/>
      </c>
      <c r="R81" s="8">
        <f>IF(OR(E81="",N81&lt;=0),"",IF(AND(M81="BUY-DAY",O81="VOL-OK",Q81="ON",AA81="OK",AB81&lt;&gt;"DOWN"),"BUY",IF(AND(M81="SELL-DAY",O81="VOL-OK",P81="ON",AA81="OK",AB81&lt;&gt;"UP"),"SELL","")))</f>
        <v/>
      </c>
      <c r="S81" s="13">
        <f>IF(R81="","",E81)</f>
        <v/>
      </c>
      <c r="T81" s="13">
        <f>IF(R81="","",IF(R81="BUY",E81-N81*1.5,E81+N81*1.5))</f>
        <v/>
      </c>
      <c r="U81" s="13">
        <f>IF(R81="","",IF(R81="BUY",E81+N81*1.5,E81-N81*1.5))</f>
        <v/>
      </c>
      <c r="V81" s="13">
        <f>IF(R81="","",IF(R81="BUY",E81+N81*2,E81-N81*2))</f>
        <v/>
      </c>
      <c r="W81" s="13">
        <f>IF(R81="","",IF(R81="BUY",E81+N81*3,E81-N81*3))</f>
        <v/>
      </c>
      <c r="X81" s="8">
        <f>IF(OR(E81="",N81&lt;=0),"",IF(AND(E81&gt;H81,ABS(E81-H81)&lt;N81*0.5),"2ND","1ST"))</f>
        <v/>
      </c>
      <c r="Y81" s="8">
        <f>IF(OR(E81="",N81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81" s="8">
        <f>IF(OR(E81="",N81&lt;=0),"",IF(N81&gt;E81*0.05,"VOL-HIGH","VOL-NORMAL"))</f>
        <v/>
      </c>
      <c r="AA81" s="8">
        <f>IF(OR(E81="",N81&lt;=0),"",IF(AND(O81="VOL-OK",Z81="VOL-NORMAL",X81="2ND"),"OK","NG"))</f>
        <v/>
      </c>
      <c r="AB81" s="8">
        <f>IF(OR(E81="",N81&lt;=0),"",IF(AND(F81&gt;J81,G81&gt;K81),"UP",IF(AND(F81&lt;J81,G81&lt;K81),"DOWN","FLAT")))</f>
        <v/>
      </c>
    </row>
    <row r="82" ht="26" customHeight="1" s="1">
      <c r="A82" s="14">
        <f>IF(C82="","",ROW()-2)</f>
        <v/>
      </c>
      <c r="B82" s="15">
        <f>IF('StockList_MS2'!A81="","",HYPERLINK("https://kabutan.jp/stock/?code="&amp;'StockList_MS2'!A81,"株探"))</f>
        <v/>
      </c>
      <c r="C82" s="14">
        <f>IF('StockList_MS2'!A81="","",'StockList_MS2'!A81)</f>
        <v/>
      </c>
      <c r="D82" s="16">
        <f>IF('StockList_MS2'!A81="","",'StockList_MS2'!B81)</f>
        <v/>
      </c>
      <c r="E82" s="17" t="n"/>
      <c r="F82" s="17" t="n"/>
      <c r="G82" s="17" t="n"/>
      <c r="H82" s="17" t="n"/>
      <c r="I82" s="18" t="n"/>
      <c r="J82" s="17" t="n"/>
      <c r="K82" s="17" t="n"/>
      <c r="L82" s="17" t="n"/>
      <c r="M82" s="14">
        <f>IF(E82="","",IF(E82&gt;L82,"BUY-DAY","SELL-DAY"))</f>
        <v/>
      </c>
      <c r="N82" s="19">
        <f>IF(E82="","",MAX(F82-G82,ABS(F82-L82),ABS(G82-L82)))</f>
        <v/>
      </c>
      <c r="O82" s="14">
        <f>IF(E82="","",IF(AND(I82&gt;0,I82&gt;(I82/3)*2.5),"VOL-OK","VOL-NG"))</f>
        <v/>
      </c>
      <c r="P82" s="14">
        <f>IF(E82="","",IF(E82&gt;J82,"ON","OFF"))</f>
        <v/>
      </c>
      <c r="Q82" s="14">
        <f>IF(E82="","",IF(E82&lt;K82,"ON","OFF"))</f>
        <v/>
      </c>
      <c r="R82" s="14">
        <f>IF(OR(E82="",N82&lt;=0),"",IF(AND(M82="BUY-DAY",O82="VOL-OK",Q82="ON",AA82="OK",AB82&lt;&gt;"DOWN"),"BUY",IF(AND(M82="SELL-DAY",O82="VOL-OK",P82="ON",AA82="OK",AB82&lt;&gt;"UP"),"SELL","")))</f>
        <v/>
      </c>
      <c r="S82" s="19">
        <f>IF(R82="","",E82)</f>
        <v/>
      </c>
      <c r="T82" s="19">
        <f>IF(R82="","",IF(R82="BUY",E82-N82*1.5,E82+N82*1.5))</f>
        <v/>
      </c>
      <c r="U82" s="19">
        <f>IF(R82="","",IF(R82="BUY",E82+N82*1.5,E82-N82*1.5))</f>
        <v/>
      </c>
      <c r="V82" s="19">
        <f>IF(R82="","",IF(R82="BUY",E82+N82*2,E82-N82*2))</f>
        <v/>
      </c>
      <c r="W82" s="19">
        <f>IF(R82="","",IF(R82="BUY",E82+N82*3,E82-N82*3))</f>
        <v/>
      </c>
      <c r="X82" s="14">
        <f>IF(OR(E82="",N82&lt;=0),"",IF(AND(E82&gt;H82,ABS(E82-H82)&lt;N82*0.5),"2ND","1ST"))</f>
        <v/>
      </c>
      <c r="Y82" s="14">
        <f>IF(OR(E82="",N82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82" s="14">
        <f>IF(OR(E82="",N82&lt;=0),"",IF(N82&gt;E82*0.05,"VOL-HIGH","VOL-NORMAL"))</f>
        <v/>
      </c>
      <c r="AA82" s="14">
        <f>IF(OR(E82="",N82&lt;=0),"",IF(AND(O82="VOL-OK",Z82="VOL-NORMAL",X82="2ND"),"OK","NG"))</f>
        <v/>
      </c>
      <c r="AB82" s="14">
        <f>IF(OR(E82="",N82&lt;=0),"",IF(AND(F82&gt;J82,G82&gt;K82),"UP",IF(AND(F82&lt;J82,G82&lt;K82),"DOWN","FLAT")))</f>
        <v/>
      </c>
    </row>
    <row r="83" ht="26" customHeight="1" s="1">
      <c r="A83" s="8">
        <f>IF(C83="","",ROW()-2)</f>
        <v/>
      </c>
      <c r="B83" s="9">
        <f>IF('StockList_MS2'!A82="","",HYPERLINK("https://kabutan.jp/stock/?code="&amp;'StockList_MS2'!A82,"株探"))</f>
        <v/>
      </c>
      <c r="C83" s="8">
        <f>IF('StockList_MS2'!A82="","",'StockList_MS2'!A82)</f>
        <v/>
      </c>
      <c r="D83" s="10">
        <f>IF('StockList_MS2'!A82="","",'StockList_MS2'!B82)</f>
        <v/>
      </c>
      <c r="E83" s="11" t="n"/>
      <c r="F83" s="11" t="n"/>
      <c r="G83" s="11" t="n"/>
      <c r="H83" s="11" t="n"/>
      <c r="I83" s="12" t="n"/>
      <c r="J83" s="11" t="n"/>
      <c r="K83" s="11" t="n"/>
      <c r="L83" s="11" t="n"/>
      <c r="M83" s="8">
        <f>IF(E83="","",IF(E83&gt;L83,"BUY-DAY","SELL-DAY"))</f>
        <v/>
      </c>
      <c r="N83" s="13">
        <f>IF(E83="","",MAX(F83-G83,ABS(F83-L83),ABS(G83-L83)))</f>
        <v/>
      </c>
      <c r="O83" s="8">
        <f>IF(E83="","",IF(AND(I83&gt;0,I83&gt;(I83/3)*2.5),"VOL-OK","VOL-NG"))</f>
        <v/>
      </c>
      <c r="P83" s="8">
        <f>IF(E83="","",IF(E83&gt;J83,"ON","OFF"))</f>
        <v/>
      </c>
      <c r="Q83" s="8">
        <f>IF(E83="","",IF(E83&lt;K83,"ON","OFF"))</f>
        <v/>
      </c>
      <c r="R83" s="8">
        <f>IF(OR(E83="",N83&lt;=0),"",IF(AND(M83="BUY-DAY",O83="VOL-OK",Q83="ON",AA83="OK",AB83&lt;&gt;"DOWN"),"BUY",IF(AND(M83="SELL-DAY",O83="VOL-OK",P83="ON",AA83="OK",AB83&lt;&gt;"UP"),"SELL","")))</f>
        <v/>
      </c>
      <c r="S83" s="13">
        <f>IF(R83="","",E83)</f>
        <v/>
      </c>
      <c r="T83" s="13">
        <f>IF(R83="","",IF(R83="BUY",E83-N83*1.5,E83+N83*1.5))</f>
        <v/>
      </c>
      <c r="U83" s="13">
        <f>IF(R83="","",IF(R83="BUY",E83+N83*1.5,E83-N83*1.5))</f>
        <v/>
      </c>
      <c r="V83" s="13">
        <f>IF(R83="","",IF(R83="BUY",E83+N83*2,E83-N83*2))</f>
        <v/>
      </c>
      <c r="W83" s="13">
        <f>IF(R83="","",IF(R83="BUY",E83+N83*3,E83-N83*3))</f>
        <v/>
      </c>
      <c r="X83" s="8">
        <f>IF(OR(E83="",N83&lt;=0),"",IF(AND(E83&gt;H83,ABS(E83-H83)&lt;N83*0.5),"2ND","1ST"))</f>
        <v/>
      </c>
      <c r="Y83" s="8">
        <f>IF(OR(E83="",N83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83" s="8">
        <f>IF(OR(E83="",N83&lt;=0),"",IF(N83&gt;E83*0.05,"VOL-HIGH","VOL-NORMAL"))</f>
        <v/>
      </c>
      <c r="AA83" s="8">
        <f>IF(OR(E83="",N83&lt;=0),"",IF(AND(O83="VOL-OK",Z83="VOL-NORMAL",X83="2ND"),"OK","NG"))</f>
        <v/>
      </c>
      <c r="AB83" s="8">
        <f>IF(OR(E83="",N83&lt;=0),"",IF(AND(F83&gt;J83,G83&gt;K83),"UP",IF(AND(F83&lt;J83,G83&lt;K83),"DOWN","FLAT")))</f>
        <v/>
      </c>
    </row>
    <row r="84" ht="26" customHeight="1" s="1">
      <c r="A84" s="14">
        <f>IF(C84="","",ROW()-2)</f>
        <v/>
      </c>
      <c r="B84" s="15">
        <f>IF('StockList_MS2'!A83="","",HYPERLINK("https://kabutan.jp/stock/?code="&amp;'StockList_MS2'!A83,"株探"))</f>
        <v/>
      </c>
      <c r="C84" s="14">
        <f>IF('StockList_MS2'!A83="","",'StockList_MS2'!A83)</f>
        <v/>
      </c>
      <c r="D84" s="16">
        <f>IF('StockList_MS2'!A83="","",'StockList_MS2'!B83)</f>
        <v/>
      </c>
      <c r="E84" s="17" t="n"/>
      <c r="F84" s="17" t="n"/>
      <c r="G84" s="17" t="n"/>
      <c r="H84" s="17" t="n"/>
      <c r="I84" s="18" t="n"/>
      <c r="J84" s="17" t="n"/>
      <c r="K84" s="17" t="n"/>
      <c r="L84" s="17" t="n"/>
      <c r="M84" s="14">
        <f>IF(E84="","",IF(E84&gt;L84,"BUY-DAY","SELL-DAY"))</f>
        <v/>
      </c>
      <c r="N84" s="19">
        <f>IF(E84="","",MAX(F84-G84,ABS(F84-L84),ABS(G84-L84)))</f>
        <v/>
      </c>
      <c r="O84" s="14">
        <f>IF(E84="","",IF(AND(I84&gt;0,I84&gt;(I84/3)*2.5),"VOL-OK","VOL-NG"))</f>
        <v/>
      </c>
      <c r="P84" s="14">
        <f>IF(E84="","",IF(E84&gt;J84,"ON","OFF"))</f>
        <v/>
      </c>
      <c r="Q84" s="14">
        <f>IF(E84="","",IF(E84&lt;K84,"ON","OFF"))</f>
        <v/>
      </c>
      <c r="R84" s="14">
        <f>IF(OR(E84="",N84&lt;=0),"",IF(AND(M84="BUY-DAY",O84="VOL-OK",Q84="ON",AA84="OK",AB84&lt;&gt;"DOWN"),"BUY",IF(AND(M84="SELL-DAY",O84="VOL-OK",P84="ON",AA84="OK",AB84&lt;&gt;"UP"),"SELL","")))</f>
        <v/>
      </c>
      <c r="S84" s="19">
        <f>IF(R84="","",E84)</f>
        <v/>
      </c>
      <c r="T84" s="19">
        <f>IF(R84="","",IF(R84="BUY",E84-N84*1.5,E84+N84*1.5))</f>
        <v/>
      </c>
      <c r="U84" s="19">
        <f>IF(R84="","",IF(R84="BUY",E84+N84*1.5,E84-N84*1.5))</f>
        <v/>
      </c>
      <c r="V84" s="19">
        <f>IF(R84="","",IF(R84="BUY",E84+N84*2,E84-N84*2))</f>
        <v/>
      </c>
      <c r="W84" s="19">
        <f>IF(R84="","",IF(R84="BUY",E84+N84*3,E84-N84*3))</f>
        <v/>
      </c>
      <c r="X84" s="14">
        <f>IF(OR(E84="",N84&lt;=0),"",IF(AND(E84&gt;H84,ABS(E84-H84)&lt;N84*0.5),"2ND","1ST"))</f>
        <v/>
      </c>
      <c r="Y84" s="14">
        <f>IF(OR(E84="",N84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84" s="14">
        <f>IF(OR(E84="",N84&lt;=0),"",IF(N84&gt;E84*0.05,"VOL-HIGH","VOL-NORMAL"))</f>
        <v/>
      </c>
      <c r="AA84" s="14">
        <f>IF(OR(E84="",N84&lt;=0),"",IF(AND(O84="VOL-OK",Z84="VOL-NORMAL",X84="2ND"),"OK","NG"))</f>
        <v/>
      </c>
      <c r="AB84" s="14">
        <f>IF(OR(E84="",N84&lt;=0),"",IF(AND(F84&gt;J84,G84&gt;K84),"UP",IF(AND(F84&lt;J84,G84&lt;K84),"DOWN","FLAT")))</f>
        <v/>
      </c>
    </row>
    <row r="85" ht="26" customHeight="1" s="1">
      <c r="A85" s="8">
        <f>IF(C85="","",ROW()-2)</f>
        <v/>
      </c>
      <c r="B85" s="9">
        <f>IF('StockList_MS2'!A84="","",HYPERLINK("https://kabutan.jp/stock/?code="&amp;'StockList_MS2'!A84,"株探"))</f>
        <v/>
      </c>
      <c r="C85" s="8">
        <f>IF('StockList_MS2'!A84="","",'StockList_MS2'!A84)</f>
        <v/>
      </c>
      <c r="D85" s="10">
        <f>IF('StockList_MS2'!A84="","",'StockList_MS2'!B84)</f>
        <v/>
      </c>
      <c r="E85" s="11" t="n"/>
      <c r="F85" s="11" t="n"/>
      <c r="G85" s="11" t="n"/>
      <c r="H85" s="11" t="n"/>
      <c r="I85" s="12" t="n"/>
      <c r="J85" s="11" t="n"/>
      <c r="K85" s="11" t="n"/>
      <c r="L85" s="11" t="n"/>
      <c r="M85" s="8">
        <f>IF(E85="","",IF(E85&gt;L85,"BUY-DAY","SELL-DAY"))</f>
        <v/>
      </c>
      <c r="N85" s="13">
        <f>IF(E85="","",MAX(F85-G85,ABS(F85-L85),ABS(G85-L85)))</f>
        <v/>
      </c>
      <c r="O85" s="8">
        <f>IF(E85="","",IF(AND(I85&gt;0,I85&gt;(I85/3)*2.5),"VOL-OK","VOL-NG"))</f>
        <v/>
      </c>
      <c r="P85" s="8">
        <f>IF(E85="","",IF(E85&gt;J85,"ON","OFF"))</f>
        <v/>
      </c>
      <c r="Q85" s="8">
        <f>IF(E85="","",IF(E85&lt;K85,"ON","OFF"))</f>
        <v/>
      </c>
      <c r="R85" s="8">
        <f>IF(OR(E85="",N85&lt;=0),"",IF(AND(M85="BUY-DAY",O85="VOL-OK",Q85="ON",AA85="OK",AB85&lt;&gt;"DOWN"),"BUY",IF(AND(M85="SELL-DAY",O85="VOL-OK",P85="ON",AA85="OK",AB85&lt;&gt;"UP"),"SELL","")))</f>
        <v/>
      </c>
      <c r="S85" s="13">
        <f>IF(R85="","",E85)</f>
        <v/>
      </c>
      <c r="T85" s="13">
        <f>IF(R85="","",IF(R85="BUY",E85-N85*1.5,E85+N85*1.5))</f>
        <v/>
      </c>
      <c r="U85" s="13">
        <f>IF(R85="","",IF(R85="BUY",E85+N85*1.5,E85-N85*1.5))</f>
        <v/>
      </c>
      <c r="V85" s="13">
        <f>IF(R85="","",IF(R85="BUY",E85+N85*2,E85-N85*2))</f>
        <v/>
      </c>
      <c r="W85" s="13">
        <f>IF(R85="","",IF(R85="BUY",E85+N85*3,E85-N85*3))</f>
        <v/>
      </c>
      <c r="X85" s="8">
        <f>IF(OR(E85="",N85&lt;=0),"",IF(AND(E85&gt;H85,ABS(E85-H85)&lt;N85*0.5),"2ND","1ST"))</f>
        <v/>
      </c>
      <c r="Y85" s="8">
        <f>IF(OR(E85="",N85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85" s="8">
        <f>IF(OR(E85="",N85&lt;=0),"",IF(N85&gt;E85*0.05,"VOL-HIGH","VOL-NORMAL"))</f>
        <v/>
      </c>
      <c r="AA85" s="8">
        <f>IF(OR(E85="",N85&lt;=0),"",IF(AND(O85="VOL-OK",Z85="VOL-NORMAL",X85="2ND"),"OK","NG"))</f>
        <v/>
      </c>
      <c r="AB85" s="8">
        <f>IF(OR(E85="",N85&lt;=0),"",IF(AND(F85&gt;J85,G85&gt;K85),"UP",IF(AND(F85&lt;J85,G85&lt;K85),"DOWN","FLAT")))</f>
        <v/>
      </c>
    </row>
    <row r="86" ht="26" customHeight="1" s="1">
      <c r="A86" s="14">
        <f>IF(C86="","",ROW()-2)</f>
        <v/>
      </c>
      <c r="B86" s="15">
        <f>IF('StockList_MS2'!A85="","",HYPERLINK("https://kabutan.jp/stock/?code="&amp;'StockList_MS2'!A85,"株探"))</f>
        <v/>
      </c>
      <c r="C86" s="14">
        <f>IF('StockList_MS2'!A85="","",'StockList_MS2'!A85)</f>
        <v/>
      </c>
      <c r="D86" s="16">
        <f>IF('StockList_MS2'!A85="","",'StockList_MS2'!B85)</f>
        <v/>
      </c>
      <c r="E86" s="17" t="n"/>
      <c r="F86" s="17" t="n"/>
      <c r="G86" s="17" t="n"/>
      <c r="H86" s="17" t="n"/>
      <c r="I86" s="18" t="n"/>
      <c r="J86" s="17" t="n"/>
      <c r="K86" s="17" t="n"/>
      <c r="L86" s="17" t="n"/>
      <c r="M86" s="14">
        <f>IF(E86="","",IF(E86&gt;L86,"BUY-DAY","SELL-DAY"))</f>
        <v/>
      </c>
      <c r="N86" s="19">
        <f>IF(E86="","",MAX(F86-G86,ABS(F86-L86),ABS(G86-L86)))</f>
        <v/>
      </c>
      <c r="O86" s="14">
        <f>IF(E86="","",IF(AND(I86&gt;0,I86&gt;(I86/3)*2.5),"VOL-OK","VOL-NG"))</f>
        <v/>
      </c>
      <c r="P86" s="14">
        <f>IF(E86="","",IF(E86&gt;J86,"ON","OFF"))</f>
        <v/>
      </c>
      <c r="Q86" s="14">
        <f>IF(E86="","",IF(E86&lt;K86,"ON","OFF"))</f>
        <v/>
      </c>
      <c r="R86" s="14">
        <f>IF(OR(E86="",N86&lt;=0),"",IF(AND(M86="BUY-DAY",O86="VOL-OK",Q86="ON",AA86="OK",AB86&lt;&gt;"DOWN"),"BUY",IF(AND(M86="SELL-DAY",O86="VOL-OK",P86="ON",AA86="OK",AB86&lt;&gt;"UP"),"SELL","")))</f>
        <v/>
      </c>
      <c r="S86" s="19">
        <f>IF(R86="","",E86)</f>
        <v/>
      </c>
      <c r="T86" s="19">
        <f>IF(R86="","",IF(R86="BUY",E86-N86*1.5,E86+N86*1.5))</f>
        <v/>
      </c>
      <c r="U86" s="19">
        <f>IF(R86="","",IF(R86="BUY",E86+N86*1.5,E86-N86*1.5))</f>
        <v/>
      </c>
      <c r="V86" s="19">
        <f>IF(R86="","",IF(R86="BUY",E86+N86*2,E86-N86*2))</f>
        <v/>
      </c>
      <c r="W86" s="19">
        <f>IF(R86="","",IF(R86="BUY",E86+N86*3,E86-N86*3))</f>
        <v/>
      </c>
      <c r="X86" s="14">
        <f>IF(OR(E86="",N86&lt;=0),"",IF(AND(E86&gt;H86,ABS(E86-H86)&lt;N86*0.5),"2ND","1ST"))</f>
        <v/>
      </c>
      <c r="Y86" s="14">
        <f>IF(OR(E86="",N86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86" s="14">
        <f>IF(OR(E86="",N86&lt;=0),"",IF(N86&gt;E86*0.05,"VOL-HIGH","VOL-NORMAL"))</f>
        <v/>
      </c>
      <c r="AA86" s="14">
        <f>IF(OR(E86="",N86&lt;=0),"",IF(AND(O86="VOL-OK",Z86="VOL-NORMAL",X86="2ND"),"OK","NG"))</f>
        <v/>
      </c>
      <c r="AB86" s="14">
        <f>IF(OR(E86="",N86&lt;=0),"",IF(AND(F86&gt;J86,G86&gt;K86),"UP",IF(AND(F86&lt;J86,G86&lt;K86),"DOWN","FLAT")))</f>
        <v/>
      </c>
    </row>
    <row r="87" ht="26" customHeight="1" s="1">
      <c r="A87" s="8">
        <f>IF(C87="","",ROW()-2)</f>
        <v/>
      </c>
      <c r="B87" s="9">
        <f>IF('StockList_MS2'!A86="","",HYPERLINK("https://kabutan.jp/stock/?code="&amp;'StockList_MS2'!A86,"株探"))</f>
        <v/>
      </c>
      <c r="C87" s="8">
        <f>IF('StockList_MS2'!A86="","",'StockList_MS2'!A86)</f>
        <v/>
      </c>
      <c r="D87" s="10">
        <f>IF('StockList_MS2'!A86="","",'StockList_MS2'!B86)</f>
        <v/>
      </c>
      <c r="E87" s="11" t="n"/>
      <c r="F87" s="11" t="n"/>
      <c r="G87" s="11" t="n"/>
      <c r="H87" s="11" t="n"/>
      <c r="I87" s="12" t="n"/>
      <c r="J87" s="11" t="n"/>
      <c r="K87" s="11" t="n"/>
      <c r="L87" s="11" t="n"/>
      <c r="M87" s="8">
        <f>IF(E87="","",IF(E87&gt;L87,"BUY-DAY","SELL-DAY"))</f>
        <v/>
      </c>
      <c r="N87" s="13">
        <f>IF(E87="","",MAX(F87-G87,ABS(F87-L87),ABS(G87-L87)))</f>
        <v/>
      </c>
      <c r="O87" s="8">
        <f>IF(E87="","",IF(AND(I87&gt;0,I87&gt;(I87/3)*2.5),"VOL-OK","VOL-NG"))</f>
        <v/>
      </c>
      <c r="P87" s="8">
        <f>IF(E87="","",IF(E87&gt;J87,"ON","OFF"))</f>
        <v/>
      </c>
      <c r="Q87" s="8">
        <f>IF(E87="","",IF(E87&lt;K87,"ON","OFF"))</f>
        <v/>
      </c>
      <c r="R87" s="8">
        <f>IF(OR(E87="",N87&lt;=0),"",IF(AND(M87="BUY-DAY",O87="VOL-OK",Q87="ON",AA87="OK",AB87&lt;&gt;"DOWN"),"BUY",IF(AND(M87="SELL-DAY",O87="VOL-OK",P87="ON",AA87="OK",AB87&lt;&gt;"UP"),"SELL","")))</f>
        <v/>
      </c>
      <c r="S87" s="13">
        <f>IF(R87="","",E87)</f>
        <v/>
      </c>
      <c r="T87" s="13">
        <f>IF(R87="","",IF(R87="BUY",E87-N87*1.5,E87+N87*1.5))</f>
        <v/>
      </c>
      <c r="U87" s="13">
        <f>IF(R87="","",IF(R87="BUY",E87+N87*1.5,E87-N87*1.5))</f>
        <v/>
      </c>
      <c r="V87" s="13">
        <f>IF(R87="","",IF(R87="BUY",E87+N87*2,E87-N87*2))</f>
        <v/>
      </c>
      <c r="W87" s="13">
        <f>IF(R87="","",IF(R87="BUY",E87+N87*3,E87-N87*3))</f>
        <v/>
      </c>
      <c r="X87" s="8">
        <f>IF(OR(E87="",N87&lt;=0),"",IF(AND(E87&gt;H87,ABS(E87-H87)&lt;N87*0.5),"2ND","1ST"))</f>
        <v/>
      </c>
      <c r="Y87" s="8">
        <f>IF(OR(E87="",N87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87" s="8">
        <f>IF(OR(E87="",N87&lt;=0),"",IF(N87&gt;E87*0.05,"VOL-HIGH","VOL-NORMAL"))</f>
        <v/>
      </c>
      <c r="AA87" s="8">
        <f>IF(OR(E87="",N87&lt;=0),"",IF(AND(O87="VOL-OK",Z87="VOL-NORMAL",X87="2ND"),"OK","NG"))</f>
        <v/>
      </c>
      <c r="AB87" s="8">
        <f>IF(OR(E87="",N87&lt;=0),"",IF(AND(F87&gt;J87,G87&gt;K87),"UP",IF(AND(F87&lt;J87,G87&lt;K87),"DOWN","FLAT")))</f>
        <v/>
      </c>
    </row>
    <row r="88" ht="26" customHeight="1" s="1">
      <c r="A88" s="14">
        <f>IF(C88="","",ROW()-2)</f>
        <v/>
      </c>
      <c r="B88" s="15">
        <f>IF('StockList_MS2'!A87="","",HYPERLINK("https://kabutan.jp/stock/?code="&amp;'StockList_MS2'!A87,"株探"))</f>
        <v/>
      </c>
      <c r="C88" s="14">
        <f>IF('StockList_MS2'!A87="","",'StockList_MS2'!A87)</f>
        <v/>
      </c>
      <c r="D88" s="16">
        <f>IF('StockList_MS2'!A87="","",'StockList_MS2'!B87)</f>
        <v/>
      </c>
      <c r="E88" s="17" t="n"/>
      <c r="F88" s="17" t="n"/>
      <c r="G88" s="17" t="n"/>
      <c r="H88" s="17" t="n"/>
      <c r="I88" s="18" t="n"/>
      <c r="J88" s="17" t="n"/>
      <c r="K88" s="17" t="n"/>
      <c r="L88" s="17" t="n"/>
      <c r="M88" s="14">
        <f>IF(E88="","",IF(E88&gt;L88,"BUY-DAY","SELL-DAY"))</f>
        <v/>
      </c>
      <c r="N88" s="19">
        <f>IF(E88="","",MAX(F88-G88,ABS(F88-L88),ABS(G88-L88)))</f>
        <v/>
      </c>
      <c r="O88" s="14">
        <f>IF(E88="","",IF(AND(I88&gt;0,I88&gt;(I88/3)*2.5),"VOL-OK","VOL-NG"))</f>
        <v/>
      </c>
      <c r="P88" s="14">
        <f>IF(E88="","",IF(E88&gt;J88,"ON","OFF"))</f>
        <v/>
      </c>
      <c r="Q88" s="14">
        <f>IF(E88="","",IF(E88&lt;K88,"ON","OFF"))</f>
        <v/>
      </c>
      <c r="R88" s="14">
        <f>IF(OR(E88="",N88&lt;=0),"",IF(AND(M88="BUY-DAY",O88="VOL-OK",Q88="ON",AA88="OK",AB88&lt;&gt;"DOWN"),"BUY",IF(AND(M88="SELL-DAY",O88="VOL-OK",P88="ON",AA88="OK",AB88&lt;&gt;"UP"),"SELL","")))</f>
        <v/>
      </c>
      <c r="S88" s="19">
        <f>IF(R88="","",E88)</f>
        <v/>
      </c>
      <c r="T88" s="19">
        <f>IF(R88="","",IF(R88="BUY",E88-N88*1.5,E88+N88*1.5))</f>
        <v/>
      </c>
      <c r="U88" s="19">
        <f>IF(R88="","",IF(R88="BUY",E88+N88*1.5,E88-N88*1.5))</f>
        <v/>
      </c>
      <c r="V88" s="19">
        <f>IF(R88="","",IF(R88="BUY",E88+N88*2,E88-N88*2))</f>
        <v/>
      </c>
      <c r="W88" s="19">
        <f>IF(R88="","",IF(R88="BUY",E88+N88*3,E88-N88*3))</f>
        <v/>
      </c>
      <c r="X88" s="14">
        <f>IF(OR(E88="",N88&lt;=0),"",IF(AND(E88&gt;H88,ABS(E88-H88)&lt;N88*0.5),"2ND","1ST"))</f>
        <v/>
      </c>
      <c r="Y88" s="14">
        <f>IF(OR(E88="",N88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88" s="14">
        <f>IF(OR(E88="",N88&lt;=0),"",IF(N88&gt;E88*0.05,"VOL-HIGH","VOL-NORMAL"))</f>
        <v/>
      </c>
      <c r="AA88" s="14">
        <f>IF(OR(E88="",N88&lt;=0),"",IF(AND(O88="VOL-OK",Z88="VOL-NORMAL",X88="2ND"),"OK","NG"))</f>
        <v/>
      </c>
      <c r="AB88" s="14">
        <f>IF(OR(E88="",N88&lt;=0),"",IF(AND(F88&gt;J88,G88&gt;K88),"UP",IF(AND(F88&lt;J88,G88&lt;K88),"DOWN","FLAT")))</f>
        <v/>
      </c>
    </row>
    <row r="89" ht="26" customHeight="1" s="1">
      <c r="A89" s="8">
        <f>IF(C89="","",ROW()-2)</f>
        <v/>
      </c>
      <c r="B89" s="9">
        <f>IF('StockList_MS2'!A88="","",HYPERLINK("https://kabutan.jp/stock/?code="&amp;'StockList_MS2'!A88,"株探"))</f>
        <v/>
      </c>
      <c r="C89" s="8">
        <f>IF('StockList_MS2'!A88="","",'StockList_MS2'!A88)</f>
        <v/>
      </c>
      <c r="D89" s="10">
        <f>IF('StockList_MS2'!A88="","",'StockList_MS2'!B88)</f>
        <v/>
      </c>
      <c r="E89" s="11" t="n"/>
      <c r="F89" s="11" t="n"/>
      <c r="G89" s="11" t="n"/>
      <c r="H89" s="11" t="n"/>
      <c r="I89" s="12" t="n"/>
      <c r="J89" s="11" t="n"/>
      <c r="K89" s="11" t="n"/>
      <c r="L89" s="11" t="n"/>
      <c r="M89" s="8">
        <f>IF(E89="","",IF(E89&gt;L89,"BUY-DAY","SELL-DAY"))</f>
        <v/>
      </c>
      <c r="N89" s="13">
        <f>IF(E89="","",MAX(F89-G89,ABS(F89-L89),ABS(G89-L89)))</f>
        <v/>
      </c>
      <c r="O89" s="8">
        <f>IF(E89="","",IF(AND(I89&gt;0,I89&gt;(I89/3)*2.5),"VOL-OK","VOL-NG"))</f>
        <v/>
      </c>
      <c r="P89" s="8">
        <f>IF(E89="","",IF(E89&gt;J89,"ON","OFF"))</f>
        <v/>
      </c>
      <c r="Q89" s="8">
        <f>IF(E89="","",IF(E89&lt;K89,"ON","OFF"))</f>
        <v/>
      </c>
      <c r="R89" s="8">
        <f>IF(OR(E89="",N89&lt;=0),"",IF(AND(M89="BUY-DAY",O89="VOL-OK",Q89="ON",AA89="OK",AB89&lt;&gt;"DOWN"),"BUY",IF(AND(M89="SELL-DAY",O89="VOL-OK",P89="ON",AA89="OK",AB89&lt;&gt;"UP"),"SELL","")))</f>
        <v/>
      </c>
      <c r="S89" s="13">
        <f>IF(R89="","",E89)</f>
        <v/>
      </c>
      <c r="T89" s="13">
        <f>IF(R89="","",IF(R89="BUY",E89-N89*1.5,E89+N89*1.5))</f>
        <v/>
      </c>
      <c r="U89" s="13">
        <f>IF(R89="","",IF(R89="BUY",E89+N89*1.5,E89-N89*1.5))</f>
        <v/>
      </c>
      <c r="V89" s="13">
        <f>IF(R89="","",IF(R89="BUY",E89+N89*2,E89-N89*2))</f>
        <v/>
      </c>
      <c r="W89" s="13">
        <f>IF(R89="","",IF(R89="BUY",E89+N89*3,E89-N89*3))</f>
        <v/>
      </c>
      <c r="X89" s="8">
        <f>IF(OR(E89="",N89&lt;=0),"",IF(AND(E89&gt;H89,ABS(E89-H89)&lt;N89*0.5),"2ND","1ST"))</f>
        <v/>
      </c>
      <c r="Y89" s="8">
        <f>IF(OR(E89="",N89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89" s="8">
        <f>IF(OR(E89="",N89&lt;=0),"",IF(N89&gt;E89*0.05,"VOL-HIGH","VOL-NORMAL"))</f>
        <v/>
      </c>
      <c r="AA89" s="8">
        <f>IF(OR(E89="",N89&lt;=0),"",IF(AND(O89="VOL-OK",Z89="VOL-NORMAL",X89="2ND"),"OK","NG"))</f>
        <v/>
      </c>
      <c r="AB89" s="8">
        <f>IF(OR(E89="",N89&lt;=0),"",IF(AND(F89&gt;J89,G89&gt;K89),"UP",IF(AND(F89&lt;J89,G89&lt;K89),"DOWN","FLAT")))</f>
        <v/>
      </c>
    </row>
    <row r="90" ht="26" customHeight="1" s="1">
      <c r="A90" s="14">
        <f>IF(C90="","",ROW()-2)</f>
        <v/>
      </c>
      <c r="B90" s="15">
        <f>IF('StockList_MS2'!A89="","",HYPERLINK("https://kabutan.jp/stock/?code="&amp;'StockList_MS2'!A89,"株探"))</f>
        <v/>
      </c>
      <c r="C90" s="14">
        <f>IF('StockList_MS2'!A89="","",'StockList_MS2'!A89)</f>
        <v/>
      </c>
      <c r="D90" s="16">
        <f>IF('StockList_MS2'!A89="","",'StockList_MS2'!B89)</f>
        <v/>
      </c>
      <c r="E90" s="17" t="n"/>
      <c r="F90" s="17" t="n"/>
      <c r="G90" s="17" t="n"/>
      <c r="H90" s="17" t="n"/>
      <c r="I90" s="18" t="n"/>
      <c r="J90" s="17" t="n"/>
      <c r="K90" s="17" t="n"/>
      <c r="L90" s="17" t="n"/>
      <c r="M90" s="14">
        <f>IF(E90="","",IF(E90&gt;L90,"BUY-DAY","SELL-DAY"))</f>
        <v/>
      </c>
      <c r="N90" s="19">
        <f>IF(E90="","",MAX(F90-G90,ABS(F90-L90),ABS(G90-L90)))</f>
        <v/>
      </c>
      <c r="O90" s="14">
        <f>IF(E90="","",IF(AND(I90&gt;0,I90&gt;(I90/3)*2.5),"VOL-OK","VOL-NG"))</f>
        <v/>
      </c>
      <c r="P90" s="14">
        <f>IF(E90="","",IF(E90&gt;J90,"ON","OFF"))</f>
        <v/>
      </c>
      <c r="Q90" s="14">
        <f>IF(E90="","",IF(E90&lt;K90,"ON","OFF"))</f>
        <v/>
      </c>
      <c r="R90" s="14">
        <f>IF(OR(E90="",N90&lt;=0),"",IF(AND(M90="BUY-DAY",O90="VOL-OK",Q90="ON",AA90="OK",AB90&lt;&gt;"DOWN"),"BUY",IF(AND(M90="SELL-DAY",O90="VOL-OK",P90="ON",AA90="OK",AB90&lt;&gt;"UP"),"SELL","")))</f>
        <v/>
      </c>
      <c r="S90" s="19">
        <f>IF(R90="","",E90)</f>
        <v/>
      </c>
      <c r="T90" s="19">
        <f>IF(R90="","",IF(R90="BUY",E90-N90*1.5,E90+N90*1.5))</f>
        <v/>
      </c>
      <c r="U90" s="19">
        <f>IF(R90="","",IF(R90="BUY",E90+N90*1.5,E90-N90*1.5))</f>
        <v/>
      </c>
      <c r="V90" s="19">
        <f>IF(R90="","",IF(R90="BUY",E90+N90*2,E90-N90*2))</f>
        <v/>
      </c>
      <c r="W90" s="19">
        <f>IF(R90="","",IF(R90="BUY",E90+N90*3,E90-N90*3))</f>
        <v/>
      </c>
      <c r="X90" s="14">
        <f>IF(OR(E90="",N90&lt;=0),"",IF(AND(E90&gt;H90,ABS(E90-H90)&lt;N90*0.5),"2ND","1ST"))</f>
        <v/>
      </c>
      <c r="Y90" s="14">
        <f>IF(OR(E90="",N90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90" s="14">
        <f>IF(OR(E90="",N90&lt;=0),"",IF(N90&gt;E90*0.05,"VOL-HIGH","VOL-NORMAL"))</f>
        <v/>
      </c>
      <c r="AA90" s="14">
        <f>IF(OR(E90="",N90&lt;=0),"",IF(AND(O90="VOL-OK",Z90="VOL-NORMAL",X90="2ND"),"OK","NG"))</f>
        <v/>
      </c>
      <c r="AB90" s="14">
        <f>IF(OR(E90="",N90&lt;=0),"",IF(AND(F90&gt;J90,G90&gt;K90),"UP",IF(AND(F90&lt;J90,G90&lt;K90),"DOWN","FLAT")))</f>
        <v/>
      </c>
    </row>
    <row r="91" ht="26" customHeight="1" s="1">
      <c r="A91" s="8">
        <f>IF(C91="","",ROW()-2)</f>
        <v/>
      </c>
      <c r="B91" s="9">
        <f>IF('StockList_MS2'!A90="","",HYPERLINK("https://kabutan.jp/stock/?code="&amp;'StockList_MS2'!A90,"株探"))</f>
        <v/>
      </c>
      <c r="C91" s="8">
        <f>IF('StockList_MS2'!A90="","",'StockList_MS2'!A90)</f>
        <v/>
      </c>
      <c r="D91" s="10">
        <f>IF('StockList_MS2'!A90="","",'StockList_MS2'!B90)</f>
        <v/>
      </c>
      <c r="E91" s="11" t="n"/>
      <c r="F91" s="11" t="n"/>
      <c r="G91" s="11" t="n"/>
      <c r="H91" s="11" t="n"/>
      <c r="I91" s="12" t="n"/>
      <c r="J91" s="11" t="n"/>
      <c r="K91" s="11" t="n"/>
      <c r="L91" s="11" t="n"/>
      <c r="M91" s="8">
        <f>IF(E91="","",IF(E91&gt;L91,"BUY-DAY","SELL-DAY"))</f>
        <v/>
      </c>
      <c r="N91" s="13">
        <f>IF(E91="","",MAX(F91-G91,ABS(F91-L91),ABS(G91-L91)))</f>
        <v/>
      </c>
      <c r="O91" s="8">
        <f>IF(E91="","",IF(AND(I91&gt;0,I91&gt;(I91/3)*2.5),"VOL-OK","VOL-NG"))</f>
        <v/>
      </c>
      <c r="P91" s="8">
        <f>IF(E91="","",IF(E91&gt;J91,"ON","OFF"))</f>
        <v/>
      </c>
      <c r="Q91" s="8">
        <f>IF(E91="","",IF(E91&lt;K91,"ON","OFF"))</f>
        <v/>
      </c>
      <c r="R91" s="8">
        <f>IF(OR(E91="",N91&lt;=0),"",IF(AND(M91="BUY-DAY",O91="VOL-OK",Q91="ON",AA91="OK",AB91&lt;&gt;"DOWN"),"BUY",IF(AND(M91="SELL-DAY",O91="VOL-OK",P91="ON",AA91="OK",AB91&lt;&gt;"UP"),"SELL","")))</f>
        <v/>
      </c>
      <c r="S91" s="13">
        <f>IF(R91="","",E91)</f>
        <v/>
      </c>
      <c r="T91" s="13">
        <f>IF(R91="","",IF(R91="BUY",E91-N91*1.5,E91+N91*1.5))</f>
        <v/>
      </c>
      <c r="U91" s="13">
        <f>IF(R91="","",IF(R91="BUY",E91+N91*1.5,E91-N91*1.5))</f>
        <v/>
      </c>
      <c r="V91" s="13">
        <f>IF(R91="","",IF(R91="BUY",E91+N91*2,E91-N91*2))</f>
        <v/>
      </c>
      <c r="W91" s="13">
        <f>IF(R91="","",IF(R91="BUY",E91+N91*3,E91-N91*3))</f>
        <v/>
      </c>
      <c r="X91" s="8">
        <f>IF(OR(E91="",N91&lt;=0),"",IF(AND(E91&gt;H91,ABS(E91-H91)&lt;N91*0.5),"2ND","1ST"))</f>
        <v/>
      </c>
      <c r="Y91" s="8">
        <f>IF(OR(E91="",N91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91" s="8">
        <f>IF(OR(E91="",N91&lt;=0),"",IF(N91&gt;E91*0.05,"VOL-HIGH","VOL-NORMAL"))</f>
        <v/>
      </c>
      <c r="AA91" s="8">
        <f>IF(OR(E91="",N91&lt;=0),"",IF(AND(O91="VOL-OK",Z91="VOL-NORMAL",X91="2ND"),"OK","NG"))</f>
        <v/>
      </c>
      <c r="AB91" s="8">
        <f>IF(OR(E91="",N91&lt;=0),"",IF(AND(F91&gt;J91,G91&gt;K91),"UP",IF(AND(F91&lt;J91,G91&lt;K91),"DOWN","FLAT")))</f>
        <v/>
      </c>
    </row>
    <row r="92" ht="26" customHeight="1" s="1">
      <c r="A92" s="14">
        <f>IF(C92="","",ROW()-2)</f>
        <v/>
      </c>
      <c r="B92" s="15">
        <f>IF('StockList_MS2'!A91="","",HYPERLINK("https://kabutan.jp/stock/?code="&amp;'StockList_MS2'!A91,"株探"))</f>
        <v/>
      </c>
      <c r="C92" s="14">
        <f>IF('StockList_MS2'!A91="","",'StockList_MS2'!A91)</f>
        <v/>
      </c>
      <c r="D92" s="16">
        <f>IF('StockList_MS2'!A91="","",'StockList_MS2'!B91)</f>
        <v/>
      </c>
      <c r="E92" s="17" t="n"/>
      <c r="F92" s="17" t="n"/>
      <c r="G92" s="17" t="n"/>
      <c r="H92" s="17" t="n"/>
      <c r="I92" s="18" t="n"/>
      <c r="J92" s="17" t="n"/>
      <c r="K92" s="17" t="n"/>
      <c r="L92" s="17" t="n"/>
      <c r="M92" s="14">
        <f>IF(E92="","",IF(E92&gt;L92,"BUY-DAY","SELL-DAY"))</f>
        <v/>
      </c>
      <c r="N92" s="19">
        <f>IF(E92="","",MAX(F92-G92,ABS(F92-L92),ABS(G92-L92)))</f>
        <v/>
      </c>
      <c r="O92" s="14">
        <f>IF(E92="","",IF(AND(I92&gt;0,I92&gt;(I92/3)*2.5),"VOL-OK","VOL-NG"))</f>
        <v/>
      </c>
      <c r="P92" s="14">
        <f>IF(E92="","",IF(E92&gt;J92,"ON","OFF"))</f>
        <v/>
      </c>
      <c r="Q92" s="14">
        <f>IF(E92="","",IF(E92&lt;K92,"ON","OFF"))</f>
        <v/>
      </c>
      <c r="R92" s="14">
        <f>IF(OR(E92="",N92&lt;=0),"",IF(AND(M92="BUY-DAY",O92="VOL-OK",Q92="ON",AA92="OK",AB92&lt;&gt;"DOWN"),"BUY",IF(AND(M92="SELL-DAY",O92="VOL-OK",P92="ON",AA92="OK",AB92&lt;&gt;"UP"),"SELL","")))</f>
        <v/>
      </c>
      <c r="S92" s="19">
        <f>IF(R92="","",E92)</f>
        <v/>
      </c>
      <c r="T92" s="19">
        <f>IF(R92="","",IF(R92="BUY",E92-N92*1.5,E92+N92*1.5))</f>
        <v/>
      </c>
      <c r="U92" s="19">
        <f>IF(R92="","",IF(R92="BUY",E92+N92*1.5,E92-N92*1.5))</f>
        <v/>
      </c>
      <c r="V92" s="19">
        <f>IF(R92="","",IF(R92="BUY",E92+N92*2,E92-N92*2))</f>
        <v/>
      </c>
      <c r="W92" s="19">
        <f>IF(R92="","",IF(R92="BUY",E92+N92*3,E92-N92*3))</f>
        <v/>
      </c>
      <c r="X92" s="14">
        <f>IF(OR(E92="",N92&lt;=0),"",IF(AND(E92&gt;H92,ABS(E92-H92)&lt;N92*0.5),"2ND","1ST"))</f>
        <v/>
      </c>
      <c r="Y92" s="14">
        <f>IF(OR(E92="",N92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92" s="14">
        <f>IF(OR(E92="",N92&lt;=0),"",IF(N92&gt;E92*0.05,"VOL-HIGH","VOL-NORMAL"))</f>
        <v/>
      </c>
      <c r="AA92" s="14">
        <f>IF(OR(E92="",N92&lt;=0),"",IF(AND(O92="VOL-OK",Z92="VOL-NORMAL",X92="2ND"),"OK","NG"))</f>
        <v/>
      </c>
      <c r="AB92" s="14">
        <f>IF(OR(E92="",N92&lt;=0),"",IF(AND(F92&gt;J92,G92&gt;K92),"UP",IF(AND(F92&lt;J92,G92&lt;K92),"DOWN","FLAT")))</f>
        <v/>
      </c>
    </row>
    <row r="93" ht="26" customHeight="1" s="1">
      <c r="A93" s="8">
        <f>IF(C93="","",ROW()-2)</f>
        <v/>
      </c>
      <c r="B93" s="9">
        <f>IF('StockList_MS2'!A92="","",HYPERLINK("https://kabutan.jp/stock/?code="&amp;'StockList_MS2'!A92,"株探"))</f>
        <v/>
      </c>
      <c r="C93" s="8">
        <f>IF('StockList_MS2'!A92="","",'StockList_MS2'!A92)</f>
        <v/>
      </c>
      <c r="D93" s="10">
        <f>IF('StockList_MS2'!A92="","",'StockList_MS2'!B92)</f>
        <v/>
      </c>
      <c r="E93" s="11" t="n"/>
      <c r="F93" s="11" t="n"/>
      <c r="G93" s="11" t="n"/>
      <c r="H93" s="11" t="n"/>
      <c r="I93" s="12" t="n"/>
      <c r="J93" s="11" t="n"/>
      <c r="K93" s="11" t="n"/>
      <c r="L93" s="11" t="n"/>
      <c r="M93" s="8">
        <f>IF(E93="","",IF(E93&gt;L93,"BUY-DAY","SELL-DAY"))</f>
        <v/>
      </c>
      <c r="N93" s="13">
        <f>IF(E93="","",MAX(F93-G93,ABS(F93-L93),ABS(G93-L93)))</f>
        <v/>
      </c>
      <c r="O93" s="8">
        <f>IF(E93="","",IF(AND(I93&gt;0,I93&gt;(I93/3)*2.5),"VOL-OK","VOL-NG"))</f>
        <v/>
      </c>
      <c r="P93" s="8">
        <f>IF(E93="","",IF(E93&gt;J93,"ON","OFF"))</f>
        <v/>
      </c>
      <c r="Q93" s="8">
        <f>IF(E93="","",IF(E93&lt;K93,"ON","OFF"))</f>
        <v/>
      </c>
      <c r="R93" s="8">
        <f>IF(OR(E93="",N93&lt;=0),"",IF(AND(M93="BUY-DAY",O93="VOL-OK",Q93="ON",AA93="OK",AB93&lt;&gt;"DOWN"),"BUY",IF(AND(M93="SELL-DAY",O93="VOL-OK",P93="ON",AA93="OK",AB93&lt;&gt;"UP"),"SELL","")))</f>
        <v/>
      </c>
      <c r="S93" s="13">
        <f>IF(R93="","",E93)</f>
        <v/>
      </c>
      <c r="T93" s="13">
        <f>IF(R93="","",IF(R93="BUY",E93-N93*1.5,E93+N93*1.5))</f>
        <v/>
      </c>
      <c r="U93" s="13">
        <f>IF(R93="","",IF(R93="BUY",E93+N93*1.5,E93-N93*1.5))</f>
        <v/>
      </c>
      <c r="V93" s="13">
        <f>IF(R93="","",IF(R93="BUY",E93+N93*2,E93-N93*2))</f>
        <v/>
      </c>
      <c r="W93" s="13">
        <f>IF(R93="","",IF(R93="BUY",E93+N93*3,E93-N93*3))</f>
        <v/>
      </c>
      <c r="X93" s="8">
        <f>IF(OR(E93="",N93&lt;=0),"",IF(AND(E93&gt;H93,ABS(E93-H93)&lt;N93*0.5),"2ND","1ST"))</f>
        <v/>
      </c>
      <c r="Y93" s="8">
        <f>IF(OR(E93="",N93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93" s="8">
        <f>IF(OR(E93="",N93&lt;=0),"",IF(N93&gt;E93*0.05,"VOL-HIGH","VOL-NORMAL"))</f>
        <v/>
      </c>
      <c r="AA93" s="8">
        <f>IF(OR(E93="",N93&lt;=0),"",IF(AND(O93="VOL-OK",Z93="VOL-NORMAL",X93="2ND"),"OK","NG"))</f>
        <v/>
      </c>
      <c r="AB93" s="8">
        <f>IF(OR(E93="",N93&lt;=0),"",IF(AND(F93&gt;J93,G93&gt;K93),"UP",IF(AND(F93&lt;J93,G93&lt;K93),"DOWN","FLAT")))</f>
        <v/>
      </c>
    </row>
    <row r="94" ht="26" customHeight="1" s="1">
      <c r="A94" s="14">
        <f>IF(C94="","",ROW()-2)</f>
        <v/>
      </c>
      <c r="B94" s="15">
        <f>IF('StockList_MS2'!A93="","",HYPERLINK("https://kabutan.jp/stock/?code="&amp;'StockList_MS2'!A93,"株探"))</f>
        <v/>
      </c>
      <c r="C94" s="14">
        <f>IF('StockList_MS2'!A93="","",'StockList_MS2'!A93)</f>
        <v/>
      </c>
      <c r="D94" s="16">
        <f>IF('StockList_MS2'!A93="","",'StockList_MS2'!B93)</f>
        <v/>
      </c>
      <c r="E94" s="17" t="n"/>
      <c r="F94" s="17" t="n"/>
      <c r="G94" s="17" t="n"/>
      <c r="H94" s="17" t="n"/>
      <c r="I94" s="18" t="n"/>
      <c r="J94" s="17" t="n"/>
      <c r="K94" s="17" t="n"/>
      <c r="L94" s="17" t="n"/>
      <c r="M94" s="14">
        <f>IF(E94="","",IF(E94&gt;L94,"BUY-DAY","SELL-DAY"))</f>
        <v/>
      </c>
      <c r="N94" s="19">
        <f>IF(E94="","",MAX(F94-G94,ABS(F94-L94),ABS(G94-L94)))</f>
        <v/>
      </c>
      <c r="O94" s="14">
        <f>IF(E94="","",IF(AND(I94&gt;0,I94&gt;(I94/3)*2.5),"VOL-OK","VOL-NG"))</f>
        <v/>
      </c>
      <c r="P94" s="14">
        <f>IF(E94="","",IF(E94&gt;J94,"ON","OFF"))</f>
        <v/>
      </c>
      <c r="Q94" s="14">
        <f>IF(E94="","",IF(E94&lt;K94,"ON","OFF"))</f>
        <v/>
      </c>
      <c r="R94" s="14">
        <f>IF(OR(E94="",N94&lt;=0),"",IF(AND(M94="BUY-DAY",O94="VOL-OK",Q94="ON",AA94="OK",AB94&lt;&gt;"DOWN"),"BUY",IF(AND(M94="SELL-DAY",O94="VOL-OK",P94="ON",AA94="OK",AB94&lt;&gt;"UP"),"SELL","")))</f>
        <v/>
      </c>
      <c r="S94" s="19">
        <f>IF(R94="","",E94)</f>
        <v/>
      </c>
      <c r="T94" s="19">
        <f>IF(R94="","",IF(R94="BUY",E94-N94*1.5,E94+N94*1.5))</f>
        <v/>
      </c>
      <c r="U94" s="19">
        <f>IF(R94="","",IF(R94="BUY",E94+N94*1.5,E94-N94*1.5))</f>
        <v/>
      </c>
      <c r="V94" s="19">
        <f>IF(R94="","",IF(R94="BUY",E94+N94*2,E94-N94*2))</f>
        <v/>
      </c>
      <c r="W94" s="19">
        <f>IF(R94="","",IF(R94="BUY",E94+N94*3,E94-N94*3))</f>
        <v/>
      </c>
      <c r="X94" s="14">
        <f>IF(OR(E94="",N94&lt;=0),"",IF(AND(E94&gt;H94,ABS(E94-H94)&lt;N94*0.5),"2ND","1ST"))</f>
        <v/>
      </c>
      <c r="Y94" s="14">
        <f>IF(OR(E94="",N94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94" s="14">
        <f>IF(OR(E94="",N94&lt;=0),"",IF(N94&gt;E94*0.05,"VOL-HIGH","VOL-NORMAL"))</f>
        <v/>
      </c>
      <c r="AA94" s="14">
        <f>IF(OR(E94="",N94&lt;=0),"",IF(AND(O94="VOL-OK",Z94="VOL-NORMAL",X94="2ND"),"OK","NG"))</f>
        <v/>
      </c>
      <c r="AB94" s="14">
        <f>IF(OR(E94="",N94&lt;=0),"",IF(AND(F94&gt;J94,G94&gt;K94),"UP",IF(AND(F94&lt;J94,G94&lt;K94),"DOWN","FLAT")))</f>
        <v/>
      </c>
    </row>
    <row r="95" ht="26" customHeight="1" s="1">
      <c r="A95" s="8">
        <f>IF(C95="","",ROW()-2)</f>
        <v/>
      </c>
      <c r="B95" s="9">
        <f>IF('StockList_MS2'!A94="","",HYPERLINK("https://kabutan.jp/stock/?code="&amp;'StockList_MS2'!A94,"株探"))</f>
        <v/>
      </c>
      <c r="C95" s="8">
        <f>IF('StockList_MS2'!A94="","",'StockList_MS2'!A94)</f>
        <v/>
      </c>
      <c r="D95" s="10">
        <f>IF('StockList_MS2'!A94="","",'StockList_MS2'!B94)</f>
        <v/>
      </c>
      <c r="E95" s="11" t="n"/>
      <c r="F95" s="11" t="n"/>
      <c r="G95" s="11" t="n"/>
      <c r="H95" s="11" t="n"/>
      <c r="I95" s="12" t="n"/>
      <c r="J95" s="11" t="n"/>
      <c r="K95" s="11" t="n"/>
      <c r="L95" s="11" t="n"/>
      <c r="M95" s="8">
        <f>IF(E95="","",IF(E95&gt;L95,"BUY-DAY","SELL-DAY"))</f>
        <v/>
      </c>
      <c r="N95" s="13">
        <f>IF(E95="","",MAX(F95-G95,ABS(F95-L95),ABS(G95-L95)))</f>
        <v/>
      </c>
      <c r="O95" s="8">
        <f>IF(E95="","",IF(AND(I95&gt;0,I95&gt;(I95/3)*2.5),"VOL-OK","VOL-NG"))</f>
        <v/>
      </c>
      <c r="P95" s="8">
        <f>IF(E95="","",IF(E95&gt;J95,"ON","OFF"))</f>
        <v/>
      </c>
      <c r="Q95" s="8">
        <f>IF(E95="","",IF(E95&lt;K95,"ON","OFF"))</f>
        <v/>
      </c>
      <c r="R95" s="8">
        <f>IF(OR(E95="",N95&lt;=0),"",IF(AND(M95="BUY-DAY",O95="VOL-OK",Q95="ON",AA95="OK",AB95&lt;&gt;"DOWN"),"BUY",IF(AND(M95="SELL-DAY",O95="VOL-OK",P95="ON",AA95="OK",AB95&lt;&gt;"UP"),"SELL","")))</f>
        <v/>
      </c>
      <c r="S95" s="13">
        <f>IF(R95="","",E95)</f>
        <v/>
      </c>
      <c r="T95" s="13">
        <f>IF(R95="","",IF(R95="BUY",E95-N95*1.5,E95+N95*1.5))</f>
        <v/>
      </c>
      <c r="U95" s="13">
        <f>IF(R95="","",IF(R95="BUY",E95+N95*1.5,E95-N95*1.5))</f>
        <v/>
      </c>
      <c r="V95" s="13">
        <f>IF(R95="","",IF(R95="BUY",E95+N95*2,E95-N95*2))</f>
        <v/>
      </c>
      <c r="W95" s="13">
        <f>IF(R95="","",IF(R95="BUY",E95+N95*3,E95-N95*3))</f>
        <v/>
      </c>
      <c r="X95" s="8">
        <f>IF(OR(E95="",N95&lt;=0),"",IF(AND(E95&gt;H95,ABS(E95-H95)&lt;N95*0.5),"2ND","1ST"))</f>
        <v/>
      </c>
      <c r="Y95" s="8">
        <f>IF(OR(E95="",N95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95" s="8">
        <f>IF(OR(E95="",N95&lt;=0),"",IF(N95&gt;E95*0.05,"VOL-HIGH","VOL-NORMAL"))</f>
        <v/>
      </c>
      <c r="AA95" s="8">
        <f>IF(OR(E95="",N95&lt;=0),"",IF(AND(O95="VOL-OK",Z95="VOL-NORMAL",X95="2ND"),"OK","NG"))</f>
        <v/>
      </c>
      <c r="AB95" s="8">
        <f>IF(OR(E95="",N95&lt;=0),"",IF(AND(F95&gt;J95,G95&gt;K95),"UP",IF(AND(F95&lt;J95,G95&lt;K95),"DOWN","FLAT")))</f>
        <v/>
      </c>
    </row>
    <row r="96" ht="26" customHeight="1" s="1">
      <c r="A96" s="14">
        <f>IF(C96="","",ROW()-2)</f>
        <v/>
      </c>
      <c r="B96" s="15">
        <f>IF('StockList_MS2'!A95="","",HYPERLINK("https://kabutan.jp/stock/?code="&amp;'StockList_MS2'!A95,"株探"))</f>
        <v/>
      </c>
      <c r="C96" s="14">
        <f>IF('StockList_MS2'!A95="","",'StockList_MS2'!A95)</f>
        <v/>
      </c>
      <c r="D96" s="16">
        <f>IF('StockList_MS2'!A95="","",'StockList_MS2'!B95)</f>
        <v/>
      </c>
      <c r="E96" s="17" t="n"/>
      <c r="F96" s="17" t="n"/>
      <c r="G96" s="17" t="n"/>
      <c r="H96" s="17" t="n"/>
      <c r="I96" s="18" t="n"/>
      <c r="J96" s="17" t="n"/>
      <c r="K96" s="17" t="n"/>
      <c r="L96" s="17" t="n"/>
      <c r="M96" s="14">
        <f>IF(E96="","",IF(E96&gt;L96,"BUY-DAY","SELL-DAY"))</f>
        <v/>
      </c>
      <c r="N96" s="19">
        <f>IF(E96="","",MAX(F96-G96,ABS(F96-L96),ABS(G96-L96)))</f>
        <v/>
      </c>
      <c r="O96" s="14">
        <f>IF(E96="","",IF(AND(I96&gt;0,I96&gt;(I96/3)*2.5),"VOL-OK","VOL-NG"))</f>
        <v/>
      </c>
      <c r="P96" s="14">
        <f>IF(E96="","",IF(E96&gt;J96,"ON","OFF"))</f>
        <v/>
      </c>
      <c r="Q96" s="14">
        <f>IF(E96="","",IF(E96&lt;K96,"ON","OFF"))</f>
        <v/>
      </c>
      <c r="R96" s="14">
        <f>IF(OR(E96="",N96&lt;=0),"",IF(AND(M96="BUY-DAY",O96="VOL-OK",Q96="ON",AA96="OK",AB96&lt;&gt;"DOWN"),"BUY",IF(AND(M96="SELL-DAY",O96="VOL-OK",P96="ON",AA96="OK",AB96&lt;&gt;"UP"),"SELL","")))</f>
        <v/>
      </c>
      <c r="S96" s="19">
        <f>IF(R96="","",E96)</f>
        <v/>
      </c>
      <c r="T96" s="19">
        <f>IF(R96="","",IF(R96="BUY",E96-N96*1.5,E96+N96*1.5))</f>
        <v/>
      </c>
      <c r="U96" s="19">
        <f>IF(R96="","",IF(R96="BUY",E96+N96*1.5,E96-N96*1.5))</f>
        <v/>
      </c>
      <c r="V96" s="19">
        <f>IF(R96="","",IF(R96="BUY",E96+N96*2,E96-N96*2))</f>
        <v/>
      </c>
      <c r="W96" s="19">
        <f>IF(R96="","",IF(R96="BUY",E96+N96*3,E96-N96*3))</f>
        <v/>
      </c>
      <c r="X96" s="14">
        <f>IF(OR(E96="",N96&lt;=0),"",IF(AND(E96&gt;H96,ABS(E96-H96)&lt;N96*0.5),"2ND","1ST"))</f>
        <v/>
      </c>
      <c r="Y96" s="14">
        <f>IF(OR(E96="",N96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96" s="14">
        <f>IF(OR(E96="",N96&lt;=0),"",IF(N96&gt;E96*0.05,"VOL-HIGH","VOL-NORMAL"))</f>
        <v/>
      </c>
      <c r="AA96" s="14">
        <f>IF(OR(E96="",N96&lt;=0),"",IF(AND(O96="VOL-OK",Z96="VOL-NORMAL",X96="2ND"),"OK","NG"))</f>
        <v/>
      </c>
      <c r="AB96" s="14">
        <f>IF(OR(E96="",N96&lt;=0),"",IF(AND(F96&gt;J96,G96&gt;K96),"UP",IF(AND(F96&lt;J96,G96&lt;K96),"DOWN","FLAT")))</f>
        <v/>
      </c>
    </row>
    <row r="97" ht="26" customHeight="1" s="1">
      <c r="A97" s="8">
        <f>IF(C97="","",ROW()-2)</f>
        <v/>
      </c>
      <c r="B97" s="9">
        <f>IF('StockList_MS2'!A96="","",HYPERLINK("https://kabutan.jp/stock/?code="&amp;'StockList_MS2'!A96,"株探"))</f>
        <v/>
      </c>
      <c r="C97" s="8">
        <f>IF('StockList_MS2'!A96="","",'StockList_MS2'!A96)</f>
        <v/>
      </c>
      <c r="D97" s="10">
        <f>IF('StockList_MS2'!A96="","",'StockList_MS2'!B96)</f>
        <v/>
      </c>
      <c r="E97" s="11" t="n"/>
      <c r="F97" s="11" t="n"/>
      <c r="G97" s="11" t="n"/>
      <c r="H97" s="11" t="n"/>
      <c r="I97" s="12" t="n"/>
      <c r="J97" s="11" t="n"/>
      <c r="K97" s="11" t="n"/>
      <c r="L97" s="11" t="n"/>
      <c r="M97" s="8">
        <f>IF(E97="","",IF(E97&gt;L97,"BUY-DAY","SELL-DAY"))</f>
        <v/>
      </c>
      <c r="N97" s="13">
        <f>IF(E97="","",MAX(F97-G97,ABS(F97-L97),ABS(G97-L97)))</f>
        <v/>
      </c>
      <c r="O97" s="8">
        <f>IF(E97="","",IF(AND(I97&gt;0,I97&gt;(I97/3)*2.5),"VOL-OK","VOL-NG"))</f>
        <v/>
      </c>
      <c r="P97" s="8">
        <f>IF(E97="","",IF(E97&gt;J97,"ON","OFF"))</f>
        <v/>
      </c>
      <c r="Q97" s="8">
        <f>IF(E97="","",IF(E97&lt;K97,"ON","OFF"))</f>
        <v/>
      </c>
      <c r="R97" s="8">
        <f>IF(OR(E97="",N97&lt;=0),"",IF(AND(M97="BUY-DAY",O97="VOL-OK",Q97="ON",AA97="OK",AB97&lt;&gt;"DOWN"),"BUY",IF(AND(M97="SELL-DAY",O97="VOL-OK",P97="ON",AA97="OK",AB97&lt;&gt;"UP"),"SELL","")))</f>
        <v/>
      </c>
      <c r="S97" s="13">
        <f>IF(R97="","",E97)</f>
        <v/>
      </c>
      <c r="T97" s="13">
        <f>IF(R97="","",IF(R97="BUY",E97-N97*1.5,E97+N97*1.5))</f>
        <v/>
      </c>
      <c r="U97" s="13">
        <f>IF(R97="","",IF(R97="BUY",E97+N97*1.5,E97-N97*1.5))</f>
        <v/>
      </c>
      <c r="V97" s="13">
        <f>IF(R97="","",IF(R97="BUY",E97+N97*2,E97-N97*2))</f>
        <v/>
      </c>
      <c r="W97" s="13">
        <f>IF(R97="","",IF(R97="BUY",E97+N97*3,E97-N97*3))</f>
        <v/>
      </c>
      <c r="X97" s="8">
        <f>IF(OR(E97="",N97&lt;=0),"",IF(AND(E97&gt;H97,ABS(E97-H97)&lt;N97*0.5),"2ND","1ST"))</f>
        <v/>
      </c>
      <c r="Y97" s="8">
        <f>IF(OR(E97="",N97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97" s="8">
        <f>IF(OR(E97="",N97&lt;=0),"",IF(N97&gt;E97*0.05,"VOL-HIGH","VOL-NORMAL"))</f>
        <v/>
      </c>
      <c r="AA97" s="8">
        <f>IF(OR(E97="",N97&lt;=0),"",IF(AND(O97="VOL-OK",Z97="VOL-NORMAL",X97="2ND"),"OK","NG"))</f>
        <v/>
      </c>
      <c r="AB97" s="8">
        <f>IF(OR(E97="",N97&lt;=0),"",IF(AND(F97&gt;J97,G97&gt;K97),"UP",IF(AND(F97&lt;J97,G97&lt;K97),"DOWN","FLAT")))</f>
        <v/>
      </c>
    </row>
    <row r="98" ht="26" customHeight="1" s="1">
      <c r="A98" s="14">
        <f>IF(C98="","",ROW()-2)</f>
        <v/>
      </c>
      <c r="B98" s="15">
        <f>IF('StockList_MS2'!A97="","",HYPERLINK("https://kabutan.jp/stock/?code="&amp;'StockList_MS2'!A97,"株探"))</f>
        <v/>
      </c>
      <c r="C98" s="14">
        <f>IF('StockList_MS2'!A97="","",'StockList_MS2'!A97)</f>
        <v/>
      </c>
      <c r="D98" s="16">
        <f>IF('StockList_MS2'!A97="","",'StockList_MS2'!B97)</f>
        <v/>
      </c>
      <c r="E98" s="17" t="n"/>
      <c r="F98" s="17" t="n"/>
      <c r="G98" s="17" t="n"/>
      <c r="H98" s="17" t="n"/>
      <c r="I98" s="18" t="n"/>
      <c r="J98" s="17" t="n"/>
      <c r="K98" s="17" t="n"/>
      <c r="L98" s="17" t="n"/>
      <c r="M98" s="14">
        <f>IF(E98="","",IF(E98&gt;L98,"BUY-DAY","SELL-DAY"))</f>
        <v/>
      </c>
      <c r="N98" s="19">
        <f>IF(E98="","",MAX(F98-G98,ABS(F98-L98),ABS(G98-L98)))</f>
        <v/>
      </c>
      <c r="O98" s="14">
        <f>IF(E98="","",IF(AND(I98&gt;0,I98&gt;(I98/3)*2.5),"VOL-OK","VOL-NG"))</f>
        <v/>
      </c>
      <c r="P98" s="14">
        <f>IF(E98="","",IF(E98&gt;J98,"ON","OFF"))</f>
        <v/>
      </c>
      <c r="Q98" s="14">
        <f>IF(E98="","",IF(E98&lt;K98,"ON","OFF"))</f>
        <v/>
      </c>
      <c r="R98" s="14">
        <f>IF(OR(E98="",N98&lt;=0),"",IF(AND(M98="BUY-DAY",O98="VOL-OK",Q98="ON",AA98="OK",AB98&lt;&gt;"DOWN"),"BUY",IF(AND(M98="SELL-DAY",O98="VOL-OK",P98="ON",AA98="OK",AB98&lt;&gt;"UP"),"SELL","")))</f>
        <v/>
      </c>
      <c r="S98" s="19">
        <f>IF(R98="","",E98)</f>
        <v/>
      </c>
      <c r="T98" s="19">
        <f>IF(R98="","",IF(R98="BUY",E98-N98*1.5,E98+N98*1.5))</f>
        <v/>
      </c>
      <c r="U98" s="19">
        <f>IF(R98="","",IF(R98="BUY",E98+N98*1.5,E98-N98*1.5))</f>
        <v/>
      </c>
      <c r="V98" s="19">
        <f>IF(R98="","",IF(R98="BUY",E98+N98*2,E98-N98*2))</f>
        <v/>
      </c>
      <c r="W98" s="19">
        <f>IF(R98="","",IF(R98="BUY",E98+N98*3,E98-N98*3))</f>
        <v/>
      </c>
      <c r="X98" s="14">
        <f>IF(OR(E98="",N98&lt;=0),"",IF(AND(E98&gt;H98,ABS(E98-H98)&lt;N98*0.5),"2ND","1ST"))</f>
        <v/>
      </c>
      <c r="Y98" s="14">
        <f>IF(OR(E98="",N98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98" s="14">
        <f>IF(OR(E98="",N98&lt;=0),"",IF(N98&gt;E98*0.05,"VOL-HIGH","VOL-NORMAL"))</f>
        <v/>
      </c>
      <c r="AA98" s="14">
        <f>IF(OR(E98="",N98&lt;=0),"",IF(AND(O98="VOL-OK",Z98="VOL-NORMAL",X98="2ND"),"OK","NG"))</f>
        <v/>
      </c>
      <c r="AB98" s="14">
        <f>IF(OR(E98="",N98&lt;=0),"",IF(AND(F98&gt;J98,G98&gt;K98),"UP",IF(AND(F98&lt;J98,G98&lt;K98),"DOWN","FLAT")))</f>
        <v/>
      </c>
    </row>
    <row r="99" ht="26" customHeight="1" s="1">
      <c r="A99" s="8">
        <f>IF(C99="","",ROW()-2)</f>
        <v/>
      </c>
      <c r="B99" s="9">
        <f>IF('StockList_MS2'!A98="","",HYPERLINK("https://kabutan.jp/stock/?code="&amp;'StockList_MS2'!A98,"株探"))</f>
        <v/>
      </c>
      <c r="C99" s="8">
        <f>IF('StockList_MS2'!A98="","",'StockList_MS2'!A98)</f>
        <v/>
      </c>
      <c r="D99" s="10">
        <f>IF('StockList_MS2'!A98="","",'StockList_MS2'!B98)</f>
        <v/>
      </c>
      <c r="E99" s="11" t="n"/>
      <c r="F99" s="11" t="n"/>
      <c r="G99" s="11" t="n"/>
      <c r="H99" s="11" t="n"/>
      <c r="I99" s="12" t="n"/>
      <c r="J99" s="11" t="n"/>
      <c r="K99" s="11" t="n"/>
      <c r="L99" s="11" t="n"/>
      <c r="M99" s="8">
        <f>IF(E99="","",IF(E99&gt;L99,"BUY-DAY","SELL-DAY"))</f>
        <v/>
      </c>
      <c r="N99" s="13">
        <f>IF(E99="","",MAX(F99-G99,ABS(F99-L99),ABS(G99-L99)))</f>
        <v/>
      </c>
      <c r="O99" s="8">
        <f>IF(E99="","",IF(AND(I99&gt;0,I99&gt;(I99/3)*2.5),"VOL-OK","VOL-NG"))</f>
        <v/>
      </c>
      <c r="P99" s="8">
        <f>IF(E99="","",IF(E99&gt;J99,"ON","OFF"))</f>
        <v/>
      </c>
      <c r="Q99" s="8">
        <f>IF(E99="","",IF(E99&lt;K99,"ON","OFF"))</f>
        <v/>
      </c>
      <c r="R99" s="8">
        <f>IF(OR(E99="",N99&lt;=0),"",IF(AND(M99="BUY-DAY",O99="VOL-OK",Q99="ON",AA99="OK",AB99&lt;&gt;"DOWN"),"BUY",IF(AND(M99="SELL-DAY",O99="VOL-OK",P99="ON",AA99="OK",AB99&lt;&gt;"UP"),"SELL","")))</f>
        <v/>
      </c>
      <c r="S99" s="13">
        <f>IF(R99="","",E99)</f>
        <v/>
      </c>
      <c r="T99" s="13">
        <f>IF(R99="","",IF(R99="BUY",E99-N99*1.5,E99+N99*1.5))</f>
        <v/>
      </c>
      <c r="U99" s="13">
        <f>IF(R99="","",IF(R99="BUY",E99+N99*1.5,E99-N99*1.5))</f>
        <v/>
      </c>
      <c r="V99" s="13">
        <f>IF(R99="","",IF(R99="BUY",E99+N99*2,E99-N99*2))</f>
        <v/>
      </c>
      <c r="W99" s="13">
        <f>IF(R99="","",IF(R99="BUY",E99+N99*3,E99-N99*3))</f>
        <v/>
      </c>
      <c r="X99" s="8">
        <f>IF(OR(E99="",N99&lt;=0),"",IF(AND(E99&gt;H99,ABS(E99-H99)&lt;N99*0.5),"2ND","1ST"))</f>
        <v/>
      </c>
      <c r="Y99" s="8">
        <f>IF(OR(E99="",N99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99" s="8">
        <f>IF(OR(E99="",N99&lt;=0),"",IF(N99&gt;E99*0.05,"VOL-HIGH","VOL-NORMAL"))</f>
        <v/>
      </c>
      <c r="AA99" s="8">
        <f>IF(OR(E99="",N99&lt;=0),"",IF(AND(O99="VOL-OK",Z99="VOL-NORMAL",X99="2ND"),"OK","NG"))</f>
        <v/>
      </c>
      <c r="AB99" s="8">
        <f>IF(OR(E99="",N99&lt;=0),"",IF(AND(F99&gt;J99,G99&gt;K99),"UP",IF(AND(F99&lt;J99,G99&lt;K99),"DOWN","FLAT")))</f>
        <v/>
      </c>
    </row>
    <row r="100" ht="26" customHeight="1" s="1">
      <c r="A100" s="14">
        <f>IF(C100="","",ROW()-2)</f>
        <v/>
      </c>
      <c r="B100" s="15">
        <f>IF('StockList_MS2'!A99="","",HYPERLINK("https://kabutan.jp/stock/?code="&amp;'StockList_MS2'!A99,"株探"))</f>
        <v/>
      </c>
      <c r="C100" s="14">
        <f>IF('StockList_MS2'!A99="","",'StockList_MS2'!A99)</f>
        <v/>
      </c>
      <c r="D100" s="16">
        <f>IF('StockList_MS2'!A99="","",'StockList_MS2'!B99)</f>
        <v/>
      </c>
      <c r="E100" s="17" t="n"/>
      <c r="F100" s="17" t="n"/>
      <c r="G100" s="17" t="n"/>
      <c r="H100" s="17" t="n"/>
      <c r="I100" s="18" t="n"/>
      <c r="J100" s="17" t="n"/>
      <c r="K100" s="17" t="n"/>
      <c r="L100" s="17" t="n"/>
      <c r="M100" s="14">
        <f>IF(E100="","",IF(E100&gt;L100,"BUY-DAY","SELL-DAY"))</f>
        <v/>
      </c>
      <c r="N100" s="19">
        <f>IF(E100="","",MAX(F100-G100,ABS(F100-L100),ABS(G100-L100)))</f>
        <v/>
      </c>
      <c r="O100" s="14">
        <f>IF(E100="","",IF(AND(I100&gt;0,I100&gt;(I100/3)*2.5),"VOL-OK","VOL-NG"))</f>
        <v/>
      </c>
      <c r="P100" s="14">
        <f>IF(E100="","",IF(E100&gt;J100,"ON","OFF"))</f>
        <v/>
      </c>
      <c r="Q100" s="14">
        <f>IF(E100="","",IF(E100&lt;K100,"ON","OFF"))</f>
        <v/>
      </c>
      <c r="R100" s="14">
        <f>IF(OR(E100="",N100&lt;=0),"",IF(AND(M100="BUY-DAY",O100="VOL-OK",Q100="ON",AA100="OK",AB100&lt;&gt;"DOWN"),"BUY",IF(AND(M100="SELL-DAY",O100="VOL-OK",P100="ON",AA100="OK",AB100&lt;&gt;"UP"),"SELL","")))</f>
        <v/>
      </c>
      <c r="S100" s="19">
        <f>IF(R100="","",E100)</f>
        <v/>
      </c>
      <c r="T100" s="19">
        <f>IF(R100="","",IF(R100="BUY",E100-N100*1.5,E100+N100*1.5))</f>
        <v/>
      </c>
      <c r="U100" s="19">
        <f>IF(R100="","",IF(R100="BUY",E100+N100*1.5,E100-N100*1.5))</f>
        <v/>
      </c>
      <c r="V100" s="19">
        <f>IF(R100="","",IF(R100="BUY",E100+N100*2,E100-N100*2))</f>
        <v/>
      </c>
      <c r="W100" s="19">
        <f>IF(R100="","",IF(R100="BUY",E100+N100*3,E100-N100*3))</f>
        <v/>
      </c>
      <c r="X100" s="14">
        <f>IF(OR(E100="",N100&lt;=0),"",IF(AND(E100&gt;H100,ABS(E100-H100)&lt;N100*0.5),"2ND","1ST"))</f>
        <v/>
      </c>
      <c r="Y100" s="14">
        <f>IF(OR(E100="",N100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00" s="14">
        <f>IF(OR(E100="",N100&lt;=0),"",IF(N100&gt;E100*0.05,"VOL-HIGH","VOL-NORMAL"))</f>
        <v/>
      </c>
      <c r="AA100" s="14">
        <f>IF(OR(E100="",N100&lt;=0),"",IF(AND(O100="VOL-OK",Z100="VOL-NORMAL",X100="2ND"),"OK","NG"))</f>
        <v/>
      </c>
      <c r="AB100" s="14">
        <f>IF(OR(E100="",N100&lt;=0),"",IF(AND(F100&gt;J100,G100&gt;K100),"UP",IF(AND(F100&lt;J100,G100&lt;K100),"DOWN","FLAT")))</f>
        <v/>
      </c>
    </row>
    <row r="101" ht="26" customHeight="1" s="1">
      <c r="A101" s="8">
        <f>IF(C101="","",ROW()-2)</f>
        <v/>
      </c>
      <c r="B101" s="9">
        <f>IF('StockList_MS2'!A100="","",HYPERLINK("https://kabutan.jp/stock/?code="&amp;'StockList_MS2'!A100,"株探"))</f>
        <v/>
      </c>
      <c r="C101" s="8">
        <f>IF('StockList_MS2'!A100="","",'StockList_MS2'!A100)</f>
        <v/>
      </c>
      <c r="D101" s="10">
        <f>IF('StockList_MS2'!A100="","",'StockList_MS2'!B100)</f>
        <v/>
      </c>
      <c r="E101" s="11" t="n"/>
      <c r="F101" s="11" t="n"/>
      <c r="G101" s="11" t="n"/>
      <c r="H101" s="11" t="n"/>
      <c r="I101" s="12" t="n"/>
      <c r="J101" s="11" t="n"/>
      <c r="K101" s="11" t="n"/>
      <c r="L101" s="11" t="n"/>
      <c r="M101" s="8">
        <f>IF(E101="","",IF(E101&gt;L101,"BUY-DAY","SELL-DAY"))</f>
        <v/>
      </c>
      <c r="N101" s="13">
        <f>IF(E101="","",MAX(F101-G101,ABS(F101-L101),ABS(G101-L101)))</f>
        <v/>
      </c>
      <c r="O101" s="8">
        <f>IF(E101="","",IF(AND(I101&gt;0,I101&gt;(I101/3)*2.5),"VOL-OK","VOL-NG"))</f>
        <v/>
      </c>
      <c r="P101" s="8">
        <f>IF(E101="","",IF(E101&gt;J101,"ON","OFF"))</f>
        <v/>
      </c>
      <c r="Q101" s="8">
        <f>IF(E101="","",IF(E101&lt;K101,"ON","OFF"))</f>
        <v/>
      </c>
      <c r="R101" s="8">
        <f>IF(OR(E101="",N101&lt;=0),"",IF(AND(M101="BUY-DAY",O101="VOL-OK",Q101="ON",AA101="OK",AB101&lt;&gt;"DOWN"),"BUY",IF(AND(M101="SELL-DAY",O101="VOL-OK",P101="ON",AA101="OK",AB101&lt;&gt;"UP"),"SELL","")))</f>
        <v/>
      </c>
      <c r="S101" s="13">
        <f>IF(R101="","",E101)</f>
        <v/>
      </c>
      <c r="T101" s="13">
        <f>IF(R101="","",IF(R101="BUY",E101-N101*1.5,E101+N101*1.5))</f>
        <v/>
      </c>
      <c r="U101" s="13">
        <f>IF(R101="","",IF(R101="BUY",E101+N101*1.5,E101-N101*1.5))</f>
        <v/>
      </c>
      <c r="V101" s="13">
        <f>IF(R101="","",IF(R101="BUY",E101+N101*2,E101-N101*2))</f>
        <v/>
      </c>
      <c r="W101" s="13">
        <f>IF(R101="","",IF(R101="BUY",E101+N101*3,E101-N101*3))</f>
        <v/>
      </c>
      <c r="X101" s="8">
        <f>IF(OR(E101="",N101&lt;=0),"",IF(AND(E101&gt;H101,ABS(E101-H101)&lt;N101*0.5),"2ND","1ST"))</f>
        <v/>
      </c>
      <c r="Y101" s="8">
        <f>IF(OR(E101="",N101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01" s="8">
        <f>IF(OR(E101="",N101&lt;=0),"",IF(N101&gt;E101*0.05,"VOL-HIGH","VOL-NORMAL"))</f>
        <v/>
      </c>
      <c r="AA101" s="8">
        <f>IF(OR(E101="",N101&lt;=0),"",IF(AND(O101="VOL-OK",Z101="VOL-NORMAL",X101="2ND"),"OK","NG"))</f>
        <v/>
      </c>
      <c r="AB101" s="8">
        <f>IF(OR(E101="",N101&lt;=0),"",IF(AND(F101&gt;J101,G101&gt;K101),"UP",IF(AND(F101&lt;J101,G101&lt;K101),"DOWN","FLAT")))</f>
        <v/>
      </c>
    </row>
    <row r="102" ht="26" customHeight="1" s="1">
      <c r="A102" s="14">
        <f>IF(C102="","",ROW()-2)</f>
        <v/>
      </c>
      <c r="B102" s="15">
        <f>IF('StockList_MS2'!A101="","",HYPERLINK("https://kabutan.jp/stock/?code="&amp;'StockList_MS2'!A101,"株探"))</f>
        <v/>
      </c>
      <c r="C102" s="14">
        <f>IF('StockList_MS2'!A101="","",'StockList_MS2'!A101)</f>
        <v/>
      </c>
      <c r="D102" s="16">
        <f>IF('StockList_MS2'!A101="","",'StockList_MS2'!B101)</f>
        <v/>
      </c>
      <c r="E102" s="17" t="n"/>
      <c r="F102" s="17" t="n"/>
      <c r="G102" s="17" t="n"/>
      <c r="H102" s="17" t="n"/>
      <c r="I102" s="18" t="n"/>
      <c r="J102" s="17" t="n"/>
      <c r="K102" s="17" t="n"/>
      <c r="L102" s="17" t="n"/>
      <c r="M102" s="14">
        <f>IF(E102="","",IF(E102&gt;L102,"BUY-DAY","SELL-DAY"))</f>
        <v/>
      </c>
      <c r="N102" s="19">
        <f>IF(E102="","",MAX(F102-G102,ABS(F102-L102),ABS(G102-L102)))</f>
        <v/>
      </c>
      <c r="O102" s="14">
        <f>IF(E102="","",IF(AND(I102&gt;0,I102&gt;(I102/3)*2.5),"VOL-OK","VOL-NG"))</f>
        <v/>
      </c>
      <c r="P102" s="14">
        <f>IF(E102="","",IF(E102&gt;J102,"ON","OFF"))</f>
        <v/>
      </c>
      <c r="Q102" s="14">
        <f>IF(E102="","",IF(E102&lt;K102,"ON","OFF"))</f>
        <v/>
      </c>
      <c r="R102" s="14">
        <f>IF(OR(E102="",N102&lt;=0),"",IF(AND(M102="BUY-DAY",O102="VOL-OK",Q102="ON",AA102="OK",AB102&lt;&gt;"DOWN"),"BUY",IF(AND(M102="SELL-DAY",O102="VOL-OK",P102="ON",AA102="OK",AB102&lt;&gt;"UP"),"SELL","")))</f>
        <v/>
      </c>
      <c r="S102" s="19">
        <f>IF(R102="","",E102)</f>
        <v/>
      </c>
      <c r="T102" s="19">
        <f>IF(R102="","",IF(R102="BUY",E102-N102*1.5,E102+N102*1.5))</f>
        <v/>
      </c>
      <c r="U102" s="19">
        <f>IF(R102="","",IF(R102="BUY",E102+N102*1.5,E102-N102*1.5))</f>
        <v/>
      </c>
      <c r="V102" s="19">
        <f>IF(R102="","",IF(R102="BUY",E102+N102*2,E102-N102*2))</f>
        <v/>
      </c>
      <c r="W102" s="19">
        <f>IF(R102="","",IF(R102="BUY",E102+N102*3,E102-N102*3))</f>
        <v/>
      </c>
      <c r="X102" s="14">
        <f>IF(OR(E102="",N102&lt;=0),"",IF(AND(E102&gt;H102,ABS(E102-H102)&lt;N102*0.5),"2ND","1ST"))</f>
        <v/>
      </c>
      <c r="Y102" s="14">
        <f>IF(OR(E102="",N102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02" s="14">
        <f>IF(OR(E102="",N102&lt;=0),"",IF(N102&gt;E102*0.05,"VOL-HIGH","VOL-NORMAL"))</f>
        <v/>
      </c>
      <c r="AA102" s="14">
        <f>IF(OR(E102="",N102&lt;=0),"",IF(AND(O102="VOL-OK",Z102="VOL-NORMAL",X102="2ND"),"OK","NG"))</f>
        <v/>
      </c>
      <c r="AB102" s="14">
        <f>IF(OR(E102="",N102&lt;=0),"",IF(AND(F102&gt;J102,G102&gt;K102),"UP",IF(AND(F102&lt;J102,G102&lt;K102),"DOWN","FLAT")))</f>
        <v/>
      </c>
    </row>
    <row r="103" ht="26" customHeight="1" s="1">
      <c r="A103" s="8">
        <f>IF(C103="","",ROW()-2)</f>
        <v/>
      </c>
      <c r="B103" s="9">
        <f>IF('StockList_MS2'!A102="","",HYPERLINK("https://kabutan.jp/stock/?code="&amp;'StockList_MS2'!A102,"株探"))</f>
        <v/>
      </c>
      <c r="C103" s="8">
        <f>IF('StockList_MS2'!A102="","",'StockList_MS2'!A102)</f>
        <v/>
      </c>
      <c r="D103" s="10">
        <f>IF('StockList_MS2'!A102="","",'StockList_MS2'!B102)</f>
        <v/>
      </c>
      <c r="E103" s="11" t="n"/>
      <c r="F103" s="11" t="n"/>
      <c r="G103" s="11" t="n"/>
      <c r="H103" s="11" t="n"/>
      <c r="I103" s="12" t="n"/>
      <c r="J103" s="11" t="n"/>
      <c r="K103" s="11" t="n"/>
      <c r="L103" s="11" t="n"/>
      <c r="M103" s="8">
        <f>IF(E103="","",IF(E103&gt;L103,"BUY-DAY","SELL-DAY"))</f>
        <v/>
      </c>
      <c r="N103" s="13">
        <f>IF(E103="","",MAX(F103-G103,ABS(F103-L103),ABS(G103-L103)))</f>
        <v/>
      </c>
      <c r="O103" s="8">
        <f>IF(E103="","",IF(AND(I103&gt;0,I103&gt;(I103/3)*2.5),"VOL-OK","VOL-NG"))</f>
        <v/>
      </c>
      <c r="P103" s="8">
        <f>IF(E103="","",IF(E103&gt;J103,"ON","OFF"))</f>
        <v/>
      </c>
      <c r="Q103" s="8">
        <f>IF(E103="","",IF(E103&lt;K103,"ON","OFF"))</f>
        <v/>
      </c>
      <c r="R103" s="8">
        <f>IF(OR(E103="",N103&lt;=0),"",IF(AND(M103="BUY-DAY",O103="VOL-OK",Q103="ON",AA103="OK",AB103&lt;&gt;"DOWN"),"BUY",IF(AND(M103="SELL-DAY",O103="VOL-OK",P103="ON",AA103="OK",AB103&lt;&gt;"UP"),"SELL","")))</f>
        <v/>
      </c>
      <c r="S103" s="13">
        <f>IF(R103="","",E103)</f>
        <v/>
      </c>
      <c r="T103" s="13">
        <f>IF(R103="","",IF(R103="BUY",E103-N103*1.5,E103+N103*1.5))</f>
        <v/>
      </c>
      <c r="U103" s="13">
        <f>IF(R103="","",IF(R103="BUY",E103+N103*1.5,E103-N103*1.5))</f>
        <v/>
      </c>
      <c r="V103" s="13">
        <f>IF(R103="","",IF(R103="BUY",E103+N103*2,E103-N103*2))</f>
        <v/>
      </c>
      <c r="W103" s="13">
        <f>IF(R103="","",IF(R103="BUY",E103+N103*3,E103-N103*3))</f>
        <v/>
      </c>
      <c r="X103" s="8">
        <f>IF(OR(E103="",N103&lt;=0),"",IF(AND(E103&gt;H103,ABS(E103-H103)&lt;N103*0.5),"2ND","1ST"))</f>
        <v/>
      </c>
      <c r="Y103" s="8">
        <f>IF(OR(E103="",N103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03" s="8">
        <f>IF(OR(E103="",N103&lt;=0),"",IF(N103&gt;E103*0.05,"VOL-HIGH","VOL-NORMAL"))</f>
        <v/>
      </c>
      <c r="AA103" s="8">
        <f>IF(OR(E103="",N103&lt;=0),"",IF(AND(O103="VOL-OK",Z103="VOL-NORMAL",X103="2ND"),"OK","NG"))</f>
        <v/>
      </c>
      <c r="AB103" s="8">
        <f>IF(OR(E103="",N103&lt;=0),"",IF(AND(F103&gt;J103,G103&gt;K103),"UP",IF(AND(F103&lt;J103,G103&lt;K103),"DOWN","FLAT")))</f>
        <v/>
      </c>
    </row>
    <row r="104" ht="26" customHeight="1" s="1">
      <c r="A104" s="14">
        <f>IF(C104="","",ROW()-2)</f>
        <v/>
      </c>
      <c r="B104" s="15">
        <f>IF('StockList_MS2'!A103="","",HYPERLINK("https://kabutan.jp/stock/?code="&amp;'StockList_MS2'!A103,"株探"))</f>
        <v/>
      </c>
      <c r="C104" s="14">
        <f>IF('StockList_MS2'!A103="","",'StockList_MS2'!A103)</f>
        <v/>
      </c>
      <c r="D104" s="16">
        <f>IF('StockList_MS2'!A103="","",'StockList_MS2'!B103)</f>
        <v/>
      </c>
      <c r="E104" s="17" t="n"/>
      <c r="F104" s="17" t="n"/>
      <c r="G104" s="17" t="n"/>
      <c r="H104" s="17" t="n"/>
      <c r="I104" s="18" t="n"/>
      <c r="J104" s="17" t="n"/>
      <c r="K104" s="17" t="n"/>
      <c r="L104" s="17" t="n"/>
      <c r="M104" s="14">
        <f>IF(E104="","",IF(E104&gt;L104,"BUY-DAY","SELL-DAY"))</f>
        <v/>
      </c>
      <c r="N104" s="19">
        <f>IF(E104="","",MAX(F104-G104,ABS(F104-L104),ABS(G104-L104)))</f>
        <v/>
      </c>
      <c r="O104" s="14">
        <f>IF(E104="","",IF(AND(I104&gt;0,I104&gt;(I104/3)*2.5),"VOL-OK","VOL-NG"))</f>
        <v/>
      </c>
      <c r="P104" s="14">
        <f>IF(E104="","",IF(E104&gt;J104,"ON","OFF"))</f>
        <v/>
      </c>
      <c r="Q104" s="14">
        <f>IF(E104="","",IF(E104&lt;K104,"ON","OFF"))</f>
        <v/>
      </c>
      <c r="R104" s="14">
        <f>IF(OR(E104="",N104&lt;=0),"",IF(AND(M104="BUY-DAY",O104="VOL-OK",Q104="ON",AA104="OK",AB104&lt;&gt;"DOWN"),"BUY",IF(AND(M104="SELL-DAY",O104="VOL-OK",P104="ON",AA104="OK",AB104&lt;&gt;"UP"),"SELL","")))</f>
        <v/>
      </c>
      <c r="S104" s="19">
        <f>IF(R104="","",E104)</f>
        <v/>
      </c>
      <c r="T104" s="19">
        <f>IF(R104="","",IF(R104="BUY",E104-N104*1.5,E104+N104*1.5))</f>
        <v/>
      </c>
      <c r="U104" s="19">
        <f>IF(R104="","",IF(R104="BUY",E104+N104*1.5,E104-N104*1.5))</f>
        <v/>
      </c>
      <c r="V104" s="19">
        <f>IF(R104="","",IF(R104="BUY",E104+N104*2,E104-N104*2))</f>
        <v/>
      </c>
      <c r="W104" s="19">
        <f>IF(R104="","",IF(R104="BUY",E104+N104*3,E104-N104*3))</f>
        <v/>
      </c>
      <c r="X104" s="14">
        <f>IF(OR(E104="",N104&lt;=0),"",IF(AND(E104&gt;H104,ABS(E104-H104)&lt;N104*0.5),"2ND","1ST"))</f>
        <v/>
      </c>
      <c r="Y104" s="14">
        <f>IF(OR(E104="",N104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04" s="14">
        <f>IF(OR(E104="",N104&lt;=0),"",IF(N104&gt;E104*0.05,"VOL-HIGH","VOL-NORMAL"))</f>
        <v/>
      </c>
      <c r="AA104" s="14">
        <f>IF(OR(E104="",N104&lt;=0),"",IF(AND(O104="VOL-OK",Z104="VOL-NORMAL",X104="2ND"),"OK","NG"))</f>
        <v/>
      </c>
      <c r="AB104" s="14">
        <f>IF(OR(E104="",N104&lt;=0),"",IF(AND(F104&gt;J104,G104&gt;K104),"UP",IF(AND(F104&lt;J104,G104&lt;K104),"DOWN","FLAT")))</f>
        <v/>
      </c>
    </row>
    <row r="105" ht="26" customHeight="1" s="1">
      <c r="A105" s="8">
        <f>IF(C105="","",ROW()-2)</f>
        <v/>
      </c>
      <c r="B105" s="9">
        <f>IF('StockList_MS2'!A104="","",HYPERLINK("https://kabutan.jp/stock/?code="&amp;'StockList_MS2'!A104,"株探"))</f>
        <v/>
      </c>
      <c r="C105" s="8">
        <f>IF('StockList_MS2'!A104="","",'StockList_MS2'!A104)</f>
        <v/>
      </c>
      <c r="D105" s="10">
        <f>IF('StockList_MS2'!A104="","",'StockList_MS2'!B104)</f>
        <v/>
      </c>
      <c r="E105" s="11" t="n"/>
      <c r="F105" s="11" t="n"/>
      <c r="G105" s="11" t="n"/>
      <c r="H105" s="11" t="n"/>
      <c r="I105" s="12" t="n"/>
      <c r="J105" s="11" t="n"/>
      <c r="K105" s="11" t="n"/>
      <c r="L105" s="11" t="n"/>
      <c r="M105" s="8">
        <f>IF(E105="","",IF(E105&gt;L105,"BUY-DAY","SELL-DAY"))</f>
        <v/>
      </c>
      <c r="N105" s="13">
        <f>IF(E105="","",MAX(F105-G105,ABS(F105-L105),ABS(G105-L105)))</f>
        <v/>
      </c>
      <c r="O105" s="8">
        <f>IF(E105="","",IF(AND(I105&gt;0,I105&gt;(I105/3)*2.5),"VOL-OK","VOL-NG"))</f>
        <v/>
      </c>
      <c r="P105" s="8">
        <f>IF(E105="","",IF(E105&gt;J105,"ON","OFF"))</f>
        <v/>
      </c>
      <c r="Q105" s="8">
        <f>IF(E105="","",IF(E105&lt;K105,"ON","OFF"))</f>
        <v/>
      </c>
      <c r="R105" s="8">
        <f>IF(OR(E105="",N105&lt;=0),"",IF(AND(M105="BUY-DAY",O105="VOL-OK",Q105="ON",AA105="OK",AB105&lt;&gt;"DOWN"),"BUY",IF(AND(M105="SELL-DAY",O105="VOL-OK",P105="ON",AA105="OK",AB105&lt;&gt;"UP"),"SELL","")))</f>
        <v/>
      </c>
      <c r="S105" s="13">
        <f>IF(R105="","",E105)</f>
        <v/>
      </c>
      <c r="T105" s="13">
        <f>IF(R105="","",IF(R105="BUY",E105-N105*1.5,E105+N105*1.5))</f>
        <v/>
      </c>
      <c r="U105" s="13">
        <f>IF(R105="","",IF(R105="BUY",E105+N105*1.5,E105-N105*1.5))</f>
        <v/>
      </c>
      <c r="V105" s="13">
        <f>IF(R105="","",IF(R105="BUY",E105+N105*2,E105-N105*2))</f>
        <v/>
      </c>
      <c r="W105" s="13">
        <f>IF(R105="","",IF(R105="BUY",E105+N105*3,E105-N105*3))</f>
        <v/>
      </c>
      <c r="X105" s="8">
        <f>IF(OR(E105="",N105&lt;=0),"",IF(AND(E105&gt;H105,ABS(E105-H105)&lt;N105*0.5),"2ND","1ST"))</f>
        <v/>
      </c>
      <c r="Y105" s="8">
        <f>IF(OR(E105="",N105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05" s="8">
        <f>IF(OR(E105="",N105&lt;=0),"",IF(N105&gt;E105*0.05,"VOL-HIGH","VOL-NORMAL"))</f>
        <v/>
      </c>
      <c r="AA105" s="8">
        <f>IF(OR(E105="",N105&lt;=0),"",IF(AND(O105="VOL-OK",Z105="VOL-NORMAL",X105="2ND"),"OK","NG"))</f>
        <v/>
      </c>
      <c r="AB105" s="8">
        <f>IF(OR(E105="",N105&lt;=0),"",IF(AND(F105&gt;J105,G105&gt;K105),"UP",IF(AND(F105&lt;J105,G105&lt;K105),"DOWN","FLAT")))</f>
        <v/>
      </c>
    </row>
    <row r="106" ht="26" customHeight="1" s="1">
      <c r="A106" s="14">
        <f>IF(C106="","",ROW()-2)</f>
        <v/>
      </c>
      <c r="B106" s="15">
        <f>IF('StockList_MS2'!A105="","",HYPERLINK("https://kabutan.jp/stock/?code="&amp;'StockList_MS2'!A105,"株探"))</f>
        <v/>
      </c>
      <c r="C106" s="14">
        <f>IF('StockList_MS2'!A105="","",'StockList_MS2'!A105)</f>
        <v/>
      </c>
      <c r="D106" s="16">
        <f>IF('StockList_MS2'!A105="","",'StockList_MS2'!B105)</f>
        <v/>
      </c>
      <c r="E106" s="17" t="n"/>
      <c r="F106" s="17" t="n"/>
      <c r="G106" s="17" t="n"/>
      <c r="H106" s="17" t="n"/>
      <c r="I106" s="18" t="n"/>
      <c r="J106" s="17" t="n"/>
      <c r="K106" s="17" t="n"/>
      <c r="L106" s="17" t="n"/>
      <c r="M106" s="14">
        <f>IF(E106="","",IF(E106&gt;L106,"BUY-DAY","SELL-DAY"))</f>
        <v/>
      </c>
      <c r="N106" s="19">
        <f>IF(E106="","",MAX(F106-G106,ABS(F106-L106),ABS(G106-L106)))</f>
        <v/>
      </c>
      <c r="O106" s="14">
        <f>IF(E106="","",IF(AND(I106&gt;0,I106&gt;(I106/3)*2.5),"VOL-OK","VOL-NG"))</f>
        <v/>
      </c>
      <c r="P106" s="14">
        <f>IF(E106="","",IF(E106&gt;J106,"ON","OFF"))</f>
        <v/>
      </c>
      <c r="Q106" s="14">
        <f>IF(E106="","",IF(E106&lt;K106,"ON","OFF"))</f>
        <v/>
      </c>
      <c r="R106" s="14">
        <f>IF(OR(E106="",N106&lt;=0),"",IF(AND(M106="BUY-DAY",O106="VOL-OK",Q106="ON",AA106="OK",AB106&lt;&gt;"DOWN"),"BUY",IF(AND(M106="SELL-DAY",O106="VOL-OK",P106="ON",AA106="OK",AB106&lt;&gt;"UP"),"SELL","")))</f>
        <v/>
      </c>
      <c r="S106" s="19">
        <f>IF(R106="","",E106)</f>
        <v/>
      </c>
      <c r="T106" s="19">
        <f>IF(R106="","",IF(R106="BUY",E106-N106*1.5,E106+N106*1.5))</f>
        <v/>
      </c>
      <c r="U106" s="19">
        <f>IF(R106="","",IF(R106="BUY",E106+N106*1.5,E106-N106*1.5))</f>
        <v/>
      </c>
      <c r="V106" s="19">
        <f>IF(R106="","",IF(R106="BUY",E106+N106*2,E106-N106*2))</f>
        <v/>
      </c>
      <c r="W106" s="19">
        <f>IF(R106="","",IF(R106="BUY",E106+N106*3,E106-N106*3))</f>
        <v/>
      </c>
      <c r="X106" s="14">
        <f>IF(OR(E106="",N106&lt;=0),"",IF(AND(E106&gt;H106,ABS(E106-H106)&lt;N106*0.5),"2ND","1ST"))</f>
        <v/>
      </c>
      <c r="Y106" s="14">
        <f>IF(OR(E106="",N106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06" s="14">
        <f>IF(OR(E106="",N106&lt;=0),"",IF(N106&gt;E106*0.05,"VOL-HIGH","VOL-NORMAL"))</f>
        <v/>
      </c>
      <c r="AA106" s="14">
        <f>IF(OR(E106="",N106&lt;=0),"",IF(AND(O106="VOL-OK",Z106="VOL-NORMAL",X106="2ND"),"OK","NG"))</f>
        <v/>
      </c>
      <c r="AB106" s="14">
        <f>IF(OR(E106="",N106&lt;=0),"",IF(AND(F106&gt;J106,G106&gt;K106),"UP",IF(AND(F106&lt;J106,G106&lt;K106),"DOWN","FLAT")))</f>
        <v/>
      </c>
    </row>
    <row r="107" ht="26" customHeight="1" s="1">
      <c r="A107" s="8">
        <f>IF(C107="","",ROW()-2)</f>
        <v/>
      </c>
      <c r="B107" s="9">
        <f>IF('StockList_MS2'!A106="","",HYPERLINK("https://kabutan.jp/stock/?code="&amp;'StockList_MS2'!A106,"株探"))</f>
        <v/>
      </c>
      <c r="C107" s="8">
        <f>IF('StockList_MS2'!A106="","",'StockList_MS2'!A106)</f>
        <v/>
      </c>
      <c r="D107" s="10">
        <f>IF('StockList_MS2'!A106="","",'StockList_MS2'!B106)</f>
        <v/>
      </c>
      <c r="E107" s="11" t="n"/>
      <c r="F107" s="11" t="n"/>
      <c r="G107" s="11" t="n"/>
      <c r="H107" s="11" t="n"/>
      <c r="I107" s="12" t="n"/>
      <c r="J107" s="11" t="n"/>
      <c r="K107" s="11" t="n"/>
      <c r="L107" s="11" t="n"/>
      <c r="M107" s="8">
        <f>IF(E107="","",IF(E107&gt;L107,"BUY-DAY","SELL-DAY"))</f>
        <v/>
      </c>
      <c r="N107" s="13">
        <f>IF(E107="","",MAX(F107-G107,ABS(F107-L107),ABS(G107-L107)))</f>
        <v/>
      </c>
      <c r="O107" s="8">
        <f>IF(E107="","",IF(AND(I107&gt;0,I107&gt;(I107/3)*2.5),"VOL-OK","VOL-NG"))</f>
        <v/>
      </c>
      <c r="P107" s="8">
        <f>IF(E107="","",IF(E107&gt;J107,"ON","OFF"))</f>
        <v/>
      </c>
      <c r="Q107" s="8">
        <f>IF(E107="","",IF(E107&lt;K107,"ON","OFF"))</f>
        <v/>
      </c>
      <c r="R107" s="8">
        <f>IF(OR(E107="",N107&lt;=0),"",IF(AND(M107="BUY-DAY",O107="VOL-OK",Q107="ON",AA107="OK",AB107&lt;&gt;"DOWN"),"BUY",IF(AND(M107="SELL-DAY",O107="VOL-OK",P107="ON",AA107="OK",AB107&lt;&gt;"UP"),"SELL","")))</f>
        <v/>
      </c>
      <c r="S107" s="13">
        <f>IF(R107="","",E107)</f>
        <v/>
      </c>
      <c r="T107" s="13">
        <f>IF(R107="","",IF(R107="BUY",E107-N107*1.5,E107+N107*1.5))</f>
        <v/>
      </c>
      <c r="U107" s="13">
        <f>IF(R107="","",IF(R107="BUY",E107+N107*1.5,E107-N107*1.5))</f>
        <v/>
      </c>
      <c r="V107" s="13">
        <f>IF(R107="","",IF(R107="BUY",E107+N107*2,E107-N107*2))</f>
        <v/>
      </c>
      <c r="W107" s="13">
        <f>IF(R107="","",IF(R107="BUY",E107+N107*3,E107-N107*3))</f>
        <v/>
      </c>
      <c r="X107" s="8">
        <f>IF(OR(E107="",N107&lt;=0),"",IF(AND(E107&gt;H107,ABS(E107-H107)&lt;N107*0.5),"2ND","1ST"))</f>
        <v/>
      </c>
      <c r="Y107" s="8">
        <f>IF(OR(E107="",N107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07" s="8">
        <f>IF(OR(E107="",N107&lt;=0),"",IF(N107&gt;E107*0.05,"VOL-HIGH","VOL-NORMAL"))</f>
        <v/>
      </c>
      <c r="AA107" s="8">
        <f>IF(OR(E107="",N107&lt;=0),"",IF(AND(O107="VOL-OK",Z107="VOL-NORMAL",X107="2ND"),"OK","NG"))</f>
        <v/>
      </c>
      <c r="AB107" s="8">
        <f>IF(OR(E107="",N107&lt;=0),"",IF(AND(F107&gt;J107,G107&gt;K107),"UP",IF(AND(F107&lt;J107,G107&lt;K107),"DOWN","FLAT")))</f>
        <v/>
      </c>
    </row>
    <row r="108" ht="26" customHeight="1" s="1">
      <c r="A108" s="14">
        <f>IF(C108="","",ROW()-2)</f>
        <v/>
      </c>
      <c r="B108" s="15">
        <f>IF('StockList_MS2'!A107="","",HYPERLINK("https://kabutan.jp/stock/?code="&amp;'StockList_MS2'!A107,"株探"))</f>
        <v/>
      </c>
      <c r="C108" s="14">
        <f>IF('StockList_MS2'!A107="","",'StockList_MS2'!A107)</f>
        <v/>
      </c>
      <c r="D108" s="16">
        <f>IF('StockList_MS2'!A107="","",'StockList_MS2'!B107)</f>
        <v/>
      </c>
      <c r="E108" s="17" t="n"/>
      <c r="F108" s="17" t="n"/>
      <c r="G108" s="17" t="n"/>
      <c r="H108" s="17" t="n"/>
      <c r="I108" s="18" t="n"/>
      <c r="J108" s="17" t="n"/>
      <c r="K108" s="17" t="n"/>
      <c r="L108" s="17" t="n"/>
      <c r="M108" s="14">
        <f>IF(E108="","",IF(E108&gt;L108,"BUY-DAY","SELL-DAY"))</f>
        <v/>
      </c>
      <c r="N108" s="19">
        <f>IF(E108="","",MAX(F108-G108,ABS(F108-L108),ABS(G108-L108)))</f>
        <v/>
      </c>
      <c r="O108" s="14">
        <f>IF(E108="","",IF(AND(I108&gt;0,I108&gt;(I108/3)*2.5),"VOL-OK","VOL-NG"))</f>
        <v/>
      </c>
      <c r="P108" s="14">
        <f>IF(E108="","",IF(E108&gt;J108,"ON","OFF"))</f>
        <v/>
      </c>
      <c r="Q108" s="14">
        <f>IF(E108="","",IF(E108&lt;K108,"ON","OFF"))</f>
        <v/>
      </c>
      <c r="R108" s="14">
        <f>IF(OR(E108="",N108&lt;=0),"",IF(AND(M108="BUY-DAY",O108="VOL-OK",Q108="ON",AA108="OK",AB108&lt;&gt;"DOWN"),"BUY",IF(AND(M108="SELL-DAY",O108="VOL-OK",P108="ON",AA108="OK",AB108&lt;&gt;"UP"),"SELL","")))</f>
        <v/>
      </c>
      <c r="S108" s="19">
        <f>IF(R108="","",E108)</f>
        <v/>
      </c>
      <c r="T108" s="19">
        <f>IF(R108="","",IF(R108="BUY",E108-N108*1.5,E108+N108*1.5))</f>
        <v/>
      </c>
      <c r="U108" s="19">
        <f>IF(R108="","",IF(R108="BUY",E108+N108*1.5,E108-N108*1.5))</f>
        <v/>
      </c>
      <c r="V108" s="19">
        <f>IF(R108="","",IF(R108="BUY",E108+N108*2,E108-N108*2))</f>
        <v/>
      </c>
      <c r="W108" s="19">
        <f>IF(R108="","",IF(R108="BUY",E108+N108*3,E108-N108*3))</f>
        <v/>
      </c>
      <c r="X108" s="14">
        <f>IF(OR(E108="",N108&lt;=0),"",IF(AND(E108&gt;H108,ABS(E108-H108)&lt;N108*0.5),"2ND","1ST"))</f>
        <v/>
      </c>
      <c r="Y108" s="14">
        <f>IF(OR(E108="",N108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08" s="14">
        <f>IF(OR(E108="",N108&lt;=0),"",IF(N108&gt;E108*0.05,"VOL-HIGH","VOL-NORMAL"))</f>
        <v/>
      </c>
      <c r="AA108" s="14">
        <f>IF(OR(E108="",N108&lt;=0),"",IF(AND(O108="VOL-OK",Z108="VOL-NORMAL",X108="2ND"),"OK","NG"))</f>
        <v/>
      </c>
      <c r="AB108" s="14">
        <f>IF(OR(E108="",N108&lt;=0),"",IF(AND(F108&gt;J108,G108&gt;K108),"UP",IF(AND(F108&lt;J108,G108&lt;K108),"DOWN","FLAT")))</f>
        <v/>
      </c>
    </row>
    <row r="109" ht="26" customHeight="1" s="1">
      <c r="A109" s="8">
        <f>IF(C109="","",ROW()-2)</f>
        <v/>
      </c>
      <c r="B109" s="9">
        <f>IF('StockList_MS2'!A108="","",HYPERLINK("https://kabutan.jp/stock/?code="&amp;'StockList_MS2'!A108,"株探"))</f>
        <v/>
      </c>
      <c r="C109" s="8">
        <f>IF('StockList_MS2'!A108="","",'StockList_MS2'!A108)</f>
        <v/>
      </c>
      <c r="D109" s="10">
        <f>IF('StockList_MS2'!A108="","",'StockList_MS2'!B108)</f>
        <v/>
      </c>
      <c r="E109" s="11" t="n"/>
      <c r="F109" s="11" t="n"/>
      <c r="G109" s="11" t="n"/>
      <c r="H109" s="11" t="n"/>
      <c r="I109" s="12" t="n"/>
      <c r="J109" s="11" t="n"/>
      <c r="K109" s="11" t="n"/>
      <c r="L109" s="11" t="n"/>
      <c r="M109" s="8">
        <f>IF(E109="","",IF(E109&gt;L109,"BUY-DAY","SELL-DAY"))</f>
        <v/>
      </c>
      <c r="N109" s="13">
        <f>IF(E109="","",MAX(F109-G109,ABS(F109-L109),ABS(G109-L109)))</f>
        <v/>
      </c>
      <c r="O109" s="8">
        <f>IF(E109="","",IF(AND(I109&gt;0,I109&gt;(I109/3)*2.5),"VOL-OK","VOL-NG"))</f>
        <v/>
      </c>
      <c r="P109" s="8">
        <f>IF(E109="","",IF(E109&gt;J109,"ON","OFF"))</f>
        <v/>
      </c>
      <c r="Q109" s="8">
        <f>IF(E109="","",IF(E109&lt;K109,"ON","OFF"))</f>
        <v/>
      </c>
      <c r="R109" s="8">
        <f>IF(OR(E109="",N109&lt;=0),"",IF(AND(M109="BUY-DAY",O109="VOL-OK",Q109="ON",AA109="OK",AB109&lt;&gt;"DOWN"),"BUY",IF(AND(M109="SELL-DAY",O109="VOL-OK",P109="ON",AA109="OK",AB109&lt;&gt;"UP"),"SELL","")))</f>
        <v/>
      </c>
      <c r="S109" s="13">
        <f>IF(R109="","",E109)</f>
        <v/>
      </c>
      <c r="T109" s="13">
        <f>IF(R109="","",IF(R109="BUY",E109-N109*1.5,E109+N109*1.5))</f>
        <v/>
      </c>
      <c r="U109" s="13">
        <f>IF(R109="","",IF(R109="BUY",E109+N109*1.5,E109-N109*1.5))</f>
        <v/>
      </c>
      <c r="V109" s="13">
        <f>IF(R109="","",IF(R109="BUY",E109+N109*2,E109-N109*2))</f>
        <v/>
      </c>
      <c r="W109" s="13">
        <f>IF(R109="","",IF(R109="BUY",E109+N109*3,E109-N109*3))</f>
        <v/>
      </c>
      <c r="X109" s="8">
        <f>IF(OR(E109="",N109&lt;=0),"",IF(AND(E109&gt;H109,ABS(E109-H109)&lt;N109*0.5),"2ND","1ST"))</f>
        <v/>
      </c>
      <c r="Y109" s="8">
        <f>IF(OR(E109="",N109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09" s="8">
        <f>IF(OR(E109="",N109&lt;=0),"",IF(N109&gt;E109*0.05,"VOL-HIGH","VOL-NORMAL"))</f>
        <v/>
      </c>
      <c r="AA109" s="8">
        <f>IF(OR(E109="",N109&lt;=0),"",IF(AND(O109="VOL-OK",Z109="VOL-NORMAL",X109="2ND"),"OK","NG"))</f>
        <v/>
      </c>
      <c r="AB109" s="8">
        <f>IF(OR(E109="",N109&lt;=0),"",IF(AND(F109&gt;J109,G109&gt;K109),"UP",IF(AND(F109&lt;J109,G109&lt;K109),"DOWN","FLAT")))</f>
        <v/>
      </c>
    </row>
    <row r="110" ht="26" customHeight="1" s="1">
      <c r="A110" s="14">
        <f>IF(C110="","",ROW()-2)</f>
        <v/>
      </c>
      <c r="B110" s="15">
        <f>IF('StockList_MS2'!A109="","",HYPERLINK("https://kabutan.jp/stock/?code="&amp;'StockList_MS2'!A109,"株探"))</f>
        <v/>
      </c>
      <c r="C110" s="14">
        <f>IF('StockList_MS2'!A109="","",'StockList_MS2'!A109)</f>
        <v/>
      </c>
      <c r="D110" s="16">
        <f>IF('StockList_MS2'!A109="","",'StockList_MS2'!B109)</f>
        <v/>
      </c>
      <c r="E110" s="17" t="n"/>
      <c r="F110" s="17" t="n"/>
      <c r="G110" s="17" t="n"/>
      <c r="H110" s="17" t="n"/>
      <c r="I110" s="18" t="n"/>
      <c r="J110" s="17" t="n"/>
      <c r="K110" s="17" t="n"/>
      <c r="L110" s="17" t="n"/>
      <c r="M110" s="14">
        <f>IF(E110="","",IF(E110&gt;L110,"BUY-DAY","SELL-DAY"))</f>
        <v/>
      </c>
      <c r="N110" s="19">
        <f>IF(E110="","",MAX(F110-G110,ABS(F110-L110),ABS(G110-L110)))</f>
        <v/>
      </c>
      <c r="O110" s="14">
        <f>IF(E110="","",IF(AND(I110&gt;0,I110&gt;(I110/3)*2.5),"VOL-OK","VOL-NG"))</f>
        <v/>
      </c>
      <c r="P110" s="14">
        <f>IF(E110="","",IF(E110&gt;J110,"ON","OFF"))</f>
        <v/>
      </c>
      <c r="Q110" s="14">
        <f>IF(E110="","",IF(E110&lt;K110,"ON","OFF"))</f>
        <v/>
      </c>
      <c r="R110" s="14">
        <f>IF(OR(E110="",N110&lt;=0),"",IF(AND(M110="BUY-DAY",O110="VOL-OK",Q110="ON",AA110="OK",AB110&lt;&gt;"DOWN"),"BUY",IF(AND(M110="SELL-DAY",O110="VOL-OK",P110="ON",AA110="OK",AB110&lt;&gt;"UP"),"SELL","")))</f>
        <v/>
      </c>
      <c r="S110" s="19">
        <f>IF(R110="","",E110)</f>
        <v/>
      </c>
      <c r="T110" s="19">
        <f>IF(R110="","",IF(R110="BUY",E110-N110*1.5,E110+N110*1.5))</f>
        <v/>
      </c>
      <c r="U110" s="19">
        <f>IF(R110="","",IF(R110="BUY",E110+N110*1.5,E110-N110*1.5))</f>
        <v/>
      </c>
      <c r="V110" s="19">
        <f>IF(R110="","",IF(R110="BUY",E110+N110*2,E110-N110*2))</f>
        <v/>
      </c>
      <c r="W110" s="19">
        <f>IF(R110="","",IF(R110="BUY",E110+N110*3,E110-N110*3))</f>
        <v/>
      </c>
      <c r="X110" s="14">
        <f>IF(OR(E110="",N110&lt;=0),"",IF(AND(E110&gt;H110,ABS(E110-H110)&lt;N110*0.5),"2ND","1ST"))</f>
        <v/>
      </c>
      <c r="Y110" s="14">
        <f>IF(OR(E110="",N110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10" s="14">
        <f>IF(OR(E110="",N110&lt;=0),"",IF(N110&gt;E110*0.05,"VOL-HIGH","VOL-NORMAL"))</f>
        <v/>
      </c>
      <c r="AA110" s="14">
        <f>IF(OR(E110="",N110&lt;=0),"",IF(AND(O110="VOL-OK",Z110="VOL-NORMAL",X110="2ND"),"OK","NG"))</f>
        <v/>
      </c>
      <c r="AB110" s="14">
        <f>IF(OR(E110="",N110&lt;=0),"",IF(AND(F110&gt;J110,G110&gt;K110),"UP",IF(AND(F110&lt;J110,G110&lt;K110),"DOWN","FLAT")))</f>
        <v/>
      </c>
    </row>
    <row r="111" ht="26" customHeight="1" s="1">
      <c r="A111" s="8">
        <f>IF(C111="","",ROW()-2)</f>
        <v/>
      </c>
      <c r="B111" s="9">
        <f>IF('StockList_MS2'!A110="","",HYPERLINK("https://kabutan.jp/stock/?code="&amp;'StockList_MS2'!A110,"株探"))</f>
        <v/>
      </c>
      <c r="C111" s="8">
        <f>IF('StockList_MS2'!A110="","",'StockList_MS2'!A110)</f>
        <v/>
      </c>
      <c r="D111" s="10">
        <f>IF('StockList_MS2'!A110="","",'StockList_MS2'!B110)</f>
        <v/>
      </c>
      <c r="E111" s="11" t="n"/>
      <c r="F111" s="11" t="n"/>
      <c r="G111" s="11" t="n"/>
      <c r="H111" s="11" t="n"/>
      <c r="I111" s="12" t="n"/>
      <c r="J111" s="11" t="n"/>
      <c r="K111" s="11" t="n"/>
      <c r="L111" s="11" t="n"/>
      <c r="M111" s="8">
        <f>IF(E111="","",IF(E111&gt;L111,"BUY-DAY","SELL-DAY"))</f>
        <v/>
      </c>
      <c r="N111" s="13">
        <f>IF(E111="","",MAX(F111-G111,ABS(F111-L111),ABS(G111-L111)))</f>
        <v/>
      </c>
      <c r="O111" s="8">
        <f>IF(E111="","",IF(AND(I111&gt;0,I111&gt;(I111/3)*2.5),"VOL-OK","VOL-NG"))</f>
        <v/>
      </c>
      <c r="P111" s="8">
        <f>IF(E111="","",IF(E111&gt;J111,"ON","OFF"))</f>
        <v/>
      </c>
      <c r="Q111" s="8">
        <f>IF(E111="","",IF(E111&lt;K111,"ON","OFF"))</f>
        <v/>
      </c>
      <c r="R111" s="8">
        <f>IF(OR(E111="",N111&lt;=0),"",IF(AND(M111="BUY-DAY",O111="VOL-OK",Q111="ON",AA111="OK",AB111&lt;&gt;"DOWN"),"BUY",IF(AND(M111="SELL-DAY",O111="VOL-OK",P111="ON",AA111="OK",AB111&lt;&gt;"UP"),"SELL","")))</f>
        <v/>
      </c>
      <c r="S111" s="13">
        <f>IF(R111="","",E111)</f>
        <v/>
      </c>
      <c r="T111" s="13">
        <f>IF(R111="","",IF(R111="BUY",E111-N111*1.5,E111+N111*1.5))</f>
        <v/>
      </c>
      <c r="U111" s="13">
        <f>IF(R111="","",IF(R111="BUY",E111+N111*1.5,E111-N111*1.5))</f>
        <v/>
      </c>
      <c r="V111" s="13">
        <f>IF(R111="","",IF(R111="BUY",E111+N111*2,E111-N111*2))</f>
        <v/>
      </c>
      <c r="W111" s="13">
        <f>IF(R111="","",IF(R111="BUY",E111+N111*3,E111-N111*3))</f>
        <v/>
      </c>
      <c r="X111" s="8">
        <f>IF(OR(E111="",N111&lt;=0),"",IF(AND(E111&gt;H111,ABS(E111-H111)&lt;N111*0.5),"2ND","1ST"))</f>
        <v/>
      </c>
      <c r="Y111" s="8">
        <f>IF(OR(E111="",N111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11" s="8">
        <f>IF(OR(E111="",N111&lt;=0),"",IF(N111&gt;E111*0.05,"VOL-HIGH","VOL-NORMAL"))</f>
        <v/>
      </c>
      <c r="AA111" s="8">
        <f>IF(OR(E111="",N111&lt;=0),"",IF(AND(O111="VOL-OK",Z111="VOL-NORMAL",X111="2ND"),"OK","NG"))</f>
        <v/>
      </c>
      <c r="AB111" s="8">
        <f>IF(OR(E111="",N111&lt;=0),"",IF(AND(F111&gt;J111,G111&gt;K111),"UP",IF(AND(F111&lt;J111,G111&lt;K111),"DOWN","FLAT")))</f>
        <v/>
      </c>
    </row>
    <row r="112" ht="26" customHeight="1" s="1">
      <c r="A112" s="14">
        <f>IF(C112="","",ROW()-2)</f>
        <v/>
      </c>
      <c r="B112" s="15">
        <f>IF('StockList_MS2'!A111="","",HYPERLINK("https://kabutan.jp/stock/?code="&amp;'StockList_MS2'!A111,"株探"))</f>
        <v/>
      </c>
      <c r="C112" s="14">
        <f>IF('StockList_MS2'!A111="","",'StockList_MS2'!A111)</f>
        <v/>
      </c>
      <c r="D112" s="16">
        <f>IF('StockList_MS2'!A111="","",'StockList_MS2'!B111)</f>
        <v/>
      </c>
      <c r="E112" s="17" t="n"/>
      <c r="F112" s="17" t="n"/>
      <c r="G112" s="17" t="n"/>
      <c r="H112" s="17" t="n"/>
      <c r="I112" s="18" t="n"/>
      <c r="J112" s="17" t="n"/>
      <c r="K112" s="17" t="n"/>
      <c r="L112" s="17" t="n"/>
      <c r="M112" s="14">
        <f>IF(E112="","",IF(E112&gt;L112,"BUY-DAY","SELL-DAY"))</f>
        <v/>
      </c>
      <c r="N112" s="19">
        <f>IF(E112="","",MAX(F112-G112,ABS(F112-L112),ABS(G112-L112)))</f>
        <v/>
      </c>
      <c r="O112" s="14">
        <f>IF(E112="","",IF(AND(I112&gt;0,I112&gt;(I112/3)*2.5),"VOL-OK","VOL-NG"))</f>
        <v/>
      </c>
      <c r="P112" s="14">
        <f>IF(E112="","",IF(E112&gt;J112,"ON","OFF"))</f>
        <v/>
      </c>
      <c r="Q112" s="14">
        <f>IF(E112="","",IF(E112&lt;K112,"ON","OFF"))</f>
        <v/>
      </c>
      <c r="R112" s="14">
        <f>IF(OR(E112="",N112&lt;=0),"",IF(AND(M112="BUY-DAY",O112="VOL-OK",Q112="ON",AA112="OK",AB112&lt;&gt;"DOWN"),"BUY",IF(AND(M112="SELL-DAY",O112="VOL-OK",P112="ON",AA112="OK",AB112&lt;&gt;"UP"),"SELL","")))</f>
        <v/>
      </c>
      <c r="S112" s="19">
        <f>IF(R112="","",E112)</f>
        <v/>
      </c>
      <c r="T112" s="19">
        <f>IF(R112="","",IF(R112="BUY",E112-N112*1.5,E112+N112*1.5))</f>
        <v/>
      </c>
      <c r="U112" s="19">
        <f>IF(R112="","",IF(R112="BUY",E112+N112*1.5,E112-N112*1.5))</f>
        <v/>
      </c>
      <c r="V112" s="19">
        <f>IF(R112="","",IF(R112="BUY",E112+N112*2,E112-N112*2))</f>
        <v/>
      </c>
      <c r="W112" s="19">
        <f>IF(R112="","",IF(R112="BUY",E112+N112*3,E112-N112*3))</f>
        <v/>
      </c>
      <c r="X112" s="14">
        <f>IF(OR(E112="",N112&lt;=0),"",IF(AND(E112&gt;H112,ABS(E112-H112)&lt;N112*0.5),"2ND","1ST"))</f>
        <v/>
      </c>
      <c r="Y112" s="14">
        <f>IF(OR(E112="",N112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12" s="14">
        <f>IF(OR(E112="",N112&lt;=0),"",IF(N112&gt;E112*0.05,"VOL-HIGH","VOL-NORMAL"))</f>
        <v/>
      </c>
      <c r="AA112" s="14">
        <f>IF(OR(E112="",N112&lt;=0),"",IF(AND(O112="VOL-OK",Z112="VOL-NORMAL",X112="2ND"),"OK","NG"))</f>
        <v/>
      </c>
      <c r="AB112" s="14">
        <f>IF(OR(E112="",N112&lt;=0),"",IF(AND(F112&gt;J112,G112&gt;K112),"UP",IF(AND(F112&lt;J112,G112&lt;K112),"DOWN","FLAT")))</f>
        <v/>
      </c>
    </row>
    <row r="113" ht="26" customHeight="1" s="1">
      <c r="A113" s="8">
        <f>IF(C113="","",ROW()-2)</f>
        <v/>
      </c>
      <c r="B113" s="9">
        <f>IF('StockList_MS2'!A112="","",HYPERLINK("https://kabutan.jp/stock/?code="&amp;'StockList_MS2'!A112,"株探"))</f>
        <v/>
      </c>
      <c r="C113" s="8">
        <f>IF('StockList_MS2'!A112="","",'StockList_MS2'!A112)</f>
        <v/>
      </c>
      <c r="D113" s="10">
        <f>IF('StockList_MS2'!A112="","",'StockList_MS2'!B112)</f>
        <v/>
      </c>
      <c r="E113" s="11" t="n"/>
      <c r="F113" s="11" t="n"/>
      <c r="G113" s="11" t="n"/>
      <c r="H113" s="11" t="n"/>
      <c r="I113" s="12" t="n"/>
      <c r="J113" s="11" t="n"/>
      <c r="K113" s="11" t="n"/>
      <c r="L113" s="11" t="n"/>
      <c r="M113" s="8">
        <f>IF(E113="","",IF(E113&gt;L113,"BUY-DAY","SELL-DAY"))</f>
        <v/>
      </c>
      <c r="N113" s="13">
        <f>IF(E113="","",MAX(F113-G113,ABS(F113-L113),ABS(G113-L113)))</f>
        <v/>
      </c>
      <c r="O113" s="8">
        <f>IF(E113="","",IF(AND(I113&gt;0,I113&gt;(I113/3)*2.5),"VOL-OK","VOL-NG"))</f>
        <v/>
      </c>
      <c r="P113" s="8">
        <f>IF(E113="","",IF(E113&gt;J113,"ON","OFF"))</f>
        <v/>
      </c>
      <c r="Q113" s="8">
        <f>IF(E113="","",IF(E113&lt;K113,"ON","OFF"))</f>
        <v/>
      </c>
      <c r="R113" s="8">
        <f>IF(OR(E113="",N113&lt;=0),"",IF(AND(M113="BUY-DAY",O113="VOL-OK",Q113="ON",AA113="OK",AB113&lt;&gt;"DOWN"),"BUY",IF(AND(M113="SELL-DAY",O113="VOL-OK",P113="ON",AA113="OK",AB113&lt;&gt;"UP"),"SELL","")))</f>
        <v/>
      </c>
      <c r="S113" s="13">
        <f>IF(R113="","",E113)</f>
        <v/>
      </c>
      <c r="T113" s="13">
        <f>IF(R113="","",IF(R113="BUY",E113-N113*1.5,E113+N113*1.5))</f>
        <v/>
      </c>
      <c r="U113" s="13">
        <f>IF(R113="","",IF(R113="BUY",E113+N113*1.5,E113-N113*1.5))</f>
        <v/>
      </c>
      <c r="V113" s="13">
        <f>IF(R113="","",IF(R113="BUY",E113+N113*2,E113-N113*2))</f>
        <v/>
      </c>
      <c r="W113" s="13">
        <f>IF(R113="","",IF(R113="BUY",E113+N113*3,E113-N113*3))</f>
        <v/>
      </c>
      <c r="X113" s="8">
        <f>IF(OR(E113="",N113&lt;=0),"",IF(AND(E113&gt;H113,ABS(E113-H113)&lt;N113*0.5),"2ND","1ST"))</f>
        <v/>
      </c>
      <c r="Y113" s="8">
        <f>IF(OR(E113="",N113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13" s="8">
        <f>IF(OR(E113="",N113&lt;=0),"",IF(N113&gt;E113*0.05,"VOL-HIGH","VOL-NORMAL"))</f>
        <v/>
      </c>
      <c r="AA113" s="8">
        <f>IF(OR(E113="",N113&lt;=0),"",IF(AND(O113="VOL-OK",Z113="VOL-NORMAL",X113="2ND"),"OK","NG"))</f>
        <v/>
      </c>
      <c r="AB113" s="8">
        <f>IF(OR(E113="",N113&lt;=0),"",IF(AND(F113&gt;J113,G113&gt;K113),"UP",IF(AND(F113&lt;J113,G113&lt;K113),"DOWN","FLAT")))</f>
        <v/>
      </c>
    </row>
    <row r="114" ht="26" customHeight="1" s="1">
      <c r="A114" s="14">
        <f>IF(C114="","",ROW()-2)</f>
        <v/>
      </c>
      <c r="B114" s="15">
        <f>IF('StockList_MS2'!A113="","",HYPERLINK("https://kabutan.jp/stock/?code="&amp;'StockList_MS2'!A113,"株探"))</f>
        <v/>
      </c>
      <c r="C114" s="14">
        <f>IF('StockList_MS2'!A113="","",'StockList_MS2'!A113)</f>
        <v/>
      </c>
      <c r="D114" s="16">
        <f>IF('StockList_MS2'!A113="","",'StockList_MS2'!B113)</f>
        <v/>
      </c>
      <c r="E114" s="17" t="n"/>
      <c r="F114" s="17" t="n"/>
      <c r="G114" s="17" t="n"/>
      <c r="H114" s="17" t="n"/>
      <c r="I114" s="18" t="n"/>
      <c r="J114" s="17" t="n"/>
      <c r="K114" s="17" t="n"/>
      <c r="L114" s="17" t="n"/>
      <c r="M114" s="14">
        <f>IF(E114="","",IF(E114&gt;L114,"BUY-DAY","SELL-DAY"))</f>
        <v/>
      </c>
      <c r="N114" s="19">
        <f>IF(E114="","",MAX(F114-G114,ABS(F114-L114),ABS(G114-L114)))</f>
        <v/>
      </c>
      <c r="O114" s="14">
        <f>IF(E114="","",IF(AND(I114&gt;0,I114&gt;(I114/3)*2.5),"VOL-OK","VOL-NG"))</f>
        <v/>
      </c>
      <c r="P114" s="14">
        <f>IF(E114="","",IF(E114&gt;J114,"ON","OFF"))</f>
        <v/>
      </c>
      <c r="Q114" s="14">
        <f>IF(E114="","",IF(E114&lt;K114,"ON","OFF"))</f>
        <v/>
      </c>
      <c r="R114" s="14">
        <f>IF(OR(E114="",N114&lt;=0),"",IF(AND(M114="BUY-DAY",O114="VOL-OK",Q114="ON",AA114="OK",AB114&lt;&gt;"DOWN"),"BUY",IF(AND(M114="SELL-DAY",O114="VOL-OK",P114="ON",AA114="OK",AB114&lt;&gt;"UP"),"SELL","")))</f>
        <v/>
      </c>
      <c r="S114" s="19">
        <f>IF(R114="","",E114)</f>
        <v/>
      </c>
      <c r="T114" s="19">
        <f>IF(R114="","",IF(R114="BUY",E114-N114*1.5,E114+N114*1.5))</f>
        <v/>
      </c>
      <c r="U114" s="19">
        <f>IF(R114="","",IF(R114="BUY",E114+N114*1.5,E114-N114*1.5))</f>
        <v/>
      </c>
      <c r="V114" s="19">
        <f>IF(R114="","",IF(R114="BUY",E114+N114*2,E114-N114*2))</f>
        <v/>
      </c>
      <c r="W114" s="19">
        <f>IF(R114="","",IF(R114="BUY",E114+N114*3,E114-N114*3))</f>
        <v/>
      </c>
      <c r="X114" s="14">
        <f>IF(OR(E114="",N114&lt;=0),"",IF(AND(E114&gt;H114,ABS(E114-H114)&lt;N114*0.5),"2ND","1ST"))</f>
        <v/>
      </c>
      <c r="Y114" s="14">
        <f>IF(OR(E114="",N114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14" s="14">
        <f>IF(OR(E114="",N114&lt;=0),"",IF(N114&gt;E114*0.05,"VOL-HIGH","VOL-NORMAL"))</f>
        <v/>
      </c>
      <c r="AA114" s="14">
        <f>IF(OR(E114="",N114&lt;=0),"",IF(AND(O114="VOL-OK",Z114="VOL-NORMAL",X114="2ND"),"OK","NG"))</f>
        <v/>
      </c>
      <c r="AB114" s="14">
        <f>IF(OR(E114="",N114&lt;=0),"",IF(AND(F114&gt;J114,G114&gt;K114),"UP",IF(AND(F114&lt;J114,G114&lt;K114),"DOWN","FLAT")))</f>
        <v/>
      </c>
    </row>
    <row r="115" ht="26" customHeight="1" s="1">
      <c r="A115" s="8">
        <f>IF(C115="","",ROW()-2)</f>
        <v/>
      </c>
      <c r="B115" s="9">
        <f>IF('StockList_MS2'!A114="","",HYPERLINK("https://kabutan.jp/stock/?code="&amp;'StockList_MS2'!A114,"株探"))</f>
        <v/>
      </c>
      <c r="C115" s="8">
        <f>IF('StockList_MS2'!A114="","",'StockList_MS2'!A114)</f>
        <v/>
      </c>
      <c r="D115" s="10">
        <f>IF('StockList_MS2'!A114="","",'StockList_MS2'!B114)</f>
        <v/>
      </c>
      <c r="E115" s="11" t="n"/>
      <c r="F115" s="11" t="n"/>
      <c r="G115" s="11" t="n"/>
      <c r="H115" s="11" t="n"/>
      <c r="I115" s="12" t="n"/>
      <c r="J115" s="11" t="n"/>
      <c r="K115" s="11" t="n"/>
      <c r="L115" s="11" t="n"/>
      <c r="M115" s="8">
        <f>IF(E115="","",IF(E115&gt;L115,"BUY-DAY","SELL-DAY"))</f>
        <v/>
      </c>
      <c r="N115" s="13">
        <f>IF(E115="","",MAX(F115-G115,ABS(F115-L115),ABS(G115-L115)))</f>
        <v/>
      </c>
      <c r="O115" s="8">
        <f>IF(E115="","",IF(AND(I115&gt;0,I115&gt;(I115/3)*2.5),"VOL-OK","VOL-NG"))</f>
        <v/>
      </c>
      <c r="P115" s="8">
        <f>IF(E115="","",IF(E115&gt;J115,"ON","OFF"))</f>
        <v/>
      </c>
      <c r="Q115" s="8">
        <f>IF(E115="","",IF(E115&lt;K115,"ON","OFF"))</f>
        <v/>
      </c>
      <c r="R115" s="8">
        <f>IF(OR(E115="",N115&lt;=0),"",IF(AND(M115="BUY-DAY",O115="VOL-OK",Q115="ON",AA115="OK",AB115&lt;&gt;"DOWN"),"BUY",IF(AND(M115="SELL-DAY",O115="VOL-OK",P115="ON",AA115="OK",AB115&lt;&gt;"UP"),"SELL","")))</f>
        <v/>
      </c>
      <c r="S115" s="13">
        <f>IF(R115="","",E115)</f>
        <v/>
      </c>
      <c r="T115" s="13">
        <f>IF(R115="","",IF(R115="BUY",E115-N115*1.5,E115+N115*1.5))</f>
        <v/>
      </c>
      <c r="U115" s="13">
        <f>IF(R115="","",IF(R115="BUY",E115+N115*1.5,E115-N115*1.5))</f>
        <v/>
      </c>
      <c r="V115" s="13">
        <f>IF(R115="","",IF(R115="BUY",E115+N115*2,E115-N115*2))</f>
        <v/>
      </c>
      <c r="W115" s="13">
        <f>IF(R115="","",IF(R115="BUY",E115+N115*3,E115-N115*3))</f>
        <v/>
      </c>
      <c r="X115" s="8">
        <f>IF(OR(E115="",N115&lt;=0),"",IF(AND(E115&gt;H115,ABS(E115-H115)&lt;N115*0.5),"2ND","1ST"))</f>
        <v/>
      </c>
      <c r="Y115" s="8">
        <f>IF(OR(E115="",N115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15" s="8">
        <f>IF(OR(E115="",N115&lt;=0),"",IF(N115&gt;E115*0.05,"VOL-HIGH","VOL-NORMAL"))</f>
        <v/>
      </c>
      <c r="AA115" s="8">
        <f>IF(OR(E115="",N115&lt;=0),"",IF(AND(O115="VOL-OK",Z115="VOL-NORMAL",X115="2ND"),"OK","NG"))</f>
        <v/>
      </c>
      <c r="AB115" s="8">
        <f>IF(OR(E115="",N115&lt;=0),"",IF(AND(F115&gt;J115,G115&gt;K115),"UP",IF(AND(F115&lt;J115,G115&lt;K115),"DOWN","FLAT")))</f>
        <v/>
      </c>
    </row>
    <row r="116" ht="26" customHeight="1" s="1">
      <c r="A116" s="14">
        <f>IF(C116="","",ROW()-2)</f>
        <v/>
      </c>
      <c r="B116" s="15">
        <f>IF('StockList_MS2'!A115="","",HYPERLINK("https://kabutan.jp/stock/?code="&amp;'StockList_MS2'!A115,"株探"))</f>
        <v/>
      </c>
      <c r="C116" s="14">
        <f>IF('StockList_MS2'!A115="","",'StockList_MS2'!A115)</f>
        <v/>
      </c>
      <c r="D116" s="16">
        <f>IF('StockList_MS2'!A115="","",'StockList_MS2'!B115)</f>
        <v/>
      </c>
      <c r="E116" s="17" t="n"/>
      <c r="F116" s="17" t="n"/>
      <c r="G116" s="17" t="n"/>
      <c r="H116" s="17" t="n"/>
      <c r="I116" s="18" t="n"/>
      <c r="J116" s="17" t="n"/>
      <c r="K116" s="17" t="n"/>
      <c r="L116" s="17" t="n"/>
      <c r="M116" s="14">
        <f>IF(E116="","",IF(E116&gt;L116,"BUY-DAY","SELL-DAY"))</f>
        <v/>
      </c>
      <c r="N116" s="19">
        <f>IF(E116="","",MAX(F116-G116,ABS(F116-L116),ABS(G116-L116)))</f>
        <v/>
      </c>
      <c r="O116" s="14">
        <f>IF(E116="","",IF(AND(I116&gt;0,I116&gt;(I116/3)*2.5),"VOL-OK","VOL-NG"))</f>
        <v/>
      </c>
      <c r="P116" s="14">
        <f>IF(E116="","",IF(E116&gt;J116,"ON","OFF"))</f>
        <v/>
      </c>
      <c r="Q116" s="14">
        <f>IF(E116="","",IF(E116&lt;K116,"ON","OFF"))</f>
        <v/>
      </c>
      <c r="R116" s="14">
        <f>IF(OR(E116="",N116&lt;=0),"",IF(AND(M116="BUY-DAY",O116="VOL-OK",Q116="ON",AA116="OK",AB116&lt;&gt;"DOWN"),"BUY",IF(AND(M116="SELL-DAY",O116="VOL-OK",P116="ON",AA116="OK",AB116&lt;&gt;"UP"),"SELL","")))</f>
        <v/>
      </c>
      <c r="S116" s="19">
        <f>IF(R116="","",E116)</f>
        <v/>
      </c>
      <c r="T116" s="19">
        <f>IF(R116="","",IF(R116="BUY",E116-N116*1.5,E116+N116*1.5))</f>
        <v/>
      </c>
      <c r="U116" s="19">
        <f>IF(R116="","",IF(R116="BUY",E116+N116*1.5,E116-N116*1.5))</f>
        <v/>
      </c>
      <c r="V116" s="19">
        <f>IF(R116="","",IF(R116="BUY",E116+N116*2,E116-N116*2))</f>
        <v/>
      </c>
      <c r="W116" s="19">
        <f>IF(R116="","",IF(R116="BUY",E116+N116*3,E116-N116*3))</f>
        <v/>
      </c>
      <c r="X116" s="14">
        <f>IF(OR(E116="",N116&lt;=0),"",IF(AND(E116&gt;H116,ABS(E116-H116)&lt;N116*0.5),"2ND","1ST"))</f>
        <v/>
      </c>
      <c r="Y116" s="14">
        <f>IF(OR(E116="",N116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16" s="14">
        <f>IF(OR(E116="",N116&lt;=0),"",IF(N116&gt;E116*0.05,"VOL-HIGH","VOL-NORMAL"))</f>
        <v/>
      </c>
      <c r="AA116" s="14">
        <f>IF(OR(E116="",N116&lt;=0),"",IF(AND(O116="VOL-OK",Z116="VOL-NORMAL",X116="2ND"),"OK","NG"))</f>
        <v/>
      </c>
      <c r="AB116" s="14">
        <f>IF(OR(E116="",N116&lt;=0),"",IF(AND(F116&gt;J116,G116&gt;K116),"UP",IF(AND(F116&lt;J116,G116&lt;K116),"DOWN","FLAT")))</f>
        <v/>
      </c>
    </row>
    <row r="117" ht="26" customHeight="1" s="1">
      <c r="A117" s="8">
        <f>IF(C117="","",ROW()-2)</f>
        <v/>
      </c>
      <c r="B117" s="9">
        <f>IF('StockList_MS2'!A116="","",HYPERLINK("https://kabutan.jp/stock/?code="&amp;'StockList_MS2'!A116,"株探"))</f>
        <v/>
      </c>
      <c r="C117" s="8">
        <f>IF('StockList_MS2'!A116="","",'StockList_MS2'!A116)</f>
        <v/>
      </c>
      <c r="D117" s="10">
        <f>IF('StockList_MS2'!A116="","",'StockList_MS2'!B116)</f>
        <v/>
      </c>
      <c r="E117" s="11" t="n"/>
      <c r="F117" s="11" t="n"/>
      <c r="G117" s="11" t="n"/>
      <c r="H117" s="11" t="n"/>
      <c r="I117" s="12" t="n"/>
      <c r="J117" s="11" t="n"/>
      <c r="K117" s="11" t="n"/>
      <c r="L117" s="11" t="n"/>
      <c r="M117" s="8">
        <f>IF(E117="","",IF(E117&gt;L117,"BUY-DAY","SELL-DAY"))</f>
        <v/>
      </c>
      <c r="N117" s="13">
        <f>IF(E117="","",MAX(F117-G117,ABS(F117-L117),ABS(G117-L117)))</f>
        <v/>
      </c>
      <c r="O117" s="8">
        <f>IF(E117="","",IF(AND(I117&gt;0,I117&gt;(I117/3)*2.5),"VOL-OK","VOL-NG"))</f>
        <v/>
      </c>
      <c r="P117" s="8">
        <f>IF(E117="","",IF(E117&gt;J117,"ON","OFF"))</f>
        <v/>
      </c>
      <c r="Q117" s="8">
        <f>IF(E117="","",IF(E117&lt;K117,"ON","OFF"))</f>
        <v/>
      </c>
      <c r="R117" s="8">
        <f>IF(OR(E117="",N117&lt;=0),"",IF(AND(M117="BUY-DAY",O117="VOL-OK",Q117="ON",AA117="OK",AB117&lt;&gt;"DOWN"),"BUY",IF(AND(M117="SELL-DAY",O117="VOL-OK",P117="ON",AA117="OK",AB117&lt;&gt;"UP"),"SELL","")))</f>
        <v/>
      </c>
      <c r="S117" s="13">
        <f>IF(R117="","",E117)</f>
        <v/>
      </c>
      <c r="T117" s="13">
        <f>IF(R117="","",IF(R117="BUY",E117-N117*1.5,E117+N117*1.5))</f>
        <v/>
      </c>
      <c r="U117" s="13">
        <f>IF(R117="","",IF(R117="BUY",E117+N117*1.5,E117-N117*1.5))</f>
        <v/>
      </c>
      <c r="V117" s="13">
        <f>IF(R117="","",IF(R117="BUY",E117+N117*2,E117-N117*2))</f>
        <v/>
      </c>
      <c r="W117" s="13">
        <f>IF(R117="","",IF(R117="BUY",E117+N117*3,E117-N117*3))</f>
        <v/>
      </c>
      <c r="X117" s="8">
        <f>IF(OR(E117="",N117&lt;=0),"",IF(AND(E117&gt;H117,ABS(E117-H117)&lt;N117*0.5),"2ND","1ST"))</f>
        <v/>
      </c>
      <c r="Y117" s="8">
        <f>IF(OR(E117="",N117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17" s="8">
        <f>IF(OR(E117="",N117&lt;=0),"",IF(N117&gt;E117*0.05,"VOL-HIGH","VOL-NORMAL"))</f>
        <v/>
      </c>
      <c r="AA117" s="8">
        <f>IF(OR(E117="",N117&lt;=0),"",IF(AND(O117="VOL-OK",Z117="VOL-NORMAL",X117="2ND"),"OK","NG"))</f>
        <v/>
      </c>
      <c r="AB117" s="8">
        <f>IF(OR(E117="",N117&lt;=0),"",IF(AND(F117&gt;J117,G117&gt;K117),"UP",IF(AND(F117&lt;J117,G117&lt;K117),"DOWN","FLAT")))</f>
        <v/>
      </c>
    </row>
    <row r="118" ht="26" customHeight="1" s="1">
      <c r="A118" s="14">
        <f>IF(C118="","",ROW()-2)</f>
        <v/>
      </c>
      <c r="B118" s="15">
        <f>IF('StockList_MS2'!A117="","",HYPERLINK("https://kabutan.jp/stock/?code="&amp;'StockList_MS2'!A117,"株探"))</f>
        <v/>
      </c>
      <c r="C118" s="14">
        <f>IF('StockList_MS2'!A117="","",'StockList_MS2'!A117)</f>
        <v/>
      </c>
      <c r="D118" s="16">
        <f>IF('StockList_MS2'!A117="","",'StockList_MS2'!B117)</f>
        <v/>
      </c>
      <c r="E118" s="17" t="n"/>
      <c r="F118" s="17" t="n"/>
      <c r="G118" s="17" t="n"/>
      <c r="H118" s="17" t="n"/>
      <c r="I118" s="18" t="n"/>
      <c r="J118" s="17" t="n"/>
      <c r="K118" s="17" t="n"/>
      <c r="L118" s="17" t="n"/>
      <c r="M118" s="14">
        <f>IF(E118="","",IF(E118&gt;L118,"BUY-DAY","SELL-DAY"))</f>
        <v/>
      </c>
      <c r="N118" s="19">
        <f>IF(E118="","",MAX(F118-G118,ABS(F118-L118),ABS(G118-L118)))</f>
        <v/>
      </c>
      <c r="O118" s="14">
        <f>IF(E118="","",IF(AND(I118&gt;0,I118&gt;(I118/3)*2.5),"VOL-OK","VOL-NG"))</f>
        <v/>
      </c>
      <c r="P118" s="14">
        <f>IF(E118="","",IF(E118&gt;J118,"ON","OFF"))</f>
        <v/>
      </c>
      <c r="Q118" s="14">
        <f>IF(E118="","",IF(E118&lt;K118,"ON","OFF"))</f>
        <v/>
      </c>
      <c r="R118" s="14">
        <f>IF(OR(E118="",N118&lt;=0),"",IF(AND(M118="BUY-DAY",O118="VOL-OK",Q118="ON",AA118="OK",AB118&lt;&gt;"DOWN"),"BUY",IF(AND(M118="SELL-DAY",O118="VOL-OK",P118="ON",AA118="OK",AB118&lt;&gt;"UP"),"SELL","")))</f>
        <v/>
      </c>
      <c r="S118" s="19">
        <f>IF(R118="","",E118)</f>
        <v/>
      </c>
      <c r="T118" s="19">
        <f>IF(R118="","",IF(R118="BUY",E118-N118*1.5,E118+N118*1.5))</f>
        <v/>
      </c>
      <c r="U118" s="19">
        <f>IF(R118="","",IF(R118="BUY",E118+N118*1.5,E118-N118*1.5))</f>
        <v/>
      </c>
      <c r="V118" s="19">
        <f>IF(R118="","",IF(R118="BUY",E118+N118*2,E118-N118*2))</f>
        <v/>
      </c>
      <c r="W118" s="19">
        <f>IF(R118="","",IF(R118="BUY",E118+N118*3,E118-N118*3))</f>
        <v/>
      </c>
      <c r="X118" s="14">
        <f>IF(OR(E118="",N118&lt;=0),"",IF(AND(E118&gt;H118,ABS(E118-H118)&lt;N118*0.5),"2ND","1ST"))</f>
        <v/>
      </c>
      <c r="Y118" s="14">
        <f>IF(OR(E118="",N118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18" s="14">
        <f>IF(OR(E118="",N118&lt;=0),"",IF(N118&gt;E118*0.05,"VOL-HIGH","VOL-NORMAL"))</f>
        <v/>
      </c>
      <c r="AA118" s="14">
        <f>IF(OR(E118="",N118&lt;=0),"",IF(AND(O118="VOL-OK",Z118="VOL-NORMAL",X118="2ND"),"OK","NG"))</f>
        <v/>
      </c>
      <c r="AB118" s="14">
        <f>IF(OR(E118="",N118&lt;=0),"",IF(AND(F118&gt;J118,G118&gt;K118),"UP",IF(AND(F118&lt;J118,G118&lt;K118),"DOWN","FLAT")))</f>
        <v/>
      </c>
    </row>
    <row r="119" ht="26" customHeight="1" s="1">
      <c r="A119" s="8">
        <f>IF(C119="","",ROW()-2)</f>
        <v/>
      </c>
      <c r="B119" s="9">
        <f>IF('StockList_MS2'!A118="","",HYPERLINK("https://kabutan.jp/stock/?code="&amp;'StockList_MS2'!A118,"株探"))</f>
        <v/>
      </c>
      <c r="C119" s="8">
        <f>IF('StockList_MS2'!A118="","",'StockList_MS2'!A118)</f>
        <v/>
      </c>
      <c r="D119" s="10">
        <f>IF('StockList_MS2'!A118="","",'StockList_MS2'!B118)</f>
        <v/>
      </c>
      <c r="E119" s="11" t="n"/>
      <c r="F119" s="11" t="n"/>
      <c r="G119" s="11" t="n"/>
      <c r="H119" s="11" t="n"/>
      <c r="I119" s="12" t="n"/>
      <c r="J119" s="11" t="n"/>
      <c r="K119" s="11" t="n"/>
      <c r="L119" s="11" t="n"/>
      <c r="M119" s="8">
        <f>IF(E119="","",IF(E119&gt;L119,"BUY-DAY","SELL-DAY"))</f>
        <v/>
      </c>
      <c r="N119" s="13">
        <f>IF(E119="","",MAX(F119-G119,ABS(F119-L119),ABS(G119-L119)))</f>
        <v/>
      </c>
      <c r="O119" s="8">
        <f>IF(E119="","",IF(AND(I119&gt;0,I119&gt;(I119/3)*2.5),"VOL-OK","VOL-NG"))</f>
        <v/>
      </c>
      <c r="P119" s="8">
        <f>IF(E119="","",IF(E119&gt;J119,"ON","OFF"))</f>
        <v/>
      </c>
      <c r="Q119" s="8">
        <f>IF(E119="","",IF(E119&lt;K119,"ON","OFF"))</f>
        <v/>
      </c>
      <c r="R119" s="8">
        <f>IF(OR(E119="",N119&lt;=0),"",IF(AND(M119="BUY-DAY",O119="VOL-OK",Q119="ON",AA119="OK",AB119&lt;&gt;"DOWN"),"BUY",IF(AND(M119="SELL-DAY",O119="VOL-OK",P119="ON",AA119="OK",AB119&lt;&gt;"UP"),"SELL","")))</f>
        <v/>
      </c>
      <c r="S119" s="13">
        <f>IF(R119="","",E119)</f>
        <v/>
      </c>
      <c r="T119" s="13">
        <f>IF(R119="","",IF(R119="BUY",E119-N119*1.5,E119+N119*1.5))</f>
        <v/>
      </c>
      <c r="U119" s="13">
        <f>IF(R119="","",IF(R119="BUY",E119+N119*1.5,E119-N119*1.5))</f>
        <v/>
      </c>
      <c r="V119" s="13">
        <f>IF(R119="","",IF(R119="BUY",E119+N119*2,E119-N119*2))</f>
        <v/>
      </c>
      <c r="W119" s="13">
        <f>IF(R119="","",IF(R119="BUY",E119+N119*3,E119-N119*3))</f>
        <v/>
      </c>
      <c r="X119" s="8">
        <f>IF(OR(E119="",N119&lt;=0),"",IF(AND(E119&gt;H119,ABS(E119-H119)&lt;N119*0.5),"2ND","1ST"))</f>
        <v/>
      </c>
      <c r="Y119" s="8">
        <f>IF(OR(E119="",N119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19" s="8">
        <f>IF(OR(E119="",N119&lt;=0),"",IF(N119&gt;E119*0.05,"VOL-HIGH","VOL-NORMAL"))</f>
        <v/>
      </c>
      <c r="AA119" s="8">
        <f>IF(OR(E119="",N119&lt;=0),"",IF(AND(O119="VOL-OK",Z119="VOL-NORMAL",X119="2ND"),"OK","NG"))</f>
        <v/>
      </c>
      <c r="AB119" s="8">
        <f>IF(OR(E119="",N119&lt;=0),"",IF(AND(F119&gt;J119,G119&gt;K119),"UP",IF(AND(F119&lt;J119,G119&lt;K119),"DOWN","FLAT")))</f>
        <v/>
      </c>
    </row>
    <row r="120" ht="26" customHeight="1" s="1">
      <c r="A120" s="14">
        <f>IF(C120="","",ROW()-2)</f>
        <v/>
      </c>
      <c r="B120" s="15">
        <f>IF('StockList_MS2'!A119="","",HYPERLINK("https://kabutan.jp/stock/?code="&amp;'StockList_MS2'!A119,"株探"))</f>
        <v/>
      </c>
      <c r="C120" s="14">
        <f>IF('StockList_MS2'!A119="","",'StockList_MS2'!A119)</f>
        <v/>
      </c>
      <c r="D120" s="16">
        <f>IF('StockList_MS2'!A119="","",'StockList_MS2'!B119)</f>
        <v/>
      </c>
      <c r="E120" s="17" t="n"/>
      <c r="F120" s="17" t="n"/>
      <c r="G120" s="17" t="n"/>
      <c r="H120" s="17" t="n"/>
      <c r="I120" s="18" t="n"/>
      <c r="J120" s="17" t="n"/>
      <c r="K120" s="17" t="n"/>
      <c r="L120" s="17" t="n"/>
      <c r="M120" s="14">
        <f>IF(E120="","",IF(E120&gt;L120,"BUY-DAY","SELL-DAY"))</f>
        <v/>
      </c>
      <c r="N120" s="19">
        <f>IF(E120="","",MAX(F120-G120,ABS(F120-L120),ABS(G120-L120)))</f>
        <v/>
      </c>
      <c r="O120" s="14">
        <f>IF(E120="","",IF(AND(I120&gt;0,I120&gt;(I120/3)*2.5),"VOL-OK","VOL-NG"))</f>
        <v/>
      </c>
      <c r="P120" s="14">
        <f>IF(E120="","",IF(E120&gt;J120,"ON","OFF"))</f>
        <v/>
      </c>
      <c r="Q120" s="14">
        <f>IF(E120="","",IF(E120&lt;K120,"ON","OFF"))</f>
        <v/>
      </c>
      <c r="R120" s="14">
        <f>IF(OR(E120="",N120&lt;=0),"",IF(AND(M120="BUY-DAY",O120="VOL-OK",Q120="ON",AA120="OK",AB120&lt;&gt;"DOWN"),"BUY",IF(AND(M120="SELL-DAY",O120="VOL-OK",P120="ON",AA120="OK",AB120&lt;&gt;"UP"),"SELL","")))</f>
        <v/>
      </c>
      <c r="S120" s="19">
        <f>IF(R120="","",E120)</f>
        <v/>
      </c>
      <c r="T120" s="19">
        <f>IF(R120="","",IF(R120="BUY",E120-N120*1.5,E120+N120*1.5))</f>
        <v/>
      </c>
      <c r="U120" s="19">
        <f>IF(R120="","",IF(R120="BUY",E120+N120*1.5,E120-N120*1.5))</f>
        <v/>
      </c>
      <c r="V120" s="19">
        <f>IF(R120="","",IF(R120="BUY",E120+N120*2,E120-N120*2))</f>
        <v/>
      </c>
      <c r="W120" s="19">
        <f>IF(R120="","",IF(R120="BUY",E120+N120*3,E120-N120*3))</f>
        <v/>
      </c>
      <c r="X120" s="14">
        <f>IF(OR(E120="",N120&lt;=0),"",IF(AND(E120&gt;H120,ABS(E120-H120)&lt;N120*0.5),"2ND","1ST"))</f>
        <v/>
      </c>
      <c r="Y120" s="14">
        <f>IF(OR(E120="",N120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20" s="14">
        <f>IF(OR(E120="",N120&lt;=0),"",IF(N120&gt;E120*0.05,"VOL-HIGH","VOL-NORMAL"))</f>
        <v/>
      </c>
      <c r="AA120" s="14">
        <f>IF(OR(E120="",N120&lt;=0),"",IF(AND(O120="VOL-OK",Z120="VOL-NORMAL",X120="2ND"),"OK","NG"))</f>
        <v/>
      </c>
      <c r="AB120" s="14">
        <f>IF(OR(E120="",N120&lt;=0),"",IF(AND(F120&gt;J120,G120&gt;K120),"UP",IF(AND(F120&lt;J120,G120&lt;K120),"DOWN","FLAT")))</f>
        <v/>
      </c>
    </row>
    <row r="121" ht="26" customHeight="1" s="1">
      <c r="A121" s="8">
        <f>IF(C121="","",ROW()-2)</f>
        <v/>
      </c>
      <c r="B121" s="9">
        <f>IF('StockList_MS2'!A120="","",HYPERLINK("https://kabutan.jp/stock/?code="&amp;'StockList_MS2'!A120,"株探"))</f>
        <v/>
      </c>
      <c r="C121" s="8">
        <f>IF('StockList_MS2'!A120="","",'StockList_MS2'!A120)</f>
        <v/>
      </c>
      <c r="D121" s="10">
        <f>IF('StockList_MS2'!A120="","",'StockList_MS2'!B120)</f>
        <v/>
      </c>
      <c r="E121" s="11" t="n"/>
      <c r="F121" s="11" t="n"/>
      <c r="G121" s="11" t="n"/>
      <c r="H121" s="11" t="n"/>
      <c r="I121" s="12" t="n"/>
      <c r="J121" s="11" t="n"/>
      <c r="K121" s="11" t="n"/>
      <c r="L121" s="11" t="n"/>
      <c r="M121" s="8">
        <f>IF(E121="","",IF(E121&gt;L121,"BUY-DAY","SELL-DAY"))</f>
        <v/>
      </c>
      <c r="N121" s="13">
        <f>IF(E121="","",MAX(F121-G121,ABS(F121-L121),ABS(G121-L121)))</f>
        <v/>
      </c>
      <c r="O121" s="8">
        <f>IF(E121="","",IF(AND(I121&gt;0,I121&gt;(I121/3)*2.5),"VOL-OK","VOL-NG"))</f>
        <v/>
      </c>
      <c r="P121" s="8">
        <f>IF(E121="","",IF(E121&gt;J121,"ON","OFF"))</f>
        <v/>
      </c>
      <c r="Q121" s="8">
        <f>IF(E121="","",IF(E121&lt;K121,"ON","OFF"))</f>
        <v/>
      </c>
      <c r="R121" s="8">
        <f>IF(OR(E121="",N121&lt;=0),"",IF(AND(M121="BUY-DAY",O121="VOL-OK",Q121="ON",AA121="OK",AB121&lt;&gt;"DOWN"),"BUY",IF(AND(M121="SELL-DAY",O121="VOL-OK",P121="ON",AA121="OK",AB121&lt;&gt;"UP"),"SELL","")))</f>
        <v/>
      </c>
      <c r="S121" s="13">
        <f>IF(R121="","",E121)</f>
        <v/>
      </c>
      <c r="T121" s="13">
        <f>IF(R121="","",IF(R121="BUY",E121-N121*1.5,E121+N121*1.5))</f>
        <v/>
      </c>
      <c r="U121" s="13">
        <f>IF(R121="","",IF(R121="BUY",E121+N121*1.5,E121-N121*1.5))</f>
        <v/>
      </c>
      <c r="V121" s="13">
        <f>IF(R121="","",IF(R121="BUY",E121+N121*2,E121-N121*2))</f>
        <v/>
      </c>
      <c r="W121" s="13">
        <f>IF(R121="","",IF(R121="BUY",E121+N121*3,E121-N121*3))</f>
        <v/>
      </c>
      <c r="X121" s="8">
        <f>IF(OR(E121="",N121&lt;=0),"",IF(AND(E121&gt;H121,ABS(E121-H121)&lt;N121*0.5),"2ND","1ST"))</f>
        <v/>
      </c>
      <c r="Y121" s="8">
        <f>IF(OR(E121="",N121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21" s="8">
        <f>IF(OR(E121="",N121&lt;=0),"",IF(N121&gt;E121*0.05,"VOL-HIGH","VOL-NORMAL"))</f>
        <v/>
      </c>
      <c r="AA121" s="8">
        <f>IF(OR(E121="",N121&lt;=0),"",IF(AND(O121="VOL-OK",Z121="VOL-NORMAL",X121="2ND"),"OK","NG"))</f>
        <v/>
      </c>
      <c r="AB121" s="8">
        <f>IF(OR(E121="",N121&lt;=0),"",IF(AND(F121&gt;J121,G121&gt;K121),"UP",IF(AND(F121&lt;J121,G121&lt;K121),"DOWN","FLAT")))</f>
        <v/>
      </c>
    </row>
    <row r="122" ht="26" customHeight="1" s="1">
      <c r="A122" s="14">
        <f>IF(C122="","",ROW()-2)</f>
        <v/>
      </c>
      <c r="B122" s="15">
        <f>IF('StockList_MS2'!A121="","",HYPERLINK("https://kabutan.jp/stock/?code="&amp;'StockList_MS2'!A121,"株探"))</f>
        <v/>
      </c>
      <c r="C122" s="14">
        <f>IF('StockList_MS2'!A121="","",'StockList_MS2'!A121)</f>
        <v/>
      </c>
      <c r="D122" s="16">
        <f>IF('StockList_MS2'!A121="","",'StockList_MS2'!B121)</f>
        <v/>
      </c>
      <c r="E122" s="17" t="n"/>
      <c r="F122" s="17" t="n"/>
      <c r="G122" s="17" t="n"/>
      <c r="H122" s="17" t="n"/>
      <c r="I122" s="18" t="n"/>
      <c r="J122" s="17" t="n"/>
      <c r="K122" s="17" t="n"/>
      <c r="L122" s="17" t="n"/>
      <c r="M122" s="14">
        <f>IF(E122="","",IF(E122&gt;L122,"BUY-DAY","SELL-DAY"))</f>
        <v/>
      </c>
      <c r="N122" s="19">
        <f>IF(E122="","",MAX(F122-G122,ABS(F122-L122),ABS(G122-L122)))</f>
        <v/>
      </c>
      <c r="O122" s="14">
        <f>IF(E122="","",IF(AND(I122&gt;0,I122&gt;(I122/3)*2.5),"VOL-OK","VOL-NG"))</f>
        <v/>
      </c>
      <c r="P122" s="14">
        <f>IF(E122="","",IF(E122&gt;J122,"ON","OFF"))</f>
        <v/>
      </c>
      <c r="Q122" s="14">
        <f>IF(E122="","",IF(E122&lt;K122,"ON","OFF"))</f>
        <v/>
      </c>
      <c r="R122" s="14">
        <f>IF(OR(E122="",N122&lt;=0),"",IF(AND(M122="BUY-DAY",O122="VOL-OK",Q122="ON",AA122="OK",AB122&lt;&gt;"DOWN"),"BUY",IF(AND(M122="SELL-DAY",O122="VOL-OK",P122="ON",AA122="OK",AB122&lt;&gt;"UP"),"SELL","")))</f>
        <v/>
      </c>
      <c r="S122" s="19">
        <f>IF(R122="","",E122)</f>
        <v/>
      </c>
      <c r="T122" s="19">
        <f>IF(R122="","",IF(R122="BUY",E122-N122*1.5,E122+N122*1.5))</f>
        <v/>
      </c>
      <c r="U122" s="19">
        <f>IF(R122="","",IF(R122="BUY",E122+N122*1.5,E122-N122*1.5))</f>
        <v/>
      </c>
      <c r="V122" s="19">
        <f>IF(R122="","",IF(R122="BUY",E122+N122*2,E122-N122*2))</f>
        <v/>
      </c>
      <c r="W122" s="19">
        <f>IF(R122="","",IF(R122="BUY",E122+N122*3,E122-N122*3))</f>
        <v/>
      </c>
      <c r="X122" s="14">
        <f>IF(OR(E122="",N122&lt;=0),"",IF(AND(E122&gt;H122,ABS(E122-H122)&lt;N122*0.5),"2ND","1ST"))</f>
        <v/>
      </c>
      <c r="Y122" s="14">
        <f>IF(OR(E122="",N122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22" s="14">
        <f>IF(OR(E122="",N122&lt;=0),"",IF(N122&gt;E122*0.05,"VOL-HIGH","VOL-NORMAL"))</f>
        <v/>
      </c>
      <c r="AA122" s="14">
        <f>IF(OR(E122="",N122&lt;=0),"",IF(AND(O122="VOL-OK",Z122="VOL-NORMAL",X122="2ND"),"OK","NG"))</f>
        <v/>
      </c>
      <c r="AB122" s="14">
        <f>IF(OR(E122="",N122&lt;=0),"",IF(AND(F122&gt;J122,G122&gt;K122),"UP",IF(AND(F122&lt;J122,G122&lt;K122),"DOWN","FLAT")))</f>
        <v/>
      </c>
    </row>
    <row r="123" ht="26" customHeight="1" s="1">
      <c r="A123" s="8">
        <f>IF(C123="","",ROW()-2)</f>
        <v/>
      </c>
      <c r="B123" s="9">
        <f>IF('StockList_MS2'!A122="","",HYPERLINK("https://kabutan.jp/stock/?code="&amp;'StockList_MS2'!A122,"株探"))</f>
        <v/>
      </c>
      <c r="C123" s="8">
        <f>IF('StockList_MS2'!A122="","",'StockList_MS2'!A122)</f>
        <v/>
      </c>
      <c r="D123" s="10">
        <f>IF('StockList_MS2'!A122="","",'StockList_MS2'!B122)</f>
        <v/>
      </c>
      <c r="E123" s="11" t="n"/>
      <c r="F123" s="11" t="n"/>
      <c r="G123" s="11" t="n"/>
      <c r="H123" s="11" t="n"/>
      <c r="I123" s="12" t="n"/>
      <c r="J123" s="11" t="n"/>
      <c r="K123" s="11" t="n"/>
      <c r="L123" s="11" t="n"/>
      <c r="M123" s="8">
        <f>IF(E123="","",IF(E123&gt;L123,"BUY-DAY","SELL-DAY"))</f>
        <v/>
      </c>
      <c r="N123" s="13">
        <f>IF(E123="","",MAX(F123-G123,ABS(F123-L123),ABS(G123-L123)))</f>
        <v/>
      </c>
      <c r="O123" s="8">
        <f>IF(E123="","",IF(AND(I123&gt;0,I123&gt;(I123/3)*2.5),"VOL-OK","VOL-NG"))</f>
        <v/>
      </c>
      <c r="P123" s="8">
        <f>IF(E123="","",IF(E123&gt;J123,"ON","OFF"))</f>
        <v/>
      </c>
      <c r="Q123" s="8">
        <f>IF(E123="","",IF(E123&lt;K123,"ON","OFF"))</f>
        <v/>
      </c>
      <c r="R123" s="8">
        <f>IF(OR(E123="",N123&lt;=0),"",IF(AND(M123="BUY-DAY",O123="VOL-OK",Q123="ON",AA123="OK",AB123&lt;&gt;"DOWN"),"BUY",IF(AND(M123="SELL-DAY",O123="VOL-OK",P123="ON",AA123="OK",AB123&lt;&gt;"UP"),"SELL","")))</f>
        <v/>
      </c>
      <c r="S123" s="13">
        <f>IF(R123="","",E123)</f>
        <v/>
      </c>
      <c r="T123" s="13">
        <f>IF(R123="","",IF(R123="BUY",E123-N123*1.5,E123+N123*1.5))</f>
        <v/>
      </c>
      <c r="U123" s="13">
        <f>IF(R123="","",IF(R123="BUY",E123+N123*1.5,E123-N123*1.5))</f>
        <v/>
      </c>
      <c r="V123" s="13">
        <f>IF(R123="","",IF(R123="BUY",E123+N123*2,E123-N123*2))</f>
        <v/>
      </c>
      <c r="W123" s="13">
        <f>IF(R123="","",IF(R123="BUY",E123+N123*3,E123-N123*3))</f>
        <v/>
      </c>
      <c r="X123" s="8">
        <f>IF(OR(E123="",N123&lt;=0),"",IF(AND(E123&gt;H123,ABS(E123-H123)&lt;N123*0.5),"2ND","1ST"))</f>
        <v/>
      </c>
      <c r="Y123" s="8">
        <f>IF(OR(E123="",N123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23" s="8">
        <f>IF(OR(E123="",N123&lt;=0),"",IF(N123&gt;E123*0.05,"VOL-HIGH","VOL-NORMAL"))</f>
        <v/>
      </c>
      <c r="AA123" s="8">
        <f>IF(OR(E123="",N123&lt;=0),"",IF(AND(O123="VOL-OK",Z123="VOL-NORMAL",X123="2ND"),"OK","NG"))</f>
        <v/>
      </c>
      <c r="AB123" s="8">
        <f>IF(OR(E123="",N123&lt;=0),"",IF(AND(F123&gt;J123,G123&gt;K123),"UP",IF(AND(F123&lt;J123,G123&lt;K123),"DOWN","FLAT")))</f>
        <v/>
      </c>
    </row>
    <row r="124" ht="26" customHeight="1" s="1">
      <c r="A124" s="14">
        <f>IF(C124="","",ROW()-2)</f>
        <v/>
      </c>
      <c r="B124" s="15">
        <f>IF('StockList_MS2'!A123="","",HYPERLINK("https://kabutan.jp/stock/?code="&amp;'StockList_MS2'!A123,"株探"))</f>
        <v/>
      </c>
      <c r="C124" s="14">
        <f>IF('StockList_MS2'!A123="","",'StockList_MS2'!A123)</f>
        <v/>
      </c>
      <c r="D124" s="16">
        <f>IF('StockList_MS2'!A123="","",'StockList_MS2'!B123)</f>
        <v/>
      </c>
      <c r="E124" s="17" t="n"/>
      <c r="F124" s="17" t="n"/>
      <c r="G124" s="17" t="n"/>
      <c r="H124" s="17" t="n"/>
      <c r="I124" s="18" t="n"/>
      <c r="J124" s="17" t="n"/>
      <c r="K124" s="17" t="n"/>
      <c r="L124" s="17" t="n"/>
      <c r="M124" s="14">
        <f>IF(E124="","",IF(E124&gt;L124,"BUY-DAY","SELL-DAY"))</f>
        <v/>
      </c>
      <c r="N124" s="19">
        <f>IF(E124="","",MAX(F124-G124,ABS(F124-L124),ABS(G124-L124)))</f>
        <v/>
      </c>
      <c r="O124" s="14">
        <f>IF(E124="","",IF(AND(I124&gt;0,I124&gt;(I124/3)*2.5),"VOL-OK","VOL-NG"))</f>
        <v/>
      </c>
      <c r="P124" s="14">
        <f>IF(E124="","",IF(E124&gt;J124,"ON","OFF"))</f>
        <v/>
      </c>
      <c r="Q124" s="14">
        <f>IF(E124="","",IF(E124&lt;K124,"ON","OFF"))</f>
        <v/>
      </c>
      <c r="R124" s="14">
        <f>IF(OR(E124="",N124&lt;=0),"",IF(AND(M124="BUY-DAY",O124="VOL-OK",Q124="ON",AA124="OK",AB124&lt;&gt;"DOWN"),"BUY",IF(AND(M124="SELL-DAY",O124="VOL-OK",P124="ON",AA124="OK",AB124&lt;&gt;"UP"),"SELL","")))</f>
        <v/>
      </c>
      <c r="S124" s="19">
        <f>IF(R124="","",E124)</f>
        <v/>
      </c>
      <c r="T124" s="19">
        <f>IF(R124="","",IF(R124="BUY",E124-N124*1.5,E124+N124*1.5))</f>
        <v/>
      </c>
      <c r="U124" s="19">
        <f>IF(R124="","",IF(R124="BUY",E124+N124*1.5,E124-N124*1.5))</f>
        <v/>
      </c>
      <c r="V124" s="19">
        <f>IF(R124="","",IF(R124="BUY",E124+N124*2,E124-N124*2))</f>
        <v/>
      </c>
      <c r="W124" s="19">
        <f>IF(R124="","",IF(R124="BUY",E124+N124*3,E124-N124*3))</f>
        <v/>
      </c>
      <c r="X124" s="14">
        <f>IF(OR(E124="",N124&lt;=0),"",IF(AND(E124&gt;H124,ABS(E124-H124)&lt;N124*0.5),"2ND","1ST"))</f>
        <v/>
      </c>
      <c r="Y124" s="14">
        <f>IF(OR(E124="",N124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24" s="14">
        <f>IF(OR(E124="",N124&lt;=0),"",IF(N124&gt;E124*0.05,"VOL-HIGH","VOL-NORMAL"))</f>
        <v/>
      </c>
      <c r="AA124" s="14">
        <f>IF(OR(E124="",N124&lt;=0),"",IF(AND(O124="VOL-OK",Z124="VOL-NORMAL",X124="2ND"),"OK","NG"))</f>
        <v/>
      </c>
      <c r="AB124" s="14">
        <f>IF(OR(E124="",N124&lt;=0),"",IF(AND(F124&gt;J124,G124&gt;K124),"UP",IF(AND(F124&lt;J124,G124&lt;K124),"DOWN","FLAT")))</f>
        <v/>
      </c>
    </row>
    <row r="125" ht="26" customHeight="1" s="1">
      <c r="A125" s="8">
        <f>IF(C125="","",ROW()-2)</f>
        <v/>
      </c>
      <c r="B125" s="9">
        <f>IF('StockList_MS2'!A124="","",HYPERLINK("https://kabutan.jp/stock/?code="&amp;'StockList_MS2'!A124,"株探"))</f>
        <v/>
      </c>
      <c r="C125" s="8">
        <f>IF('StockList_MS2'!A124="","",'StockList_MS2'!A124)</f>
        <v/>
      </c>
      <c r="D125" s="10">
        <f>IF('StockList_MS2'!A124="","",'StockList_MS2'!B124)</f>
        <v/>
      </c>
      <c r="E125" s="11" t="n"/>
      <c r="F125" s="11" t="n"/>
      <c r="G125" s="11" t="n"/>
      <c r="H125" s="11" t="n"/>
      <c r="I125" s="12" t="n"/>
      <c r="J125" s="11" t="n"/>
      <c r="K125" s="11" t="n"/>
      <c r="L125" s="11" t="n"/>
      <c r="M125" s="8">
        <f>IF(E125="","",IF(E125&gt;L125,"BUY-DAY","SELL-DAY"))</f>
        <v/>
      </c>
      <c r="N125" s="13">
        <f>IF(E125="","",MAX(F125-G125,ABS(F125-L125),ABS(G125-L125)))</f>
        <v/>
      </c>
      <c r="O125" s="8">
        <f>IF(E125="","",IF(AND(I125&gt;0,I125&gt;(I125/3)*2.5),"VOL-OK","VOL-NG"))</f>
        <v/>
      </c>
      <c r="P125" s="8">
        <f>IF(E125="","",IF(E125&gt;J125,"ON","OFF"))</f>
        <v/>
      </c>
      <c r="Q125" s="8">
        <f>IF(E125="","",IF(E125&lt;K125,"ON","OFF"))</f>
        <v/>
      </c>
      <c r="R125" s="8">
        <f>IF(OR(E125="",N125&lt;=0),"",IF(AND(M125="BUY-DAY",O125="VOL-OK",Q125="ON",AA125="OK",AB125&lt;&gt;"DOWN"),"BUY",IF(AND(M125="SELL-DAY",O125="VOL-OK",P125="ON",AA125="OK",AB125&lt;&gt;"UP"),"SELL","")))</f>
        <v/>
      </c>
      <c r="S125" s="13">
        <f>IF(R125="","",E125)</f>
        <v/>
      </c>
      <c r="T125" s="13">
        <f>IF(R125="","",IF(R125="BUY",E125-N125*1.5,E125+N125*1.5))</f>
        <v/>
      </c>
      <c r="U125" s="13">
        <f>IF(R125="","",IF(R125="BUY",E125+N125*1.5,E125-N125*1.5))</f>
        <v/>
      </c>
      <c r="V125" s="13">
        <f>IF(R125="","",IF(R125="BUY",E125+N125*2,E125-N125*2))</f>
        <v/>
      </c>
      <c r="W125" s="13">
        <f>IF(R125="","",IF(R125="BUY",E125+N125*3,E125-N125*3))</f>
        <v/>
      </c>
      <c r="X125" s="8">
        <f>IF(OR(E125="",N125&lt;=0),"",IF(AND(E125&gt;H125,ABS(E125-H125)&lt;N125*0.5),"2ND","1ST"))</f>
        <v/>
      </c>
      <c r="Y125" s="8">
        <f>IF(OR(E125="",N125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25" s="8">
        <f>IF(OR(E125="",N125&lt;=0),"",IF(N125&gt;E125*0.05,"VOL-HIGH","VOL-NORMAL"))</f>
        <v/>
      </c>
      <c r="AA125" s="8">
        <f>IF(OR(E125="",N125&lt;=0),"",IF(AND(O125="VOL-OK",Z125="VOL-NORMAL",X125="2ND"),"OK","NG"))</f>
        <v/>
      </c>
      <c r="AB125" s="8">
        <f>IF(OR(E125="",N125&lt;=0),"",IF(AND(F125&gt;J125,G125&gt;K125),"UP",IF(AND(F125&lt;J125,G125&lt;K125),"DOWN","FLAT")))</f>
        <v/>
      </c>
    </row>
    <row r="126" ht="26" customHeight="1" s="1">
      <c r="A126" s="14">
        <f>IF(C126="","",ROW()-2)</f>
        <v/>
      </c>
      <c r="B126" s="15">
        <f>IF('StockList_MS2'!A125="","",HYPERLINK("https://kabutan.jp/stock/?code="&amp;'StockList_MS2'!A125,"株探"))</f>
        <v/>
      </c>
      <c r="C126" s="14">
        <f>IF('StockList_MS2'!A125="","",'StockList_MS2'!A125)</f>
        <v/>
      </c>
      <c r="D126" s="16">
        <f>IF('StockList_MS2'!A125="","",'StockList_MS2'!B125)</f>
        <v/>
      </c>
      <c r="E126" s="17" t="n"/>
      <c r="F126" s="17" t="n"/>
      <c r="G126" s="17" t="n"/>
      <c r="H126" s="17" t="n"/>
      <c r="I126" s="18" t="n"/>
      <c r="J126" s="17" t="n"/>
      <c r="K126" s="17" t="n"/>
      <c r="L126" s="17" t="n"/>
      <c r="M126" s="14">
        <f>IF(E126="","",IF(E126&gt;L126,"BUY-DAY","SELL-DAY"))</f>
        <v/>
      </c>
      <c r="N126" s="19">
        <f>IF(E126="","",MAX(F126-G126,ABS(F126-L126),ABS(G126-L126)))</f>
        <v/>
      </c>
      <c r="O126" s="14">
        <f>IF(E126="","",IF(AND(I126&gt;0,I126&gt;(I126/3)*2.5),"VOL-OK","VOL-NG"))</f>
        <v/>
      </c>
      <c r="P126" s="14">
        <f>IF(E126="","",IF(E126&gt;J126,"ON","OFF"))</f>
        <v/>
      </c>
      <c r="Q126" s="14">
        <f>IF(E126="","",IF(E126&lt;K126,"ON","OFF"))</f>
        <v/>
      </c>
      <c r="R126" s="14">
        <f>IF(OR(E126="",N126&lt;=0),"",IF(AND(M126="BUY-DAY",O126="VOL-OK",Q126="ON",AA126="OK",AB126&lt;&gt;"DOWN"),"BUY",IF(AND(M126="SELL-DAY",O126="VOL-OK",P126="ON",AA126="OK",AB126&lt;&gt;"UP"),"SELL","")))</f>
        <v/>
      </c>
      <c r="S126" s="19">
        <f>IF(R126="","",E126)</f>
        <v/>
      </c>
      <c r="T126" s="19">
        <f>IF(R126="","",IF(R126="BUY",E126-N126*1.5,E126+N126*1.5))</f>
        <v/>
      </c>
      <c r="U126" s="19">
        <f>IF(R126="","",IF(R126="BUY",E126+N126*1.5,E126-N126*1.5))</f>
        <v/>
      </c>
      <c r="V126" s="19">
        <f>IF(R126="","",IF(R126="BUY",E126+N126*2,E126-N126*2))</f>
        <v/>
      </c>
      <c r="W126" s="19">
        <f>IF(R126="","",IF(R126="BUY",E126+N126*3,E126-N126*3))</f>
        <v/>
      </c>
      <c r="X126" s="14">
        <f>IF(OR(E126="",N126&lt;=0),"",IF(AND(E126&gt;H126,ABS(E126-H126)&lt;N126*0.5),"2ND","1ST"))</f>
        <v/>
      </c>
      <c r="Y126" s="14">
        <f>IF(OR(E126="",N126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26" s="14">
        <f>IF(OR(E126="",N126&lt;=0),"",IF(N126&gt;E126*0.05,"VOL-HIGH","VOL-NORMAL"))</f>
        <v/>
      </c>
      <c r="AA126" s="14">
        <f>IF(OR(E126="",N126&lt;=0),"",IF(AND(O126="VOL-OK",Z126="VOL-NORMAL",X126="2ND"),"OK","NG"))</f>
        <v/>
      </c>
      <c r="AB126" s="14">
        <f>IF(OR(E126="",N126&lt;=0),"",IF(AND(F126&gt;J126,G126&gt;K126),"UP",IF(AND(F126&lt;J126,G126&lt;K126),"DOWN","FLAT")))</f>
        <v/>
      </c>
    </row>
    <row r="127" ht="26" customHeight="1" s="1">
      <c r="A127" s="8">
        <f>IF(C127="","",ROW()-2)</f>
        <v/>
      </c>
      <c r="B127" s="9">
        <f>IF('StockList_MS2'!A126="","",HYPERLINK("https://kabutan.jp/stock/?code="&amp;'StockList_MS2'!A126,"株探"))</f>
        <v/>
      </c>
      <c r="C127" s="8">
        <f>IF('StockList_MS2'!A126="","",'StockList_MS2'!A126)</f>
        <v/>
      </c>
      <c r="D127" s="10">
        <f>IF('StockList_MS2'!A126="","",'StockList_MS2'!B126)</f>
        <v/>
      </c>
      <c r="E127" s="11" t="n"/>
      <c r="F127" s="11" t="n"/>
      <c r="G127" s="11" t="n"/>
      <c r="H127" s="11" t="n"/>
      <c r="I127" s="12" t="n"/>
      <c r="J127" s="11" t="n"/>
      <c r="K127" s="11" t="n"/>
      <c r="L127" s="11" t="n"/>
      <c r="M127" s="8">
        <f>IF(E127="","",IF(E127&gt;L127,"BUY-DAY","SELL-DAY"))</f>
        <v/>
      </c>
      <c r="N127" s="13">
        <f>IF(E127="","",MAX(F127-G127,ABS(F127-L127),ABS(G127-L127)))</f>
        <v/>
      </c>
      <c r="O127" s="8">
        <f>IF(E127="","",IF(AND(I127&gt;0,I127&gt;(I127/3)*2.5),"VOL-OK","VOL-NG"))</f>
        <v/>
      </c>
      <c r="P127" s="8">
        <f>IF(E127="","",IF(E127&gt;J127,"ON","OFF"))</f>
        <v/>
      </c>
      <c r="Q127" s="8">
        <f>IF(E127="","",IF(E127&lt;K127,"ON","OFF"))</f>
        <v/>
      </c>
      <c r="R127" s="8">
        <f>IF(OR(E127="",N127&lt;=0),"",IF(AND(M127="BUY-DAY",O127="VOL-OK",Q127="ON",AA127="OK",AB127&lt;&gt;"DOWN"),"BUY",IF(AND(M127="SELL-DAY",O127="VOL-OK",P127="ON",AA127="OK",AB127&lt;&gt;"UP"),"SELL","")))</f>
        <v/>
      </c>
      <c r="S127" s="13">
        <f>IF(R127="","",E127)</f>
        <v/>
      </c>
      <c r="T127" s="13">
        <f>IF(R127="","",IF(R127="BUY",E127-N127*1.5,E127+N127*1.5))</f>
        <v/>
      </c>
      <c r="U127" s="13">
        <f>IF(R127="","",IF(R127="BUY",E127+N127*1.5,E127-N127*1.5))</f>
        <v/>
      </c>
      <c r="V127" s="13">
        <f>IF(R127="","",IF(R127="BUY",E127+N127*2,E127-N127*2))</f>
        <v/>
      </c>
      <c r="W127" s="13">
        <f>IF(R127="","",IF(R127="BUY",E127+N127*3,E127-N127*3))</f>
        <v/>
      </c>
      <c r="X127" s="8">
        <f>IF(OR(E127="",N127&lt;=0),"",IF(AND(E127&gt;H127,ABS(E127-H127)&lt;N127*0.5),"2ND","1ST"))</f>
        <v/>
      </c>
      <c r="Y127" s="8">
        <f>IF(OR(E127="",N127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27" s="8">
        <f>IF(OR(E127="",N127&lt;=0),"",IF(N127&gt;E127*0.05,"VOL-HIGH","VOL-NORMAL"))</f>
        <v/>
      </c>
      <c r="AA127" s="8">
        <f>IF(OR(E127="",N127&lt;=0),"",IF(AND(O127="VOL-OK",Z127="VOL-NORMAL",X127="2ND"),"OK","NG"))</f>
        <v/>
      </c>
      <c r="AB127" s="8">
        <f>IF(OR(E127="",N127&lt;=0),"",IF(AND(F127&gt;J127,G127&gt;K127),"UP",IF(AND(F127&lt;J127,G127&lt;K127),"DOWN","FLAT")))</f>
        <v/>
      </c>
    </row>
    <row r="128" ht="26" customHeight="1" s="1">
      <c r="A128" s="14">
        <f>IF(C128="","",ROW()-2)</f>
        <v/>
      </c>
      <c r="B128" s="15">
        <f>IF('StockList_MS2'!A127="","",HYPERLINK("https://kabutan.jp/stock/?code="&amp;'StockList_MS2'!A127,"株探"))</f>
        <v/>
      </c>
      <c r="C128" s="14">
        <f>IF('StockList_MS2'!A127="","",'StockList_MS2'!A127)</f>
        <v/>
      </c>
      <c r="D128" s="16">
        <f>IF('StockList_MS2'!A127="","",'StockList_MS2'!B127)</f>
        <v/>
      </c>
      <c r="E128" s="17" t="n"/>
      <c r="F128" s="17" t="n"/>
      <c r="G128" s="17" t="n"/>
      <c r="H128" s="17" t="n"/>
      <c r="I128" s="18" t="n"/>
      <c r="J128" s="17" t="n"/>
      <c r="K128" s="17" t="n"/>
      <c r="L128" s="17" t="n"/>
      <c r="M128" s="14">
        <f>IF(E128="","",IF(E128&gt;L128,"BUY-DAY","SELL-DAY"))</f>
        <v/>
      </c>
      <c r="N128" s="19">
        <f>IF(E128="","",MAX(F128-G128,ABS(F128-L128),ABS(G128-L128)))</f>
        <v/>
      </c>
      <c r="O128" s="14">
        <f>IF(E128="","",IF(AND(I128&gt;0,I128&gt;(I128/3)*2.5),"VOL-OK","VOL-NG"))</f>
        <v/>
      </c>
      <c r="P128" s="14">
        <f>IF(E128="","",IF(E128&gt;J128,"ON","OFF"))</f>
        <v/>
      </c>
      <c r="Q128" s="14">
        <f>IF(E128="","",IF(E128&lt;K128,"ON","OFF"))</f>
        <v/>
      </c>
      <c r="R128" s="14">
        <f>IF(OR(E128="",N128&lt;=0),"",IF(AND(M128="BUY-DAY",O128="VOL-OK",Q128="ON",AA128="OK",AB128&lt;&gt;"DOWN"),"BUY",IF(AND(M128="SELL-DAY",O128="VOL-OK",P128="ON",AA128="OK",AB128&lt;&gt;"UP"),"SELL","")))</f>
        <v/>
      </c>
      <c r="S128" s="19">
        <f>IF(R128="","",E128)</f>
        <v/>
      </c>
      <c r="T128" s="19">
        <f>IF(R128="","",IF(R128="BUY",E128-N128*1.5,E128+N128*1.5))</f>
        <v/>
      </c>
      <c r="U128" s="19">
        <f>IF(R128="","",IF(R128="BUY",E128+N128*1.5,E128-N128*1.5))</f>
        <v/>
      </c>
      <c r="V128" s="19">
        <f>IF(R128="","",IF(R128="BUY",E128+N128*2,E128-N128*2))</f>
        <v/>
      </c>
      <c r="W128" s="19">
        <f>IF(R128="","",IF(R128="BUY",E128+N128*3,E128-N128*3))</f>
        <v/>
      </c>
      <c r="X128" s="14">
        <f>IF(OR(E128="",N128&lt;=0),"",IF(AND(E128&gt;H128,ABS(E128-H128)&lt;N128*0.5),"2ND","1ST"))</f>
        <v/>
      </c>
      <c r="Y128" s="14">
        <f>IF(OR(E128="",N128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28" s="14">
        <f>IF(OR(E128="",N128&lt;=0),"",IF(N128&gt;E128*0.05,"VOL-HIGH","VOL-NORMAL"))</f>
        <v/>
      </c>
      <c r="AA128" s="14">
        <f>IF(OR(E128="",N128&lt;=0),"",IF(AND(O128="VOL-OK",Z128="VOL-NORMAL",X128="2ND"),"OK","NG"))</f>
        <v/>
      </c>
      <c r="AB128" s="14">
        <f>IF(OR(E128="",N128&lt;=0),"",IF(AND(F128&gt;J128,G128&gt;K128),"UP",IF(AND(F128&lt;J128,G128&lt;K128),"DOWN","FLAT")))</f>
        <v/>
      </c>
    </row>
    <row r="129" ht="26" customHeight="1" s="1">
      <c r="A129" s="8">
        <f>IF(C129="","",ROW()-2)</f>
        <v/>
      </c>
      <c r="B129" s="9">
        <f>IF('StockList_MS2'!A128="","",HYPERLINK("https://kabutan.jp/stock/?code="&amp;'StockList_MS2'!A128,"株探"))</f>
        <v/>
      </c>
      <c r="C129" s="8">
        <f>IF('StockList_MS2'!A128="","",'StockList_MS2'!A128)</f>
        <v/>
      </c>
      <c r="D129" s="10">
        <f>IF('StockList_MS2'!A128="","",'StockList_MS2'!B128)</f>
        <v/>
      </c>
      <c r="E129" s="11" t="n"/>
      <c r="F129" s="11" t="n"/>
      <c r="G129" s="11" t="n"/>
      <c r="H129" s="11" t="n"/>
      <c r="I129" s="12" t="n"/>
      <c r="J129" s="11" t="n"/>
      <c r="K129" s="11" t="n"/>
      <c r="L129" s="11" t="n"/>
      <c r="M129" s="8">
        <f>IF(E129="","",IF(E129&gt;L129,"BUY-DAY","SELL-DAY"))</f>
        <v/>
      </c>
      <c r="N129" s="13">
        <f>IF(E129="","",MAX(F129-G129,ABS(F129-L129),ABS(G129-L129)))</f>
        <v/>
      </c>
      <c r="O129" s="8">
        <f>IF(E129="","",IF(AND(I129&gt;0,I129&gt;(I129/3)*2.5),"VOL-OK","VOL-NG"))</f>
        <v/>
      </c>
      <c r="P129" s="8">
        <f>IF(E129="","",IF(E129&gt;J129,"ON","OFF"))</f>
        <v/>
      </c>
      <c r="Q129" s="8">
        <f>IF(E129="","",IF(E129&lt;K129,"ON","OFF"))</f>
        <v/>
      </c>
      <c r="R129" s="8">
        <f>IF(OR(E129="",N129&lt;=0),"",IF(AND(M129="BUY-DAY",O129="VOL-OK",Q129="ON",AA129="OK",AB129&lt;&gt;"DOWN"),"BUY",IF(AND(M129="SELL-DAY",O129="VOL-OK",P129="ON",AA129="OK",AB129&lt;&gt;"UP"),"SELL","")))</f>
        <v/>
      </c>
      <c r="S129" s="13">
        <f>IF(R129="","",E129)</f>
        <v/>
      </c>
      <c r="T129" s="13">
        <f>IF(R129="","",IF(R129="BUY",E129-N129*1.5,E129+N129*1.5))</f>
        <v/>
      </c>
      <c r="U129" s="13">
        <f>IF(R129="","",IF(R129="BUY",E129+N129*1.5,E129-N129*1.5))</f>
        <v/>
      </c>
      <c r="V129" s="13">
        <f>IF(R129="","",IF(R129="BUY",E129+N129*2,E129-N129*2))</f>
        <v/>
      </c>
      <c r="W129" s="13">
        <f>IF(R129="","",IF(R129="BUY",E129+N129*3,E129-N129*3))</f>
        <v/>
      </c>
      <c r="X129" s="8">
        <f>IF(OR(E129="",N129&lt;=0),"",IF(AND(E129&gt;H129,ABS(E129-H129)&lt;N129*0.5),"2ND","1ST"))</f>
        <v/>
      </c>
      <c r="Y129" s="8">
        <f>IF(OR(E129="",N129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29" s="8">
        <f>IF(OR(E129="",N129&lt;=0),"",IF(N129&gt;E129*0.05,"VOL-HIGH","VOL-NORMAL"))</f>
        <v/>
      </c>
      <c r="AA129" s="8">
        <f>IF(OR(E129="",N129&lt;=0),"",IF(AND(O129="VOL-OK",Z129="VOL-NORMAL",X129="2ND"),"OK","NG"))</f>
        <v/>
      </c>
      <c r="AB129" s="8">
        <f>IF(OR(E129="",N129&lt;=0),"",IF(AND(F129&gt;J129,G129&gt;K129),"UP",IF(AND(F129&lt;J129,G129&lt;K129),"DOWN","FLAT")))</f>
        <v/>
      </c>
    </row>
    <row r="130" ht="26" customHeight="1" s="1">
      <c r="A130" s="14">
        <f>IF(C130="","",ROW()-2)</f>
        <v/>
      </c>
      <c r="B130" s="15">
        <f>IF('StockList_MS2'!A129="","",HYPERLINK("https://kabutan.jp/stock/?code="&amp;'StockList_MS2'!A129,"株探"))</f>
        <v/>
      </c>
      <c r="C130" s="14">
        <f>IF('StockList_MS2'!A129="","",'StockList_MS2'!A129)</f>
        <v/>
      </c>
      <c r="D130" s="16">
        <f>IF('StockList_MS2'!A129="","",'StockList_MS2'!B129)</f>
        <v/>
      </c>
      <c r="E130" s="17" t="n"/>
      <c r="F130" s="17" t="n"/>
      <c r="G130" s="17" t="n"/>
      <c r="H130" s="17" t="n"/>
      <c r="I130" s="18" t="n"/>
      <c r="J130" s="17" t="n"/>
      <c r="K130" s="17" t="n"/>
      <c r="L130" s="17" t="n"/>
      <c r="M130" s="14">
        <f>IF(E130="","",IF(E130&gt;L130,"BUY-DAY","SELL-DAY"))</f>
        <v/>
      </c>
      <c r="N130" s="19">
        <f>IF(E130="","",MAX(F130-G130,ABS(F130-L130),ABS(G130-L130)))</f>
        <v/>
      </c>
      <c r="O130" s="14">
        <f>IF(E130="","",IF(AND(I130&gt;0,I130&gt;(I130/3)*2.5),"VOL-OK","VOL-NG"))</f>
        <v/>
      </c>
      <c r="P130" s="14">
        <f>IF(E130="","",IF(E130&gt;J130,"ON","OFF"))</f>
        <v/>
      </c>
      <c r="Q130" s="14">
        <f>IF(E130="","",IF(E130&lt;K130,"ON","OFF"))</f>
        <v/>
      </c>
      <c r="R130" s="14">
        <f>IF(OR(E130="",N130&lt;=0),"",IF(AND(M130="BUY-DAY",O130="VOL-OK",Q130="ON",AA130="OK",AB130&lt;&gt;"DOWN"),"BUY",IF(AND(M130="SELL-DAY",O130="VOL-OK",P130="ON",AA130="OK",AB130&lt;&gt;"UP"),"SELL","")))</f>
        <v/>
      </c>
      <c r="S130" s="19">
        <f>IF(R130="","",E130)</f>
        <v/>
      </c>
      <c r="T130" s="19">
        <f>IF(R130="","",IF(R130="BUY",E130-N130*1.5,E130+N130*1.5))</f>
        <v/>
      </c>
      <c r="U130" s="19">
        <f>IF(R130="","",IF(R130="BUY",E130+N130*1.5,E130-N130*1.5))</f>
        <v/>
      </c>
      <c r="V130" s="19">
        <f>IF(R130="","",IF(R130="BUY",E130+N130*2,E130-N130*2))</f>
        <v/>
      </c>
      <c r="W130" s="19">
        <f>IF(R130="","",IF(R130="BUY",E130+N130*3,E130-N130*3))</f>
        <v/>
      </c>
      <c r="X130" s="14">
        <f>IF(OR(E130="",N130&lt;=0),"",IF(AND(E130&gt;H130,ABS(E130-H130)&lt;N130*0.5),"2ND","1ST"))</f>
        <v/>
      </c>
      <c r="Y130" s="14">
        <f>IF(OR(E130="",N130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30" s="14">
        <f>IF(OR(E130="",N130&lt;=0),"",IF(N130&gt;E130*0.05,"VOL-HIGH","VOL-NORMAL"))</f>
        <v/>
      </c>
      <c r="AA130" s="14">
        <f>IF(OR(E130="",N130&lt;=0),"",IF(AND(O130="VOL-OK",Z130="VOL-NORMAL",X130="2ND"),"OK","NG"))</f>
        <v/>
      </c>
      <c r="AB130" s="14">
        <f>IF(OR(E130="",N130&lt;=0),"",IF(AND(F130&gt;J130,G130&gt;K130),"UP",IF(AND(F130&lt;J130,G130&lt;K130),"DOWN","FLAT")))</f>
        <v/>
      </c>
    </row>
    <row r="131" ht="26" customHeight="1" s="1">
      <c r="A131" s="8">
        <f>IF(C131="","",ROW()-2)</f>
        <v/>
      </c>
      <c r="B131" s="9">
        <f>IF('StockList_MS2'!A130="","",HYPERLINK("https://kabutan.jp/stock/?code="&amp;'StockList_MS2'!A130,"株探"))</f>
        <v/>
      </c>
      <c r="C131" s="8">
        <f>IF('StockList_MS2'!A130="","",'StockList_MS2'!A130)</f>
        <v/>
      </c>
      <c r="D131" s="10">
        <f>IF('StockList_MS2'!A130="","",'StockList_MS2'!B130)</f>
        <v/>
      </c>
      <c r="E131" s="11" t="n"/>
      <c r="F131" s="11" t="n"/>
      <c r="G131" s="11" t="n"/>
      <c r="H131" s="11" t="n"/>
      <c r="I131" s="12" t="n"/>
      <c r="J131" s="11" t="n"/>
      <c r="K131" s="11" t="n"/>
      <c r="L131" s="11" t="n"/>
      <c r="M131" s="8">
        <f>IF(E131="","",IF(E131&gt;L131,"BUY-DAY","SELL-DAY"))</f>
        <v/>
      </c>
      <c r="N131" s="13">
        <f>IF(E131="","",MAX(F131-G131,ABS(F131-L131),ABS(G131-L131)))</f>
        <v/>
      </c>
      <c r="O131" s="8">
        <f>IF(E131="","",IF(AND(I131&gt;0,I131&gt;(I131/3)*2.5),"VOL-OK","VOL-NG"))</f>
        <v/>
      </c>
      <c r="P131" s="8">
        <f>IF(E131="","",IF(E131&gt;J131,"ON","OFF"))</f>
        <v/>
      </c>
      <c r="Q131" s="8">
        <f>IF(E131="","",IF(E131&lt;K131,"ON","OFF"))</f>
        <v/>
      </c>
      <c r="R131" s="8">
        <f>IF(OR(E131="",N131&lt;=0),"",IF(AND(M131="BUY-DAY",O131="VOL-OK",Q131="ON",AA131="OK",AB131&lt;&gt;"DOWN"),"BUY",IF(AND(M131="SELL-DAY",O131="VOL-OK",P131="ON",AA131="OK",AB131&lt;&gt;"UP"),"SELL","")))</f>
        <v/>
      </c>
      <c r="S131" s="13">
        <f>IF(R131="","",E131)</f>
        <v/>
      </c>
      <c r="T131" s="13">
        <f>IF(R131="","",IF(R131="BUY",E131-N131*1.5,E131+N131*1.5))</f>
        <v/>
      </c>
      <c r="U131" s="13">
        <f>IF(R131="","",IF(R131="BUY",E131+N131*1.5,E131-N131*1.5))</f>
        <v/>
      </c>
      <c r="V131" s="13">
        <f>IF(R131="","",IF(R131="BUY",E131+N131*2,E131-N131*2))</f>
        <v/>
      </c>
      <c r="W131" s="13">
        <f>IF(R131="","",IF(R131="BUY",E131+N131*3,E131-N131*3))</f>
        <v/>
      </c>
      <c r="X131" s="8">
        <f>IF(OR(E131="",N131&lt;=0),"",IF(AND(E131&gt;H131,ABS(E131-H131)&lt;N131*0.5),"2ND","1ST"))</f>
        <v/>
      </c>
      <c r="Y131" s="8">
        <f>IF(OR(E131="",N131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31" s="8">
        <f>IF(OR(E131="",N131&lt;=0),"",IF(N131&gt;E131*0.05,"VOL-HIGH","VOL-NORMAL"))</f>
        <v/>
      </c>
      <c r="AA131" s="8">
        <f>IF(OR(E131="",N131&lt;=0),"",IF(AND(O131="VOL-OK",Z131="VOL-NORMAL",X131="2ND"),"OK","NG"))</f>
        <v/>
      </c>
      <c r="AB131" s="8">
        <f>IF(OR(E131="",N131&lt;=0),"",IF(AND(F131&gt;J131,G131&gt;K131),"UP",IF(AND(F131&lt;J131,G131&lt;K131),"DOWN","FLAT")))</f>
        <v/>
      </c>
    </row>
    <row r="132" ht="26" customHeight="1" s="1">
      <c r="A132" s="14">
        <f>IF(C132="","",ROW()-2)</f>
        <v/>
      </c>
      <c r="B132" s="15">
        <f>IF('StockList_MS2'!A131="","",HYPERLINK("https://kabutan.jp/stock/?code="&amp;'StockList_MS2'!A131,"株探"))</f>
        <v/>
      </c>
      <c r="C132" s="14">
        <f>IF('StockList_MS2'!A131="","",'StockList_MS2'!A131)</f>
        <v/>
      </c>
      <c r="D132" s="16">
        <f>IF('StockList_MS2'!A131="","",'StockList_MS2'!B131)</f>
        <v/>
      </c>
      <c r="E132" s="17" t="n"/>
      <c r="F132" s="17" t="n"/>
      <c r="G132" s="17" t="n"/>
      <c r="H132" s="17" t="n"/>
      <c r="I132" s="18" t="n"/>
      <c r="J132" s="17" t="n"/>
      <c r="K132" s="17" t="n"/>
      <c r="L132" s="17" t="n"/>
      <c r="M132" s="14">
        <f>IF(E132="","",IF(E132&gt;L132,"BUY-DAY","SELL-DAY"))</f>
        <v/>
      </c>
      <c r="N132" s="19">
        <f>IF(E132="","",MAX(F132-G132,ABS(F132-L132),ABS(G132-L132)))</f>
        <v/>
      </c>
      <c r="O132" s="14">
        <f>IF(E132="","",IF(AND(I132&gt;0,I132&gt;(I132/3)*2.5),"VOL-OK","VOL-NG"))</f>
        <v/>
      </c>
      <c r="P132" s="14">
        <f>IF(E132="","",IF(E132&gt;J132,"ON","OFF"))</f>
        <v/>
      </c>
      <c r="Q132" s="14">
        <f>IF(E132="","",IF(E132&lt;K132,"ON","OFF"))</f>
        <v/>
      </c>
      <c r="R132" s="14">
        <f>IF(OR(E132="",N132&lt;=0),"",IF(AND(M132="BUY-DAY",O132="VOL-OK",Q132="ON",AA132="OK",AB132&lt;&gt;"DOWN"),"BUY",IF(AND(M132="SELL-DAY",O132="VOL-OK",P132="ON",AA132="OK",AB132&lt;&gt;"UP"),"SELL","")))</f>
        <v/>
      </c>
      <c r="S132" s="19">
        <f>IF(R132="","",E132)</f>
        <v/>
      </c>
      <c r="T132" s="19">
        <f>IF(R132="","",IF(R132="BUY",E132-N132*1.5,E132+N132*1.5))</f>
        <v/>
      </c>
      <c r="U132" s="19">
        <f>IF(R132="","",IF(R132="BUY",E132+N132*1.5,E132-N132*1.5))</f>
        <v/>
      </c>
      <c r="V132" s="19">
        <f>IF(R132="","",IF(R132="BUY",E132+N132*2,E132-N132*2))</f>
        <v/>
      </c>
      <c r="W132" s="19">
        <f>IF(R132="","",IF(R132="BUY",E132+N132*3,E132-N132*3))</f>
        <v/>
      </c>
      <c r="X132" s="14">
        <f>IF(OR(E132="",N132&lt;=0),"",IF(AND(E132&gt;H132,ABS(E132-H132)&lt;N132*0.5),"2ND","1ST"))</f>
        <v/>
      </c>
      <c r="Y132" s="14">
        <f>IF(OR(E132="",N132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32" s="14">
        <f>IF(OR(E132="",N132&lt;=0),"",IF(N132&gt;E132*0.05,"VOL-HIGH","VOL-NORMAL"))</f>
        <v/>
      </c>
      <c r="AA132" s="14">
        <f>IF(OR(E132="",N132&lt;=0),"",IF(AND(O132="VOL-OK",Z132="VOL-NORMAL",X132="2ND"),"OK","NG"))</f>
        <v/>
      </c>
      <c r="AB132" s="14">
        <f>IF(OR(E132="",N132&lt;=0),"",IF(AND(F132&gt;J132,G132&gt;K132),"UP",IF(AND(F132&lt;J132,G132&lt;K132),"DOWN","FLAT")))</f>
        <v/>
      </c>
    </row>
    <row r="133" ht="26" customHeight="1" s="1">
      <c r="A133" s="8">
        <f>IF(C133="","",ROW()-2)</f>
        <v/>
      </c>
      <c r="B133" s="9">
        <f>IF('StockList_MS2'!A132="","",HYPERLINK("https://kabutan.jp/stock/?code="&amp;'StockList_MS2'!A132,"株探"))</f>
        <v/>
      </c>
      <c r="C133" s="8">
        <f>IF('StockList_MS2'!A132="","",'StockList_MS2'!A132)</f>
        <v/>
      </c>
      <c r="D133" s="10">
        <f>IF('StockList_MS2'!A132="","",'StockList_MS2'!B132)</f>
        <v/>
      </c>
      <c r="E133" s="11" t="n"/>
      <c r="F133" s="11" t="n"/>
      <c r="G133" s="11" t="n"/>
      <c r="H133" s="11" t="n"/>
      <c r="I133" s="12" t="n"/>
      <c r="J133" s="11" t="n"/>
      <c r="K133" s="11" t="n"/>
      <c r="L133" s="11" t="n"/>
      <c r="M133" s="8">
        <f>IF(E133="","",IF(E133&gt;L133,"BUY-DAY","SELL-DAY"))</f>
        <v/>
      </c>
      <c r="N133" s="13">
        <f>IF(E133="","",MAX(F133-G133,ABS(F133-L133),ABS(G133-L133)))</f>
        <v/>
      </c>
      <c r="O133" s="8">
        <f>IF(E133="","",IF(AND(I133&gt;0,I133&gt;(I133/3)*2.5),"VOL-OK","VOL-NG"))</f>
        <v/>
      </c>
      <c r="P133" s="8">
        <f>IF(E133="","",IF(E133&gt;J133,"ON","OFF"))</f>
        <v/>
      </c>
      <c r="Q133" s="8">
        <f>IF(E133="","",IF(E133&lt;K133,"ON","OFF"))</f>
        <v/>
      </c>
      <c r="R133" s="8">
        <f>IF(OR(E133="",N133&lt;=0),"",IF(AND(M133="BUY-DAY",O133="VOL-OK",Q133="ON",AA133="OK",AB133&lt;&gt;"DOWN"),"BUY",IF(AND(M133="SELL-DAY",O133="VOL-OK",P133="ON",AA133="OK",AB133&lt;&gt;"UP"),"SELL","")))</f>
        <v/>
      </c>
      <c r="S133" s="13">
        <f>IF(R133="","",E133)</f>
        <v/>
      </c>
      <c r="T133" s="13">
        <f>IF(R133="","",IF(R133="BUY",E133-N133*1.5,E133+N133*1.5))</f>
        <v/>
      </c>
      <c r="U133" s="13">
        <f>IF(R133="","",IF(R133="BUY",E133+N133*1.5,E133-N133*1.5))</f>
        <v/>
      </c>
      <c r="V133" s="13">
        <f>IF(R133="","",IF(R133="BUY",E133+N133*2,E133-N133*2))</f>
        <v/>
      </c>
      <c r="W133" s="13">
        <f>IF(R133="","",IF(R133="BUY",E133+N133*3,E133-N133*3))</f>
        <v/>
      </c>
      <c r="X133" s="8">
        <f>IF(OR(E133="",N133&lt;=0),"",IF(AND(E133&gt;H133,ABS(E133-H133)&lt;N133*0.5),"2ND","1ST"))</f>
        <v/>
      </c>
      <c r="Y133" s="8">
        <f>IF(OR(E133="",N133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33" s="8">
        <f>IF(OR(E133="",N133&lt;=0),"",IF(N133&gt;E133*0.05,"VOL-HIGH","VOL-NORMAL"))</f>
        <v/>
      </c>
      <c r="AA133" s="8">
        <f>IF(OR(E133="",N133&lt;=0),"",IF(AND(O133="VOL-OK",Z133="VOL-NORMAL",X133="2ND"),"OK","NG"))</f>
        <v/>
      </c>
      <c r="AB133" s="8">
        <f>IF(OR(E133="",N133&lt;=0),"",IF(AND(F133&gt;J133,G133&gt;K133),"UP",IF(AND(F133&lt;J133,G133&lt;K133),"DOWN","FLAT")))</f>
        <v/>
      </c>
    </row>
    <row r="134" ht="26" customHeight="1" s="1">
      <c r="A134" s="14">
        <f>IF(C134="","",ROW()-2)</f>
        <v/>
      </c>
      <c r="B134" s="15">
        <f>IF('StockList_MS2'!A133="","",HYPERLINK("https://kabutan.jp/stock/?code="&amp;'StockList_MS2'!A133,"株探"))</f>
        <v/>
      </c>
      <c r="C134" s="14">
        <f>IF('StockList_MS2'!A133="","",'StockList_MS2'!A133)</f>
        <v/>
      </c>
      <c r="D134" s="16">
        <f>IF('StockList_MS2'!A133="","",'StockList_MS2'!B133)</f>
        <v/>
      </c>
      <c r="E134" s="17" t="n"/>
      <c r="F134" s="17" t="n"/>
      <c r="G134" s="17" t="n"/>
      <c r="H134" s="17" t="n"/>
      <c r="I134" s="18" t="n"/>
      <c r="J134" s="17" t="n"/>
      <c r="K134" s="17" t="n"/>
      <c r="L134" s="17" t="n"/>
      <c r="M134" s="14">
        <f>IF(E134="","",IF(E134&gt;L134,"BUY-DAY","SELL-DAY"))</f>
        <v/>
      </c>
      <c r="N134" s="19">
        <f>IF(E134="","",MAX(F134-G134,ABS(F134-L134),ABS(G134-L134)))</f>
        <v/>
      </c>
      <c r="O134" s="14">
        <f>IF(E134="","",IF(AND(I134&gt;0,I134&gt;(I134/3)*2.5),"VOL-OK","VOL-NG"))</f>
        <v/>
      </c>
      <c r="P134" s="14">
        <f>IF(E134="","",IF(E134&gt;J134,"ON","OFF"))</f>
        <v/>
      </c>
      <c r="Q134" s="14">
        <f>IF(E134="","",IF(E134&lt;K134,"ON","OFF"))</f>
        <v/>
      </c>
      <c r="R134" s="14">
        <f>IF(OR(E134="",N134&lt;=0),"",IF(AND(M134="BUY-DAY",O134="VOL-OK",Q134="ON",AA134="OK",AB134&lt;&gt;"DOWN"),"BUY",IF(AND(M134="SELL-DAY",O134="VOL-OK",P134="ON",AA134="OK",AB134&lt;&gt;"UP"),"SELL","")))</f>
        <v/>
      </c>
      <c r="S134" s="19">
        <f>IF(R134="","",E134)</f>
        <v/>
      </c>
      <c r="T134" s="19">
        <f>IF(R134="","",IF(R134="BUY",E134-N134*1.5,E134+N134*1.5))</f>
        <v/>
      </c>
      <c r="U134" s="19">
        <f>IF(R134="","",IF(R134="BUY",E134+N134*1.5,E134-N134*1.5))</f>
        <v/>
      </c>
      <c r="V134" s="19">
        <f>IF(R134="","",IF(R134="BUY",E134+N134*2,E134-N134*2))</f>
        <v/>
      </c>
      <c r="W134" s="19">
        <f>IF(R134="","",IF(R134="BUY",E134+N134*3,E134-N134*3))</f>
        <v/>
      </c>
      <c r="X134" s="14">
        <f>IF(OR(E134="",N134&lt;=0),"",IF(AND(E134&gt;H134,ABS(E134-H134)&lt;N134*0.5),"2ND","1ST"))</f>
        <v/>
      </c>
      <c r="Y134" s="14">
        <f>IF(OR(E134="",N134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34" s="14">
        <f>IF(OR(E134="",N134&lt;=0),"",IF(N134&gt;E134*0.05,"VOL-HIGH","VOL-NORMAL"))</f>
        <v/>
      </c>
      <c r="AA134" s="14">
        <f>IF(OR(E134="",N134&lt;=0),"",IF(AND(O134="VOL-OK",Z134="VOL-NORMAL",X134="2ND"),"OK","NG"))</f>
        <v/>
      </c>
      <c r="AB134" s="14">
        <f>IF(OR(E134="",N134&lt;=0),"",IF(AND(F134&gt;J134,G134&gt;K134),"UP",IF(AND(F134&lt;J134,G134&lt;K134),"DOWN","FLAT")))</f>
        <v/>
      </c>
    </row>
    <row r="135" ht="26" customHeight="1" s="1">
      <c r="A135" s="8">
        <f>IF(C135="","",ROW()-2)</f>
        <v/>
      </c>
      <c r="B135" s="9">
        <f>IF('StockList_MS2'!A134="","",HYPERLINK("https://kabutan.jp/stock/?code="&amp;'StockList_MS2'!A134,"株探"))</f>
        <v/>
      </c>
      <c r="C135" s="8">
        <f>IF('StockList_MS2'!A134="","",'StockList_MS2'!A134)</f>
        <v/>
      </c>
      <c r="D135" s="10">
        <f>IF('StockList_MS2'!A134="","",'StockList_MS2'!B134)</f>
        <v/>
      </c>
      <c r="E135" s="11" t="n"/>
      <c r="F135" s="11" t="n"/>
      <c r="G135" s="11" t="n"/>
      <c r="H135" s="11" t="n"/>
      <c r="I135" s="12" t="n"/>
      <c r="J135" s="11" t="n"/>
      <c r="K135" s="11" t="n"/>
      <c r="L135" s="11" t="n"/>
      <c r="M135" s="8">
        <f>IF(E135="","",IF(E135&gt;L135,"BUY-DAY","SELL-DAY"))</f>
        <v/>
      </c>
      <c r="N135" s="13">
        <f>IF(E135="","",MAX(F135-G135,ABS(F135-L135),ABS(G135-L135)))</f>
        <v/>
      </c>
      <c r="O135" s="8">
        <f>IF(E135="","",IF(AND(I135&gt;0,I135&gt;(I135/3)*2.5),"VOL-OK","VOL-NG"))</f>
        <v/>
      </c>
      <c r="P135" s="8">
        <f>IF(E135="","",IF(E135&gt;J135,"ON","OFF"))</f>
        <v/>
      </c>
      <c r="Q135" s="8">
        <f>IF(E135="","",IF(E135&lt;K135,"ON","OFF"))</f>
        <v/>
      </c>
      <c r="R135" s="8">
        <f>IF(OR(E135="",N135&lt;=0),"",IF(AND(M135="BUY-DAY",O135="VOL-OK",Q135="ON",AA135="OK",AB135&lt;&gt;"DOWN"),"BUY",IF(AND(M135="SELL-DAY",O135="VOL-OK",P135="ON",AA135="OK",AB135&lt;&gt;"UP"),"SELL","")))</f>
        <v/>
      </c>
      <c r="S135" s="13">
        <f>IF(R135="","",E135)</f>
        <v/>
      </c>
      <c r="T135" s="13">
        <f>IF(R135="","",IF(R135="BUY",E135-N135*1.5,E135+N135*1.5))</f>
        <v/>
      </c>
      <c r="U135" s="13">
        <f>IF(R135="","",IF(R135="BUY",E135+N135*1.5,E135-N135*1.5))</f>
        <v/>
      </c>
      <c r="V135" s="13">
        <f>IF(R135="","",IF(R135="BUY",E135+N135*2,E135-N135*2))</f>
        <v/>
      </c>
      <c r="W135" s="13">
        <f>IF(R135="","",IF(R135="BUY",E135+N135*3,E135-N135*3))</f>
        <v/>
      </c>
      <c r="X135" s="8">
        <f>IF(OR(E135="",N135&lt;=0),"",IF(AND(E135&gt;H135,ABS(E135-H135)&lt;N135*0.5),"2ND","1ST"))</f>
        <v/>
      </c>
      <c r="Y135" s="8">
        <f>IF(OR(E135="",N135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35" s="8">
        <f>IF(OR(E135="",N135&lt;=0),"",IF(N135&gt;E135*0.05,"VOL-HIGH","VOL-NORMAL"))</f>
        <v/>
      </c>
      <c r="AA135" s="8">
        <f>IF(OR(E135="",N135&lt;=0),"",IF(AND(O135="VOL-OK",Z135="VOL-NORMAL",X135="2ND"),"OK","NG"))</f>
        <v/>
      </c>
      <c r="AB135" s="8">
        <f>IF(OR(E135="",N135&lt;=0),"",IF(AND(F135&gt;J135,G135&gt;K135),"UP",IF(AND(F135&lt;J135,G135&lt;K135),"DOWN","FLAT")))</f>
        <v/>
      </c>
    </row>
    <row r="136" ht="26" customHeight="1" s="1">
      <c r="A136" s="14">
        <f>IF(C136="","",ROW()-2)</f>
        <v/>
      </c>
      <c r="B136" s="15">
        <f>IF('StockList_MS2'!A135="","",HYPERLINK("https://kabutan.jp/stock/?code="&amp;'StockList_MS2'!A135,"株探"))</f>
        <v/>
      </c>
      <c r="C136" s="14">
        <f>IF('StockList_MS2'!A135="","",'StockList_MS2'!A135)</f>
        <v/>
      </c>
      <c r="D136" s="16">
        <f>IF('StockList_MS2'!A135="","",'StockList_MS2'!B135)</f>
        <v/>
      </c>
      <c r="E136" s="17" t="n"/>
      <c r="F136" s="17" t="n"/>
      <c r="G136" s="17" t="n"/>
      <c r="H136" s="17" t="n"/>
      <c r="I136" s="18" t="n"/>
      <c r="J136" s="17" t="n"/>
      <c r="K136" s="17" t="n"/>
      <c r="L136" s="17" t="n"/>
      <c r="M136" s="14">
        <f>IF(E136="","",IF(E136&gt;L136,"BUY-DAY","SELL-DAY"))</f>
        <v/>
      </c>
      <c r="N136" s="19">
        <f>IF(E136="","",MAX(F136-G136,ABS(F136-L136),ABS(G136-L136)))</f>
        <v/>
      </c>
      <c r="O136" s="14">
        <f>IF(E136="","",IF(AND(I136&gt;0,I136&gt;(I136/3)*2.5),"VOL-OK","VOL-NG"))</f>
        <v/>
      </c>
      <c r="P136" s="14">
        <f>IF(E136="","",IF(E136&gt;J136,"ON","OFF"))</f>
        <v/>
      </c>
      <c r="Q136" s="14">
        <f>IF(E136="","",IF(E136&lt;K136,"ON","OFF"))</f>
        <v/>
      </c>
      <c r="R136" s="14">
        <f>IF(OR(E136="",N136&lt;=0),"",IF(AND(M136="BUY-DAY",O136="VOL-OK",Q136="ON",AA136="OK",AB136&lt;&gt;"DOWN"),"BUY",IF(AND(M136="SELL-DAY",O136="VOL-OK",P136="ON",AA136="OK",AB136&lt;&gt;"UP"),"SELL","")))</f>
        <v/>
      </c>
      <c r="S136" s="19">
        <f>IF(R136="","",E136)</f>
        <v/>
      </c>
      <c r="T136" s="19">
        <f>IF(R136="","",IF(R136="BUY",E136-N136*1.5,E136+N136*1.5))</f>
        <v/>
      </c>
      <c r="U136" s="19">
        <f>IF(R136="","",IF(R136="BUY",E136+N136*1.5,E136-N136*1.5))</f>
        <v/>
      </c>
      <c r="V136" s="19">
        <f>IF(R136="","",IF(R136="BUY",E136+N136*2,E136-N136*2))</f>
        <v/>
      </c>
      <c r="W136" s="19">
        <f>IF(R136="","",IF(R136="BUY",E136+N136*3,E136-N136*3))</f>
        <v/>
      </c>
      <c r="X136" s="14">
        <f>IF(OR(E136="",N136&lt;=0),"",IF(AND(E136&gt;H136,ABS(E136-H136)&lt;N136*0.5),"2ND","1ST"))</f>
        <v/>
      </c>
      <c r="Y136" s="14">
        <f>IF(OR(E136="",N136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36" s="14">
        <f>IF(OR(E136="",N136&lt;=0),"",IF(N136&gt;E136*0.05,"VOL-HIGH","VOL-NORMAL"))</f>
        <v/>
      </c>
      <c r="AA136" s="14">
        <f>IF(OR(E136="",N136&lt;=0),"",IF(AND(O136="VOL-OK",Z136="VOL-NORMAL",X136="2ND"),"OK","NG"))</f>
        <v/>
      </c>
      <c r="AB136" s="14">
        <f>IF(OR(E136="",N136&lt;=0),"",IF(AND(F136&gt;J136,G136&gt;K136),"UP",IF(AND(F136&lt;J136,G136&lt;K136),"DOWN","FLAT")))</f>
        <v/>
      </c>
    </row>
    <row r="137" ht="26" customHeight="1" s="1">
      <c r="A137" s="8">
        <f>IF(C137="","",ROW()-2)</f>
        <v/>
      </c>
      <c r="B137" s="9">
        <f>IF('StockList_MS2'!A136="","",HYPERLINK("https://kabutan.jp/stock/?code="&amp;'StockList_MS2'!A136,"株探"))</f>
        <v/>
      </c>
      <c r="C137" s="8">
        <f>IF('StockList_MS2'!A136="","",'StockList_MS2'!A136)</f>
        <v/>
      </c>
      <c r="D137" s="10">
        <f>IF('StockList_MS2'!A136="","",'StockList_MS2'!B136)</f>
        <v/>
      </c>
      <c r="E137" s="11" t="n"/>
      <c r="F137" s="11" t="n"/>
      <c r="G137" s="11" t="n"/>
      <c r="H137" s="11" t="n"/>
      <c r="I137" s="12" t="n"/>
      <c r="J137" s="11" t="n"/>
      <c r="K137" s="11" t="n"/>
      <c r="L137" s="11" t="n"/>
      <c r="M137" s="8">
        <f>IF(E137="","",IF(E137&gt;L137,"BUY-DAY","SELL-DAY"))</f>
        <v/>
      </c>
      <c r="N137" s="13">
        <f>IF(E137="","",MAX(F137-G137,ABS(F137-L137),ABS(G137-L137)))</f>
        <v/>
      </c>
      <c r="O137" s="8">
        <f>IF(E137="","",IF(AND(I137&gt;0,I137&gt;(I137/3)*2.5),"VOL-OK","VOL-NG"))</f>
        <v/>
      </c>
      <c r="P137" s="8">
        <f>IF(E137="","",IF(E137&gt;J137,"ON","OFF"))</f>
        <v/>
      </c>
      <c r="Q137" s="8">
        <f>IF(E137="","",IF(E137&lt;K137,"ON","OFF"))</f>
        <v/>
      </c>
      <c r="R137" s="8">
        <f>IF(OR(E137="",N137&lt;=0),"",IF(AND(M137="BUY-DAY",O137="VOL-OK",Q137="ON",AA137="OK",AB137&lt;&gt;"DOWN"),"BUY",IF(AND(M137="SELL-DAY",O137="VOL-OK",P137="ON",AA137="OK",AB137&lt;&gt;"UP"),"SELL","")))</f>
        <v/>
      </c>
      <c r="S137" s="13">
        <f>IF(R137="","",E137)</f>
        <v/>
      </c>
      <c r="T137" s="13">
        <f>IF(R137="","",IF(R137="BUY",E137-N137*1.5,E137+N137*1.5))</f>
        <v/>
      </c>
      <c r="U137" s="13">
        <f>IF(R137="","",IF(R137="BUY",E137+N137*1.5,E137-N137*1.5))</f>
        <v/>
      </c>
      <c r="V137" s="13">
        <f>IF(R137="","",IF(R137="BUY",E137+N137*2,E137-N137*2))</f>
        <v/>
      </c>
      <c r="W137" s="13">
        <f>IF(R137="","",IF(R137="BUY",E137+N137*3,E137-N137*3))</f>
        <v/>
      </c>
      <c r="X137" s="8">
        <f>IF(OR(E137="",N137&lt;=0),"",IF(AND(E137&gt;H137,ABS(E137-H137)&lt;N137*0.5),"2ND","1ST"))</f>
        <v/>
      </c>
      <c r="Y137" s="8">
        <f>IF(OR(E137="",N137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37" s="8">
        <f>IF(OR(E137="",N137&lt;=0),"",IF(N137&gt;E137*0.05,"VOL-HIGH","VOL-NORMAL"))</f>
        <v/>
      </c>
      <c r="AA137" s="8">
        <f>IF(OR(E137="",N137&lt;=0),"",IF(AND(O137="VOL-OK",Z137="VOL-NORMAL",X137="2ND"),"OK","NG"))</f>
        <v/>
      </c>
      <c r="AB137" s="8">
        <f>IF(OR(E137="",N137&lt;=0),"",IF(AND(F137&gt;J137,G137&gt;K137),"UP",IF(AND(F137&lt;J137,G137&lt;K137),"DOWN","FLAT")))</f>
        <v/>
      </c>
    </row>
    <row r="138" ht="26" customHeight="1" s="1">
      <c r="A138" s="14">
        <f>IF(C138="","",ROW()-2)</f>
        <v/>
      </c>
      <c r="B138" s="15">
        <f>IF('StockList_MS2'!A137="","",HYPERLINK("https://kabutan.jp/stock/?code="&amp;'StockList_MS2'!A137,"株探"))</f>
        <v/>
      </c>
      <c r="C138" s="14">
        <f>IF('StockList_MS2'!A137="","",'StockList_MS2'!A137)</f>
        <v/>
      </c>
      <c r="D138" s="16">
        <f>IF('StockList_MS2'!A137="","",'StockList_MS2'!B137)</f>
        <v/>
      </c>
      <c r="E138" s="17" t="n"/>
      <c r="F138" s="17" t="n"/>
      <c r="G138" s="17" t="n"/>
      <c r="H138" s="17" t="n"/>
      <c r="I138" s="18" t="n"/>
      <c r="J138" s="17" t="n"/>
      <c r="K138" s="17" t="n"/>
      <c r="L138" s="17" t="n"/>
      <c r="M138" s="14">
        <f>IF(E138="","",IF(E138&gt;L138,"BUY-DAY","SELL-DAY"))</f>
        <v/>
      </c>
      <c r="N138" s="19">
        <f>IF(E138="","",MAX(F138-G138,ABS(F138-L138),ABS(G138-L138)))</f>
        <v/>
      </c>
      <c r="O138" s="14">
        <f>IF(E138="","",IF(AND(I138&gt;0,I138&gt;(I138/3)*2.5),"VOL-OK","VOL-NG"))</f>
        <v/>
      </c>
      <c r="P138" s="14">
        <f>IF(E138="","",IF(E138&gt;J138,"ON","OFF"))</f>
        <v/>
      </c>
      <c r="Q138" s="14">
        <f>IF(E138="","",IF(E138&lt;K138,"ON","OFF"))</f>
        <v/>
      </c>
      <c r="R138" s="14">
        <f>IF(OR(E138="",N138&lt;=0),"",IF(AND(M138="BUY-DAY",O138="VOL-OK",Q138="ON",AA138="OK",AB138&lt;&gt;"DOWN"),"BUY",IF(AND(M138="SELL-DAY",O138="VOL-OK",P138="ON",AA138="OK",AB138&lt;&gt;"UP"),"SELL","")))</f>
        <v/>
      </c>
      <c r="S138" s="19">
        <f>IF(R138="","",E138)</f>
        <v/>
      </c>
      <c r="T138" s="19">
        <f>IF(R138="","",IF(R138="BUY",E138-N138*1.5,E138+N138*1.5))</f>
        <v/>
      </c>
      <c r="U138" s="19">
        <f>IF(R138="","",IF(R138="BUY",E138+N138*1.5,E138-N138*1.5))</f>
        <v/>
      </c>
      <c r="V138" s="19">
        <f>IF(R138="","",IF(R138="BUY",E138+N138*2,E138-N138*2))</f>
        <v/>
      </c>
      <c r="W138" s="19">
        <f>IF(R138="","",IF(R138="BUY",E138+N138*3,E138-N138*3))</f>
        <v/>
      </c>
      <c r="X138" s="14">
        <f>IF(OR(E138="",N138&lt;=0),"",IF(AND(E138&gt;H138,ABS(E138-H138)&lt;N138*0.5),"2ND","1ST"))</f>
        <v/>
      </c>
      <c r="Y138" s="14">
        <f>IF(OR(E138="",N138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38" s="14">
        <f>IF(OR(E138="",N138&lt;=0),"",IF(N138&gt;E138*0.05,"VOL-HIGH","VOL-NORMAL"))</f>
        <v/>
      </c>
      <c r="AA138" s="14">
        <f>IF(OR(E138="",N138&lt;=0),"",IF(AND(O138="VOL-OK",Z138="VOL-NORMAL",X138="2ND"),"OK","NG"))</f>
        <v/>
      </c>
      <c r="AB138" s="14">
        <f>IF(OR(E138="",N138&lt;=0),"",IF(AND(F138&gt;J138,G138&gt;K138),"UP",IF(AND(F138&lt;J138,G138&lt;K138),"DOWN","FLAT")))</f>
        <v/>
      </c>
    </row>
    <row r="139" ht="26" customHeight="1" s="1">
      <c r="A139" s="8">
        <f>IF(C139="","",ROW()-2)</f>
        <v/>
      </c>
      <c r="B139" s="9">
        <f>IF('StockList_MS2'!A138="","",HYPERLINK("https://kabutan.jp/stock/?code="&amp;'StockList_MS2'!A138,"株探"))</f>
        <v/>
      </c>
      <c r="C139" s="8">
        <f>IF('StockList_MS2'!A138="","",'StockList_MS2'!A138)</f>
        <v/>
      </c>
      <c r="D139" s="10">
        <f>IF('StockList_MS2'!A138="","",'StockList_MS2'!B138)</f>
        <v/>
      </c>
      <c r="E139" s="11" t="n"/>
      <c r="F139" s="11" t="n"/>
      <c r="G139" s="11" t="n"/>
      <c r="H139" s="11" t="n"/>
      <c r="I139" s="12" t="n"/>
      <c r="J139" s="11" t="n"/>
      <c r="K139" s="11" t="n"/>
      <c r="L139" s="11" t="n"/>
      <c r="M139" s="8">
        <f>IF(E139="","",IF(E139&gt;L139,"BUY-DAY","SELL-DAY"))</f>
        <v/>
      </c>
      <c r="N139" s="13">
        <f>IF(E139="","",MAX(F139-G139,ABS(F139-L139),ABS(G139-L139)))</f>
        <v/>
      </c>
      <c r="O139" s="8">
        <f>IF(E139="","",IF(AND(I139&gt;0,I139&gt;(I139/3)*2.5),"VOL-OK","VOL-NG"))</f>
        <v/>
      </c>
      <c r="P139" s="8">
        <f>IF(E139="","",IF(E139&gt;J139,"ON","OFF"))</f>
        <v/>
      </c>
      <c r="Q139" s="8">
        <f>IF(E139="","",IF(E139&lt;K139,"ON","OFF"))</f>
        <v/>
      </c>
      <c r="R139" s="8">
        <f>IF(OR(E139="",N139&lt;=0),"",IF(AND(M139="BUY-DAY",O139="VOL-OK",Q139="ON",AA139="OK",AB139&lt;&gt;"DOWN"),"BUY",IF(AND(M139="SELL-DAY",O139="VOL-OK",P139="ON",AA139="OK",AB139&lt;&gt;"UP"),"SELL","")))</f>
        <v/>
      </c>
      <c r="S139" s="13">
        <f>IF(R139="","",E139)</f>
        <v/>
      </c>
      <c r="T139" s="13">
        <f>IF(R139="","",IF(R139="BUY",E139-N139*1.5,E139+N139*1.5))</f>
        <v/>
      </c>
      <c r="U139" s="13">
        <f>IF(R139="","",IF(R139="BUY",E139+N139*1.5,E139-N139*1.5))</f>
        <v/>
      </c>
      <c r="V139" s="13">
        <f>IF(R139="","",IF(R139="BUY",E139+N139*2,E139-N139*2))</f>
        <v/>
      </c>
      <c r="W139" s="13">
        <f>IF(R139="","",IF(R139="BUY",E139+N139*3,E139-N139*3))</f>
        <v/>
      </c>
      <c r="X139" s="8">
        <f>IF(OR(E139="",N139&lt;=0),"",IF(AND(E139&gt;H139,ABS(E139-H139)&lt;N139*0.5),"2ND","1ST"))</f>
        <v/>
      </c>
      <c r="Y139" s="8">
        <f>IF(OR(E139="",N139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39" s="8">
        <f>IF(OR(E139="",N139&lt;=0),"",IF(N139&gt;E139*0.05,"VOL-HIGH","VOL-NORMAL"))</f>
        <v/>
      </c>
      <c r="AA139" s="8">
        <f>IF(OR(E139="",N139&lt;=0),"",IF(AND(O139="VOL-OK",Z139="VOL-NORMAL",X139="2ND"),"OK","NG"))</f>
        <v/>
      </c>
      <c r="AB139" s="8">
        <f>IF(OR(E139="",N139&lt;=0),"",IF(AND(F139&gt;J139,G139&gt;K139),"UP",IF(AND(F139&lt;J139,G139&lt;K139),"DOWN","FLAT")))</f>
        <v/>
      </c>
    </row>
    <row r="140" ht="26" customHeight="1" s="1">
      <c r="A140" s="14">
        <f>IF(C140="","",ROW()-2)</f>
        <v/>
      </c>
      <c r="B140" s="15">
        <f>IF('StockList_MS2'!A139="","",HYPERLINK("https://kabutan.jp/stock/?code="&amp;'StockList_MS2'!A139,"株探"))</f>
        <v/>
      </c>
      <c r="C140" s="14">
        <f>IF('StockList_MS2'!A139="","",'StockList_MS2'!A139)</f>
        <v/>
      </c>
      <c r="D140" s="16">
        <f>IF('StockList_MS2'!A139="","",'StockList_MS2'!B139)</f>
        <v/>
      </c>
      <c r="E140" s="17" t="n"/>
      <c r="F140" s="17" t="n"/>
      <c r="G140" s="17" t="n"/>
      <c r="H140" s="17" t="n"/>
      <c r="I140" s="18" t="n"/>
      <c r="J140" s="17" t="n"/>
      <c r="K140" s="17" t="n"/>
      <c r="L140" s="17" t="n"/>
      <c r="M140" s="14">
        <f>IF(E140="","",IF(E140&gt;L140,"BUY-DAY","SELL-DAY"))</f>
        <v/>
      </c>
      <c r="N140" s="19">
        <f>IF(E140="","",MAX(F140-G140,ABS(F140-L140),ABS(G140-L140)))</f>
        <v/>
      </c>
      <c r="O140" s="14">
        <f>IF(E140="","",IF(AND(I140&gt;0,I140&gt;(I140/3)*2.5),"VOL-OK","VOL-NG"))</f>
        <v/>
      </c>
      <c r="P140" s="14">
        <f>IF(E140="","",IF(E140&gt;J140,"ON","OFF"))</f>
        <v/>
      </c>
      <c r="Q140" s="14">
        <f>IF(E140="","",IF(E140&lt;K140,"ON","OFF"))</f>
        <v/>
      </c>
      <c r="R140" s="14">
        <f>IF(OR(E140="",N140&lt;=0),"",IF(AND(M140="BUY-DAY",O140="VOL-OK",Q140="ON",AA140="OK",AB140&lt;&gt;"DOWN"),"BUY",IF(AND(M140="SELL-DAY",O140="VOL-OK",P140="ON",AA140="OK",AB140&lt;&gt;"UP"),"SELL","")))</f>
        <v/>
      </c>
      <c r="S140" s="19">
        <f>IF(R140="","",E140)</f>
        <v/>
      </c>
      <c r="T140" s="19">
        <f>IF(R140="","",IF(R140="BUY",E140-N140*1.5,E140+N140*1.5))</f>
        <v/>
      </c>
      <c r="U140" s="19">
        <f>IF(R140="","",IF(R140="BUY",E140+N140*1.5,E140-N140*1.5))</f>
        <v/>
      </c>
      <c r="V140" s="19">
        <f>IF(R140="","",IF(R140="BUY",E140+N140*2,E140-N140*2))</f>
        <v/>
      </c>
      <c r="W140" s="19">
        <f>IF(R140="","",IF(R140="BUY",E140+N140*3,E140-N140*3))</f>
        <v/>
      </c>
      <c r="X140" s="14">
        <f>IF(OR(E140="",N140&lt;=0),"",IF(AND(E140&gt;H140,ABS(E140-H140)&lt;N140*0.5),"2ND","1ST"))</f>
        <v/>
      </c>
      <c r="Y140" s="14">
        <f>IF(OR(E140="",N140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40" s="14">
        <f>IF(OR(E140="",N140&lt;=0),"",IF(N140&gt;E140*0.05,"VOL-HIGH","VOL-NORMAL"))</f>
        <v/>
      </c>
      <c r="AA140" s="14">
        <f>IF(OR(E140="",N140&lt;=0),"",IF(AND(O140="VOL-OK",Z140="VOL-NORMAL",X140="2ND"),"OK","NG"))</f>
        <v/>
      </c>
      <c r="AB140" s="14">
        <f>IF(OR(E140="",N140&lt;=0),"",IF(AND(F140&gt;J140,G140&gt;K140),"UP",IF(AND(F140&lt;J140,G140&lt;K140),"DOWN","FLAT")))</f>
        <v/>
      </c>
    </row>
    <row r="141" ht="26" customHeight="1" s="1">
      <c r="A141" s="8">
        <f>IF(C141="","",ROW()-2)</f>
        <v/>
      </c>
      <c r="B141" s="9">
        <f>IF('StockList_MS2'!A140="","",HYPERLINK("https://kabutan.jp/stock/?code="&amp;'StockList_MS2'!A140,"株探"))</f>
        <v/>
      </c>
      <c r="C141" s="8">
        <f>IF('StockList_MS2'!A140="","",'StockList_MS2'!A140)</f>
        <v/>
      </c>
      <c r="D141" s="10">
        <f>IF('StockList_MS2'!A140="","",'StockList_MS2'!B140)</f>
        <v/>
      </c>
      <c r="E141" s="11" t="n"/>
      <c r="F141" s="11" t="n"/>
      <c r="G141" s="11" t="n"/>
      <c r="H141" s="11" t="n"/>
      <c r="I141" s="12" t="n"/>
      <c r="J141" s="11" t="n"/>
      <c r="K141" s="11" t="n"/>
      <c r="L141" s="11" t="n"/>
      <c r="M141" s="8">
        <f>IF(E141="","",IF(E141&gt;L141,"BUY-DAY","SELL-DAY"))</f>
        <v/>
      </c>
      <c r="N141" s="13">
        <f>IF(E141="","",MAX(F141-G141,ABS(F141-L141),ABS(G141-L141)))</f>
        <v/>
      </c>
      <c r="O141" s="8">
        <f>IF(E141="","",IF(AND(I141&gt;0,I141&gt;(I141/3)*2.5),"VOL-OK","VOL-NG"))</f>
        <v/>
      </c>
      <c r="P141" s="8">
        <f>IF(E141="","",IF(E141&gt;J141,"ON","OFF"))</f>
        <v/>
      </c>
      <c r="Q141" s="8">
        <f>IF(E141="","",IF(E141&lt;K141,"ON","OFF"))</f>
        <v/>
      </c>
      <c r="R141" s="8">
        <f>IF(OR(E141="",N141&lt;=0),"",IF(AND(M141="BUY-DAY",O141="VOL-OK",Q141="ON",AA141="OK",AB141&lt;&gt;"DOWN"),"BUY",IF(AND(M141="SELL-DAY",O141="VOL-OK",P141="ON",AA141="OK",AB141&lt;&gt;"UP"),"SELL","")))</f>
        <v/>
      </c>
      <c r="S141" s="13">
        <f>IF(R141="","",E141)</f>
        <v/>
      </c>
      <c r="T141" s="13">
        <f>IF(R141="","",IF(R141="BUY",E141-N141*1.5,E141+N141*1.5))</f>
        <v/>
      </c>
      <c r="U141" s="13">
        <f>IF(R141="","",IF(R141="BUY",E141+N141*1.5,E141-N141*1.5))</f>
        <v/>
      </c>
      <c r="V141" s="13">
        <f>IF(R141="","",IF(R141="BUY",E141+N141*2,E141-N141*2))</f>
        <v/>
      </c>
      <c r="W141" s="13">
        <f>IF(R141="","",IF(R141="BUY",E141+N141*3,E141-N141*3))</f>
        <v/>
      </c>
      <c r="X141" s="8">
        <f>IF(OR(E141="",N141&lt;=0),"",IF(AND(E141&gt;H141,ABS(E141-H141)&lt;N141*0.5),"2ND","1ST"))</f>
        <v/>
      </c>
      <c r="Y141" s="8">
        <f>IF(OR(E141="",N141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41" s="8">
        <f>IF(OR(E141="",N141&lt;=0),"",IF(N141&gt;E141*0.05,"VOL-HIGH","VOL-NORMAL"))</f>
        <v/>
      </c>
      <c r="AA141" s="8">
        <f>IF(OR(E141="",N141&lt;=0),"",IF(AND(O141="VOL-OK",Z141="VOL-NORMAL",X141="2ND"),"OK","NG"))</f>
        <v/>
      </c>
      <c r="AB141" s="8">
        <f>IF(OR(E141="",N141&lt;=0),"",IF(AND(F141&gt;J141,G141&gt;K141),"UP",IF(AND(F141&lt;J141,G141&lt;K141),"DOWN","FLAT")))</f>
        <v/>
      </c>
    </row>
    <row r="142" ht="26" customHeight="1" s="1">
      <c r="A142" s="14">
        <f>IF(C142="","",ROW()-2)</f>
        <v/>
      </c>
      <c r="B142" s="15">
        <f>IF('StockList_MS2'!A141="","",HYPERLINK("https://kabutan.jp/stock/?code="&amp;'StockList_MS2'!A141,"株探"))</f>
        <v/>
      </c>
      <c r="C142" s="14">
        <f>IF('StockList_MS2'!A141="","",'StockList_MS2'!A141)</f>
        <v/>
      </c>
      <c r="D142" s="16">
        <f>IF('StockList_MS2'!A141="","",'StockList_MS2'!B141)</f>
        <v/>
      </c>
      <c r="E142" s="17" t="n"/>
      <c r="F142" s="17" t="n"/>
      <c r="G142" s="17" t="n"/>
      <c r="H142" s="17" t="n"/>
      <c r="I142" s="18" t="n"/>
      <c r="J142" s="17" t="n"/>
      <c r="K142" s="17" t="n"/>
      <c r="L142" s="17" t="n"/>
      <c r="M142" s="14">
        <f>IF(E142="","",IF(E142&gt;L142,"BUY-DAY","SELL-DAY"))</f>
        <v/>
      </c>
      <c r="N142" s="19">
        <f>IF(E142="","",MAX(F142-G142,ABS(F142-L142),ABS(G142-L142)))</f>
        <v/>
      </c>
      <c r="O142" s="14">
        <f>IF(E142="","",IF(AND(I142&gt;0,I142&gt;(I142/3)*2.5),"VOL-OK","VOL-NG"))</f>
        <v/>
      </c>
      <c r="P142" s="14">
        <f>IF(E142="","",IF(E142&gt;J142,"ON","OFF"))</f>
        <v/>
      </c>
      <c r="Q142" s="14">
        <f>IF(E142="","",IF(E142&lt;K142,"ON","OFF"))</f>
        <v/>
      </c>
      <c r="R142" s="14">
        <f>IF(OR(E142="",N142&lt;=0),"",IF(AND(M142="BUY-DAY",O142="VOL-OK",Q142="ON",AA142="OK",AB142&lt;&gt;"DOWN"),"BUY",IF(AND(M142="SELL-DAY",O142="VOL-OK",P142="ON",AA142="OK",AB142&lt;&gt;"UP"),"SELL","")))</f>
        <v/>
      </c>
      <c r="S142" s="19">
        <f>IF(R142="","",E142)</f>
        <v/>
      </c>
      <c r="T142" s="19">
        <f>IF(R142="","",IF(R142="BUY",E142-N142*1.5,E142+N142*1.5))</f>
        <v/>
      </c>
      <c r="U142" s="19">
        <f>IF(R142="","",IF(R142="BUY",E142+N142*1.5,E142-N142*1.5))</f>
        <v/>
      </c>
      <c r="V142" s="19">
        <f>IF(R142="","",IF(R142="BUY",E142+N142*2,E142-N142*2))</f>
        <v/>
      </c>
      <c r="W142" s="19">
        <f>IF(R142="","",IF(R142="BUY",E142+N142*3,E142-N142*3))</f>
        <v/>
      </c>
      <c r="X142" s="14">
        <f>IF(OR(E142="",N142&lt;=0),"",IF(AND(E142&gt;H142,ABS(E142-H142)&lt;N142*0.5),"2ND","1ST"))</f>
        <v/>
      </c>
      <c r="Y142" s="14">
        <f>IF(OR(E142="",N142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42" s="14">
        <f>IF(OR(E142="",N142&lt;=0),"",IF(N142&gt;E142*0.05,"VOL-HIGH","VOL-NORMAL"))</f>
        <v/>
      </c>
      <c r="AA142" s="14">
        <f>IF(OR(E142="",N142&lt;=0),"",IF(AND(O142="VOL-OK",Z142="VOL-NORMAL",X142="2ND"),"OK","NG"))</f>
        <v/>
      </c>
      <c r="AB142" s="14">
        <f>IF(OR(E142="",N142&lt;=0),"",IF(AND(F142&gt;J142,G142&gt;K142),"UP",IF(AND(F142&lt;J142,G142&lt;K142),"DOWN","FLAT")))</f>
        <v/>
      </c>
    </row>
    <row r="143" ht="26" customHeight="1" s="1">
      <c r="A143" s="8">
        <f>IF(C143="","",ROW()-2)</f>
        <v/>
      </c>
      <c r="B143" s="9">
        <f>IF('StockList_MS2'!A142="","",HYPERLINK("https://kabutan.jp/stock/?code="&amp;'StockList_MS2'!A142,"株探"))</f>
        <v/>
      </c>
      <c r="C143" s="8">
        <f>IF('StockList_MS2'!A142="","",'StockList_MS2'!A142)</f>
        <v/>
      </c>
      <c r="D143" s="10">
        <f>IF('StockList_MS2'!A142="","",'StockList_MS2'!B142)</f>
        <v/>
      </c>
      <c r="E143" s="11" t="n"/>
      <c r="F143" s="11" t="n"/>
      <c r="G143" s="11" t="n"/>
      <c r="H143" s="11" t="n"/>
      <c r="I143" s="12" t="n"/>
      <c r="J143" s="11" t="n"/>
      <c r="K143" s="11" t="n"/>
      <c r="L143" s="11" t="n"/>
      <c r="M143" s="8">
        <f>IF(E143="","",IF(E143&gt;L143,"BUY-DAY","SELL-DAY"))</f>
        <v/>
      </c>
      <c r="N143" s="13">
        <f>IF(E143="","",MAX(F143-G143,ABS(F143-L143),ABS(G143-L143)))</f>
        <v/>
      </c>
      <c r="O143" s="8">
        <f>IF(E143="","",IF(AND(I143&gt;0,I143&gt;(I143/3)*2.5),"VOL-OK","VOL-NG"))</f>
        <v/>
      </c>
      <c r="P143" s="8">
        <f>IF(E143="","",IF(E143&gt;J143,"ON","OFF"))</f>
        <v/>
      </c>
      <c r="Q143" s="8">
        <f>IF(E143="","",IF(E143&lt;K143,"ON","OFF"))</f>
        <v/>
      </c>
      <c r="R143" s="8">
        <f>IF(OR(E143="",N143&lt;=0),"",IF(AND(M143="BUY-DAY",O143="VOL-OK",Q143="ON",AA143="OK",AB143&lt;&gt;"DOWN"),"BUY",IF(AND(M143="SELL-DAY",O143="VOL-OK",P143="ON",AA143="OK",AB143&lt;&gt;"UP"),"SELL","")))</f>
        <v/>
      </c>
      <c r="S143" s="13">
        <f>IF(R143="","",E143)</f>
        <v/>
      </c>
      <c r="T143" s="13">
        <f>IF(R143="","",IF(R143="BUY",E143-N143*1.5,E143+N143*1.5))</f>
        <v/>
      </c>
      <c r="U143" s="13">
        <f>IF(R143="","",IF(R143="BUY",E143+N143*1.5,E143-N143*1.5))</f>
        <v/>
      </c>
      <c r="V143" s="13">
        <f>IF(R143="","",IF(R143="BUY",E143+N143*2,E143-N143*2))</f>
        <v/>
      </c>
      <c r="W143" s="13">
        <f>IF(R143="","",IF(R143="BUY",E143+N143*3,E143-N143*3))</f>
        <v/>
      </c>
      <c r="X143" s="8">
        <f>IF(OR(E143="",N143&lt;=0),"",IF(AND(E143&gt;H143,ABS(E143-H143)&lt;N143*0.5),"2ND","1ST"))</f>
        <v/>
      </c>
      <c r="Y143" s="8">
        <f>IF(OR(E143="",N143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43" s="8">
        <f>IF(OR(E143="",N143&lt;=0),"",IF(N143&gt;E143*0.05,"VOL-HIGH","VOL-NORMAL"))</f>
        <v/>
      </c>
      <c r="AA143" s="8">
        <f>IF(OR(E143="",N143&lt;=0),"",IF(AND(O143="VOL-OK",Z143="VOL-NORMAL",X143="2ND"),"OK","NG"))</f>
        <v/>
      </c>
      <c r="AB143" s="8">
        <f>IF(OR(E143="",N143&lt;=0),"",IF(AND(F143&gt;J143,G143&gt;K143),"UP",IF(AND(F143&lt;J143,G143&lt;K143),"DOWN","FLAT")))</f>
        <v/>
      </c>
    </row>
    <row r="144" ht="26" customHeight="1" s="1">
      <c r="A144" s="14">
        <f>IF(C144="","",ROW()-2)</f>
        <v/>
      </c>
      <c r="B144" s="15">
        <f>IF('StockList_MS2'!A143="","",HYPERLINK("https://kabutan.jp/stock/?code="&amp;'StockList_MS2'!A143,"株探"))</f>
        <v/>
      </c>
      <c r="C144" s="14">
        <f>IF('StockList_MS2'!A143="","",'StockList_MS2'!A143)</f>
        <v/>
      </c>
      <c r="D144" s="16">
        <f>IF('StockList_MS2'!A143="","",'StockList_MS2'!B143)</f>
        <v/>
      </c>
      <c r="E144" s="17" t="n"/>
      <c r="F144" s="17" t="n"/>
      <c r="G144" s="17" t="n"/>
      <c r="H144" s="17" t="n"/>
      <c r="I144" s="18" t="n"/>
      <c r="J144" s="17" t="n"/>
      <c r="K144" s="17" t="n"/>
      <c r="L144" s="17" t="n"/>
      <c r="M144" s="14">
        <f>IF(E144="","",IF(E144&gt;L144,"BUY-DAY","SELL-DAY"))</f>
        <v/>
      </c>
      <c r="N144" s="19">
        <f>IF(E144="","",MAX(F144-G144,ABS(F144-L144),ABS(G144-L144)))</f>
        <v/>
      </c>
      <c r="O144" s="14">
        <f>IF(E144="","",IF(AND(I144&gt;0,I144&gt;(I144/3)*2.5),"VOL-OK","VOL-NG"))</f>
        <v/>
      </c>
      <c r="P144" s="14">
        <f>IF(E144="","",IF(E144&gt;J144,"ON","OFF"))</f>
        <v/>
      </c>
      <c r="Q144" s="14">
        <f>IF(E144="","",IF(E144&lt;K144,"ON","OFF"))</f>
        <v/>
      </c>
      <c r="R144" s="14">
        <f>IF(OR(E144="",N144&lt;=0),"",IF(AND(M144="BUY-DAY",O144="VOL-OK",Q144="ON",AA144="OK",AB144&lt;&gt;"DOWN"),"BUY",IF(AND(M144="SELL-DAY",O144="VOL-OK",P144="ON",AA144="OK",AB144&lt;&gt;"UP"),"SELL","")))</f>
        <v/>
      </c>
      <c r="S144" s="19">
        <f>IF(R144="","",E144)</f>
        <v/>
      </c>
      <c r="T144" s="19">
        <f>IF(R144="","",IF(R144="BUY",E144-N144*1.5,E144+N144*1.5))</f>
        <v/>
      </c>
      <c r="U144" s="19">
        <f>IF(R144="","",IF(R144="BUY",E144+N144*1.5,E144-N144*1.5))</f>
        <v/>
      </c>
      <c r="V144" s="19">
        <f>IF(R144="","",IF(R144="BUY",E144+N144*2,E144-N144*2))</f>
        <v/>
      </c>
      <c r="W144" s="19">
        <f>IF(R144="","",IF(R144="BUY",E144+N144*3,E144-N144*3))</f>
        <v/>
      </c>
      <c r="X144" s="14">
        <f>IF(OR(E144="",N144&lt;=0),"",IF(AND(E144&gt;H144,ABS(E144-H144)&lt;N144*0.5),"2ND","1ST"))</f>
        <v/>
      </c>
      <c r="Y144" s="14">
        <f>IF(OR(E144="",N144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44" s="14">
        <f>IF(OR(E144="",N144&lt;=0),"",IF(N144&gt;E144*0.05,"VOL-HIGH","VOL-NORMAL"))</f>
        <v/>
      </c>
      <c r="AA144" s="14">
        <f>IF(OR(E144="",N144&lt;=0),"",IF(AND(O144="VOL-OK",Z144="VOL-NORMAL",X144="2ND"),"OK","NG"))</f>
        <v/>
      </c>
      <c r="AB144" s="14">
        <f>IF(OR(E144="",N144&lt;=0),"",IF(AND(F144&gt;J144,G144&gt;K144),"UP",IF(AND(F144&lt;J144,G144&lt;K144),"DOWN","FLAT")))</f>
        <v/>
      </c>
    </row>
    <row r="145" ht="26" customHeight="1" s="1">
      <c r="A145" s="8">
        <f>IF(C145="","",ROW()-2)</f>
        <v/>
      </c>
      <c r="B145" s="9">
        <f>IF('StockList_MS2'!A144="","",HYPERLINK("https://kabutan.jp/stock/?code="&amp;'StockList_MS2'!A144,"株探"))</f>
        <v/>
      </c>
      <c r="C145" s="8">
        <f>IF('StockList_MS2'!A144="","",'StockList_MS2'!A144)</f>
        <v/>
      </c>
      <c r="D145" s="10">
        <f>IF('StockList_MS2'!A144="","",'StockList_MS2'!B144)</f>
        <v/>
      </c>
      <c r="E145" s="11" t="n"/>
      <c r="F145" s="11" t="n"/>
      <c r="G145" s="11" t="n"/>
      <c r="H145" s="11" t="n"/>
      <c r="I145" s="12" t="n"/>
      <c r="J145" s="11" t="n"/>
      <c r="K145" s="11" t="n"/>
      <c r="L145" s="11" t="n"/>
      <c r="M145" s="8">
        <f>IF(E145="","",IF(E145&gt;L145,"BUY-DAY","SELL-DAY"))</f>
        <v/>
      </c>
      <c r="N145" s="13">
        <f>IF(E145="","",MAX(F145-G145,ABS(F145-L145),ABS(G145-L145)))</f>
        <v/>
      </c>
      <c r="O145" s="8">
        <f>IF(E145="","",IF(AND(I145&gt;0,I145&gt;(I145/3)*2.5),"VOL-OK","VOL-NG"))</f>
        <v/>
      </c>
      <c r="P145" s="8">
        <f>IF(E145="","",IF(E145&gt;J145,"ON","OFF"))</f>
        <v/>
      </c>
      <c r="Q145" s="8">
        <f>IF(E145="","",IF(E145&lt;K145,"ON","OFF"))</f>
        <v/>
      </c>
      <c r="R145" s="8">
        <f>IF(OR(E145="",N145&lt;=0),"",IF(AND(M145="BUY-DAY",O145="VOL-OK",Q145="ON",AA145="OK",AB145&lt;&gt;"DOWN"),"BUY",IF(AND(M145="SELL-DAY",O145="VOL-OK",P145="ON",AA145="OK",AB145&lt;&gt;"UP"),"SELL","")))</f>
        <v/>
      </c>
      <c r="S145" s="13">
        <f>IF(R145="","",E145)</f>
        <v/>
      </c>
      <c r="T145" s="13">
        <f>IF(R145="","",IF(R145="BUY",E145-N145*1.5,E145+N145*1.5))</f>
        <v/>
      </c>
      <c r="U145" s="13">
        <f>IF(R145="","",IF(R145="BUY",E145+N145*1.5,E145-N145*1.5))</f>
        <v/>
      </c>
      <c r="V145" s="13">
        <f>IF(R145="","",IF(R145="BUY",E145+N145*2,E145-N145*2))</f>
        <v/>
      </c>
      <c r="W145" s="13">
        <f>IF(R145="","",IF(R145="BUY",E145+N145*3,E145-N145*3))</f>
        <v/>
      </c>
      <c r="X145" s="8">
        <f>IF(OR(E145="",N145&lt;=0),"",IF(AND(E145&gt;H145,ABS(E145-H145)&lt;N145*0.5),"2ND","1ST"))</f>
        <v/>
      </c>
      <c r="Y145" s="8">
        <f>IF(OR(E145="",N145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45" s="8">
        <f>IF(OR(E145="",N145&lt;=0),"",IF(N145&gt;E145*0.05,"VOL-HIGH","VOL-NORMAL"))</f>
        <v/>
      </c>
      <c r="AA145" s="8">
        <f>IF(OR(E145="",N145&lt;=0),"",IF(AND(O145="VOL-OK",Z145="VOL-NORMAL",X145="2ND"),"OK","NG"))</f>
        <v/>
      </c>
      <c r="AB145" s="8">
        <f>IF(OR(E145="",N145&lt;=0),"",IF(AND(F145&gt;J145,G145&gt;K145),"UP",IF(AND(F145&lt;J145,G145&lt;K145),"DOWN","FLAT")))</f>
        <v/>
      </c>
    </row>
    <row r="146" ht="26" customHeight="1" s="1">
      <c r="A146" s="14">
        <f>IF(C146="","",ROW()-2)</f>
        <v/>
      </c>
      <c r="B146" s="15">
        <f>IF('StockList_MS2'!A145="","",HYPERLINK("https://kabutan.jp/stock/?code="&amp;'StockList_MS2'!A145,"株探"))</f>
        <v/>
      </c>
      <c r="C146" s="14">
        <f>IF('StockList_MS2'!A145="","",'StockList_MS2'!A145)</f>
        <v/>
      </c>
      <c r="D146" s="16">
        <f>IF('StockList_MS2'!A145="","",'StockList_MS2'!B145)</f>
        <v/>
      </c>
      <c r="E146" s="17" t="n"/>
      <c r="F146" s="17" t="n"/>
      <c r="G146" s="17" t="n"/>
      <c r="H146" s="17" t="n"/>
      <c r="I146" s="18" t="n"/>
      <c r="J146" s="17" t="n"/>
      <c r="K146" s="17" t="n"/>
      <c r="L146" s="17" t="n"/>
      <c r="M146" s="14">
        <f>IF(E146="","",IF(E146&gt;L146,"BUY-DAY","SELL-DAY"))</f>
        <v/>
      </c>
      <c r="N146" s="19">
        <f>IF(E146="","",MAX(F146-G146,ABS(F146-L146),ABS(G146-L146)))</f>
        <v/>
      </c>
      <c r="O146" s="14">
        <f>IF(E146="","",IF(AND(I146&gt;0,I146&gt;(I146/3)*2.5),"VOL-OK","VOL-NG"))</f>
        <v/>
      </c>
      <c r="P146" s="14">
        <f>IF(E146="","",IF(E146&gt;J146,"ON","OFF"))</f>
        <v/>
      </c>
      <c r="Q146" s="14">
        <f>IF(E146="","",IF(E146&lt;K146,"ON","OFF"))</f>
        <v/>
      </c>
      <c r="R146" s="14">
        <f>IF(OR(E146="",N146&lt;=0),"",IF(AND(M146="BUY-DAY",O146="VOL-OK",Q146="ON",AA146="OK",AB146&lt;&gt;"DOWN"),"BUY",IF(AND(M146="SELL-DAY",O146="VOL-OK",P146="ON",AA146="OK",AB146&lt;&gt;"UP"),"SELL","")))</f>
        <v/>
      </c>
      <c r="S146" s="19">
        <f>IF(R146="","",E146)</f>
        <v/>
      </c>
      <c r="T146" s="19">
        <f>IF(R146="","",IF(R146="BUY",E146-N146*1.5,E146+N146*1.5))</f>
        <v/>
      </c>
      <c r="U146" s="19">
        <f>IF(R146="","",IF(R146="BUY",E146+N146*1.5,E146-N146*1.5))</f>
        <v/>
      </c>
      <c r="V146" s="19">
        <f>IF(R146="","",IF(R146="BUY",E146+N146*2,E146-N146*2))</f>
        <v/>
      </c>
      <c r="W146" s="19">
        <f>IF(R146="","",IF(R146="BUY",E146+N146*3,E146-N146*3))</f>
        <v/>
      </c>
      <c r="X146" s="14">
        <f>IF(OR(E146="",N146&lt;=0),"",IF(AND(E146&gt;H146,ABS(E146-H146)&lt;N146*0.5),"2ND","1ST"))</f>
        <v/>
      </c>
      <c r="Y146" s="14">
        <f>IF(OR(E146="",N146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46" s="14">
        <f>IF(OR(E146="",N146&lt;=0),"",IF(N146&gt;E146*0.05,"VOL-HIGH","VOL-NORMAL"))</f>
        <v/>
      </c>
      <c r="AA146" s="14">
        <f>IF(OR(E146="",N146&lt;=0),"",IF(AND(O146="VOL-OK",Z146="VOL-NORMAL",X146="2ND"),"OK","NG"))</f>
        <v/>
      </c>
      <c r="AB146" s="14">
        <f>IF(OR(E146="",N146&lt;=0),"",IF(AND(F146&gt;J146,G146&gt;K146),"UP",IF(AND(F146&lt;J146,G146&lt;K146),"DOWN","FLAT")))</f>
        <v/>
      </c>
    </row>
    <row r="147" ht="26" customHeight="1" s="1">
      <c r="A147" s="8">
        <f>IF(C147="","",ROW()-2)</f>
        <v/>
      </c>
      <c r="B147" s="9">
        <f>IF('StockList_MS2'!A146="","",HYPERLINK("https://kabutan.jp/stock/?code="&amp;'StockList_MS2'!A146,"株探"))</f>
        <v/>
      </c>
      <c r="C147" s="8">
        <f>IF('StockList_MS2'!A146="","",'StockList_MS2'!A146)</f>
        <v/>
      </c>
      <c r="D147" s="10">
        <f>IF('StockList_MS2'!A146="","",'StockList_MS2'!B146)</f>
        <v/>
      </c>
      <c r="E147" s="11" t="n"/>
      <c r="F147" s="11" t="n"/>
      <c r="G147" s="11" t="n"/>
      <c r="H147" s="11" t="n"/>
      <c r="I147" s="12" t="n"/>
      <c r="J147" s="11" t="n"/>
      <c r="K147" s="11" t="n"/>
      <c r="L147" s="11" t="n"/>
      <c r="M147" s="8">
        <f>IF(E147="","",IF(E147&gt;L147,"BUY-DAY","SELL-DAY"))</f>
        <v/>
      </c>
      <c r="N147" s="13">
        <f>IF(E147="","",MAX(F147-G147,ABS(F147-L147),ABS(G147-L147)))</f>
        <v/>
      </c>
      <c r="O147" s="8">
        <f>IF(E147="","",IF(AND(I147&gt;0,I147&gt;(I147/3)*2.5),"VOL-OK","VOL-NG"))</f>
        <v/>
      </c>
      <c r="P147" s="8">
        <f>IF(E147="","",IF(E147&gt;J147,"ON","OFF"))</f>
        <v/>
      </c>
      <c r="Q147" s="8">
        <f>IF(E147="","",IF(E147&lt;K147,"ON","OFF"))</f>
        <v/>
      </c>
      <c r="R147" s="8">
        <f>IF(OR(E147="",N147&lt;=0),"",IF(AND(M147="BUY-DAY",O147="VOL-OK",Q147="ON",AA147="OK",AB147&lt;&gt;"DOWN"),"BUY",IF(AND(M147="SELL-DAY",O147="VOL-OK",P147="ON",AA147="OK",AB147&lt;&gt;"UP"),"SELL","")))</f>
        <v/>
      </c>
      <c r="S147" s="13">
        <f>IF(R147="","",E147)</f>
        <v/>
      </c>
      <c r="T147" s="13">
        <f>IF(R147="","",IF(R147="BUY",E147-N147*1.5,E147+N147*1.5))</f>
        <v/>
      </c>
      <c r="U147" s="13">
        <f>IF(R147="","",IF(R147="BUY",E147+N147*1.5,E147-N147*1.5))</f>
        <v/>
      </c>
      <c r="V147" s="13">
        <f>IF(R147="","",IF(R147="BUY",E147+N147*2,E147-N147*2))</f>
        <v/>
      </c>
      <c r="W147" s="13">
        <f>IF(R147="","",IF(R147="BUY",E147+N147*3,E147-N147*3))</f>
        <v/>
      </c>
      <c r="X147" s="8">
        <f>IF(OR(E147="",N147&lt;=0),"",IF(AND(E147&gt;H147,ABS(E147-H147)&lt;N147*0.5),"2ND","1ST"))</f>
        <v/>
      </c>
      <c r="Y147" s="8">
        <f>IF(OR(E147="",N147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47" s="8">
        <f>IF(OR(E147="",N147&lt;=0),"",IF(N147&gt;E147*0.05,"VOL-HIGH","VOL-NORMAL"))</f>
        <v/>
      </c>
      <c r="AA147" s="8">
        <f>IF(OR(E147="",N147&lt;=0),"",IF(AND(O147="VOL-OK",Z147="VOL-NORMAL",X147="2ND"),"OK","NG"))</f>
        <v/>
      </c>
      <c r="AB147" s="8">
        <f>IF(OR(E147="",N147&lt;=0),"",IF(AND(F147&gt;J147,G147&gt;K147),"UP",IF(AND(F147&lt;J147,G147&lt;K147),"DOWN","FLAT")))</f>
        <v/>
      </c>
    </row>
    <row r="148" ht="26" customHeight="1" s="1">
      <c r="A148" s="14">
        <f>IF(C148="","",ROW()-2)</f>
        <v/>
      </c>
      <c r="B148" s="15">
        <f>IF('StockList_MS2'!A147="","",HYPERLINK("https://kabutan.jp/stock/?code="&amp;'StockList_MS2'!A147,"株探"))</f>
        <v/>
      </c>
      <c r="C148" s="14">
        <f>IF('StockList_MS2'!A147="","",'StockList_MS2'!A147)</f>
        <v/>
      </c>
      <c r="D148" s="16">
        <f>IF('StockList_MS2'!A147="","",'StockList_MS2'!B147)</f>
        <v/>
      </c>
      <c r="E148" s="17" t="n"/>
      <c r="F148" s="17" t="n"/>
      <c r="G148" s="17" t="n"/>
      <c r="H148" s="17" t="n"/>
      <c r="I148" s="18" t="n"/>
      <c r="J148" s="17" t="n"/>
      <c r="K148" s="17" t="n"/>
      <c r="L148" s="17" t="n"/>
      <c r="M148" s="14">
        <f>IF(E148="","",IF(E148&gt;L148,"BUY-DAY","SELL-DAY"))</f>
        <v/>
      </c>
      <c r="N148" s="19">
        <f>IF(E148="","",MAX(F148-G148,ABS(F148-L148),ABS(G148-L148)))</f>
        <v/>
      </c>
      <c r="O148" s="14">
        <f>IF(E148="","",IF(AND(I148&gt;0,I148&gt;(I148/3)*2.5),"VOL-OK","VOL-NG"))</f>
        <v/>
      </c>
      <c r="P148" s="14">
        <f>IF(E148="","",IF(E148&gt;J148,"ON","OFF"))</f>
        <v/>
      </c>
      <c r="Q148" s="14">
        <f>IF(E148="","",IF(E148&lt;K148,"ON","OFF"))</f>
        <v/>
      </c>
      <c r="R148" s="14">
        <f>IF(OR(E148="",N148&lt;=0),"",IF(AND(M148="BUY-DAY",O148="VOL-OK",Q148="ON",AA148="OK",AB148&lt;&gt;"DOWN"),"BUY",IF(AND(M148="SELL-DAY",O148="VOL-OK",P148="ON",AA148="OK",AB148&lt;&gt;"UP"),"SELL","")))</f>
        <v/>
      </c>
      <c r="S148" s="19">
        <f>IF(R148="","",E148)</f>
        <v/>
      </c>
      <c r="T148" s="19">
        <f>IF(R148="","",IF(R148="BUY",E148-N148*1.5,E148+N148*1.5))</f>
        <v/>
      </c>
      <c r="U148" s="19">
        <f>IF(R148="","",IF(R148="BUY",E148+N148*1.5,E148-N148*1.5))</f>
        <v/>
      </c>
      <c r="V148" s="19">
        <f>IF(R148="","",IF(R148="BUY",E148+N148*2,E148-N148*2))</f>
        <v/>
      </c>
      <c r="W148" s="19">
        <f>IF(R148="","",IF(R148="BUY",E148+N148*3,E148-N148*3))</f>
        <v/>
      </c>
      <c r="X148" s="14">
        <f>IF(OR(E148="",N148&lt;=0),"",IF(AND(E148&gt;H148,ABS(E148-H148)&lt;N148*0.5),"2ND","1ST"))</f>
        <v/>
      </c>
      <c r="Y148" s="14">
        <f>IF(OR(E148="",N148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48" s="14">
        <f>IF(OR(E148="",N148&lt;=0),"",IF(N148&gt;E148*0.05,"VOL-HIGH","VOL-NORMAL"))</f>
        <v/>
      </c>
      <c r="AA148" s="14">
        <f>IF(OR(E148="",N148&lt;=0),"",IF(AND(O148="VOL-OK",Z148="VOL-NORMAL",X148="2ND"),"OK","NG"))</f>
        <v/>
      </c>
      <c r="AB148" s="14">
        <f>IF(OR(E148="",N148&lt;=0),"",IF(AND(F148&gt;J148,G148&gt;K148),"UP",IF(AND(F148&lt;J148,G148&lt;K148),"DOWN","FLAT")))</f>
        <v/>
      </c>
    </row>
    <row r="149" ht="26" customHeight="1" s="1">
      <c r="A149" s="8">
        <f>IF(C149="","",ROW()-2)</f>
        <v/>
      </c>
      <c r="B149" s="9">
        <f>IF('StockList_MS2'!A148="","",HYPERLINK("https://kabutan.jp/stock/?code="&amp;'StockList_MS2'!A148,"株探"))</f>
        <v/>
      </c>
      <c r="C149" s="8">
        <f>IF('StockList_MS2'!A148="","",'StockList_MS2'!A148)</f>
        <v/>
      </c>
      <c r="D149" s="10">
        <f>IF('StockList_MS2'!A148="","",'StockList_MS2'!B148)</f>
        <v/>
      </c>
      <c r="E149" s="11" t="n"/>
      <c r="F149" s="11" t="n"/>
      <c r="G149" s="11" t="n"/>
      <c r="H149" s="11" t="n"/>
      <c r="I149" s="12" t="n"/>
      <c r="J149" s="11" t="n"/>
      <c r="K149" s="11" t="n"/>
      <c r="L149" s="11" t="n"/>
      <c r="M149" s="8">
        <f>IF(E149="","",IF(E149&gt;L149,"BUY-DAY","SELL-DAY"))</f>
        <v/>
      </c>
      <c r="N149" s="13">
        <f>IF(E149="","",MAX(F149-G149,ABS(F149-L149),ABS(G149-L149)))</f>
        <v/>
      </c>
      <c r="O149" s="8">
        <f>IF(E149="","",IF(AND(I149&gt;0,I149&gt;(I149/3)*2.5),"VOL-OK","VOL-NG"))</f>
        <v/>
      </c>
      <c r="P149" s="8">
        <f>IF(E149="","",IF(E149&gt;J149,"ON","OFF"))</f>
        <v/>
      </c>
      <c r="Q149" s="8">
        <f>IF(E149="","",IF(E149&lt;K149,"ON","OFF"))</f>
        <v/>
      </c>
      <c r="R149" s="8">
        <f>IF(OR(E149="",N149&lt;=0),"",IF(AND(M149="BUY-DAY",O149="VOL-OK",Q149="ON",AA149="OK",AB149&lt;&gt;"DOWN"),"BUY",IF(AND(M149="SELL-DAY",O149="VOL-OK",P149="ON",AA149="OK",AB149&lt;&gt;"UP"),"SELL","")))</f>
        <v/>
      </c>
      <c r="S149" s="13">
        <f>IF(R149="","",E149)</f>
        <v/>
      </c>
      <c r="T149" s="13">
        <f>IF(R149="","",IF(R149="BUY",E149-N149*1.5,E149+N149*1.5))</f>
        <v/>
      </c>
      <c r="U149" s="13">
        <f>IF(R149="","",IF(R149="BUY",E149+N149*1.5,E149-N149*1.5))</f>
        <v/>
      </c>
      <c r="V149" s="13">
        <f>IF(R149="","",IF(R149="BUY",E149+N149*2,E149-N149*2))</f>
        <v/>
      </c>
      <c r="W149" s="13">
        <f>IF(R149="","",IF(R149="BUY",E149+N149*3,E149-N149*3))</f>
        <v/>
      </c>
      <c r="X149" s="8">
        <f>IF(OR(E149="",N149&lt;=0),"",IF(AND(E149&gt;H149,ABS(E149-H149)&lt;N149*0.5),"2ND","1ST"))</f>
        <v/>
      </c>
      <c r="Y149" s="8">
        <f>IF(OR(E149="",N149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49" s="8">
        <f>IF(OR(E149="",N149&lt;=0),"",IF(N149&gt;E149*0.05,"VOL-HIGH","VOL-NORMAL"))</f>
        <v/>
      </c>
      <c r="AA149" s="8">
        <f>IF(OR(E149="",N149&lt;=0),"",IF(AND(O149="VOL-OK",Z149="VOL-NORMAL",X149="2ND"),"OK","NG"))</f>
        <v/>
      </c>
      <c r="AB149" s="8">
        <f>IF(OR(E149="",N149&lt;=0),"",IF(AND(F149&gt;J149,G149&gt;K149),"UP",IF(AND(F149&lt;J149,G149&lt;K149),"DOWN","FLAT")))</f>
        <v/>
      </c>
    </row>
    <row r="150" ht="26" customHeight="1" s="1">
      <c r="A150" s="14">
        <f>IF(C150="","",ROW()-2)</f>
        <v/>
      </c>
      <c r="B150" s="15">
        <f>IF('StockList_MS2'!A149="","",HYPERLINK("https://kabutan.jp/stock/?code="&amp;'StockList_MS2'!A149,"株探"))</f>
        <v/>
      </c>
      <c r="C150" s="14">
        <f>IF('StockList_MS2'!A149="","",'StockList_MS2'!A149)</f>
        <v/>
      </c>
      <c r="D150" s="16">
        <f>IF('StockList_MS2'!A149="","",'StockList_MS2'!B149)</f>
        <v/>
      </c>
      <c r="E150" s="17" t="n"/>
      <c r="F150" s="17" t="n"/>
      <c r="G150" s="17" t="n"/>
      <c r="H150" s="17" t="n"/>
      <c r="I150" s="18" t="n"/>
      <c r="J150" s="17" t="n"/>
      <c r="K150" s="17" t="n"/>
      <c r="L150" s="17" t="n"/>
      <c r="M150" s="14">
        <f>IF(E150="","",IF(E150&gt;L150,"BUY-DAY","SELL-DAY"))</f>
        <v/>
      </c>
      <c r="N150" s="19">
        <f>IF(E150="","",MAX(F150-G150,ABS(F150-L150),ABS(G150-L150)))</f>
        <v/>
      </c>
      <c r="O150" s="14">
        <f>IF(E150="","",IF(AND(I150&gt;0,I150&gt;(I150/3)*2.5),"VOL-OK","VOL-NG"))</f>
        <v/>
      </c>
      <c r="P150" s="14">
        <f>IF(E150="","",IF(E150&gt;J150,"ON","OFF"))</f>
        <v/>
      </c>
      <c r="Q150" s="14">
        <f>IF(E150="","",IF(E150&lt;K150,"ON","OFF"))</f>
        <v/>
      </c>
      <c r="R150" s="14">
        <f>IF(OR(E150="",N150&lt;=0),"",IF(AND(M150="BUY-DAY",O150="VOL-OK",Q150="ON",AA150="OK",AB150&lt;&gt;"DOWN"),"BUY",IF(AND(M150="SELL-DAY",O150="VOL-OK",P150="ON",AA150="OK",AB150&lt;&gt;"UP"),"SELL","")))</f>
        <v/>
      </c>
      <c r="S150" s="19">
        <f>IF(R150="","",E150)</f>
        <v/>
      </c>
      <c r="T150" s="19">
        <f>IF(R150="","",IF(R150="BUY",E150-N150*1.5,E150+N150*1.5))</f>
        <v/>
      </c>
      <c r="U150" s="19">
        <f>IF(R150="","",IF(R150="BUY",E150+N150*1.5,E150-N150*1.5))</f>
        <v/>
      </c>
      <c r="V150" s="19">
        <f>IF(R150="","",IF(R150="BUY",E150+N150*2,E150-N150*2))</f>
        <v/>
      </c>
      <c r="W150" s="19">
        <f>IF(R150="","",IF(R150="BUY",E150+N150*3,E150-N150*3))</f>
        <v/>
      </c>
      <c r="X150" s="14">
        <f>IF(OR(E150="",N150&lt;=0),"",IF(AND(E150&gt;H150,ABS(E150-H150)&lt;N150*0.5),"2ND","1ST"))</f>
        <v/>
      </c>
      <c r="Y150" s="14">
        <f>IF(OR(E150="",N150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50" s="14">
        <f>IF(OR(E150="",N150&lt;=0),"",IF(N150&gt;E150*0.05,"VOL-HIGH","VOL-NORMAL"))</f>
        <v/>
      </c>
      <c r="AA150" s="14">
        <f>IF(OR(E150="",N150&lt;=0),"",IF(AND(O150="VOL-OK",Z150="VOL-NORMAL",X150="2ND"),"OK","NG"))</f>
        <v/>
      </c>
      <c r="AB150" s="14">
        <f>IF(OR(E150="",N150&lt;=0),"",IF(AND(F150&gt;J150,G150&gt;K150),"UP",IF(AND(F150&lt;J150,G150&lt;K150),"DOWN","FLAT")))</f>
        <v/>
      </c>
    </row>
    <row r="151" ht="26" customHeight="1" s="1">
      <c r="A151" s="8">
        <f>IF(C151="","",ROW()-2)</f>
        <v/>
      </c>
      <c r="B151" s="9">
        <f>IF('StockList_MS2'!A150="","",HYPERLINK("https://kabutan.jp/stock/?code="&amp;'StockList_MS2'!A150,"株探"))</f>
        <v/>
      </c>
      <c r="C151" s="8">
        <f>IF('StockList_MS2'!A150="","",'StockList_MS2'!A150)</f>
        <v/>
      </c>
      <c r="D151" s="10">
        <f>IF('StockList_MS2'!A150="","",'StockList_MS2'!B150)</f>
        <v/>
      </c>
      <c r="E151" s="11" t="n"/>
      <c r="F151" s="11" t="n"/>
      <c r="G151" s="11" t="n"/>
      <c r="H151" s="11" t="n"/>
      <c r="I151" s="12" t="n"/>
      <c r="J151" s="11" t="n"/>
      <c r="K151" s="11" t="n"/>
      <c r="L151" s="11" t="n"/>
      <c r="M151" s="8">
        <f>IF(E151="","",IF(E151&gt;L151,"BUY-DAY","SELL-DAY"))</f>
        <v/>
      </c>
      <c r="N151" s="13">
        <f>IF(E151="","",MAX(F151-G151,ABS(F151-L151),ABS(G151-L151)))</f>
        <v/>
      </c>
      <c r="O151" s="8">
        <f>IF(E151="","",IF(AND(I151&gt;0,I151&gt;(I151/3)*2.5),"VOL-OK","VOL-NG"))</f>
        <v/>
      </c>
      <c r="P151" s="8">
        <f>IF(E151="","",IF(E151&gt;J151,"ON","OFF"))</f>
        <v/>
      </c>
      <c r="Q151" s="8">
        <f>IF(E151="","",IF(E151&lt;K151,"ON","OFF"))</f>
        <v/>
      </c>
      <c r="R151" s="8">
        <f>IF(OR(E151="",N151&lt;=0),"",IF(AND(M151="BUY-DAY",O151="VOL-OK",Q151="ON",AA151="OK",AB151&lt;&gt;"DOWN"),"BUY",IF(AND(M151="SELL-DAY",O151="VOL-OK",P151="ON",AA151="OK",AB151&lt;&gt;"UP"),"SELL","")))</f>
        <v/>
      </c>
      <c r="S151" s="13">
        <f>IF(R151="","",E151)</f>
        <v/>
      </c>
      <c r="T151" s="13">
        <f>IF(R151="","",IF(R151="BUY",E151-N151*1.5,E151+N151*1.5))</f>
        <v/>
      </c>
      <c r="U151" s="13">
        <f>IF(R151="","",IF(R151="BUY",E151+N151*1.5,E151-N151*1.5))</f>
        <v/>
      </c>
      <c r="V151" s="13">
        <f>IF(R151="","",IF(R151="BUY",E151+N151*2,E151-N151*2))</f>
        <v/>
      </c>
      <c r="W151" s="13">
        <f>IF(R151="","",IF(R151="BUY",E151+N151*3,E151-N151*3))</f>
        <v/>
      </c>
      <c r="X151" s="8">
        <f>IF(OR(E151="",N151&lt;=0),"",IF(AND(E151&gt;H151,ABS(E151-H151)&lt;N151*0.5),"2ND","1ST"))</f>
        <v/>
      </c>
      <c r="Y151" s="8">
        <f>IF(OR(E151="",N151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51" s="8">
        <f>IF(OR(E151="",N151&lt;=0),"",IF(N151&gt;E151*0.05,"VOL-HIGH","VOL-NORMAL"))</f>
        <v/>
      </c>
      <c r="AA151" s="8">
        <f>IF(OR(E151="",N151&lt;=0),"",IF(AND(O151="VOL-OK",Z151="VOL-NORMAL",X151="2ND"),"OK","NG"))</f>
        <v/>
      </c>
      <c r="AB151" s="8">
        <f>IF(OR(E151="",N151&lt;=0),"",IF(AND(F151&gt;J151,G151&gt;K151),"UP",IF(AND(F151&lt;J151,G151&lt;K151),"DOWN","FLAT")))</f>
        <v/>
      </c>
    </row>
    <row r="152" ht="26" customHeight="1" s="1">
      <c r="A152" s="14">
        <f>IF(C152="","",ROW()-2)</f>
        <v/>
      </c>
      <c r="B152" s="15">
        <f>IF('StockList_MS2'!A151="","",HYPERLINK("https://kabutan.jp/stock/?code="&amp;'StockList_MS2'!A151,"株探"))</f>
        <v/>
      </c>
      <c r="C152" s="14">
        <f>IF('StockList_MS2'!A151="","",'StockList_MS2'!A151)</f>
        <v/>
      </c>
      <c r="D152" s="16">
        <f>IF('StockList_MS2'!A151="","",'StockList_MS2'!B151)</f>
        <v/>
      </c>
      <c r="E152" s="17" t="n"/>
      <c r="F152" s="17" t="n"/>
      <c r="G152" s="17" t="n"/>
      <c r="H152" s="17" t="n"/>
      <c r="I152" s="18" t="n"/>
      <c r="J152" s="17" t="n"/>
      <c r="K152" s="17" t="n"/>
      <c r="L152" s="17" t="n"/>
      <c r="M152" s="14">
        <f>IF(E152="","",IF(E152&gt;L152,"BUY-DAY","SELL-DAY"))</f>
        <v/>
      </c>
      <c r="N152" s="19">
        <f>IF(E152="","",MAX(F152-G152,ABS(F152-L152),ABS(G152-L152)))</f>
        <v/>
      </c>
      <c r="O152" s="14">
        <f>IF(E152="","",IF(AND(I152&gt;0,I152&gt;(I152/3)*2.5),"VOL-OK","VOL-NG"))</f>
        <v/>
      </c>
      <c r="P152" s="14">
        <f>IF(E152="","",IF(E152&gt;J152,"ON","OFF"))</f>
        <v/>
      </c>
      <c r="Q152" s="14">
        <f>IF(E152="","",IF(E152&lt;K152,"ON","OFF"))</f>
        <v/>
      </c>
      <c r="R152" s="14">
        <f>IF(OR(E152="",N152&lt;=0),"",IF(AND(M152="BUY-DAY",O152="VOL-OK",Q152="ON",AA152="OK",AB152&lt;&gt;"DOWN"),"BUY",IF(AND(M152="SELL-DAY",O152="VOL-OK",P152="ON",AA152="OK",AB152&lt;&gt;"UP"),"SELL","")))</f>
        <v/>
      </c>
      <c r="S152" s="19">
        <f>IF(R152="","",E152)</f>
        <v/>
      </c>
      <c r="T152" s="19">
        <f>IF(R152="","",IF(R152="BUY",E152-N152*1.5,E152+N152*1.5))</f>
        <v/>
      </c>
      <c r="U152" s="19">
        <f>IF(R152="","",IF(R152="BUY",E152+N152*1.5,E152-N152*1.5))</f>
        <v/>
      </c>
      <c r="V152" s="19">
        <f>IF(R152="","",IF(R152="BUY",E152+N152*2,E152-N152*2))</f>
        <v/>
      </c>
      <c r="W152" s="19">
        <f>IF(R152="","",IF(R152="BUY",E152+N152*3,E152-N152*3))</f>
        <v/>
      </c>
      <c r="X152" s="14">
        <f>IF(OR(E152="",N152&lt;=0),"",IF(AND(E152&gt;H152,ABS(E152-H152)&lt;N152*0.5),"2ND","1ST"))</f>
        <v/>
      </c>
      <c r="Y152" s="14">
        <f>IF(OR(E152="",N152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52" s="14">
        <f>IF(OR(E152="",N152&lt;=0),"",IF(N152&gt;E152*0.05,"VOL-HIGH","VOL-NORMAL"))</f>
        <v/>
      </c>
      <c r="AA152" s="14">
        <f>IF(OR(E152="",N152&lt;=0),"",IF(AND(O152="VOL-OK",Z152="VOL-NORMAL",X152="2ND"),"OK","NG"))</f>
        <v/>
      </c>
      <c r="AB152" s="14">
        <f>IF(OR(E152="",N152&lt;=0),"",IF(AND(F152&gt;J152,G152&gt;K152),"UP",IF(AND(F152&lt;J152,G152&lt;K152),"DOWN","FLAT")))</f>
        <v/>
      </c>
    </row>
    <row r="153" ht="26" customHeight="1" s="1">
      <c r="A153" s="8">
        <f>IF(C153="","",ROW()-2)</f>
        <v/>
      </c>
      <c r="B153" s="9">
        <f>IF('StockList_MS2'!A152="","",HYPERLINK("https://kabutan.jp/stock/?code="&amp;'StockList_MS2'!A152,"株探"))</f>
        <v/>
      </c>
      <c r="C153" s="8">
        <f>IF('StockList_MS2'!A152="","",'StockList_MS2'!A152)</f>
        <v/>
      </c>
      <c r="D153" s="10">
        <f>IF('StockList_MS2'!A152="","",'StockList_MS2'!B152)</f>
        <v/>
      </c>
      <c r="E153" s="11" t="n"/>
      <c r="F153" s="11" t="n"/>
      <c r="G153" s="11" t="n"/>
      <c r="H153" s="11" t="n"/>
      <c r="I153" s="12" t="n"/>
      <c r="J153" s="11" t="n"/>
      <c r="K153" s="11" t="n"/>
      <c r="L153" s="11" t="n"/>
      <c r="M153" s="8">
        <f>IF(E153="","",IF(E153&gt;L153,"BUY-DAY","SELL-DAY"))</f>
        <v/>
      </c>
      <c r="N153" s="13">
        <f>IF(E153="","",MAX(F153-G153,ABS(F153-L153),ABS(G153-L153)))</f>
        <v/>
      </c>
      <c r="O153" s="8">
        <f>IF(E153="","",IF(AND(I153&gt;0,I153&gt;(I153/3)*2.5),"VOL-OK","VOL-NG"))</f>
        <v/>
      </c>
      <c r="P153" s="8">
        <f>IF(E153="","",IF(E153&gt;J153,"ON","OFF"))</f>
        <v/>
      </c>
      <c r="Q153" s="8">
        <f>IF(E153="","",IF(E153&lt;K153,"ON","OFF"))</f>
        <v/>
      </c>
      <c r="R153" s="8">
        <f>IF(OR(E153="",N153&lt;=0),"",IF(AND(M153="BUY-DAY",O153="VOL-OK",Q153="ON",AA153="OK",AB153&lt;&gt;"DOWN"),"BUY",IF(AND(M153="SELL-DAY",O153="VOL-OK",P153="ON",AA153="OK",AB153&lt;&gt;"UP"),"SELL","")))</f>
        <v/>
      </c>
      <c r="S153" s="13">
        <f>IF(R153="","",E153)</f>
        <v/>
      </c>
      <c r="T153" s="13">
        <f>IF(R153="","",IF(R153="BUY",E153-N153*1.5,E153+N153*1.5))</f>
        <v/>
      </c>
      <c r="U153" s="13">
        <f>IF(R153="","",IF(R153="BUY",E153+N153*1.5,E153-N153*1.5))</f>
        <v/>
      </c>
      <c r="V153" s="13">
        <f>IF(R153="","",IF(R153="BUY",E153+N153*2,E153-N153*2))</f>
        <v/>
      </c>
      <c r="W153" s="13">
        <f>IF(R153="","",IF(R153="BUY",E153+N153*3,E153-N153*3))</f>
        <v/>
      </c>
      <c r="X153" s="8">
        <f>IF(OR(E153="",N153&lt;=0),"",IF(AND(E153&gt;H153,ABS(E153-H153)&lt;N153*0.5),"2ND","1ST"))</f>
        <v/>
      </c>
      <c r="Y153" s="8">
        <f>IF(OR(E153="",N153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53" s="8">
        <f>IF(OR(E153="",N153&lt;=0),"",IF(N153&gt;E153*0.05,"VOL-HIGH","VOL-NORMAL"))</f>
        <v/>
      </c>
      <c r="AA153" s="8">
        <f>IF(OR(E153="",N153&lt;=0),"",IF(AND(O153="VOL-OK",Z153="VOL-NORMAL",X153="2ND"),"OK","NG"))</f>
        <v/>
      </c>
      <c r="AB153" s="8">
        <f>IF(OR(E153="",N153&lt;=0),"",IF(AND(F153&gt;J153,G153&gt;K153),"UP",IF(AND(F153&lt;J153,G153&lt;K153),"DOWN","FLAT")))</f>
        <v/>
      </c>
    </row>
    <row r="154" ht="26" customHeight="1" s="1">
      <c r="A154" s="14">
        <f>IF(C154="","",ROW()-2)</f>
        <v/>
      </c>
      <c r="B154" s="15">
        <f>IF('StockList_MS2'!A153="","",HYPERLINK("https://kabutan.jp/stock/?code="&amp;'StockList_MS2'!A153,"株探"))</f>
        <v/>
      </c>
      <c r="C154" s="14">
        <f>IF('StockList_MS2'!A153="","",'StockList_MS2'!A153)</f>
        <v/>
      </c>
      <c r="D154" s="16">
        <f>IF('StockList_MS2'!A153="","",'StockList_MS2'!B153)</f>
        <v/>
      </c>
      <c r="E154" s="17" t="n"/>
      <c r="F154" s="17" t="n"/>
      <c r="G154" s="17" t="n"/>
      <c r="H154" s="17" t="n"/>
      <c r="I154" s="18" t="n"/>
      <c r="J154" s="17" t="n"/>
      <c r="K154" s="17" t="n"/>
      <c r="L154" s="17" t="n"/>
      <c r="M154" s="14">
        <f>IF(E154="","",IF(E154&gt;L154,"BUY-DAY","SELL-DAY"))</f>
        <v/>
      </c>
      <c r="N154" s="19">
        <f>IF(E154="","",MAX(F154-G154,ABS(F154-L154),ABS(G154-L154)))</f>
        <v/>
      </c>
      <c r="O154" s="14">
        <f>IF(E154="","",IF(AND(I154&gt;0,I154&gt;(I154/3)*2.5),"VOL-OK","VOL-NG"))</f>
        <v/>
      </c>
      <c r="P154" s="14">
        <f>IF(E154="","",IF(E154&gt;J154,"ON","OFF"))</f>
        <v/>
      </c>
      <c r="Q154" s="14">
        <f>IF(E154="","",IF(E154&lt;K154,"ON","OFF"))</f>
        <v/>
      </c>
      <c r="R154" s="14">
        <f>IF(OR(E154="",N154&lt;=0),"",IF(AND(M154="BUY-DAY",O154="VOL-OK",Q154="ON",AA154="OK",AB154&lt;&gt;"DOWN"),"BUY",IF(AND(M154="SELL-DAY",O154="VOL-OK",P154="ON",AA154="OK",AB154&lt;&gt;"UP"),"SELL","")))</f>
        <v/>
      </c>
      <c r="S154" s="19">
        <f>IF(R154="","",E154)</f>
        <v/>
      </c>
      <c r="T154" s="19">
        <f>IF(R154="","",IF(R154="BUY",E154-N154*1.5,E154+N154*1.5))</f>
        <v/>
      </c>
      <c r="U154" s="19">
        <f>IF(R154="","",IF(R154="BUY",E154+N154*1.5,E154-N154*1.5))</f>
        <v/>
      </c>
      <c r="V154" s="19">
        <f>IF(R154="","",IF(R154="BUY",E154+N154*2,E154-N154*2))</f>
        <v/>
      </c>
      <c r="W154" s="19">
        <f>IF(R154="","",IF(R154="BUY",E154+N154*3,E154-N154*3))</f>
        <v/>
      </c>
      <c r="X154" s="14">
        <f>IF(OR(E154="",N154&lt;=0),"",IF(AND(E154&gt;H154,ABS(E154-H154)&lt;N154*0.5),"2ND","1ST"))</f>
        <v/>
      </c>
      <c r="Y154" s="14">
        <f>IF(OR(E154="",N154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54" s="14">
        <f>IF(OR(E154="",N154&lt;=0),"",IF(N154&gt;E154*0.05,"VOL-HIGH","VOL-NORMAL"))</f>
        <v/>
      </c>
      <c r="AA154" s="14">
        <f>IF(OR(E154="",N154&lt;=0),"",IF(AND(O154="VOL-OK",Z154="VOL-NORMAL",X154="2ND"),"OK","NG"))</f>
        <v/>
      </c>
      <c r="AB154" s="14">
        <f>IF(OR(E154="",N154&lt;=0),"",IF(AND(F154&gt;J154,G154&gt;K154),"UP",IF(AND(F154&lt;J154,G154&lt;K154),"DOWN","FLAT")))</f>
        <v/>
      </c>
    </row>
    <row r="155" ht="26" customHeight="1" s="1">
      <c r="A155" s="8">
        <f>IF(C155="","",ROW()-2)</f>
        <v/>
      </c>
      <c r="B155" s="9">
        <f>IF('StockList_MS2'!A154="","",HYPERLINK("https://kabutan.jp/stock/?code="&amp;'StockList_MS2'!A154,"株探"))</f>
        <v/>
      </c>
      <c r="C155" s="8">
        <f>IF('StockList_MS2'!A154="","",'StockList_MS2'!A154)</f>
        <v/>
      </c>
      <c r="D155" s="10">
        <f>IF('StockList_MS2'!A154="","",'StockList_MS2'!B154)</f>
        <v/>
      </c>
      <c r="E155" s="11" t="n"/>
      <c r="F155" s="11" t="n"/>
      <c r="G155" s="11" t="n"/>
      <c r="H155" s="11" t="n"/>
      <c r="I155" s="12" t="n"/>
      <c r="J155" s="11" t="n"/>
      <c r="K155" s="11" t="n"/>
      <c r="L155" s="11" t="n"/>
      <c r="M155" s="8">
        <f>IF(E155="","",IF(E155&gt;L155,"BUY-DAY","SELL-DAY"))</f>
        <v/>
      </c>
      <c r="N155" s="13">
        <f>IF(E155="","",MAX(F155-G155,ABS(F155-L155),ABS(G155-L155)))</f>
        <v/>
      </c>
      <c r="O155" s="8">
        <f>IF(E155="","",IF(AND(I155&gt;0,I155&gt;(I155/3)*2.5),"VOL-OK","VOL-NG"))</f>
        <v/>
      </c>
      <c r="P155" s="8">
        <f>IF(E155="","",IF(E155&gt;J155,"ON","OFF"))</f>
        <v/>
      </c>
      <c r="Q155" s="8">
        <f>IF(E155="","",IF(E155&lt;K155,"ON","OFF"))</f>
        <v/>
      </c>
      <c r="R155" s="8">
        <f>IF(OR(E155="",N155&lt;=0),"",IF(AND(M155="BUY-DAY",O155="VOL-OK",Q155="ON",AA155="OK",AB155&lt;&gt;"DOWN"),"BUY",IF(AND(M155="SELL-DAY",O155="VOL-OK",P155="ON",AA155="OK",AB155&lt;&gt;"UP"),"SELL","")))</f>
        <v/>
      </c>
      <c r="S155" s="13">
        <f>IF(R155="","",E155)</f>
        <v/>
      </c>
      <c r="T155" s="13">
        <f>IF(R155="","",IF(R155="BUY",E155-N155*1.5,E155+N155*1.5))</f>
        <v/>
      </c>
      <c r="U155" s="13">
        <f>IF(R155="","",IF(R155="BUY",E155+N155*1.5,E155-N155*1.5))</f>
        <v/>
      </c>
      <c r="V155" s="13">
        <f>IF(R155="","",IF(R155="BUY",E155+N155*2,E155-N155*2))</f>
        <v/>
      </c>
      <c r="W155" s="13">
        <f>IF(R155="","",IF(R155="BUY",E155+N155*3,E155-N155*3))</f>
        <v/>
      </c>
      <c r="X155" s="8">
        <f>IF(OR(E155="",N155&lt;=0),"",IF(AND(E155&gt;H155,ABS(E155-H155)&lt;N155*0.5),"2ND","1ST"))</f>
        <v/>
      </c>
      <c r="Y155" s="8">
        <f>IF(OR(E155="",N155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55" s="8">
        <f>IF(OR(E155="",N155&lt;=0),"",IF(N155&gt;E155*0.05,"VOL-HIGH","VOL-NORMAL"))</f>
        <v/>
      </c>
      <c r="AA155" s="8">
        <f>IF(OR(E155="",N155&lt;=0),"",IF(AND(O155="VOL-OK",Z155="VOL-NORMAL",X155="2ND"),"OK","NG"))</f>
        <v/>
      </c>
      <c r="AB155" s="8">
        <f>IF(OR(E155="",N155&lt;=0),"",IF(AND(F155&gt;J155,G155&gt;K155),"UP",IF(AND(F155&lt;J155,G155&lt;K155),"DOWN","FLAT")))</f>
        <v/>
      </c>
    </row>
    <row r="156" ht="26" customHeight="1" s="1">
      <c r="A156" s="14">
        <f>IF(C156="","",ROW()-2)</f>
        <v/>
      </c>
      <c r="B156" s="15">
        <f>IF('StockList_MS2'!A155="","",HYPERLINK("https://kabutan.jp/stock/?code="&amp;'StockList_MS2'!A155,"株探"))</f>
        <v/>
      </c>
      <c r="C156" s="14">
        <f>IF('StockList_MS2'!A155="","",'StockList_MS2'!A155)</f>
        <v/>
      </c>
      <c r="D156" s="16">
        <f>IF('StockList_MS2'!A155="","",'StockList_MS2'!B155)</f>
        <v/>
      </c>
      <c r="E156" s="17" t="n"/>
      <c r="F156" s="17" t="n"/>
      <c r="G156" s="17" t="n"/>
      <c r="H156" s="17" t="n"/>
      <c r="I156" s="18" t="n"/>
      <c r="J156" s="17" t="n"/>
      <c r="K156" s="17" t="n"/>
      <c r="L156" s="17" t="n"/>
      <c r="M156" s="14">
        <f>IF(E156="","",IF(E156&gt;L156,"BUY-DAY","SELL-DAY"))</f>
        <v/>
      </c>
      <c r="N156" s="19">
        <f>IF(E156="","",MAX(F156-G156,ABS(F156-L156),ABS(G156-L156)))</f>
        <v/>
      </c>
      <c r="O156" s="14">
        <f>IF(E156="","",IF(AND(I156&gt;0,I156&gt;(I156/3)*2.5),"VOL-OK","VOL-NG"))</f>
        <v/>
      </c>
      <c r="P156" s="14">
        <f>IF(E156="","",IF(E156&gt;J156,"ON","OFF"))</f>
        <v/>
      </c>
      <c r="Q156" s="14">
        <f>IF(E156="","",IF(E156&lt;K156,"ON","OFF"))</f>
        <v/>
      </c>
      <c r="R156" s="14">
        <f>IF(OR(E156="",N156&lt;=0),"",IF(AND(M156="BUY-DAY",O156="VOL-OK",Q156="ON",AA156="OK",AB156&lt;&gt;"DOWN"),"BUY",IF(AND(M156="SELL-DAY",O156="VOL-OK",P156="ON",AA156="OK",AB156&lt;&gt;"UP"),"SELL","")))</f>
        <v/>
      </c>
      <c r="S156" s="19">
        <f>IF(R156="","",E156)</f>
        <v/>
      </c>
      <c r="T156" s="19">
        <f>IF(R156="","",IF(R156="BUY",E156-N156*1.5,E156+N156*1.5))</f>
        <v/>
      </c>
      <c r="U156" s="19">
        <f>IF(R156="","",IF(R156="BUY",E156+N156*1.5,E156-N156*1.5))</f>
        <v/>
      </c>
      <c r="V156" s="19">
        <f>IF(R156="","",IF(R156="BUY",E156+N156*2,E156-N156*2))</f>
        <v/>
      </c>
      <c r="W156" s="19">
        <f>IF(R156="","",IF(R156="BUY",E156+N156*3,E156-N156*3))</f>
        <v/>
      </c>
      <c r="X156" s="14">
        <f>IF(OR(E156="",N156&lt;=0),"",IF(AND(E156&gt;H156,ABS(E156-H156)&lt;N156*0.5),"2ND","1ST"))</f>
        <v/>
      </c>
      <c r="Y156" s="14">
        <f>IF(OR(E156="",N156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56" s="14">
        <f>IF(OR(E156="",N156&lt;=0),"",IF(N156&gt;E156*0.05,"VOL-HIGH","VOL-NORMAL"))</f>
        <v/>
      </c>
      <c r="AA156" s="14">
        <f>IF(OR(E156="",N156&lt;=0),"",IF(AND(O156="VOL-OK",Z156="VOL-NORMAL",X156="2ND"),"OK","NG"))</f>
        <v/>
      </c>
      <c r="AB156" s="14">
        <f>IF(OR(E156="",N156&lt;=0),"",IF(AND(F156&gt;J156,G156&gt;K156),"UP",IF(AND(F156&lt;J156,G156&lt;K156),"DOWN","FLAT")))</f>
        <v/>
      </c>
    </row>
    <row r="157" ht="26" customHeight="1" s="1">
      <c r="A157" s="8">
        <f>IF(C157="","",ROW()-2)</f>
        <v/>
      </c>
      <c r="B157" s="9">
        <f>IF('StockList_MS2'!A156="","",HYPERLINK("https://kabutan.jp/stock/?code="&amp;'StockList_MS2'!A156,"株探"))</f>
        <v/>
      </c>
      <c r="C157" s="8">
        <f>IF('StockList_MS2'!A156="","",'StockList_MS2'!A156)</f>
        <v/>
      </c>
      <c r="D157" s="10">
        <f>IF('StockList_MS2'!A156="","",'StockList_MS2'!B156)</f>
        <v/>
      </c>
      <c r="E157" s="11" t="n"/>
      <c r="F157" s="11" t="n"/>
      <c r="G157" s="11" t="n"/>
      <c r="H157" s="11" t="n"/>
      <c r="I157" s="12" t="n"/>
      <c r="J157" s="11" t="n"/>
      <c r="K157" s="11" t="n"/>
      <c r="L157" s="11" t="n"/>
      <c r="M157" s="8">
        <f>IF(E157="","",IF(E157&gt;L157,"BUY-DAY","SELL-DAY"))</f>
        <v/>
      </c>
      <c r="N157" s="13">
        <f>IF(E157="","",MAX(F157-G157,ABS(F157-L157),ABS(G157-L157)))</f>
        <v/>
      </c>
      <c r="O157" s="8">
        <f>IF(E157="","",IF(AND(I157&gt;0,I157&gt;(I157/3)*2.5),"VOL-OK","VOL-NG"))</f>
        <v/>
      </c>
      <c r="P157" s="8">
        <f>IF(E157="","",IF(E157&gt;J157,"ON","OFF"))</f>
        <v/>
      </c>
      <c r="Q157" s="8">
        <f>IF(E157="","",IF(E157&lt;K157,"ON","OFF"))</f>
        <v/>
      </c>
      <c r="R157" s="8">
        <f>IF(OR(E157="",N157&lt;=0),"",IF(AND(M157="BUY-DAY",O157="VOL-OK",Q157="ON",AA157="OK",AB157&lt;&gt;"DOWN"),"BUY",IF(AND(M157="SELL-DAY",O157="VOL-OK",P157="ON",AA157="OK",AB157&lt;&gt;"UP"),"SELL","")))</f>
        <v/>
      </c>
      <c r="S157" s="13">
        <f>IF(R157="","",E157)</f>
        <v/>
      </c>
      <c r="T157" s="13">
        <f>IF(R157="","",IF(R157="BUY",E157-N157*1.5,E157+N157*1.5))</f>
        <v/>
      </c>
      <c r="U157" s="13">
        <f>IF(R157="","",IF(R157="BUY",E157+N157*1.5,E157-N157*1.5))</f>
        <v/>
      </c>
      <c r="V157" s="13">
        <f>IF(R157="","",IF(R157="BUY",E157+N157*2,E157-N157*2))</f>
        <v/>
      </c>
      <c r="W157" s="13">
        <f>IF(R157="","",IF(R157="BUY",E157+N157*3,E157-N157*3))</f>
        <v/>
      </c>
      <c r="X157" s="8">
        <f>IF(OR(E157="",N157&lt;=0),"",IF(AND(E157&gt;H157,ABS(E157-H157)&lt;N157*0.5),"2ND","1ST"))</f>
        <v/>
      </c>
      <c r="Y157" s="8">
        <f>IF(OR(E157="",N157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57" s="8">
        <f>IF(OR(E157="",N157&lt;=0),"",IF(N157&gt;E157*0.05,"VOL-HIGH","VOL-NORMAL"))</f>
        <v/>
      </c>
      <c r="AA157" s="8">
        <f>IF(OR(E157="",N157&lt;=0),"",IF(AND(O157="VOL-OK",Z157="VOL-NORMAL",X157="2ND"),"OK","NG"))</f>
        <v/>
      </c>
      <c r="AB157" s="8">
        <f>IF(OR(E157="",N157&lt;=0),"",IF(AND(F157&gt;J157,G157&gt;K157),"UP",IF(AND(F157&lt;J157,G157&lt;K157),"DOWN","FLAT")))</f>
        <v/>
      </c>
    </row>
    <row r="158" ht="26" customHeight="1" s="1">
      <c r="A158" s="14">
        <f>IF(C158="","",ROW()-2)</f>
        <v/>
      </c>
      <c r="B158" s="15">
        <f>IF('StockList_MS2'!A157="","",HYPERLINK("https://kabutan.jp/stock/?code="&amp;'StockList_MS2'!A157,"株探"))</f>
        <v/>
      </c>
      <c r="C158" s="14">
        <f>IF('StockList_MS2'!A157="","",'StockList_MS2'!A157)</f>
        <v/>
      </c>
      <c r="D158" s="16">
        <f>IF('StockList_MS2'!A157="","",'StockList_MS2'!B157)</f>
        <v/>
      </c>
      <c r="E158" s="17" t="n"/>
      <c r="F158" s="17" t="n"/>
      <c r="G158" s="17" t="n"/>
      <c r="H158" s="17" t="n"/>
      <c r="I158" s="18" t="n"/>
      <c r="J158" s="17" t="n"/>
      <c r="K158" s="17" t="n"/>
      <c r="L158" s="17" t="n"/>
      <c r="M158" s="14">
        <f>IF(E158="","",IF(E158&gt;L158,"BUY-DAY","SELL-DAY"))</f>
        <v/>
      </c>
      <c r="N158" s="19">
        <f>IF(E158="","",MAX(F158-G158,ABS(F158-L158),ABS(G158-L158)))</f>
        <v/>
      </c>
      <c r="O158" s="14">
        <f>IF(E158="","",IF(AND(I158&gt;0,I158&gt;(I158/3)*2.5),"VOL-OK","VOL-NG"))</f>
        <v/>
      </c>
      <c r="P158" s="14">
        <f>IF(E158="","",IF(E158&gt;J158,"ON","OFF"))</f>
        <v/>
      </c>
      <c r="Q158" s="14">
        <f>IF(E158="","",IF(E158&lt;K158,"ON","OFF"))</f>
        <v/>
      </c>
      <c r="R158" s="14">
        <f>IF(OR(E158="",N158&lt;=0),"",IF(AND(M158="BUY-DAY",O158="VOL-OK",Q158="ON",AA158="OK",AB158&lt;&gt;"DOWN"),"BUY",IF(AND(M158="SELL-DAY",O158="VOL-OK",P158="ON",AA158="OK",AB158&lt;&gt;"UP"),"SELL","")))</f>
        <v/>
      </c>
      <c r="S158" s="19">
        <f>IF(R158="","",E158)</f>
        <v/>
      </c>
      <c r="T158" s="19">
        <f>IF(R158="","",IF(R158="BUY",E158-N158*1.5,E158+N158*1.5))</f>
        <v/>
      </c>
      <c r="U158" s="19">
        <f>IF(R158="","",IF(R158="BUY",E158+N158*1.5,E158-N158*1.5))</f>
        <v/>
      </c>
      <c r="V158" s="19">
        <f>IF(R158="","",IF(R158="BUY",E158+N158*2,E158-N158*2))</f>
        <v/>
      </c>
      <c r="W158" s="19">
        <f>IF(R158="","",IF(R158="BUY",E158+N158*3,E158-N158*3))</f>
        <v/>
      </c>
      <c r="X158" s="14">
        <f>IF(OR(E158="",N158&lt;=0),"",IF(AND(E158&gt;H158,ABS(E158-H158)&lt;N158*0.5),"2ND","1ST"))</f>
        <v/>
      </c>
      <c r="Y158" s="14">
        <f>IF(OR(E158="",N158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58" s="14">
        <f>IF(OR(E158="",N158&lt;=0),"",IF(N158&gt;E158*0.05,"VOL-HIGH","VOL-NORMAL"))</f>
        <v/>
      </c>
      <c r="AA158" s="14">
        <f>IF(OR(E158="",N158&lt;=0),"",IF(AND(O158="VOL-OK",Z158="VOL-NORMAL",X158="2ND"),"OK","NG"))</f>
        <v/>
      </c>
      <c r="AB158" s="14">
        <f>IF(OR(E158="",N158&lt;=0),"",IF(AND(F158&gt;J158,G158&gt;K158),"UP",IF(AND(F158&lt;J158,G158&lt;K158),"DOWN","FLAT")))</f>
        <v/>
      </c>
    </row>
    <row r="159" ht="26" customHeight="1" s="1">
      <c r="A159" s="8">
        <f>IF(C159="","",ROW()-2)</f>
        <v/>
      </c>
      <c r="B159" s="9">
        <f>IF('StockList_MS2'!A158="","",HYPERLINK("https://kabutan.jp/stock/?code="&amp;'StockList_MS2'!A158,"株探"))</f>
        <v/>
      </c>
      <c r="C159" s="8">
        <f>IF('StockList_MS2'!A158="","",'StockList_MS2'!A158)</f>
        <v/>
      </c>
      <c r="D159" s="10">
        <f>IF('StockList_MS2'!A158="","",'StockList_MS2'!B158)</f>
        <v/>
      </c>
      <c r="E159" s="11" t="n"/>
      <c r="F159" s="11" t="n"/>
      <c r="G159" s="11" t="n"/>
      <c r="H159" s="11" t="n"/>
      <c r="I159" s="12" t="n"/>
      <c r="J159" s="11" t="n"/>
      <c r="K159" s="11" t="n"/>
      <c r="L159" s="11" t="n"/>
      <c r="M159" s="8">
        <f>IF(E159="","",IF(E159&gt;L159,"BUY-DAY","SELL-DAY"))</f>
        <v/>
      </c>
      <c r="N159" s="13">
        <f>IF(E159="","",MAX(F159-G159,ABS(F159-L159),ABS(G159-L159)))</f>
        <v/>
      </c>
      <c r="O159" s="8">
        <f>IF(E159="","",IF(AND(I159&gt;0,I159&gt;(I159/3)*2.5),"VOL-OK","VOL-NG"))</f>
        <v/>
      </c>
      <c r="P159" s="8">
        <f>IF(E159="","",IF(E159&gt;J159,"ON","OFF"))</f>
        <v/>
      </c>
      <c r="Q159" s="8">
        <f>IF(E159="","",IF(E159&lt;K159,"ON","OFF"))</f>
        <v/>
      </c>
      <c r="R159" s="8">
        <f>IF(OR(E159="",N159&lt;=0),"",IF(AND(M159="BUY-DAY",O159="VOL-OK",Q159="ON",AA159="OK",AB159&lt;&gt;"DOWN"),"BUY",IF(AND(M159="SELL-DAY",O159="VOL-OK",P159="ON",AA159="OK",AB159&lt;&gt;"UP"),"SELL","")))</f>
        <v/>
      </c>
      <c r="S159" s="13">
        <f>IF(R159="","",E159)</f>
        <v/>
      </c>
      <c r="T159" s="13">
        <f>IF(R159="","",IF(R159="BUY",E159-N159*1.5,E159+N159*1.5))</f>
        <v/>
      </c>
      <c r="U159" s="13">
        <f>IF(R159="","",IF(R159="BUY",E159+N159*1.5,E159-N159*1.5))</f>
        <v/>
      </c>
      <c r="V159" s="13">
        <f>IF(R159="","",IF(R159="BUY",E159+N159*2,E159-N159*2))</f>
        <v/>
      </c>
      <c r="W159" s="13">
        <f>IF(R159="","",IF(R159="BUY",E159+N159*3,E159-N159*3))</f>
        <v/>
      </c>
      <c r="X159" s="8">
        <f>IF(OR(E159="",N159&lt;=0),"",IF(AND(E159&gt;H159,ABS(E159-H159)&lt;N159*0.5),"2ND","1ST"))</f>
        <v/>
      </c>
      <c r="Y159" s="8">
        <f>IF(OR(E159="",N159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59" s="8">
        <f>IF(OR(E159="",N159&lt;=0),"",IF(N159&gt;E159*0.05,"VOL-HIGH","VOL-NORMAL"))</f>
        <v/>
      </c>
      <c r="AA159" s="8">
        <f>IF(OR(E159="",N159&lt;=0),"",IF(AND(O159="VOL-OK",Z159="VOL-NORMAL",X159="2ND"),"OK","NG"))</f>
        <v/>
      </c>
      <c r="AB159" s="8">
        <f>IF(OR(E159="",N159&lt;=0),"",IF(AND(F159&gt;J159,G159&gt;K159),"UP",IF(AND(F159&lt;J159,G159&lt;K159),"DOWN","FLAT")))</f>
        <v/>
      </c>
    </row>
    <row r="160" ht="26" customHeight="1" s="1">
      <c r="A160" s="14">
        <f>IF(C160="","",ROW()-2)</f>
        <v/>
      </c>
      <c r="B160" s="15">
        <f>IF('StockList_MS2'!A159="","",HYPERLINK("https://kabutan.jp/stock/?code="&amp;'StockList_MS2'!A159,"株探"))</f>
        <v/>
      </c>
      <c r="C160" s="14">
        <f>IF('StockList_MS2'!A159="","",'StockList_MS2'!A159)</f>
        <v/>
      </c>
      <c r="D160" s="16">
        <f>IF('StockList_MS2'!A159="","",'StockList_MS2'!B159)</f>
        <v/>
      </c>
      <c r="E160" s="17" t="n"/>
      <c r="F160" s="17" t="n"/>
      <c r="G160" s="17" t="n"/>
      <c r="H160" s="17" t="n"/>
      <c r="I160" s="18" t="n"/>
      <c r="J160" s="17" t="n"/>
      <c r="K160" s="17" t="n"/>
      <c r="L160" s="17" t="n"/>
      <c r="M160" s="14">
        <f>IF(E160="","",IF(E160&gt;L160,"BUY-DAY","SELL-DAY"))</f>
        <v/>
      </c>
      <c r="N160" s="19">
        <f>IF(E160="","",MAX(F160-G160,ABS(F160-L160),ABS(G160-L160)))</f>
        <v/>
      </c>
      <c r="O160" s="14">
        <f>IF(E160="","",IF(AND(I160&gt;0,I160&gt;(I160/3)*2.5),"VOL-OK","VOL-NG"))</f>
        <v/>
      </c>
      <c r="P160" s="14">
        <f>IF(E160="","",IF(E160&gt;J160,"ON","OFF"))</f>
        <v/>
      </c>
      <c r="Q160" s="14">
        <f>IF(E160="","",IF(E160&lt;K160,"ON","OFF"))</f>
        <v/>
      </c>
      <c r="R160" s="14">
        <f>IF(OR(E160="",N160&lt;=0),"",IF(AND(M160="BUY-DAY",O160="VOL-OK",Q160="ON",AA160="OK",AB160&lt;&gt;"DOWN"),"BUY",IF(AND(M160="SELL-DAY",O160="VOL-OK",P160="ON",AA160="OK",AB160&lt;&gt;"UP"),"SELL","")))</f>
        <v/>
      </c>
      <c r="S160" s="19">
        <f>IF(R160="","",E160)</f>
        <v/>
      </c>
      <c r="T160" s="19">
        <f>IF(R160="","",IF(R160="BUY",E160-N160*1.5,E160+N160*1.5))</f>
        <v/>
      </c>
      <c r="U160" s="19">
        <f>IF(R160="","",IF(R160="BUY",E160+N160*1.5,E160-N160*1.5))</f>
        <v/>
      </c>
      <c r="V160" s="19">
        <f>IF(R160="","",IF(R160="BUY",E160+N160*2,E160-N160*2))</f>
        <v/>
      </c>
      <c r="W160" s="19">
        <f>IF(R160="","",IF(R160="BUY",E160+N160*3,E160-N160*3))</f>
        <v/>
      </c>
      <c r="X160" s="14">
        <f>IF(OR(E160="",N160&lt;=0),"",IF(AND(E160&gt;H160,ABS(E160-H160)&lt;N160*0.5),"2ND","1ST"))</f>
        <v/>
      </c>
      <c r="Y160" s="14">
        <f>IF(OR(E160="",N160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60" s="14">
        <f>IF(OR(E160="",N160&lt;=0),"",IF(N160&gt;E160*0.05,"VOL-HIGH","VOL-NORMAL"))</f>
        <v/>
      </c>
      <c r="AA160" s="14">
        <f>IF(OR(E160="",N160&lt;=0),"",IF(AND(O160="VOL-OK",Z160="VOL-NORMAL",X160="2ND"),"OK","NG"))</f>
        <v/>
      </c>
      <c r="AB160" s="14">
        <f>IF(OR(E160="",N160&lt;=0),"",IF(AND(F160&gt;J160,G160&gt;K160),"UP",IF(AND(F160&lt;J160,G160&lt;K160),"DOWN","FLAT")))</f>
        <v/>
      </c>
    </row>
    <row r="161" ht="26" customHeight="1" s="1">
      <c r="A161" s="8">
        <f>IF(C161="","",ROW()-2)</f>
        <v/>
      </c>
      <c r="B161" s="9">
        <f>IF('StockList_MS2'!A160="","",HYPERLINK("https://kabutan.jp/stock/?code="&amp;'StockList_MS2'!A160,"株探"))</f>
        <v/>
      </c>
      <c r="C161" s="8">
        <f>IF('StockList_MS2'!A160="","",'StockList_MS2'!A160)</f>
        <v/>
      </c>
      <c r="D161" s="10">
        <f>IF('StockList_MS2'!A160="","",'StockList_MS2'!B160)</f>
        <v/>
      </c>
      <c r="E161" s="11" t="n"/>
      <c r="F161" s="11" t="n"/>
      <c r="G161" s="11" t="n"/>
      <c r="H161" s="11" t="n"/>
      <c r="I161" s="12" t="n"/>
      <c r="J161" s="11" t="n"/>
      <c r="K161" s="11" t="n"/>
      <c r="L161" s="11" t="n"/>
      <c r="M161" s="8">
        <f>IF(E161="","",IF(E161&gt;L161,"BUY-DAY","SELL-DAY"))</f>
        <v/>
      </c>
      <c r="N161" s="13">
        <f>IF(E161="","",MAX(F161-G161,ABS(F161-L161),ABS(G161-L161)))</f>
        <v/>
      </c>
      <c r="O161" s="8">
        <f>IF(E161="","",IF(AND(I161&gt;0,I161&gt;(I161/3)*2.5),"VOL-OK","VOL-NG"))</f>
        <v/>
      </c>
      <c r="P161" s="8">
        <f>IF(E161="","",IF(E161&gt;J161,"ON","OFF"))</f>
        <v/>
      </c>
      <c r="Q161" s="8">
        <f>IF(E161="","",IF(E161&lt;K161,"ON","OFF"))</f>
        <v/>
      </c>
      <c r="R161" s="8">
        <f>IF(OR(E161="",N161&lt;=0),"",IF(AND(M161="BUY-DAY",O161="VOL-OK",Q161="ON",AA161="OK",AB161&lt;&gt;"DOWN"),"BUY",IF(AND(M161="SELL-DAY",O161="VOL-OK",P161="ON",AA161="OK",AB161&lt;&gt;"UP"),"SELL","")))</f>
        <v/>
      </c>
      <c r="S161" s="13">
        <f>IF(R161="","",E161)</f>
        <v/>
      </c>
      <c r="T161" s="13">
        <f>IF(R161="","",IF(R161="BUY",E161-N161*1.5,E161+N161*1.5))</f>
        <v/>
      </c>
      <c r="U161" s="13">
        <f>IF(R161="","",IF(R161="BUY",E161+N161*1.5,E161-N161*1.5))</f>
        <v/>
      </c>
      <c r="V161" s="13">
        <f>IF(R161="","",IF(R161="BUY",E161+N161*2,E161-N161*2))</f>
        <v/>
      </c>
      <c r="W161" s="13">
        <f>IF(R161="","",IF(R161="BUY",E161+N161*3,E161-N161*3))</f>
        <v/>
      </c>
      <c r="X161" s="8">
        <f>IF(OR(E161="",N161&lt;=0),"",IF(AND(E161&gt;H161,ABS(E161-H161)&lt;N161*0.5),"2ND","1ST"))</f>
        <v/>
      </c>
      <c r="Y161" s="8">
        <f>IF(OR(E161="",N161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61" s="8">
        <f>IF(OR(E161="",N161&lt;=0),"",IF(N161&gt;E161*0.05,"VOL-HIGH","VOL-NORMAL"))</f>
        <v/>
      </c>
      <c r="AA161" s="8">
        <f>IF(OR(E161="",N161&lt;=0),"",IF(AND(O161="VOL-OK",Z161="VOL-NORMAL",X161="2ND"),"OK","NG"))</f>
        <v/>
      </c>
      <c r="AB161" s="8">
        <f>IF(OR(E161="",N161&lt;=0),"",IF(AND(F161&gt;J161,G161&gt;K161),"UP",IF(AND(F161&lt;J161,G161&lt;K161),"DOWN","FLAT")))</f>
        <v/>
      </c>
    </row>
    <row r="162" ht="26" customHeight="1" s="1">
      <c r="A162" s="14">
        <f>IF(C162="","",ROW()-2)</f>
        <v/>
      </c>
      <c r="B162" s="15">
        <f>IF('StockList_MS2'!A161="","",HYPERLINK("https://kabutan.jp/stock/?code="&amp;'StockList_MS2'!A161,"株探"))</f>
        <v/>
      </c>
      <c r="C162" s="14">
        <f>IF('StockList_MS2'!A161="","",'StockList_MS2'!A161)</f>
        <v/>
      </c>
      <c r="D162" s="16">
        <f>IF('StockList_MS2'!A161="","",'StockList_MS2'!B161)</f>
        <v/>
      </c>
      <c r="E162" s="17" t="n"/>
      <c r="F162" s="17" t="n"/>
      <c r="G162" s="17" t="n"/>
      <c r="H162" s="17" t="n"/>
      <c r="I162" s="18" t="n"/>
      <c r="J162" s="17" t="n"/>
      <c r="K162" s="17" t="n"/>
      <c r="L162" s="17" t="n"/>
      <c r="M162" s="14">
        <f>IF(E162="","",IF(E162&gt;L162,"BUY-DAY","SELL-DAY"))</f>
        <v/>
      </c>
      <c r="N162" s="19">
        <f>IF(E162="","",MAX(F162-G162,ABS(F162-L162),ABS(G162-L162)))</f>
        <v/>
      </c>
      <c r="O162" s="14">
        <f>IF(E162="","",IF(AND(I162&gt;0,I162&gt;(I162/3)*2.5),"VOL-OK","VOL-NG"))</f>
        <v/>
      </c>
      <c r="P162" s="14">
        <f>IF(E162="","",IF(E162&gt;J162,"ON","OFF"))</f>
        <v/>
      </c>
      <c r="Q162" s="14">
        <f>IF(E162="","",IF(E162&lt;K162,"ON","OFF"))</f>
        <v/>
      </c>
      <c r="R162" s="14">
        <f>IF(OR(E162="",N162&lt;=0),"",IF(AND(M162="BUY-DAY",O162="VOL-OK",Q162="ON",AA162="OK",AB162&lt;&gt;"DOWN"),"BUY",IF(AND(M162="SELL-DAY",O162="VOL-OK",P162="ON",AA162="OK",AB162&lt;&gt;"UP"),"SELL","")))</f>
        <v/>
      </c>
      <c r="S162" s="19">
        <f>IF(R162="","",E162)</f>
        <v/>
      </c>
      <c r="T162" s="19">
        <f>IF(R162="","",IF(R162="BUY",E162-N162*1.5,E162+N162*1.5))</f>
        <v/>
      </c>
      <c r="U162" s="19">
        <f>IF(R162="","",IF(R162="BUY",E162+N162*1.5,E162-N162*1.5))</f>
        <v/>
      </c>
      <c r="V162" s="19">
        <f>IF(R162="","",IF(R162="BUY",E162+N162*2,E162-N162*2))</f>
        <v/>
      </c>
      <c r="W162" s="19">
        <f>IF(R162="","",IF(R162="BUY",E162+N162*3,E162-N162*3))</f>
        <v/>
      </c>
      <c r="X162" s="14">
        <f>IF(OR(E162="",N162&lt;=0),"",IF(AND(E162&gt;H162,ABS(E162-H162)&lt;N162*0.5),"2ND","1ST"))</f>
        <v/>
      </c>
      <c r="Y162" s="14">
        <f>IF(OR(E162="",N162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62" s="14">
        <f>IF(OR(E162="",N162&lt;=0),"",IF(N162&gt;E162*0.05,"VOL-HIGH","VOL-NORMAL"))</f>
        <v/>
      </c>
      <c r="AA162" s="14">
        <f>IF(OR(E162="",N162&lt;=0),"",IF(AND(O162="VOL-OK",Z162="VOL-NORMAL",X162="2ND"),"OK","NG"))</f>
        <v/>
      </c>
      <c r="AB162" s="14">
        <f>IF(OR(E162="",N162&lt;=0),"",IF(AND(F162&gt;J162,G162&gt;K162),"UP",IF(AND(F162&lt;J162,G162&lt;K162),"DOWN","FLAT")))</f>
        <v/>
      </c>
    </row>
    <row r="163" ht="26" customHeight="1" s="1">
      <c r="A163" s="8">
        <f>IF(C163="","",ROW()-2)</f>
        <v/>
      </c>
      <c r="B163" s="9">
        <f>IF('StockList_MS2'!A162="","",HYPERLINK("https://kabutan.jp/stock/?code="&amp;'StockList_MS2'!A162,"株探"))</f>
        <v/>
      </c>
      <c r="C163" s="8">
        <f>IF('StockList_MS2'!A162="","",'StockList_MS2'!A162)</f>
        <v/>
      </c>
      <c r="D163" s="10">
        <f>IF('StockList_MS2'!A162="","",'StockList_MS2'!B162)</f>
        <v/>
      </c>
      <c r="E163" s="11" t="n"/>
      <c r="F163" s="11" t="n"/>
      <c r="G163" s="11" t="n"/>
      <c r="H163" s="11" t="n"/>
      <c r="I163" s="12" t="n"/>
      <c r="J163" s="11" t="n"/>
      <c r="K163" s="11" t="n"/>
      <c r="L163" s="11" t="n"/>
      <c r="M163" s="8">
        <f>IF(E163="","",IF(E163&gt;L163,"BUY-DAY","SELL-DAY"))</f>
        <v/>
      </c>
      <c r="N163" s="13">
        <f>IF(E163="","",MAX(F163-G163,ABS(F163-L163),ABS(G163-L163)))</f>
        <v/>
      </c>
      <c r="O163" s="8">
        <f>IF(E163="","",IF(AND(I163&gt;0,I163&gt;(I163/3)*2.5),"VOL-OK","VOL-NG"))</f>
        <v/>
      </c>
      <c r="P163" s="8">
        <f>IF(E163="","",IF(E163&gt;J163,"ON","OFF"))</f>
        <v/>
      </c>
      <c r="Q163" s="8">
        <f>IF(E163="","",IF(E163&lt;K163,"ON","OFF"))</f>
        <v/>
      </c>
      <c r="R163" s="8">
        <f>IF(OR(E163="",N163&lt;=0),"",IF(AND(M163="BUY-DAY",O163="VOL-OK",Q163="ON",AA163="OK",AB163&lt;&gt;"DOWN"),"BUY",IF(AND(M163="SELL-DAY",O163="VOL-OK",P163="ON",AA163="OK",AB163&lt;&gt;"UP"),"SELL","")))</f>
        <v/>
      </c>
      <c r="S163" s="13">
        <f>IF(R163="","",E163)</f>
        <v/>
      </c>
      <c r="T163" s="13">
        <f>IF(R163="","",IF(R163="BUY",E163-N163*1.5,E163+N163*1.5))</f>
        <v/>
      </c>
      <c r="U163" s="13">
        <f>IF(R163="","",IF(R163="BUY",E163+N163*1.5,E163-N163*1.5))</f>
        <v/>
      </c>
      <c r="V163" s="13">
        <f>IF(R163="","",IF(R163="BUY",E163+N163*2,E163-N163*2))</f>
        <v/>
      </c>
      <c r="W163" s="13">
        <f>IF(R163="","",IF(R163="BUY",E163+N163*3,E163-N163*3))</f>
        <v/>
      </c>
      <c r="X163" s="8">
        <f>IF(OR(E163="",N163&lt;=0),"",IF(AND(E163&gt;H163,ABS(E163-H163)&lt;N163*0.5),"2ND","1ST"))</f>
        <v/>
      </c>
      <c r="Y163" s="8">
        <f>IF(OR(E163="",N163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63" s="8">
        <f>IF(OR(E163="",N163&lt;=0),"",IF(N163&gt;E163*0.05,"VOL-HIGH","VOL-NORMAL"))</f>
        <v/>
      </c>
      <c r="AA163" s="8">
        <f>IF(OR(E163="",N163&lt;=0),"",IF(AND(O163="VOL-OK",Z163="VOL-NORMAL",X163="2ND"),"OK","NG"))</f>
        <v/>
      </c>
      <c r="AB163" s="8">
        <f>IF(OR(E163="",N163&lt;=0),"",IF(AND(F163&gt;J163,G163&gt;K163),"UP",IF(AND(F163&lt;J163,G163&lt;K163),"DOWN","FLAT")))</f>
        <v/>
      </c>
    </row>
    <row r="164" ht="26" customHeight="1" s="1">
      <c r="A164" s="14">
        <f>IF(C164="","",ROW()-2)</f>
        <v/>
      </c>
      <c r="B164" s="15">
        <f>IF('StockList_MS2'!A163="","",HYPERLINK("https://kabutan.jp/stock/?code="&amp;'StockList_MS2'!A163,"株探"))</f>
        <v/>
      </c>
      <c r="C164" s="14">
        <f>IF('StockList_MS2'!A163="","",'StockList_MS2'!A163)</f>
        <v/>
      </c>
      <c r="D164" s="16">
        <f>IF('StockList_MS2'!A163="","",'StockList_MS2'!B163)</f>
        <v/>
      </c>
      <c r="E164" s="17" t="n"/>
      <c r="F164" s="17" t="n"/>
      <c r="G164" s="17" t="n"/>
      <c r="H164" s="17" t="n"/>
      <c r="I164" s="18" t="n"/>
      <c r="J164" s="17" t="n"/>
      <c r="K164" s="17" t="n"/>
      <c r="L164" s="17" t="n"/>
      <c r="M164" s="14">
        <f>IF(E164="","",IF(E164&gt;L164,"BUY-DAY","SELL-DAY"))</f>
        <v/>
      </c>
      <c r="N164" s="19">
        <f>IF(E164="","",MAX(F164-G164,ABS(F164-L164),ABS(G164-L164)))</f>
        <v/>
      </c>
      <c r="O164" s="14">
        <f>IF(E164="","",IF(AND(I164&gt;0,I164&gt;(I164/3)*2.5),"VOL-OK","VOL-NG"))</f>
        <v/>
      </c>
      <c r="P164" s="14">
        <f>IF(E164="","",IF(E164&gt;J164,"ON","OFF"))</f>
        <v/>
      </c>
      <c r="Q164" s="14">
        <f>IF(E164="","",IF(E164&lt;K164,"ON","OFF"))</f>
        <v/>
      </c>
      <c r="R164" s="14">
        <f>IF(OR(E164="",N164&lt;=0),"",IF(AND(M164="BUY-DAY",O164="VOL-OK",Q164="ON",AA164="OK",AB164&lt;&gt;"DOWN"),"BUY",IF(AND(M164="SELL-DAY",O164="VOL-OK",P164="ON",AA164="OK",AB164&lt;&gt;"UP"),"SELL","")))</f>
        <v/>
      </c>
      <c r="S164" s="19">
        <f>IF(R164="","",E164)</f>
        <v/>
      </c>
      <c r="T164" s="19">
        <f>IF(R164="","",IF(R164="BUY",E164-N164*1.5,E164+N164*1.5))</f>
        <v/>
      </c>
      <c r="U164" s="19">
        <f>IF(R164="","",IF(R164="BUY",E164+N164*1.5,E164-N164*1.5))</f>
        <v/>
      </c>
      <c r="V164" s="19">
        <f>IF(R164="","",IF(R164="BUY",E164+N164*2,E164-N164*2))</f>
        <v/>
      </c>
      <c r="W164" s="19">
        <f>IF(R164="","",IF(R164="BUY",E164+N164*3,E164-N164*3))</f>
        <v/>
      </c>
      <c r="X164" s="14">
        <f>IF(OR(E164="",N164&lt;=0),"",IF(AND(E164&gt;H164,ABS(E164-H164)&lt;N164*0.5),"2ND","1ST"))</f>
        <v/>
      </c>
      <c r="Y164" s="14">
        <f>IF(OR(E164="",N164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64" s="14">
        <f>IF(OR(E164="",N164&lt;=0),"",IF(N164&gt;E164*0.05,"VOL-HIGH","VOL-NORMAL"))</f>
        <v/>
      </c>
      <c r="AA164" s="14">
        <f>IF(OR(E164="",N164&lt;=0),"",IF(AND(O164="VOL-OK",Z164="VOL-NORMAL",X164="2ND"),"OK","NG"))</f>
        <v/>
      </c>
      <c r="AB164" s="14">
        <f>IF(OR(E164="",N164&lt;=0),"",IF(AND(F164&gt;J164,G164&gt;K164),"UP",IF(AND(F164&lt;J164,G164&lt;K164),"DOWN","FLAT")))</f>
        <v/>
      </c>
    </row>
    <row r="165" ht="26" customHeight="1" s="1">
      <c r="A165" s="8">
        <f>IF(C165="","",ROW()-2)</f>
        <v/>
      </c>
      <c r="B165" s="9">
        <f>IF('StockList_MS2'!A164="","",HYPERLINK("https://kabutan.jp/stock/?code="&amp;'StockList_MS2'!A164,"株探"))</f>
        <v/>
      </c>
      <c r="C165" s="8">
        <f>IF('StockList_MS2'!A164="","",'StockList_MS2'!A164)</f>
        <v/>
      </c>
      <c r="D165" s="10">
        <f>IF('StockList_MS2'!A164="","",'StockList_MS2'!B164)</f>
        <v/>
      </c>
      <c r="E165" s="11" t="n"/>
      <c r="F165" s="11" t="n"/>
      <c r="G165" s="11" t="n"/>
      <c r="H165" s="11" t="n"/>
      <c r="I165" s="12" t="n"/>
      <c r="J165" s="11" t="n"/>
      <c r="K165" s="11" t="n"/>
      <c r="L165" s="11" t="n"/>
      <c r="M165" s="8">
        <f>IF(E165="","",IF(E165&gt;L165,"BUY-DAY","SELL-DAY"))</f>
        <v/>
      </c>
      <c r="N165" s="13">
        <f>IF(E165="","",MAX(F165-G165,ABS(F165-L165),ABS(G165-L165)))</f>
        <v/>
      </c>
      <c r="O165" s="8">
        <f>IF(E165="","",IF(AND(I165&gt;0,I165&gt;(I165/3)*2.5),"VOL-OK","VOL-NG"))</f>
        <v/>
      </c>
      <c r="P165" s="8">
        <f>IF(E165="","",IF(E165&gt;J165,"ON","OFF"))</f>
        <v/>
      </c>
      <c r="Q165" s="8">
        <f>IF(E165="","",IF(E165&lt;K165,"ON","OFF"))</f>
        <v/>
      </c>
      <c r="R165" s="8">
        <f>IF(OR(E165="",N165&lt;=0),"",IF(AND(M165="BUY-DAY",O165="VOL-OK",Q165="ON",AA165="OK",AB165&lt;&gt;"DOWN"),"BUY",IF(AND(M165="SELL-DAY",O165="VOL-OK",P165="ON",AA165="OK",AB165&lt;&gt;"UP"),"SELL","")))</f>
        <v/>
      </c>
      <c r="S165" s="13">
        <f>IF(R165="","",E165)</f>
        <v/>
      </c>
      <c r="T165" s="13">
        <f>IF(R165="","",IF(R165="BUY",E165-N165*1.5,E165+N165*1.5))</f>
        <v/>
      </c>
      <c r="U165" s="13">
        <f>IF(R165="","",IF(R165="BUY",E165+N165*1.5,E165-N165*1.5))</f>
        <v/>
      </c>
      <c r="V165" s="13">
        <f>IF(R165="","",IF(R165="BUY",E165+N165*2,E165-N165*2))</f>
        <v/>
      </c>
      <c r="W165" s="13">
        <f>IF(R165="","",IF(R165="BUY",E165+N165*3,E165-N165*3))</f>
        <v/>
      </c>
      <c r="X165" s="8">
        <f>IF(OR(E165="",N165&lt;=0),"",IF(AND(E165&gt;H165,ABS(E165-H165)&lt;N165*0.5),"2ND","1ST"))</f>
        <v/>
      </c>
      <c r="Y165" s="8">
        <f>IF(OR(E165="",N165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65" s="8">
        <f>IF(OR(E165="",N165&lt;=0),"",IF(N165&gt;E165*0.05,"VOL-HIGH","VOL-NORMAL"))</f>
        <v/>
      </c>
      <c r="AA165" s="8">
        <f>IF(OR(E165="",N165&lt;=0),"",IF(AND(O165="VOL-OK",Z165="VOL-NORMAL",X165="2ND"),"OK","NG"))</f>
        <v/>
      </c>
      <c r="AB165" s="8">
        <f>IF(OR(E165="",N165&lt;=0),"",IF(AND(F165&gt;J165,G165&gt;K165),"UP",IF(AND(F165&lt;J165,G165&lt;K165),"DOWN","FLAT")))</f>
        <v/>
      </c>
    </row>
    <row r="166" ht="26" customHeight="1" s="1">
      <c r="A166" s="14">
        <f>IF(C166="","",ROW()-2)</f>
        <v/>
      </c>
      <c r="B166" s="15">
        <f>IF('StockList_MS2'!A165="","",HYPERLINK("https://kabutan.jp/stock/?code="&amp;'StockList_MS2'!A165,"株探"))</f>
        <v/>
      </c>
      <c r="C166" s="14">
        <f>IF('StockList_MS2'!A165="","",'StockList_MS2'!A165)</f>
        <v/>
      </c>
      <c r="D166" s="16">
        <f>IF('StockList_MS2'!A165="","",'StockList_MS2'!B165)</f>
        <v/>
      </c>
      <c r="E166" s="17" t="n"/>
      <c r="F166" s="17" t="n"/>
      <c r="G166" s="17" t="n"/>
      <c r="H166" s="17" t="n"/>
      <c r="I166" s="18" t="n"/>
      <c r="J166" s="17" t="n"/>
      <c r="K166" s="17" t="n"/>
      <c r="L166" s="17" t="n"/>
      <c r="M166" s="14">
        <f>IF(E166="","",IF(E166&gt;L166,"BUY-DAY","SELL-DAY"))</f>
        <v/>
      </c>
      <c r="N166" s="19">
        <f>IF(E166="","",MAX(F166-G166,ABS(F166-L166),ABS(G166-L166)))</f>
        <v/>
      </c>
      <c r="O166" s="14">
        <f>IF(E166="","",IF(AND(I166&gt;0,I166&gt;(I166/3)*2.5),"VOL-OK","VOL-NG"))</f>
        <v/>
      </c>
      <c r="P166" s="14">
        <f>IF(E166="","",IF(E166&gt;J166,"ON","OFF"))</f>
        <v/>
      </c>
      <c r="Q166" s="14">
        <f>IF(E166="","",IF(E166&lt;K166,"ON","OFF"))</f>
        <v/>
      </c>
      <c r="R166" s="14">
        <f>IF(OR(E166="",N166&lt;=0),"",IF(AND(M166="BUY-DAY",O166="VOL-OK",Q166="ON",AA166="OK",AB166&lt;&gt;"DOWN"),"BUY",IF(AND(M166="SELL-DAY",O166="VOL-OK",P166="ON",AA166="OK",AB166&lt;&gt;"UP"),"SELL","")))</f>
        <v/>
      </c>
      <c r="S166" s="19">
        <f>IF(R166="","",E166)</f>
        <v/>
      </c>
      <c r="T166" s="19">
        <f>IF(R166="","",IF(R166="BUY",E166-N166*1.5,E166+N166*1.5))</f>
        <v/>
      </c>
      <c r="U166" s="19">
        <f>IF(R166="","",IF(R166="BUY",E166+N166*1.5,E166-N166*1.5))</f>
        <v/>
      </c>
      <c r="V166" s="19">
        <f>IF(R166="","",IF(R166="BUY",E166+N166*2,E166-N166*2))</f>
        <v/>
      </c>
      <c r="W166" s="19">
        <f>IF(R166="","",IF(R166="BUY",E166+N166*3,E166-N166*3))</f>
        <v/>
      </c>
      <c r="X166" s="14">
        <f>IF(OR(E166="",N166&lt;=0),"",IF(AND(E166&gt;H166,ABS(E166-H166)&lt;N166*0.5),"2ND","1ST"))</f>
        <v/>
      </c>
      <c r="Y166" s="14">
        <f>IF(OR(E166="",N166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66" s="14">
        <f>IF(OR(E166="",N166&lt;=0),"",IF(N166&gt;E166*0.05,"VOL-HIGH","VOL-NORMAL"))</f>
        <v/>
      </c>
      <c r="AA166" s="14">
        <f>IF(OR(E166="",N166&lt;=0),"",IF(AND(O166="VOL-OK",Z166="VOL-NORMAL",X166="2ND"),"OK","NG"))</f>
        <v/>
      </c>
      <c r="AB166" s="14">
        <f>IF(OR(E166="",N166&lt;=0),"",IF(AND(F166&gt;J166,G166&gt;K166),"UP",IF(AND(F166&lt;J166,G166&lt;K166),"DOWN","FLAT")))</f>
        <v/>
      </c>
    </row>
    <row r="167" ht="26" customHeight="1" s="1">
      <c r="A167" s="8">
        <f>IF(C167="","",ROW()-2)</f>
        <v/>
      </c>
      <c r="B167" s="9">
        <f>IF('StockList_MS2'!A166="","",HYPERLINK("https://kabutan.jp/stock/?code="&amp;'StockList_MS2'!A166,"株探"))</f>
        <v/>
      </c>
      <c r="C167" s="8">
        <f>IF('StockList_MS2'!A166="","",'StockList_MS2'!A166)</f>
        <v/>
      </c>
      <c r="D167" s="10">
        <f>IF('StockList_MS2'!A166="","",'StockList_MS2'!B166)</f>
        <v/>
      </c>
      <c r="E167" s="11" t="n"/>
      <c r="F167" s="11" t="n"/>
      <c r="G167" s="11" t="n"/>
      <c r="H167" s="11" t="n"/>
      <c r="I167" s="12" t="n"/>
      <c r="J167" s="11" t="n"/>
      <c r="K167" s="11" t="n"/>
      <c r="L167" s="11" t="n"/>
      <c r="M167" s="8">
        <f>IF(E167="","",IF(E167&gt;L167,"BUY-DAY","SELL-DAY"))</f>
        <v/>
      </c>
      <c r="N167" s="13">
        <f>IF(E167="","",MAX(F167-G167,ABS(F167-L167),ABS(G167-L167)))</f>
        <v/>
      </c>
      <c r="O167" s="8">
        <f>IF(E167="","",IF(AND(I167&gt;0,I167&gt;(I167/3)*2.5),"VOL-OK","VOL-NG"))</f>
        <v/>
      </c>
      <c r="P167" s="8">
        <f>IF(E167="","",IF(E167&gt;J167,"ON","OFF"))</f>
        <v/>
      </c>
      <c r="Q167" s="8">
        <f>IF(E167="","",IF(E167&lt;K167,"ON","OFF"))</f>
        <v/>
      </c>
      <c r="R167" s="8">
        <f>IF(OR(E167="",N167&lt;=0),"",IF(AND(M167="BUY-DAY",O167="VOL-OK",Q167="ON",AA167="OK",AB167&lt;&gt;"DOWN"),"BUY",IF(AND(M167="SELL-DAY",O167="VOL-OK",P167="ON",AA167="OK",AB167&lt;&gt;"UP"),"SELL","")))</f>
        <v/>
      </c>
      <c r="S167" s="13">
        <f>IF(R167="","",E167)</f>
        <v/>
      </c>
      <c r="T167" s="13">
        <f>IF(R167="","",IF(R167="BUY",E167-N167*1.5,E167+N167*1.5))</f>
        <v/>
      </c>
      <c r="U167" s="13">
        <f>IF(R167="","",IF(R167="BUY",E167+N167*1.5,E167-N167*1.5))</f>
        <v/>
      </c>
      <c r="V167" s="13">
        <f>IF(R167="","",IF(R167="BUY",E167+N167*2,E167-N167*2))</f>
        <v/>
      </c>
      <c r="W167" s="13">
        <f>IF(R167="","",IF(R167="BUY",E167+N167*3,E167-N167*3))</f>
        <v/>
      </c>
      <c r="X167" s="8">
        <f>IF(OR(E167="",N167&lt;=0),"",IF(AND(E167&gt;H167,ABS(E167-H167)&lt;N167*0.5),"2ND","1ST"))</f>
        <v/>
      </c>
      <c r="Y167" s="8">
        <f>IF(OR(E167="",N167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67" s="8">
        <f>IF(OR(E167="",N167&lt;=0),"",IF(N167&gt;E167*0.05,"VOL-HIGH","VOL-NORMAL"))</f>
        <v/>
      </c>
      <c r="AA167" s="8">
        <f>IF(OR(E167="",N167&lt;=0),"",IF(AND(O167="VOL-OK",Z167="VOL-NORMAL",X167="2ND"),"OK","NG"))</f>
        <v/>
      </c>
      <c r="AB167" s="8">
        <f>IF(OR(E167="",N167&lt;=0),"",IF(AND(F167&gt;J167,G167&gt;K167),"UP",IF(AND(F167&lt;J167,G167&lt;K167),"DOWN","FLAT")))</f>
        <v/>
      </c>
    </row>
    <row r="168" ht="26" customHeight="1" s="1">
      <c r="A168" s="14">
        <f>IF(C168="","",ROW()-2)</f>
        <v/>
      </c>
      <c r="B168" s="15">
        <f>IF('StockList_MS2'!A167="","",HYPERLINK("https://kabutan.jp/stock/?code="&amp;'StockList_MS2'!A167,"株探"))</f>
        <v/>
      </c>
      <c r="C168" s="14">
        <f>IF('StockList_MS2'!A167="","",'StockList_MS2'!A167)</f>
        <v/>
      </c>
      <c r="D168" s="16">
        <f>IF('StockList_MS2'!A167="","",'StockList_MS2'!B167)</f>
        <v/>
      </c>
      <c r="E168" s="17" t="n"/>
      <c r="F168" s="17" t="n"/>
      <c r="G168" s="17" t="n"/>
      <c r="H168" s="17" t="n"/>
      <c r="I168" s="18" t="n"/>
      <c r="J168" s="17" t="n"/>
      <c r="K168" s="17" t="n"/>
      <c r="L168" s="17" t="n"/>
      <c r="M168" s="14">
        <f>IF(E168="","",IF(E168&gt;L168,"BUY-DAY","SELL-DAY"))</f>
        <v/>
      </c>
      <c r="N168" s="19">
        <f>IF(E168="","",MAX(F168-G168,ABS(F168-L168),ABS(G168-L168)))</f>
        <v/>
      </c>
      <c r="O168" s="14">
        <f>IF(E168="","",IF(AND(I168&gt;0,I168&gt;(I168/3)*2.5),"VOL-OK","VOL-NG"))</f>
        <v/>
      </c>
      <c r="P168" s="14">
        <f>IF(E168="","",IF(E168&gt;J168,"ON","OFF"))</f>
        <v/>
      </c>
      <c r="Q168" s="14">
        <f>IF(E168="","",IF(E168&lt;K168,"ON","OFF"))</f>
        <v/>
      </c>
      <c r="R168" s="14">
        <f>IF(OR(E168="",N168&lt;=0),"",IF(AND(M168="BUY-DAY",O168="VOL-OK",Q168="ON",AA168="OK",AB168&lt;&gt;"DOWN"),"BUY",IF(AND(M168="SELL-DAY",O168="VOL-OK",P168="ON",AA168="OK",AB168&lt;&gt;"UP"),"SELL","")))</f>
        <v/>
      </c>
      <c r="S168" s="19">
        <f>IF(R168="","",E168)</f>
        <v/>
      </c>
      <c r="T168" s="19">
        <f>IF(R168="","",IF(R168="BUY",E168-N168*1.5,E168+N168*1.5))</f>
        <v/>
      </c>
      <c r="U168" s="19">
        <f>IF(R168="","",IF(R168="BUY",E168+N168*1.5,E168-N168*1.5))</f>
        <v/>
      </c>
      <c r="V168" s="19">
        <f>IF(R168="","",IF(R168="BUY",E168+N168*2,E168-N168*2))</f>
        <v/>
      </c>
      <c r="W168" s="19">
        <f>IF(R168="","",IF(R168="BUY",E168+N168*3,E168-N168*3))</f>
        <v/>
      </c>
      <c r="X168" s="14">
        <f>IF(OR(E168="",N168&lt;=0),"",IF(AND(E168&gt;H168,ABS(E168-H168)&lt;N168*0.5),"2ND","1ST"))</f>
        <v/>
      </c>
      <c r="Y168" s="14">
        <f>IF(OR(E168="",N168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68" s="14">
        <f>IF(OR(E168="",N168&lt;=0),"",IF(N168&gt;E168*0.05,"VOL-HIGH","VOL-NORMAL"))</f>
        <v/>
      </c>
      <c r="AA168" s="14">
        <f>IF(OR(E168="",N168&lt;=0),"",IF(AND(O168="VOL-OK",Z168="VOL-NORMAL",X168="2ND"),"OK","NG"))</f>
        <v/>
      </c>
      <c r="AB168" s="14">
        <f>IF(OR(E168="",N168&lt;=0),"",IF(AND(F168&gt;J168,G168&gt;K168),"UP",IF(AND(F168&lt;J168,G168&lt;K168),"DOWN","FLAT")))</f>
        <v/>
      </c>
    </row>
    <row r="169" ht="26" customHeight="1" s="1">
      <c r="A169" s="8">
        <f>IF(C169="","",ROW()-2)</f>
        <v/>
      </c>
      <c r="B169" s="9">
        <f>IF('StockList_MS2'!A168="","",HYPERLINK("https://kabutan.jp/stock/?code="&amp;'StockList_MS2'!A168,"株探"))</f>
        <v/>
      </c>
      <c r="C169" s="8">
        <f>IF('StockList_MS2'!A168="","",'StockList_MS2'!A168)</f>
        <v/>
      </c>
      <c r="D169" s="10">
        <f>IF('StockList_MS2'!A168="","",'StockList_MS2'!B168)</f>
        <v/>
      </c>
      <c r="E169" s="11" t="n"/>
      <c r="F169" s="11" t="n"/>
      <c r="G169" s="11" t="n"/>
      <c r="H169" s="11" t="n"/>
      <c r="I169" s="12" t="n"/>
      <c r="J169" s="11" t="n"/>
      <c r="K169" s="11" t="n"/>
      <c r="L169" s="11" t="n"/>
      <c r="M169" s="8">
        <f>IF(E169="","",IF(E169&gt;L169,"BUY-DAY","SELL-DAY"))</f>
        <v/>
      </c>
      <c r="N169" s="13">
        <f>IF(E169="","",MAX(F169-G169,ABS(F169-L169),ABS(G169-L169)))</f>
        <v/>
      </c>
      <c r="O169" s="8">
        <f>IF(E169="","",IF(AND(I169&gt;0,I169&gt;(I169/3)*2.5),"VOL-OK","VOL-NG"))</f>
        <v/>
      </c>
      <c r="P169" s="8">
        <f>IF(E169="","",IF(E169&gt;J169,"ON","OFF"))</f>
        <v/>
      </c>
      <c r="Q169" s="8">
        <f>IF(E169="","",IF(E169&lt;K169,"ON","OFF"))</f>
        <v/>
      </c>
      <c r="R169" s="8">
        <f>IF(OR(E169="",N169&lt;=0),"",IF(AND(M169="BUY-DAY",O169="VOL-OK",Q169="ON",AA169="OK",AB169&lt;&gt;"DOWN"),"BUY",IF(AND(M169="SELL-DAY",O169="VOL-OK",P169="ON",AA169="OK",AB169&lt;&gt;"UP"),"SELL","")))</f>
        <v/>
      </c>
      <c r="S169" s="13">
        <f>IF(R169="","",E169)</f>
        <v/>
      </c>
      <c r="T169" s="13">
        <f>IF(R169="","",IF(R169="BUY",E169-N169*1.5,E169+N169*1.5))</f>
        <v/>
      </c>
      <c r="U169" s="13">
        <f>IF(R169="","",IF(R169="BUY",E169+N169*1.5,E169-N169*1.5))</f>
        <v/>
      </c>
      <c r="V169" s="13">
        <f>IF(R169="","",IF(R169="BUY",E169+N169*2,E169-N169*2))</f>
        <v/>
      </c>
      <c r="W169" s="13">
        <f>IF(R169="","",IF(R169="BUY",E169+N169*3,E169-N169*3))</f>
        <v/>
      </c>
      <c r="X169" s="8">
        <f>IF(OR(E169="",N169&lt;=0),"",IF(AND(E169&gt;H169,ABS(E169-H169)&lt;N169*0.5),"2ND","1ST"))</f>
        <v/>
      </c>
      <c r="Y169" s="8">
        <f>IF(OR(E169="",N169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69" s="8">
        <f>IF(OR(E169="",N169&lt;=0),"",IF(N169&gt;E169*0.05,"VOL-HIGH","VOL-NORMAL"))</f>
        <v/>
      </c>
      <c r="AA169" s="8">
        <f>IF(OR(E169="",N169&lt;=0),"",IF(AND(O169="VOL-OK",Z169="VOL-NORMAL",X169="2ND"),"OK","NG"))</f>
        <v/>
      </c>
      <c r="AB169" s="8">
        <f>IF(OR(E169="",N169&lt;=0),"",IF(AND(F169&gt;J169,G169&gt;K169),"UP",IF(AND(F169&lt;J169,G169&lt;K169),"DOWN","FLAT")))</f>
        <v/>
      </c>
    </row>
    <row r="170" ht="26" customHeight="1" s="1">
      <c r="A170" s="14">
        <f>IF(C170="","",ROW()-2)</f>
        <v/>
      </c>
      <c r="B170" s="15">
        <f>IF('StockList_MS2'!A169="","",HYPERLINK("https://kabutan.jp/stock/?code="&amp;'StockList_MS2'!A169,"株探"))</f>
        <v/>
      </c>
      <c r="C170" s="14">
        <f>IF('StockList_MS2'!A169="","",'StockList_MS2'!A169)</f>
        <v/>
      </c>
      <c r="D170" s="16">
        <f>IF('StockList_MS2'!A169="","",'StockList_MS2'!B169)</f>
        <v/>
      </c>
      <c r="E170" s="17" t="n"/>
      <c r="F170" s="17" t="n"/>
      <c r="G170" s="17" t="n"/>
      <c r="H170" s="17" t="n"/>
      <c r="I170" s="18" t="n"/>
      <c r="J170" s="17" t="n"/>
      <c r="K170" s="17" t="n"/>
      <c r="L170" s="17" t="n"/>
      <c r="M170" s="14">
        <f>IF(E170="","",IF(E170&gt;L170,"BUY-DAY","SELL-DAY"))</f>
        <v/>
      </c>
      <c r="N170" s="19">
        <f>IF(E170="","",MAX(F170-G170,ABS(F170-L170),ABS(G170-L170)))</f>
        <v/>
      </c>
      <c r="O170" s="14">
        <f>IF(E170="","",IF(AND(I170&gt;0,I170&gt;(I170/3)*2.5),"VOL-OK","VOL-NG"))</f>
        <v/>
      </c>
      <c r="P170" s="14">
        <f>IF(E170="","",IF(E170&gt;J170,"ON","OFF"))</f>
        <v/>
      </c>
      <c r="Q170" s="14">
        <f>IF(E170="","",IF(E170&lt;K170,"ON","OFF"))</f>
        <v/>
      </c>
      <c r="R170" s="14">
        <f>IF(OR(E170="",N170&lt;=0),"",IF(AND(M170="BUY-DAY",O170="VOL-OK",Q170="ON",AA170="OK",AB170&lt;&gt;"DOWN"),"BUY",IF(AND(M170="SELL-DAY",O170="VOL-OK",P170="ON",AA170="OK",AB170&lt;&gt;"UP"),"SELL","")))</f>
        <v/>
      </c>
      <c r="S170" s="19">
        <f>IF(R170="","",E170)</f>
        <v/>
      </c>
      <c r="T170" s="19">
        <f>IF(R170="","",IF(R170="BUY",E170-N170*1.5,E170+N170*1.5))</f>
        <v/>
      </c>
      <c r="U170" s="19">
        <f>IF(R170="","",IF(R170="BUY",E170+N170*1.5,E170-N170*1.5))</f>
        <v/>
      </c>
      <c r="V170" s="19">
        <f>IF(R170="","",IF(R170="BUY",E170+N170*2,E170-N170*2))</f>
        <v/>
      </c>
      <c r="W170" s="19">
        <f>IF(R170="","",IF(R170="BUY",E170+N170*3,E170-N170*3))</f>
        <v/>
      </c>
      <c r="X170" s="14">
        <f>IF(OR(E170="",N170&lt;=0),"",IF(AND(E170&gt;H170,ABS(E170-H170)&lt;N170*0.5),"2ND","1ST"))</f>
        <v/>
      </c>
      <c r="Y170" s="14">
        <f>IF(OR(E170="",N170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70" s="14">
        <f>IF(OR(E170="",N170&lt;=0),"",IF(N170&gt;E170*0.05,"VOL-HIGH","VOL-NORMAL"))</f>
        <v/>
      </c>
      <c r="AA170" s="14">
        <f>IF(OR(E170="",N170&lt;=0),"",IF(AND(O170="VOL-OK",Z170="VOL-NORMAL",X170="2ND"),"OK","NG"))</f>
        <v/>
      </c>
      <c r="AB170" s="14">
        <f>IF(OR(E170="",N170&lt;=0),"",IF(AND(F170&gt;J170,G170&gt;K170),"UP",IF(AND(F170&lt;J170,G170&lt;K170),"DOWN","FLAT")))</f>
        <v/>
      </c>
    </row>
    <row r="171" ht="26" customHeight="1" s="1">
      <c r="A171" s="8">
        <f>IF(C171="","",ROW()-2)</f>
        <v/>
      </c>
      <c r="B171" s="9">
        <f>IF('StockList_MS2'!A170="","",HYPERLINK("https://kabutan.jp/stock/?code="&amp;'StockList_MS2'!A170,"株探"))</f>
        <v/>
      </c>
      <c r="C171" s="8">
        <f>IF('StockList_MS2'!A170="","",'StockList_MS2'!A170)</f>
        <v/>
      </c>
      <c r="D171" s="10">
        <f>IF('StockList_MS2'!A170="","",'StockList_MS2'!B170)</f>
        <v/>
      </c>
      <c r="E171" s="11" t="n"/>
      <c r="F171" s="11" t="n"/>
      <c r="G171" s="11" t="n"/>
      <c r="H171" s="11" t="n"/>
      <c r="I171" s="12" t="n"/>
      <c r="J171" s="11" t="n"/>
      <c r="K171" s="11" t="n"/>
      <c r="L171" s="11" t="n"/>
      <c r="M171" s="8">
        <f>IF(E171="","",IF(E171&gt;L171,"BUY-DAY","SELL-DAY"))</f>
        <v/>
      </c>
      <c r="N171" s="13">
        <f>IF(E171="","",MAX(F171-G171,ABS(F171-L171),ABS(G171-L171)))</f>
        <v/>
      </c>
      <c r="O171" s="8">
        <f>IF(E171="","",IF(AND(I171&gt;0,I171&gt;(I171/3)*2.5),"VOL-OK","VOL-NG"))</f>
        <v/>
      </c>
      <c r="P171" s="8">
        <f>IF(E171="","",IF(E171&gt;J171,"ON","OFF"))</f>
        <v/>
      </c>
      <c r="Q171" s="8">
        <f>IF(E171="","",IF(E171&lt;K171,"ON","OFF"))</f>
        <v/>
      </c>
      <c r="R171" s="8">
        <f>IF(OR(E171="",N171&lt;=0),"",IF(AND(M171="BUY-DAY",O171="VOL-OK",Q171="ON",AA171="OK",AB171&lt;&gt;"DOWN"),"BUY",IF(AND(M171="SELL-DAY",O171="VOL-OK",P171="ON",AA171="OK",AB171&lt;&gt;"UP"),"SELL","")))</f>
        <v/>
      </c>
      <c r="S171" s="13">
        <f>IF(R171="","",E171)</f>
        <v/>
      </c>
      <c r="T171" s="13">
        <f>IF(R171="","",IF(R171="BUY",E171-N171*1.5,E171+N171*1.5))</f>
        <v/>
      </c>
      <c r="U171" s="13">
        <f>IF(R171="","",IF(R171="BUY",E171+N171*1.5,E171-N171*1.5))</f>
        <v/>
      </c>
      <c r="V171" s="13">
        <f>IF(R171="","",IF(R171="BUY",E171+N171*2,E171-N171*2))</f>
        <v/>
      </c>
      <c r="W171" s="13">
        <f>IF(R171="","",IF(R171="BUY",E171+N171*3,E171-N171*3))</f>
        <v/>
      </c>
      <c r="X171" s="8">
        <f>IF(OR(E171="",N171&lt;=0),"",IF(AND(E171&gt;H171,ABS(E171-H171)&lt;N171*0.5),"2ND","1ST"))</f>
        <v/>
      </c>
      <c r="Y171" s="8">
        <f>IF(OR(E171="",N171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71" s="8">
        <f>IF(OR(E171="",N171&lt;=0),"",IF(N171&gt;E171*0.05,"VOL-HIGH","VOL-NORMAL"))</f>
        <v/>
      </c>
      <c r="AA171" s="8">
        <f>IF(OR(E171="",N171&lt;=0),"",IF(AND(O171="VOL-OK",Z171="VOL-NORMAL",X171="2ND"),"OK","NG"))</f>
        <v/>
      </c>
      <c r="AB171" s="8">
        <f>IF(OR(E171="",N171&lt;=0),"",IF(AND(F171&gt;J171,G171&gt;K171),"UP",IF(AND(F171&lt;J171,G171&lt;K171),"DOWN","FLAT")))</f>
        <v/>
      </c>
    </row>
    <row r="172" ht="26" customHeight="1" s="1">
      <c r="A172" s="14">
        <f>IF(C172="","",ROW()-2)</f>
        <v/>
      </c>
      <c r="B172" s="15">
        <f>IF('StockList_MS2'!A171="","",HYPERLINK("https://kabutan.jp/stock/?code="&amp;'StockList_MS2'!A171,"株探"))</f>
        <v/>
      </c>
      <c r="C172" s="14">
        <f>IF('StockList_MS2'!A171="","",'StockList_MS2'!A171)</f>
        <v/>
      </c>
      <c r="D172" s="16">
        <f>IF('StockList_MS2'!A171="","",'StockList_MS2'!B171)</f>
        <v/>
      </c>
      <c r="E172" s="17" t="n"/>
      <c r="F172" s="17" t="n"/>
      <c r="G172" s="17" t="n"/>
      <c r="H172" s="17" t="n"/>
      <c r="I172" s="18" t="n"/>
      <c r="J172" s="17" t="n"/>
      <c r="K172" s="17" t="n"/>
      <c r="L172" s="17" t="n"/>
      <c r="M172" s="14">
        <f>IF(E172="","",IF(E172&gt;L172,"BUY-DAY","SELL-DAY"))</f>
        <v/>
      </c>
      <c r="N172" s="19">
        <f>IF(E172="","",MAX(F172-G172,ABS(F172-L172),ABS(G172-L172)))</f>
        <v/>
      </c>
      <c r="O172" s="14">
        <f>IF(E172="","",IF(AND(I172&gt;0,I172&gt;(I172/3)*2.5),"VOL-OK","VOL-NG"))</f>
        <v/>
      </c>
      <c r="P172" s="14">
        <f>IF(E172="","",IF(E172&gt;J172,"ON","OFF"))</f>
        <v/>
      </c>
      <c r="Q172" s="14">
        <f>IF(E172="","",IF(E172&lt;K172,"ON","OFF"))</f>
        <v/>
      </c>
      <c r="R172" s="14">
        <f>IF(OR(E172="",N172&lt;=0),"",IF(AND(M172="BUY-DAY",O172="VOL-OK",Q172="ON",AA172="OK",AB172&lt;&gt;"DOWN"),"BUY",IF(AND(M172="SELL-DAY",O172="VOL-OK",P172="ON",AA172="OK",AB172&lt;&gt;"UP"),"SELL","")))</f>
        <v/>
      </c>
      <c r="S172" s="19">
        <f>IF(R172="","",E172)</f>
        <v/>
      </c>
      <c r="T172" s="19">
        <f>IF(R172="","",IF(R172="BUY",E172-N172*1.5,E172+N172*1.5))</f>
        <v/>
      </c>
      <c r="U172" s="19">
        <f>IF(R172="","",IF(R172="BUY",E172+N172*1.5,E172-N172*1.5))</f>
        <v/>
      </c>
      <c r="V172" s="19">
        <f>IF(R172="","",IF(R172="BUY",E172+N172*2,E172-N172*2))</f>
        <v/>
      </c>
      <c r="W172" s="19">
        <f>IF(R172="","",IF(R172="BUY",E172+N172*3,E172-N172*3))</f>
        <v/>
      </c>
      <c r="X172" s="14">
        <f>IF(OR(E172="",N172&lt;=0),"",IF(AND(E172&gt;H172,ABS(E172-H172)&lt;N172*0.5),"2ND","1ST"))</f>
        <v/>
      </c>
      <c r="Y172" s="14">
        <f>IF(OR(E172="",N172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72" s="14">
        <f>IF(OR(E172="",N172&lt;=0),"",IF(N172&gt;E172*0.05,"VOL-HIGH","VOL-NORMAL"))</f>
        <v/>
      </c>
      <c r="AA172" s="14">
        <f>IF(OR(E172="",N172&lt;=0),"",IF(AND(O172="VOL-OK",Z172="VOL-NORMAL",X172="2ND"),"OK","NG"))</f>
        <v/>
      </c>
      <c r="AB172" s="14">
        <f>IF(OR(E172="",N172&lt;=0),"",IF(AND(F172&gt;J172,G172&gt;K172),"UP",IF(AND(F172&lt;J172,G172&lt;K172),"DOWN","FLAT")))</f>
        <v/>
      </c>
    </row>
    <row r="173" ht="26" customHeight="1" s="1">
      <c r="A173" s="8">
        <f>IF(C173="","",ROW()-2)</f>
        <v/>
      </c>
      <c r="B173" s="9">
        <f>IF('StockList_MS2'!A172="","",HYPERLINK("https://kabutan.jp/stock/?code="&amp;'StockList_MS2'!A172,"株探"))</f>
        <v/>
      </c>
      <c r="C173" s="8">
        <f>IF('StockList_MS2'!A172="","",'StockList_MS2'!A172)</f>
        <v/>
      </c>
      <c r="D173" s="10">
        <f>IF('StockList_MS2'!A172="","",'StockList_MS2'!B172)</f>
        <v/>
      </c>
      <c r="E173" s="11" t="n"/>
      <c r="F173" s="11" t="n"/>
      <c r="G173" s="11" t="n"/>
      <c r="H173" s="11" t="n"/>
      <c r="I173" s="12" t="n"/>
      <c r="J173" s="11" t="n"/>
      <c r="K173" s="11" t="n"/>
      <c r="L173" s="11" t="n"/>
      <c r="M173" s="8">
        <f>IF(E173="","",IF(E173&gt;L173,"BUY-DAY","SELL-DAY"))</f>
        <v/>
      </c>
      <c r="N173" s="13">
        <f>IF(E173="","",MAX(F173-G173,ABS(F173-L173),ABS(G173-L173)))</f>
        <v/>
      </c>
      <c r="O173" s="8">
        <f>IF(E173="","",IF(AND(I173&gt;0,I173&gt;(I173/3)*2.5),"VOL-OK","VOL-NG"))</f>
        <v/>
      </c>
      <c r="P173" s="8">
        <f>IF(E173="","",IF(E173&gt;J173,"ON","OFF"))</f>
        <v/>
      </c>
      <c r="Q173" s="8">
        <f>IF(E173="","",IF(E173&lt;K173,"ON","OFF"))</f>
        <v/>
      </c>
      <c r="R173" s="8">
        <f>IF(OR(E173="",N173&lt;=0),"",IF(AND(M173="BUY-DAY",O173="VOL-OK",Q173="ON",AA173="OK",AB173&lt;&gt;"DOWN"),"BUY",IF(AND(M173="SELL-DAY",O173="VOL-OK",P173="ON",AA173="OK",AB173&lt;&gt;"UP"),"SELL","")))</f>
        <v/>
      </c>
      <c r="S173" s="13">
        <f>IF(R173="","",E173)</f>
        <v/>
      </c>
      <c r="T173" s="13">
        <f>IF(R173="","",IF(R173="BUY",E173-N173*1.5,E173+N173*1.5))</f>
        <v/>
      </c>
      <c r="U173" s="13">
        <f>IF(R173="","",IF(R173="BUY",E173+N173*1.5,E173-N173*1.5))</f>
        <v/>
      </c>
      <c r="V173" s="13">
        <f>IF(R173="","",IF(R173="BUY",E173+N173*2,E173-N173*2))</f>
        <v/>
      </c>
      <c r="W173" s="13">
        <f>IF(R173="","",IF(R173="BUY",E173+N173*3,E173-N173*3))</f>
        <v/>
      </c>
      <c r="X173" s="8">
        <f>IF(OR(E173="",N173&lt;=0),"",IF(AND(E173&gt;H173,ABS(E173-H173)&lt;N173*0.5),"2ND","1ST"))</f>
        <v/>
      </c>
      <c r="Y173" s="8">
        <f>IF(OR(E173="",N173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73" s="8">
        <f>IF(OR(E173="",N173&lt;=0),"",IF(N173&gt;E173*0.05,"VOL-HIGH","VOL-NORMAL"))</f>
        <v/>
      </c>
      <c r="AA173" s="8">
        <f>IF(OR(E173="",N173&lt;=0),"",IF(AND(O173="VOL-OK",Z173="VOL-NORMAL",X173="2ND"),"OK","NG"))</f>
        <v/>
      </c>
      <c r="AB173" s="8">
        <f>IF(OR(E173="",N173&lt;=0),"",IF(AND(F173&gt;J173,G173&gt;K173),"UP",IF(AND(F173&lt;J173,G173&lt;K173),"DOWN","FLAT")))</f>
        <v/>
      </c>
    </row>
    <row r="174" ht="26" customHeight="1" s="1">
      <c r="A174" s="14">
        <f>IF(C174="","",ROW()-2)</f>
        <v/>
      </c>
      <c r="B174" s="15">
        <f>IF('StockList_MS2'!A173="","",HYPERLINK("https://kabutan.jp/stock/?code="&amp;'StockList_MS2'!A173,"株探"))</f>
        <v/>
      </c>
      <c r="C174" s="14">
        <f>IF('StockList_MS2'!A173="","",'StockList_MS2'!A173)</f>
        <v/>
      </c>
      <c r="D174" s="16">
        <f>IF('StockList_MS2'!A173="","",'StockList_MS2'!B173)</f>
        <v/>
      </c>
      <c r="E174" s="17" t="n"/>
      <c r="F174" s="17" t="n"/>
      <c r="G174" s="17" t="n"/>
      <c r="H174" s="17" t="n"/>
      <c r="I174" s="18" t="n"/>
      <c r="J174" s="17" t="n"/>
      <c r="K174" s="17" t="n"/>
      <c r="L174" s="17" t="n"/>
      <c r="M174" s="14">
        <f>IF(E174="","",IF(E174&gt;L174,"BUY-DAY","SELL-DAY"))</f>
        <v/>
      </c>
      <c r="N174" s="19">
        <f>IF(E174="","",MAX(F174-G174,ABS(F174-L174),ABS(G174-L174)))</f>
        <v/>
      </c>
      <c r="O174" s="14">
        <f>IF(E174="","",IF(AND(I174&gt;0,I174&gt;(I174/3)*2.5),"VOL-OK","VOL-NG"))</f>
        <v/>
      </c>
      <c r="P174" s="14">
        <f>IF(E174="","",IF(E174&gt;J174,"ON","OFF"))</f>
        <v/>
      </c>
      <c r="Q174" s="14">
        <f>IF(E174="","",IF(E174&lt;K174,"ON","OFF"))</f>
        <v/>
      </c>
      <c r="R174" s="14">
        <f>IF(OR(E174="",N174&lt;=0),"",IF(AND(M174="BUY-DAY",O174="VOL-OK",Q174="ON",AA174="OK",AB174&lt;&gt;"DOWN"),"BUY",IF(AND(M174="SELL-DAY",O174="VOL-OK",P174="ON",AA174="OK",AB174&lt;&gt;"UP"),"SELL","")))</f>
        <v/>
      </c>
      <c r="S174" s="19">
        <f>IF(R174="","",E174)</f>
        <v/>
      </c>
      <c r="T174" s="19">
        <f>IF(R174="","",IF(R174="BUY",E174-N174*1.5,E174+N174*1.5))</f>
        <v/>
      </c>
      <c r="U174" s="19">
        <f>IF(R174="","",IF(R174="BUY",E174+N174*1.5,E174-N174*1.5))</f>
        <v/>
      </c>
      <c r="V174" s="19">
        <f>IF(R174="","",IF(R174="BUY",E174+N174*2,E174-N174*2))</f>
        <v/>
      </c>
      <c r="W174" s="19">
        <f>IF(R174="","",IF(R174="BUY",E174+N174*3,E174-N174*3))</f>
        <v/>
      </c>
      <c r="X174" s="14">
        <f>IF(OR(E174="",N174&lt;=0),"",IF(AND(E174&gt;H174,ABS(E174-H174)&lt;N174*0.5),"2ND","1ST"))</f>
        <v/>
      </c>
      <c r="Y174" s="14">
        <f>IF(OR(E174="",N174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74" s="14">
        <f>IF(OR(E174="",N174&lt;=0),"",IF(N174&gt;E174*0.05,"VOL-HIGH","VOL-NORMAL"))</f>
        <v/>
      </c>
      <c r="AA174" s="14">
        <f>IF(OR(E174="",N174&lt;=0),"",IF(AND(O174="VOL-OK",Z174="VOL-NORMAL",X174="2ND"),"OK","NG"))</f>
        <v/>
      </c>
      <c r="AB174" s="14">
        <f>IF(OR(E174="",N174&lt;=0),"",IF(AND(F174&gt;J174,G174&gt;K174),"UP",IF(AND(F174&lt;J174,G174&lt;K174),"DOWN","FLAT")))</f>
        <v/>
      </c>
    </row>
    <row r="175" ht="26" customHeight="1" s="1">
      <c r="A175" s="8">
        <f>IF(C175="","",ROW()-2)</f>
        <v/>
      </c>
      <c r="B175" s="9">
        <f>IF('StockList_MS2'!A174="","",HYPERLINK("https://kabutan.jp/stock/?code="&amp;'StockList_MS2'!A174,"株探"))</f>
        <v/>
      </c>
      <c r="C175" s="8">
        <f>IF('StockList_MS2'!A174="","",'StockList_MS2'!A174)</f>
        <v/>
      </c>
      <c r="D175" s="10">
        <f>IF('StockList_MS2'!A174="","",'StockList_MS2'!B174)</f>
        <v/>
      </c>
      <c r="E175" s="11" t="n"/>
      <c r="F175" s="11" t="n"/>
      <c r="G175" s="11" t="n"/>
      <c r="H175" s="11" t="n"/>
      <c r="I175" s="12" t="n"/>
      <c r="J175" s="11" t="n"/>
      <c r="K175" s="11" t="n"/>
      <c r="L175" s="11" t="n"/>
      <c r="M175" s="8">
        <f>IF(E175="","",IF(E175&gt;L175,"BUY-DAY","SELL-DAY"))</f>
        <v/>
      </c>
      <c r="N175" s="13">
        <f>IF(E175="","",MAX(F175-G175,ABS(F175-L175),ABS(G175-L175)))</f>
        <v/>
      </c>
      <c r="O175" s="8">
        <f>IF(E175="","",IF(AND(I175&gt;0,I175&gt;(I175/3)*2.5),"VOL-OK","VOL-NG"))</f>
        <v/>
      </c>
      <c r="P175" s="8">
        <f>IF(E175="","",IF(E175&gt;J175,"ON","OFF"))</f>
        <v/>
      </c>
      <c r="Q175" s="8">
        <f>IF(E175="","",IF(E175&lt;K175,"ON","OFF"))</f>
        <v/>
      </c>
      <c r="R175" s="8">
        <f>IF(OR(E175="",N175&lt;=0),"",IF(AND(M175="BUY-DAY",O175="VOL-OK",Q175="ON",AA175="OK",AB175&lt;&gt;"DOWN"),"BUY",IF(AND(M175="SELL-DAY",O175="VOL-OK",P175="ON",AA175="OK",AB175&lt;&gt;"UP"),"SELL","")))</f>
        <v/>
      </c>
      <c r="S175" s="13">
        <f>IF(R175="","",E175)</f>
        <v/>
      </c>
      <c r="T175" s="13">
        <f>IF(R175="","",IF(R175="BUY",E175-N175*1.5,E175+N175*1.5))</f>
        <v/>
      </c>
      <c r="U175" s="13">
        <f>IF(R175="","",IF(R175="BUY",E175+N175*1.5,E175-N175*1.5))</f>
        <v/>
      </c>
      <c r="V175" s="13">
        <f>IF(R175="","",IF(R175="BUY",E175+N175*2,E175-N175*2))</f>
        <v/>
      </c>
      <c r="W175" s="13">
        <f>IF(R175="","",IF(R175="BUY",E175+N175*3,E175-N175*3))</f>
        <v/>
      </c>
      <c r="X175" s="8">
        <f>IF(OR(E175="",N175&lt;=0),"",IF(AND(E175&gt;H175,ABS(E175-H175)&lt;N175*0.5),"2ND","1ST"))</f>
        <v/>
      </c>
      <c r="Y175" s="8">
        <f>IF(OR(E175="",N175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75" s="8">
        <f>IF(OR(E175="",N175&lt;=0),"",IF(N175&gt;E175*0.05,"VOL-HIGH","VOL-NORMAL"))</f>
        <v/>
      </c>
      <c r="AA175" s="8">
        <f>IF(OR(E175="",N175&lt;=0),"",IF(AND(O175="VOL-OK",Z175="VOL-NORMAL",X175="2ND"),"OK","NG"))</f>
        <v/>
      </c>
      <c r="AB175" s="8">
        <f>IF(OR(E175="",N175&lt;=0),"",IF(AND(F175&gt;J175,G175&gt;K175),"UP",IF(AND(F175&lt;J175,G175&lt;K175),"DOWN","FLAT")))</f>
        <v/>
      </c>
    </row>
    <row r="176" ht="26" customHeight="1" s="1">
      <c r="A176" s="14">
        <f>IF(C176="","",ROW()-2)</f>
        <v/>
      </c>
      <c r="B176" s="15">
        <f>IF('StockList_MS2'!A175="","",HYPERLINK("https://kabutan.jp/stock/?code="&amp;'StockList_MS2'!A175,"株探"))</f>
        <v/>
      </c>
      <c r="C176" s="14">
        <f>IF('StockList_MS2'!A175="","",'StockList_MS2'!A175)</f>
        <v/>
      </c>
      <c r="D176" s="16">
        <f>IF('StockList_MS2'!A175="","",'StockList_MS2'!B175)</f>
        <v/>
      </c>
      <c r="E176" s="17" t="n"/>
      <c r="F176" s="17" t="n"/>
      <c r="G176" s="17" t="n"/>
      <c r="H176" s="17" t="n"/>
      <c r="I176" s="18" t="n"/>
      <c r="J176" s="17" t="n"/>
      <c r="K176" s="17" t="n"/>
      <c r="L176" s="17" t="n"/>
      <c r="M176" s="14">
        <f>IF(E176="","",IF(E176&gt;L176,"BUY-DAY","SELL-DAY"))</f>
        <v/>
      </c>
      <c r="N176" s="19">
        <f>IF(E176="","",MAX(F176-G176,ABS(F176-L176),ABS(G176-L176)))</f>
        <v/>
      </c>
      <c r="O176" s="14">
        <f>IF(E176="","",IF(AND(I176&gt;0,I176&gt;(I176/3)*2.5),"VOL-OK","VOL-NG"))</f>
        <v/>
      </c>
      <c r="P176" s="14">
        <f>IF(E176="","",IF(E176&gt;J176,"ON","OFF"))</f>
        <v/>
      </c>
      <c r="Q176" s="14">
        <f>IF(E176="","",IF(E176&lt;K176,"ON","OFF"))</f>
        <v/>
      </c>
      <c r="R176" s="14">
        <f>IF(OR(E176="",N176&lt;=0),"",IF(AND(M176="BUY-DAY",O176="VOL-OK",Q176="ON",AA176="OK",AB176&lt;&gt;"DOWN"),"BUY",IF(AND(M176="SELL-DAY",O176="VOL-OK",P176="ON",AA176="OK",AB176&lt;&gt;"UP"),"SELL","")))</f>
        <v/>
      </c>
      <c r="S176" s="19">
        <f>IF(R176="","",E176)</f>
        <v/>
      </c>
      <c r="T176" s="19">
        <f>IF(R176="","",IF(R176="BUY",E176-N176*1.5,E176+N176*1.5))</f>
        <v/>
      </c>
      <c r="U176" s="19">
        <f>IF(R176="","",IF(R176="BUY",E176+N176*1.5,E176-N176*1.5))</f>
        <v/>
      </c>
      <c r="V176" s="19">
        <f>IF(R176="","",IF(R176="BUY",E176+N176*2,E176-N176*2))</f>
        <v/>
      </c>
      <c r="W176" s="19">
        <f>IF(R176="","",IF(R176="BUY",E176+N176*3,E176-N176*3))</f>
        <v/>
      </c>
      <c r="X176" s="14">
        <f>IF(OR(E176="",N176&lt;=0),"",IF(AND(E176&gt;H176,ABS(E176-H176)&lt;N176*0.5),"2ND","1ST"))</f>
        <v/>
      </c>
      <c r="Y176" s="14">
        <f>IF(OR(E176="",N176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76" s="14">
        <f>IF(OR(E176="",N176&lt;=0),"",IF(N176&gt;E176*0.05,"VOL-HIGH","VOL-NORMAL"))</f>
        <v/>
      </c>
      <c r="AA176" s="14">
        <f>IF(OR(E176="",N176&lt;=0),"",IF(AND(O176="VOL-OK",Z176="VOL-NORMAL",X176="2ND"),"OK","NG"))</f>
        <v/>
      </c>
      <c r="AB176" s="14">
        <f>IF(OR(E176="",N176&lt;=0),"",IF(AND(F176&gt;J176,G176&gt;K176),"UP",IF(AND(F176&lt;J176,G176&lt;K176),"DOWN","FLAT")))</f>
        <v/>
      </c>
    </row>
    <row r="177" ht="26" customHeight="1" s="1">
      <c r="A177" s="8">
        <f>IF(C177="","",ROW()-2)</f>
        <v/>
      </c>
      <c r="B177" s="9">
        <f>IF('StockList_MS2'!A176="","",HYPERLINK("https://kabutan.jp/stock/?code="&amp;'StockList_MS2'!A176,"株探"))</f>
        <v/>
      </c>
      <c r="C177" s="8">
        <f>IF('StockList_MS2'!A176="","",'StockList_MS2'!A176)</f>
        <v/>
      </c>
      <c r="D177" s="10">
        <f>IF('StockList_MS2'!A176="","",'StockList_MS2'!B176)</f>
        <v/>
      </c>
      <c r="E177" s="11" t="n"/>
      <c r="F177" s="11" t="n"/>
      <c r="G177" s="11" t="n"/>
      <c r="H177" s="11" t="n"/>
      <c r="I177" s="12" t="n"/>
      <c r="J177" s="11" t="n"/>
      <c r="K177" s="11" t="n"/>
      <c r="L177" s="11" t="n"/>
      <c r="M177" s="8">
        <f>IF(E177="","",IF(E177&gt;L177,"BUY-DAY","SELL-DAY"))</f>
        <v/>
      </c>
      <c r="N177" s="13">
        <f>IF(E177="","",MAX(F177-G177,ABS(F177-L177),ABS(G177-L177)))</f>
        <v/>
      </c>
      <c r="O177" s="8">
        <f>IF(E177="","",IF(AND(I177&gt;0,I177&gt;(I177/3)*2.5),"VOL-OK","VOL-NG"))</f>
        <v/>
      </c>
      <c r="P177" s="8">
        <f>IF(E177="","",IF(E177&gt;J177,"ON","OFF"))</f>
        <v/>
      </c>
      <c r="Q177" s="8">
        <f>IF(E177="","",IF(E177&lt;K177,"ON","OFF"))</f>
        <v/>
      </c>
      <c r="R177" s="8">
        <f>IF(OR(E177="",N177&lt;=0),"",IF(AND(M177="BUY-DAY",O177="VOL-OK",Q177="ON",AA177="OK",AB177&lt;&gt;"DOWN"),"BUY",IF(AND(M177="SELL-DAY",O177="VOL-OK",P177="ON",AA177="OK",AB177&lt;&gt;"UP"),"SELL","")))</f>
        <v/>
      </c>
      <c r="S177" s="13">
        <f>IF(R177="","",E177)</f>
        <v/>
      </c>
      <c r="T177" s="13">
        <f>IF(R177="","",IF(R177="BUY",E177-N177*1.5,E177+N177*1.5))</f>
        <v/>
      </c>
      <c r="U177" s="13">
        <f>IF(R177="","",IF(R177="BUY",E177+N177*1.5,E177-N177*1.5))</f>
        <v/>
      </c>
      <c r="V177" s="13">
        <f>IF(R177="","",IF(R177="BUY",E177+N177*2,E177-N177*2))</f>
        <v/>
      </c>
      <c r="W177" s="13">
        <f>IF(R177="","",IF(R177="BUY",E177+N177*3,E177-N177*3))</f>
        <v/>
      </c>
      <c r="X177" s="8">
        <f>IF(OR(E177="",N177&lt;=0),"",IF(AND(E177&gt;H177,ABS(E177-H177)&lt;N177*0.5),"2ND","1ST"))</f>
        <v/>
      </c>
      <c r="Y177" s="8">
        <f>IF(OR(E177="",N177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77" s="8">
        <f>IF(OR(E177="",N177&lt;=0),"",IF(N177&gt;E177*0.05,"VOL-HIGH","VOL-NORMAL"))</f>
        <v/>
      </c>
      <c r="AA177" s="8">
        <f>IF(OR(E177="",N177&lt;=0),"",IF(AND(O177="VOL-OK",Z177="VOL-NORMAL",X177="2ND"),"OK","NG"))</f>
        <v/>
      </c>
      <c r="AB177" s="8">
        <f>IF(OR(E177="",N177&lt;=0),"",IF(AND(F177&gt;J177,G177&gt;K177),"UP",IF(AND(F177&lt;J177,G177&lt;K177),"DOWN","FLAT")))</f>
        <v/>
      </c>
    </row>
    <row r="178" ht="26" customHeight="1" s="1">
      <c r="A178" s="14">
        <f>IF(C178="","",ROW()-2)</f>
        <v/>
      </c>
      <c r="B178" s="15">
        <f>IF('StockList_MS2'!A177="","",HYPERLINK("https://kabutan.jp/stock/?code="&amp;'StockList_MS2'!A177,"株探"))</f>
        <v/>
      </c>
      <c r="C178" s="14">
        <f>IF('StockList_MS2'!A177="","",'StockList_MS2'!A177)</f>
        <v/>
      </c>
      <c r="D178" s="16">
        <f>IF('StockList_MS2'!A177="","",'StockList_MS2'!B177)</f>
        <v/>
      </c>
      <c r="E178" s="17" t="n"/>
      <c r="F178" s="17" t="n"/>
      <c r="G178" s="17" t="n"/>
      <c r="H178" s="17" t="n"/>
      <c r="I178" s="18" t="n"/>
      <c r="J178" s="17" t="n"/>
      <c r="K178" s="17" t="n"/>
      <c r="L178" s="17" t="n"/>
      <c r="M178" s="14">
        <f>IF(E178="","",IF(E178&gt;L178,"BUY-DAY","SELL-DAY"))</f>
        <v/>
      </c>
      <c r="N178" s="19">
        <f>IF(E178="","",MAX(F178-G178,ABS(F178-L178),ABS(G178-L178)))</f>
        <v/>
      </c>
      <c r="O178" s="14">
        <f>IF(E178="","",IF(AND(I178&gt;0,I178&gt;(I178/3)*2.5),"VOL-OK","VOL-NG"))</f>
        <v/>
      </c>
      <c r="P178" s="14">
        <f>IF(E178="","",IF(E178&gt;J178,"ON","OFF"))</f>
        <v/>
      </c>
      <c r="Q178" s="14">
        <f>IF(E178="","",IF(E178&lt;K178,"ON","OFF"))</f>
        <v/>
      </c>
      <c r="R178" s="14">
        <f>IF(OR(E178="",N178&lt;=0),"",IF(AND(M178="BUY-DAY",O178="VOL-OK",Q178="ON",AA178="OK",AB178&lt;&gt;"DOWN"),"BUY",IF(AND(M178="SELL-DAY",O178="VOL-OK",P178="ON",AA178="OK",AB178&lt;&gt;"UP"),"SELL","")))</f>
        <v/>
      </c>
      <c r="S178" s="19">
        <f>IF(R178="","",E178)</f>
        <v/>
      </c>
      <c r="T178" s="19">
        <f>IF(R178="","",IF(R178="BUY",E178-N178*1.5,E178+N178*1.5))</f>
        <v/>
      </c>
      <c r="U178" s="19">
        <f>IF(R178="","",IF(R178="BUY",E178+N178*1.5,E178-N178*1.5))</f>
        <v/>
      </c>
      <c r="V178" s="19">
        <f>IF(R178="","",IF(R178="BUY",E178+N178*2,E178-N178*2))</f>
        <v/>
      </c>
      <c r="W178" s="19">
        <f>IF(R178="","",IF(R178="BUY",E178+N178*3,E178-N178*3))</f>
        <v/>
      </c>
      <c r="X178" s="14">
        <f>IF(OR(E178="",N178&lt;=0),"",IF(AND(E178&gt;H178,ABS(E178-H178)&lt;N178*0.5),"2ND","1ST"))</f>
        <v/>
      </c>
      <c r="Y178" s="14">
        <f>IF(OR(E178="",N178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78" s="14">
        <f>IF(OR(E178="",N178&lt;=0),"",IF(N178&gt;E178*0.05,"VOL-HIGH","VOL-NORMAL"))</f>
        <v/>
      </c>
      <c r="AA178" s="14">
        <f>IF(OR(E178="",N178&lt;=0),"",IF(AND(O178="VOL-OK",Z178="VOL-NORMAL",X178="2ND"),"OK","NG"))</f>
        <v/>
      </c>
      <c r="AB178" s="14">
        <f>IF(OR(E178="",N178&lt;=0),"",IF(AND(F178&gt;J178,G178&gt;K178),"UP",IF(AND(F178&lt;J178,G178&lt;K178),"DOWN","FLAT")))</f>
        <v/>
      </c>
    </row>
    <row r="179" ht="26" customHeight="1" s="1">
      <c r="A179" s="8">
        <f>IF(C179="","",ROW()-2)</f>
        <v/>
      </c>
      <c r="B179" s="9">
        <f>IF('StockList_MS2'!A178="","",HYPERLINK("https://kabutan.jp/stock/?code="&amp;'StockList_MS2'!A178,"株探"))</f>
        <v/>
      </c>
      <c r="C179" s="8">
        <f>IF('StockList_MS2'!A178="","",'StockList_MS2'!A178)</f>
        <v/>
      </c>
      <c r="D179" s="10">
        <f>IF('StockList_MS2'!A178="","",'StockList_MS2'!B178)</f>
        <v/>
      </c>
      <c r="E179" s="11" t="n"/>
      <c r="F179" s="11" t="n"/>
      <c r="G179" s="11" t="n"/>
      <c r="H179" s="11" t="n"/>
      <c r="I179" s="12" t="n"/>
      <c r="J179" s="11" t="n"/>
      <c r="K179" s="11" t="n"/>
      <c r="L179" s="11" t="n"/>
      <c r="M179" s="8">
        <f>IF(E179="","",IF(E179&gt;L179,"BUY-DAY","SELL-DAY"))</f>
        <v/>
      </c>
      <c r="N179" s="13">
        <f>IF(E179="","",MAX(F179-G179,ABS(F179-L179),ABS(G179-L179)))</f>
        <v/>
      </c>
      <c r="O179" s="8">
        <f>IF(E179="","",IF(AND(I179&gt;0,I179&gt;(I179/3)*2.5),"VOL-OK","VOL-NG"))</f>
        <v/>
      </c>
      <c r="P179" s="8">
        <f>IF(E179="","",IF(E179&gt;J179,"ON","OFF"))</f>
        <v/>
      </c>
      <c r="Q179" s="8">
        <f>IF(E179="","",IF(E179&lt;K179,"ON","OFF"))</f>
        <v/>
      </c>
      <c r="R179" s="8">
        <f>IF(OR(E179="",N179&lt;=0),"",IF(AND(M179="BUY-DAY",O179="VOL-OK",Q179="ON",AA179="OK",AB179&lt;&gt;"DOWN"),"BUY",IF(AND(M179="SELL-DAY",O179="VOL-OK",P179="ON",AA179="OK",AB179&lt;&gt;"UP"),"SELL","")))</f>
        <v/>
      </c>
      <c r="S179" s="13">
        <f>IF(R179="","",E179)</f>
        <v/>
      </c>
      <c r="T179" s="13">
        <f>IF(R179="","",IF(R179="BUY",E179-N179*1.5,E179+N179*1.5))</f>
        <v/>
      </c>
      <c r="U179" s="13">
        <f>IF(R179="","",IF(R179="BUY",E179+N179*1.5,E179-N179*1.5))</f>
        <v/>
      </c>
      <c r="V179" s="13">
        <f>IF(R179="","",IF(R179="BUY",E179+N179*2,E179-N179*2))</f>
        <v/>
      </c>
      <c r="W179" s="13">
        <f>IF(R179="","",IF(R179="BUY",E179+N179*3,E179-N179*3))</f>
        <v/>
      </c>
      <c r="X179" s="8">
        <f>IF(OR(E179="",N179&lt;=0),"",IF(AND(E179&gt;H179,ABS(E179-H179)&lt;N179*0.5),"2ND","1ST"))</f>
        <v/>
      </c>
      <c r="Y179" s="8">
        <f>IF(OR(E179="",N179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79" s="8">
        <f>IF(OR(E179="",N179&lt;=0),"",IF(N179&gt;E179*0.05,"VOL-HIGH","VOL-NORMAL"))</f>
        <v/>
      </c>
      <c r="AA179" s="8">
        <f>IF(OR(E179="",N179&lt;=0),"",IF(AND(O179="VOL-OK",Z179="VOL-NORMAL",X179="2ND"),"OK","NG"))</f>
        <v/>
      </c>
      <c r="AB179" s="8">
        <f>IF(OR(E179="",N179&lt;=0),"",IF(AND(F179&gt;J179,G179&gt;K179),"UP",IF(AND(F179&lt;J179,G179&lt;K179),"DOWN","FLAT")))</f>
        <v/>
      </c>
    </row>
    <row r="180" ht="26" customHeight="1" s="1">
      <c r="A180" s="14">
        <f>IF(C180="","",ROW()-2)</f>
        <v/>
      </c>
      <c r="B180" s="15">
        <f>IF('StockList_MS2'!A179="","",HYPERLINK("https://kabutan.jp/stock/?code="&amp;'StockList_MS2'!A179,"株探"))</f>
        <v/>
      </c>
      <c r="C180" s="14">
        <f>IF('StockList_MS2'!A179="","",'StockList_MS2'!A179)</f>
        <v/>
      </c>
      <c r="D180" s="16">
        <f>IF('StockList_MS2'!A179="","",'StockList_MS2'!B179)</f>
        <v/>
      </c>
      <c r="E180" s="17" t="n"/>
      <c r="F180" s="17" t="n"/>
      <c r="G180" s="17" t="n"/>
      <c r="H180" s="17" t="n"/>
      <c r="I180" s="18" t="n"/>
      <c r="J180" s="17" t="n"/>
      <c r="K180" s="17" t="n"/>
      <c r="L180" s="17" t="n"/>
      <c r="M180" s="14">
        <f>IF(E180="","",IF(E180&gt;L180,"BUY-DAY","SELL-DAY"))</f>
        <v/>
      </c>
      <c r="N180" s="19">
        <f>IF(E180="","",MAX(F180-G180,ABS(F180-L180),ABS(G180-L180)))</f>
        <v/>
      </c>
      <c r="O180" s="14">
        <f>IF(E180="","",IF(AND(I180&gt;0,I180&gt;(I180/3)*2.5),"VOL-OK","VOL-NG"))</f>
        <v/>
      </c>
      <c r="P180" s="14">
        <f>IF(E180="","",IF(E180&gt;J180,"ON","OFF"))</f>
        <v/>
      </c>
      <c r="Q180" s="14">
        <f>IF(E180="","",IF(E180&lt;K180,"ON","OFF"))</f>
        <v/>
      </c>
      <c r="R180" s="14">
        <f>IF(OR(E180="",N180&lt;=0),"",IF(AND(M180="BUY-DAY",O180="VOL-OK",Q180="ON",AA180="OK",AB180&lt;&gt;"DOWN"),"BUY",IF(AND(M180="SELL-DAY",O180="VOL-OK",P180="ON",AA180="OK",AB180&lt;&gt;"UP"),"SELL","")))</f>
        <v/>
      </c>
      <c r="S180" s="19">
        <f>IF(R180="","",E180)</f>
        <v/>
      </c>
      <c r="T180" s="19">
        <f>IF(R180="","",IF(R180="BUY",E180-N180*1.5,E180+N180*1.5))</f>
        <v/>
      </c>
      <c r="U180" s="19">
        <f>IF(R180="","",IF(R180="BUY",E180+N180*1.5,E180-N180*1.5))</f>
        <v/>
      </c>
      <c r="V180" s="19">
        <f>IF(R180="","",IF(R180="BUY",E180+N180*2,E180-N180*2))</f>
        <v/>
      </c>
      <c r="W180" s="19">
        <f>IF(R180="","",IF(R180="BUY",E180+N180*3,E180-N180*3))</f>
        <v/>
      </c>
      <c r="X180" s="14">
        <f>IF(OR(E180="",N180&lt;=0),"",IF(AND(E180&gt;H180,ABS(E180-H180)&lt;N180*0.5),"2ND","1ST"))</f>
        <v/>
      </c>
      <c r="Y180" s="14">
        <f>IF(OR(E180="",N180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80" s="14">
        <f>IF(OR(E180="",N180&lt;=0),"",IF(N180&gt;E180*0.05,"VOL-HIGH","VOL-NORMAL"))</f>
        <v/>
      </c>
      <c r="AA180" s="14">
        <f>IF(OR(E180="",N180&lt;=0),"",IF(AND(O180="VOL-OK",Z180="VOL-NORMAL",X180="2ND"),"OK","NG"))</f>
        <v/>
      </c>
      <c r="AB180" s="14">
        <f>IF(OR(E180="",N180&lt;=0),"",IF(AND(F180&gt;J180,G180&gt;K180),"UP",IF(AND(F180&lt;J180,G180&lt;K180),"DOWN","FLAT")))</f>
        <v/>
      </c>
    </row>
    <row r="181" ht="26" customHeight="1" s="1">
      <c r="A181" s="8">
        <f>IF(C181="","",ROW()-2)</f>
        <v/>
      </c>
      <c r="B181" s="9">
        <f>IF('StockList_MS2'!A180="","",HYPERLINK("https://kabutan.jp/stock/?code="&amp;'StockList_MS2'!A180,"株探"))</f>
        <v/>
      </c>
      <c r="C181" s="8">
        <f>IF('StockList_MS2'!A180="","",'StockList_MS2'!A180)</f>
        <v/>
      </c>
      <c r="D181" s="10">
        <f>IF('StockList_MS2'!A180="","",'StockList_MS2'!B180)</f>
        <v/>
      </c>
      <c r="E181" s="11" t="n"/>
      <c r="F181" s="11" t="n"/>
      <c r="G181" s="11" t="n"/>
      <c r="H181" s="11" t="n"/>
      <c r="I181" s="12" t="n"/>
      <c r="J181" s="11" t="n"/>
      <c r="K181" s="11" t="n"/>
      <c r="L181" s="11" t="n"/>
      <c r="M181" s="8">
        <f>IF(E181="","",IF(E181&gt;L181,"BUY-DAY","SELL-DAY"))</f>
        <v/>
      </c>
      <c r="N181" s="13">
        <f>IF(E181="","",MAX(F181-G181,ABS(F181-L181),ABS(G181-L181)))</f>
        <v/>
      </c>
      <c r="O181" s="8">
        <f>IF(E181="","",IF(AND(I181&gt;0,I181&gt;(I181/3)*2.5),"VOL-OK","VOL-NG"))</f>
        <v/>
      </c>
      <c r="P181" s="8">
        <f>IF(E181="","",IF(E181&gt;J181,"ON","OFF"))</f>
        <v/>
      </c>
      <c r="Q181" s="8">
        <f>IF(E181="","",IF(E181&lt;K181,"ON","OFF"))</f>
        <v/>
      </c>
      <c r="R181" s="8">
        <f>IF(OR(E181="",N181&lt;=0),"",IF(AND(M181="BUY-DAY",O181="VOL-OK",Q181="ON",AA181="OK",AB181&lt;&gt;"DOWN"),"BUY",IF(AND(M181="SELL-DAY",O181="VOL-OK",P181="ON",AA181="OK",AB181&lt;&gt;"UP"),"SELL","")))</f>
        <v/>
      </c>
      <c r="S181" s="13">
        <f>IF(R181="","",E181)</f>
        <v/>
      </c>
      <c r="T181" s="13">
        <f>IF(R181="","",IF(R181="BUY",E181-N181*1.5,E181+N181*1.5))</f>
        <v/>
      </c>
      <c r="U181" s="13">
        <f>IF(R181="","",IF(R181="BUY",E181+N181*1.5,E181-N181*1.5))</f>
        <v/>
      </c>
      <c r="V181" s="13">
        <f>IF(R181="","",IF(R181="BUY",E181+N181*2,E181-N181*2))</f>
        <v/>
      </c>
      <c r="W181" s="13">
        <f>IF(R181="","",IF(R181="BUY",E181+N181*3,E181-N181*3))</f>
        <v/>
      </c>
      <c r="X181" s="8">
        <f>IF(OR(E181="",N181&lt;=0),"",IF(AND(E181&gt;H181,ABS(E181-H181)&lt;N181*0.5),"2ND","1ST"))</f>
        <v/>
      </c>
      <c r="Y181" s="8">
        <f>IF(OR(E181="",N181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81" s="8">
        <f>IF(OR(E181="",N181&lt;=0),"",IF(N181&gt;E181*0.05,"VOL-HIGH","VOL-NORMAL"))</f>
        <v/>
      </c>
      <c r="AA181" s="8">
        <f>IF(OR(E181="",N181&lt;=0),"",IF(AND(O181="VOL-OK",Z181="VOL-NORMAL",X181="2ND"),"OK","NG"))</f>
        <v/>
      </c>
      <c r="AB181" s="8">
        <f>IF(OR(E181="",N181&lt;=0),"",IF(AND(F181&gt;J181,G181&gt;K181),"UP",IF(AND(F181&lt;J181,G181&lt;K181),"DOWN","FLAT")))</f>
        <v/>
      </c>
    </row>
    <row r="182" ht="26" customHeight="1" s="1">
      <c r="A182" s="14">
        <f>IF(C182="","",ROW()-2)</f>
        <v/>
      </c>
      <c r="B182" s="15">
        <f>IF('StockList_MS2'!A181="","",HYPERLINK("https://kabutan.jp/stock/?code="&amp;'StockList_MS2'!A181,"株探"))</f>
        <v/>
      </c>
      <c r="C182" s="14">
        <f>IF('StockList_MS2'!A181="","",'StockList_MS2'!A181)</f>
        <v/>
      </c>
      <c r="D182" s="16">
        <f>IF('StockList_MS2'!A181="","",'StockList_MS2'!B181)</f>
        <v/>
      </c>
      <c r="E182" s="17" t="n"/>
      <c r="F182" s="17" t="n"/>
      <c r="G182" s="17" t="n"/>
      <c r="H182" s="17" t="n"/>
      <c r="I182" s="18" t="n"/>
      <c r="J182" s="17" t="n"/>
      <c r="K182" s="17" t="n"/>
      <c r="L182" s="17" t="n"/>
      <c r="M182" s="14">
        <f>IF(E182="","",IF(E182&gt;L182,"BUY-DAY","SELL-DAY"))</f>
        <v/>
      </c>
      <c r="N182" s="19">
        <f>IF(E182="","",MAX(F182-G182,ABS(F182-L182),ABS(G182-L182)))</f>
        <v/>
      </c>
      <c r="O182" s="14">
        <f>IF(E182="","",IF(AND(I182&gt;0,I182&gt;(I182/3)*2.5),"VOL-OK","VOL-NG"))</f>
        <v/>
      </c>
      <c r="P182" s="14">
        <f>IF(E182="","",IF(E182&gt;J182,"ON","OFF"))</f>
        <v/>
      </c>
      <c r="Q182" s="14">
        <f>IF(E182="","",IF(E182&lt;K182,"ON","OFF"))</f>
        <v/>
      </c>
      <c r="R182" s="14">
        <f>IF(OR(E182="",N182&lt;=0),"",IF(AND(M182="BUY-DAY",O182="VOL-OK",Q182="ON",AA182="OK",AB182&lt;&gt;"DOWN"),"BUY",IF(AND(M182="SELL-DAY",O182="VOL-OK",P182="ON",AA182="OK",AB182&lt;&gt;"UP"),"SELL","")))</f>
        <v/>
      </c>
      <c r="S182" s="19">
        <f>IF(R182="","",E182)</f>
        <v/>
      </c>
      <c r="T182" s="19">
        <f>IF(R182="","",IF(R182="BUY",E182-N182*1.5,E182+N182*1.5))</f>
        <v/>
      </c>
      <c r="U182" s="19">
        <f>IF(R182="","",IF(R182="BUY",E182+N182*1.5,E182-N182*1.5))</f>
        <v/>
      </c>
      <c r="V182" s="19">
        <f>IF(R182="","",IF(R182="BUY",E182+N182*2,E182-N182*2))</f>
        <v/>
      </c>
      <c r="W182" s="19">
        <f>IF(R182="","",IF(R182="BUY",E182+N182*3,E182-N182*3))</f>
        <v/>
      </c>
      <c r="X182" s="14">
        <f>IF(OR(E182="",N182&lt;=0),"",IF(AND(E182&gt;H182,ABS(E182-H182)&lt;N182*0.5),"2ND","1ST"))</f>
        <v/>
      </c>
      <c r="Y182" s="14">
        <f>IF(OR(E182="",N182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82" s="14">
        <f>IF(OR(E182="",N182&lt;=0),"",IF(N182&gt;E182*0.05,"VOL-HIGH","VOL-NORMAL"))</f>
        <v/>
      </c>
      <c r="AA182" s="14">
        <f>IF(OR(E182="",N182&lt;=0),"",IF(AND(O182="VOL-OK",Z182="VOL-NORMAL",X182="2ND"),"OK","NG"))</f>
        <v/>
      </c>
      <c r="AB182" s="14">
        <f>IF(OR(E182="",N182&lt;=0),"",IF(AND(F182&gt;J182,G182&gt;K182),"UP",IF(AND(F182&lt;J182,G182&lt;K182),"DOWN","FLAT")))</f>
        <v/>
      </c>
    </row>
    <row r="183" ht="26" customHeight="1" s="1">
      <c r="A183" s="8">
        <f>IF(C183="","",ROW()-2)</f>
        <v/>
      </c>
      <c r="B183" s="9">
        <f>IF('StockList_MS2'!A182="","",HYPERLINK("https://kabutan.jp/stock/?code="&amp;'StockList_MS2'!A182,"株探"))</f>
        <v/>
      </c>
      <c r="C183" s="8">
        <f>IF('StockList_MS2'!A182="","",'StockList_MS2'!A182)</f>
        <v/>
      </c>
      <c r="D183" s="10">
        <f>IF('StockList_MS2'!A182="","",'StockList_MS2'!B182)</f>
        <v/>
      </c>
      <c r="E183" s="11" t="n"/>
      <c r="F183" s="11" t="n"/>
      <c r="G183" s="11" t="n"/>
      <c r="H183" s="11" t="n"/>
      <c r="I183" s="12" t="n"/>
      <c r="J183" s="11" t="n"/>
      <c r="K183" s="11" t="n"/>
      <c r="L183" s="11" t="n"/>
      <c r="M183" s="8">
        <f>IF(E183="","",IF(E183&gt;L183,"BUY-DAY","SELL-DAY"))</f>
        <v/>
      </c>
      <c r="N183" s="13">
        <f>IF(E183="","",MAX(F183-G183,ABS(F183-L183),ABS(G183-L183)))</f>
        <v/>
      </c>
      <c r="O183" s="8">
        <f>IF(E183="","",IF(AND(I183&gt;0,I183&gt;(I183/3)*2.5),"VOL-OK","VOL-NG"))</f>
        <v/>
      </c>
      <c r="P183" s="8">
        <f>IF(E183="","",IF(E183&gt;J183,"ON","OFF"))</f>
        <v/>
      </c>
      <c r="Q183" s="8">
        <f>IF(E183="","",IF(E183&lt;K183,"ON","OFF"))</f>
        <v/>
      </c>
      <c r="R183" s="8">
        <f>IF(OR(E183="",N183&lt;=0),"",IF(AND(M183="BUY-DAY",O183="VOL-OK",Q183="ON",AA183="OK",AB183&lt;&gt;"DOWN"),"BUY",IF(AND(M183="SELL-DAY",O183="VOL-OK",P183="ON",AA183="OK",AB183&lt;&gt;"UP"),"SELL","")))</f>
        <v/>
      </c>
      <c r="S183" s="13">
        <f>IF(R183="","",E183)</f>
        <v/>
      </c>
      <c r="T183" s="13">
        <f>IF(R183="","",IF(R183="BUY",E183-N183*1.5,E183+N183*1.5))</f>
        <v/>
      </c>
      <c r="U183" s="13">
        <f>IF(R183="","",IF(R183="BUY",E183+N183*1.5,E183-N183*1.5))</f>
        <v/>
      </c>
      <c r="V183" s="13">
        <f>IF(R183="","",IF(R183="BUY",E183+N183*2,E183-N183*2))</f>
        <v/>
      </c>
      <c r="W183" s="13">
        <f>IF(R183="","",IF(R183="BUY",E183+N183*3,E183-N183*3))</f>
        <v/>
      </c>
      <c r="X183" s="8">
        <f>IF(OR(E183="",N183&lt;=0),"",IF(AND(E183&gt;H183,ABS(E183-H183)&lt;N183*0.5),"2ND","1ST"))</f>
        <v/>
      </c>
      <c r="Y183" s="8">
        <f>IF(OR(E183="",N183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83" s="8">
        <f>IF(OR(E183="",N183&lt;=0),"",IF(N183&gt;E183*0.05,"VOL-HIGH","VOL-NORMAL"))</f>
        <v/>
      </c>
      <c r="AA183" s="8">
        <f>IF(OR(E183="",N183&lt;=0),"",IF(AND(O183="VOL-OK",Z183="VOL-NORMAL",X183="2ND"),"OK","NG"))</f>
        <v/>
      </c>
      <c r="AB183" s="8">
        <f>IF(OR(E183="",N183&lt;=0),"",IF(AND(F183&gt;J183,G183&gt;K183),"UP",IF(AND(F183&lt;J183,G183&lt;K183),"DOWN","FLAT")))</f>
        <v/>
      </c>
    </row>
    <row r="184" ht="26" customHeight="1" s="1">
      <c r="A184" s="14">
        <f>IF(C184="","",ROW()-2)</f>
        <v/>
      </c>
      <c r="B184" s="15">
        <f>IF('StockList_MS2'!A183="","",HYPERLINK("https://kabutan.jp/stock/?code="&amp;'StockList_MS2'!A183,"株探"))</f>
        <v/>
      </c>
      <c r="C184" s="14">
        <f>IF('StockList_MS2'!A183="","",'StockList_MS2'!A183)</f>
        <v/>
      </c>
      <c r="D184" s="16">
        <f>IF('StockList_MS2'!A183="","",'StockList_MS2'!B183)</f>
        <v/>
      </c>
      <c r="E184" s="17" t="n"/>
      <c r="F184" s="17" t="n"/>
      <c r="G184" s="17" t="n"/>
      <c r="H184" s="17" t="n"/>
      <c r="I184" s="18" t="n"/>
      <c r="J184" s="17" t="n"/>
      <c r="K184" s="17" t="n"/>
      <c r="L184" s="17" t="n"/>
      <c r="M184" s="14">
        <f>IF(E184="","",IF(E184&gt;L184,"BUY-DAY","SELL-DAY"))</f>
        <v/>
      </c>
      <c r="N184" s="19">
        <f>IF(E184="","",MAX(F184-G184,ABS(F184-L184),ABS(G184-L184)))</f>
        <v/>
      </c>
      <c r="O184" s="14">
        <f>IF(E184="","",IF(AND(I184&gt;0,I184&gt;(I184/3)*2.5),"VOL-OK","VOL-NG"))</f>
        <v/>
      </c>
      <c r="P184" s="14">
        <f>IF(E184="","",IF(E184&gt;J184,"ON","OFF"))</f>
        <v/>
      </c>
      <c r="Q184" s="14">
        <f>IF(E184="","",IF(E184&lt;K184,"ON","OFF"))</f>
        <v/>
      </c>
      <c r="R184" s="14">
        <f>IF(OR(E184="",N184&lt;=0),"",IF(AND(M184="BUY-DAY",O184="VOL-OK",Q184="ON",AA184="OK",AB184&lt;&gt;"DOWN"),"BUY",IF(AND(M184="SELL-DAY",O184="VOL-OK",P184="ON",AA184="OK",AB184&lt;&gt;"UP"),"SELL","")))</f>
        <v/>
      </c>
      <c r="S184" s="19">
        <f>IF(R184="","",E184)</f>
        <v/>
      </c>
      <c r="T184" s="19">
        <f>IF(R184="","",IF(R184="BUY",E184-N184*1.5,E184+N184*1.5))</f>
        <v/>
      </c>
      <c r="U184" s="19">
        <f>IF(R184="","",IF(R184="BUY",E184+N184*1.5,E184-N184*1.5))</f>
        <v/>
      </c>
      <c r="V184" s="19">
        <f>IF(R184="","",IF(R184="BUY",E184+N184*2,E184-N184*2))</f>
        <v/>
      </c>
      <c r="W184" s="19">
        <f>IF(R184="","",IF(R184="BUY",E184+N184*3,E184-N184*3))</f>
        <v/>
      </c>
      <c r="X184" s="14">
        <f>IF(OR(E184="",N184&lt;=0),"",IF(AND(E184&gt;H184,ABS(E184-H184)&lt;N184*0.5),"2ND","1ST"))</f>
        <v/>
      </c>
      <c r="Y184" s="14">
        <f>IF(OR(E184="",N184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84" s="14">
        <f>IF(OR(E184="",N184&lt;=0),"",IF(N184&gt;E184*0.05,"VOL-HIGH","VOL-NORMAL"))</f>
        <v/>
      </c>
      <c r="AA184" s="14">
        <f>IF(OR(E184="",N184&lt;=0),"",IF(AND(O184="VOL-OK",Z184="VOL-NORMAL",X184="2ND"),"OK","NG"))</f>
        <v/>
      </c>
      <c r="AB184" s="14">
        <f>IF(OR(E184="",N184&lt;=0),"",IF(AND(F184&gt;J184,G184&gt;K184),"UP",IF(AND(F184&lt;J184,G184&lt;K184),"DOWN","FLAT")))</f>
        <v/>
      </c>
    </row>
    <row r="185" ht="26" customHeight="1" s="1">
      <c r="A185" s="8">
        <f>IF(C185="","",ROW()-2)</f>
        <v/>
      </c>
      <c r="B185" s="9">
        <f>IF('StockList_MS2'!A184="","",HYPERLINK("https://kabutan.jp/stock/?code="&amp;'StockList_MS2'!A184,"株探"))</f>
        <v/>
      </c>
      <c r="C185" s="8">
        <f>IF('StockList_MS2'!A184="","",'StockList_MS2'!A184)</f>
        <v/>
      </c>
      <c r="D185" s="10">
        <f>IF('StockList_MS2'!A184="","",'StockList_MS2'!B184)</f>
        <v/>
      </c>
      <c r="E185" s="11" t="n"/>
      <c r="F185" s="11" t="n"/>
      <c r="G185" s="11" t="n"/>
      <c r="H185" s="11" t="n"/>
      <c r="I185" s="12" t="n"/>
      <c r="J185" s="11" t="n"/>
      <c r="K185" s="11" t="n"/>
      <c r="L185" s="11" t="n"/>
      <c r="M185" s="8">
        <f>IF(E185="","",IF(E185&gt;L185,"BUY-DAY","SELL-DAY"))</f>
        <v/>
      </c>
      <c r="N185" s="13">
        <f>IF(E185="","",MAX(F185-G185,ABS(F185-L185),ABS(G185-L185)))</f>
        <v/>
      </c>
      <c r="O185" s="8">
        <f>IF(E185="","",IF(AND(I185&gt;0,I185&gt;(I185/3)*2.5),"VOL-OK","VOL-NG"))</f>
        <v/>
      </c>
      <c r="P185" s="8">
        <f>IF(E185="","",IF(E185&gt;J185,"ON","OFF"))</f>
        <v/>
      </c>
      <c r="Q185" s="8">
        <f>IF(E185="","",IF(E185&lt;K185,"ON","OFF"))</f>
        <v/>
      </c>
      <c r="R185" s="8">
        <f>IF(OR(E185="",N185&lt;=0),"",IF(AND(M185="BUY-DAY",O185="VOL-OK",Q185="ON",AA185="OK",AB185&lt;&gt;"DOWN"),"BUY",IF(AND(M185="SELL-DAY",O185="VOL-OK",P185="ON",AA185="OK",AB185&lt;&gt;"UP"),"SELL","")))</f>
        <v/>
      </c>
      <c r="S185" s="13">
        <f>IF(R185="","",E185)</f>
        <v/>
      </c>
      <c r="T185" s="13">
        <f>IF(R185="","",IF(R185="BUY",E185-N185*1.5,E185+N185*1.5))</f>
        <v/>
      </c>
      <c r="U185" s="13">
        <f>IF(R185="","",IF(R185="BUY",E185+N185*1.5,E185-N185*1.5))</f>
        <v/>
      </c>
      <c r="V185" s="13">
        <f>IF(R185="","",IF(R185="BUY",E185+N185*2,E185-N185*2))</f>
        <v/>
      </c>
      <c r="W185" s="13">
        <f>IF(R185="","",IF(R185="BUY",E185+N185*3,E185-N185*3))</f>
        <v/>
      </c>
      <c r="X185" s="8">
        <f>IF(OR(E185="",N185&lt;=0),"",IF(AND(E185&gt;H185,ABS(E185-H185)&lt;N185*0.5),"2ND","1ST"))</f>
        <v/>
      </c>
      <c r="Y185" s="8">
        <f>IF(OR(E185="",N185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85" s="8">
        <f>IF(OR(E185="",N185&lt;=0),"",IF(N185&gt;E185*0.05,"VOL-HIGH","VOL-NORMAL"))</f>
        <v/>
      </c>
      <c r="AA185" s="8">
        <f>IF(OR(E185="",N185&lt;=0),"",IF(AND(O185="VOL-OK",Z185="VOL-NORMAL",X185="2ND"),"OK","NG"))</f>
        <v/>
      </c>
      <c r="AB185" s="8">
        <f>IF(OR(E185="",N185&lt;=0),"",IF(AND(F185&gt;J185,G185&gt;K185),"UP",IF(AND(F185&lt;J185,G185&lt;K185),"DOWN","FLAT")))</f>
        <v/>
      </c>
    </row>
    <row r="186" ht="26" customHeight="1" s="1">
      <c r="A186" s="14">
        <f>IF(C186="","",ROW()-2)</f>
        <v/>
      </c>
      <c r="B186" s="15">
        <f>IF('StockList_MS2'!A185="","",HYPERLINK("https://kabutan.jp/stock/?code="&amp;'StockList_MS2'!A185,"株探"))</f>
        <v/>
      </c>
      <c r="C186" s="14">
        <f>IF('StockList_MS2'!A185="","",'StockList_MS2'!A185)</f>
        <v/>
      </c>
      <c r="D186" s="16">
        <f>IF('StockList_MS2'!A185="","",'StockList_MS2'!B185)</f>
        <v/>
      </c>
      <c r="E186" s="17" t="n"/>
      <c r="F186" s="17" t="n"/>
      <c r="G186" s="17" t="n"/>
      <c r="H186" s="17" t="n"/>
      <c r="I186" s="18" t="n"/>
      <c r="J186" s="17" t="n"/>
      <c r="K186" s="17" t="n"/>
      <c r="L186" s="17" t="n"/>
      <c r="M186" s="14">
        <f>IF(E186="","",IF(E186&gt;L186,"BUY-DAY","SELL-DAY"))</f>
        <v/>
      </c>
      <c r="N186" s="19">
        <f>IF(E186="","",MAX(F186-G186,ABS(F186-L186),ABS(G186-L186)))</f>
        <v/>
      </c>
      <c r="O186" s="14">
        <f>IF(E186="","",IF(AND(I186&gt;0,I186&gt;(I186/3)*2.5),"VOL-OK","VOL-NG"))</f>
        <v/>
      </c>
      <c r="P186" s="14">
        <f>IF(E186="","",IF(E186&gt;J186,"ON","OFF"))</f>
        <v/>
      </c>
      <c r="Q186" s="14">
        <f>IF(E186="","",IF(E186&lt;K186,"ON","OFF"))</f>
        <v/>
      </c>
      <c r="R186" s="14">
        <f>IF(OR(E186="",N186&lt;=0),"",IF(AND(M186="BUY-DAY",O186="VOL-OK",Q186="ON",AA186="OK",AB186&lt;&gt;"DOWN"),"BUY",IF(AND(M186="SELL-DAY",O186="VOL-OK",P186="ON",AA186="OK",AB186&lt;&gt;"UP"),"SELL","")))</f>
        <v/>
      </c>
      <c r="S186" s="19">
        <f>IF(R186="","",E186)</f>
        <v/>
      </c>
      <c r="T186" s="19">
        <f>IF(R186="","",IF(R186="BUY",E186-N186*1.5,E186+N186*1.5))</f>
        <v/>
      </c>
      <c r="U186" s="19">
        <f>IF(R186="","",IF(R186="BUY",E186+N186*1.5,E186-N186*1.5))</f>
        <v/>
      </c>
      <c r="V186" s="19">
        <f>IF(R186="","",IF(R186="BUY",E186+N186*2,E186-N186*2))</f>
        <v/>
      </c>
      <c r="W186" s="19">
        <f>IF(R186="","",IF(R186="BUY",E186+N186*3,E186-N186*3))</f>
        <v/>
      </c>
      <c r="X186" s="14">
        <f>IF(OR(E186="",N186&lt;=0),"",IF(AND(E186&gt;H186,ABS(E186-H186)&lt;N186*0.5),"2ND","1ST"))</f>
        <v/>
      </c>
      <c r="Y186" s="14">
        <f>IF(OR(E186="",N186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86" s="14">
        <f>IF(OR(E186="",N186&lt;=0),"",IF(N186&gt;E186*0.05,"VOL-HIGH","VOL-NORMAL"))</f>
        <v/>
      </c>
      <c r="AA186" s="14">
        <f>IF(OR(E186="",N186&lt;=0),"",IF(AND(O186="VOL-OK",Z186="VOL-NORMAL",X186="2ND"),"OK","NG"))</f>
        <v/>
      </c>
      <c r="AB186" s="14">
        <f>IF(OR(E186="",N186&lt;=0),"",IF(AND(F186&gt;J186,G186&gt;K186),"UP",IF(AND(F186&lt;J186,G186&lt;K186),"DOWN","FLAT")))</f>
        <v/>
      </c>
    </row>
    <row r="187" ht="26" customHeight="1" s="1">
      <c r="A187" s="8">
        <f>IF(C187="","",ROW()-2)</f>
        <v/>
      </c>
      <c r="B187" s="9">
        <f>IF('StockList_MS2'!A186="","",HYPERLINK("https://kabutan.jp/stock/?code="&amp;'StockList_MS2'!A186,"株探"))</f>
        <v/>
      </c>
      <c r="C187" s="8">
        <f>IF('StockList_MS2'!A186="","",'StockList_MS2'!A186)</f>
        <v/>
      </c>
      <c r="D187" s="10">
        <f>IF('StockList_MS2'!A186="","",'StockList_MS2'!B186)</f>
        <v/>
      </c>
      <c r="E187" s="11" t="n"/>
      <c r="F187" s="11" t="n"/>
      <c r="G187" s="11" t="n"/>
      <c r="H187" s="11" t="n"/>
      <c r="I187" s="12" t="n"/>
      <c r="J187" s="11" t="n"/>
      <c r="K187" s="11" t="n"/>
      <c r="L187" s="11" t="n"/>
      <c r="M187" s="8">
        <f>IF(E187="","",IF(E187&gt;L187,"BUY-DAY","SELL-DAY"))</f>
        <v/>
      </c>
      <c r="N187" s="13">
        <f>IF(E187="","",MAX(F187-G187,ABS(F187-L187),ABS(G187-L187)))</f>
        <v/>
      </c>
      <c r="O187" s="8">
        <f>IF(E187="","",IF(AND(I187&gt;0,I187&gt;(I187/3)*2.5),"VOL-OK","VOL-NG"))</f>
        <v/>
      </c>
      <c r="P187" s="8">
        <f>IF(E187="","",IF(E187&gt;J187,"ON","OFF"))</f>
        <v/>
      </c>
      <c r="Q187" s="8">
        <f>IF(E187="","",IF(E187&lt;K187,"ON","OFF"))</f>
        <v/>
      </c>
      <c r="R187" s="8">
        <f>IF(OR(E187="",N187&lt;=0),"",IF(AND(M187="BUY-DAY",O187="VOL-OK",Q187="ON",AA187="OK",AB187&lt;&gt;"DOWN"),"BUY",IF(AND(M187="SELL-DAY",O187="VOL-OK",P187="ON",AA187="OK",AB187&lt;&gt;"UP"),"SELL","")))</f>
        <v/>
      </c>
      <c r="S187" s="13">
        <f>IF(R187="","",E187)</f>
        <v/>
      </c>
      <c r="T187" s="13">
        <f>IF(R187="","",IF(R187="BUY",E187-N187*1.5,E187+N187*1.5))</f>
        <v/>
      </c>
      <c r="U187" s="13">
        <f>IF(R187="","",IF(R187="BUY",E187+N187*1.5,E187-N187*1.5))</f>
        <v/>
      </c>
      <c r="V187" s="13">
        <f>IF(R187="","",IF(R187="BUY",E187+N187*2,E187-N187*2))</f>
        <v/>
      </c>
      <c r="W187" s="13">
        <f>IF(R187="","",IF(R187="BUY",E187+N187*3,E187-N187*3))</f>
        <v/>
      </c>
      <c r="X187" s="8">
        <f>IF(OR(E187="",N187&lt;=0),"",IF(AND(E187&gt;H187,ABS(E187-H187)&lt;N187*0.5),"2ND","1ST"))</f>
        <v/>
      </c>
      <c r="Y187" s="8">
        <f>IF(OR(E187="",N187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87" s="8">
        <f>IF(OR(E187="",N187&lt;=0),"",IF(N187&gt;E187*0.05,"VOL-HIGH","VOL-NORMAL"))</f>
        <v/>
      </c>
      <c r="AA187" s="8">
        <f>IF(OR(E187="",N187&lt;=0),"",IF(AND(O187="VOL-OK",Z187="VOL-NORMAL",X187="2ND"),"OK","NG"))</f>
        <v/>
      </c>
      <c r="AB187" s="8">
        <f>IF(OR(E187="",N187&lt;=0),"",IF(AND(F187&gt;J187,G187&gt;K187),"UP",IF(AND(F187&lt;J187,G187&lt;K187),"DOWN","FLAT")))</f>
        <v/>
      </c>
    </row>
    <row r="188" ht="26" customHeight="1" s="1">
      <c r="A188" s="14">
        <f>IF(C188="","",ROW()-2)</f>
        <v/>
      </c>
      <c r="B188" s="15">
        <f>IF('StockList_MS2'!A187="","",HYPERLINK("https://kabutan.jp/stock/?code="&amp;'StockList_MS2'!A187,"株探"))</f>
        <v/>
      </c>
      <c r="C188" s="14">
        <f>IF('StockList_MS2'!A187="","",'StockList_MS2'!A187)</f>
        <v/>
      </c>
      <c r="D188" s="16">
        <f>IF('StockList_MS2'!A187="","",'StockList_MS2'!B187)</f>
        <v/>
      </c>
      <c r="E188" s="17" t="n"/>
      <c r="F188" s="17" t="n"/>
      <c r="G188" s="17" t="n"/>
      <c r="H188" s="17" t="n"/>
      <c r="I188" s="18" t="n"/>
      <c r="J188" s="17" t="n"/>
      <c r="K188" s="17" t="n"/>
      <c r="L188" s="17" t="n"/>
      <c r="M188" s="14">
        <f>IF(E188="","",IF(E188&gt;L188,"BUY-DAY","SELL-DAY"))</f>
        <v/>
      </c>
      <c r="N188" s="19">
        <f>IF(E188="","",MAX(F188-G188,ABS(F188-L188),ABS(G188-L188)))</f>
        <v/>
      </c>
      <c r="O188" s="14">
        <f>IF(E188="","",IF(AND(I188&gt;0,I188&gt;(I188/3)*2.5),"VOL-OK","VOL-NG"))</f>
        <v/>
      </c>
      <c r="P188" s="14">
        <f>IF(E188="","",IF(E188&gt;J188,"ON","OFF"))</f>
        <v/>
      </c>
      <c r="Q188" s="14">
        <f>IF(E188="","",IF(E188&lt;K188,"ON","OFF"))</f>
        <v/>
      </c>
      <c r="R188" s="14">
        <f>IF(OR(E188="",N188&lt;=0),"",IF(AND(M188="BUY-DAY",O188="VOL-OK",Q188="ON",AA188="OK",AB188&lt;&gt;"DOWN"),"BUY",IF(AND(M188="SELL-DAY",O188="VOL-OK",P188="ON",AA188="OK",AB188&lt;&gt;"UP"),"SELL","")))</f>
        <v/>
      </c>
      <c r="S188" s="19">
        <f>IF(R188="","",E188)</f>
        <v/>
      </c>
      <c r="T188" s="19">
        <f>IF(R188="","",IF(R188="BUY",E188-N188*1.5,E188+N188*1.5))</f>
        <v/>
      </c>
      <c r="U188" s="19">
        <f>IF(R188="","",IF(R188="BUY",E188+N188*1.5,E188-N188*1.5))</f>
        <v/>
      </c>
      <c r="V188" s="19">
        <f>IF(R188="","",IF(R188="BUY",E188+N188*2,E188-N188*2))</f>
        <v/>
      </c>
      <c r="W188" s="19">
        <f>IF(R188="","",IF(R188="BUY",E188+N188*3,E188-N188*3))</f>
        <v/>
      </c>
      <c r="X188" s="14">
        <f>IF(OR(E188="",N188&lt;=0),"",IF(AND(E188&gt;H188,ABS(E188-H188)&lt;N188*0.5),"2ND","1ST"))</f>
        <v/>
      </c>
      <c r="Y188" s="14">
        <f>IF(OR(E188="",N188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88" s="14">
        <f>IF(OR(E188="",N188&lt;=0),"",IF(N188&gt;E188*0.05,"VOL-HIGH","VOL-NORMAL"))</f>
        <v/>
      </c>
      <c r="AA188" s="14">
        <f>IF(OR(E188="",N188&lt;=0),"",IF(AND(O188="VOL-OK",Z188="VOL-NORMAL",X188="2ND"),"OK","NG"))</f>
        <v/>
      </c>
      <c r="AB188" s="14">
        <f>IF(OR(E188="",N188&lt;=0),"",IF(AND(F188&gt;J188,G188&gt;K188),"UP",IF(AND(F188&lt;J188,G188&lt;K188),"DOWN","FLAT")))</f>
        <v/>
      </c>
    </row>
    <row r="189" ht="26" customHeight="1" s="1">
      <c r="A189" s="8">
        <f>IF(C189="","",ROW()-2)</f>
        <v/>
      </c>
      <c r="B189" s="9">
        <f>IF('StockList_MS2'!A188="","",HYPERLINK("https://kabutan.jp/stock/?code="&amp;'StockList_MS2'!A188,"株探"))</f>
        <v/>
      </c>
      <c r="C189" s="8">
        <f>IF('StockList_MS2'!A188="","",'StockList_MS2'!A188)</f>
        <v/>
      </c>
      <c r="D189" s="10">
        <f>IF('StockList_MS2'!A188="","",'StockList_MS2'!B188)</f>
        <v/>
      </c>
      <c r="E189" s="11" t="n"/>
      <c r="F189" s="11" t="n"/>
      <c r="G189" s="11" t="n"/>
      <c r="H189" s="11" t="n"/>
      <c r="I189" s="12" t="n"/>
      <c r="J189" s="11" t="n"/>
      <c r="K189" s="11" t="n"/>
      <c r="L189" s="11" t="n"/>
      <c r="M189" s="8">
        <f>IF(E189="","",IF(E189&gt;L189,"BUY-DAY","SELL-DAY"))</f>
        <v/>
      </c>
      <c r="N189" s="13">
        <f>IF(E189="","",MAX(F189-G189,ABS(F189-L189),ABS(G189-L189)))</f>
        <v/>
      </c>
      <c r="O189" s="8">
        <f>IF(E189="","",IF(AND(I189&gt;0,I189&gt;(I189/3)*2.5),"VOL-OK","VOL-NG"))</f>
        <v/>
      </c>
      <c r="P189" s="8">
        <f>IF(E189="","",IF(E189&gt;J189,"ON","OFF"))</f>
        <v/>
      </c>
      <c r="Q189" s="8">
        <f>IF(E189="","",IF(E189&lt;K189,"ON","OFF"))</f>
        <v/>
      </c>
      <c r="R189" s="8">
        <f>IF(OR(E189="",N189&lt;=0),"",IF(AND(M189="BUY-DAY",O189="VOL-OK",Q189="ON",AA189="OK",AB189&lt;&gt;"DOWN"),"BUY",IF(AND(M189="SELL-DAY",O189="VOL-OK",P189="ON",AA189="OK",AB189&lt;&gt;"UP"),"SELL","")))</f>
        <v/>
      </c>
      <c r="S189" s="13">
        <f>IF(R189="","",E189)</f>
        <v/>
      </c>
      <c r="T189" s="13">
        <f>IF(R189="","",IF(R189="BUY",E189-N189*1.5,E189+N189*1.5))</f>
        <v/>
      </c>
      <c r="U189" s="13">
        <f>IF(R189="","",IF(R189="BUY",E189+N189*1.5,E189-N189*1.5))</f>
        <v/>
      </c>
      <c r="V189" s="13">
        <f>IF(R189="","",IF(R189="BUY",E189+N189*2,E189-N189*2))</f>
        <v/>
      </c>
      <c r="W189" s="13">
        <f>IF(R189="","",IF(R189="BUY",E189+N189*3,E189-N189*3))</f>
        <v/>
      </c>
      <c r="X189" s="8">
        <f>IF(OR(E189="",N189&lt;=0),"",IF(AND(E189&gt;H189,ABS(E189-H189)&lt;N189*0.5),"2ND","1ST"))</f>
        <v/>
      </c>
      <c r="Y189" s="8">
        <f>IF(OR(E189="",N189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89" s="8">
        <f>IF(OR(E189="",N189&lt;=0),"",IF(N189&gt;E189*0.05,"VOL-HIGH","VOL-NORMAL"))</f>
        <v/>
      </c>
      <c r="AA189" s="8">
        <f>IF(OR(E189="",N189&lt;=0),"",IF(AND(O189="VOL-OK",Z189="VOL-NORMAL",X189="2ND"),"OK","NG"))</f>
        <v/>
      </c>
      <c r="AB189" s="8">
        <f>IF(OR(E189="",N189&lt;=0),"",IF(AND(F189&gt;J189,G189&gt;K189),"UP",IF(AND(F189&lt;J189,G189&lt;K189),"DOWN","FLAT")))</f>
        <v/>
      </c>
    </row>
    <row r="190" ht="26" customHeight="1" s="1">
      <c r="A190" s="14">
        <f>IF(C190="","",ROW()-2)</f>
        <v/>
      </c>
      <c r="B190" s="15">
        <f>IF('StockList_MS2'!A189="","",HYPERLINK("https://kabutan.jp/stock/?code="&amp;'StockList_MS2'!A189,"株探"))</f>
        <v/>
      </c>
      <c r="C190" s="14">
        <f>IF('StockList_MS2'!A189="","",'StockList_MS2'!A189)</f>
        <v/>
      </c>
      <c r="D190" s="16">
        <f>IF('StockList_MS2'!A189="","",'StockList_MS2'!B189)</f>
        <v/>
      </c>
      <c r="E190" s="17" t="n"/>
      <c r="F190" s="17" t="n"/>
      <c r="G190" s="17" t="n"/>
      <c r="H190" s="17" t="n"/>
      <c r="I190" s="18" t="n"/>
      <c r="J190" s="17" t="n"/>
      <c r="K190" s="17" t="n"/>
      <c r="L190" s="17" t="n"/>
      <c r="M190" s="14">
        <f>IF(E190="","",IF(E190&gt;L190,"BUY-DAY","SELL-DAY"))</f>
        <v/>
      </c>
      <c r="N190" s="19">
        <f>IF(E190="","",MAX(F190-G190,ABS(F190-L190),ABS(G190-L190)))</f>
        <v/>
      </c>
      <c r="O190" s="14">
        <f>IF(E190="","",IF(AND(I190&gt;0,I190&gt;(I190/3)*2.5),"VOL-OK","VOL-NG"))</f>
        <v/>
      </c>
      <c r="P190" s="14">
        <f>IF(E190="","",IF(E190&gt;J190,"ON","OFF"))</f>
        <v/>
      </c>
      <c r="Q190" s="14">
        <f>IF(E190="","",IF(E190&lt;K190,"ON","OFF"))</f>
        <v/>
      </c>
      <c r="R190" s="14">
        <f>IF(OR(E190="",N190&lt;=0),"",IF(AND(M190="BUY-DAY",O190="VOL-OK",Q190="ON",AA190="OK",AB190&lt;&gt;"DOWN"),"BUY",IF(AND(M190="SELL-DAY",O190="VOL-OK",P190="ON",AA190="OK",AB190&lt;&gt;"UP"),"SELL","")))</f>
        <v/>
      </c>
      <c r="S190" s="19">
        <f>IF(R190="","",E190)</f>
        <v/>
      </c>
      <c r="T190" s="19">
        <f>IF(R190="","",IF(R190="BUY",E190-N190*1.5,E190+N190*1.5))</f>
        <v/>
      </c>
      <c r="U190" s="19">
        <f>IF(R190="","",IF(R190="BUY",E190+N190*1.5,E190-N190*1.5))</f>
        <v/>
      </c>
      <c r="V190" s="19">
        <f>IF(R190="","",IF(R190="BUY",E190+N190*2,E190-N190*2))</f>
        <v/>
      </c>
      <c r="W190" s="19">
        <f>IF(R190="","",IF(R190="BUY",E190+N190*3,E190-N190*3))</f>
        <v/>
      </c>
      <c r="X190" s="14">
        <f>IF(OR(E190="",N190&lt;=0),"",IF(AND(E190&gt;H190,ABS(E190-H190)&lt;N190*0.5),"2ND","1ST"))</f>
        <v/>
      </c>
      <c r="Y190" s="14">
        <f>IF(OR(E190="",N190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90" s="14">
        <f>IF(OR(E190="",N190&lt;=0),"",IF(N190&gt;E190*0.05,"VOL-HIGH","VOL-NORMAL"))</f>
        <v/>
      </c>
      <c r="AA190" s="14">
        <f>IF(OR(E190="",N190&lt;=0),"",IF(AND(O190="VOL-OK",Z190="VOL-NORMAL",X190="2ND"),"OK","NG"))</f>
        <v/>
      </c>
      <c r="AB190" s="14">
        <f>IF(OR(E190="",N190&lt;=0),"",IF(AND(F190&gt;J190,G190&gt;K190),"UP",IF(AND(F190&lt;J190,G190&lt;K190),"DOWN","FLAT")))</f>
        <v/>
      </c>
    </row>
    <row r="191" ht="26" customHeight="1" s="1">
      <c r="A191" s="8">
        <f>IF(C191="","",ROW()-2)</f>
        <v/>
      </c>
      <c r="B191" s="9">
        <f>IF('StockList_MS2'!A190="","",HYPERLINK("https://kabutan.jp/stock/?code="&amp;'StockList_MS2'!A190,"株探"))</f>
        <v/>
      </c>
      <c r="C191" s="8">
        <f>IF('StockList_MS2'!A190="","",'StockList_MS2'!A190)</f>
        <v/>
      </c>
      <c r="D191" s="10">
        <f>IF('StockList_MS2'!A190="","",'StockList_MS2'!B190)</f>
        <v/>
      </c>
      <c r="E191" s="11" t="n"/>
      <c r="F191" s="11" t="n"/>
      <c r="G191" s="11" t="n"/>
      <c r="H191" s="11" t="n"/>
      <c r="I191" s="12" t="n"/>
      <c r="J191" s="11" t="n"/>
      <c r="K191" s="11" t="n"/>
      <c r="L191" s="11" t="n"/>
      <c r="M191" s="8">
        <f>IF(E191="","",IF(E191&gt;L191,"BUY-DAY","SELL-DAY"))</f>
        <v/>
      </c>
      <c r="N191" s="13">
        <f>IF(E191="","",MAX(F191-G191,ABS(F191-L191),ABS(G191-L191)))</f>
        <v/>
      </c>
      <c r="O191" s="8">
        <f>IF(E191="","",IF(AND(I191&gt;0,I191&gt;(I191/3)*2.5),"VOL-OK","VOL-NG"))</f>
        <v/>
      </c>
      <c r="P191" s="8">
        <f>IF(E191="","",IF(E191&gt;J191,"ON","OFF"))</f>
        <v/>
      </c>
      <c r="Q191" s="8">
        <f>IF(E191="","",IF(E191&lt;K191,"ON","OFF"))</f>
        <v/>
      </c>
      <c r="R191" s="8">
        <f>IF(OR(E191="",N191&lt;=0),"",IF(AND(M191="BUY-DAY",O191="VOL-OK",Q191="ON",AA191="OK",AB191&lt;&gt;"DOWN"),"BUY",IF(AND(M191="SELL-DAY",O191="VOL-OK",P191="ON",AA191="OK",AB191&lt;&gt;"UP"),"SELL","")))</f>
        <v/>
      </c>
      <c r="S191" s="13">
        <f>IF(R191="","",E191)</f>
        <v/>
      </c>
      <c r="T191" s="13">
        <f>IF(R191="","",IF(R191="BUY",E191-N191*1.5,E191+N191*1.5))</f>
        <v/>
      </c>
      <c r="U191" s="13">
        <f>IF(R191="","",IF(R191="BUY",E191+N191*1.5,E191-N191*1.5))</f>
        <v/>
      </c>
      <c r="V191" s="13">
        <f>IF(R191="","",IF(R191="BUY",E191+N191*2,E191-N191*2))</f>
        <v/>
      </c>
      <c r="W191" s="13">
        <f>IF(R191="","",IF(R191="BUY",E191+N191*3,E191-N191*3))</f>
        <v/>
      </c>
      <c r="X191" s="8">
        <f>IF(OR(E191="",N191&lt;=0),"",IF(AND(E191&gt;H191,ABS(E191-H191)&lt;N191*0.5),"2ND","1ST"))</f>
        <v/>
      </c>
      <c r="Y191" s="8">
        <f>IF(OR(E191="",N191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91" s="8">
        <f>IF(OR(E191="",N191&lt;=0),"",IF(N191&gt;E191*0.05,"VOL-HIGH","VOL-NORMAL"))</f>
        <v/>
      </c>
      <c r="AA191" s="8">
        <f>IF(OR(E191="",N191&lt;=0),"",IF(AND(O191="VOL-OK",Z191="VOL-NORMAL",X191="2ND"),"OK","NG"))</f>
        <v/>
      </c>
      <c r="AB191" s="8">
        <f>IF(OR(E191="",N191&lt;=0),"",IF(AND(F191&gt;J191,G191&gt;K191),"UP",IF(AND(F191&lt;J191,G191&lt;K191),"DOWN","FLAT")))</f>
        <v/>
      </c>
    </row>
    <row r="192" ht="26" customHeight="1" s="1">
      <c r="A192" s="14">
        <f>IF(C192="","",ROW()-2)</f>
        <v/>
      </c>
      <c r="B192" s="15">
        <f>IF('StockList_MS2'!A191="","",HYPERLINK("https://kabutan.jp/stock/?code="&amp;'StockList_MS2'!A191,"株探"))</f>
        <v/>
      </c>
      <c r="C192" s="14">
        <f>IF('StockList_MS2'!A191="","",'StockList_MS2'!A191)</f>
        <v/>
      </c>
      <c r="D192" s="16">
        <f>IF('StockList_MS2'!A191="","",'StockList_MS2'!B191)</f>
        <v/>
      </c>
      <c r="E192" s="17" t="n"/>
      <c r="F192" s="17" t="n"/>
      <c r="G192" s="17" t="n"/>
      <c r="H192" s="17" t="n"/>
      <c r="I192" s="18" t="n"/>
      <c r="J192" s="17" t="n"/>
      <c r="K192" s="17" t="n"/>
      <c r="L192" s="17" t="n"/>
      <c r="M192" s="14">
        <f>IF(E192="","",IF(E192&gt;L192,"BUY-DAY","SELL-DAY"))</f>
        <v/>
      </c>
      <c r="N192" s="19">
        <f>IF(E192="","",MAX(F192-G192,ABS(F192-L192),ABS(G192-L192)))</f>
        <v/>
      </c>
      <c r="O192" s="14">
        <f>IF(E192="","",IF(AND(I192&gt;0,I192&gt;(I192/3)*2.5),"VOL-OK","VOL-NG"))</f>
        <v/>
      </c>
      <c r="P192" s="14">
        <f>IF(E192="","",IF(E192&gt;J192,"ON","OFF"))</f>
        <v/>
      </c>
      <c r="Q192" s="14">
        <f>IF(E192="","",IF(E192&lt;K192,"ON","OFF"))</f>
        <v/>
      </c>
      <c r="R192" s="14">
        <f>IF(OR(E192="",N192&lt;=0),"",IF(AND(M192="BUY-DAY",O192="VOL-OK",Q192="ON",AA192="OK",AB192&lt;&gt;"DOWN"),"BUY",IF(AND(M192="SELL-DAY",O192="VOL-OK",P192="ON",AA192="OK",AB192&lt;&gt;"UP"),"SELL","")))</f>
        <v/>
      </c>
      <c r="S192" s="19">
        <f>IF(R192="","",E192)</f>
        <v/>
      </c>
      <c r="T192" s="19">
        <f>IF(R192="","",IF(R192="BUY",E192-N192*1.5,E192+N192*1.5))</f>
        <v/>
      </c>
      <c r="U192" s="19">
        <f>IF(R192="","",IF(R192="BUY",E192+N192*1.5,E192-N192*1.5))</f>
        <v/>
      </c>
      <c r="V192" s="19">
        <f>IF(R192="","",IF(R192="BUY",E192+N192*2,E192-N192*2))</f>
        <v/>
      </c>
      <c r="W192" s="19">
        <f>IF(R192="","",IF(R192="BUY",E192+N192*3,E192-N192*3))</f>
        <v/>
      </c>
      <c r="X192" s="14">
        <f>IF(OR(E192="",N192&lt;=0),"",IF(AND(E192&gt;H192,ABS(E192-H192)&lt;N192*0.5),"2ND","1ST"))</f>
        <v/>
      </c>
      <c r="Y192" s="14">
        <f>IF(OR(E192="",N192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92" s="14">
        <f>IF(OR(E192="",N192&lt;=0),"",IF(N192&gt;E192*0.05,"VOL-HIGH","VOL-NORMAL"))</f>
        <v/>
      </c>
      <c r="AA192" s="14">
        <f>IF(OR(E192="",N192&lt;=0),"",IF(AND(O192="VOL-OK",Z192="VOL-NORMAL",X192="2ND"),"OK","NG"))</f>
        <v/>
      </c>
      <c r="AB192" s="14">
        <f>IF(OR(E192="",N192&lt;=0),"",IF(AND(F192&gt;J192,G192&gt;K192),"UP",IF(AND(F192&lt;J192,G192&lt;K192),"DOWN","FLAT")))</f>
        <v/>
      </c>
    </row>
    <row r="193" ht="26" customHeight="1" s="1">
      <c r="A193" s="8">
        <f>IF(C193="","",ROW()-2)</f>
        <v/>
      </c>
      <c r="B193" s="9">
        <f>IF('StockList_MS2'!A192="","",HYPERLINK("https://kabutan.jp/stock/?code="&amp;'StockList_MS2'!A192,"株探"))</f>
        <v/>
      </c>
      <c r="C193" s="8">
        <f>IF('StockList_MS2'!A192="","",'StockList_MS2'!A192)</f>
        <v/>
      </c>
      <c r="D193" s="10">
        <f>IF('StockList_MS2'!A192="","",'StockList_MS2'!B192)</f>
        <v/>
      </c>
      <c r="E193" s="11" t="n"/>
      <c r="F193" s="11" t="n"/>
      <c r="G193" s="11" t="n"/>
      <c r="H193" s="11" t="n"/>
      <c r="I193" s="12" t="n"/>
      <c r="J193" s="11" t="n"/>
      <c r="K193" s="11" t="n"/>
      <c r="L193" s="11" t="n"/>
      <c r="M193" s="8">
        <f>IF(E193="","",IF(E193&gt;L193,"BUY-DAY","SELL-DAY"))</f>
        <v/>
      </c>
      <c r="N193" s="13">
        <f>IF(E193="","",MAX(F193-G193,ABS(F193-L193),ABS(G193-L193)))</f>
        <v/>
      </c>
      <c r="O193" s="8">
        <f>IF(E193="","",IF(AND(I193&gt;0,I193&gt;(I193/3)*2.5),"VOL-OK","VOL-NG"))</f>
        <v/>
      </c>
      <c r="P193" s="8">
        <f>IF(E193="","",IF(E193&gt;J193,"ON","OFF"))</f>
        <v/>
      </c>
      <c r="Q193" s="8">
        <f>IF(E193="","",IF(E193&lt;K193,"ON","OFF"))</f>
        <v/>
      </c>
      <c r="R193" s="8">
        <f>IF(OR(E193="",N193&lt;=0),"",IF(AND(M193="BUY-DAY",O193="VOL-OK",Q193="ON",AA193="OK",AB193&lt;&gt;"DOWN"),"BUY",IF(AND(M193="SELL-DAY",O193="VOL-OK",P193="ON",AA193="OK",AB193&lt;&gt;"UP"),"SELL","")))</f>
        <v/>
      </c>
      <c r="S193" s="13">
        <f>IF(R193="","",E193)</f>
        <v/>
      </c>
      <c r="T193" s="13">
        <f>IF(R193="","",IF(R193="BUY",E193-N193*1.5,E193+N193*1.5))</f>
        <v/>
      </c>
      <c r="U193" s="13">
        <f>IF(R193="","",IF(R193="BUY",E193+N193*1.5,E193-N193*1.5))</f>
        <v/>
      </c>
      <c r="V193" s="13">
        <f>IF(R193="","",IF(R193="BUY",E193+N193*2,E193-N193*2))</f>
        <v/>
      </c>
      <c r="W193" s="13">
        <f>IF(R193="","",IF(R193="BUY",E193+N193*3,E193-N193*3))</f>
        <v/>
      </c>
      <c r="X193" s="8">
        <f>IF(OR(E193="",N193&lt;=0),"",IF(AND(E193&gt;H193,ABS(E193-H193)&lt;N193*0.5),"2ND","1ST"))</f>
        <v/>
      </c>
      <c r="Y193" s="8">
        <f>IF(OR(E193="",N193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93" s="8">
        <f>IF(OR(E193="",N193&lt;=0),"",IF(N193&gt;E193*0.05,"VOL-HIGH","VOL-NORMAL"))</f>
        <v/>
      </c>
      <c r="AA193" s="8">
        <f>IF(OR(E193="",N193&lt;=0),"",IF(AND(O193="VOL-OK",Z193="VOL-NORMAL",X193="2ND"),"OK","NG"))</f>
        <v/>
      </c>
      <c r="AB193" s="8">
        <f>IF(OR(E193="",N193&lt;=0),"",IF(AND(F193&gt;J193,G193&gt;K193),"UP",IF(AND(F193&lt;J193,G193&lt;K193),"DOWN","FLAT")))</f>
        <v/>
      </c>
    </row>
    <row r="194" ht="26" customHeight="1" s="1">
      <c r="A194" s="14">
        <f>IF(C194="","",ROW()-2)</f>
        <v/>
      </c>
      <c r="B194" s="15">
        <f>IF('StockList_MS2'!A193="","",HYPERLINK("https://kabutan.jp/stock/?code="&amp;'StockList_MS2'!A193,"株探"))</f>
        <v/>
      </c>
      <c r="C194" s="14">
        <f>IF('StockList_MS2'!A193="","",'StockList_MS2'!A193)</f>
        <v/>
      </c>
      <c r="D194" s="16">
        <f>IF('StockList_MS2'!A193="","",'StockList_MS2'!B193)</f>
        <v/>
      </c>
      <c r="E194" s="17" t="n"/>
      <c r="F194" s="17" t="n"/>
      <c r="G194" s="17" t="n"/>
      <c r="H194" s="17" t="n"/>
      <c r="I194" s="18" t="n"/>
      <c r="J194" s="17" t="n"/>
      <c r="K194" s="17" t="n"/>
      <c r="L194" s="17" t="n"/>
      <c r="M194" s="14">
        <f>IF(E194="","",IF(E194&gt;L194,"BUY-DAY","SELL-DAY"))</f>
        <v/>
      </c>
      <c r="N194" s="19">
        <f>IF(E194="","",MAX(F194-G194,ABS(F194-L194),ABS(G194-L194)))</f>
        <v/>
      </c>
      <c r="O194" s="14">
        <f>IF(E194="","",IF(AND(I194&gt;0,I194&gt;(I194/3)*2.5),"VOL-OK","VOL-NG"))</f>
        <v/>
      </c>
      <c r="P194" s="14">
        <f>IF(E194="","",IF(E194&gt;J194,"ON","OFF"))</f>
        <v/>
      </c>
      <c r="Q194" s="14">
        <f>IF(E194="","",IF(E194&lt;K194,"ON","OFF"))</f>
        <v/>
      </c>
      <c r="R194" s="14">
        <f>IF(OR(E194="",N194&lt;=0),"",IF(AND(M194="BUY-DAY",O194="VOL-OK",Q194="ON",AA194="OK",AB194&lt;&gt;"DOWN"),"BUY",IF(AND(M194="SELL-DAY",O194="VOL-OK",P194="ON",AA194="OK",AB194&lt;&gt;"UP"),"SELL","")))</f>
        <v/>
      </c>
      <c r="S194" s="19">
        <f>IF(R194="","",E194)</f>
        <v/>
      </c>
      <c r="T194" s="19">
        <f>IF(R194="","",IF(R194="BUY",E194-N194*1.5,E194+N194*1.5))</f>
        <v/>
      </c>
      <c r="U194" s="19">
        <f>IF(R194="","",IF(R194="BUY",E194+N194*1.5,E194-N194*1.5))</f>
        <v/>
      </c>
      <c r="V194" s="19">
        <f>IF(R194="","",IF(R194="BUY",E194+N194*2,E194-N194*2))</f>
        <v/>
      </c>
      <c r="W194" s="19">
        <f>IF(R194="","",IF(R194="BUY",E194+N194*3,E194-N194*3))</f>
        <v/>
      </c>
      <c r="X194" s="14">
        <f>IF(OR(E194="",N194&lt;=0),"",IF(AND(E194&gt;H194,ABS(E194-H194)&lt;N194*0.5),"2ND","1ST"))</f>
        <v/>
      </c>
      <c r="Y194" s="14">
        <f>IF(OR(E194="",N194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94" s="14">
        <f>IF(OR(E194="",N194&lt;=0),"",IF(N194&gt;E194*0.05,"VOL-HIGH","VOL-NORMAL"))</f>
        <v/>
      </c>
      <c r="AA194" s="14">
        <f>IF(OR(E194="",N194&lt;=0),"",IF(AND(O194="VOL-OK",Z194="VOL-NORMAL",X194="2ND"),"OK","NG"))</f>
        <v/>
      </c>
      <c r="AB194" s="14">
        <f>IF(OR(E194="",N194&lt;=0),"",IF(AND(F194&gt;J194,G194&gt;K194),"UP",IF(AND(F194&lt;J194,G194&lt;K194),"DOWN","FLAT")))</f>
        <v/>
      </c>
    </row>
    <row r="195" ht="26" customHeight="1" s="1">
      <c r="A195" s="8">
        <f>IF(C195="","",ROW()-2)</f>
        <v/>
      </c>
      <c r="B195" s="9">
        <f>IF('StockList_MS2'!A194="","",HYPERLINK("https://kabutan.jp/stock/?code="&amp;'StockList_MS2'!A194,"株探"))</f>
        <v/>
      </c>
      <c r="C195" s="8">
        <f>IF('StockList_MS2'!A194="","",'StockList_MS2'!A194)</f>
        <v/>
      </c>
      <c r="D195" s="10">
        <f>IF('StockList_MS2'!A194="","",'StockList_MS2'!B194)</f>
        <v/>
      </c>
      <c r="E195" s="11" t="n"/>
      <c r="F195" s="11" t="n"/>
      <c r="G195" s="11" t="n"/>
      <c r="H195" s="11" t="n"/>
      <c r="I195" s="12" t="n"/>
      <c r="J195" s="11" t="n"/>
      <c r="K195" s="11" t="n"/>
      <c r="L195" s="11" t="n"/>
      <c r="M195" s="8">
        <f>IF(E195="","",IF(E195&gt;L195,"BUY-DAY","SELL-DAY"))</f>
        <v/>
      </c>
      <c r="N195" s="13">
        <f>IF(E195="","",MAX(F195-G195,ABS(F195-L195),ABS(G195-L195)))</f>
        <v/>
      </c>
      <c r="O195" s="8">
        <f>IF(E195="","",IF(AND(I195&gt;0,I195&gt;(I195/3)*2.5),"VOL-OK","VOL-NG"))</f>
        <v/>
      </c>
      <c r="P195" s="8">
        <f>IF(E195="","",IF(E195&gt;J195,"ON","OFF"))</f>
        <v/>
      </c>
      <c r="Q195" s="8">
        <f>IF(E195="","",IF(E195&lt;K195,"ON","OFF"))</f>
        <v/>
      </c>
      <c r="R195" s="8">
        <f>IF(OR(E195="",N195&lt;=0),"",IF(AND(M195="BUY-DAY",O195="VOL-OK",Q195="ON",AA195="OK",AB195&lt;&gt;"DOWN"),"BUY",IF(AND(M195="SELL-DAY",O195="VOL-OK",P195="ON",AA195="OK",AB195&lt;&gt;"UP"),"SELL","")))</f>
        <v/>
      </c>
      <c r="S195" s="13">
        <f>IF(R195="","",E195)</f>
        <v/>
      </c>
      <c r="T195" s="13">
        <f>IF(R195="","",IF(R195="BUY",E195-N195*1.5,E195+N195*1.5))</f>
        <v/>
      </c>
      <c r="U195" s="13">
        <f>IF(R195="","",IF(R195="BUY",E195+N195*1.5,E195-N195*1.5))</f>
        <v/>
      </c>
      <c r="V195" s="13">
        <f>IF(R195="","",IF(R195="BUY",E195+N195*2,E195-N195*2))</f>
        <v/>
      </c>
      <c r="W195" s="13">
        <f>IF(R195="","",IF(R195="BUY",E195+N195*3,E195-N195*3))</f>
        <v/>
      </c>
      <c r="X195" s="8">
        <f>IF(OR(E195="",N195&lt;=0),"",IF(AND(E195&gt;H195,ABS(E195-H195)&lt;N195*0.5),"2ND","1ST"))</f>
        <v/>
      </c>
      <c r="Y195" s="8">
        <f>IF(OR(E195="",N195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95" s="8">
        <f>IF(OR(E195="",N195&lt;=0),"",IF(N195&gt;E195*0.05,"VOL-HIGH","VOL-NORMAL"))</f>
        <v/>
      </c>
      <c r="AA195" s="8">
        <f>IF(OR(E195="",N195&lt;=0),"",IF(AND(O195="VOL-OK",Z195="VOL-NORMAL",X195="2ND"),"OK","NG"))</f>
        <v/>
      </c>
      <c r="AB195" s="8">
        <f>IF(OR(E195="",N195&lt;=0),"",IF(AND(F195&gt;J195,G195&gt;K195),"UP",IF(AND(F195&lt;J195,G195&lt;K195),"DOWN","FLAT")))</f>
        <v/>
      </c>
    </row>
    <row r="196" ht="26" customHeight="1" s="1">
      <c r="A196" s="14">
        <f>IF(C196="","",ROW()-2)</f>
        <v/>
      </c>
      <c r="B196" s="15">
        <f>IF('StockList_MS2'!A195="","",HYPERLINK("https://kabutan.jp/stock/?code="&amp;'StockList_MS2'!A195,"株探"))</f>
        <v/>
      </c>
      <c r="C196" s="14">
        <f>IF('StockList_MS2'!A195="","",'StockList_MS2'!A195)</f>
        <v/>
      </c>
      <c r="D196" s="16">
        <f>IF('StockList_MS2'!A195="","",'StockList_MS2'!B195)</f>
        <v/>
      </c>
      <c r="E196" s="17" t="n"/>
      <c r="F196" s="17" t="n"/>
      <c r="G196" s="17" t="n"/>
      <c r="H196" s="17" t="n"/>
      <c r="I196" s="18" t="n"/>
      <c r="J196" s="17" t="n"/>
      <c r="K196" s="17" t="n"/>
      <c r="L196" s="17" t="n"/>
      <c r="M196" s="14">
        <f>IF(E196="","",IF(E196&gt;L196,"BUY-DAY","SELL-DAY"))</f>
        <v/>
      </c>
      <c r="N196" s="19">
        <f>IF(E196="","",MAX(F196-G196,ABS(F196-L196),ABS(G196-L196)))</f>
        <v/>
      </c>
      <c r="O196" s="14">
        <f>IF(E196="","",IF(AND(I196&gt;0,I196&gt;(I196/3)*2.5),"VOL-OK","VOL-NG"))</f>
        <v/>
      </c>
      <c r="P196" s="14">
        <f>IF(E196="","",IF(E196&gt;J196,"ON","OFF"))</f>
        <v/>
      </c>
      <c r="Q196" s="14">
        <f>IF(E196="","",IF(E196&lt;K196,"ON","OFF"))</f>
        <v/>
      </c>
      <c r="R196" s="14">
        <f>IF(OR(E196="",N196&lt;=0),"",IF(AND(M196="BUY-DAY",O196="VOL-OK",Q196="ON",AA196="OK",AB196&lt;&gt;"DOWN"),"BUY",IF(AND(M196="SELL-DAY",O196="VOL-OK",P196="ON",AA196="OK",AB196&lt;&gt;"UP"),"SELL","")))</f>
        <v/>
      </c>
      <c r="S196" s="19">
        <f>IF(R196="","",E196)</f>
        <v/>
      </c>
      <c r="T196" s="19">
        <f>IF(R196="","",IF(R196="BUY",E196-N196*1.5,E196+N196*1.5))</f>
        <v/>
      </c>
      <c r="U196" s="19">
        <f>IF(R196="","",IF(R196="BUY",E196+N196*1.5,E196-N196*1.5))</f>
        <v/>
      </c>
      <c r="V196" s="19">
        <f>IF(R196="","",IF(R196="BUY",E196+N196*2,E196-N196*2))</f>
        <v/>
      </c>
      <c r="W196" s="19">
        <f>IF(R196="","",IF(R196="BUY",E196+N196*3,E196-N196*3))</f>
        <v/>
      </c>
      <c r="X196" s="14">
        <f>IF(OR(E196="",N196&lt;=0),"",IF(AND(E196&gt;H196,ABS(E196-H196)&lt;N196*0.5),"2ND","1ST"))</f>
        <v/>
      </c>
      <c r="Y196" s="14">
        <f>IF(OR(E196="",N196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96" s="14">
        <f>IF(OR(E196="",N196&lt;=0),"",IF(N196&gt;E196*0.05,"VOL-HIGH","VOL-NORMAL"))</f>
        <v/>
      </c>
      <c r="AA196" s="14">
        <f>IF(OR(E196="",N196&lt;=0),"",IF(AND(O196="VOL-OK",Z196="VOL-NORMAL",X196="2ND"),"OK","NG"))</f>
        <v/>
      </c>
      <c r="AB196" s="14">
        <f>IF(OR(E196="",N196&lt;=0),"",IF(AND(F196&gt;J196,G196&gt;K196),"UP",IF(AND(F196&lt;J196,G196&lt;K196),"DOWN","FLAT")))</f>
        <v/>
      </c>
    </row>
    <row r="197" ht="26" customHeight="1" s="1">
      <c r="A197" s="8">
        <f>IF(C197="","",ROW()-2)</f>
        <v/>
      </c>
      <c r="B197" s="9">
        <f>IF('StockList_MS2'!A196="","",HYPERLINK("https://kabutan.jp/stock/?code="&amp;'StockList_MS2'!A196,"株探"))</f>
        <v/>
      </c>
      <c r="C197" s="8">
        <f>IF('StockList_MS2'!A196="","",'StockList_MS2'!A196)</f>
        <v/>
      </c>
      <c r="D197" s="10">
        <f>IF('StockList_MS2'!A196="","",'StockList_MS2'!B196)</f>
        <v/>
      </c>
      <c r="E197" s="11" t="n"/>
      <c r="F197" s="11" t="n"/>
      <c r="G197" s="11" t="n"/>
      <c r="H197" s="11" t="n"/>
      <c r="I197" s="12" t="n"/>
      <c r="J197" s="11" t="n"/>
      <c r="K197" s="11" t="n"/>
      <c r="L197" s="11" t="n"/>
      <c r="M197" s="8">
        <f>IF(E197="","",IF(E197&gt;L197,"BUY-DAY","SELL-DAY"))</f>
        <v/>
      </c>
      <c r="N197" s="13">
        <f>IF(E197="","",MAX(F197-G197,ABS(F197-L197),ABS(G197-L197)))</f>
        <v/>
      </c>
      <c r="O197" s="8">
        <f>IF(E197="","",IF(AND(I197&gt;0,I197&gt;(I197/3)*2.5),"VOL-OK","VOL-NG"))</f>
        <v/>
      </c>
      <c r="P197" s="8">
        <f>IF(E197="","",IF(E197&gt;J197,"ON","OFF"))</f>
        <v/>
      </c>
      <c r="Q197" s="8">
        <f>IF(E197="","",IF(E197&lt;K197,"ON","OFF"))</f>
        <v/>
      </c>
      <c r="R197" s="8">
        <f>IF(OR(E197="",N197&lt;=0),"",IF(AND(M197="BUY-DAY",O197="VOL-OK",Q197="ON",AA197="OK",AB197&lt;&gt;"DOWN"),"BUY",IF(AND(M197="SELL-DAY",O197="VOL-OK",P197="ON",AA197="OK",AB197&lt;&gt;"UP"),"SELL","")))</f>
        <v/>
      </c>
      <c r="S197" s="13">
        <f>IF(R197="","",E197)</f>
        <v/>
      </c>
      <c r="T197" s="13">
        <f>IF(R197="","",IF(R197="BUY",E197-N197*1.5,E197+N197*1.5))</f>
        <v/>
      </c>
      <c r="U197" s="13">
        <f>IF(R197="","",IF(R197="BUY",E197+N197*1.5,E197-N197*1.5))</f>
        <v/>
      </c>
      <c r="V197" s="13">
        <f>IF(R197="","",IF(R197="BUY",E197+N197*2,E197-N197*2))</f>
        <v/>
      </c>
      <c r="W197" s="13">
        <f>IF(R197="","",IF(R197="BUY",E197+N197*3,E197-N197*3))</f>
        <v/>
      </c>
      <c r="X197" s="8">
        <f>IF(OR(E197="",N197&lt;=0),"",IF(AND(E197&gt;H197,ABS(E197-H197)&lt;N197*0.5),"2ND","1ST"))</f>
        <v/>
      </c>
      <c r="Y197" s="8">
        <f>IF(OR(E197="",N197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97" s="8">
        <f>IF(OR(E197="",N197&lt;=0),"",IF(N197&gt;E197*0.05,"VOL-HIGH","VOL-NORMAL"))</f>
        <v/>
      </c>
      <c r="AA197" s="8">
        <f>IF(OR(E197="",N197&lt;=0),"",IF(AND(O197="VOL-OK",Z197="VOL-NORMAL",X197="2ND"),"OK","NG"))</f>
        <v/>
      </c>
      <c r="AB197" s="8">
        <f>IF(OR(E197="",N197&lt;=0),"",IF(AND(F197&gt;J197,G197&gt;K197),"UP",IF(AND(F197&lt;J197,G197&lt;K197),"DOWN","FLAT")))</f>
        <v/>
      </c>
    </row>
    <row r="198" ht="26" customHeight="1" s="1">
      <c r="A198" s="14">
        <f>IF(C198="","",ROW()-2)</f>
        <v/>
      </c>
      <c r="B198" s="15">
        <f>IF('StockList_MS2'!A197="","",HYPERLINK("https://kabutan.jp/stock/?code="&amp;'StockList_MS2'!A197,"株探"))</f>
        <v/>
      </c>
      <c r="C198" s="14">
        <f>IF('StockList_MS2'!A197="","",'StockList_MS2'!A197)</f>
        <v/>
      </c>
      <c r="D198" s="16">
        <f>IF('StockList_MS2'!A197="","",'StockList_MS2'!B197)</f>
        <v/>
      </c>
      <c r="E198" s="17" t="n"/>
      <c r="F198" s="17" t="n"/>
      <c r="G198" s="17" t="n"/>
      <c r="H198" s="17" t="n"/>
      <c r="I198" s="18" t="n"/>
      <c r="J198" s="17" t="n"/>
      <c r="K198" s="17" t="n"/>
      <c r="L198" s="17" t="n"/>
      <c r="M198" s="14">
        <f>IF(E198="","",IF(E198&gt;L198,"BUY-DAY","SELL-DAY"))</f>
        <v/>
      </c>
      <c r="N198" s="19">
        <f>IF(E198="","",MAX(F198-G198,ABS(F198-L198),ABS(G198-L198)))</f>
        <v/>
      </c>
      <c r="O198" s="14">
        <f>IF(E198="","",IF(AND(I198&gt;0,I198&gt;(I198/3)*2.5),"VOL-OK","VOL-NG"))</f>
        <v/>
      </c>
      <c r="P198" s="14">
        <f>IF(E198="","",IF(E198&gt;J198,"ON","OFF"))</f>
        <v/>
      </c>
      <c r="Q198" s="14">
        <f>IF(E198="","",IF(E198&lt;K198,"ON","OFF"))</f>
        <v/>
      </c>
      <c r="R198" s="14">
        <f>IF(OR(E198="",N198&lt;=0),"",IF(AND(M198="BUY-DAY",O198="VOL-OK",Q198="ON",AA198="OK",AB198&lt;&gt;"DOWN"),"BUY",IF(AND(M198="SELL-DAY",O198="VOL-OK",P198="ON",AA198="OK",AB198&lt;&gt;"UP"),"SELL","")))</f>
        <v/>
      </c>
      <c r="S198" s="19">
        <f>IF(R198="","",E198)</f>
        <v/>
      </c>
      <c r="T198" s="19">
        <f>IF(R198="","",IF(R198="BUY",E198-N198*1.5,E198+N198*1.5))</f>
        <v/>
      </c>
      <c r="U198" s="19">
        <f>IF(R198="","",IF(R198="BUY",E198+N198*1.5,E198-N198*1.5))</f>
        <v/>
      </c>
      <c r="V198" s="19">
        <f>IF(R198="","",IF(R198="BUY",E198+N198*2,E198-N198*2))</f>
        <v/>
      </c>
      <c r="W198" s="19">
        <f>IF(R198="","",IF(R198="BUY",E198+N198*3,E198-N198*3))</f>
        <v/>
      </c>
      <c r="X198" s="14">
        <f>IF(OR(E198="",N198&lt;=0),"",IF(AND(E198&gt;H198,ABS(E198-H198)&lt;N198*0.5),"2ND","1ST"))</f>
        <v/>
      </c>
      <c r="Y198" s="14">
        <f>IF(OR(E198="",N198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98" s="14">
        <f>IF(OR(E198="",N198&lt;=0),"",IF(N198&gt;E198*0.05,"VOL-HIGH","VOL-NORMAL"))</f>
        <v/>
      </c>
      <c r="AA198" s="14">
        <f>IF(OR(E198="",N198&lt;=0),"",IF(AND(O198="VOL-OK",Z198="VOL-NORMAL",X198="2ND"),"OK","NG"))</f>
        <v/>
      </c>
      <c r="AB198" s="14">
        <f>IF(OR(E198="",N198&lt;=0),"",IF(AND(F198&gt;J198,G198&gt;K198),"UP",IF(AND(F198&lt;J198,G198&lt;K198),"DOWN","FLAT")))</f>
        <v/>
      </c>
    </row>
    <row r="199" ht="26" customHeight="1" s="1">
      <c r="A199" s="8">
        <f>IF(C199="","",ROW()-2)</f>
        <v/>
      </c>
      <c r="B199" s="9">
        <f>IF('StockList_MS2'!A198="","",HYPERLINK("https://kabutan.jp/stock/?code="&amp;'StockList_MS2'!A198,"株探"))</f>
        <v/>
      </c>
      <c r="C199" s="8">
        <f>IF('StockList_MS2'!A198="","",'StockList_MS2'!A198)</f>
        <v/>
      </c>
      <c r="D199" s="10">
        <f>IF('StockList_MS2'!A198="","",'StockList_MS2'!B198)</f>
        <v/>
      </c>
      <c r="E199" s="11" t="n"/>
      <c r="F199" s="11" t="n"/>
      <c r="G199" s="11" t="n"/>
      <c r="H199" s="11" t="n"/>
      <c r="I199" s="12" t="n"/>
      <c r="J199" s="11" t="n"/>
      <c r="K199" s="11" t="n"/>
      <c r="L199" s="11" t="n"/>
      <c r="M199" s="8">
        <f>IF(E199="","",IF(E199&gt;L199,"BUY-DAY","SELL-DAY"))</f>
        <v/>
      </c>
      <c r="N199" s="13">
        <f>IF(E199="","",MAX(F199-G199,ABS(F199-L199),ABS(G199-L199)))</f>
        <v/>
      </c>
      <c r="O199" s="8">
        <f>IF(E199="","",IF(AND(I199&gt;0,I199&gt;(I199/3)*2.5),"VOL-OK","VOL-NG"))</f>
        <v/>
      </c>
      <c r="P199" s="8">
        <f>IF(E199="","",IF(E199&gt;J199,"ON","OFF"))</f>
        <v/>
      </c>
      <c r="Q199" s="8">
        <f>IF(E199="","",IF(E199&lt;K199,"ON","OFF"))</f>
        <v/>
      </c>
      <c r="R199" s="8">
        <f>IF(OR(E199="",N199&lt;=0),"",IF(AND(M199="BUY-DAY",O199="VOL-OK",Q199="ON",AA199="OK",AB199&lt;&gt;"DOWN"),"BUY",IF(AND(M199="SELL-DAY",O199="VOL-OK",P199="ON",AA199="OK",AB199&lt;&gt;"UP"),"SELL","")))</f>
        <v/>
      </c>
      <c r="S199" s="13">
        <f>IF(R199="","",E199)</f>
        <v/>
      </c>
      <c r="T199" s="13">
        <f>IF(R199="","",IF(R199="BUY",E199-N199*1.5,E199+N199*1.5))</f>
        <v/>
      </c>
      <c r="U199" s="13">
        <f>IF(R199="","",IF(R199="BUY",E199+N199*1.5,E199-N199*1.5))</f>
        <v/>
      </c>
      <c r="V199" s="13">
        <f>IF(R199="","",IF(R199="BUY",E199+N199*2,E199-N199*2))</f>
        <v/>
      </c>
      <c r="W199" s="13">
        <f>IF(R199="","",IF(R199="BUY",E199+N199*3,E199-N199*3))</f>
        <v/>
      </c>
      <c r="X199" s="8">
        <f>IF(OR(E199="",N199&lt;=0),"",IF(AND(E199&gt;H199,ABS(E199-H199)&lt;N199*0.5),"2ND","1ST"))</f>
        <v/>
      </c>
      <c r="Y199" s="8">
        <f>IF(OR(E199="",N199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199" s="8">
        <f>IF(OR(E199="",N199&lt;=0),"",IF(N199&gt;E199*0.05,"VOL-HIGH","VOL-NORMAL"))</f>
        <v/>
      </c>
      <c r="AA199" s="8">
        <f>IF(OR(E199="",N199&lt;=0),"",IF(AND(O199="VOL-OK",Z199="VOL-NORMAL",X199="2ND"),"OK","NG"))</f>
        <v/>
      </c>
      <c r="AB199" s="8">
        <f>IF(OR(E199="",N199&lt;=0),"",IF(AND(F199&gt;J199,G199&gt;K199),"UP",IF(AND(F199&lt;J199,G199&lt;K199),"DOWN","FLAT")))</f>
        <v/>
      </c>
    </row>
    <row r="200" ht="26" customHeight="1" s="1">
      <c r="A200" s="14">
        <f>IF(C200="","",ROW()-2)</f>
        <v/>
      </c>
      <c r="B200" s="15">
        <f>IF('StockList_MS2'!A199="","",HYPERLINK("https://kabutan.jp/stock/?code="&amp;'StockList_MS2'!A199,"株探"))</f>
        <v/>
      </c>
      <c r="C200" s="14">
        <f>IF('StockList_MS2'!A199="","",'StockList_MS2'!A199)</f>
        <v/>
      </c>
      <c r="D200" s="16">
        <f>IF('StockList_MS2'!A199="","",'StockList_MS2'!B199)</f>
        <v/>
      </c>
      <c r="E200" s="17" t="n"/>
      <c r="F200" s="17" t="n"/>
      <c r="G200" s="17" t="n"/>
      <c r="H200" s="17" t="n"/>
      <c r="I200" s="18" t="n"/>
      <c r="J200" s="17" t="n"/>
      <c r="K200" s="17" t="n"/>
      <c r="L200" s="17" t="n"/>
      <c r="M200" s="14">
        <f>IF(E200="","",IF(E200&gt;L200,"BUY-DAY","SELL-DAY"))</f>
        <v/>
      </c>
      <c r="N200" s="19">
        <f>IF(E200="","",MAX(F200-G200,ABS(F200-L200),ABS(G200-L200)))</f>
        <v/>
      </c>
      <c r="O200" s="14">
        <f>IF(E200="","",IF(AND(I200&gt;0,I200&gt;(I200/3)*2.5),"VOL-OK","VOL-NG"))</f>
        <v/>
      </c>
      <c r="P200" s="14">
        <f>IF(E200="","",IF(E200&gt;J200,"ON","OFF"))</f>
        <v/>
      </c>
      <c r="Q200" s="14">
        <f>IF(E200="","",IF(E200&lt;K200,"ON","OFF"))</f>
        <v/>
      </c>
      <c r="R200" s="14">
        <f>IF(OR(E200="",N200&lt;=0),"",IF(AND(M200="BUY-DAY",O200="VOL-OK",Q200="ON",AA200="OK",AB200&lt;&gt;"DOWN"),"BUY",IF(AND(M200="SELL-DAY",O200="VOL-OK",P200="ON",AA200="OK",AB200&lt;&gt;"UP"),"SELL","")))</f>
        <v/>
      </c>
      <c r="S200" s="19">
        <f>IF(R200="","",E200)</f>
        <v/>
      </c>
      <c r="T200" s="19">
        <f>IF(R200="","",IF(R200="BUY",E200-N200*1.5,E200+N200*1.5))</f>
        <v/>
      </c>
      <c r="U200" s="19">
        <f>IF(R200="","",IF(R200="BUY",E200+N200*1.5,E200-N200*1.5))</f>
        <v/>
      </c>
      <c r="V200" s="19">
        <f>IF(R200="","",IF(R200="BUY",E200+N200*2,E200-N200*2))</f>
        <v/>
      </c>
      <c r="W200" s="19">
        <f>IF(R200="","",IF(R200="BUY",E200+N200*3,E200-N200*3))</f>
        <v/>
      </c>
      <c r="X200" s="14">
        <f>IF(OR(E200="",N200&lt;=0),"",IF(AND(E200&gt;H200,ABS(E200-H200)&lt;N200*0.5),"2ND","1ST"))</f>
        <v/>
      </c>
      <c r="Y200" s="14">
        <f>IF(OR(E200="",N200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00" s="14">
        <f>IF(OR(E200="",N200&lt;=0),"",IF(N200&gt;E200*0.05,"VOL-HIGH","VOL-NORMAL"))</f>
        <v/>
      </c>
      <c r="AA200" s="14">
        <f>IF(OR(E200="",N200&lt;=0),"",IF(AND(O200="VOL-OK",Z200="VOL-NORMAL",X200="2ND"),"OK","NG"))</f>
        <v/>
      </c>
      <c r="AB200" s="14">
        <f>IF(OR(E200="",N200&lt;=0),"",IF(AND(F200&gt;J200,G200&gt;K200),"UP",IF(AND(F200&lt;J200,G200&lt;K200),"DOWN","FLAT")))</f>
        <v/>
      </c>
    </row>
    <row r="201" ht="26" customHeight="1" s="1">
      <c r="A201" s="8">
        <f>IF(C201="","",ROW()-2)</f>
        <v/>
      </c>
      <c r="B201" s="9">
        <f>IF('StockList_MS2'!A200="","",HYPERLINK("https://kabutan.jp/stock/?code="&amp;'StockList_MS2'!A200,"株探"))</f>
        <v/>
      </c>
      <c r="C201" s="8">
        <f>IF('StockList_MS2'!A200="","",'StockList_MS2'!A200)</f>
        <v/>
      </c>
      <c r="D201" s="10">
        <f>IF('StockList_MS2'!A200="","",'StockList_MS2'!B200)</f>
        <v/>
      </c>
      <c r="E201" s="11" t="n"/>
      <c r="F201" s="11" t="n"/>
      <c r="G201" s="11" t="n"/>
      <c r="H201" s="11" t="n"/>
      <c r="I201" s="12" t="n"/>
      <c r="J201" s="11" t="n"/>
      <c r="K201" s="11" t="n"/>
      <c r="L201" s="11" t="n"/>
      <c r="M201" s="8">
        <f>IF(E201="","",IF(E201&gt;L201,"BUY-DAY","SELL-DAY"))</f>
        <v/>
      </c>
      <c r="N201" s="13">
        <f>IF(E201="","",MAX(F201-G201,ABS(F201-L201),ABS(G201-L201)))</f>
        <v/>
      </c>
      <c r="O201" s="8">
        <f>IF(E201="","",IF(AND(I201&gt;0,I201&gt;(I201/3)*2.5),"VOL-OK","VOL-NG"))</f>
        <v/>
      </c>
      <c r="P201" s="8">
        <f>IF(E201="","",IF(E201&gt;J201,"ON","OFF"))</f>
        <v/>
      </c>
      <c r="Q201" s="8">
        <f>IF(E201="","",IF(E201&lt;K201,"ON","OFF"))</f>
        <v/>
      </c>
      <c r="R201" s="8">
        <f>IF(OR(E201="",N201&lt;=0),"",IF(AND(M201="BUY-DAY",O201="VOL-OK",Q201="ON",AA201="OK",AB201&lt;&gt;"DOWN"),"BUY",IF(AND(M201="SELL-DAY",O201="VOL-OK",P201="ON",AA201="OK",AB201&lt;&gt;"UP"),"SELL","")))</f>
        <v/>
      </c>
      <c r="S201" s="13">
        <f>IF(R201="","",E201)</f>
        <v/>
      </c>
      <c r="T201" s="13">
        <f>IF(R201="","",IF(R201="BUY",E201-N201*1.5,E201+N201*1.5))</f>
        <v/>
      </c>
      <c r="U201" s="13">
        <f>IF(R201="","",IF(R201="BUY",E201+N201*1.5,E201-N201*1.5))</f>
        <v/>
      </c>
      <c r="V201" s="13">
        <f>IF(R201="","",IF(R201="BUY",E201+N201*2,E201-N201*2))</f>
        <v/>
      </c>
      <c r="W201" s="13">
        <f>IF(R201="","",IF(R201="BUY",E201+N201*3,E201-N201*3))</f>
        <v/>
      </c>
      <c r="X201" s="8">
        <f>IF(OR(E201="",N201&lt;=0),"",IF(AND(E201&gt;H201,ABS(E201-H201)&lt;N201*0.5),"2ND","1ST"))</f>
        <v/>
      </c>
      <c r="Y201" s="8">
        <f>IF(OR(E201="",N201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01" s="8">
        <f>IF(OR(E201="",N201&lt;=0),"",IF(N201&gt;E201*0.05,"VOL-HIGH","VOL-NORMAL"))</f>
        <v/>
      </c>
      <c r="AA201" s="8">
        <f>IF(OR(E201="",N201&lt;=0),"",IF(AND(O201="VOL-OK",Z201="VOL-NORMAL",X201="2ND"),"OK","NG"))</f>
        <v/>
      </c>
      <c r="AB201" s="8">
        <f>IF(OR(E201="",N201&lt;=0),"",IF(AND(F201&gt;J201,G201&gt;K201),"UP",IF(AND(F201&lt;J201,G201&lt;K201),"DOWN","FLAT")))</f>
        <v/>
      </c>
    </row>
    <row r="202" ht="26" customHeight="1" s="1">
      <c r="A202" s="14">
        <f>IF(C202="","",ROW()-2)</f>
        <v/>
      </c>
      <c r="B202" s="15">
        <f>IF('StockList_MS2'!A201="","",HYPERLINK("https://kabutan.jp/stock/?code="&amp;'StockList_MS2'!A201,"株探"))</f>
        <v/>
      </c>
      <c r="C202" s="14">
        <f>IF('StockList_MS2'!A201="","",'StockList_MS2'!A201)</f>
        <v/>
      </c>
      <c r="D202" s="16">
        <f>IF('StockList_MS2'!A201="","",'StockList_MS2'!B201)</f>
        <v/>
      </c>
      <c r="E202" s="17" t="n"/>
      <c r="F202" s="17" t="n"/>
      <c r="G202" s="17" t="n"/>
      <c r="H202" s="17" t="n"/>
      <c r="I202" s="18" t="n"/>
      <c r="J202" s="17" t="n"/>
      <c r="K202" s="17" t="n"/>
      <c r="L202" s="17" t="n"/>
      <c r="M202" s="14">
        <f>IF(E202="","",IF(E202&gt;L202,"BUY-DAY","SELL-DAY"))</f>
        <v/>
      </c>
      <c r="N202" s="19">
        <f>IF(E202="","",MAX(F202-G202,ABS(F202-L202),ABS(G202-L202)))</f>
        <v/>
      </c>
      <c r="O202" s="14">
        <f>IF(E202="","",IF(AND(I202&gt;0,I202&gt;(I202/3)*2.5),"VOL-OK","VOL-NG"))</f>
        <v/>
      </c>
      <c r="P202" s="14">
        <f>IF(E202="","",IF(E202&gt;J202,"ON","OFF"))</f>
        <v/>
      </c>
      <c r="Q202" s="14">
        <f>IF(E202="","",IF(E202&lt;K202,"ON","OFF"))</f>
        <v/>
      </c>
      <c r="R202" s="14">
        <f>IF(OR(E202="",N202&lt;=0),"",IF(AND(M202="BUY-DAY",O202="VOL-OK",Q202="ON",AA202="OK",AB202&lt;&gt;"DOWN"),"BUY",IF(AND(M202="SELL-DAY",O202="VOL-OK",P202="ON",AA202="OK",AB202&lt;&gt;"UP"),"SELL","")))</f>
        <v/>
      </c>
      <c r="S202" s="19">
        <f>IF(R202="","",E202)</f>
        <v/>
      </c>
      <c r="T202" s="19">
        <f>IF(R202="","",IF(R202="BUY",E202-N202*1.5,E202+N202*1.5))</f>
        <v/>
      </c>
      <c r="U202" s="19">
        <f>IF(R202="","",IF(R202="BUY",E202+N202*1.5,E202-N202*1.5))</f>
        <v/>
      </c>
      <c r="V202" s="19">
        <f>IF(R202="","",IF(R202="BUY",E202+N202*2,E202-N202*2))</f>
        <v/>
      </c>
      <c r="W202" s="19">
        <f>IF(R202="","",IF(R202="BUY",E202+N202*3,E202-N202*3))</f>
        <v/>
      </c>
      <c r="X202" s="14">
        <f>IF(OR(E202="",N202&lt;=0),"",IF(AND(E202&gt;H202,ABS(E202-H202)&lt;N202*0.5),"2ND","1ST"))</f>
        <v/>
      </c>
      <c r="Y202" s="14">
        <f>IF(OR(E202="",N202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02" s="14">
        <f>IF(OR(E202="",N202&lt;=0),"",IF(N202&gt;E202*0.05,"VOL-HIGH","VOL-NORMAL"))</f>
        <v/>
      </c>
      <c r="AA202" s="14">
        <f>IF(OR(E202="",N202&lt;=0),"",IF(AND(O202="VOL-OK",Z202="VOL-NORMAL",X202="2ND"),"OK","NG"))</f>
        <v/>
      </c>
      <c r="AB202" s="14">
        <f>IF(OR(E202="",N202&lt;=0),"",IF(AND(F202&gt;J202,G202&gt;K202),"UP",IF(AND(F202&lt;J202,G202&lt;K202),"DOWN","FLAT")))</f>
        <v/>
      </c>
    </row>
    <row r="203" ht="26" customHeight="1" s="1">
      <c r="A203" s="8">
        <f>IF(C203="","",ROW()-2)</f>
        <v/>
      </c>
      <c r="B203" s="9">
        <f>IF('StockList_MS2'!A202="","",HYPERLINK("https://kabutan.jp/stock/?code="&amp;'StockList_MS2'!A202,"株探"))</f>
        <v/>
      </c>
      <c r="C203" s="8">
        <f>IF('StockList_MS2'!A202="","",'StockList_MS2'!A202)</f>
        <v/>
      </c>
      <c r="D203" s="10">
        <f>IF('StockList_MS2'!A202="","",'StockList_MS2'!B202)</f>
        <v/>
      </c>
      <c r="E203" s="11" t="n"/>
      <c r="F203" s="11" t="n"/>
      <c r="G203" s="11" t="n"/>
      <c r="H203" s="11" t="n"/>
      <c r="I203" s="12" t="n"/>
      <c r="J203" s="11" t="n"/>
      <c r="K203" s="11" t="n"/>
      <c r="L203" s="11" t="n"/>
      <c r="M203" s="8">
        <f>IF(E203="","",IF(E203&gt;L203,"BUY-DAY","SELL-DAY"))</f>
        <v/>
      </c>
      <c r="N203" s="13">
        <f>IF(E203="","",MAX(F203-G203,ABS(F203-L203),ABS(G203-L203)))</f>
        <v/>
      </c>
      <c r="O203" s="8">
        <f>IF(E203="","",IF(AND(I203&gt;0,I203&gt;(I203/3)*2.5),"VOL-OK","VOL-NG"))</f>
        <v/>
      </c>
      <c r="P203" s="8">
        <f>IF(E203="","",IF(E203&gt;J203,"ON","OFF"))</f>
        <v/>
      </c>
      <c r="Q203" s="8">
        <f>IF(E203="","",IF(E203&lt;K203,"ON","OFF"))</f>
        <v/>
      </c>
      <c r="R203" s="8">
        <f>IF(OR(E203="",N203&lt;=0),"",IF(AND(M203="BUY-DAY",O203="VOL-OK",Q203="ON",AA203="OK",AB203&lt;&gt;"DOWN"),"BUY",IF(AND(M203="SELL-DAY",O203="VOL-OK",P203="ON",AA203="OK",AB203&lt;&gt;"UP"),"SELL","")))</f>
        <v/>
      </c>
      <c r="S203" s="13">
        <f>IF(R203="","",E203)</f>
        <v/>
      </c>
      <c r="T203" s="13">
        <f>IF(R203="","",IF(R203="BUY",E203-N203*1.5,E203+N203*1.5))</f>
        <v/>
      </c>
      <c r="U203" s="13">
        <f>IF(R203="","",IF(R203="BUY",E203+N203*1.5,E203-N203*1.5))</f>
        <v/>
      </c>
      <c r="V203" s="13">
        <f>IF(R203="","",IF(R203="BUY",E203+N203*2,E203-N203*2))</f>
        <v/>
      </c>
      <c r="W203" s="13">
        <f>IF(R203="","",IF(R203="BUY",E203+N203*3,E203-N203*3))</f>
        <v/>
      </c>
      <c r="X203" s="8">
        <f>IF(OR(E203="",N203&lt;=0),"",IF(AND(E203&gt;H203,ABS(E203-H203)&lt;N203*0.5),"2ND","1ST"))</f>
        <v/>
      </c>
      <c r="Y203" s="8">
        <f>IF(OR(E203="",N203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03" s="8">
        <f>IF(OR(E203="",N203&lt;=0),"",IF(N203&gt;E203*0.05,"VOL-HIGH","VOL-NORMAL"))</f>
        <v/>
      </c>
      <c r="AA203" s="8">
        <f>IF(OR(E203="",N203&lt;=0),"",IF(AND(O203="VOL-OK",Z203="VOL-NORMAL",X203="2ND"),"OK","NG"))</f>
        <v/>
      </c>
      <c r="AB203" s="8">
        <f>IF(OR(E203="",N203&lt;=0),"",IF(AND(F203&gt;J203,G203&gt;K203),"UP",IF(AND(F203&lt;J203,G203&lt;K203),"DOWN","FLAT")))</f>
        <v/>
      </c>
    </row>
    <row r="204" ht="26" customHeight="1" s="1">
      <c r="A204" s="14">
        <f>IF(C204="","",ROW()-2)</f>
        <v/>
      </c>
      <c r="B204" s="15">
        <f>IF('StockList_MS2'!A203="","",HYPERLINK("https://kabutan.jp/stock/?code="&amp;'StockList_MS2'!A203,"株探"))</f>
        <v/>
      </c>
      <c r="C204" s="14">
        <f>IF('StockList_MS2'!A203="","",'StockList_MS2'!A203)</f>
        <v/>
      </c>
      <c r="D204" s="16">
        <f>IF('StockList_MS2'!A203="","",'StockList_MS2'!B203)</f>
        <v/>
      </c>
      <c r="E204" s="17" t="n"/>
      <c r="F204" s="17" t="n"/>
      <c r="G204" s="17" t="n"/>
      <c r="H204" s="17" t="n"/>
      <c r="I204" s="18" t="n"/>
      <c r="J204" s="17" t="n"/>
      <c r="K204" s="17" t="n"/>
      <c r="L204" s="17" t="n"/>
      <c r="M204" s="14">
        <f>IF(E204="","",IF(E204&gt;L204,"BUY-DAY","SELL-DAY"))</f>
        <v/>
      </c>
      <c r="N204" s="19">
        <f>IF(E204="","",MAX(F204-G204,ABS(F204-L204),ABS(G204-L204)))</f>
        <v/>
      </c>
      <c r="O204" s="14">
        <f>IF(E204="","",IF(AND(I204&gt;0,I204&gt;(I204/3)*2.5),"VOL-OK","VOL-NG"))</f>
        <v/>
      </c>
      <c r="P204" s="14">
        <f>IF(E204="","",IF(E204&gt;J204,"ON","OFF"))</f>
        <v/>
      </c>
      <c r="Q204" s="14">
        <f>IF(E204="","",IF(E204&lt;K204,"ON","OFF"))</f>
        <v/>
      </c>
      <c r="R204" s="14">
        <f>IF(OR(E204="",N204&lt;=0),"",IF(AND(M204="BUY-DAY",O204="VOL-OK",Q204="ON",AA204="OK",AB204&lt;&gt;"DOWN"),"BUY",IF(AND(M204="SELL-DAY",O204="VOL-OK",P204="ON",AA204="OK",AB204&lt;&gt;"UP"),"SELL","")))</f>
        <v/>
      </c>
      <c r="S204" s="19">
        <f>IF(R204="","",E204)</f>
        <v/>
      </c>
      <c r="T204" s="19">
        <f>IF(R204="","",IF(R204="BUY",E204-N204*1.5,E204+N204*1.5))</f>
        <v/>
      </c>
      <c r="U204" s="19">
        <f>IF(R204="","",IF(R204="BUY",E204+N204*1.5,E204-N204*1.5))</f>
        <v/>
      </c>
      <c r="V204" s="19">
        <f>IF(R204="","",IF(R204="BUY",E204+N204*2,E204-N204*2))</f>
        <v/>
      </c>
      <c r="W204" s="19">
        <f>IF(R204="","",IF(R204="BUY",E204+N204*3,E204-N204*3))</f>
        <v/>
      </c>
      <c r="X204" s="14">
        <f>IF(OR(E204="",N204&lt;=0),"",IF(AND(E204&gt;H204,ABS(E204-H204)&lt;N204*0.5),"2ND","1ST"))</f>
        <v/>
      </c>
      <c r="Y204" s="14">
        <f>IF(OR(E204="",N204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04" s="14">
        <f>IF(OR(E204="",N204&lt;=0),"",IF(N204&gt;E204*0.05,"VOL-HIGH","VOL-NORMAL"))</f>
        <v/>
      </c>
      <c r="AA204" s="14">
        <f>IF(OR(E204="",N204&lt;=0),"",IF(AND(O204="VOL-OK",Z204="VOL-NORMAL",X204="2ND"),"OK","NG"))</f>
        <v/>
      </c>
      <c r="AB204" s="14">
        <f>IF(OR(E204="",N204&lt;=0),"",IF(AND(F204&gt;J204,G204&gt;K204),"UP",IF(AND(F204&lt;J204,G204&lt;K204),"DOWN","FLAT")))</f>
        <v/>
      </c>
    </row>
    <row r="205" ht="26" customHeight="1" s="1">
      <c r="A205" s="8">
        <f>IF(C205="","",ROW()-2)</f>
        <v/>
      </c>
      <c r="B205" s="9">
        <f>IF('StockList_MS2'!A204="","",HYPERLINK("https://kabutan.jp/stock/?code="&amp;'StockList_MS2'!A204,"株探"))</f>
        <v/>
      </c>
      <c r="C205" s="8">
        <f>IF('StockList_MS2'!A204="","",'StockList_MS2'!A204)</f>
        <v/>
      </c>
      <c r="D205" s="10">
        <f>IF('StockList_MS2'!A204="","",'StockList_MS2'!B204)</f>
        <v/>
      </c>
      <c r="E205" s="11" t="n"/>
      <c r="F205" s="11" t="n"/>
      <c r="G205" s="11" t="n"/>
      <c r="H205" s="11" t="n"/>
      <c r="I205" s="12" t="n"/>
      <c r="J205" s="11" t="n"/>
      <c r="K205" s="11" t="n"/>
      <c r="L205" s="11" t="n"/>
      <c r="M205" s="8">
        <f>IF(E205="","",IF(E205&gt;L205,"BUY-DAY","SELL-DAY"))</f>
        <v/>
      </c>
      <c r="N205" s="13">
        <f>IF(E205="","",MAX(F205-G205,ABS(F205-L205),ABS(G205-L205)))</f>
        <v/>
      </c>
      <c r="O205" s="8">
        <f>IF(E205="","",IF(AND(I205&gt;0,I205&gt;(I205/3)*2.5),"VOL-OK","VOL-NG"))</f>
        <v/>
      </c>
      <c r="P205" s="8">
        <f>IF(E205="","",IF(E205&gt;J205,"ON","OFF"))</f>
        <v/>
      </c>
      <c r="Q205" s="8">
        <f>IF(E205="","",IF(E205&lt;K205,"ON","OFF"))</f>
        <v/>
      </c>
      <c r="R205" s="8">
        <f>IF(OR(E205="",N205&lt;=0),"",IF(AND(M205="BUY-DAY",O205="VOL-OK",Q205="ON",AA205="OK",AB205&lt;&gt;"DOWN"),"BUY",IF(AND(M205="SELL-DAY",O205="VOL-OK",P205="ON",AA205="OK",AB205&lt;&gt;"UP"),"SELL","")))</f>
        <v/>
      </c>
      <c r="S205" s="13">
        <f>IF(R205="","",E205)</f>
        <v/>
      </c>
      <c r="T205" s="13">
        <f>IF(R205="","",IF(R205="BUY",E205-N205*1.5,E205+N205*1.5))</f>
        <v/>
      </c>
      <c r="U205" s="13">
        <f>IF(R205="","",IF(R205="BUY",E205+N205*1.5,E205-N205*1.5))</f>
        <v/>
      </c>
      <c r="V205" s="13">
        <f>IF(R205="","",IF(R205="BUY",E205+N205*2,E205-N205*2))</f>
        <v/>
      </c>
      <c r="W205" s="13">
        <f>IF(R205="","",IF(R205="BUY",E205+N205*3,E205-N205*3))</f>
        <v/>
      </c>
      <c r="X205" s="8">
        <f>IF(OR(E205="",N205&lt;=0),"",IF(AND(E205&gt;H205,ABS(E205-H205)&lt;N205*0.5),"2ND","1ST"))</f>
        <v/>
      </c>
      <c r="Y205" s="8">
        <f>IF(OR(E205="",N205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05" s="8">
        <f>IF(OR(E205="",N205&lt;=0),"",IF(N205&gt;E205*0.05,"VOL-HIGH","VOL-NORMAL"))</f>
        <v/>
      </c>
      <c r="AA205" s="8">
        <f>IF(OR(E205="",N205&lt;=0),"",IF(AND(O205="VOL-OK",Z205="VOL-NORMAL",X205="2ND"),"OK","NG"))</f>
        <v/>
      </c>
      <c r="AB205" s="8">
        <f>IF(OR(E205="",N205&lt;=0),"",IF(AND(F205&gt;J205,G205&gt;K205),"UP",IF(AND(F205&lt;J205,G205&lt;K205),"DOWN","FLAT")))</f>
        <v/>
      </c>
    </row>
    <row r="206" ht="26" customHeight="1" s="1">
      <c r="A206" s="14">
        <f>IF(C206="","",ROW()-2)</f>
        <v/>
      </c>
      <c r="B206" s="15">
        <f>IF('StockList_MS2'!A205="","",HYPERLINK("https://kabutan.jp/stock/?code="&amp;'StockList_MS2'!A205,"株探"))</f>
        <v/>
      </c>
      <c r="C206" s="14">
        <f>IF('StockList_MS2'!A205="","",'StockList_MS2'!A205)</f>
        <v/>
      </c>
      <c r="D206" s="16">
        <f>IF('StockList_MS2'!A205="","",'StockList_MS2'!B205)</f>
        <v/>
      </c>
      <c r="E206" s="17" t="n"/>
      <c r="F206" s="17" t="n"/>
      <c r="G206" s="17" t="n"/>
      <c r="H206" s="17" t="n"/>
      <c r="I206" s="18" t="n"/>
      <c r="J206" s="17" t="n"/>
      <c r="K206" s="17" t="n"/>
      <c r="L206" s="17" t="n"/>
      <c r="M206" s="14">
        <f>IF(E206="","",IF(E206&gt;L206,"BUY-DAY","SELL-DAY"))</f>
        <v/>
      </c>
      <c r="N206" s="19">
        <f>IF(E206="","",MAX(F206-G206,ABS(F206-L206),ABS(G206-L206)))</f>
        <v/>
      </c>
      <c r="O206" s="14">
        <f>IF(E206="","",IF(AND(I206&gt;0,I206&gt;(I206/3)*2.5),"VOL-OK","VOL-NG"))</f>
        <v/>
      </c>
      <c r="P206" s="14">
        <f>IF(E206="","",IF(E206&gt;J206,"ON","OFF"))</f>
        <v/>
      </c>
      <c r="Q206" s="14">
        <f>IF(E206="","",IF(E206&lt;K206,"ON","OFF"))</f>
        <v/>
      </c>
      <c r="R206" s="14">
        <f>IF(OR(E206="",N206&lt;=0),"",IF(AND(M206="BUY-DAY",O206="VOL-OK",Q206="ON",AA206="OK",AB206&lt;&gt;"DOWN"),"BUY",IF(AND(M206="SELL-DAY",O206="VOL-OK",P206="ON",AA206="OK",AB206&lt;&gt;"UP"),"SELL","")))</f>
        <v/>
      </c>
      <c r="S206" s="19">
        <f>IF(R206="","",E206)</f>
        <v/>
      </c>
      <c r="T206" s="19">
        <f>IF(R206="","",IF(R206="BUY",E206-N206*1.5,E206+N206*1.5))</f>
        <v/>
      </c>
      <c r="U206" s="19">
        <f>IF(R206="","",IF(R206="BUY",E206+N206*1.5,E206-N206*1.5))</f>
        <v/>
      </c>
      <c r="V206" s="19">
        <f>IF(R206="","",IF(R206="BUY",E206+N206*2,E206-N206*2))</f>
        <v/>
      </c>
      <c r="W206" s="19">
        <f>IF(R206="","",IF(R206="BUY",E206+N206*3,E206-N206*3))</f>
        <v/>
      </c>
      <c r="X206" s="14">
        <f>IF(OR(E206="",N206&lt;=0),"",IF(AND(E206&gt;H206,ABS(E206-H206)&lt;N206*0.5),"2ND","1ST"))</f>
        <v/>
      </c>
      <c r="Y206" s="14">
        <f>IF(OR(E206="",N206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06" s="14">
        <f>IF(OR(E206="",N206&lt;=0),"",IF(N206&gt;E206*0.05,"VOL-HIGH","VOL-NORMAL"))</f>
        <v/>
      </c>
      <c r="AA206" s="14">
        <f>IF(OR(E206="",N206&lt;=0),"",IF(AND(O206="VOL-OK",Z206="VOL-NORMAL",X206="2ND"),"OK","NG"))</f>
        <v/>
      </c>
      <c r="AB206" s="14">
        <f>IF(OR(E206="",N206&lt;=0),"",IF(AND(F206&gt;J206,G206&gt;K206),"UP",IF(AND(F206&lt;J206,G206&lt;K206),"DOWN","FLAT")))</f>
        <v/>
      </c>
    </row>
    <row r="207" ht="26" customHeight="1" s="1">
      <c r="A207" s="8">
        <f>IF(C207="","",ROW()-2)</f>
        <v/>
      </c>
      <c r="B207" s="9">
        <f>IF('StockList_MS2'!A206="","",HYPERLINK("https://kabutan.jp/stock/?code="&amp;'StockList_MS2'!A206,"株探"))</f>
        <v/>
      </c>
      <c r="C207" s="8">
        <f>IF('StockList_MS2'!A206="","",'StockList_MS2'!A206)</f>
        <v/>
      </c>
      <c r="D207" s="10">
        <f>IF('StockList_MS2'!A206="","",'StockList_MS2'!B206)</f>
        <v/>
      </c>
      <c r="E207" s="11" t="n"/>
      <c r="F207" s="11" t="n"/>
      <c r="G207" s="11" t="n"/>
      <c r="H207" s="11" t="n"/>
      <c r="I207" s="12" t="n"/>
      <c r="J207" s="11" t="n"/>
      <c r="K207" s="11" t="n"/>
      <c r="L207" s="11" t="n"/>
      <c r="M207" s="8">
        <f>IF(E207="","",IF(E207&gt;L207,"BUY-DAY","SELL-DAY"))</f>
        <v/>
      </c>
      <c r="N207" s="13">
        <f>IF(E207="","",MAX(F207-G207,ABS(F207-L207),ABS(G207-L207)))</f>
        <v/>
      </c>
      <c r="O207" s="8">
        <f>IF(E207="","",IF(AND(I207&gt;0,I207&gt;(I207/3)*2.5),"VOL-OK","VOL-NG"))</f>
        <v/>
      </c>
      <c r="P207" s="8">
        <f>IF(E207="","",IF(E207&gt;J207,"ON","OFF"))</f>
        <v/>
      </c>
      <c r="Q207" s="8">
        <f>IF(E207="","",IF(E207&lt;K207,"ON","OFF"))</f>
        <v/>
      </c>
      <c r="R207" s="8">
        <f>IF(OR(E207="",N207&lt;=0),"",IF(AND(M207="BUY-DAY",O207="VOL-OK",Q207="ON",AA207="OK",AB207&lt;&gt;"DOWN"),"BUY",IF(AND(M207="SELL-DAY",O207="VOL-OK",P207="ON",AA207="OK",AB207&lt;&gt;"UP"),"SELL","")))</f>
        <v/>
      </c>
      <c r="S207" s="13">
        <f>IF(R207="","",E207)</f>
        <v/>
      </c>
      <c r="T207" s="13">
        <f>IF(R207="","",IF(R207="BUY",E207-N207*1.5,E207+N207*1.5))</f>
        <v/>
      </c>
      <c r="U207" s="13">
        <f>IF(R207="","",IF(R207="BUY",E207+N207*1.5,E207-N207*1.5))</f>
        <v/>
      </c>
      <c r="V207" s="13">
        <f>IF(R207="","",IF(R207="BUY",E207+N207*2,E207-N207*2))</f>
        <v/>
      </c>
      <c r="W207" s="13">
        <f>IF(R207="","",IF(R207="BUY",E207+N207*3,E207-N207*3))</f>
        <v/>
      </c>
      <c r="X207" s="8">
        <f>IF(OR(E207="",N207&lt;=0),"",IF(AND(E207&gt;H207,ABS(E207-H207)&lt;N207*0.5),"2ND","1ST"))</f>
        <v/>
      </c>
      <c r="Y207" s="8">
        <f>IF(OR(E207="",N207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07" s="8">
        <f>IF(OR(E207="",N207&lt;=0),"",IF(N207&gt;E207*0.05,"VOL-HIGH","VOL-NORMAL"))</f>
        <v/>
      </c>
      <c r="AA207" s="8">
        <f>IF(OR(E207="",N207&lt;=0),"",IF(AND(O207="VOL-OK",Z207="VOL-NORMAL",X207="2ND"),"OK","NG"))</f>
        <v/>
      </c>
      <c r="AB207" s="8">
        <f>IF(OR(E207="",N207&lt;=0),"",IF(AND(F207&gt;J207,G207&gt;K207),"UP",IF(AND(F207&lt;J207,G207&lt;K207),"DOWN","FLAT")))</f>
        <v/>
      </c>
    </row>
    <row r="208" ht="26" customHeight="1" s="1">
      <c r="A208" s="14">
        <f>IF(C208="","",ROW()-2)</f>
        <v/>
      </c>
      <c r="B208" s="15">
        <f>IF('StockList_MS2'!A207="","",HYPERLINK("https://kabutan.jp/stock/?code="&amp;'StockList_MS2'!A207,"株探"))</f>
        <v/>
      </c>
      <c r="C208" s="14">
        <f>IF('StockList_MS2'!A207="","",'StockList_MS2'!A207)</f>
        <v/>
      </c>
      <c r="D208" s="16">
        <f>IF('StockList_MS2'!A207="","",'StockList_MS2'!B207)</f>
        <v/>
      </c>
      <c r="E208" s="17" t="n"/>
      <c r="F208" s="17" t="n"/>
      <c r="G208" s="17" t="n"/>
      <c r="H208" s="17" t="n"/>
      <c r="I208" s="18" t="n"/>
      <c r="J208" s="17" t="n"/>
      <c r="K208" s="17" t="n"/>
      <c r="L208" s="17" t="n"/>
      <c r="M208" s="14">
        <f>IF(E208="","",IF(E208&gt;L208,"BUY-DAY","SELL-DAY"))</f>
        <v/>
      </c>
      <c r="N208" s="19">
        <f>IF(E208="","",MAX(F208-G208,ABS(F208-L208),ABS(G208-L208)))</f>
        <v/>
      </c>
      <c r="O208" s="14">
        <f>IF(E208="","",IF(AND(I208&gt;0,I208&gt;(I208/3)*2.5),"VOL-OK","VOL-NG"))</f>
        <v/>
      </c>
      <c r="P208" s="14">
        <f>IF(E208="","",IF(E208&gt;J208,"ON","OFF"))</f>
        <v/>
      </c>
      <c r="Q208" s="14">
        <f>IF(E208="","",IF(E208&lt;K208,"ON","OFF"))</f>
        <v/>
      </c>
      <c r="R208" s="14">
        <f>IF(OR(E208="",N208&lt;=0),"",IF(AND(M208="BUY-DAY",O208="VOL-OK",Q208="ON",AA208="OK",AB208&lt;&gt;"DOWN"),"BUY",IF(AND(M208="SELL-DAY",O208="VOL-OK",P208="ON",AA208="OK",AB208&lt;&gt;"UP"),"SELL","")))</f>
        <v/>
      </c>
      <c r="S208" s="19">
        <f>IF(R208="","",E208)</f>
        <v/>
      </c>
      <c r="T208" s="19">
        <f>IF(R208="","",IF(R208="BUY",E208-N208*1.5,E208+N208*1.5))</f>
        <v/>
      </c>
      <c r="U208" s="19">
        <f>IF(R208="","",IF(R208="BUY",E208+N208*1.5,E208-N208*1.5))</f>
        <v/>
      </c>
      <c r="V208" s="19">
        <f>IF(R208="","",IF(R208="BUY",E208+N208*2,E208-N208*2))</f>
        <v/>
      </c>
      <c r="W208" s="19">
        <f>IF(R208="","",IF(R208="BUY",E208+N208*3,E208-N208*3))</f>
        <v/>
      </c>
      <c r="X208" s="14">
        <f>IF(OR(E208="",N208&lt;=0),"",IF(AND(E208&gt;H208,ABS(E208-H208)&lt;N208*0.5),"2ND","1ST"))</f>
        <v/>
      </c>
      <c r="Y208" s="14">
        <f>IF(OR(E208="",N208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08" s="14">
        <f>IF(OR(E208="",N208&lt;=0),"",IF(N208&gt;E208*0.05,"VOL-HIGH","VOL-NORMAL"))</f>
        <v/>
      </c>
      <c r="AA208" s="14">
        <f>IF(OR(E208="",N208&lt;=0),"",IF(AND(O208="VOL-OK",Z208="VOL-NORMAL",X208="2ND"),"OK","NG"))</f>
        <v/>
      </c>
      <c r="AB208" s="14">
        <f>IF(OR(E208="",N208&lt;=0),"",IF(AND(F208&gt;J208,G208&gt;K208),"UP",IF(AND(F208&lt;J208,G208&lt;K208),"DOWN","FLAT")))</f>
        <v/>
      </c>
    </row>
    <row r="209" ht="26" customHeight="1" s="1">
      <c r="A209" s="8">
        <f>IF(C209="","",ROW()-2)</f>
        <v/>
      </c>
      <c r="B209" s="9">
        <f>IF('StockList_MS2'!A208="","",HYPERLINK("https://kabutan.jp/stock/?code="&amp;'StockList_MS2'!A208,"株探"))</f>
        <v/>
      </c>
      <c r="C209" s="8">
        <f>IF('StockList_MS2'!A208="","",'StockList_MS2'!A208)</f>
        <v/>
      </c>
      <c r="D209" s="10">
        <f>IF('StockList_MS2'!A208="","",'StockList_MS2'!B208)</f>
        <v/>
      </c>
      <c r="E209" s="11" t="n"/>
      <c r="F209" s="11" t="n"/>
      <c r="G209" s="11" t="n"/>
      <c r="H209" s="11" t="n"/>
      <c r="I209" s="12" t="n"/>
      <c r="J209" s="11" t="n"/>
      <c r="K209" s="11" t="n"/>
      <c r="L209" s="11" t="n"/>
      <c r="M209" s="8">
        <f>IF(E209="","",IF(E209&gt;L209,"BUY-DAY","SELL-DAY"))</f>
        <v/>
      </c>
      <c r="N209" s="13">
        <f>IF(E209="","",MAX(F209-G209,ABS(F209-L209),ABS(G209-L209)))</f>
        <v/>
      </c>
      <c r="O209" s="8">
        <f>IF(E209="","",IF(AND(I209&gt;0,I209&gt;(I209/3)*2.5),"VOL-OK","VOL-NG"))</f>
        <v/>
      </c>
      <c r="P209" s="8">
        <f>IF(E209="","",IF(E209&gt;J209,"ON","OFF"))</f>
        <v/>
      </c>
      <c r="Q209" s="8">
        <f>IF(E209="","",IF(E209&lt;K209,"ON","OFF"))</f>
        <v/>
      </c>
      <c r="R209" s="8">
        <f>IF(OR(E209="",N209&lt;=0),"",IF(AND(M209="BUY-DAY",O209="VOL-OK",Q209="ON",AA209="OK",AB209&lt;&gt;"DOWN"),"BUY",IF(AND(M209="SELL-DAY",O209="VOL-OK",P209="ON",AA209="OK",AB209&lt;&gt;"UP"),"SELL","")))</f>
        <v/>
      </c>
      <c r="S209" s="13">
        <f>IF(R209="","",E209)</f>
        <v/>
      </c>
      <c r="T209" s="13">
        <f>IF(R209="","",IF(R209="BUY",E209-N209*1.5,E209+N209*1.5))</f>
        <v/>
      </c>
      <c r="U209" s="13">
        <f>IF(R209="","",IF(R209="BUY",E209+N209*1.5,E209-N209*1.5))</f>
        <v/>
      </c>
      <c r="V209" s="13">
        <f>IF(R209="","",IF(R209="BUY",E209+N209*2,E209-N209*2))</f>
        <v/>
      </c>
      <c r="W209" s="13">
        <f>IF(R209="","",IF(R209="BUY",E209+N209*3,E209-N209*3))</f>
        <v/>
      </c>
      <c r="X209" s="8">
        <f>IF(OR(E209="",N209&lt;=0),"",IF(AND(E209&gt;H209,ABS(E209-H209)&lt;N209*0.5),"2ND","1ST"))</f>
        <v/>
      </c>
      <c r="Y209" s="8">
        <f>IF(OR(E209="",N209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09" s="8">
        <f>IF(OR(E209="",N209&lt;=0),"",IF(N209&gt;E209*0.05,"VOL-HIGH","VOL-NORMAL"))</f>
        <v/>
      </c>
      <c r="AA209" s="8">
        <f>IF(OR(E209="",N209&lt;=0),"",IF(AND(O209="VOL-OK",Z209="VOL-NORMAL",X209="2ND"),"OK","NG"))</f>
        <v/>
      </c>
      <c r="AB209" s="8">
        <f>IF(OR(E209="",N209&lt;=0),"",IF(AND(F209&gt;J209,G209&gt;K209),"UP",IF(AND(F209&lt;J209,G209&lt;K209),"DOWN","FLAT")))</f>
        <v/>
      </c>
    </row>
    <row r="210" ht="26" customHeight="1" s="1">
      <c r="A210" s="14">
        <f>IF(C210="","",ROW()-2)</f>
        <v/>
      </c>
      <c r="B210" s="15">
        <f>IF('StockList_MS2'!A209="","",HYPERLINK("https://kabutan.jp/stock/?code="&amp;'StockList_MS2'!A209,"株探"))</f>
        <v/>
      </c>
      <c r="C210" s="14">
        <f>IF('StockList_MS2'!A209="","",'StockList_MS2'!A209)</f>
        <v/>
      </c>
      <c r="D210" s="16">
        <f>IF('StockList_MS2'!A209="","",'StockList_MS2'!B209)</f>
        <v/>
      </c>
      <c r="E210" s="17" t="n"/>
      <c r="F210" s="17" t="n"/>
      <c r="G210" s="17" t="n"/>
      <c r="H210" s="17" t="n"/>
      <c r="I210" s="18" t="n"/>
      <c r="J210" s="17" t="n"/>
      <c r="K210" s="17" t="n"/>
      <c r="L210" s="17" t="n"/>
      <c r="M210" s="14">
        <f>IF(E210="","",IF(E210&gt;L210,"BUY-DAY","SELL-DAY"))</f>
        <v/>
      </c>
      <c r="N210" s="19">
        <f>IF(E210="","",MAX(F210-G210,ABS(F210-L210),ABS(G210-L210)))</f>
        <v/>
      </c>
      <c r="O210" s="14">
        <f>IF(E210="","",IF(AND(I210&gt;0,I210&gt;(I210/3)*2.5),"VOL-OK","VOL-NG"))</f>
        <v/>
      </c>
      <c r="P210" s="14">
        <f>IF(E210="","",IF(E210&gt;J210,"ON","OFF"))</f>
        <v/>
      </c>
      <c r="Q210" s="14">
        <f>IF(E210="","",IF(E210&lt;K210,"ON","OFF"))</f>
        <v/>
      </c>
      <c r="R210" s="14">
        <f>IF(OR(E210="",N210&lt;=0),"",IF(AND(M210="BUY-DAY",O210="VOL-OK",Q210="ON",AA210="OK",AB210&lt;&gt;"DOWN"),"BUY",IF(AND(M210="SELL-DAY",O210="VOL-OK",P210="ON",AA210="OK",AB210&lt;&gt;"UP"),"SELL","")))</f>
        <v/>
      </c>
      <c r="S210" s="19">
        <f>IF(R210="","",E210)</f>
        <v/>
      </c>
      <c r="T210" s="19">
        <f>IF(R210="","",IF(R210="BUY",E210-N210*1.5,E210+N210*1.5))</f>
        <v/>
      </c>
      <c r="U210" s="19">
        <f>IF(R210="","",IF(R210="BUY",E210+N210*1.5,E210-N210*1.5))</f>
        <v/>
      </c>
      <c r="V210" s="19">
        <f>IF(R210="","",IF(R210="BUY",E210+N210*2,E210-N210*2))</f>
        <v/>
      </c>
      <c r="W210" s="19">
        <f>IF(R210="","",IF(R210="BUY",E210+N210*3,E210-N210*3))</f>
        <v/>
      </c>
      <c r="X210" s="14">
        <f>IF(OR(E210="",N210&lt;=0),"",IF(AND(E210&gt;H210,ABS(E210-H210)&lt;N210*0.5),"2ND","1ST"))</f>
        <v/>
      </c>
      <c r="Y210" s="14">
        <f>IF(OR(E210="",N210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10" s="14">
        <f>IF(OR(E210="",N210&lt;=0),"",IF(N210&gt;E210*0.05,"VOL-HIGH","VOL-NORMAL"))</f>
        <v/>
      </c>
      <c r="AA210" s="14">
        <f>IF(OR(E210="",N210&lt;=0),"",IF(AND(O210="VOL-OK",Z210="VOL-NORMAL",X210="2ND"),"OK","NG"))</f>
        <v/>
      </c>
      <c r="AB210" s="14">
        <f>IF(OR(E210="",N210&lt;=0),"",IF(AND(F210&gt;J210,G210&gt;K210),"UP",IF(AND(F210&lt;J210,G210&lt;K210),"DOWN","FLAT")))</f>
        <v/>
      </c>
    </row>
    <row r="211" ht="26" customHeight="1" s="1">
      <c r="A211" s="8">
        <f>IF(C211="","",ROW()-2)</f>
        <v/>
      </c>
      <c r="B211" s="9">
        <f>IF('StockList_MS2'!A210="","",HYPERLINK("https://kabutan.jp/stock/?code="&amp;'StockList_MS2'!A210,"株探"))</f>
        <v/>
      </c>
      <c r="C211" s="8">
        <f>IF('StockList_MS2'!A210="","",'StockList_MS2'!A210)</f>
        <v/>
      </c>
      <c r="D211" s="10">
        <f>IF('StockList_MS2'!A210="","",'StockList_MS2'!B210)</f>
        <v/>
      </c>
      <c r="E211" s="11" t="n"/>
      <c r="F211" s="11" t="n"/>
      <c r="G211" s="11" t="n"/>
      <c r="H211" s="11" t="n"/>
      <c r="I211" s="12" t="n"/>
      <c r="J211" s="11" t="n"/>
      <c r="K211" s="11" t="n"/>
      <c r="L211" s="11" t="n"/>
      <c r="M211" s="8">
        <f>IF(E211="","",IF(E211&gt;L211,"BUY-DAY","SELL-DAY"))</f>
        <v/>
      </c>
      <c r="N211" s="13">
        <f>IF(E211="","",MAX(F211-G211,ABS(F211-L211),ABS(G211-L211)))</f>
        <v/>
      </c>
      <c r="O211" s="8">
        <f>IF(E211="","",IF(AND(I211&gt;0,I211&gt;(I211/3)*2.5),"VOL-OK","VOL-NG"))</f>
        <v/>
      </c>
      <c r="P211" s="8">
        <f>IF(E211="","",IF(E211&gt;J211,"ON","OFF"))</f>
        <v/>
      </c>
      <c r="Q211" s="8">
        <f>IF(E211="","",IF(E211&lt;K211,"ON","OFF"))</f>
        <v/>
      </c>
      <c r="R211" s="8">
        <f>IF(OR(E211="",N211&lt;=0),"",IF(AND(M211="BUY-DAY",O211="VOL-OK",Q211="ON",AA211="OK",AB211&lt;&gt;"DOWN"),"BUY",IF(AND(M211="SELL-DAY",O211="VOL-OK",P211="ON",AA211="OK",AB211&lt;&gt;"UP"),"SELL","")))</f>
        <v/>
      </c>
      <c r="S211" s="13">
        <f>IF(R211="","",E211)</f>
        <v/>
      </c>
      <c r="T211" s="13">
        <f>IF(R211="","",IF(R211="BUY",E211-N211*1.5,E211+N211*1.5))</f>
        <v/>
      </c>
      <c r="U211" s="13">
        <f>IF(R211="","",IF(R211="BUY",E211+N211*1.5,E211-N211*1.5))</f>
        <v/>
      </c>
      <c r="V211" s="13">
        <f>IF(R211="","",IF(R211="BUY",E211+N211*2,E211-N211*2))</f>
        <v/>
      </c>
      <c r="W211" s="13">
        <f>IF(R211="","",IF(R211="BUY",E211+N211*3,E211-N211*3))</f>
        <v/>
      </c>
      <c r="X211" s="8">
        <f>IF(OR(E211="",N211&lt;=0),"",IF(AND(E211&gt;H211,ABS(E211-H211)&lt;N211*0.5),"2ND","1ST"))</f>
        <v/>
      </c>
      <c r="Y211" s="8">
        <f>IF(OR(E211="",N211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11" s="8">
        <f>IF(OR(E211="",N211&lt;=0),"",IF(N211&gt;E211*0.05,"VOL-HIGH","VOL-NORMAL"))</f>
        <v/>
      </c>
      <c r="AA211" s="8">
        <f>IF(OR(E211="",N211&lt;=0),"",IF(AND(O211="VOL-OK",Z211="VOL-NORMAL",X211="2ND"),"OK","NG"))</f>
        <v/>
      </c>
      <c r="AB211" s="8">
        <f>IF(OR(E211="",N211&lt;=0),"",IF(AND(F211&gt;J211,G211&gt;K211),"UP",IF(AND(F211&lt;J211,G211&lt;K211),"DOWN","FLAT")))</f>
        <v/>
      </c>
    </row>
    <row r="212" ht="26" customHeight="1" s="1">
      <c r="A212" s="14">
        <f>IF(C212="","",ROW()-2)</f>
        <v/>
      </c>
      <c r="B212" s="15">
        <f>IF('StockList_MS2'!A211="","",HYPERLINK("https://kabutan.jp/stock/?code="&amp;'StockList_MS2'!A211,"株探"))</f>
        <v/>
      </c>
      <c r="C212" s="14">
        <f>IF('StockList_MS2'!A211="","",'StockList_MS2'!A211)</f>
        <v/>
      </c>
      <c r="D212" s="16">
        <f>IF('StockList_MS2'!A211="","",'StockList_MS2'!B211)</f>
        <v/>
      </c>
      <c r="E212" s="17" t="n"/>
      <c r="F212" s="17" t="n"/>
      <c r="G212" s="17" t="n"/>
      <c r="H212" s="17" t="n"/>
      <c r="I212" s="18" t="n"/>
      <c r="J212" s="17" t="n"/>
      <c r="K212" s="17" t="n"/>
      <c r="L212" s="17" t="n"/>
      <c r="M212" s="14">
        <f>IF(E212="","",IF(E212&gt;L212,"BUY-DAY","SELL-DAY"))</f>
        <v/>
      </c>
      <c r="N212" s="19">
        <f>IF(E212="","",MAX(F212-G212,ABS(F212-L212),ABS(G212-L212)))</f>
        <v/>
      </c>
      <c r="O212" s="14">
        <f>IF(E212="","",IF(AND(I212&gt;0,I212&gt;(I212/3)*2.5),"VOL-OK","VOL-NG"))</f>
        <v/>
      </c>
      <c r="P212" s="14">
        <f>IF(E212="","",IF(E212&gt;J212,"ON","OFF"))</f>
        <v/>
      </c>
      <c r="Q212" s="14">
        <f>IF(E212="","",IF(E212&lt;K212,"ON","OFF"))</f>
        <v/>
      </c>
      <c r="R212" s="14">
        <f>IF(OR(E212="",N212&lt;=0),"",IF(AND(M212="BUY-DAY",O212="VOL-OK",Q212="ON",AA212="OK",AB212&lt;&gt;"DOWN"),"BUY",IF(AND(M212="SELL-DAY",O212="VOL-OK",P212="ON",AA212="OK",AB212&lt;&gt;"UP"),"SELL","")))</f>
        <v/>
      </c>
      <c r="S212" s="19">
        <f>IF(R212="","",E212)</f>
        <v/>
      </c>
      <c r="T212" s="19">
        <f>IF(R212="","",IF(R212="BUY",E212-N212*1.5,E212+N212*1.5))</f>
        <v/>
      </c>
      <c r="U212" s="19">
        <f>IF(R212="","",IF(R212="BUY",E212+N212*1.5,E212-N212*1.5))</f>
        <v/>
      </c>
      <c r="V212" s="19">
        <f>IF(R212="","",IF(R212="BUY",E212+N212*2,E212-N212*2))</f>
        <v/>
      </c>
      <c r="W212" s="19">
        <f>IF(R212="","",IF(R212="BUY",E212+N212*3,E212-N212*3))</f>
        <v/>
      </c>
      <c r="X212" s="14">
        <f>IF(OR(E212="",N212&lt;=0),"",IF(AND(E212&gt;H212,ABS(E212-H212)&lt;N212*0.5),"2ND","1ST"))</f>
        <v/>
      </c>
      <c r="Y212" s="14">
        <f>IF(OR(E212="",N212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12" s="14">
        <f>IF(OR(E212="",N212&lt;=0),"",IF(N212&gt;E212*0.05,"VOL-HIGH","VOL-NORMAL"))</f>
        <v/>
      </c>
      <c r="AA212" s="14">
        <f>IF(OR(E212="",N212&lt;=0),"",IF(AND(O212="VOL-OK",Z212="VOL-NORMAL",X212="2ND"),"OK","NG"))</f>
        <v/>
      </c>
      <c r="AB212" s="14">
        <f>IF(OR(E212="",N212&lt;=0),"",IF(AND(F212&gt;J212,G212&gt;K212),"UP",IF(AND(F212&lt;J212,G212&lt;K212),"DOWN","FLAT")))</f>
        <v/>
      </c>
    </row>
    <row r="213" ht="26" customHeight="1" s="1">
      <c r="A213" s="8">
        <f>IF(C213="","",ROW()-2)</f>
        <v/>
      </c>
      <c r="B213" s="9">
        <f>IF('StockList_MS2'!A212="","",HYPERLINK("https://kabutan.jp/stock/?code="&amp;'StockList_MS2'!A212,"株探"))</f>
        <v/>
      </c>
      <c r="C213" s="8">
        <f>IF('StockList_MS2'!A212="","",'StockList_MS2'!A212)</f>
        <v/>
      </c>
      <c r="D213" s="10">
        <f>IF('StockList_MS2'!A212="","",'StockList_MS2'!B212)</f>
        <v/>
      </c>
      <c r="E213" s="11" t="n"/>
      <c r="F213" s="11" t="n"/>
      <c r="G213" s="11" t="n"/>
      <c r="H213" s="11" t="n"/>
      <c r="I213" s="12" t="n"/>
      <c r="J213" s="11" t="n"/>
      <c r="K213" s="11" t="n"/>
      <c r="L213" s="11" t="n"/>
      <c r="M213" s="8">
        <f>IF(E213="","",IF(E213&gt;L213,"BUY-DAY","SELL-DAY"))</f>
        <v/>
      </c>
      <c r="N213" s="13">
        <f>IF(E213="","",MAX(F213-G213,ABS(F213-L213),ABS(G213-L213)))</f>
        <v/>
      </c>
      <c r="O213" s="8">
        <f>IF(E213="","",IF(AND(I213&gt;0,I213&gt;(I213/3)*2.5),"VOL-OK","VOL-NG"))</f>
        <v/>
      </c>
      <c r="P213" s="8">
        <f>IF(E213="","",IF(E213&gt;J213,"ON","OFF"))</f>
        <v/>
      </c>
      <c r="Q213" s="8">
        <f>IF(E213="","",IF(E213&lt;K213,"ON","OFF"))</f>
        <v/>
      </c>
      <c r="R213" s="8">
        <f>IF(OR(E213="",N213&lt;=0),"",IF(AND(M213="BUY-DAY",O213="VOL-OK",Q213="ON",AA213="OK",AB213&lt;&gt;"DOWN"),"BUY",IF(AND(M213="SELL-DAY",O213="VOL-OK",P213="ON",AA213="OK",AB213&lt;&gt;"UP"),"SELL","")))</f>
        <v/>
      </c>
      <c r="S213" s="13">
        <f>IF(R213="","",E213)</f>
        <v/>
      </c>
      <c r="T213" s="13">
        <f>IF(R213="","",IF(R213="BUY",E213-N213*1.5,E213+N213*1.5))</f>
        <v/>
      </c>
      <c r="U213" s="13">
        <f>IF(R213="","",IF(R213="BUY",E213+N213*1.5,E213-N213*1.5))</f>
        <v/>
      </c>
      <c r="V213" s="13">
        <f>IF(R213="","",IF(R213="BUY",E213+N213*2,E213-N213*2))</f>
        <v/>
      </c>
      <c r="W213" s="13">
        <f>IF(R213="","",IF(R213="BUY",E213+N213*3,E213-N213*3))</f>
        <v/>
      </c>
      <c r="X213" s="8">
        <f>IF(OR(E213="",N213&lt;=0),"",IF(AND(E213&gt;H213,ABS(E213-H213)&lt;N213*0.5),"2ND","1ST"))</f>
        <v/>
      </c>
      <c r="Y213" s="8">
        <f>IF(OR(E213="",N213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13" s="8">
        <f>IF(OR(E213="",N213&lt;=0),"",IF(N213&gt;E213*0.05,"VOL-HIGH","VOL-NORMAL"))</f>
        <v/>
      </c>
      <c r="AA213" s="8">
        <f>IF(OR(E213="",N213&lt;=0),"",IF(AND(O213="VOL-OK",Z213="VOL-NORMAL",X213="2ND"),"OK","NG"))</f>
        <v/>
      </c>
      <c r="AB213" s="8">
        <f>IF(OR(E213="",N213&lt;=0),"",IF(AND(F213&gt;J213,G213&gt;K213),"UP",IF(AND(F213&lt;J213,G213&lt;K213),"DOWN","FLAT")))</f>
        <v/>
      </c>
    </row>
    <row r="214" ht="26" customHeight="1" s="1">
      <c r="A214" s="14">
        <f>IF(C214="","",ROW()-2)</f>
        <v/>
      </c>
      <c r="B214" s="15">
        <f>IF('StockList_MS2'!A213="","",HYPERLINK("https://kabutan.jp/stock/?code="&amp;'StockList_MS2'!A213,"株探"))</f>
        <v/>
      </c>
      <c r="C214" s="14">
        <f>IF('StockList_MS2'!A213="","",'StockList_MS2'!A213)</f>
        <v/>
      </c>
      <c r="D214" s="16">
        <f>IF('StockList_MS2'!A213="","",'StockList_MS2'!B213)</f>
        <v/>
      </c>
      <c r="E214" s="17" t="n"/>
      <c r="F214" s="17" t="n"/>
      <c r="G214" s="17" t="n"/>
      <c r="H214" s="17" t="n"/>
      <c r="I214" s="18" t="n"/>
      <c r="J214" s="17" t="n"/>
      <c r="K214" s="17" t="n"/>
      <c r="L214" s="17" t="n"/>
      <c r="M214" s="14">
        <f>IF(E214="","",IF(E214&gt;L214,"BUY-DAY","SELL-DAY"))</f>
        <v/>
      </c>
      <c r="N214" s="19">
        <f>IF(E214="","",MAX(F214-G214,ABS(F214-L214),ABS(G214-L214)))</f>
        <v/>
      </c>
      <c r="O214" s="14">
        <f>IF(E214="","",IF(AND(I214&gt;0,I214&gt;(I214/3)*2.5),"VOL-OK","VOL-NG"))</f>
        <v/>
      </c>
      <c r="P214" s="14">
        <f>IF(E214="","",IF(E214&gt;J214,"ON","OFF"))</f>
        <v/>
      </c>
      <c r="Q214" s="14">
        <f>IF(E214="","",IF(E214&lt;K214,"ON","OFF"))</f>
        <v/>
      </c>
      <c r="R214" s="14">
        <f>IF(OR(E214="",N214&lt;=0),"",IF(AND(M214="BUY-DAY",O214="VOL-OK",Q214="ON",AA214="OK",AB214&lt;&gt;"DOWN"),"BUY",IF(AND(M214="SELL-DAY",O214="VOL-OK",P214="ON",AA214="OK",AB214&lt;&gt;"UP"),"SELL","")))</f>
        <v/>
      </c>
      <c r="S214" s="19">
        <f>IF(R214="","",E214)</f>
        <v/>
      </c>
      <c r="T214" s="19">
        <f>IF(R214="","",IF(R214="BUY",E214-N214*1.5,E214+N214*1.5))</f>
        <v/>
      </c>
      <c r="U214" s="19">
        <f>IF(R214="","",IF(R214="BUY",E214+N214*1.5,E214-N214*1.5))</f>
        <v/>
      </c>
      <c r="V214" s="19">
        <f>IF(R214="","",IF(R214="BUY",E214+N214*2,E214-N214*2))</f>
        <v/>
      </c>
      <c r="W214" s="19">
        <f>IF(R214="","",IF(R214="BUY",E214+N214*3,E214-N214*3))</f>
        <v/>
      </c>
      <c r="X214" s="14">
        <f>IF(OR(E214="",N214&lt;=0),"",IF(AND(E214&gt;H214,ABS(E214-H214)&lt;N214*0.5),"2ND","1ST"))</f>
        <v/>
      </c>
      <c r="Y214" s="14">
        <f>IF(OR(E214="",N214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14" s="14">
        <f>IF(OR(E214="",N214&lt;=0),"",IF(N214&gt;E214*0.05,"VOL-HIGH","VOL-NORMAL"))</f>
        <v/>
      </c>
      <c r="AA214" s="14">
        <f>IF(OR(E214="",N214&lt;=0),"",IF(AND(O214="VOL-OK",Z214="VOL-NORMAL",X214="2ND"),"OK","NG"))</f>
        <v/>
      </c>
      <c r="AB214" s="14">
        <f>IF(OR(E214="",N214&lt;=0),"",IF(AND(F214&gt;J214,G214&gt;K214),"UP",IF(AND(F214&lt;J214,G214&lt;K214),"DOWN","FLAT")))</f>
        <v/>
      </c>
    </row>
    <row r="215" ht="26" customHeight="1" s="1">
      <c r="A215" s="8">
        <f>IF(C215="","",ROW()-2)</f>
        <v/>
      </c>
      <c r="B215" s="9">
        <f>IF('StockList_MS2'!A214="","",HYPERLINK("https://kabutan.jp/stock/?code="&amp;'StockList_MS2'!A214,"株探"))</f>
        <v/>
      </c>
      <c r="C215" s="8">
        <f>IF('StockList_MS2'!A214="","",'StockList_MS2'!A214)</f>
        <v/>
      </c>
      <c r="D215" s="10">
        <f>IF('StockList_MS2'!A214="","",'StockList_MS2'!B214)</f>
        <v/>
      </c>
      <c r="E215" s="11" t="n"/>
      <c r="F215" s="11" t="n"/>
      <c r="G215" s="11" t="n"/>
      <c r="H215" s="11" t="n"/>
      <c r="I215" s="12" t="n"/>
      <c r="J215" s="11" t="n"/>
      <c r="K215" s="11" t="n"/>
      <c r="L215" s="11" t="n"/>
      <c r="M215" s="8">
        <f>IF(E215="","",IF(E215&gt;L215,"BUY-DAY","SELL-DAY"))</f>
        <v/>
      </c>
      <c r="N215" s="13">
        <f>IF(E215="","",MAX(F215-G215,ABS(F215-L215),ABS(G215-L215)))</f>
        <v/>
      </c>
      <c r="O215" s="8">
        <f>IF(E215="","",IF(AND(I215&gt;0,I215&gt;(I215/3)*2.5),"VOL-OK","VOL-NG"))</f>
        <v/>
      </c>
      <c r="P215" s="8">
        <f>IF(E215="","",IF(E215&gt;J215,"ON","OFF"))</f>
        <v/>
      </c>
      <c r="Q215" s="8">
        <f>IF(E215="","",IF(E215&lt;K215,"ON","OFF"))</f>
        <v/>
      </c>
      <c r="R215" s="8">
        <f>IF(OR(E215="",N215&lt;=0),"",IF(AND(M215="BUY-DAY",O215="VOL-OK",Q215="ON",AA215="OK",AB215&lt;&gt;"DOWN"),"BUY",IF(AND(M215="SELL-DAY",O215="VOL-OK",P215="ON",AA215="OK",AB215&lt;&gt;"UP"),"SELL","")))</f>
        <v/>
      </c>
      <c r="S215" s="13">
        <f>IF(R215="","",E215)</f>
        <v/>
      </c>
      <c r="T215" s="13">
        <f>IF(R215="","",IF(R215="BUY",E215-N215*1.5,E215+N215*1.5))</f>
        <v/>
      </c>
      <c r="U215" s="13">
        <f>IF(R215="","",IF(R215="BUY",E215+N215*1.5,E215-N215*1.5))</f>
        <v/>
      </c>
      <c r="V215" s="13">
        <f>IF(R215="","",IF(R215="BUY",E215+N215*2,E215-N215*2))</f>
        <v/>
      </c>
      <c r="W215" s="13">
        <f>IF(R215="","",IF(R215="BUY",E215+N215*3,E215-N215*3))</f>
        <v/>
      </c>
      <c r="X215" s="8">
        <f>IF(OR(E215="",N215&lt;=0),"",IF(AND(E215&gt;H215,ABS(E215-H215)&lt;N215*0.5),"2ND","1ST"))</f>
        <v/>
      </c>
      <c r="Y215" s="8">
        <f>IF(OR(E215="",N215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15" s="8">
        <f>IF(OR(E215="",N215&lt;=0),"",IF(N215&gt;E215*0.05,"VOL-HIGH","VOL-NORMAL"))</f>
        <v/>
      </c>
      <c r="AA215" s="8">
        <f>IF(OR(E215="",N215&lt;=0),"",IF(AND(O215="VOL-OK",Z215="VOL-NORMAL",X215="2ND"),"OK","NG"))</f>
        <v/>
      </c>
      <c r="AB215" s="8">
        <f>IF(OR(E215="",N215&lt;=0),"",IF(AND(F215&gt;J215,G215&gt;K215),"UP",IF(AND(F215&lt;J215,G215&lt;K215),"DOWN","FLAT")))</f>
        <v/>
      </c>
    </row>
    <row r="216" ht="26" customHeight="1" s="1">
      <c r="A216" s="14">
        <f>IF(C216="","",ROW()-2)</f>
        <v/>
      </c>
      <c r="B216" s="15">
        <f>IF('StockList_MS2'!A215="","",HYPERLINK("https://kabutan.jp/stock/?code="&amp;'StockList_MS2'!A215,"株探"))</f>
        <v/>
      </c>
      <c r="C216" s="14">
        <f>IF('StockList_MS2'!A215="","",'StockList_MS2'!A215)</f>
        <v/>
      </c>
      <c r="D216" s="16">
        <f>IF('StockList_MS2'!A215="","",'StockList_MS2'!B215)</f>
        <v/>
      </c>
      <c r="E216" s="17" t="n"/>
      <c r="F216" s="17" t="n"/>
      <c r="G216" s="17" t="n"/>
      <c r="H216" s="17" t="n"/>
      <c r="I216" s="18" t="n"/>
      <c r="J216" s="17" t="n"/>
      <c r="K216" s="17" t="n"/>
      <c r="L216" s="17" t="n"/>
      <c r="M216" s="14">
        <f>IF(E216="","",IF(E216&gt;L216,"BUY-DAY","SELL-DAY"))</f>
        <v/>
      </c>
      <c r="N216" s="19">
        <f>IF(E216="","",MAX(F216-G216,ABS(F216-L216),ABS(G216-L216)))</f>
        <v/>
      </c>
      <c r="O216" s="14">
        <f>IF(E216="","",IF(AND(I216&gt;0,I216&gt;(I216/3)*2.5),"VOL-OK","VOL-NG"))</f>
        <v/>
      </c>
      <c r="P216" s="14">
        <f>IF(E216="","",IF(E216&gt;J216,"ON","OFF"))</f>
        <v/>
      </c>
      <c r="Q216" s="14">
        <f>IF(E216="","",IF(E216&lt;K216,"ON","OFF"))</f>
        <v/>
      </c>
      <c r="R216" s="14">
        <f>IF(OR(E216="",N216&lt;=0),"",IF(AND(M216="BUY-DAY",O216="VOL-OK",Q216="ON",AA216="OK",AB216&lt;&gt;"DOWN"),"BUY",IF(AND(M216="SELL-DAY",O216="VOL-OK",P216="ON",AA216="OK",AB216&lt;&gt;"UP"),"SELL","")))</f>
        <v/>
      </c>
      <c r="S216" s="19">
        <f>IF(R216="","",E216)</f>
        <v/>
      </c>
      <c r="T216" s="19">
        <f>IF(R216="","",IF(R216="BUY",E216-N216*1.5,E216+N216*1.5))</f>
        <v/>
      </c>
      <c r="U216" s="19">
        <f>IF(R216="","",IF(R216="BUY",E216+N216*1.5,E216-N216*1.5))</f>
        <v/>
      </c>
      <c r="V216" s="19">
        <f>IF(R216="","",IF(R216="BUY",E216+N216*2,E216-N216*2))</f>
        <v/>
      </c>
      <c r="W216" s="19">
        <f>IF(R216="","",IF(R216="BUY",E216+N216*3,E216-N216*3))</f>
        <v/>
      </c>
      <c r="X216" s="14">
        <f>IF(OR(E216="",N216&lt;=0),"",IF(AND(E216&gt;H216,ABS(E216-H216)&lt;N216*0.5),"2ND","1ST"))</f>
        <v/>
      </c>
      <c r="Y216" s="14">
        <f>IF(OR(E216="",N216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16" s="14">
        <f>IF(OR(E216="",N216&lt;=0),"",IF(N216&gt;E216*0.05,"VOL-HIGH","VOL-NORMAL"))</f>
        <v/>
      </c>
      <c r="AA216" s="14">
        <f>IF(OR(E216="",N216&lt;=0),"",IF(AND(O216="VOL-OK",Z216="VOL-NORMAL",X216="2ND"),"OK","NG"))</f>
        <v/>
      </c>
      <c r="AB216" s="14">
        <f>IF(OR(E216="",N216&lt;=0),"",IF(AND(F216&gt;J216,G216&gt;K216),"UP",IF(AND(F216&lt;J216,G216&lt;K216),"DOWN","FLAT")))</f>
        <v/>
      </c>
    </row>
    <row r="217" ht="26" customHeight="1" s="1">
      <c r="A217" s="8">
        <f>IF(C217="","",ROW()-2)</f>
        <v/>
      </c>
      <c r="B217" s="9">
        <f>IF('StockList_MS2'!A216="","",HYPERLINK("https://kabutan.jp/stock/?code="&amp;'StockList_MS2'!A216,"株探"))</f>
        <v/>
      </c>
      <c r="C217" s="8">
        <f>IF('StockList_MS2'!A216="","",'StockList_MS2'!A216)</f>
        <v/>
      </c>
      <c r="D217" s="10">
        <f>IF('StockList_MS2'!A216="","",'StockList_MS2'!B216)</f>
        <v/>
      </c>
      <c r="E217" s="11" t="n"/>
      <c r="F217" s="11" t="n"/>
      <c r="G217" s="11" t="n"/>
      <c r="H217" s="11" t="n"/>
      <c r="I217" s="12" t="n"/>
      <c r="J217" s="11" t="n"/>
      <c r="K217" s="11" t="n"/>
      <c r="L217" s="11" t="n"/>
      <c r="M217" s="8">
        <f>IF(E217="","",IF(E217&gt;L217,"BUY-DAY","SELL-DAY"))</f>
        <v/>
      </c>
      <c r="N217" s="13">
        <f>IF(E217="","",MAX(F217-G217,ABS(F217-L217),ABS(G217-L217)))</f>
        <v/>
      </c>
      <c r="O217" s="8">
        <f>IF(E217="","",IF(AND(I217&gt;0,I217&gt;(I217/3)*2.5),"VOL-OK","VOL-NG"))</f>
        <v/>
      </c>
      <c r="P217" s="8">
        <f>IF(E217="","",IF(E217&gt;J217,"ON","OFF"))</f>
        <v/>
      </c>
      <c r="Q217" s="8">
        <f>IF(E217="","",IF(E217&lt;K217,"ON","OFF"))</f>
        <v/>
      </c>
      <c r="R217" s="8">
        <f>IF(OR(E217="",N217&lt;=0),"",IF(AND(M217="BUY-DAY",O217="VOL-OK",Q217="ON",AA217="OK",AB217&lt;&gt;"DOWN"),"BUY",IF(AND(M217="SELL-DAY",O217="VOL-OK",P217="ON",AA217="OK",AB217&lt;&gt;"UP"),"SELL","")))</f>
        <v/>
      </c>
      <c r="S217" s="13">
        <f>IF(R217="","",E217)</f>
        <v/>
      </c>
      <c r="T217" s="13">
        <f>IF(R217="","",IF(R217="BUY",E217-N217*1.5,E217+N217*1.5))</f>
        <v/>
      </c>
      <c r="U217" s="13">
        <f>IF(R217="","",IF(R217="BUY",E217+N217*1.5,E217-N217*1.5))</f>
        <v/>
      </c>
      <c r="V217" s="13">
        <f>IF(R217="","",IF(R217="BUY",E217+N217*2,E217-N217*2))</f>
        <v/>
      </c>
      <c r="W217" s="13">
        <f>IF(R217="","",IF(R217="BUY",E217+N217*3,E217-N217*3))</f>
        <v/>
      </c>
      <c r="X217" s="8">
        <f>IF(OR(E217="",N217&lt;=0),"",IF(AND(E217&gt;H217,ABS(E217-H217)&lt;N217*0.5),"2ND","1ST"))</f>
        <v/>
      </c>
      <c r="Y217" s="8">
        <f>IF(OR(E217="",N217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17" s="8">
        <f>IF(OR(E217="",N217&lt;=0),"",IF(N217&gt;E217*0.05,"VOL-HIGH","VOL-NORMAL"))</f>
        <v/>
      </c>
      <c r="AA217" s="8">
        <f>IF(OR(E217="",N217&lt;=0),"",IF(AND(O217="VOL-OK",Z217="VOL-NORMAL",X217="2ND"),"OK","NG"))</f>
        <v/>
      </c>
      <c r="AB217" s="8">
        <f>IF(OR(E217="",N217&lt;=0),"",IF(AND(F217&gt;J217,G217&gt;K217),"UP",IF(AND(F217&lt;J217,G217&lt;K217),"DOWN","FLAT")))</f>
        <v/>
      </c>
    </row>
    <row r="218" ht="26" customHeight="1" s="1">
      <c r="A218" s="14">
        <f>IF(C218="","",ROW()-2)</f>
        <v/>
      </c>
      <c r="B218" s="15">
        <f>IF('StockList_MS2'!A217="","",HYPERLINK("https://kabutan.jp/stock/?code="&amp;'StockList_MS2'!A217,"株探"))</f>
        <v/>
      </c>
      <c r="C218" s="14">
        <f>IF('StockList_MS2'!A217="","",'StockList_MS2'!A217)</f>
        <v/>
      </c>
      <c r="D218" s="16">
        <f>IF('StockList_MS2'!A217="","",'StockList_MS2'!B217)</f>
        <v/>
      </c>
      <c r="E218" s="17" t="n"/>
      <c r="F218" s="17" t="n"/>
      <c r="G218" s="17" t="n"/>
      <c r="H218" s="17" t="n"/>
      <c r="I218" s="18" t="n"/>
      <c r="J218" s="17" t="n"/>
      <c r="K218" s="17" t="n"/>
      <c r="L218" s="17" t="n"/>
      <c r="M218" s="14">
        <f>IF(E218="","",IF(E218&gt;L218,"BUY-DAY","SELL-DAY"))</f>
        <v/>
      </c>
      <c r="N218" s="19">
        <f>IF(E218="","",MAX(F218-G218,ABS(F218-L218),ABS(G218-L218)))</f>
        <v/>
      </c>
      <c r="O218" s="14">
        <f>IF(E218="","",IF(AND(I218&gt;0,I218&gt;(I218/3)*2.5),"VOL-OK","VOL-NG"))</f>
        <v/>
      </c>
      <c r="P218" s="14">
        <f>IF(E218="","",IF(E218&gt;J218,"ON","OFF"))</f>
        <v/>
      </c>
      <c r="Q218" s="14">
        <f>IF(E218="","",IF(E218&lt;K218,"ON","OFF"))</f>
        <v/>
      </c>
      <c r="R218" s="14">
        <f>IF(OR(E218="",N218&lt;=0),"",IF(AND(M218="BUY-DAY",O218="VOL-OK",Q218="ON",AA218="OK",AB218&lt;&gt;"DOWN"),"BUY",IF(AND(M218="SELL-DAY",O218="VOL-OK",P218="ON",AA218="OK",AB218&lt;&gt;"UP"),"SELL","")))</f>
        <v/>
      </c>
      <c r="S218" s="19">
        <f>IF(R218="","",E218)</f>
        <v/>
      </c>
      <c r="T218" s="19">
        <f>IF(R218="","",IF(R218="BUY",E218-N218*1.5,E218+N218*1.5))</f>
        <v/>
      </c>
      <c r="U218" s="19">
        <f>IF(R218="","",IF(R218="BUY",E218+N218*1.5,E218-N218*1.5))</f>
        <v/>
      </c>
      <c r="V218" s="19">
        <f>IF(R218="","",IF(R218="BUY",E218+N218*2,E218-N218*2))</f>
        <v/>
      </c>
      <c r="W218" s="19">
        <f>IF(R218="","",IF(R218="BUY",E218+N218*3,E218-N218*3))</f>
        <v/>
      </c>
      <c r="X218" s="14">
        <f>IF(OR(E218="",N218&lt;=0),"",IF(AND(E218&gt;H218,ABS(E218-H218)&lt;N218*0.5),"2ND","1ST"))</f>
        <v/>
      </c>
      <c r="Y218" s="14">
        <f>IF(OR(E218="",N218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18" s="14">
        <f>IF(OR(E218="",N218&lt;=0),"",IF(N218&gt;E218*0.05,"VOL-HIGH","VOL-NORMAL"))</f>
        <v/>
      </c>
      <c r="AA218" s="14">
        <f>IF(OR(E218="",N218&lt;=0),"",IF(AND(O218="VOL-OK",Z218="VOL-NORMAL",X218="2ND"),"OK","NG"))</f>
        <v/>
      </c>
      <c r="AB218" s="14">
        <f>IF(OR(E218="",N218&lt;=0),"",IF(AND(F218&gt;J218,G218&gt;K218),"UP",IF(AND(F218&lt;J218,G218&lt;K218),"DOWN","FLAT")))</f>
        <v/>
      </c>
    </row>
    <row r="219" ht="26" customHeight="1" s="1">
      <c r="A219" s="8">
        <f>IF(C219="","",ROW()-2)</f>
        <v/>
      </c>
      <c r="B219" s="9">
        <f>IF('StockList_MS2'!A218="","",HYPERLINK("https://kabutan.jp/stock/?code="&amp;'StockList_MS2'!A218,"株探"))</f>
        <v/>
      </c>
      <c r="C219" s="8">
        <f>IF('StockList_MS2'!A218="","",'StockList_MS2'!A218)</f>
        <v/>
      </c>
      <c r="D219" s="10">
        <f>IF('StockList_MS2'!A218="","",'StockList_MS2'!B218)</f>
        <v/>
      </c>
      <c r="E219" s="11" t="n"/>
      <c r="F219" s="11" t="n"/>
      <c r="G219" s="11" t="n"/>
      <c r="H219" s="11" t="n"/>
      <c r="I219" s="12" t="n"/>
      <c r="J219" s="11" t="n"/>
      <c r="K219" s="11" t="n"/>
      <c r="L219" s="11" t="n"/>
      <c r="M219" s="8">
        <f>IF(E219="","",IF(E219&gt;L219,"BUY-DAY","SELL-DAY"))</f>
        <v/>
      </c>
      <c r="N219" s="13">
        <f>IF(E219="","",MAX(F219-G219,ABS(F219-L219),ABS(G219-L219)))</f>
        <v/>
      </c>
      <c r="O219" s="8">
        <f>IF(E219="","",IF(AND(I219&gt;0,I219&gt;(I219/3)*2.5),"VOL-OK","VOL-NG"))</f>
        <v/>
      </c>
      <c r="P219" s="8">
        <f>IF(E219="","",IF(E219&gt;J219,"ON","OFF"))</f>
        <v/>
      </c>
      <c r="Q219" s="8">
        <f>IF(E219="","",IF(E219&lt;K219,"ON","OFF"))</f>
        <v/>
      </c>
      <c r="R219" s="8">
        <f>IF(OR(E219="",N219&lt;=0),"",IF(AND(M219="BUY-DAY",O219="VOL-OK",Q219="ON",AA219="OK",AB219&lt;&gt;"DOWN"),"BUY",IF(AND(M219="SELL-DAY",O219="VOL-OK",P219="ON",AA219="OK",AB219&lt;&gt;"UP"),"SELL","")))</f>
        <v/>
      </c>
      <c r="S219" s="13">
        <f>IF(R219="","",E219)</f>
        <v/>
      </c>
      <c r="T219" s="13">
        <f>IF(R219="","",IF(R219="BUY",E219-N219*1.5,E219+N219*1.5))</f>
        <v/>
      </c>
      <c r="U219" s="13">
        <f>IF(R219="","",IF(R219="BUY",E219+N219*1.5,E219-N219*1.5))</f>
        <v/>
      </c>
      <c r="V219" s="13">
        <f>IF(R219="","",IF(R219="BUY",E219+N219*2,E219-N219*2))</f>
        <v/>
      </c>
      <c r="W219" s="13">
        <f>IF(R219="","",IF(R219="BUY",E219+N219*3,E219-N219*3))</f>
        <v/>
      </c>
      <c r="X219" s="8">
        <f>IF(OR(E219="",N219&lt;=0),"",IF(AND(E219&gt;H219,ABS(E219-H219)&lt;N219*0.5),"2ND","1ST"))</f>
        <v/>
      </c>
      <c r="Y219" s="8">
        <f>IF(OR(E219="",N219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19" s="8">
        <f>IF(OR(E219="",N219&lt;=0),"",IF(N219&gt;E219*0.05,"VOL-HIGH","VOL-NORMAL"))</f>
        <v/>
      </c>
      <c r="AA219" s="8">
        <f>IF(OR(E219="",N219&lt;=0),"",IF(AND(O219="VOL-OK",Z219="VOL-NORMAL",X219="2ND"),"OK","NG"))</f>
        <v/>
      </c>
      <c r="AB219" s="8">
        <f>IF(OR(E219="",N219&lt;=0),"",IF(AND(F219&gt;J219,G219&gt;K219),"UP",IF(AND(F219&lt;J219,G219&lt;K219),"DOWN","FLAT")))</f>
        <v/>
      </c>
    </row>
    <row r="220" ht="26" customHeight="1" s="1">
      <c r="A220" s="14">
        <f>IF(C220="","",ROW()-2)</f>
        <v/>
      </c>
      <c r="B220" s="15">
        <f>IF('StockList_MS2'!A219="","",HYPERLINK("https://kabutan.jp/stock/?code="&amp;'StockList_MS2'!A219,"株探"))</f>
        <v/>
      </c>
      <c r="C220" s="14">
        <f>IF('StockList_MS2'!A219="","",'StockList_MS2'!A219)</f>
        <v/>
      </c>
      <c r="D220" s="16">
        <f>IF('StockList_MS2'!A219="","",'StockList_MS2'!B219)</f>
        <v/>
      </c>
      <c r="E220" s="17" t="n"/>
      <c r="F220" s="17" t="n"/>
      <c r="G220" s="17" t="n"/>
      <c r="H220" s="17" t="n"/>
      <c r="I220" s="18" t="n"/>
      <c r="J220" s="17" t="n"/>
      <c r="K220" s="17" t="n"/>
      <c r="L220" s="17" t="n"/>
      <c r="M220" s="14">
        <f>IF(E220="","",IF(E220&gt;L220,"BUY-DAY","SELL-DAY"))</f>
        <v/>
      </c>
      <c r="N220" s="19">
        <f>IF(E220="","",MAX(F220-G220,ABS(F220-L220),ABS(G220-L220)))</f>
        <v/>
      </c>
      <c r="O220" s="14">
        <f>IF(E220="","",IF(AND(I220&gt;0,I220&gt;(I220/3)*2.5),"VOL-OK","VOL-NG"))</f>
        <v/>
      </c>
      <c r="P220" s="14">
        <f>IF(E220="","",IF(E220&gt;J220,"ON","OFF"))</f>
        <v/>
      </c>
      <c r="Q220" s="14">
        <f>IF(E220="","",IF(E220&lt;K220,"ON","OFF"))</f>
        <v/>
      </c>
      <c r="R220" s="14">
        <f>IF(OR(E220="",N220&lt;=0),"",IF(AND(M220="BUY-DAY",O220="VOL-OK",Q220="ON",AA220="OK",AB220&lt;&gt;"DOWN"),"BUY",IF(AND(M220="SELL-DAY",O220="VOL-OK",P220="ON",AA220="OK",AB220&lt;&gt;"UP"),"SELL","")))</f>
        <v/>
      </c>
      <c r="S220" s="19">
        <f>IF(R220="","",E220)</f>
        <v/>
      </c>
      <c r="T220" s="19">
        <f>IF(R220="","",IF(R220="BUY",E220-N220*1.5,E220+N220*1.5))</f>
        <v/>
      </c>
      <c r="U220" s="19">
        <f>IF(R220="","",IF(R220="BUY",E220+N220*1.5,E220-N220*1.5))</f>
        <v/>
      </c>
      <c r="V220" s="19">
        <f>IF(R220="","",IF(R220="BUY",E220+N220*2,E220-N220*2))</f>
        <v/>
      </c>
      <c r="W220" s="19">
        <f>IF(R220="","",IF(R220="BUY",E220+N220*3,E220-N220*3))</f>
        <v/>
      </c>
      <c r="X220" s="14">
        <f>IF(OR(E220="",N220&lt;=0),"",IF(AND(E220&gt;H220,ABS(E220-H220)&lt;N220*0.5),"2ND","1ST"))</f>
        <v/>
      </c>
      <c r="Y220" s="14">
        <f>IF(OR(E220="",N220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20" s="14">
        <f>IF(OR(E220="",N220&lt;=0),"",IF(N220&gt;E220*0.05,"VOL-HIGH","VOL-NORMAL"))</f>
        <v/>
      </c>
      <c r="AA220" s="14">
        <f>IF(OR(E220="",N220&lt;=0),"",IF(AND(O220="VOL-OK",Z220="VOL-NORMAL",X220="2ND"),"OK","NG"))</f>
        <v/>
      </c>
      <c r="AB220" s="14">
        <f>IF(OR(E220="",N220&lt;=0),"",IF(AND(F220&gt;J220,G220&gt;K220),"UP",IF(AND(F220&lt;J220,G220&lt;K220),"DOWN","FLAT")))</f>
        <v/>
      </c>
    </row>
    <row r="221" ht="26" customHeight="1" s="1">
      <c r="A221" s="8">
        <f>IF(C221="","",ROW()-2)</f>
        <v/>
      </c>
      <c r="B221" s="9">
        <f>IF('StockList_MS2'!A220="","",HYPERLINK("https://kabutan.jp/stock/?code="&amp;'StockList_MS2'!A220,"株探"))</f>
        <v/>
      </c>
      <c r="C221" s="8">
        <f>IF('StockList_MS2'!A220="","",'StockList_MS2'!A220)</f>
        <v/>
      </c>
      <c r="D221" s="10">
        <f>IF('StockList_MS2'!A220="","",'StockList_MS2'!B220)</f>
        <v/>
      </c>
      <c r="E221" s="11" t="n"/>
      <c r="F221" s="11" t="n"/>
      <c r="G221" s="11" t="n"/>
      <c r="H221" s="11" t="n"/>
      <c r="I221" s="12" t="n"/>
      <c r="J221" s="11" t="n"/>
      <c r="K221" s="11" t="n"/>
      <c r="L221" s="11" t="n"/>
      <c r="M221" s="8">
        <f>IF(E221="","",IF(E221&gt;L221,"BUY-DAY","SELL-DAY"))</f>
        <v/>
      </c>
      <c r="N221" s="13">
        <f>IF(E221="","",MAX(F221-G221,ABS(F221-L221),ABS(G221-L221)))</f>
        <v/>
      </c>
      <c r="O221" s="8">
        <f>IF(E221="","",IF(AND(I221&gt;0,I221&gt;(I221/3)*2.5),"VOL-OK","VOL-NG"))</f>
        <v/>
      </c>
      <c r="P221" s="8">
        <f>IF(E221="","",IF(E221&gt;J221,"ON","OFF"))</f>
        <v/>
      </c>
      <c r="Q221" s="8">
        <f>IF(E221="","",IF(E221&lt;K221,"ON","OFF"))</f>
        <v/>
      </c>
      <c r="R221" s="8">
        <f>IF(OR(E221="",N221&lt;=0),"",IF(AND(M221="BUY-DAY",O221="VOL-OK",Q221="ON",AA221="OK",AB221&lt;&gt;"DOWN"),"BUY",IF(AND(M221="SELL-DAY",O221="VOL-OK",P221="ON",AA221="OK",AB221&lt;&gt;"UP"),"SELL","")))</f>
        <v/>
      </c>
      <c r="S221" s="13">
        <f>IF(R221="","",E221)</f>
        <v/>
      </c>
      <c r="T221" s="13">
        <f>IF(R221="","",IF(R221="BUY",E221-N221*1.5,E221+N221*1.5))</f>
        <v/>
      </c>
      <c r="U221" s="13">
        <f>IF(R221="","",IF(R221="BUY",E221+N221*1.5,E221-N221*1.5))</f>
        <v/>
      </c>
      <c r="V221" s="13">
        <f>IF(R221="","",IF(R221="BUY",E221+N221*2,E221-N221*2))</f>
        <v/>
      </c>
      <c r="W221" s="13">
        <f>IF(R221="","",IF(R221="BUY",E221+N221*3,E221-N221*3))</f>
        <v/>
      </c>
      <c r="X221" s="8">
        <f>IF(OR(E221="",N221&lt;=0),"",IF(AND(E221&gt;H221,ABS(E221-H221)&lt;N221*0.5),"2ND","1ST"))</f>
        <v/>
      </c>
      <c r="Y221" s="8">
        <f>IF(OR(E221="",N221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21" s="8">
        <f>IF(OR(E221="",N221&lt;=0),"",IF(N221&gt;E221*0.05,"VOL-HIGH","VOL-NORMAL"))</f>
        <v/>
      </c>
      <c r="AA221" s="8">
        <f>IF(OR(E221="",N221&lt;=0),"",IF(AND(O221="VOL-OK",Z221="VOL-NORMAL",X221="2ND"),"OK","NG"))</f>
        <v/>
      </c>
      <c r="AB221" s="8">
        <f>IF(OR(E221="",N221&lt;=0),"",IF(AND(F221&gt;J221,G221&gt;K221),"UP",IF(AND(F221&lt;J221,G221&lt;K221),"DOWN","FLAT")))</f>
        <v/>
      </c>
    </row>
    <row r="222" ht="26" customHeight="1" s="1">
      <c r="A222" s="14">
        <f>IF(C222="","",ROW()-2)</f>
        <v/>
      </c>
      <c r="B222" s="15">
        <f>IF('StockList_MS2'!A221="","",HYPERLINK("https://kabutan.jp/stock/?code="&amp;'StockList_MS2'!A221,"株探"))</f>
        <v/>
      </c>
      <c r="C222" s="14">
        <f>IF('StockList_MS2'!A221="","",'StockList_MS2'!A221)</f>
        <v/>
      </c>
      <c r="D222" s="16">
        <f>IF('StockList_MS2'!A221="","",'StockList_MS2'!B221)</f>
        <v/>
      </c>
      <c r="E222" s="17" t="n"/>
      <c r="F222" s="17" t="n"/>
      <c r="G222" s="17" t="n"/>
      <c r="H222" s="17" t="n"/>
      <c r="I222" s="18" t="n"/>
      <c r="J222" s="17" t="n"/>
      <c r="K222" s="17" t="n"/>
      <c r="L222" s="17" t="n"/>
      <c r="M222" s="14">
        <f>IF(E222="","",IF(E222&gt;L222,"BUY-DAY","SELL-DAY"))</f>
        <v/>
      </c>
      <c r="N222" s="19">
        <f>IF(E222="","",MAX(F222-G222,ABS(F222-L222),ABS(G222-L222)))</f>
        <v/>
      </c>
      <c r="O222" s="14">
        <f>IF(E222="","",IF(AND(I222&gt;0,I222&gt;(I222/3)*2.5),"VOL-OK","VOL-NG"))</f>
        <v/>
      </c>
      <c r="P222" s="14">
        <f>IF(E222="","",IF(E222&gt;J222,"ON","OFF"))</f>
        <v/>
      </c>
      <c r="Q222" s="14">
        <f>IF(E222="","",IF(E222&lt;K222,"ON","OFF"))</f>
        <v/>
      </c>
      <c r="R222" s="14">
        <f>IF(OR(E222="",N222&lt;=0),"",IF(AND(M222="BUY-DAY",O222="VOL-OK",Q222="ON",AA222="OK",AB222&lt;&gt;"DOWN"),"BUY",IF(AND(M222="SELL-DAY",O222="VOL-OK",P222="ON",AA222="OK",AB222&lt;&gt;"UP"),"SELL","")))</f>
        <v/>
      </c>
      <c r="S222" s="19">
        <f>IF(R222="","",E222)</f>
        <v/>
      </c>
      <c r="T222" s="19">
        <f>IF(R222="","",IF(R222="BUY",E222-N222*1.5,E222+N222*1.5))</f>
        <v/>
      </c>
      <c r="U222" s="19">
        <f>IF(R222="","",IF(R222="BUY",E222+N222*1.5,E222-N222*1.5))</f>
        <v/>
      </c>
      <c r="V222" s="19">
        <f>IF(R222="","",IF(R222="BUY",E222+N222*2,E222-N222*2))</f>
        <v/>
      </c>
      <c r="W222" s="19">
        <f>IF(R222="","",IF(R222="BUY",E222+N222*3,E222-N222*3))</f>
        <v/>
      </c>
      <c r="X222" s="14">
        <f>IF(OR(E222="",N222&lt;=0),"",IF(AND(E222&gt;H222,ABS(E222-H222)&lt;N222*0.5),"2ND","1ST"))</f>
        <v/>
      </c>
      <c r="Y222" s="14">
        <f>IF(OR(E222="",N222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22" s="14">
        <f>IF(OR(E222="",N222&lt;=0),"",IF(N222&gt;E222*0.05,"VOL-HIGH","VOL-NORMAL"))</f>
        <v/>
      </c>
      <c r="AA222" s="14">
        <f>IF(OR(E222="",N222&lt;=0),"",IF(AND(O222="VOL-OK",Z222="VOL-NORMAL",X222="2ND"),"OK","NG"))</f>
        <v/>
      </c>
      <c r="AB222" s="14">
        <f>IF(OR(E222="",N222&lt;=0),"",IF(AND(F222&gt;J222,G222&gt;K222),"UP",IF(AND(F222&lt;J222,G222&lt;K222),"DOWN","FLAT")))</f>
        <v/>
      </c>
    </row>
    <row r="223" ht="26" customHeight="1" s="1">
      <c r="A223" s="8">
        <f>IF(C223="","",ROW()-2)</f>
        <v/>
      </c>
      <c r="B223" s="9">
        <f>IF('StockList_MS2'!A222="","",HYPERLINK("https://kabutan.jp/stock/?code="&amp;'StockList_MS2'!A222,"株探"))</f>
        <v/>
      </c>
      <c r="C223" s="8">
        <f>IF('StockList_MS2'!A222="","",'StockList_MS2'!A222)</f>
        <v/>
      </c>
      <c r="D223" s="10">
        <f>IF('StockList_MS2'!A222="","",'StockList_MS2'!B222)</f>
        <v/>
      </c>
      <c r="E223" s="11" t="n"/>
      <c r="F223" s="11" t="n"/>
      <c r="G223" s="11" t="n"/>
      <c r="H223" s="11" t="n"/>
      <c r="I223" s="12" t="n"/>
      <c r="J223" s="11" t="n"/>
      <c r="K223" s="11" t="n"/>
      <c r="L223" s="11" t="n"/>
      <c r="M223" s="8">
        <f>IF(E223="","",IF(E223&gt;L223,"BUY-DAY","SELL-DAY"))</f>
        <v/>
      </c>
      <c r="N223" s="13">
        <f>IF(E223="","",MAX(F223-G223,ABS(F223-L223),ABS(G223-L223)))</f>
        <v/>
      </c>
      <c r="O223" s="8">
        <f>IF(E223="","",IF(AND(I223&gt;0,I223&gt;(I223/3)*2.5),"VOL-OK","VOL-NG"))</f>
        <v/>
      </c>
      <c r="P223" s="8">
        <f>IF(E223="","",IF(E223&gt;J223,"ON","OFF"))</f>
        <v/>
      </c>
      <c r="Q223" s="8">
        <f>IF(E223="","",IF(E223&lt;K223,"ON","OFF"))</f>
        <v/>
      </c>
      <c r="R223" s="8">
        <f>IF(OR(E223="",N223&lt;=0),"",IF(AND(M223="BUY-DAY",O223="VOL-OK",Q223="ON",AA223="OK",AB223&lt;&gt;"DOWN"),"BUY",IF(AND(M223="SELL-DAY",O223="VOL-OK",P223="ON",AA223="OK",AB223&lt;&gt;"UP"),"SELL","")))</f>
        <v/>
      </c>
      <c r="S223" s="13">
        <f>IF(R223="","",E223)</f>
        <v/>
      </c>
      <c r="T223" s="13">
        <f>IF(R223="","",IF(R223="BUY",E223-N223*1.5,E223+N223*1.5))</f>
        <v/>
      </c>
      <c r="U223" s="13">
        <f>IF(R223="","",IF(R223="BUY",E223+N223*1.5,E223-N223*1.5))</f>
        <v/>
      </c>
      <c r="V223" s="13">
        <f>IF(R223="","",IF(R223="BUY",E223+N223*2,E223-N223*2))</f>
        <v/>
      </c>
      <c r="W223" s="13">
        <f>IF(R223="","",IF(R223="BUY",E223+N223*3,E223-N223*3))</f>
        <v/>
      </c>
      <c r="X223" s="8">
        <f>IF(OR(E223="",N223&lt;=0),"",IF(AND(E223&gt;H223,ABS(E223-H223)&lt;N223*0.5),"2ND","1ST"))</f>
        <v/>
      </c>
      <c r="Y223" s="8">
        <f>IF(OR(E223="",N223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23" s="8">
        <f>IF(OR(E223="",N223&lt;=0),"",IF(N223&gt;E223*0.05,"VOL-HIGH","VOL-NORMAL"))</f>
        <v/>
      </c>
      <c r="AA223" s="8">
        <f>IF(OR(E223="",N223&lt;=0),"",IF(AND(O223="VOL-OK",Z223="VOL-NORMAL",X223="2ND"),"OK","NG"))</f>
        <v/>
      </c>
      <c r="AB223" s="8">
        <f>IF(OR(E223="",N223&lt;=0),"",IF(AND(F223&gt;J223,G223&gt;K223),"UP",IF(AND(F223&lt;J223,G223&lt;K223),"DOWN","FLAT")))</f>
        <v/>
      </c>
    </row>
    <row r="224" ht="26" customHeight="1" s="1">
      <c r="A224" s="14">
        <f>IF(C224="","",ROW()-2)</f>
        <v/>
      </c>
      <c r="B224" s="15">
        <f>IF('StockList_MS2'!A223="","",HYPERLINK("https://kabutan.jp/stock/?code="&amp;'StockList_MS2'!A223,"株探"))</f>
        <v/>
      </c>
      <c r="C224" s="14">
        <f>IF('StockList_MS2'!A223="","",'StockList_MS2'!A223)</f>
        <v/>
      </c>
      <c r="D224" s="16">
        <f>IF('StockList_MS2'!A223="","",'StockList_MS2'!B223)</f>
        <v/>
      </c>
      <c r="E224" s="17" t="n"/>
      <c r="F224" s="17" t="n"/>
      <c r="G224" s="17" t="n"/>
      <c r="H224" s="17" t="n"/>
      <c r="I224" s="18" t="n"/>
      <c r="J224" s="17" t="n"/>
      <c r="K224" s="17" t="n"/>
      <c r="L224" s="17" t="n"/>
      <c r="M224" s="14">
        <f>IF(E224="","",IF(E224&gt;L224,"BUY-DAY","SELL-DAY"))</f>
        <v/>
      </c>
      <c r="N224" s="19">
        <f>IF(E224="","",MAX(F224-G224,ABS(F224-L224),ABS(G224-L224)))</f>
        <v/>
      </c>
      <c r="O224" s="14">
        <f>IF(E224="","",IF(AND(I224&gt;0,I224&gt;(I224/3)*2.5),"VOL-OK","VOL-NG"))</f>
        <v/>
      </c>
      <c r="P224" s="14">
        <f>IF(E224="","",IF(E224&gt;J224,"ON","OFF"))</f>
        <v/>
      </c>
      <c r="Q224" s="14">
        <f>IF(E224="","",IF(E224&lt;K224,"ON","OFF"))</f>
        <v/>
      </c>
      <c r="R224" s="14">
        <f>IF(OR(E224="",N224&lt;=0),"",IF(AND(M224="BUY-DAY",O224="VOL-OK",Q224="ON",AA224="OK",AB224&lt;&gt;"DOWN"),"BUY",IF(AND(M224="SELL-DAY",O224="VOL-OK",P224="ON",AA224="OK",AB224&lt;&gt;"UP"),"SELL","")))</f>
        <v/>
      </c>
      <c r="S224" s="19">
        <f>IF(R224="","",E224)</f>
        <v/>
      </c>
      <c r="T224" s="19">
        <f>IF(R224="","",IF(R224="BUY",E224-N224*1.5,E224+N224*1.5))</f>
        <v/>
      </c>
      <c r="U224" s="19">
        <f>IF(R224="","",IF(R224="BUY",E224+N224*1.5,E224-N224*1.5))</f>
        <v/>
      </c>
      <c r="V224" s="19">
        <f>IF(R224="","",IF(R224="BUY",E224+N224*2,E224-N224*2))</f>
        <v/>
      </c>
      <c r="W224" s="19">
        <f>IF(R224="","",IF(R224="BUY",E224+N224*3,E224-N224*3))</f>
        <v/>
      </c>
      <c r="X224" s="14">
        <f>IF(OR(E224="",N224&lt;=0),"",IF(AND(E224&gt;H224,ABS(E224-H224)&lt;N224*0.5),"2ND","1ST"))</f>
        <v/>
      </c>
      <c r="Y224" s="14">
        <f>IF(OR(E224="",N224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24" s="14">
        <f>IF(OR(E224="",N224&lt;=0),"",IF(N224&gt;E224*0.05,"VOL-HIGH","VOL-NORMAL"))</f>
        <v/>
      </c>
      <c r="AA224" s="14">
        <f>IF(OR(E224="",N224&lt;=0),"",IF(AND(O224="VOL-OK",Z224="VOL-NORMAL",X224="2ND"),"OK","NG"))</f>
        <v/>
      </c>
      <c r="AB224" s="14">
        <f>IF(OR(E224="",N224&lt;=0),"",IF(AND(F224&gt;J224,G224&gt;K224),"UP",IF(AND(F224&lt;J224,G224&lt;K224),"DOWN","FLAT")))</f>
        <v/>
      </c>
    </row>
    <row r="225" ht="26" customHeight="1" s="1">
      <c r="A225" s="8">
        <f>IF(C225="","",ROW()-2)</f>
        <v/>
      </c>
      <c r="B225" s="9">
        <f>IF('StockList_MS2'!A224="","",HYPERLINK("https://kabutan.jp/stock/?code="&amp;'StockList_MS2'!A224,"株探"))</f>
        <v/>
      </c>
      <c r="C225" s="8">
        <f>IF('StockList_MS2'!A224="","",'StockList_MS2'!A224)</f>
        <v/>
      </c>
      <c r="D225" s="10">
        <f>IF('StockList_MS2'!A224="","",'StockList_MS2'!B224)</f>
        <v/>
      </c>
      <c r="E225" s="11" t="n"/>
      <c r="F225" s="11" t="n"/>
      <c r="G225" s="11" t="n"/>
      <c r="H225" s="11" t="n"/>
      <c r="I225" s="12" t="n"/>
      <c r="J225" s="11" t="n"/>
      <c r="K225" s="11" t="n"/>
      <c r="L225" s="11" t="n"/>
      <c r="M225" s="8">
        <f>IF(E225="","",IF(E225&gt;L225,"BUY-DAY","SELL-DAY"))</f>
        <v/>
      </c>
      <c r="N225" s="13">
        <f>IF(E225="","",MAX(F225-G225,ABS(F225-L225),ABS(G225-L225)))</f>
        <v/>
      </c>
      <c r="O225" s="8">
        <f>IF(E225="","",IF(AND(I225&gt;0,I225&gt;(I225/3)*2.5),"VOL-OK","VOL-NG"))</f>
        <v/>
      </c>
      <c r="P225" s="8">
        <f>IF(E225="","",IF(E225&gt;J225,"ON","OFF"))</f>
        <v/>
      </c>
      <c r="Q225" s="8">
        <f>IF(E225="","",IF(E225&lt;K225,"ON","OFF"))</f>
        <v/>
      </c>
      <c r="R225" s="8">
        <f>IF(OR(E225="",N225&lt;=0),"",IF(AND(M225="BUY-DAY",O225="VOL-OK",Q225="ON",AA225="OK",AB225&lt;&gt;"DOWN"),"BUY",IF(AND(M225="SELL-DAY",O225="VOL-OK",P225="ON",AA225="OK",AB225&lt;&gt;"UP"),"SELL","")))</f>
        <v/>
      </c>
      <c r="S225" s="13">
        <f>IF(R225="","",E225)</f>
        <v/>
      </c>
      <c r="T225" s="13">
        <f>IF(R225="","",IF(R225="BUY",E225-N225*1.5,E225+N225*1.5))</f>
        <v/>
      </c>
      <c r="U225" s="13">
        <f>IF(R225="","",IF(R225="BUY",E225+N225*1.5,E225-N225*1.5))</f>
        <v/>
      </c>
      <c r="V225" s="13">
        <f>IF(R225="","",IF(R225="BUY",E225+N225*2,E225-N225*2))</f>
        <v/>
      </c>
      <c r="W225" s="13">
        <f>IF(R225="","",IF(R225="BUY",E225+N225*3,E225-N225*3))</f>
        <v/>
      </c>
      <c r="X225" s="8">
        <f>IF(OR(E225="",N225&lt;=0),"",IF(AND(E225&gt;H225,ABS(E225-H225)&lt;N225*0.5),"2ND","1ST"))</f>
        <v/>
      </c>
      <c r="Y225" s="8">
        <f>IF(OR(E225="",N225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25" s="8">
        <f>IF(OR(E225="",N225&lt;=0),"",IF(N225&gt;E225*0.05,"VOL-HIGH","VOL-NORMAL"))</f>
        <v/>
      </c>
      <c r="AA225" s="8">
        <f>IF(OR(E225="",N225&lt;=0),"",IF(AND(O225="VOL-OK",Z225="VOL-NORMAL",X225="2ND"),"OK","NG"))</f>
        <v/>
      </c>
      <c r="AB225" s="8">
        <f>IF(OR(E225="",N225&lt;=0),"",IF(AND(F225&gt;J225,G225&gt;K225),"UP",IF(AND(F225&lt;J225,G225&lt;K225),"DOWN","FLAT")))</f>
        <v/>
      </c>
    </row>
    <row r="226" ht="26" customHeight="1" s="1">
      <c r="A226" s="14">
        <f>IF(C226="","",ROW()-2)</f>
        <v/>
      </c>
      <c r="B226" s="15">
        <f>IF('StockList_MS2'!A225="","",HYPERLINK("https://kabutan.jp/stock/?code="&amp;'StockList_MS2'!A225,"株探"))</f>
        <v/>
      </c>
      <c r="C226" s="14">
        <f>IF('StockList_MS2'!A225="","",'StockList_MS2'!A225)</f>
        <v/>
      </c>
      <c r="D226" s="16">
        <f>IF('StockList_MS2'!A225="","",'StockList_MS2'!B225)</f>
        <v/>
      </c>
      <c r="E226" s="17" t="n"/>
      <c r="F226" s="17" t="n"/>
      <c r="G226" s="17" t="n"/>
      <c r="H226" s="17" t="n"/>
      <c r="I226" s="18" t="n"/>
      <c r="J226" s="17" t="n"/>
      <c r="K226" s="17" t="n"/>
      <c r="L226" s="17" t="n"/>
      <c r="M226" s="14">
        <f>IF(E226="","",IF(E226&gt;L226,"BUY-DAY","SELL-DAY"))</f>
        <v/>
      </c>
      <c r="N226" s="19">
        <f>IF(E226="","",MAX(F226-G226,ABS(F226-L226),ABS(G226-L226)))</f>
        <v/>
      </c>
      <c r="O226" s="14">
        <f>IF(E226="","",IF(AND(I226&gt;0,I226&gt;(I226/3)*2.5),"VOL-OK","VOL-NG"))</f>
        <v/>
      </c>
      <c r="P226" s="14">
        <f>IF(E226="","",IF(E226&gt;J226,"ON","OFF"))</f>
        <v/>
      </c>
      <c r="Q226" s="14">
        <f>IF(E226="","",IF(E226&lt;K226,"ON","OFF"))</f>
        <v/>
      </c>
      <c r="R226" s="14">
        <f>IF(OR(E226="",N226&lt;=0),"",IF(AND(M226="BUY-DAY",O226="VOL-OK",Q226="ON",AA226="OK",AB226&lt;&gt;"DOWN"),"BUY",IF(AND(M226="SELL-DAY",O226="VOL-OK",P226="ON",AA226="OK",AB226&lt;&gt;"UP"),"SELL","")))</f>
        <v/>
      </c>
      <c r="S226" s="19">
        <f>IF(R226="","",E226)</f>
        <v/>
      </c>
      <c r="T226" s="19">
        <f>IF(R226="","",IF(R226="BUY",E226-N226*1.5,E226+N226*1.5))</f>
        <v/>
      </c>
      <c r="U226" s="19">
        <f>IF(R226="","",IF(R226="BUY",E226+N226*1.5,E226-N226*1.5))</f>
        <v/>
      </c>
      <c r="V226" s="19">
        <f>IF(R226="","",IF(R226="BUY",E226+N226*2,E226-N226*2))</f>
        <v/>
      </c>
      <c r="W226" s="19">
        <f>IF(R226="","",IF(R226="BUY",E226+N226*3,E226-N226*3))</f>
        <v/>
      </c>
      <c r="X226" s="14">
        <f>IF(OR(E226="",N226&lt;=0),"",IF(AND(E226&gt;H226,ABS(E226-H226)&lt;N226*0.5),"2ND","1ST"))</f>
        <v/>
      </c>
      <c r="Y226" s="14">
        <f>IF(OR(E226="",N226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26" s="14">
        <f>IF(OR(E226="",N226&lt;=0),"",IF(N226&gt;E226*0.05,"VOL-HIGH","VOL-NORMAL"))</f>
        <v/>
      </c>
      <c r="AA226" s="14">
        <f>IF(OR(E226="",N226&lt;=0),"",IF(AND(O226="VOL-OK",Z226="VOL-NORMAL",X226="2ND"),"OK","NG"))</f>
        <v/>
      </c>
      <c r="AB226" s="14">
        <f>IF(OR(E226="",N226&lt;=0),"",IF(AND(F226&gt;J226,G226&gt;K226),"UP",IF(AND(F226&lt;J226,G226&lt;K226),"DOWN","FLAT")))</f>
        <v/>
      </c>
    </row>
    <row r="227" ht="26" customHeight="1" s="1">
      <c r="A227" s="8">
        <f>IF(C227="","",ROW()-2)</f>
        <v/>
      </c>
      <c r="B227" s="9">
        <f>IF('StockList_MS2'!A226="","",HYPERLINK("https://kabutan.jp/stock/?code="&amp;'StockList_MS2'!A226,"株探"))</f>
        <v/>
      </c>
      <c r="C227" s="8">
        <f>IF('StockList_MS2'!A226="","",'StockList_MS2'!A226)</f>
        <v/>
      </c>
      <c r="D227" s="10">
        <f>IF('StockList_MS2'!A226="","",'StockList_MS2'!B226)</f>
        <v/>
      </c>
      <c r="E227" s="11" t="n"/>
      <c r="F227" s="11" t="n"/>
      <c r="G227" s="11" t="n"/>
      <c r="H227" s="11" t="n"/>
      <c r="I227" s="12" t="n"/>
      <c r="J227" s="11" t="n"/>
      <c r="K227" s="11" t="n"/>
      <c r="L227" s="11" t="n"/>
      <c r="M227" s="8">
        <f>IF(E227="","",IF(E227&gt;L227,"BUY-DAY","SELL-DAY"))</f>
        <v/>
      </c>
      <c r="N227" s="13">
        <f>IF(E227="","",MAX(F227-G227,ABS(F227-L227),ABS(G227-L227)))</f>
        <v/>
      </c>
      <c r="O227" s="8">
        <f>IF(E227="","",IF(AND(I227&gt;0,I227&gt;(I227/3)*2.5),"VOL-OK","VOL-NG"))</f>
        <v/>
      </c>
      <c r="P227" s="8">
        <f>IF(E227="","",IF(E227&gt;J227,"ON","OFF"))</f>
        <v/>
      </c>
      <c r="Q227" s="8">
        <f>IF(E227="","",IF(E227&lt;K227,"ON","OFF"))</f>
        <v/>
      </c>
      <c r="R227" s="8">
        <f>IF(OR(E227="",N227&lt;=0),"",IF(AND(M227="BUY-DAY",O227="VOL-OK",Q227="ON",AA227="OK",AB227&lt;&gt;"DOWN"),"BUY",IF(AND(M227="SELL-DAY",O227="VOL-OK",P227="ON",AA227="OK",AB227&lt;&gt;"UP"),"SELL","")))</f>
        <v/>
      </c>
      <c r="S227" s="13">
        <f>IF(R227="","",E227)</f>
        <v/>
      </c>
      <c r="T227" s="13">
        <f>IF(R227="","",IF(R227="BUY",E227-N227*1.5,E227+N227*1.5))</f>
        <v/>
      </c>
      <c r="U227" s="13">
        <f>IF(R227="","",IF(R227="BUY",E227+N227*1.5,E227-N227*1.5))</f>
        <v/>
      </c>
      <c r="V227" s="13">
        <f>IF(R227="","",IF(R227="BUY",E227+N227*2,E227-N227*2))</f>
        <v/>
      </c>
      <c r="W227" s="13">
        <f>IF(R227="","",IF(R227="BUY",E227+N227*3,E227-N227*3))</f>
        <v/>
      </c>
      <c r="X227" s="8">
        <f>IF(OR(E227="",N227&lt;=0),"",IF(AND(E227&gt;H227,ABS(E227-H227)&lt;N227*0.5),"2ND","1ST"))</f>
        <v/>
      </c>
      <c r="Y227" s="8">
        <f>IF(OR(E227="",N227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27" s="8">
        <f>IF(OR(E227="",N227&lt;=0),"",IF(N227&gt;E227*0.05,"VOL-HIGH","VOL-NORMAL"))</f>
        <v/>
      </c>
      <c r="AA227" s="8">
        <f>IF(OR(E227="",N227&lt;=0),"",IF(AND(O227="VOL-OK",Z227="VOL-NORMAL",X227="2ND"),"OK","NG"))</f>
        <v/>
      </c>
      <c r="AB227" s="8">
        <f>IF(OR(E227="",N227&lt;=0),"",IF(AND(F227&gt;J227,G227&gt;K227),"UP",IF(AND(F227&lt;J227,G227&lt;K227),"DOWN","FLAT")))</f>
        <v/>
      </c>
    </row>
    <row r="228" ht="26" customHeight="1" s="1">
      <c r="A228" s="14">
        <f>IF(C228="","",ROW()-2)</f>
        <v/>
      </c>
      <c r="B228" s="15">
        <f>IF('StockList_MS2'!A227="","",HYPERLINK("https://kabutan.jp/stock/?code="&amp;'StockList_MS2'!A227,"株探"))</f>
        <v/>
      </c>
      <c r="C228" s="14">
        <f>IF('StockList_MS2'!A227="","",'StockList_MS2'!A227)</f>
        <v/>
      </c>
      <c r="D228" s="16">
        <f>IF('StockList_MS2'!A227="","",'StockList_MS2'!B227)</f>
        <v/>
      </c>
      <c r="E228" s="17" t="n"/>
      <c r="F228" s="17" t="n"/>
      <c r="G228" s="17" t="n"/>
      <c r="H228" s="17" t="n"/>
      <c r="I228" s="18" t="n"/>
      <c r="J228" s="17" t="n"/>
      <c r="K228" s="17" t="n"/>
      <c r="L228" s="17" t="n"/>
      <c r="M228" s="14">
        <f>IF(E228="","",IF(E228&gt;L228,"BUY-DAY","SELL-DAY"))</f>
        <v/>
      </c>
      <c r="N228" s="19">
        <f>IF(E228="","",MAX(F228-G228,ABS(F228-L228),ABS(G228-L228)))</f>
        <v/>
      </c>
      <c r="O228" s="14">
        <f>IF(E228="","",IF(AND(I228&gt;0,I228&gt;(I228/3)*2.5),"VOL-OK","VOL-NG"))</f>
        <v/>
      </c>
      <c r="P228" s="14">
        <f>IF(E228="","",IF(E228&gt;J228,"ON","OFF"))</f>
        <v/>
      </c>
      <c r="Q228" s="14">
        <f>IF(E228="","",IF(E228&lt;K228,"ON","OFF"))</f>
        <v/>
      </c>
      <c r="R228" s="14">
        <f>IF(OR(E228="",N228&lt;=0),"",IF(AND(M228="BUY-DAY",O228="VOL-OK",Q228="ON",AA228="OK",AB228&lt;&gt;"DOWN"),"BUY",IF(AND(M228="SELL-DAY",O228="VOL-OK",P228="ON",AA228="OK",AB228&lt;&gt;"UP"),"SELL","")))</f>
        <v/>
      </c>
      <c r="S228" s="19">
        <f>IF(R228="","",E228)</f>
        <v/>
      </c>
      <c r="T228" s="19">
        <f>IF(R228="","",IF(R228="BUY",E228-N228*1.5,E228+N228*1.5))</f>
        <v/>
      </c>
      <c r="U228" s="19">
        <f>IF(R228="","",IF(R228="BUY",E228+N228*1.5,E228-N228*1.5))</f>
        <v/>
      </c>
      <c r="V228" s="19">
        <f>IF(R228="","",IF(R228="BUY",E228+N228*2,E228-N228*2))</f>
        <v/>
      </c>
      <c r="W228" s="19">
        <f>IF(R228="","",IF(R228="BUY",E228+N228*3,E228-N228*3))</f>
        <v/>
      </c>
      <c r="X228" s="14">
        <f>IF(OR(E228="",N228&lt;=0),"",IF(AND(E228&gt;H228,ABS(E228-H228)&lt;N228*0.5),"2ND","1ST"))</f>
        <v/>
      </c>
      <c r="Y228" s="14">
        <f>IF(OR(E228="",N228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28" s="14">
        <f>IF(OR(E228="",N228&lt;=0),"",IF(N228&gt;E228*0.05,"VOL-HIGH","VOL-NORMAL"))</f>
        <v/>
      </c>
      <c r="AA228" s="14">
        <f>IF(OR(E228="",N228&lt;=0),"",IF(AND(O228="VOL-OK",Z228="VOL-NORMAL",X228="2ND"),"OK","NG"))</f>
        <v/>
      </c>
      <c r="AB228" s="14">
        <f>IF(OR(E228="",N228&lt;=0),"",IF(AND(F228&gt;J228,G228&gt;K228),"UP",IF(AND(F228&lt;J228,G228&lt;K228),"DOWN","FLAT")))</f>
        <v/>
      </c>
    </row>
    <row r="229" ht="26" customHeight="1" s="1">
      <c r="A229" s="8">
        <f>IF(C229="","",ROW()-2)</f>
        <v/>
      </c>
      <c r="B229" s="9">
        <f>IF('StockList_MS2'!A228="","",HYPERLINK("https://kabutan.jp/stock/?code="&amp;'StockList_MS2'!A228,"株探"))</f>
        <v/>
      </c>
      <c r="C229" s="8">
        <f>IF('StockList_MS2'!A228="","",'StockList_MS2'!A228)</f>
        <v/>
      </c>
      <c r="D229" s="10">
        <f>IF('StockList_MS2'!A228="","",'StockList_MS2'!B228)</f>
        <v/>
      </c>
      <c r="E229" s="11" t="n"/>
      <c r="F229" s="11" t="n"/>
      <c r="G229" s="11" t="n"/>
      <c r="H229" s="11" t="n"/>
      <c r="I229" s="12" t="n"/>
      <c r="J229" s="11" t="n"/>
      <c r="K229" s="11" t="n"/>
      <c r="L229" s="11" t="n"/>
      <c r="M229" s="8">
        <f>IF(E229="","",IF(E229&gt;L229,"BUY-DAY","SELL-DAY"))</f>
        <v/>
      </c>
      <c r="N229" s="13">
        <f>IF(E229="","",MAX(F229-G229,ABS(F229-L229),ABS(G229-L229)))</f>
        <v/>
      </c>
      <c r="O229" s="8">
        <f>IF(E229="","",IF(AND(I229&gt;0,I229&gt;(I229/3)*2.5),"VOL-OK","VOL-NG"))</f>
        <v/>
      </c>
      <c r="P229" s="8">
        <f>IF(E229="","",IF(E229&gt;J229,"ON","OFF"))</f>
        <v/>
      </c>
      <c r="Q229" s="8">
        <f>IF(E229="","",IF(E229&lt;K229,"ON","OFF"))</f>
        <v/>
      </c>
      <c r="R229" s="8">
        <f>IF(OR(E229="",N229&lt;=0),"",IF(AND(M229="BUY-DAY",O229="VOL-OK",Q229="ON",AA229="OK",AB229&lt;&gt;"DOWN"),"BUY",IF(AND(M229="SELL-DAY",O229="VOL-OK",P229="ON",AA229="OK",AB229&lt;&gt;"UP"),"SELL","")))</f>
        <v/>
      </c>
      <c r="S229" s="13">
        <f>IF(R229="","",E229)</f>
        <v/>
      </c>
      <c r="T229" s="13">
        <f>IF(R229="","",IF(R229="BUY",E229-N229*1.5,E229+N229*1.5))</f>
        <v/>
      </c>
      <c r="U229" s="13">
        <f>IF(R229="","",IF(R229="BUY",E229+N229*1.5,E229-N229*1.5))</f>
        <v/>
      </c>
      <c r="V229" s="13">
        <f>IF(R229="","",IF(R229="BUY",E229+N229*2,E229-N229*2))</f>
        <v/>
      </c>
      <c r="W229" s="13">
        <f>IF(R229="","",IF(R229="BUY",E229+N229*3,E229-N229*3))</f>
        <v/>
      </c>
      <c r="X229" s="8">
        <f>IF(OR(E229="",N229&lt;=0),"",IF(AND(E229&gt;H229,ABS(E229-H229)&lt;N229*0.5),"2ND","1ST"))</f>
        <v/>
      </c>
      <c r="Y229" s="8">
        <f>IF(OR(E229="",N229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29" s="8">
        <f>IF(OR(E229="",N229&lt;=0),"",IF(N229&gt;E229*0.05,"VOL-HIGH","VOL-NORMAL"))</f>
        <v/>
      </c>
      <c r="AA229" s="8">
        <f>IF(OR(E229="",N229&lt;=0),"",IF(AND(O229="VOL-OK",Z229="VOL-NORMAL",X229="2ND"),"OK","NG"))</f>
        <v/>
      </c>
      <c r="AB229" s="8">
        <f>IF(OR(E229="",N229&lt;=0),"",IF(AND(F229&gt;J229,G229&gt;K229),"UP",IF(AND(F229&lt;J229,G229&lt;K229),"DOWN","FLAT")))</f>
        <v/>
      </c>
    </row>
    <row r="230" ht="26" customHeight="1" s="1">
      <c r="A230" s="14">
        <f>IF(C230="","",ROW()-2)</f>
        <v/>
      </c>
      <c r="B230" s="15">
        <f>IF('StockList_MS2'!A229="","",HYPERLINK("https://kabutan.jp/stock/?code="&amp;'StockList_MS2'!A229,"株探"))</f>
        <v/>
      </c>
      <c r="C230" s="14">
        <f>IF('StockList_MS2'!A229="","",'StockList_MS2'!A229)</f>
        <v/>
      </c>
      <c r="D230" s="16">
        <f>IF('StockList_MS2'!A229="","",'StockList_MS2'!B229)</f>
        <v/>
      </c>
      <c r="E230" s="17" t="n"/>
      <c r="F230" s="17" t="n"/>
      <c r="G230" s="17" t="n"/>
      <c r="H230" s="17" t="n"/>
      <c r="I230" s="18" t="n"/>
      <c r="J230" s="17" t="n"/>
      <c r="K230" s="17" t="n"/>
      <c r="L230" s="17" t="n"/>
      <c r="M230" s="14">
        <f>IF(E230="","",IF(E230&gt;L230,"BUY-DAY","SELL-DAY"))</f>
        <v/>
      </c>
      <c r="N230" s="19">
        <f>IF(E230="","",MAX(F230-G230,ABS(F230-L230),ABS(G230-L230)))</f>
        <v/>
      </c>
      <c r="O230" s="14">
        <f>IF(E230="","",IF(AND(I230&gt;0,I230&gt;(I230/3)*2.5),"VOL-OK","VOL-NG"))</f>
        <v/>
      </c>
      <c r="P230" s="14">
        <f>IF(E230="","",IF(E230&gt;J230,"ON","OFF"))</f>
        <v/>
      </c>
      <c r="Q230" s="14">
        <f>IF(E230="","",IF(E230&lt;K230,"ON","OFF"))</f>
        <v/>
      </c>
      <c r="R230" s="14">
        <f>IF(OR(E230="",N230&lt;=0),"",IF(AND(M230="BUY-DAY",O230="VOL-OK",Q230="ON",AA230="OK",AB230&lt;&gt;"DOWN"),"BUY",IF(AND(M230="SELL-DAY",O230="VOL-OK",P230="ON",AA230="OK",AB230&lt;&gt;"UP"),"SELL","")))</f>
        <v/>
      </c>
      <c r="S230" s="19">
        <f>IF(R230="","",E230)</f>
        <v/>
      </c>
      <c r="T230" s="19">
        <f>IF(R230="","",IF(R230="BUY",E230-N230*1.5,E230+N230*1.5))</f>
        <v/>
      </c>
      <c r="U230" s="19">
        <f>IF(R230="","",IF(R230="BUY",E230+N230*1.5,E230-N230*1.5))</f>
        <v/>
      </c>
      <c r="V230" s="19">
        <f>IF(R230="","",IF(R230="BUY",E230+N230*2,E230-N230*2))</f>
        <v/>
      </c>
      <c r="W230" s="19">
        <f>IF(R230="","",IF(R230="BUY",E230+N230*3,E230-N230*3))</f>
        <v/>
      </c>
      <c r="X230" s="14">
        <f>IF(OR(E230="",N230&lt;=0),"",IF(AND(E230&gt;H230,ABS(E230-H230)&lt;N230*0.5),"2ND","1ST"))</f>
        <v/>
      </c>
      <c r="Y230" s="14">
        <f>IF(OR(E230="",N230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30" s="14">
        <f>IF(OR(E230="",N230&lt;=0),"",IF(N230&gt;E230*0.05,"VOL-HIGH","VOL-NORMAL"))</f>
        <v/>
      </c>
      <c r="AA230" s="14">
        <f>IF(OR(E230="",N230&lt;=0),"",IF(AND(O230="VOL-OK",Z230="VOL-NORMAL",X230="2ND"),"OK","NG"))</f>
        <v/>
      </c>
      <c r="AB230" s="14">
        <f>IF(OR(E230="",N230&lt;=0),"",IF(AND(F230&gt;J230,G230&gt;K230),"UP",IF(AND(F230&lt;J230,G230&lt;K230),"DOWN","FLAT")))</f>
        <v/>
      </c>
    </row>
    <row r="231" ht="26" customHeight="1" s="1">
      <c r="A231" s="8">
        <f>IF(C231="","",ROW()-2)</f>
        <v/>
      </c>
      <c r="B231" s="9">
        <f>IF('StockList_MS2'!A230="","",HYPERLINK("https://kabutan.jp/stock/?code="&amp;'StockList_MS2'!A230,"株探"))</f>
        <v/>
      </c>
      <c r="C231" s="8">
        <f>IF('StockList_MS2'!A230="","",'StockList_MS2'!A230)</f>
        <v/>
      </c>
      <c r="D231" s="10">
        <f>IF('StockList_MS2'!A230="","",'StockList_MS2'!B230)</f>
        <v/>
      </c>
      <c r="E231" s="11" t="n"/>
      <c r="F231" s="11" t="n"/>
      <c r="G231" s="11" t="n"/>
      <c r="H231" s="11" t="n"/>
      <c r="I231" s="12" t="n"/>
      <c r="J231" s="11" t="n"/>
      <c r="K231" s="11" t="n"/>
      <c r="L231" s="11" t="n"/>
      <c r="M231" s="8">
        <f>IF(E231="","",IF(E231&gt;L231,"BUY-DAY","SELL-DAY"))</f>
        <v/>
      </c>
      <c r="N231" s="13">
        <f>IF(E231="","",MAX(F231-G231,ABS(F231-L231),ABS(G231-L231)))</f>
        <v/>
      </c>
      <c r="O231" s="8">
        <f>IF(E231="","",IF(AND(I231&gt;0,I231&gt;(I231/3)*2.5),"VOL-OK","VOL-NG"))</f>
        <v/>
      </c>
      <c r="P231" s="8">
        <f>IF(E231="","",IF(E231&gt;J231,"ON","OFF"))</f>
        <v/>
      </c>
      <c r="Q231" s="8">
        <f>IF(E231="","",IF(E231&lt;K231,"ON","OFF"))</f>
        <v/>
      </c>
      <c r="R231" s="8">
        <f>IF(OR(E231="",N231&lt;=0),"",IF(AND(M231="BUY-DAY",O231="VOL-OK",Q231="ON",AA231="OK",AB231&lt;&gt;"DOWN"),"BUY",IF(AND(M231="SELL-DAY",O231="VOL-OK",P231="ON",AA231="OK",AB231&lt;&gt;"UP"),"SELL","")))</f>
        <v/>
      </c>
      <c r="S231" s="13">
        <f>IF(R231="","",E231)</f>
        <v/>
      </c>
      <c r="T231" s="13">
        <f>IF(R231="","",IF(R231="BUY",E231-N231*1.5,E231+N231*1.5))</f>
        <v/>
      </c>
      <c r="U231" s="13">
        <f>IF(R231="","",IF(R231="BUY",E231+N231*1.5,E231-N231*1.5))</f>
        <v/>
      </c>
      <c r="V231" s="13">
        <f>IF(R231="","",IF(R231="BUY",E231+N231*2,E231-N231*2))</f>
        <v/>
      </c>
      <c r="W231" s="13">
        <f>IF(R231="","",IF(R231="BUY",E231+N231*3,E231-N231*3))</f>
        <v/>
      </c>
      <c r="X231" s="8">
        <f>IF(OR(E231="",N231&lt;=0),"",IF(AND(E231&gt;H231,ABS(E231-H231)&lt;N231*0.5),"2ND","1ST"))</f>
        <v/>
      </c>
      <c r="Y231" s="8">
        <f>IF(OR(E231="",N231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31" s="8">
        <f>IF(OR(E231="",N231&lt;=0),"",IF(N231&gt;E231*0.05,"VOL-HIGH","VOL-NORMAL"))</f>
        <v/>
      </c>
      <c r="AA231" s="8">
        <f>IF(OR(E231="",N231&lt;=0),"",IF(AND(O231="VOL-OK",Z231="VOL-NORMAL",X231="2ND"),"OK","NG"))</f>
        <v/>
      </c>
      <c r="AB231" s="8">
        <f>IF(OR(E231="",N231&lt;=0),"",IF(AND(F231&gt;J231,G231&gt;K231),"UP",IF(AND(F231&lt;J231,G231&lt;K231),"DOWN","FLAT")))</f>
        <v/>
      </c>
    </row>
    <row r="232" ht="26" customHeight="1" s="1">
      <c r="A232" s="14">
        <f>IF(C232="","",ROW()-2)</f>
        <v/>
      </c>
      <c r="B232" s="15">
        <f>IF('StockList_MS2'!A231="","",HYPERLINK("https://kabutan.jp/stock/?code="&amp;'StockList_MS2'!A231,"株探"))</f>
        <v/>
      </c>
      <c r="C232" s="14">
        <f>IF('StockList_MS2'!A231="","",'StockList_MS2'!A231)</f>
        <v/>
      </c>
      <c r="D232" s="16">
        <f>IF('StockList_MS2'!A231="","",'StockList_MS2'!B231)</f>
        <v/>
      </c>
      <c r="E232" s="17" t="n"/>
      <c r="F232" s="17" t="n"/>
      <c r="G232" s="17" t="n"/>
      <c r="H232" s="17" t="n"/>
      <c r="I232" s="18" t="n"/>
      <c r="J232" s="17" t="n"/>
      <c r="K232" s="17" t="n"/>
      <c r="L232" s="17" t="n"/>
      <c r="M232" s="14">
        <f>IF(E232="","",IF(E232&gt;L232,"BUY-DAY","SELL-DAY"))</f>
        <v/>
      </c>
      <c r="N232" s="19">
        <f>IF(E232="","",MAX(F232-G232,ABS(F232-L232),ABS(G232-L232)))</f>
        <v/>
      </c>
      <c r="O232" s="14">
        <f>IF(E232="","",IF(AND(I232&gt;0,I232&gt;(I232/3)*2.5),"VOL-OK","VOL-NG"))</f>
        <v/>
      </c>
      <c r="P232" s="14">
        <f>IF(E232="","",IF(E232&gt;J232,"ON","OFF"))</f>
        <v/>
      </c>
      <c r="Q232" s="14">
        <f>IF(E232="","",IF(E232&lt;K232,"ON","OFF"))</f>
        <v/>
      </c>
      <c r="R232" s="14">
        <f>IF(OR(E232="",N232&lt;=0),"",IF(AND(M232="BUY-DAY",O232="VOL-OK",Q232="ON",AA232="OK",AB232&lt;&gt;"DOWN"),"BUY",IF(AND(M232="SELL-DAY",O232="VOL-OK",P232="ON",AA232="OK",AB232&lt;&gt;"UP"),"SELL","")))</f>
        <v/>
      </c>
      <c r="S232" s="19">
        <f>IF(R232="","",E232)</f>
        <v/>
      </c>
      <c r="T232" s="19">
        <f>IF(R232="","",IF(R232="BUY",E232-N232*1.5,E232+N232*1.5))</f>
        <v/>
      </c>
      <c r="U232" s="19">
        <f>IF(R232="","",IF(R232="BUY",E232+N232*1.5,E232-N232*1.5))</f>
        <v/>
      </c>
      <c r="V232" s="19">
        <f>IF(R232="","",IF(R232="BUY",E232+N232*2,E232-N232*2))</f>
        <v/>
      </c>
      <c r="W232" s="19">
        <f>IF(R232="","",IF(R232="BUY",E232+N232*3,E232-N232*3))</f>
        <v/>
      </c>
      <c r="X232" s="14">
        <f>IF(OR(E232="",N232&lt;=0),"",IF(AND(E232&gt;H232,ABS(E232-H232)&lt;N232*0.5),"2ND","1ST"))</f>
        <v/>
      </c>
      <c r="Y232" s="14">
        <f>IF(OR(E232="",N232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32" s="14">
        <f>IF(OR(E232="",N232&lt;=0),"",IF(N232&gt;E232*0.05,"VOL-HIGH","VOL-NORMAL"))</f>
        <v/>
      </c>
      <c r="AA232" s="14">
        <f>IF(OR(E232="",N232&lt;=0),"",IF(AND(O232="VOL-OK",Z232="VOL-NORMAL",X232="2ND"),"OK","NG"))</f>
        <v/>
      </c>
      <c r="AB232" s="14">
        <f>IF(OR(E232="",N232&lt;=0),"",IF(AND(F232&gt;J232,G232&gt;K232),"UP",IF(AND(F232&lt;J232,G232&lt;K232),"DOWN","FLAT")))</f>
        <v/>
      </c>
    </row>
    <row r="233" ht="26" customHeight="1" s="1">
      <c r="A233" s="8">
        <f>IF(C233="","",ROW()-2)</f>
        <v/>
      </c>
      <c r="B233" s="9">
        <f>IF('StockList_MS2'!A232="","",HYPERLINK("https://kabutan.jp/stock/?code="&amp;'StockList_MS2'!A232,"株探"))</f>
        <v/>
      </c>
      <c r="C233" s="8">
        <f>IF('StockList_MS2'!A232="","",'StockList_MS2'!A232)</f>
        <v/>
      </c>
      <c r="D233" s="10">
        <f>IF('StockList_MS2'!A232="","",'StockList_MS2'!B232)</f>
        <v/>
      </c>
      <c r="E233" s="11" t="n"/>
      <c r="F233" s="11" t="n"/>
      <c r="G233" s="11" t="n"/>
      <c r="H233" s="11" t="n"/>
      <c r="I233" s="12" t="n"/>
      <c r="J233" s="11" t="n"/>
      <c r="K233" s="11" t="n"/>
      <c r="L233" s="11" t="n"/>
      <c r="M233" s="8">
        <f>IF(E233="","",IF(E233&gt;L233,"BUY-DAY","SELL-DAY"))</f>
        <v/>
      </c>
      <c r="N233" s="13">
        <f>IF(E233="","",MAX(F233-G233,ABS(F233-L233),ABS(G233-L233)))</f>
        <v/>
      </c>
      <c r="O233" s="8">
        <f>IF(E233="","",IF(AND(I233&gt;0,I233&gt;(I233/3)*2.5),"VOL-OK","VOL-NG"))</f>
        <v/>
      </c>
      <c r="P233" s="8">
        <f>IF(E233="","",IF(E233&gt;J233,"ON","OFF"))</f>
        <v/>
      </c>
      <c r="Q233" s="8">
        <f>IF(E233="","",IF(E233&lt;K233,"ON","OFF"))</f>
        <v/>
      </c>
      <c r="R233" s="8">
        <f>IF(OR(E233="",N233&lt;=0),"",IF(AND(M233="BUY-DAY",O233="VOL-OK",Q233="ON",AA233="OK",AB233&lt;&gt;"DOWN"),"BUY",IF(AND(M233="SELL-DAY",O233="VOL-OK",P233="ON",AA233="OK",AB233&lt;&gt;"UP"),"SELL","")))</f>
        <v/>
      </c>
      <c r="S233" s="13">
        <f>IF(R233="","",E233)</f>
        <v/>
      </c>
      <c r="T233" s="13">
        <f>IF(R233="","",IF(R233="BUY",E233-N233*1.5,E233+N233*1.5))</f>
        <v/>
      </c>
      <c r="U233" s="13">
        <f>IF(R233="","",IF(R233="BUY",E233+N233*1.5,E233-N233*1.5))</f>
        <v/>
      </c>
      <c r="V233" s="13">
        <f>IF(R233="","",IF(R233="BUY",E233+N233*2,E233-N233*2))</f>
        <v/>
      </c>
      <c r="W233" s="13">
        <f>IF(R233="","",IF(R233="BUY",E233+N233*3,E233-N233*3))</f>
        <v/>
      </c>
      <c r="X233" s="8">
        <f>IF(OR(E233="",N233&lt;=0),"",IF(AND(E233&gt;H233,ABS(E233-H233)&lt;N233*0.5),"2ND","1ST"))</f>
        <v/>
      </c>
      <c r="Y233" s="8">
        <f>IF(OR(E233="",N233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33" s="8">
        <f>IF(OR(E233="",N233&lt;=0),"",IF(N233&gt;E233*0.05,"VOL-HIGH","VOL-NORMAL"))</f>
        <v/>
      </c>
      <c r="AA233" s="8">
        <f>IF(OR(E233="",N233&lt;=0),"",IF(AND(O233="VOL-OK",Z233="VOL-NORMAL",X233="2ND"),"OK","NG"))</f>
        <v/>
      </c>
      <c r="AB233" s="8">
        <f>IF(OR(E233="",N233&lt;=0),"",IF(AND(F233&gt;J233,G233&gt;K233),"UP",IF(AND(F233&lt;J233,G233&lt;K233),"DOWN","FLAT")))</f>
        <v/>
      </c>
    </row>
    <row r="234" ht="26" customHeight="1" s="1">
      <c r="A234" s="14">
        <f>IF(C234="","",ROW()-2)</f>
        <v/>
      </c>
      <c r="B234" s="15">
        <f>IF('StockList_MS2'!A233="","",HYPERLINK("https://kabutan.jp/stock/?code="&amp;'StockList_MS2'!A233,"株探"))</f>
        <v/>
      </c>
      <c r="C234" s="14">
        <f>IF('StockList_MS2'!A233="","",'StockList_MS2'!A233)</f>
        <v/>
      </c>
      <c r="D234" s="16">
        <f>IF('StockList_MS2'!A233="","",'StockList_MS2'!B233)</f>
        <v/>
      </c>
      <c r="E234" s="17" t="n"/>
      <c r="F234" s="17" t="n"/>
      <c r="G234" s="17" t="n"/>
      <c r="H234" s="17" t="n"/>
      <c r="I234" s="18" t="n"/>
      <c r="J234" s="17" t="n"/>
      <c r="K234" s="17" t="n"/>
      <c r="L234" s="17" t="n"/>
      <c r="M234" s="14">
        <f>IF(E234="","",IF(E234&gt;L234,"BUY-DAY","SELL-DAY"))</f>
        <v/>
      </c>
      <c r="N234" s="19">
        <f>IF(E234="","",MAX(F234-G234,ABS(F234-L234),ABS(G234-L234)))</f>
        <v/>
      </c>
      <c r="O234" s="14">
        <f>IF(E234="","",IF(AND(I234&gt;0,I234&gt;(I234/3)*2.5),"VOL-OK","VOL-NG"))</f>
        <v/>
      </c>
      <c r="P234" s="14">
        <f>IF(E234="","",IF(E234&gt;J234,"ON","OFF"))</f>
        <v/>
      </c>
      <c r="Q234" s="14">
        <f>IF(E234="","",IF(E234&lt;K234,"ON","OFF"))</f>
        <v/>
      </c>
      <c r="R234" s="14">
        <f>IF(OR(E234="",N234&lt;=0),"",IF(AND(M234="BUY-DAY",O234="VOL-OK",Q234="ON",AA234="OK",AB234&lt;&gt;"DOWN"),"BUY",IF(AND(M234="SELL-DAY",O234="VOL-OK",P234="ON",AA234="OK",AB234&lt;&gt;"UP"),"SELL","")))</f>
        <v/>
      </c>
      <c r="S234" s="19">
        <f>IF(R234="","",E234)</f>
        <v/>
      </c>
      <c r="T234" s="19">
        <f>IF(R234="","",IF(R234="BUY",E234-N234*1.5,E234+N234*1.5))</f>
        <v/>
      </c>
      <c r="U234" s="19">
        <f>IF(R234="","",IF(R234="BUY",E234+N234*1.5,E234-N234*1.5))</f>
        <v/>
      </c>
      <c r="V234" s="19">
        <f>IF(R234="","",IF(R234="BUY",E234+N234*2,E234-N234*2))</f>
        <v/>
      </c>
      <c r="W234" s="19">
        <f>IF(R234="","",IF(R234="BUY",E234+N234*3,E234-N234*3))</f>
        <v/>
      </c>
      <c r="X234" s="14">
        <f>IF(OR(E234="",N234&lt;=0),"",IF(AND(E234&gt;H234,ABS(E234-H234)&lt;N234*0.5),"2ND","1ST"))</f>
        <v/>
      </c>
      <c r="Y234" s="14">
        <f>IF(OR(E234="",N234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34" s="14">
        <f>IF(OR(E234="",N234&lt;=0),"",IF(N234&gt;E234*0.05,"VOL-HIGH","VOL-NORMAL"))</f>
        <v/>
      </c>
      <c r="AA234" s="14">
        <f>IF(OR(E234="",N234&lt;=0),"",IF(AND(O234="VOL-OK",Z234="VOL-NORMAL",X234="2ND"),"OK","NG"))</f>
        <v/>
      </c>
      <c r="AB234" s="14">
        <f>IF(OR(E234="",N234&lt;=0),"",IF(AND(F234&gt;J234,G234&gt;K234),"UP",IF(AND(F234&lt;J234,G234&lt;K234),"DOWN","FLAT")))</f>
        <v/>
      </c>
    </row>
    <row r="235" ht="26" customHeight="1" s="1">
      <c r="A235" s="8">
        <f>IF(C235="","",ROW()-2)</f>
        <v/>
      </c>
      <c r="B235" s="9">
        <f>IF('StockList_MS2'!A234="","",HYPERLINK("https://kabutan.jp/stock/?code="&amp;'StockList_MS2'!A234,"株探"))</f>
        <v/>
      </c>
      <c r="C235" s="8">
        <f>IF('StockList_MS2'!A234="","",'StockList_MS2'!A234)</f>
        <v/>
      </c>
      <c r="D235" s="10">
        <f>IF('StockList_MS2'!A234="","",'StockList_MS2'!B234)</f>
        <v/>
      </c>
      <c r="E235" s="11" t="n"/>
      <c r="F235" s="11" t="n"/>
      <c r="G235" s="11" t="n"/>
      <c r="H235" s="11" t="n"/>
      <c r="I235" s="12" t="n"/>
      <c r="J235" s="11" t="n"/>
      <c r="K235" s="11" t="n"/>
      <c r="L235" s="11" t="n"/>
      <c r="M235" s="8">
        <f>IF(E235="","",IF(E235&gt;L235,"BUY-DAY","SELL-DAY"))</f>
        <v/>
      </c>
      <c r="N235" s="13">
        <f>IF(E235="","",MAX(F235-G235,ABS(F235-L235),ABS(G235-L235)))</f>
        <v/>
      </c>
      <c r="O235" s="8">
        <f>IF(E235="","",IF(AND(I235&gt;0,I235&gt;(I235/3)*2.5),"VOL-OK","VOL-NG"))</f>
        <v/>
      </c>
      <c r="P235" s="8">
        <f>IF(E235="","",IF(E235&gt;J235,"ON","OFF"))</f>
        <v/>
      </c>
      <c r="Q235" s="8">
        <f>IF(E235="","",IF(E235&lt;K235,"ON","OFF"))</f>
        <v/>
      </c>
      <c r="R235" s="8">
        <f>IF(OR(E235="",N235&lt;=0),"",IF(AND(M235="BUY-DAY",O235="VOL-OK",Q235="ON",AA235="OK",AB235&lt;&gt;"DOWN"),"BUY",IF(AND(M235="SELL-DAY",O235="VOL-OK",P235="ON",AA235="OK",AB235&lt;&gt;"UP"),"SELL","")))</f>
        <v/>
      </c>
      <c r="S235" s="13">
        <f>IF(R235="","",E235)</f>
        <v/>
      </c>
      <c r="T235" s="13">
        <f>IF(R235="","",IF(R235="BUY",E235-N235*1.5,E235+N235*1.5))</f>
        <v/>
      </c>
      <c r="U235" s="13">
        <f>IF(R235="","",IF(R235="BUY",E235+N235*1.5,E235-N235*1.5))</f>
        <v/>
      </c>
      <c r="V235" s="13">
        <f>IF(R235="","",IF(R235="BUY",E235+N235*2,E235-N235*2))</f>
        <v/>
      </c>
      <c r="W235" s="13">
        <f>IF(R235="","",IF(R235="BUY",E235+N235*3,E235-N235*3))</f>
        <v/>
      </c>
      <c r="X235" s="8">
        <f>IF(OR(E235="",N235&lt;=0),"",IF(AND(E235&gt;H235,ABS(E235-H235)&lt;N235*0.5),"2ND","1ST"))</f>
        <v/>
      </c>
      <c r="Y235" s="8">
        <f>IF(OR(E235="",N235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35" s="8">
        <f>IF(OR(E235="",N235&lt;=0),"",IF(N235&gt;E235*0.05,"VOL-HIGH","VOL-NORMAL"))</f>
        <v/>
      </c>
      <c r="AA235" s="8">
        <f>IF(OR(E235="",N235&lt;=0),"",IF(AND(O235="VOL-OK",Z235="VOL-NORMAL",X235="2ND"),"OK","NG"))</f>
        <v/>
      </c>
      <c r="AB235" s="8">
        <f>IF(OR(E235="",N235&lt;=0),"",IF(AND(F235&gt;J235,G235&gt;K235),"UP",IF(AND(F235&lt;J235,G235&lt;K235),"DOWN","FLAT")))</f>
        <v/>
      </c>
    </row>
    <row r="236" ht="26" customHeight="1" s="1">
      <c r="A236" s="14">
        <f>IF(C236="","",ROW()-2)</f>
        <v/>
      </c>
      <c r="B236" s="15">
        <f>IF('StockList_MS2'!A235="","",HYPERLINK("https://kabutan.jp/stock/?code="&amp;'StockList_MS2'!A235,"株探"))</f>
        <v/>
      </c>
      <c r="C236" s="14">
        <f>IF('StockList_MS2'!A235="","",'StockList_MS2'!A235)</f>
        <v/>
      </c>
      <c r="D236" s="16">
        <f>IF('StockList_MS2'!A235="","",'StockList_MS2'!B235)</f>
        <v/>
      </c>
      <c r="E236" s="17" t="n"/>
      <c r="F236" s="17" t="n"/>
      <c r="G236" s="17" t="n"/>
      <c r="H236" s="17" t="n"/>
      <c r="I236" s="18" t="n"/>
      <c r="J236" s="17" t="n"/>
      <c r="K236" s="17" t="n"/>
      <c r="L236" s="17" t="n"/>
      <c r="M236" s="14">
        <f>IF(E236="","",IF(E236&gt;L236,"BUY-DAY","SELL-DAY"))</f>
        <v/>
      </c>
      <c r="N236" s="19">
        <f>IF(E236="","",MAX(F236-G236,ABS(F236-L236),ABS(G236-L236)))</f>
        <v/>
      </c>
      <c r="O236" s="14">
        <f>IF(E236="","",IF(AND(I236&gt;0,I236&gt;(I236/3)*2.5),"VOL-OK","VOL-NG"))</f>
        <v/>
      </c>
      <c r="P236" s="14">
        <f>IF(E236="","",IF(E236&gt;J236,"ON","OFF"))</f>
        <v/>
      </c>
      <c r="Q236" s="14">
        <f>IF(E236="","",IF(E236&lt;K236,"ON","OFF"))</f>
        <v/>
      </c>
      <c r="R236" s="14">
        <f>IF(OR(E236="",N236&lt;=0),"",IF(AND(M236="BUY-DAY",O236="VOL-OK",Q236="ON",AA236="OK",AB236&lt;&gt;"DOWN"),"BUY",IF(AND(M236="SELL-DAY",O236="VOL-OK",P236="ON",AA236="OK",AB236&lt;&gt;"UP"),"SELL","")))</f>
        <v/>
      </c>
      <c r="S236" s="19">
        <f>IF(R236="","",E236)</f>
        <v/>
      </c>
      <c r="T236" s="19">
        <f>IF(R236="","",IF(R236="BUY",E236-N236*1.5,E236+N236*1.5))</f>
        <v/>
      </c>
      <c r="U236" s="19">
        <f>IF(R236="","",IF(R236="BUY",E236+N236*1.5,E236-N236*1.5))</f>
        <v/>
      </c>
      <c r="V236" s="19">
        <f>IF(R236="","",IF(R236="BUY",E236+N236*2,E236-N236*2))</f>
        <v/>
      </c>
      <c r="W236" s="19">
        <f>IF(R236="","",IF(R236="BUY",E236+N236*3,E236-N236*3))</f>
        <v/>
      </c>
      <c r="X236" s="14">
        <f>IF(OR(E236="",N236&lt;=0),"",IF(AND(E236&gt;H236,ABS(E236-H236)&lt;N236*0.5),"2ND","1ST"))</f>
        <v/>
      </c>
      <c r="Y236" s="14">
        <f>IF(OR(E236="",N236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36" s="14">
        <f>IF(OR(E236="",N236&lt;=0),"",IF(N236&gt;E236*0.05,"VOL-HIGH","VOL-NORMAL"))</f>
        <v/>
      </c>
      <c r="AA236" s="14">
        <f>IF(OR(E236="",N236&lt;=0),"",IF(AND(O236="VOL-OK",Z236="VOL-NORMAL",X236="2ND"),"OK","NG"))</f>
        <v/>
      </c>
      <c r="AB236" s="14">
        <f>IF(OR(E236="",N236&lt;=0),"",IF(AND(F236&gt;J236,G236&gt;K236),"UP",IF(AND(F236&lt;J236,G236&lt;K236),"DOWN","FLAT")))</f>
        <v/>
      </c>
    </row>
    <row r="237" ht="26" customHeight="1" s="1">
      <c r="A237" s="8">
        <f>IF(C237="","",ROW()-2)</f>
        <v/>
      </c>
      <c r="B237" s="9">
        <f>IF('StockList_MS2'!A236="","",HYPERLINK("https://kabutan.jp/stock/?code="&amp;'StockList_MS2'!A236,"株探"))</f>
        <v/>
      </c>
      <c r="C237" s="8">
        <f>IF('StockList_MS2'!A236="","",'StockList_MS2'!A236)</f>
        <v/>
      </c>
      <c r="D237" s="10">
        <f>IF('StockList_MS2'!A236="","",'StockList_MS2'!B236)</f>
        <v/>
      </c>
      <c r="E237" s="11" t="n"/>
      <c r="F237" s="11" t="n"/>
      <c r="G237" s="11" t="n"/>
      <c r="H237" s="11" t="n"/>
      <c r="I237" s="12" t="n"/>
      <c r="J237" s="11" t="n"/>
      <c r="K237" s="11" t="n"/>
      <c r="L237" s="11" t="n"/>
      <c r="M237" s="8">
        <f>IF(E237="","",IF(E237&gt;L237,"BUY-DAY","SELL-DAY"))</f>
        <v/>
      </c>
      <c r="N237" s="13">
        <f>IF(E237="","",MAX(F237-G237,ABS(F237-L237),ABS(G237-L237)))</f>
        <v/>
      </c>
      <c r="O237" s="8">
        <f>IF(E237="","",IF(AND(I237&gt;0,I237&gt;(I237/3)*2.5),"VOL-OK","VOL-NG"))</f>
        <v/>
      </c>
      <c r="P237" s="8">
        <f>IF(E237="","",IF(E237&gt;J237,"ON","OFF"))</f>
        <v/>
      </c>
      <c r="Q237" s="8">
        <f>IF(E237="","",IF(E237&lt;K237,"ON","OFF"))</f>
        <v/>
      </c>
      <c r="R237" s="8">
        <f>IF(OR(E237="",N237&lt;=0),"",IF(AND(M237="BUY-DAY",O237="VOL-OK",Q237="ON",AA237="OK",AB237&lt;&gt;"DOWN"),"BUY",IF(AND(M237="SELL-DAY",O237="VOL-OK",P237="ON",AA237="OK",AB237&lt;&gt;"UP"),"SELL","")))</f>
        <v/>
      </c>
      <c r="S237" s="13">
        <f>IF(R237="","",E237)</f>
        <v/>
      </c>
      <c r="T237" s="13">
        <f>IF(R237="","",IF(R237="BUY",E237-N237*1.5,E237+N237*1.5))</f>
        <v/>
      </c>
      <c r="U237" s="13">
        <f>IF(R237="","",IF(R237="BUY",E237+N237*1.5,E237-N237*1.5))</f>
        <v/>
      </c>
      <c r="V237" s="13">
        <f>IF(R237="","",IF(R237="BUY",E237+N237*2,E237-N237*2))</f>
        <v/>
      </c>
      <c r="W237" s="13">
        <f>IF(R237="","",IF(R237="BUY",E237+N237*3,E237-N237*3))</f>
        <v/>
      </c>
      <c r="X237" s="8">
        <f>IF(OR(E237="",N237&lt;=0),"",IF(AND(E237&gt;H237,ABS(E237-H237)&lt;N237*0.5),"2ND","1ST"))</f>
        <v/>
      </c>
      <c r="Y237" s="8">
        <f>IF(OR(E237="",N237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37" s="8">
        <f>IF(OR(E237="",N237&lt;=0),"",IF(N237&gt;E237*0.05,"VOL-HIGH","VOL-NORMAL"))</f>
        <v/>
      </c>
      <c r="AA237" s="8">
        <f>IF(OR(E237="",N237&lt;=0),"",IF(AND(O237="VOL-OK",Z237="VOL-NORMAL",X237="2ND"),"OK","NG"))</f>
        <v/>
      </c>
      <c r="AB237" s="8">
        <f>IF(OR(E237="",N237&lt;=0),"",IF(AND(F237&gt;J237,G237&gt;K237),"UP",IF(AND(F237&lt;J237,G237&lt;K237),"DOWN","FLAT")))</f>
        <v/>
      </c>
    </row>
    <row r="238" ht="26" customHeight="1" s="1">
      <c r="A238" s="14">
        <f>IF(C238="","",ROW()-2)</f>
        <v/>
      </c>
      <c r="B238" s="15">
        <f>IF('StockList_MS2'!A237="","",HYPERLINK("https://kabutan.jp/stock/?code="&amp;'StockList_MS2'!A237,"株探"))</f>
        <v/>
      </c>
      <c r="C238" s="14">
        <f>IF('StockList_MS2'!A237="","",'StockList_MS2'!A237)</f>
        <v/>
      </c>
      <c r="D238" s="16">
        <f>IF('StockList_MS2'!A237="","",'StockList_MS2'!B237)</f>
        <v/>
      </c>
      <c r="E238" s="17" t="n"/>
      <c r="F238" s="17" t="n"/>
      <c r="G238" s="17" t="n"/>
      <c r="H238" s="17" t="n"/>
      <c r="I238" s="18" t="n"/>
      <c r="J238" s="17" t="n"/>
      <c r="K238" s="17" t="n"/>
      <c r="L238" s="17" t="n"/>
      <c r="M238" s="14">
        <f>IF(E238="","",IF(E238&gt;L238,"BUY-DAY","SELL-DAY"))</f>
        <v/>
      </c>
      <c r="N238" s="19">
        <f>IF(E238="","",MAX(F238-G238,ABS(F238-L238),ABS(G238-L238)))</f>
        <v/>
      </c>
      <c r="O238" s="14">
        <f>IF(E238="","",IF(AND(I238&gt;0,I238&gt;(I238/3)*2.5),"VOL-OK","VOL-NG"))</f>
        <v/>
      </c>
      <c r="P238" s="14">
        <f>IF(E238="","",IF(E238&gt;J238,"ON","OFF"))</f>
        <v/>
      </c>
      <c r="Q238" s="14">
        <f>IF(E238="","",IF(E238&lt;K238,"ON","OFF"))</f>
        <v/>
      </c>
      <c r="R238" s="14">
        <f>IF(OR(E238="",N238&lt;=0),"",IF(AND(M238="BUY-DAY",O238="VOL-OK",Q238="ON",AA238="OK",AB238&lt;&gt;"DOWN"),"BUY",IF(AND(M238="SELL-DAY",O238="VOL-OK",P238="ON",AA238="OK",AB238&lt;&gt;"UP"),"SELL","")))</f>
        <v/>
      </c>
      <c r="S238" s="19">
        <f>IF(R238="","",E238)</f>
        <v/>
      </c>
      <c r="T238" s="19">
        <f>IF(R238="","",IF(R238="BUY",E238-N238*1.5,E238+N238*1.5))</f>
        <v/>
      </c>
      <c r="U238" s="19">
        <f>IF(R238="","",IF(R238="BUY",E238+N238*1.5,E238-N238*1.5))</f>
        <v/>
      </c>
      <c r="V238" s="19">
        <f>IF(R238="","",IF(R238="BUY",E238+N238*2,E238-N238*2))</f>
        <v/>
      </c>
      <c r="W238" s="19">
        <f>IF(R238="","",IF(R238="BUY",E238+N238*3,E238-N238*3))</f>
        <v/>
      </c>
      <c r="X238" s="14">
        <f>IF(OR(E238="",N238&lt;=0),"",IF(AND(E238&gt;H238,ABS(E238-H238)&lt;N238*0.5),"2ND","1ST"))</f>
        <v/>
      </c>
      <c r="Y238" s="14">
        <f>IF(OR(E238="",N238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38" s="14">
        <f>IF(OR(E238="",N238&lt;=0),"",IF(N238&gt;E238*0.05,"VOL-HIGH","VOL-NORMAL"))</f>
        <v/>
      </c>
      <c r="AA238" s="14">
        <f>IF(OR(E238="",N238&lt;=0),"",IF(AND(O238="VOL-OK",Z238="VOL-NORMAL",X238="2ND"),"OK","NG"))</f>
        <v/>
      </c>
      <c r="AB238" s="14">
        <f>IF(OR(E238="",N238&lt;=0),"",IF(AND(F238&gt;J238,G238&gt;K238),"UP",IF(AND(F238&lt;J238,G238&lt;K238),"DOWN","FLAT")))</f>
        <v/>
      </c>
    </row>
    <row r="239" ht="26" customHeight="1" s="1">
      <c r="A239" s="8">
        <f>IF(C239="","",ROW()-2)</f>
        <v/>
      </c>
      <c r="B239" s="9">
        <f>IF('StockList_MS2'!A238="","",HYPERLINK("https://kabutan.jp/stock/?code="&amp;'StockList_MS2'!A238,"株探"))</f>
        <v/>
      </c>
      <c r="C239" s="8">
        <f>IF('StockList_MS2'!A238="","",'StockList_MS2'!A238)</f>
        <v/>
      </c>
      <c r="D239" s="10">
        <f>IF('StockList_MS2'!A238="","",'StockList_MS2'!B238)</f>
        <v/>
      </c>
      <c r="E239" s="11" t="n"/>
      <c r="F239" s="11" t="n"/>
      <c r="G239" s="11" t="n"/>
      <c r="H239" s="11" t="n"/>
      <c r="I239" s="12" t="n"/>
      <c r="J239" s="11" t="n"/>
      <c r="K239" s="11" t="n"/>
      <c r="L239" s="11" t="n"/>
      <c r="M239" s="8">
        <f>IF(E239="","",IF(E239&gt;L239,"BUY-DAY","SELL-DAY"))</f>
        <v/>
      </c>
      <c r="N239" s="13">
        <f>IF(E239="","",MAX(F239-G239,ABS(F239-L239),ABS(G239-L239)))</f>
        <v/>
      </c>
      <c r="O239" s="8">
        <f>IF(E239="","",IF(AND(I239&gt;0,I239&gt;(I239/3)*2.5),"VOL-OK","VOL-NG"))</f>
        <v/>
      </c>
      <c r="P239" s="8">
        <f>IF(E239="","",IF(E239&gt;J239,"ON","OFF"))</f>
        <v/>
      </c>
      <c r="Q239" s="8">
        <f>IF(E239="","",IF(E239&lt;K239,"ON","OFF"))</f>
        <v/>
      </c>
      <c r="R239" s="8">
        <f>IF(OR(E239="",N239&lt;=0),"",IF(AND(M239="BUY-DAY",O239="VOL-OK",Q239="ON",AA239="OK",AB239&lt;&gt;"DOWN"),"BUY",IF(AND(M239="SELL-DAY",O239="VOL-OK",P239="ON",AA239="OK",AB239&lt;&gt;"UP"),"SELL","")))</f>
        <v/>
      </c>
      <c r="S239" s="13">
        <f>IF(R239="","",E239)</f>
        <v/>
      </c>
      <c r="T239" s="13">
        <f>IF(R239="","",IF(R239="BUY",E239-N239*1.5,E239+N239*1.5))</f>
        <v/>
      </c>
      <c r="U239" s="13">
        <f>IF(R239="","",IF(R239="BUY",E239+N239*1.5,E239-N239*1.5))</f>
        <v/>
      </c>
      <c r="V239" s="13">
        <f>IF(R239="","",IF(R239="BUY",E239+N239*2,E239-N239*2))</f>
        <v/>
      </c>
      <c r="W239" s="13">
        <f>IF(R239="","",IF(R239="BUY",E239+N239*3,E239-N239*3))</f>
        <v/>
      </c>
      <c r="X239" s="8">
        <f>IF(OR(E239="",N239&lt;=0),"",IF(AND(E239&gt;H239,ABS(E239-H239)&lt;N239*0.5),"2ND","1ST"))</f>
        <v/>
      </c>
      <c r="Y239" s="8">
        <f>IF(OR(E239="",N239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39" s="8">
        <f>IF(OR(E239="",N239&lt;=0),"",IF(N239&gt;E239*0.05,"VOL-HIGH","VOL-NORMAL"))</f>
        <v/>
      </c>
      <c r="AA239" s="8">
        <f>IF(OR(E239="",N239&lt;=0),"",IF(AND(O239="VOL-OK",Z239="VOL-NORMAL",X239="2ND"),"OK","NG"))</f>
        <v/>
      </c>
      <c r="AB239" s="8">
        <f>IF(OR(E239="",N239&lt;=0),"",IF(AND(F239&gt;J239,G239&gt;K239),"UP",IF(AND(F239&lt;J239,G239&lt;K239),"DOWN","FLAT")))</f>
        <v/>
      </c>
    </row>
    <row r="240" ht="26" customHeight="1" s="1">
      <c r="A240" s="14">
        <f>IF(C240="","",ROW()-2)</f>
        <v/>
      </c>
      <c r="B240" s="15">
        <f>IF('StockList_MS2'!A239="","",HYPERLINK("https://kabutan.jp/stock/?code="&amp;'StockList_MS2'!A239,"株探"))</f>
        <v/>
      </c>
      <c r="C240" s="14">
        <f>IF('StockList_MS2'!A239="","",'StockList_MS2'!A239)</f>
        <v/>
      </c>
      <c r="D240" s="16">
        <f>IF('StockList_MS2'!A239="","",'StockList_MS2'!B239)</f>
        <v/>
      </c>
      <c r="E240" s="17" t="n"/>
      <c r="F240" s="17" t="n"/>
      <c r="G240" s="17" t="n"/>
      <c r="H240" s="17" t="n"/>
      <c r="I240" s="18" t="n"/>
      <c r="J240" s="17" t="n"/>
      <c r="K240" s="17" t="n"/>
      <c r="L240" s="17" t="n"/>
      <c r="M240" s="14">
        <f>IF(E240="","",IF(E240&gt;L240,"BUY-DAY","SELL-DAY"))</f>
        <v/>
      </c>
      <c r="N240" s="19">
        <f>IF(E240="","",MAX(F240-G240,ABS(F240-L240),ABS(G240-L240)))</f>
        <v/>
      </c>
      <c r="O240" s="14">
        <f>IF(E240="","",IF(AND(I240&gt;0,I240&gt;(I240/3)*2.5),"VOL-OK","VOL-NG"))</f>
        <v/>
      </c>
      <c r="P240" s="14">
        <f>IF(E240="","",IF(E240&gt;J240,"ON","OFF"))</f>
        <v/>
      </c>
      <c r="Q240" s="14">
        <f>IF(E240="","",IF(E240&lt;K240,"ON","OFF"))</f>
        <v/>
      </c>
      <c r="R240" s="14">
        <f>IF(OR(E240="",N240&lt;=0),"",IF(AND(M240="BUY-DAY",O240="VOL-OK",Q240="ON",AA240="OK",AB240&lt;&gt;"DOWN"),"BUY",IF(AND(M240="SELL-DAY",O240="VOL-OK",P240="ON",AA240="OK",AB240&lt;&gt;"UP"),"SELL","")))</f>
        <v/>
      </c>
      <c r="S240" s="19">
        <f>IF(R240="","",E240)</f>
        <v/>
      </c>
      <c r="T240" s="19">
        <f>IF(R240="","",IF(R240="BUY",E240-N240*1.5,E240+N240*1.5))</f>
        <v/>
      </c>
      <c r="U240" s="19">
        <f>IF(R240="","",IF(R240="BUY",E240+N240*1.5,E240-N240*1.5))</f>
        <v/>
      </c>
      <c r="V240" s="19">
        <f>IF(R240="","",IF(R240="BUY",E240+N240*2,E240-N240*2))</f>
        <v/>
      </c>
      <c r="W240" s="19">
        <f>IF(R240="","",IF(R240="BUY",E240+N240*3,E240-N240*3))</f>
        <v/>
      </c>
      <c r="X240" s="14">
        <f>IF(OR(E240="",N240&lt;=0),"",IF(AND(E240&gt;H240,ABS(E240-H240)&lt;N240*0.5),"2ND","1ST"))</f>
        <v/>
      </c>
      <c r="Y240" s="14">
        <f>IF(OR(E240="",N240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40" s="14">
        <f>IF(OR(E240="",N240&lt;=0),"",IF(N240&gt;E240*0.05,"VOL-HIGH","VOL-NORMAL"))</f>
        <v/>
      </c>
      <c r="AA240" s="14">
        <f>IF(OR(E240="",N240&lt;=0),"",IF(AND(O240="VOL-OK",Z240="VOL-NORMAL",X240="2ND"),"OK","NG"))</f>
        <v/>
      </c>
      <c r="AB240" s="14">
        <f>IF(OR(E240="",N240&lt;=0),"",IF(AND(F240&gt;J240,G240&gt;K240),"UP",IF(AND(F240&lt;J240,G240&lt;K240),"DOWN","FLAT")))</f>
        <v/>
      </c>
    </row>
    <row r="241" ht="26" customHeight="1" s="1">
      <c r="A241" s="8">
        <f>IF(C241="","",ROW()-2)</f>
        <v/>
      </c>
      <c r="B241" s="9">
        <f>IF('StockList_MS2'!A240="","",HYPERLINK("https://kabutan.jp/stock/?code="&amp;'StockList_MS2'!A240,"株探"))</f>
        <v/>
      </c>
      <c r="C241" s="8">
        <f>IF('StockList_MS2'!A240="","",'StockList_MS2'!A240)</f>
        <v/>
      </c>
      <c r="D241" s="10">
        <f>IF('StockList_MS2'!A240="","",'StockList_MS2'!B240)</f>
        <v/>
      </c>
      <c r="E241" s="11" t="n"/>
      <c r="F241" s="11" t="n"/>
      <c r="G241" s="11" t="n"/>
      <c r="H241" s="11" t="n"/>
      <c r="I241" s="12" t="n"/>
      <c r="J241" s="11" t="n"/>
      <c r="K241" s="11" t="n"/>
      <c r="L241" s="11" t="n"/>
      <c r="M241" s="8">
        <f>IF(E241="","",IF(E241&gt;L241,"BUY-DAY","SELL-DAY"))</f>
        <v/>
      </c>
      <c r="N241" s="13">
        <f>IF(E241="","",MAX(F241-G241,ABS(F241-L241),ABS(G241-L241)))</f>
        <v/>
      </c>
      <c r="O241" s="8">
        <f>IF(E241="","",IF(AND(I241&gt;0,I241&gt;(I241/3)*2.5),"VOL-OK","VOL-NG"))</f>
        <v/>
      </c>
      <c r="P241" s="8">
        <f>IF(E241="","",IF(E241&gt;J241,"ON","OFF"))</f>
        <v/>
      </c>
      <c r="Q241" s="8">
        <f>IF(E241="","",IF(E241&lt;K241,"ON","OFF"))</f>
        <v/>
      </c>
      <c r="R241" s="8">
        <f>IF(OR(E241="",N241&lt;=0),"",IF(AND(M241="BUY-DAY",O241="VOL-OK",Q241="ON",AA241="OK",AB241&lt;&gt;"DOWN"),"BUY",IF(AND(M241="SELL-DAY",O241="VOL-OK",P241="ON",AA241="OK",AB241&lt;&gt;"UP"),"SELL","")))</f>
        <v/>
      </c>
      <c r="S241" s="13">
        <f>IF(R241="","",E241)</f>
        <v/>
      </c>
      <c r="T241" s="13">
        <f>IF(R241="","",IF(R241="BUY",E241-N241*1.5,E241+N241*1.5))</f>
        <v/>
      </c>
      <c r="U241" s="13">
        <f>IF(R241="","",IF(R241="BUY",E241+N241*1.5,E241-N241*1.5))</f>
        <v/>
      </c>
      <c r="V241" s="13">
        <f>IF(R241="","",IF(R241="BUY",E241+N241*2,E241-N241*2))</f>
        <v/>
      </c>
      <c r="W241" s="13">
        <f>IF(R241="","",IF(R241="BUY",E241+N241*3,E241-N241*3))</f>
        <v/>
      </c>
      <c r="X241" s="8">
        <f>IF(OR(E241="",N241&lt;=0),"",IF(AND(E241&gt;H241,ABS(E241-H241)&lt;N241*0.5),"2ND","1ST"))</f>
        <v/>
      </c>
      <c r="Y241" s="8">
        <f>IF(OR(E241="",N241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41" s="8">
        <f>IF(OR(E241="",N241&lt;=0),"",IF(N241&gt;E241*0.05,"VOL-HIGH","VOL-NORMAL"))</f>
        <v/>
      </c>
      <c r="AA241" s="8">
        <f>IF(OR(E241="",N241&lt;=0),"",IF(AND(O241="VOL-OK",Z241="VOL-NORMAL",X241="2ND"),"OK","NG"))</f>
        <v/>
      </c>
      <c r="AB241" s="8">
        <f>IF(OR(E241="",N241&lt;=0),"",IF(AND(F241&gt;J241,G241&gt;K241),"UP",IF(AND(F241&lt;J241,G241&lt;K241),"DOWN","FLAT")))</f>
        <v/>
      </c>
    </row>
    <row r="242" ht="26" customHeight="1" s="1">
      <c r="A242" s="14">
        <f>IF(C242="","",ROW()-2)</f>
        <v/>
      </c>
      <c r="B242" s="15">
        <f>IF('StockList_MS2'!A241="","",HYPERLINK("https://kabutan.jp/stock/?code="&amp;'StockList_MS2'!A241,"株探"))</f>
        <v/>
      </c>
      <c r="C242" s="14">
        <f>IF('StockList_MS2'!A241="","",'StockList_MS2'!A241)</f>
        <v/>
      </c>
      <c r="D242" s="16">
        <f>IF('StockList_MS2'!A241="","",'StockList_MS2'!B241)</f>
        <v/>
      </c>
      <c r="E242" s="17" t="n"/>
      <c r="F242" s="17" t="n"/>
      <c r="G242" s="17" t="n"/>
      <c r="H242" s="17" t="n"/>
      <c r="I242" s="18" t="n"/>
      <c r="J242" s="17" t="n"/>
      <c r="K242" s="17" t="n"/>
      <c r="L242" s="17" t="n"/>
      <c r="M242" s="14">
        <f>IF(E242="","",IF(E242&gt;L242,"BUY-DAY","SELL-DAY"))</f>
        <v/>
      </c>
      <c r="N242" s="19">
        <f>IF(E242="","",MAX(F242-G242,ABS(F242-L242),ABS(G242-L242)))</f>
        <v/>
      </c>
      <c r="O242" s="14">
        <f>IF(E242="","",IF(AND(I242&gt;0,I242&gt;(I242/3)*2.5),"VOL-OK","VOL-NG"))</f>
        <v/>
      </c>
      <c r="P242" s="14">
        <f>IF(E242="","",IF(E242&gt;J242,"ON","OFF"))</f>
        <v/>
      </c>
      <c r="Q242" s="14">
        <f>IF(E242="","",IF(E242&lt;K242,"ON","OFF"))</f>
        <v/>
      </c>
      <c r="R242" s="14">
        <f>IF(OR(E242="",N242&lt;=0),"",IF(AND(M242="BUY-DAY",O242="VOL-OK",Q242="ON",AA242="OK",AB242&lt;&gt;"DOWN"),"BUY",IF(AND(M242="SELL-DAY",O242="VOL-OK",P242="ON",AA242="OK",AB242&lt;&gt;"UP"),"SELL","")))</f>
        <v/>
      </c>
      <c r="S242" s="19">
        <f>IF(R242="","",E242)</f>
        <v/>
      </c>
      <c r="T242" s="19">
        <f>IF(R242="","",IF(R242="BUY",E242-N242*1.5,E242+N242*1.5))</f>
        <v/>
      </c>
      <c r="U242" s="19">
        <f>IF(R242="","",IF(R242="BUY",E242+N242*1.5,E242-N242*1.5))</f>
        <v/>
      </c>
      <c r="V242" s="19">
        <f>IF(R242="","",IF(R242="BUY",E242+N242*2,E242-N242*2))</f>
        <v/>
      </c>
      <c r="W242" s="19">
        <f>IF(R242="","",IF(R242="BUY",E242+N242*3,E242-N242*3))</f>
        <v/>
      </c>
      <c r="X242" s="14">
        <f>IF(OR(E242="",N242&lt;=0),"",IF(AND(E242&gt;H242,ABS(E242-H242)&lt;N242*0.5),"2ND","1ST"))</f>
        <v/>
      </c>
      <c r="Y242" s="14">
        <f>IF(OR(E242="",N242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42" s="14">
        <f>IF(OR(E242="",N242&lt;=0),"",IF(N242&gt;E242*0.05,"VOL-HIGH","VOL-NORMAL"))</f>
        <v/>
      </c>
      <c r="AA242" s="14">
        <f>IF(OR(E242="",N242&lt;=0),"",IF(AND(O242="VOL-OK",Z242="VOL-NORMAL",X242="2ND"),"OK","NG"))</f>
        <v/>
      </c>
      <c r="AB242" s="14">
        <f>IF(OR(E242="",N242&lt;=0),"",IF(AND(F242&gt;J242,G242&gt;K242),"UP",IF(AND(F242&lt;J242,G242&lt;K242),"DOWN","FLAT")))</f>
        <v/>
      </c>
    </row>
    <row r="243" ht="26" customHeight="1" s="1">
      <c r="A243" s="8">
        <f>IF(C243="","",ROW()-2)</f>
        <v/>
      </c>
      <c r="B243" s="9">
        <f>IF('StockList_MS2'!A242="","",HYPERLINK("https://kabutan.jp/stock/?code="&amp;'StockList_MS2'!A242,"株探"))</f>
        <v/>
      </c>
      <c r="C243" s="8">
        <f>IF('StockList_MS2'!A242="","",'StockList_MS2'!A242)</f>
        <v/>
      </c>
      <c r="D243" s="10">
        <f>IF('StockList_MS2'!A242="","",'StockList_MS2'!B242)</f>
        <v/>
      </c>
      <c r="E243" s="11" t="n"/>
      <c r="F243" s="11" t="n"/>
      <c r="G243" s="11" t="n"/>
      <c r="H243" s="11" t="n"/>
      <c r="I243" s="12" t="n"/>
      <c r="J243" s="11" t="n"/>
      <c r="K243" s="11" t="n"/>
      <c r="L243" s="11" t="n"/>
      <c r="M243" s="8">
        <f>IF(E243="","",IF(E243&gt;L243,"BUY-DAY","SELL-DAY"))</f>
        <v/>
      </c>
      <c r="N243" s="13">
        <f>IF(E243="","",MAX(F243-G243,ABS(F243-L243),ABS(G243-L243)))</f>
        <v/>
      </c>
      <c r="O243" s="8">
        <f>IF(E243="","",IF(AND(I243&gt;0,I243&gt;(I243/3)*2.5),"VOL-OK","VOL-NG"))</f>
        <v/>
      </c>
      <c r="P243" s="8">
        <f>IF(E243="","",IF(E243&gt;J243,"ON","OFF"))</f>
        <v/>
      </c>
      <c r="Q243" s="8">
        <f>IF(E243="","",IF(E243&lt;K243,"ON","OFF"))</f>
        <v/>
      </c>
      <c r="R243" s="8">
        <f>IF(OR(E243="",N243&lt;=0),"",IF(AND(M243="BUY-DAY",O243="VOL-OK",Q243="ON",AA243="OK",AB243&lt;&gt;"DOWN"),"BUY",IF(AND(M243="SELL-DAY",O243="VOL-OK",P243="ON",AA243="OK",AB243&lt;&gt;"UP"),"SELL","")))</f>
        <v/>
      </c>
      <c r="S243" s="13">
        <f>IF(R243="","",E243)</f>
        <v/>
      </c>
      <c r="T243" s="13">
        <f>IF(R243="","",IF(R243="BUY",E243-N243*1.5,E243+N243*1.5))</f>
        <v/>
      </c>
      <c r="U243" s="13">
        <f>IF(R243="","",IF(R243="BUY",E243+N243*1.5,E243-N243*1.5))</f>
        <v/>
      </c>
      <c r="V243" s="13">
        <f>IF(R243="","",IF(R243="BUY",E243+N243*2,E243-N243*2))</f>
        <v/>
      </c>
      <c r="W243" s="13">
        <f>IF(R243="","",IF(R243="BUY",E243+N243*3,E243-N243*3))</f>
        <v/>
      </c>
      <c r="X243" s="8">
        <f>IF(OR(E243="",N243&lt;=0),"",IF(AND(E243&gt;H243,ABS(E243-H243)&lt;N243*0.5),"2ND","1ST"))</f>
        <v/>
      </c>
      <c r="Y243" s="8">
        <f>IF(OR(E243="",N243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43" s="8">
        <f>IF(OR(E243="",N243&lt;=0),"",IF(N243&gt;E243*0.05,"VOL-HIGH","VOL-NORMAL"))</f>
        <v/>
      </c>
      <c r="AA243" s="8">
        <f>IF(OR(E243="",N243&lt;=0),"",IF(AND(O243="VOL-OK",Z243="VOL-NORMAL",X243="2ND"),"OK","NG"))</f>
        <v/>
      </c>
      <c r="AB243" s="8">
        <f>IF(OR(E243="",N243&lt;=0),"",IF(AND(F243&gt;J243,G243&gt;K243),"UP",IF(AND(F243&lt;J243,G243&lt;K243),"DOWN","FLAT")))</f>
        <v/>
      </c>
    </row>
    <row r="244" ht="26" customHeight="1" s="1">
      <c r="A244" s="14">
        <f>IF(C244="","",ROW()-2)</f>
        <v/>
      </c>
      <c r="B244" s="15">
        <f>IF('StockList_MS2'!A243="","",HYPERLINK("https://kabutan.jp/stock/?code="&amp;'StockList_MS2'!A243,"株探"))</f>
        <v/>
      </c>
      <c r="C244" s="14">
        <f>IF('StockList_MS2'!A243="","",'StockList_MS2'!A243)</f>
        <v/>
      </c>
      <c r="D244" s="16">
        <f>IF('StockList_MS2'!A243="","",'StockList_MS2'!B243)</f>
        <v/>
      </c>
      <c r="E244" s="17" t="n"/>
      <c r="F244" s="17" t="n"/>
      <c r="G244" s="17" t="n"/>
      <c r="H244" s="17" t="n"/>
      <c r="I244" s="18" t="n"/>
      <c r="J244" s="17" t="n"/>
      <c r="K244" s="17" t="n"/>
      <c r="L244" s="17" t="n"/>
      <c r="M244" s="14">
        <f>IF(E244="","",IF(E244&gt;L244,"BUY-DAY","SELL-DAY"))</f>
        <v/>
      </c>
      <c r="N244" s="19">
        <f>IF(E244="","",MAX(F244-G244,ABS(F244-L244),ABS(G244-L244)))</f>
        <v/>
      </c>
      <c r="O244" s="14">
        <f>IF(E244="","",IF(AND(I244&gt;0,I244&gt;(I244/3)*2.5),"VOL-OK","VOL-NG"))</f>
        <v/>
      </c>
      <c r="P244" s="14">
        <f>IF(E244="","",IF(E244&gt;J244,"ON","OFF"))</f>
        <v/>
      </c>
      <c r="Q244" s="14">
        <f>IF(E244="","",IF(E244&lt;K244,"ON","OFF"))</f>
        <v/>
      </c>
      <c r="R244" s="14">
        <f>IF(OR(E244="",N244&lt;=0),"",IF(AND(M244="BUY-DAY",O244="VOL-OK",Q244="ON",AA244="OK",AB244&lt;&gt;"DOWN"),"BUY",IF(AND(M244="SELL-DAY",O244="VOL-OK",P244="ON",AA244="OK",AB244&lt;&gt;"UP"),"SELL","")))</f>
        <v/>
      </c>
      <c r="S244" s="19">
        <f>IF(R244="","",E244)</f>
        <v/>
      </c>
      <c r="T244" s="19">
        <f>IF(R244="","",IF(R244="BUY",E244-N244*1.5,E244+N244*1.5))</f>
        <v/>
      </c>
      <c r="U244" s="19">
        <f>IF(R244="","",IF(R244="BUY",E244+N244*1.5,E244-N244*1.5))</f>
        <v/>
      </c>
      <c r="V244" s="19">
        <f>IF(R244="","",IF(R244="BUY",E244+N244*2,E244-N244*2))</f>
        <v/>
      </c>
      <c r="W244" s="19">
        <f>IF(R244="","",IF(R244="BUY",E244+N244*3,E244-N244*3))</f>
        <v/>
      </c>
      <c r="X244" s="14">
        <f>IF(OR(E244="",N244&lt;=0),"",IF(AND(E244&gt;H244,ABS(E244-H244)&lt;N244*0.5),"2ND","1ST"))</f>
        <v/>
      </c>
      <c r="Y244" s="14">
        <f>IF(OR(E244="",N244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44" s="14">
        <f>IF(OR(E244="",N244&lt;=0),"",IF(N244&gt;E244*0.05,"VOL-HIGH","VOL-NORMAL"))</f>
        <v/>
      </c>
      <c r="AA244" s="14">
        <f>IF(OR(E244="",N244&lt;=0),"",IF(AND(O244="VOL-OK",Z244="VOL-NORMAL",X244="2ND"),"OK","NG"))</f>
        <v/>
      </c>
      <c r="AB244" s="14">
        <f>IF(OR(E244="",N244&lt;=0),"",IF(AND(F244&gt;J244,G244&gt;K244),"UP",IF(AND(F244&lt;J244,G244&lt;K244),"DOWN","FLAT")))</f>
        <v/>
      </c>
    </row>
    <row r="245" ht="26" customHeight="1" s="1">
      <c r="A245" s="8">
        <f>IF(C245="","",ROW()-2)</f>
        <v/>
      </c>
      <c r="B245" s="9">
        <f>IF('StockList_MS2'!A244="","",HYPERLINK("https://kabutan.jp/stock/?code="&amp;'StockList_MS2'!A244,"株探"))</f>
        <v/>
      </c>
      <c r="C245" s="8">
        <f>IF('StockList_MS2'!A244="","",'StockList_MS2'!A244)</f>
        <v/>
      </c>
      <c r="D245" s="10">
        <f>IF('StockList_MS2'!A244="","",'StockList_MS2'!B244)</f>
        <v/>
      </c>
      <c r="E245" s="11" t="n"/>
      <c r="F245" s="11" t="n"/>
      <c r="G245" s="11" t="n"/>
      <c r="H245" s="11" t="n"/>
      <c r="I245" s="12" t="n"/>
      <c r="J245" s="11" t="n"/>
      <c r="K245" s="11" t="n"/>
      <c r="L245" s="11" t="n"/>
      <c r="M245" s="8">
        <f>IF(E245="","",IF(E245&gt;L245,"BUY-DAY","SELL-DAY"))</f>
        <v/>
      </c>
      <c r="N245" s="13">
        <f>IF(E245="","",MAX(F245-G245,ABS(F245-L245),ABS(G245-L245)))</f>
        <v/>
      </c>
      <c r="O245" s="8">
        <f>IF(E245="","",IF(AND(I245&gt;0,I245&gt;(I245/3)*2.5),"VOL-OK","VOL-NG"))</f>
        <v/>
      </c>
      <c r="P245" s="8">
        <f>IF(E245="","",IF(E245&gt;J245,"ON","OFF"))</f>
        <v/>
      </c>
      <c r="Q245" s="8">
        <f>IF(E245="","",IF(E245&lt;K245,"ON","OFF"))</f>
        <v/>
      </c>
      <c r="R245" s="8">
        <f>IF(OR(E245="",N245&lt;=0),"",IF(AND(M245="BUY-DAY",O245="VOL-OK",Q245="ON",AA245="OK",AB245&lt;&gt;"DOWN"),"BUY",IF(AND(M245="SELL-DAY",O245="VOL-OK",P245="ON",AA245="OK",AB245&lt;&gt;"UP"),"SELL","")))</f>
        <v/>
      </c>
      <c r="S245" s="13">
        <f>IF(R245="","",E245)</f>
        <v/>
      </c>
      <c r="T245" s="13">
        <f>IF(R245="","",IF(R245="BUY",E245-N245*1.5,E245+N245*1.5))</f>
        <v/>
      </c>
      <c r="U245" s="13">
        <f>IF(R245="","",IF(R245="BUY",E245+N245*1.5,E245-N245*1.5))</f>
        <v/>
      </c>
      <c r="V245" s="13">
        <f>IF(R245="","",IF(R245="BUY",E245+N245*2,E245-N245*2))</f>
        <v/>
      </c>
      <c r="W245" s="13">
        <f>IF(R245="","",IF(R245="BUY",E245+N245*3,E245-N245*3))</f>
        <v/>
      </c>
      <c r="X245" s="8">
        <f>IF(OR(E245="",N245&lt;=0),"",IF(AND(E245&gt;H245,ABS(E245-H245)&lt;N245*0.5),"2ND","1ST"))</f>
        <v/>
      </c>
      <c r="Y245" s="8">
        <f>IF(OR(E245="",N245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45" s="8">
        <f>IF(OR(E245="",N245&lt;=0),"",IF(N245&gt;E245*0.05,"VOL-HIGH","VOL-NORMAL"))</f>
        <v/>
      </c>
      <c r="AA245" s="8">
        <f>IF(OR(E245="",N245&lt;=0),"",IF(AND(O245="VOL-OK",Z245="VOL-NORMAL",X245="2ND"),"OK","NG"))</f>
        <v/>
      </c>
      <c r="AB245" s="8">
        <f>IF(OR(E245="",N245&lt;=0),"",IF(AND(F245&gt;J245,G245&gt;K245),"UP",IF(AND(F245&lt;J245,G245&lt;K245),"DOWN","FLAT")))</f>
        <v/>
      </c>
    </row>
    <row r="246" ht="26" customHeight="1" s="1">
      <c r="A246" s="14">
        <f>IF(C246="","",ROW()-2)</f>
        <v/>
      </c>
      <c r="B246" s="15">
        <f>IF('StockList_MS2'!A245="","",HYPERLINK("https://kabutan.jp/stock/?code="&amp;'StockList_MS2'!A245,"株探"))</f>
        <v/>
      </c>
      <c r="C246" s="14">
        <f>IF('StockList_MS2'!A245="","",'StockList_MS2'!A245)</f>
        <v/>
      </c>
      <c r="D246" s="16">
        <f>IF('StockList_MS2'!A245="","",'StockList_MS2'!B245)</f>
        <v/>
      </c>
      <c r="E246" s="17" t="n"/>
      <c r="F246" s="17" t="n"/>
      <c r="G246" s="17" t="n"/>
      <c r="H246" s="17" t="n"/>
      <c r="I246" s="18" t="n"/>
      <c r="J246" s="17" t="n"/>
      <c r="K246" s="17" t="n"/>
      <c r="L246" s="17" t="n"/>
      <c r="M246" s="14">
        <f>IF(E246="","",IF(E246&gt;L246,"BUY-DAY","SELL-DAY"))</f>
        <v/>
      </c>
      <c r="N246" s="19">
        <f>IF(E246="","",MAX(F246-G246,ABS(F246-L246),ABS(G246-L246)))</f>
        <v/>
      </c>
      <c r="O246" s="14">
        <f>IF(E246="","",IF(AND(I246&gt;0,I246&gt;(I246/3)*2.5),"VOL-OK","VOL-NG"))</f>
        <v/>
      </c>
      <c r="P246" s="14">
        <f>IF(E246="","",IF(E246&gt;J246,"ON","OFF"))</f>
        <v/>
      </c>
      <c r="Q246" s="14">
        <f>IF(E246="","",IF(E246&lt;K246,"ON","OFF"))</f>
        <v/>
      </c>
      <c r="R246" s="14">
        <f>IF(OR(E246="",N246&lt;=0),"",IF(AND(M246="BUY-DAY",O246="VOL-OK",Q246="ON",AA246="OK",AB246&lt;&gt;"DOWN"),"BUY",IF(AND(M246="SELL-DAY",O246="VOL-OK",P246="ON",AA246="OK",AB246&lt;&gt;"UP"),"SELL","")))</f>
        <v/>
      </c>
      <c r="S246" s="19">
        <f>IF(R246="","",E246)</f>
        <v/>
      </c>
      <c r="T246" s="19">
        <f>IF(R246="","",IF(R246="BUY",E246-N246*1.5,E246+N246*1.5))</f>
        <v/>
      </c>
      <c r="U246" s="19">
        <f>IF(R246="","",IF(R246="BUY",E246+N246*1.5,E246-N246*1.5))</f>
        <v/>
      </c>
      <c r="V246" s="19">
        <f>IF(R246="","",IF(R246="BUY",E246+N246*2,E246-N246*2))</f>
        <v/>
      </c>
      <c r="W246" s="19">
        <f>IF(R246="","",IF(R246="BUY",E246+N246*3,E246-N246*3))</f>
        <v/>
      </c>
      <c r="X246" s="14">
        <f>IF(OR(E246="",N246&lt;=0),"",IF(AND(E246&gt;H246,ABS(E246-H246)&lt;N246*0.5),"2ND","1ST"))</f>
        <v/>
      </c>
      <c r="Y246" s="14">
        <f>IF(OR(E246="",N246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46" s="14">
        <f>IF(OR(E246="",N246&lt;=0),"",IF(N246&gt;E246*0.05,"VOL-HIGH","VOL-NORMAL"))</f>
        <v/>
      </c>
      <c r="AA246" s="14">
        <f>IF(OR(E246="",N246&lt;=0),"",IF(AND(O246="VOL-OK",Z246="VOL-NORMAL",X246="2ND"),"OK","NG"))</f>
        <v/>
      </c>
      <c r="AB246" s="14">
        <f>IF(OR(E246="",N246&lt;=0),"",IF(AND(F246&gt;J246,G246&gt;K246),"UP",IF(AND(F246&lt;J246,G246&lt;K246),"DOWN","FLAT")))</f>
        <v/>
      </c>
    </row>
    <row r="247" ht="26" customHeight="1" s="1">
      <c r="A247" s="8">
        <f>IF(C247="","",ROW()-2)</f>
        <v/>
      </c>
      <c r="B247" s="9">
        <f>IF('StockList_MS2'!A246="","",HYPERLINK("https://kabutan.jp/stock/?code="&amp;'StockList_MS2'!A246,"株探"))</f>
        <v/>
      </c>
      <c r="C247" s="8">
        <f>IF('StockList_MS2'!A246="","",'StockList_MS2'!A246)</f>
        <v/>
      </c>
      <c r="D247" s="10">
        <f>IF('StockList_MS2'!A246="","",'StockList_MS2'!B246)</f>
        <v/>
      </c>
      <c r="E247" s="11" t="n"/>
      <c r="F247" s="11" t="n"/>
      <c r="G247" s="11" t="n"/>
      <c r="H247" s="11" t="n"/>
      <c r="I247" s="12" t="n"/>
      <c r="J247" s="11" t="n"/>
      <c r="K247" s="11" t="n"/>
      <c r="L247" s="11" t="n"/>
      <c r="M247" s="8">
        <f>IF(E247="","",IF(E247&gt;L247,"BUY-DAY","SELL-DAY"))</f>
        <v/>
      </c>
      <c r="N247" s="13">
        <f>IF(E247="","",MAX(F247-G247,ABS(F247-L247),ABS(G247-L247)))</f>
        <v/>
      </c>
      <c r="O247" s="8">
        <f>IF(E247="","",IF(AND(I247&gt;0,I247&gt;(I247/3)*2.5),"VOL-OK","VOL-NG"))</f>
        <v/>
      </c>
      <c r="P247" s="8">
        <f>IF(E247="","",IF(E247&gt;J247,"ON","OFF"))</f>
        <v/>
      </c>
      <c r="Q247" s="8">
        <f>IF(E247="","",IF(E247&lt;K247,"ON","OFF"))</f>
        <v/>
      </c>
      <c r="R247" s="8">
        <f>IF(OR(E247="",N247&lt;=0),"",IF(AND(M247="BUY-DAY",O247="VOL-OK",Q247="ON",AA247="OK",AB247&lt;&gt;"DOWN"),"BUY",IF(AND(M247="SELL-DAY",O247="VOL-OK",P247="ON",AA247="OK",AB247&lt;&gt;"UP"),"SELL","")))</f>
        <v/>
      </c>
      <c r="S247" s="13">
        <f>IF(R247="","",E247)</f>
        <v/>
      </c>
      <c r="T247" s="13">
        <f>IF(R247="","",IF(R247="BUY",E247-N247*1.5,E247+N247*1.5))</f>
        <v/>
      </c>
      <c r="U247" s="13">
        <f>IF(R247="","",IF(R247="BUY",E247+N247*1.5,E247-N247*1.5))</f>
        <v/>
      </c>
      <c r="V247" s="13">
        <f>IF(R247="","",IF(R247="BUY",E247+N247*2,E247-N247*2))</f>
        <v/>
      </c>
      <c r="W247" s="13">
        <f>IF(R247="","",IF(R247="BUY",E247+N247*3,E247-N247*3))</f>
        <v/>
      </c>
      <c r="X247" s="8">
        <f>IF(OR(E247="",N247&lt;=0),"",IF(AND(E247&gt;H247,ABS(E247-H247)&lt;N247*0.5),"2ND","1ST"))</f>
        <v/>
      </c>
      <c r="Y247" s="8">
        <f>IF(OR(E247="",N247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47" s="8">
        <f>IF(OR(E247="",N247&lt;=0),"",IF(N247&gt;E247*0.05,"VOL-HIGH","VOL-NORMAL"))</f>
        <v/>
      </c>
      <c r="AA247" s="8">
        <f>IF(OR(E247="",N247&lt;=0),"",IF(AND(O247="VOL-OK",Z247="VOL-NORMAL",X247="2ND"),"OK","NG"))</f>
        <v/>
      </c>
      <c r="AB247" s="8">
        <f>IF(OR(E247="",N247&lt;=0),"",IF(AND(F247&gt;J247,G247&gt;K247),"UP",IF(AND(F247&lt;J247,G247&lt;K247),"DOWN","FLAT")))</f>
        <v/>
      </c>
    </row>
    <row r="248" ht="26" customHeight="1" s="1">
      <c r="A248" s="14">
        <f>IF(C248="","",ROW()-2)</f>
        <v/>
      </c>
      <c r="B248" s="15">
        <f>IF('StockList_MS2'!A247="","",HYPERLINK("https://kabutan.jp/stock/?code="&amp;'StockList_MS2'!A247,"株探"))</f>
        <v/>
      </c>
      <c r="C248" s="14">
        <f>IF('StockList_MS2'!A247="","",'StockList_MS2'!A247)</f>
        <v/>
      </c>
      <c r="D248" s="16">
        <f>IF('StockList_MS2'!A247="","",'StockList_MS2'!B247)</f>
        <v/>
      </c>
      <c r="E248" s="17" t="n"/>
      <c r="F248" s="17" t="n"/>
      <c r="G248" s="17" t="n"/>
      <c r="H248" s="17" t="n"/>
      <c r="I248" s="18" t="n"/>
      <c r="J248" s="17" t="n"/>
      <c r="K248" s="17" t="n"/>
      <c r="L248" s="17" t="n"/>
      <c r="M248" s="14">
        <f>IF(E248="","",IF(E248&gt;L248,"BUY-DAY","SELL-DAY"))</f>
        <v/>
      </c>
      <c r="N248" s="19">
        <f>IF(E248="","",MAX(F248-G248,ABS(F248-L248),ABS(G248-L248)))</f>
        <v/>
      </c>
      <c r="O248" s="14">
        <f>IF(E248="","",IF(AND(I248&gt;0,I248&gt;(I248/3)*2.5),"VOL-OK","VOL-NG"))</f>
        <v/>
      </c>
      <c r="P248" s="14">
        <f>IF(E248="","",IF(E248&gt;J248,"ON","OFF"))</f>
        <v/>
      </c>
      <c r="Q248" s="14">
        <f>IF(E248="","",IF(E248&lt;K248,"ON","OFF"))</f>
        <v/>
      </c>
      <c r="R248" s="14">
        <f>IF(OR(E248="",N248&lt;=0),"",IF(AND(M248="BUY-DAY",O248="VOL-OK",Q248="ON",AA248="OK",AB248&lt;&gt;"DOWN"),"BUY",IF(AND(M248="SELL-DAY",O248="VOL-OK",P248="ON",AA248="OK",AB248&lt;&gt;"UP"),"SELL","")))</f>
        <v/>
      </c>
      <c r="S248" s="19">
        <f>IF(R248="","",E248)</f>
        <v/>
      </c>
      <c r="T248" s="19">
        <f>IF(R248="","",IF(R248="BUY",E248-N248*1.5,E248+N248*1.5))</f>
        <v/>
      </c>
      <c r="U248" s="19">
        <f>IF(R248="","",IF(R248="BUY",E248+N248*1.5,E248-N248*1.5))</f>
        <v/>
      </c>
      <c r="V248" s="19">
        <f>IF(R248="","",IF(R248="BUY",E248+N248*2,E248-N248*2))</f>
        <v/>
      </c>
      <c r="W248" s="19">
        <f>IF(R248="","",IF(R248="BUY",E248+N248*3,E248-N248*3))</f>
        <v/>
      </c>
      <c r="X248" s="14">
        <f>IF(OR(E248="",N248&lt;=0),"",IF(AND(E248&gt;H248,ABS(E248-H248)&lt;N248*0.5),"2ND","1ST"))</f>
        <v/>
      </c>
      <c r="Y248" s="14">
        <f>IF(OR(E248="",N248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48" s="14">
        <f>IF(OR(E248="",N248&lt;=0),"",IF(N248&gt;E248*0.05,"VOL-HIGH","VOL-NORMAL"))</f>
        <v/>
      </c>
      <c r="AA248" s="14">
        <f>IF(OR(E248="",N248&lt;=0),"",IF(AND(O248="VOL-OK",Z248="VOL-NORMAL",X248="2ND"),"OK","NG"))</f>
        <v/>
      </c>
      <c r="AB248" s="14">
        <f>IF(OR(E248="",N248&lt;=0),"",IF(AND(F248&gt;J248,G248&gt;K248),"UP",IF(AND(F248&lt;J248,G248&lt;K248),"DOWN","FLAT")))</f>
        <v/>
      </c>
    </row>
    <row r="249" ht="26" customHeight="1" s="1">
      <c r="A249" s="8">
        <f>IF(C249="","",ROW()-2)</f>
        <v/>
      </c>
      <c r="B249" s="9">
        <f>IF('StockList_MS2'!A248="","",HYPERLINK("https://kabutan.jp/stock/?code="&amp;'StockList_MS2'!A248,"株探"))</f>
        <v/>
      </c>
      <c r="C249" s="8">
        <f>IF('StockList_MS2'!A248="","",'StockList_MS2'!A248)</f>
        <v/>
      </c>
      <c r="D249" s="10">
        <f>IF('StockList_MS2'!A248="","",'StockList_MS2'!B248)</f>
        <v/>
      </c>
      <c r="E249" s="11" t="n"/>
      <c r="F249" s="11" t="n"/>
      <c r="G249" s="11" t="n"/>
      <c r="H249" s="11" t="n"/>
      <c r="I249" s="12" t="n"/>
      <c r="J249" s="11" t="n"/>
      <c r="K249" s="11" t="n"/>
      <c r="L249" s="11" t="n"/>
      <c r="M249" s="8">
        <f>IF(E249="","",IF(E249&gt;L249,"BUY-DAY","SELL-DAY"))</f>
        <v/>
      </c>
      <c r="N249" s="13">
        <f>IF(E249="","",MAX(F249-G249,ABS(F249-L249),ABS(G249-L249)))</f>
        <v/>
      </c>
      <c r="O249" s="8">
        <f>IF(E249="","",IF(AND(I249&gt;0,I249&gt;(I249/3)*2.5),"VOL-OK","VOL-NG"))</f>
        <v/>
      </c>
      <c r="P249" s="8">
        <f>IF(E249="","",IF(E249&gt;J249,"ON","OFF"))</f>
        <v/>
      </c>
      <c r="Q249" s="8">
        <f>IF(E249="","",IF(E249&lt;K249,"ON","OFF"))</f>
        <v/>
      </c>
      <c r="R249" s="8">
        <f>IF(OR(E249="",N249&lt;=0),"",IF(AND(M249="BUY-DAY",O249="VOL-OK",Q249="ON",AA249="OK",AB249&lt;&gt;"DOWN"),"BUY",IF(AND(M249="SELL-DAY",O249="VOL-OK",P249="ON",AA249="OK",AB249&lt;&gt;"UP"),"SELL","")))</f>
        <v/>
      </c>
      <c r="S249" s="13">
        <f>IF(R249="","",E249)</f>
        <v/>
      </c>
      <c r="T249" s="13">
        <f>IF(R249="","",IF(R249="BUY",E249-N249*1.5,E249+N249*1.5))</f>
        <v/>
      </c>
      <c r="U249" s="13">
        <f>IF(R249="","",IF(R249="BUY",E249+N249*1.5,E249-N249*1.5))</f>
        <v/>
      </c>
      <c r="V249" s="13">
        <f>IF(R249="","",IF(R249="BUY",E249+N249*2,E249-N249*2))</f>
        <v/>
      </c>
      <c r="W249" s="13">
        <f>IF(R249="","",IF(R249="BUY",E249+N249*3,E249-N249*3))</f>
        <v/>
      </c>
      <c r="X249" s="8">
        <f>IF(OR(E249="",N249&lt;=0),"",IF(AND(E249&gt;H249,ABS(E249-H249)&lt;N249*0.5),"2ND","1ST"))</f>
        <v/>
      </c>
      <c r="Y249" s="8">
        <f>IF(OR(E249="",N249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49" s="8">
        <f>IF(OR(E249="",N249&lt;=0),"",IF(N249&gt;E249*0.05,"VOL-HIGH","VOL-NORMAL"))</f>
        <v/>
      </c>
      <c r="AA249" s="8">
        <f>IF(OR(E249="",N249&lt;=0),"",IF(AND(O249="VOL-OK",Z249="VOL-NORMAL",X249="2ND"),"OK","NG"))</f>
        <v/>
      </c>
      <c r="AB249" s="8">
        <f>IF(OR(E249="",N249&lt;=0),"",IF(AND(F249&gt;J249,G249&gt;K249),"UP",IF(AND(F249&lt;J249,G249&lt;K249),"DOWN","FLAT")))</f>
        <v/>
      </c>
    </row>
    <row r="250" ht="26" customHeight="1" s="1">
      <c r="A250" s="14">
        <f>IF(C250="","",ROW()-2)</f>
        <v/>
      </c>
      <c r="B250" s="15">
        <f>IF('StockList_MS2'!A249="","",HYPERLINK("https://kabutan.jp/stock/?code="&amp;'StockList_MS2'!A249,"株探"))</f>
        <v/>
      </c>
      <c r="C250" s="14">
        <f>IF('StockList_MS2'!A249="","",'StockList_MS2'!A249)</f>
        <v/>
      </c>
      <c r="D250" s="16">
        <f>IF('StockList_MS2'!A249="","",'StockList_MS2'!B249)</f>
        <v/>
      </c>
      <c r="E250" s="17" t="n"/>
      <c r="F250" s="17" t="n"/>
      <c r="G250" s="17" t="n"/>
      <c r="H250" s="17" t="n"/>
      <c r="I250" s="18" t="n"/>
      <c r="J250" s="17" t="n"/>
      <c r="K250" s="17" t="n"/>
      <c r="L250" s="17" t="n"/>
      <c r="M250" s="14">
        <f>IF(E250="","",IF(E250&gt;L250,"BUY-DAY","SELL-DAY"))</f>
        <v/>
      </c>
      <c r="N250" s="19">
        <f>IF(E250="","",MAX(F250-G250,ABS(F250-L250),ABS(G250-L250)))</f>
        <v/>
      </c>
      <c r="O250" s="14">
        <f>IF(E250="","",IF(AND(I250&gt;0,I250&gt;(I250/3)*2.5),"VOL-OK","VOL-NG"))</f>
        <v/>
      </c>
      <c r="P250" s="14">
        <f>IF(E250="","",IF(E250&gt;J250,"ON","OFF"))</f>
        <v/>
      </c>
      <c r="Q250" s="14">
        <f>IF(E250="","",IF(E250&lt;K250,"ON","OFF"))</f>
        <v/>
      </c>
      <c r="R250" s="14">
        <f>IF(OR(E250="",N250&lt;=0),"",IF(AND(M250="BUY-DAY",O250="VOL-OK",Q250="ON",AA250="OK",AB250&lt;&gt;"DOWN"),"BUY",IF(AND(M250="SELL-DAY",O250="VOL-OK",P250="ON",AA250="OK",AB250&lt;&gt;"UP"),"SELL","")))</f>
        <v/>
      </c>
      <c r="S250" s="19">
        <f>IF(R250="","",E250)</f>
        <v/>
      </c>
      <c r="T250" s="19">
        <f>IF(R250="","",IF(R250="BUY",E250-N250*1.5,E250+N250*1.5))</f>
        <v/>
      </c>
      <c r="U250" s="19">
        <f>IF(R250="","",IF(R250="BUY",E250+N250*1.5,E250-N250*1.5))</f>
        <v/>
      </c>
      <c r="V250" s="19">
        <f>IF(R250="","",IF(R250="BUY",E250+N250*2,E250-N250*2))</f>
        <v/>
      </c>
      <c r="W250" s="19">
        <f>IF(R250="","",IF(R250="BUY",E250+N250*3,E250-N250*3))</f>
        <v/>
      </c>
      <c r="X250" s="14">
        <f>IF(OR(E250="",N250&lt;=0),"",IF(AND(E250&gt;H250,ABS(E250-H250)&lt;N250*0.5),"2ND","1ST"))</f>
        <v/>
      </c>
      <c r="Y250" s="14">
        <f>IF(OR(E250="",N250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50" s="14">
        <f>IF(OR(E250="",N250&lt;=0),"",IF(N250&gt;E250*0.05,"VOL-HIGH","VOL-NORMAL"))</f>
        <v/>
      </c>
      <c r="AA250" s="14">
        <f>IF(OR(E250="",N250&lt;=0),"",IF(AND(O250="VOL-OK",Z250="VOL-NORMAL",X250="2ND"),"OK","NG"))</f>
        <v/>
      </c>
      <c r="AB250" s="14">
        <f>IF(OR(E250="",N250&lt;=0),"",IF(AND(F250&gt;J250,G250&gt;K250),"UP",IF(AND(F250&lt;J250,G250&lt;K250),"DOWN","FLAT")))</f>
        <v/>
      </c>
    </row>
    <row r="251" ht="26" customHeight="1" s="1">
      <c r="A251" s="8">
        <f>IF(C251="","",ROW()-2)</f>
        <v/>
      </c>
      <c r="B251" s="9">
        <f>IF('StockList_MS2'!A250="","",HYPERLINK("https://kabutan.jp/stock/?code="&amp;'StockList_MS2'!A250,"株探"))</f>
        <v/>
      </c>
      <c r="C251" s="8">
        <f>IF('StockList_MS2'!A250="","",'StockList_MS2'!A250)</f>
        <v/>
      </c>
      <c r="D251" s="10">
        <f>IF('StockList_MS2'!A250="","",'StockList_MS2'!B250)</f>
        <v/>
      </c>
      <c r="E251" s="11" t="n"/>
      <c r="F251" s="11" t="n"/>
      <c r="G251" s="11" t="n"/>
      <c r="H251" s="11" t="n"/>
      <c r="I251" s="12" t="n"/>
      <c r="J251" s="11" t="n"/>
      <c r="K251" s="11" t="n"/>
      <c r="L251" s="11" t="n"/>
      <c r="M251" s="8">
        <f>IF(E251="","",IF(E251&gt;L251,"BUY-DAY","SELL-DAY"))</f>
        <v/>
      </c>
      <c r="N251" s="13">
        <f>IF(E251="","",MAX(F251-G251,ABS(F251-L251),ABS(G251-L251)))</f>
        <v/>
      </c>
      <c r="O251" s="8">
        <f>IF(E251="","",IF(AND(I251&gt;0,I251&gt;(I251/3)*2.5),"VOL-OK","VOL-NG"))</f>
        <v/>
      </c>
      <c r="P251" s="8">
        <f>IF(E251="","",IF(E251&gt;J251,"ON","OFF"))</f>
        <v/>
      </c>
      <c r="Q251" s="8">
        <f>IF(E251="","",IF(E251&lt;K251,"ON","OFF"))</f>
        <v/>
      </c>
      <c r="R251" s="8">
        <f>IF(OR(E251="",N251&lt;=0),"",IF(AND(M251="BUY-DAY",O251="VOL-OK",Q251="ON",AA251="OK",AB251&lt;&gt;"DOWN"),"BUY",IF(AND(M251="SELL-DAY",O251="VOL-OK",P251="ON",AA251="OK",AB251&lt;&gt;"UP"),"SELL","")))</f>
        <v/>
      </c>
      <c r="S251" s="13">
        <f>IF(R251="","",E251)</f>
        <v/>
      </c>
      <c r="T251" s="13">
        <f>IF(R251="","",IF(R251="BUY",E251-N251*1.5,E251+N251*1.5))</f>
        <v/>
      </c>
      <c r="U251" s="13">
        <f>IF(R251="","",IF(R251="BUY",E251+N251*1.5,E251-N251*1.5))</f>
        <v/>
      </c>
      <c r="V251" s="13">
        <f>IF(R251="","",IF(R251="BUY",E251+N251*2,E251-N251*2))</f>
        <v/>
      </c>
      <c r="W251" s="13">
        <f>IF(R251="","",IF(R251="BUY",E251+N251*3,E251-N251*3))</f>
        <v/>
      </c>
      <c r="X251" s="8">
        <f>IF(OR(E251="",N251&lt;=0),"",IF(AND(E251&gt;H251,ABS(E251-H251)&lt;N251*0.5),"2ND","1ST"))</f>
        <v/>
      </c>
      <c r="Y251" s="8">
        <f>IF(OR(E251="",N251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51" s="8">
        <f>IF(OR(E251="",N251&lt;=0),"",IF(N251&gt;E251*0.05,"VOL-HIGH","VOL-NORMAL"))</f>
        <v/>
      </c>
      <c r="AA251" s="8">
        <f>IF(OR(E251="",N251&lt;=0),"",IF(AND(O251="VOL-OK",Z251="VOL-NORMAL",X251="2ND"),"OK","NG"))</f>
        <v/>
      </c>
      <c r="AB251" s="8">
        <f>IF(OR(E251="",N251&lt;=0),"",IF(AND(F251&gt;J251,G251&gt;K251),"UP",IF(AND(F251&lt;J251,G251&lt;K251),"DOWN","FLAT")))</f>
        <v/>
      </c>
    </row>
    <row r="252" ht="26" customHeight="1" s="1">
      <c r="A252" s="14">
        <f>IF(C252="","",ROW()-2)</f>
        <v/>
      </c>
      <c r="B252" s="15">
        <f>IF('StockList_MS2'!A251="","",HYPERLINK("https://kabutan.jp/stock/?code="&amp;'StockList_MS2'!A251,"株探"))</f>
        <v/>
      </c>
      <c r="C252" s="14">
        <f>IF('StockList_MS2'!A251="","",'StockList_MS2'!A251)</f>
        <v/>
      </c>
      <c r="D252" s="16">
        <f>IF('StockList_MS2'!A251="","",'StockList_MS2'!B251)</f>
        <v/>
      </c>
      <c r="E252" s="17" t="n"/>
      <c r="F252" s="17" t="n"/>
      <c r="G252" s="17" t="n"/>
      <c r="H252" s="17" t="n"/>
      <c r="I252" s="18" t="n"/>
      <c r="J252" s="17" t="n"/>
      <c r="K252" s="17" t="n"/>
      <c r="L252" s="17" t="n"/>
      <c r="M252" s="14">
        <f>IF(E252="","",IF(E252&gt;L252,"BUY-DAY","SELL-DAY"))</f>
        <v/>
      </c>
      <c r="N252" s="19">
        <f>IF(E252="","",MAX(F252-G252,ABS(F252-L252),ABS(G252-L252)))</f>
        <v/>
      </c>
      <c r="O252" s="14">
        <f>IF(E252="","",IF(AND(I252&gt;0,I252&gt;(I252/3)*2.5),"VOL-OK","VOL-NG"))</f>
        <v/>
      </c>
      <c r="P252" s="14">
        <f>IF(E252="","",IF(E252&gt;J252,"ON","OFF"))</f>
        <v/>
      </c>
      <c r="Q252" s="14">
        <f>IF(E252="","",IF(E252&lt;K252,"ON","OFF"))</f>
        <v/>
      </c>
      <c r="R252" s="14">
        <f>IF(OR(E252="",N252&lt;=0),"",IF(AND(M252="BUY-DAY",O252="VOL-OK",Q252="ON",AA252="OK",AB252&lt;&gt;"DOWN"),"BUY",IF(AND(M252="SELL-DAY",O252="VOL-OK",P252="ON",AA252="OK",AB252&lt;&gt;"UP"),"SELL","")))</f>
        <v/>
      </c>
      <c r="S252" s="19">
        <f>IF(R252="","",E252)</f>
        <v/>
      </c>
      <c r="T252" s="19">
        <f>IF(R252="","",IF(R252="BUY",E252-N252*1.5,E252+N252*1.5))</f>
        <v/>
      </c>
      <c r="U252" s="19">
        <f>IF(R252="","",IF(R252="BUY",E252+N252*1.5,E252-N252*1.5))</f>
        <v/>
      </c>
      <c r="V252" s="19">
        <f>IF(R252="","",IF(R252="BUY",E252+N252*2,E252-N252*2))</f>
        <v/>
      </c>
      <c r="W252" s="19">
        <f>IF(R252="","",IF(R252="BUY",E252+N252*3,E252-N252*3))</f>
        <v/>
      </c>
      <c r="X252" s="14">
        <f>IF(OR(E252="",N252&lt;=0),"",IF(AND(E252&gt;H252,ABS(E252-H252)&lt;N252*0.5),"2ND","1ST"))</f>
        <v/>
      </c>
      <c r="Y252" s="14">
        <f>IF(OR(E252="",N252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52" s="14">
        <f>IF(OR(E252="",N252&lt;=0),"",IF(N252&gt;E252*0.05,"VOL-HIGH","VOL-NORMAL"))</f>
        <v/>
      </c>
      <c r="AA252" s="14">
        <f>IF(OR(E252="",N252&lt;=0),"",IF(AND(O252="VOL-OK",Z252="VOL-NORMAL",X252="2ND"),"OK","NG"))</f>
        <v/>
      </c>
      <c r="AB252" s="14">
        <f>IF(OR(E252="",N252&lt;=0),"",IF(AND(F252&gt;J252,G252&gt;K252),"UP",IF(AND(F252&lt;J252,G252&lt;K252),"DOWN","FLAT")))</f>
        <v/>
      </c>
    </row>
    <row r="253" ht="26" customHeight="1" s="1">
      <c r="A253" s="8">
        <f>IF(C253="","",ROW()-2)</f>
        <v/>
      </c>
      <c r="B253" s="9">
        <f>IF('StockList_MS2'!A252="","",HYPERLINK("https://kabutan.jp/stock/?code="&amp;'StockList_MS2'!A252,"株探"))</f>
        <v/>
      </c>
      <c r="C253" s="8">
        <f>IF('StockList_MS2'!A252="","",'StockList_MS2'!A252)</f>
        <v/>
      </c>
      <c r="D253" s="10">
        <f>IF('StockList_MS2'!A252="","",'StockList_MS2'!B252)</f>
        <v/>
      </c>
      <c r="E253" s="11" t="n"/>
      <c r="F253" s="11" t="n"/>
      <c r="G253" s="11" t="n"/>
      <c r="H253" s="11" t="n"/>
      <c r="I253" s="12" t="n"/>
      <c r="J253" s="11" t="n"/>
      <c r="K253" s="11" t="n"/>
      <c r="L253" s="11" t="n"/>
      <c r="M253" s="8">
        <f>IF(E253="","",IF(E253&gt;L253,"BUY-DAY","SELL-DAY"))</f>
        <v/>
      </c>
      <c r="N253" s="13">
        <f>IF(E253="","",MAX(F253-G253,ABS(F253-L253),ABS(G253-L253)))</f>
        <v/>
      </c>
      <c r="O253" s="8">
        <f>IF(E253="","",IF(AND(I253&gt;0,I253&gt;(I253/3)*2.5),"VOL-OK","VOL-NG"))</f>
        <v/>
      </c>
      <c r="P253" s="8">
        <f>IF(E253="","",IF(E253&gt;J253,"ON","OFF"))</f>
        <v/>
      </c>
      <c r="Q253" s="8">
        <f>IF(E253="","",IF(E253&lt;K253,"ON","OFF"))</f>
        <v/>
      </c>
      <c r="R253" s="8">
        <f>IF(OR(E253="",N253&lt;=0),"",IF(AND(M253="BUY-DAY",O253="VOL-OK",Q253="ON",AA253="OK",AB253&lt;&gt;"DOWN"),"BUY",IF(AND(M253="SELL-DAY",O253="VOL-OK",P253="ON",AA253="OK",AB253&lt;&gt;"UP"),"SELL","")))</f>
        <v/>
      </c>
      <c r="S253" s="13">
        <f>IF(R253="","",E253)</f>
        <v/>
      </c>
      <c r="T253" s="13">
        <f>IF(R253="","",IF(R253="BUY",E253-N253*1.5,E253+N253*1.5))</f>
        <v/>
      </c>
      <c r="U253" s="13">
        <f>IF(R253="","",IF(R253="BUY",E253+N253*1.5,E253-N253*1.5))</f>
        <v/>
      </c>
      <c r="V253" s="13">
        <f>IF(R253="","",IF(R253="BUY",E253+N253*2,E253-N253*2))</f>
        <v/>
      </c>
      <c r="W253" s="13">
        <f>IF(R253="","",IF(R253="BUY",E253+N253*3,E253-N253*3))</f>
        <v/>
      </c>
      <c r="X253" s="8">
        <f>IF(OR(E253="",N253&lt;=0),"",IF(AND(E253&gt;H253,ABS(E253-H253)&lt;N253*0.5),"2ND","1ST"))</f>
        <v/>
      </c>
      <c r="Y253" s="8">
        <f>IF(OR(E253="",N253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53" s="8">
        <f>IF(OR(E253="",N253&lt;=0),"",IF(N253&gt;E253*0.05,"VOL-HIGH","VOL-NORMAL"))</f>
        <v/>
      </c>
      <c r="AA253" s="8">
        <f>IF(OR(E253="",N253&lt;=0),"",IF(AND(O253="VOL-OK",Z253="VOL-NORMAL",X253="2ND"),"OK","NG"))</f>
        <v/>
      </c>
      <c r="AB253" s="8">
        <f>IF(OR(E253="",N253&lt;=0),"",IF(AND(F253&gt;J253,G253&gt;K253),"UP",IF(AND(F253&lt;J253,G253&lt;K253),"DOWN","FLAT")))</f>
        <v/>
      </c>
    </row>
    <row r="254" ht="26" customHeight="1" s="1">
      <c r="A254" s="14">
        <f>IF(C254="","",ROW()-2)</f>
        <v/>
      </c>
      <c r="B254" s="15">
        <f>IF('StockList_MS2'!A253="","",HYPERLINK("https://kabutan.jp/stock/?code="&amp;'StockList_MS2'!A253,"株探"))</f>
        <v/>
      </c>
      <c r="C254" s="14">
        <f>IF('StockList_MS2'!A253="","",'StockList_MS2'!A253)</f>
        <v/>
      </c>
      <c r="D254" s="16">
        <f>IF('StockList_MS2'!A253="","",'StockList_MS2'!B253)</f>
        <v/>
      </c>
      <c r="E254" s="17" t="n"/>
      <c r="F254" s="17" t="n"/>
      <c r="G254" s="17" t="n"/>
      <c r="H254" s="17" t="n"/>
      <c r="I254" s="18" t="n"/>
      <c r="J254" s="17" t="n"/>
      <c r="K254" s="17" t="n"/>
      <c r="L254" s="17" t="n"/>
      <c r="M254" s="14">
        <f>IF(E254="","",IF(E254&gt;L254,"BUY-DAY","SELL-DAY"))</f>
        <v/>
      </c>
      <c r="N254" s="19">
        <f>IF(E254="","",MAX(F254-G254,ABS(F254-L254),ABS(G254-L254)))</f>
        <v/>
      </c>
      <c r="O254" s="14">
        <f>IF(E254="","",IF(AND(I254&gt;0,I254&gt;(I254/3)*2.5),"VOL-OK","VOL-NG"))</f>
        <v/>
      </c>
      <c r="P254" s="14">
        <f>IF(E254="","",IF(E254&gt;J254,"ON","OFF"))</f>
        <v/>
      </c>
      <c r="Q254" s="14">
        <f>IF(E254="","",IF(E254&lt;K254,"ON","OFF"))</f>
        <v/>
      </c>
      <c r="R254" s="14">
        <f>IF(OR(E254="",N254&lt;=0),"",IF(AND(M254="BUY-DAY",O254="VOL-OK",Q254="ON",AA254="OK",AB254&lt;&gt;"DOWN"),"BUY",IF(AND(M254="SELL-DAY",O254="VOL-OK",P254="ON",AA254="OK",AB254&lt;&gt;"UP"),"SELL","")))</f>
        <v/>
      </c>
      <c r="S254" s="19">
        <f>IF(R254="","",E254)</f>
        <v/>
      </c>
      <c r="T254" s="19">
        <f>IF(R254="","",IF(R254="BUY",E254-N254*1.5,E254+N254*1.5))</f>
        <v/>
      </c>
      <c r="U254" s="19">
        <f>IF(R254="","",IF(R254="BUY",E254+N254*1.5,E254-N254*1.5))</f>
        <v/>
      </c>
      <c r="V254" s="19">
        <f>IF(R254="","",IF(R254="BUY",E254+N254*2,E254-N254*2))</f>
        <v/>
      </c>
      <c r="W254" s="19">
        <f>IF(R254="","",IF(R254="BUY",E254+N254*3,E254-N254*3))</f>
        <v/>
      </c>
      <c r="X254" s="14">
        <f>IF(OR(E254="",N254&lt;=0),"",IF(AND(E254&gt;H254,ABS(E254-H254)&lt;N254*0.5),"2ND","1ST"))</f>
        <v/>
      </c>
      <c r="Y254" s="14">
        <f>IF(OR(E254="",N254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54" s="14">
        <f>IF(OR(E254="",N254&lt;=0),"",IF(N254&gt;E254*0.05,"VOL-HIGH","VOL-NORMAL"))</f>
        <v/>
      </c>
      <c r="AA254" s="14">
        <f>IF(OR(E254="",N254&lt;=0),"",IF(AND(O254="VOL-OK",Z254="VOL-NORMAL",X254="2ND"),"OK","NG"))</f>
        <v/>
      </c>
      <c r="AB254" s="14">
        <f>IF(OR(E254="",N254&lt;=0),"",IF(AND(F254&gt;J254,G254&gt;K254),"UP",IF(AND(F254&lt;J254,G254&lt;K254),"DOWN","FLAT")))</f>
        <v/>
      </c>
    </row>
    <row r="255" ht="26" customHeight="1" s="1">
      <c r="A255" s="8">
        <f>IF(C255="","",ROW()-2)</f>
        <v/>
      </c>
      <c r="B255" s="9">
        <f>IF('StockList_MS2'!A254="","",HYPERLINK("https://kabutan.jp/stock/?code="&amp;'StockList_MS2'!A254,"株探"))</f>
        <v/>
      </c>
      <c r="C255" s="8">
        <f>IF('StockList_MS2'!A254="","",'StockList_MS2'!A254)</f>
        <v/>
      </c>
      <c r="D255" s="10">
        <f>IF('StockList_MS2'!A254="","",'StockList_MS2'!B254)</f>
        <v/>
      </c>
      <c r="E255" s="11" t="n"/>
      <c r="F255" s="11" t="n"/>
      <c r="G255" s="11" t="n"/>
      <c r="H255" s="11" t="n"/>
      <c r="I255" s="12" t="n"/>
      <c r="J255" s="11" t="n"/>
      <c r="K255" s="11" t="n"/>
      <c r="L255" s="11" t="n"/>
      <c r="M255" s="8">
        <f>IF(E255="","",IF(E255&gt;L255,"BUY-DAY","SELL-DAY"))</f>
        <v/>
      </c>
      <c r="N255" s="13">
        <f>IF(E255="","",MAX(F255-G255,ABS(F255-L255),ABS(G255-L255)))</f>
        <v/>
      </c>
      <c r="O255" s="8">
        <f>IF(E255="","",IF(AND(I255&gt;0,I255&gt;(I255/3)*2.5),"VOL-OK","VOL-NG"))</f>
        <v/>
      </c>
      <c r="P255" s="8">
        <f>IF(E255="","",IF(E255&gt;J255,"ON","OFF"))</f>
        <v/>
      </c>
      <c r="Q255" s="8">
        <f>IF(E255="","",IF(E255&lt;K255,"ON","OFF"))</f>
        <v/>
      </c>
      <c r="R255" s="8">
        <f>IF(OR(E255="",N255&lt;=0),"",IF(AND(M255="BUY-DAY",O255="VOL-OK",Q255="ON",AA255="OK",AB255&lt;&gt;"DOWN"),"BUY",IF(AND(M255="SELL-DAY",O255="VOL-OK",P255="ON",AA255="OK",AB255&lt;&gt;"UP"),"SELL","")))</f>
        <v/>
      </c>
      <c r="S255" s="13">
        <f>IF(R255="","",E255)</f>
        <v/>
      </c>
      <c r="T255" s="13">
        <f>IF(R255="","",IF(R255="BUY",E255-N255*1.5,E255+N255*1.5))</f>
        <v/>
      </c>
      <c r="U255" s="13">
        <f>IF(R255="","",IF(R255="BUY",E255+N255*1.5,E255-N255*1.5))</f>
        <v/>
      </c>
      <c r="V255" s="13">
        <f>IF(R255="","",IF(R255="BUY",E255+N255*2,E255-N255*2))</f>
        <v/>
      </c>
      <c r="W255" s="13">
        <f>IF(R255="","",IF(R255="BUY",E255+N255*3,E255-N255*3))</f>
        <v/>
      </c>
      <c r="X255" s="8">
        <f>IF(OR(E255="",N255&lt;=0),"",IF(AND(E255&gt;H255,ABS(E255-H255)&lt;N255*0.5),"2ND","1ST"))</f>
        <v/>
      </c>
      <c r="Y255" s="8">
        <f>IF(OR(E255="",N255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55" s="8">
        <f>IF(OR(E255="",N255&lt;=0),"",IF(N255&gt;E255*0.05,"VOL-HIGH","VOL-NORMAL"))</f>
        <v/>
      </c>
      <c r="AA255" s="8">
        <f>IF(OR(E255="",N255&lt;=0),"",IF(AND(O255="VOL-OK",Z255="VOL-NORMAL",X255="2ND"),"OK","NG"))</f>
        <v/>
      </c>
      <c r="AB255" s="8">
        <f>IF(OR(E255="",N255&lt;=0),"",IF(AND(F255&gt;J255,G255&gt;K255),"UP",IF(AND(F255&lt;J255,G255&lt;K255),"DOWN","FLAT")))</f>
        <v/>
      </c>
    </row>
    <row r="256" ht="26" customHeight="1" s="1">
      <c r="A256" s="14">
        <f>IF(C256="","",ROW()-2)</f>
        <v/>
      </c>
      <c r="B256" s="15">
        <f>IF('StockList_MS2'!A255="","",HYPERLINK("https://kabutan.jp/stock/?code="&amp;'StockList_MS2'!A255,"株探"))</f>
        <v/>
      </c>
      <c r="C256" s="14">
        <f>IF('StockList_MS2'!A255="","",'StockList_MS2'!A255)</f>
        <v/>
      </c>
      <c r="D256" s="16">
        <f>IF('StockList_MS2'!A255="","",'StockList_MS2'!B255)</f>
        <v/>
      </c>
      <c r="E256" s="17" t="n"/>
      <c r="F256" s="17" t="n"/>
      <c r="G256" s="17" t="n"/>
      <c r="H256" s="17" t="n"/>
      <c r="I256" s="18" t="n"/>
      <c r="J256" s="17" t="n"/>
      <c r="K256" s="17" t="n"/>
      <c r="L256" s="17" t="n"/>
      <c r="M256" s="14">
        <f>IF(E256="","",IF(E256&gt;L256,"BUY-DAY","SELL-DAY"))</f>
        <v/>
      </c>
      <c r="N256" s="19">
        <f>IF(E256="","",MAX(F256-G256,ABS(F256-L256),ABS(G256-L256)))</f>
        <v/>
      </c>
      <c r="O256" s="14">
        <f>IF(E256="","",IF(AND(I256&gt;0,I256&gt;(I256/3)*2.5),"VOL-OK","VOL-NG"))</f>
        <v/>
      </c>
      <c r="P256" s="14">
        <f>IF(E256="","",IF(E256&gt;J256,"ON","OFF"))</f>
        <v/>
      </c>
      <c r="Q256" s="14">
        <f>IF(E256="","",IF(E256&lt;K256,"ON","OFF"))</f>
        <v/>
      </c>
      <c r="R256" s="14">
        <f>IF(OR(E256="",N256&lt;=0),"",IF(AND(M256="BUY-DAY",O256="VOL-OK",Q256="ON",AA256="OK",AB256&lt;&gt;"DOWN"),"BUY",IF(AND(M256="SELL-DAY",O256="VOL-OK",P256="ON",AA256="OK",AB256&lt;&gt;"UP"),"SELL","")))</f>
        <v/>
      </c>
      <c r="S256" s="19">
        <f>IF(R256="","",E256)</f>
        <v/>
      </c>
      <c r="T256" s="19">
        <f>IF(R256="","",IF(R256="BUY",E256-N256*1.5,E256+N256*1.5))</f>
        <v/>
      </c>
      <c r="U256" s="19">
        <f>IF(R256="","",IF(R256="BUY",E256+N256*1.5,E256-N256*1.5))</f>
        <v/>
      </c>
      <c r="V256" s="19">
        <f>IF(R256="","",IF(R256="BUY",E256+N256*2,E256-N256*2))</f>
        <v/>
      </c>
      <c r="W256" s="19">
        <f>IF(R256="","",IF(R256="BUY",E256+N256*3,E256-N256*3))</f>
        <v/>
      </c>
      <c r="X256" s="14">
        <f>IF(OR(E256="",N256&lt;=0),"",IF(AND(E256&gt;H256,ABS(E256-H256)&lt;N256*0.5),"2ND","1ST"))</f>
        <v/>
      </c>
      <c r="Y256" s="14">
        <f>IF(OR(E256="",N256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56" s="14">
        <f>IF(OR(E256="",N256&lt;=0),"",IF(N256&gt;E256*0.05,"VOL-HIGH","VOL-NORMAL"))</f>
        <v/>
      </c>
      <c r="AA256" s="14">
        <f>IF(OR(E256="",N256&lt;=0),"",IF(AND(O256="VOL-OK",Z256="VOL-NORMAL",X256="2ND"),"OK","NG"))</f>
        <v/>
      </c>
      <c r="AB256" s="14">
        <f>IF(OR(E256="",N256&lt;=0),"",IF(AND(F256&gt;J256,G256&gt;K256),"UP",IF(AND(F256&lt;J256,G256&lt;K256),"DOWN","FLAT")))</f>
        <v/>
      </c>
    </row>
    <row r="257" ht="26" customHeight="1" s="1">
      <c r="A257" s="8">
        <f>IF(C257="","",ROW()-2)</f>
        <v/>
      </c>
      <c r="B257" s="9">
        <f>IF('StockList_MS2'!A256="","",HYPERLINK("https://kabutan.jp/stock/?code="&amp;'StockList_MS2'!A256,"株探"))</f>
        <v/>
      </c>
      <c r="C257" s="8">
        <f>IF('StockList_MS2'!A256="","",'StockList_MS2'!A256)</f>
        <v/>
      </c>
      <c r="D257" s="10">
        <f>IF('StockList_MS2'!A256="","",'StockList_MS2'!B256)</f>
        <v/>
      </c>
      <c r="E257" s="11" t="n"/>
      <c r="F257" s="11" t="n"/>
      <c r="G257" s="11" t="n"/>
      <c r="H257" s="11" t="n"/>
      <c r="I257" s="12" t="n"/>
      <c r="J257" s="11" t="n"/>
      <c r="K257" s="11" t="n"/>
      <c r="L257" s="11" t="n"/>
      <c r="M257" s="8">
        <f>IF(E257="","",IF(E257&gt;L257,"BUY-DAY","SELL-DAY"))</f>
        <v/>
      </c>
      <c r="N257" s="13">
        <f>IF(E257="","",MAX(F257-G257,ABS(F257-L257),ABS(G257-L257)))</f>
        <v/>
      </c>
      <c r="O257" s="8">
        <f>IF(E257="","",IF(AND(I257&gt;0,I257&gt;(I257/3)*2.5),"VOL-OK","VOL-NG"))</f>
        <v/>
      </c>
      <c r="P257" s="8">
        <f>IF(E257="","",IF(E257&gt;J257,"ON","OFF"))</f>
        <v/>
      </c>
      <c r="Q257" s="8">
        <f>IF(E257="","",IF(E257&lt;K257,"ON","OFF"))</f>
        <v/>
      </c>
      <c r="R257" s="8">
        <f>IF(OR(E257="",N257&lt;=0),"",IF(AND(M257="BUY-DAY",O257="VOL-OK",Q257="ON",AA257="OK",AB257&lt;&gt;"DOWN"),"BUY",IF(AND(M257="SELL-DAY",O257="VOL-OK",P257="ON",AA257="OK",AB257&lt;&gt;"UP"),"SELL","")))</f>
        <v/>
      </c>
      <c r="S257" s="13">
        <f>IF(R257="","",E257)</f>
        <v/>
      </c>
      <c r="T257" s="13">
        <f>IF(R257="","",IF(R257="BUY",E257-N257*1.5,E257+N257*1.5))</f>
        <v/>
      </c>
      <c r="U257" s="13">
        <f>IF(R257="","",IF(R257="BUY",E257+N257*1.5,E257-N257*1.5))</f>
        <v/>
      </c>
      <c r="V257" s="13">
        <f>IF(R257="","",IF(R257="BUY",E257+N257*2,E257-N257*2))</f>
        <v/>
      </c>
      <c r="W257" s="13">
        <f>IF(R257="","",IF(R257="BUY",E257+N257*3,E257-N257*3))</f>
        <v/>
      </c>
      <c r="X257" s="8">
        <f>IF(OR(E257="",N257&lt;=0),"",IF(AND(E257&gt;H257,ABS(E257-H257)&lt;N257*0.5),"2ND","1ST"))</f>
        <v/>
      </c>
      <c r="Y257" s="8">
        <f>IF(OR(E257="",N257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57" s="8">
        <f>IF(OR(E257="",N257&lt;=0),"",IF(N257&gt;E257*0.05,"VOL-HIGH","VOL-NORMAL"))</f>
        <v/>
      </c>
      <c r="AA257" s="8">
        <f>IF(OR(E257="",N257&lt;=0),"",IF(AND(O257="VOL-OK",Z257="VOL-NORMAL",X257="2ND"),"OK","NG"))</f>
        <v/>
      </c>
      <c r="AB257" s="8">
        <f>IF(OR(E257="",N257&lt;=0),"",IF(AND(F257&gt;J257,G257&gt;K257),"UP",IF(AND(F257&lt;J257,G257&lt;K257),"DOWN","FLAT")))</f>
        <v/>
      </c>
    </row>
    <row r="258" ht="26" customHeight="1" s="1">
      <c r="A258" s="14">
        <f>IF(C258="","",ROW()-2)</f>
        <v/>
      </c>
      <c r="B258" s="15">
        <f>IF('StockList_MS2'!A257="","",HYPERLINK("https://kabutan.jp/stock/?code="&amp;'StockList_MS2'!A257,"株探"))</f>
        <v/>
      </c>
      <c r="C258" s="14">
        <f>IF('StockList_MS2'!A257="","",'StockList_MS2'!A257)</f>
        <v/>
      </c>
      <c r="D258" s="16">
        <f>IF('StockList_MS2'!A257="","",'StockList_MS2'!B257)</f>
        <v/>
      </c>
      <c r="E258" s="17" t="n"/>
      <c r="F258" s="17" t="n"/>
      <c r="G258" s="17" t="n"/>
      <c r="H258" s="17" t="n"/>
      <c r="I258" s="18" t="n"/>
      <c r="J258" s="17" t="n"/>
      <c r="K258" s="17" t="n"/>
      <c r="L258" s="17" t="n"/>
      <c r="M258" s="14">
        <f>IF(E258="","",IF(E258&gt;L258,"BUY-DAY","SELL-DAY"))</f>
        <v/>
      </c>
      <c r="N258" s="19">
        <f>IF(E258="","",MAX(F258-G258,ABS(F258-L258),ABS(G258-L258)))</f>
        <v/>
      </c>
      <c r="O258" s="14">
        <f>IF(E258="","",IF(AND(I258&gt;0,I258&gt;(I258/3)*2.5),"VOL-OK","VOL-NG"))</f>
        <v/>
      </c>
      <c r="P258" s="14">
        <f>IF(E258="","",IF(E258&gt;J258,"ON","OFF"))</f>
        <v/>
      </c>
      <c r="Q258" s="14">
        <f>IF(E258="","",IF(E258&lt;K258,"ON","OFF"))</f>
        <v/>
      </c>
      <c r="R258" s="14">
        <f>IF(OR(E258="",N258&lt;=0),"",IF(AND(M258="BUY-DAY",O258="VOL-OK",Q258="ON",AA258="OK",AB258&lt;&gt;"DOWN"),"BUY",IF(AND(M258="SELL-DAY",O258="VOL-OK",P258="ON",AA258="OK",AB258&lt;&gt;"UP"),"SELL","")))</f>
        <v/>
      </c>
      <c r="S258" s="19">
        <f>IF(R258="","",E258)</f>
        <v/>
      </c>
      <c r="T258" s="19">
        <f>IF(R258="","",IF(R258="BUY",E258-N258*1.5,E258+N258*1.5))</f>
        <v/>
      </c>
      <c r="U258" s="19">
        <f>IF(R258="","",IF(R258="BUY",E258+N258*1.5,E258-N258*1.5))</f>
        <v/>
      </c>
      <c r="V258" s="19">
        <f>IF(R258="","",IF(R258="BUY",E258+N258*2,E258-N258*2))</f>
        <v/>
      </c>
      <c r="W258" s="19">
        <f>IF(R258="","",IF(R258="BUY",E258+N258*3,E258-N258*3))</f>
        <v/>
      </c>
      <c r="X258" s="14">
        <f>IF(OR(E258="",N258&lt;=0),"",IF(AND(E258&gt;H258,ABS(E258-H258)&lt;N258*0.5),"2ND","1ST"))</f>
        <v/>
      </c>
      <c r="Y258" s="14">
        <f>IF(OR(E258="",N258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58" s="14">
        <f>IF(OR(E258="",N258&lt;=0),"",IF(N258&gt;E258*0.05,"VOL-HIGH","VOL-NORMAL"))</f>
        <v/>
      </c>
      <c r="AA258" s="14">
        <f>IF(OR(E258="",N258&lt;=0),"",IF(AND(O258="VOL-OK",Z258="VOL-NORMAL",X258="2ND"),"OK","NG"))</f>
        <v/>
      </c>
      <c r="AB258" s="14">
        <f>IF(OR(E258="",N258&lt;=0),"",IF(AND(F258&gt;J258,G258&gt;K258),"UP",IF(AND(F258&lt;J258,G258&lt;K258),"DOWN","FLAT")))</f>
        <v/>
      </c>
    </row>
    <row r="259" ht="26" customHeight="1" s="1">
      <c r="A259" s="8">
        <f>IF(C259="","",ROW()-2)</f>
        <v/>
      </c>
      <c r="B259" s="9">
        <f>IF('StockList_MS2'!A258="","",HYPERLINK("https://kabutan.jp/stock/?code="&amp;'StockList_MS2'!A258,"株探"))</f>
        <v/>
      </c>
      <c r="C259" s="8">
        <f>IF('StockList_MS2'!A258="","",'StockList_MS2'!A258)</f>
        <v/>
      </c>
      <c r="D259" s="10">
        <f>IF('StockList_MS2'!A258="","",'StockList_MS2'!B258)</f>
        <v/>
      </c>
      <c r="E259" s="11" t="n"/>
      <c r="F259" s="11" t="n"/>
      <c r="G259" s="11" t="n"/>
      <c r="H259" s="11" t="n"/>
      <c r="I259" s="12" t="n"/>
      <c r="J259" s="11" t="n"/>
      <c r="K259" s="11" t="n"/>
      <c r="L259" s="11" t="n"/>
      <c r="M259" s="8">
        <f>IF(E259="","",IF(E259&gt;L259,"BUY-DAY","SELL-DAY"))</f>
        <v/>
      </c>
      <c r="N259" s="13">
        <f>IF(E259="","",MAX(F259-G259,ABS(F259-L259),ABS(G259-L259)))</f>
        <v/>
      </c>
      <c r="O259" s="8">
        <f>IF(E259="","",IF(AND(I259&gt;0,I259&gt;(I259/3)*2.5),"VOL-OK","VOL-NG"))</f>
        <v/>
      </c>
      <c r="P259" s="8">
        <f>IF(E259="","",IF(E259&gt;J259,"ON","OFF"))</f>
        <v/>
      </c>
      <c r="Q259" s="8">
        <f>IF(E259="","",IF(E259&lt;K259,"ON","OFF"))</f>
        <v/>
      </c>
      <c r="R259" s="8">
        <f>IF(OR(E259="",N259&lt;=0),"",IF(AND(M259="BUY-DAY",O259="VOL-OK",Q259="ON",AA259="OK",AB259&lt;&gt;"DOWN"),"BUY",IF(AND(M259="SELL-DAY",O259="VOL-OK",P259="ON",AA259="OK",AB259&lt;&gt;"UP"),"SELL","")))</f>
        <v/>
      </c>
      <c r="S259" s="13">
        <f>IF(R259="","",E259)</f>
        <v/>
      </c>
      <c r="T259" s="13">
        <f>IF(R259="","",IF(R259="BUY",E259-N259*1.5,E259+N259*1.5))</f>
        <v/>
      </c>
      <c r="U259" s="13">
        <f>IF(R259="","",IF(R259="BUY",E259+N259*1.5,E259-N259*1.5))</f>
        <v/>
      </c>
      <c r="V259" s="13">
        <f>IF(R259="","",IF(R259="BUY",E259+N259*2,E259-N259*2))</f>
        <v/>
      </c>
      <c r="W259" s="13">
        <f>IF(R259="","",IF(R259="BUY",E259+N259*3,E259-N259*3))</f>
        <v/>
      </c>
      <c r="X259" s="8">
        <f>IF(OR(E259="",N259&lt;=0),"",IF(AND(E259&gt;H259,ABS(E259-H259)&lt;N259*0.5),"2ND","1ST"))</f>
        <v/>
      </c>
      <c r="Y259" s="8">
        <f>IF(OR(E259="",N259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59" s="8">
        <f>IF(OR(E259="",N259&lt;=0),"",IF(N259&gt;E259*0.05,"VOL-HIGH","VOL-NORMAL"))</f>
        <v/>
      </c>
      <c r="AA259" s="8">
        <f>IF(OR(E259="",N259&lt;=0),"",IF(AND(O259="VOL-OK",Z259="VOL-NORMAL",X259="2ND"),"OK","NG"))</f>
        <v/>
      </c>
      <c r="AB259" s="8">
        <f>IF(OR(E259="",N259&lt;=0),"",IF(AND(F259&gt;J259,G259&gt;K259),"UP",IF(AND(F259&lt;J259,G259&lt;K259),"DOWN","FLAT")))</f>
        <v/>
      </c>
    </row>
    <row r="260" ht="26" customHeight="1" s="1">
      <c r="A260" s="14">
        <f>IF(C260="","",ROW()-2)</f>
        <v/>
      </c>
      <c r="B260" s="15">
        <f>IF('StockList_MS2'!A259="","",HYPERLINK("https://kabutan.jp/stock/?code="&amp;'StockList_MS2'!A259,"株探"))</f>
        <v/>
      </c>
      <c r="C260" s="14">
        <f>IF('StockList_MS2'!A259="","",'StockList_MS2'!A259)</f>
        <v/>
      </c>
      <c r="D260" s="16">
        <f>IF('StockList_MS2'!A259="","",'StockList_MS2'!B259)</f>
        <v/>
      </c>
      <c r="E260" s="17" t="n"/>
      <c r="F260" s="17" t="n"/>
      <c r="G260" s="17" t="n"/>
      <c r="H260" s="17" t="n"/>
      <c r="I260" s="18" t="n"/>
      <c r="J260" s="17" t="n"/>
      <c r="K260" s="17" t="n"/>
      <c r="L260" s="17" t="n"/>
      <c r="M260" s="14">
        <f>IF(E260="","",IF(E260&gt;L260,"BUY-DAY","SELL-DAY"))</f>
        <v/>
      </c>
      <c r="N260" s="19">
        <f>IF(E260="","",MAX(F260-G260,ABS(F260-L260),ABS(G260-L260)))</f>
        <v/>
      </c>
      <c r="O260" s="14">
        <f>IF(E260="","",IF(AND(I260&gt;0,I260&gt;(I260/3)*2.5),"VOL-OK","VOL-NG"))</f>
        <v/>
      </c>
      <c r="P260" s="14">
        <f>IF(E260="","",IF(E260&gt;J260,"ON","OFF"))</f>
        <v/>
      </c>
      <c r="Q260" s="14">
        <f>IF(E260="","",IF(E260&lt;K260,"ON","OFF"))</f>
        <v/>
      </c>
      <c r="R260" s="14">
        <f>IF(OR(E260="",N260&lt;=0),"",IF(AND(M260="BUY-DAY",O260="VOL-OK",Q260="ON",AA260="OK",AB260&lt;&gt;"DOWN"),"BUY",IF(AND(M260="SELL-DAY",O260="VOL-OK",P260="ON",AA260="OK",AB260&lt;&gt;"UP"),"SELL","")))</f>
        <v/>
      </c>
      <c r="S260" s="19">
        <f>IF(R260="","",E260)</f>
        <v/>
      </c>
      <c r="T260" s="19">
        <f>IF(R260="","",IF(R260="BUY",E260-N260*1.5,E260+N260*1.5))</f>
        <v/>
      </c>
      <c r="U260" s="19">
        <f>IF(R260="","",IF(R260="BUY",E260+N260*1.5,E260-N260*1.5))</f>
        <v/>
      </c>
      <c r="V260" s="19">
        <f>IF(R260="","",IF(R260="BUY",E260+N260*2,E260-N260*2))</f>
        <v/>
      </c>
      <c r="W260" s="19">
        <f>IF(R260="","",IF(R260="BUY",E260+N260*3,E260-N260*3))</f>
        <v/>
      </c>
      <c r="X260" s="14">
        <f>IF(OR(E260="",N260&lt;=0),"",IF(AND(E260&gt;H260,ABS(E260-H260)&lt;N260*0.5),"2ND","1ST"))</f>
        <v/>
      </c>
      <c r="Y260" s="14">
        <f>IF(OR(E260="",N260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60" s="14">
        <f>IF(OR(E260="",N260&lt;=0),"",IF(N260&gt;E260*0.05,"VOL-HIGH","VOL-NORMAL"))</f>
        <v/>
      </c>
      <c r="AA260" s="14">
        <f>IF(OR(E260="",N260&lt;=0),"",IF(AND(O260="VOL-OK",Z260="VOL-NORMAL",X260="2ND"),"OK","NG"))</f>
        <v/>
      </c>
      <c r="AB260" s="14">
        <f>IF(OR(E260="",N260&lt;=0),"",IF(AND(F260&gt;J260,G260&gt;K260),"UP",IF(AND(F260&lt;J260,G260&lt;K260),"DOWN","FLAT")))</f>
        <v/>
      </c>
    </row>
    <row r="261" ht="26" customHeight="1" s="1">
      <c r="A261" s="8">
        <f>IF(C261="","",ROW()-2)</f>
        <v/>
      </c>
      <c r="B261" s="9">
        <f>IF('StockList_MS2'!A260="","",HYPERLINK("https://kabutan.jp/stock/?code="&amp;'StockList_MS2'!A260,"株探"))</f>
        <v/>
      </c>
      <c r="C261" s="8">
        <f>IF('StockList_MS2'!A260="","",'StockList_MS2'!A260)</f>
        <v/>
      </c>
      <c r="D261" s="10">
        <f>IF('StockList_MS2'!A260="","",'StockList_MS2'!B260)</f>
        <v/>
      </c>
      <c r="E261" s="11" t="n"/>
      <c r="F261" s="11" t="n"/>
      <c r="G261" s="11" t="n"/>
      <c r="H261" s="11" t="n"/>
      <c r="I261" s="12" t="n"/>
      <c r="J261" s="11" t="n"/>
      <c r="K261" s="11" t="n"/>
      <c r="L261" s="11" t="n"/>
      <c r="M261" s="8">
        <f>IF(E261="","",IF(E261&gt;L261,"BUY-DAY","SELL-DAY"))</f>
        <v/>
      </c>
      <c r="N261" s="13">
        <f>IF(E261="","",MAX(F261-G261,ABS(F261-L261),ABS(G261-L261)))</f>
        <v/>
      </c>
      <c r="O261" s="8">
        <f>IF(E261="","",IF(AND(I261&gt;0,I261&gt;(I261/3)*2.5),"VOL-OK","VOL-NG"))</f>
        <v/>
      </c>
      <c r="P261" s="8">
        <f>IF(E261="","",IF(E261&gt;J261,"ON","OFF"))</f>
        <v/>
      </c>
      <c r="Q261" s="8">
        <f>IF(E261="","",IF(E261&lt;K261,"ON","OFF"))</f>
        <v/>
      </c>
      <c r="R261" s="8">
        <f>IF(OR(E261="",N261&lt;=0),"",IF(AND(M261="BUY-DAY",O261="VOL-OK",Q261="ON",AA261="OK",AB261&lt;&gt;"DOWN"),"BUY",IF(AND(M261="SELL-DAY",O261="VOL-OK",P261="ON",AA261="OK",AB261&lt;&gt;"UP"),"SELL","")))</f>
        <v/>
      </c>
      <c r="S261" s="13">
        <f>IF(R261="","",E261)</f>
        <v/>
      </c>
      <c r="T261" s="13">
        <f>IF(R261="","",IF(R261="BUY",E261-N261*1.5,E261+N261*1.5))</f>
        <v/>
      </c>
      <c r="U261" s="13">
        <f>IF(R261="","",IF(R261="BUY",E261+N261*1.5,E261-N261*1.5))</f>
        <v/>
      </c>
      <c r="V261" s="13">
        <f>IF(R261="","",IF(R261="BUY",E261+N261*2,E261-N261*2))</f>
        <v/>
      </c>
      <c r="W261" s="13">
        <f>IF(R261="","",IF(R261="BUY",E261+N261*3,E261-N261*3))</f>
        <v/>
      </c>
      <c r="X261" s="8">
        <f>IF(OR(E261="",N261&lt;=0),"",IF(AND(E261&gt;H261,ABS(E261-H261)&lt;N261*0.5),"2ND","1ST"))</f>
        <v/>
      </c>
      <c r="Y261" s="8">
        <f>IF(OR(E261="",N261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61" s="8">
        <f>IF(OR(E261="",N261&lt;=0),"",IF(N261&gt;E261*0.05,"VOL-HIGH","VOL-NORMAL"))</f>
        <v/>
      </c>
      <c r="AA261" s="8">
        <f>IF(OR(E261="",N261&lt;=0),"",IF(AND(O261="VOL-OK",Z261="VOL-NORMAL",X261="2ND"),"OK","NG"))</f>
        <v/>
      </c>
      <c r="AB261" s="8">
        <f>IF(OR(E261="",N261&lt;=0),"",IF(AND(F261&gt;J261,G261&gt;K261),"UP",IF(AND(F261&lt;J261,G261&lt;K261),"DOWN","FLAT")))</f>
        <v/>
      </c>
    </row>
    <row r="262" ht="26" customHeight="1" s="1">
      <c r="A262" s="14">
        <f>IF(C262="","",ROW()-2)</f>
        <v/>
      </c>
      <c r="B262" s="15">
        <f>IF('StockList_MS2'!A261="","",HYPERLINK("https://kabutan.jp/stock/?code="&amp;'StockList_MS2'!A261,"株探"))</f>
        <v/>
      </c>
      <c r="C262" s="14">
        <f>IF('StockList_MS2'!A261="","",'StockList_MS2'!A261)</f>
        <v/>
      </c>
      <c r="D262" s="16">
        <f>IF('StockList_MS2'!A261="","",'StockList_MS2'!B261)</f>
        <v/>
      </c>
      <c r="E262" s="17" t="n"/>
      <c r="F262" s="17" t="n"/>
      <c r="G262" s="17" t="n"/>
      <c r="H262" s="17" t="n"/>
      <c r="I262" s="18" t="n"/>
      <c r="J262" s="17" t="n"/>
      <c r="K262" s="17" t="n"/>
      <c r="L262" s="17" t="n"/>
      <c r="M262" s="14">
        <f>IF(E262="","",IF(E262&gt;L262,"BUY-DAY","SELL-DAY"))</f>
        <v/>
      </c>
      <c r="N262" s="19">
        <f>IF(E262="","",MAX(F262-G262,ABS(F262-L262),ABS(G262-L262)))</f>
        <v/>
      </c>
      <c r="O262" s="14">
        <f>IF(E262="","",IF(AND(I262&gt;0,I262&gt;(I262/3)*2.5),"VOL-OK","VOL-NG"))</f>
        <v/>
      </c>
      <c r="P262" s="14">
        <f>IF(E262="","",IF(E262&gt;J262,"ON","OFF"))</f>
        <v/>
      </c>
      <c r="Q262" s="14">
        <f>IF(E262="","",IF(E262&lt;K262,"ON","OFF"))</f>
        <v/>
      </c>
      <c r="R262" s="14">
        <f>IF(OR(E262="",N262&lt;=0),"",IF(AND(M262="BUY-DAY",O262="VOL-OK",Q262="ON",AA262="OK",AB262&lt;&gt;"DOWN"),"BUY",IF(AND(M262="SELL-DAY",O262="VOL-OK",P262="ON",AA262="OK",AB262&lt;&gt;"UP"),"SELL","")))</f>
        <v/>
      </c>
      <c r="S262" s="19">
        <f>IF(R262="","",E262)</f>
        <v/>
      </c>
      <c r="T262" s="19">
        <f>IF(R262="","",IF(R262="BUY",E262-N262*1.5,E262+N262*1.5))</f>
        <v/>
      </c>
      <c r="U262" s="19">
        <f>IF(R262="","",IF(R262="BUY",E262+N262*1.5,E262-N262*1.5))</f>
        <v/>
      </c>
      <c r="V262" s="19">
        <f>IF(R262="","",IF(R262="BUY",E262+N262*2,E262-N262*2))</f>
        <v/>
      </c>
      <c r="W262" s="19">
        <f>IF(R262="","",IF(R262="BUY",E262+N262*3,E262-N262*3))</f>
        <v/>
      </c>
      <c r="X262" s="14">
        <f>IF(OR(E262="",N262&lt;=0),"",IF(AND(E262&gt;H262,ABS(E262-H262)&lt;N262*0.5),"2ND","1ST"))</f>
        <v/>
      </c>
      <c r="Y262" s="14">
        <f>IF(OR(E262="",N262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62" s="14">
        <f>IF(OR(E262="",N262&lt;=0),"",IF(N262&gt;E262*0.05,"VOL-HIGH","VOL-NORMAL"))</f>
        <v/>
      </c>
      <c r="AA262" s="14">
        <f>IF(OR(E262="",N262&lt;=0),"",IF(AND(O262="VOL-OK",Z262="VOL-NORMAL",X262="2ND"),"OK","NG"))</f>
        <v/>
      </c>
      <c r="AB262" s="14">
        <f>IF(OR(E262="",N262&lt;=0),"",IF(AND(F262&gt;J262,G262&gt;K262),"UP",IF(AND(F262&lt;J262,G262&lt;K262),"DOWN","FLAT")))</f>
        <v/>
      </c>
    </row>
    <row r="263" ht="26" customHeight="1" s="1">
      <c r="A263" s="8">
        <f>IF(C263="","",ROW()-2)</f>
        <v/>
      </c>
      <c r="B263" s="9">
        <f>IF('StockList_MS2'!A262="","",HYPERLINK("https://kabutan.jp/stock/?code="&amp;'StockList_MS2'!A262,"株探"))</f>
        <v/>
      </c>
      <c r="C263" s="8">
        <f>IF('StockList_MS2'!A262="","",'StockList_MS2'!A262)</f>
        <v/>
      </c>
      <c r="D263" s="10">
        <f>IF('StockList_MS2'!A262="","",'StockList_MS2'!B262)</f>
        <v/>
      </c>
      <c r="E263" s="11" t="n"/>
      <c r="F263" s="11" t="n"/>
      <c r="G263" s="11" t="n"/>
      <c r="H263" s="11" t="n"/>
      <c r="I263" s="12" t="n"/>
      <c r="J263" s="11" t="n"/>
      <c r="K263" s="11" t="n"/>
      <c r="L263" s="11" t="n"/>
      <c r="M263" s="8">
        <f>IF(E263="","",IF(E263&gt;L263,"BUY-DAY","SELL-DAY"))</f>
        <v/>
      </c>
      <c r="N263" s="13">
        <f>IF(E263="","",MAX(F263-G263,ABS(F263-L263),ABS(G263-L263)))</f>
        <v/>
      </c>
      <c r="O263" s="8">
        <f>IF(E263="","",IF(AND(I263&gt;0,I263&gt;(I263/3)*2.5),"VOL-OK","VOL-NG"))</f>
        <v/>
      </c>
      <c r="P263" s="8">
        <f>IF(E263="","",IF(E263&gt;J263,"ON","OFF"))</f>
        <v/>
      </c>
      <c r="Q263" s="8">
        <f>IF(E263="","",IF(E263&lt;K263,"ON","OFF"))</f>
        <v/>
      </c>
      <c r="R263" s="8">
        <f>IF(OR(E263="",N263&lt;=0),"",IF(AND(M263="BUY-DAY",O263="VOL-OK",Q263="ON",AA263="OK",AB263&lt;&gt;"DOWN"),"BUY",IF(AND(M263="SELL-DAY",O263="VOL-OK",P263="ON",AA263="OK",AB263&lt;&gt;"UP"),"SELL","")))</f>
        <v/>
      </c>
      <c r="S263" s="13">
        <f>IF(R263="","",E263)</f>
        <v/>
      </c>
      <c r="T263" s="13">
        <f>IF(R263="","",IF(R263="BUY",E263-N263*1.5,E263+N263*1.5))</f>
        <v/>
      </c>
      <c r="U263" s="13">
        <f>IF(R263="","",IF(R263="BUY",E263+N263*1.5,E263-N263*1.5))</f>
        <v/>
      </c>
      <c r="V263" s="13">
        <f>IF(R263="","",IF(R263="BUY",E263+N263*2,E263-N263*2))</f>
        <v/>
      </c>
      <c r="W263" s="13">
        <f>IF(R263="","",IF(R263="BUY",E263+N263*3,E263-N263*3))</f>
        <v/>
      </c>
      <c r="X263" s="8">
        <f>IF(OR(E263="",N263&lt;=0),"",IF(AND(E263&gt;H263,ABS(E263-H263)&lt;N263*0.5),"2ND","1ST"))</f>
        <v/>
      </c>
      <c r="Y263" s="8">
        <f>IF(OR(E263="",N263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63" s="8">
        <f>IF(OR(E263="",N263&lt;=0),"",IF(N263&gt;E263*0.05,"VOL-HIGH","VOL-NORMAL"))</f>
        <v/>
      </c>
      <c r="AA263" s="8">
        <f>IF(OR(E263="",N263&lt;=0),"",IF(AND(O263="VOL-OK",Z263="VOL-NORMAL",X263="2ND"),"OK","NG"))</f>
        <v/>
      </c>
      <c r="AB263" s="8">
        <f>IF(OR(E263="",N263&lt;=0),"",IF(AND(F263&gt;J263,G263&gt;K263),"UP",IF(AND(F263&lt;J263,G263&lt;K263),"DOWN","FLAT")))</f>
        <v/>
      </c>
    </row>
    <row r="264" ht="26" customHeight="1" s="1">
      <c r="A264" s="14">
        <f>IF(C264="","",ROW()-2)</f>
        <v/>
      </c>
      <c r="B264" s="15">
        <f>IF('StockList_MS2'!A263="","",HYPERLINK("https://kabutan.jp/stock/?code="&amp;'StockList_MS2'!A263,"株探"))</f>
        <v/>
      </c>
      <c r="C264" s="14">
        <f>IF('StockList_MS2'!A263="","",'StockList_MS2'!A263)</f>
        <v/>
      </c>
      <c r="D264" s="16">
        <f>IF('StockList_MS2'!A263="","",'StockList_MS2'!B263)</f>
        <v/>
      </c>
      <c r="E264" s="17" t="n"/>
      <c r="F264" s="17" t="n"/>
      <c r="G264" s="17" t="n"/>
      <c r="H264" s="17" t="n"/>
      <c r="I264" s="18" t="n"/>
      <c r="J264" s="17" t="n"/>
      <c r="K264" s="17" t="n"/>
      <c r="L264" s="17" t="n"/>
      <c r="M264" s="14">
        <f>IF(E264="","",IF(E264&gt;L264,"BUY-DAY","SELL-DAY"))</f>
        <v/>
      </c>
      <c r="N264" s="19">
        <f>IF(E264="","",MAX(F264-G264,ABS(F264-L264),ABS(G264-L264)))</f>
        <v/>
      </c>
      <c r="O264" s="14">
        <f>IF(E264="","",IF(AND(I264&gt;0,I264&gt;(I264/3)*2.5),"VOL-OK","VOL-NG"))</f>
        <v/>
      </c>
      <c r="P264" s="14">
        <f>IF(E264="","",IF(E264&gt;J264,"ON","OFF"))</f>
        <v/>
      </c>
      <c r="Q264" s="14">
        <f>IF(E264="","",IF(E264&lt;K264,"ON","OFF"))</f>
        <v/>
      </c>
      <c r="R264" s="14">
        <f>IF(OR(E264="",N264&lt;=0),"",IF(AND(M264="BUY-DAY",O264="VOL-OK",Q264="ON",AA264="OK",AB264&lt;&gt;"DOWN"),"BUY",IF(AND(M264="SELL-DAY",O264="VOL-OK",P264="ON",AA264="OK",AB264&lt;&gt;"UP"),"SELL","")))</f>
        <v/>
      </c>
      <c r="S264" s="19">
        <f>IF(R264="","",E264)</f>
        <v/>
      </c>
      <c r="T264" s="19">
        <f>IF(R264="","",IF(R264="BUY",E264-N264*1.5,E264+N264*1.5))</f>
        <v/>
      </c>
      <c r="U264" s="19">
        <f>IF(R264="","",IF(R264="BUY",E264+N264*1.5,E264-N264*1.5))</f>
        <v/>
      </c>
      <c r="V264" s="19">
        <f>IF(R264="","",IF(R264="BUY",E264+N264*2,E264-N264*2))</f>
        <v/>
      </c>
      <c r="W264" s="19">
        <f>IF(R264="","",IF(R264="BUY",E264+N264*3,E264-N264*3))</f>
        <v/>
      </c>
      <c r="X264" s="14">
        <f>IF(OR(E264="",N264&lt;=0),"",IF(AND(E264&gt;H264,ABS(E264-H264)&lt;N264*0.5),"2ND","1ST"))</f>
        <v/>
      </c>
      <c r="Y264" s="14">
        <f>IF(OR(E264="",N264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64" s="14">
        <f>IF(OR(E264="",N264&lt;=0),"",IF(N264&gt;E264*0.05,"VOL-HIGH","VOL-NORMAL"))</f>
        <v/>
      </c>
      <c r="AA264" s="14">
        <f>IF(OR(E264="",N264&lt;=0),"",IF(AND(O264="VOL-OK",Z264="VOL-NORMAL",X264="2ND"),"OK","NG"))</f>
        <v/>
      </c>
      <c r="AB264" s="14">
        <f>IF(OR(E264="",N264&lt;=0),"",IF(AND(F264&gt;J264,G264&gt;K264),"UP",IF(AND(F264&lt;J264,G264&lt;K264),"DOWN","FLAT")))</f>
        <v/>
      </c>
    </row>
    <row r="265" ht="26" customHeight="1" s="1">
      <c r="A265" s="8">
        <f>IF(C265="","",ROW()-2)</f>
        <v/>
      </c>
      <c r="B265" s="9">
        <f>IF('StockList_MS2'!A264="","",HYPERLINK("https://kabutan.jp/stock/?code="&amp;'StockList_MS2'!A264,"株探"))</f>
        <v/>
      </c>
      <c r="C265" s="8">
        <f>IF('StockList_MS2'!A264="","",'StockList_MS2'!A264)</f>
        <v/>
      </c>
      <c r="D265" s="10">
        <f>IF('StockList_MS2'!A264="","",'StockList_MS2'!B264)</f>
        <v/>
      </c>
      <c r="E265" s="11" t="n"/>
      <c r="F265" s="11" t="n"/>
      <c r="G265" s="11" t="n"/>
      <c r="H265" s="11" t="n"/>
      <c r="I265" s="12" t="n"/>
      <c r="J265" s="11" t="n"/>
      <c r="K265" s="11" t="n"/>
      <c r="L265" s="11" t="n"/>
      <c r="M265" s="8">
        <f>IF(E265="","",IF(E265&gt;L265,"BUY-DAY","SELL-DAY"))</f>
        <v/>
      </c>
      <c r="N265" s="13">
        <f>IF(E265="","",MAX(F265-G265,ABS(F265-L265),ABS(G265-L265)))</f>
        <v/>
      </c>
      <c r="O265" s="8">
        <f>IF(E265="","",IF(AND(I265&gt;0,I265&gt;(I265/3)*2.5),"VOL-OK","VOL-NG"))</f>
        <v/>
      </c>
      <c r="P265" s="8">
        <f>IF(E265="","",IF(E265&gt;J265,"ON","OFF"))</f>
        <v/>
      </c>
      <c r="Q265" s="8">
        <f>IF(E265="","",IF(E265&lt;K265,"ON","OFF"))</f>
        <v/>
      </c>
      <c r="R265" s="8">
        <f>IF(OR(E265="",N265&lt;=0),"",IF(AND(M265="BUY-DAY",O265="VOL-OK",Q265="ON",AA265="OK",AB265&lt;&gt;"DOWN"),"BUY",IF(AND(M265="SELL-DAY",O265="VOL-OK",P265="ON",AA265="OK",AB265&lt;&gt;"UP"),"SELL","")))</f>
        <v/>
      </c>
      <c r="S265" s="13">
        <f>IF(R265="","",E265)</f>
        <v/>
      </c>
      <c r="T265" s="13">
        <f>IF(R265="","",IF(R265="BUY",E265-N265*1.5,E265+N265*1.5))</f>
        <v/>
      </c>
      <c r="U265" s="13">
        <f>IF(R265="","",IF(R265="BUY",E265+N265*1.5,E265-N265*1.5))</f>
        <v/>
      </c>
      <c r="V265" s="13">
        <f>IF(R265="","",IF(R265="BUY",E265+N265*2,E265-N265*2))</f>
        <v/>
      </c>
      <c r="W265" s="13">
        <f>IF(R265="","",IF(R265="BUY",E265+N265*3,E265-N265*3))</f>
        <v/>
      </c>
      <c r="X265" s="8">
        <f>IF(OR(E265="",N265&lt;=0),"",IF(AND(E265&gt;H265,ABS(E265-H265)&lt;N265*0.5),"2ND","1ST"))</f>
        <v/>
      </c>
      <c r="Y265" s="8">
        <f>IF(OR(E265="",N265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65" s="8">
        <f>IF(OR(E265="",N265&lt;=0),"",IF(N265&gt;E265*0.05,"VOL-HIGH","VOL-NORMAL"))</f>
        <v/>
      </c>
      <c r="AA265" s="8">
        <f>IF(OR(E265="",N265&lt;=0),"",IF(AND(O265="VOL-OK",Z265="VOL-NORMAL",X265="2ND"),"OK","NG"))</f>
        <v/>
      </c>
      <c r="AB265" s="8">
        <f>IF(OR(E265="",N265&lt;=0),"",IF(AND(F265&gt;J265,G265&gt;K265),"UP",IF(AND(F265&lt;J265,G265&lt;K265),"DOWN","FLAT")))</f>
        <v/>
      </c>
    </row>
    <row r="266" ht="26" customHeight="1" s="1">
      <c r="A266" s="14">
        <f>IF(C266="","",ROW()-2)</f>
        <v/>
      </c>
      <c r="B266" s="15">
        <f>IF('StockList_MS2'!A265="","",HYPERLINK("https://kabutan.jp/stock/?code="&amp;'StockList_MS2'!A265,"株探"))</f>
        <v/>
      </c>
      <c r="C266" s="14">
        <f>IF('StockList_MS2'!A265="","",'StockList_MS2'!A265)</f>
        <v/>
      </c>
      <c r="D266" s="16">
        <f>IF('StockList_MS2'!A265="","",'StockList_MS2'!B265)</f>
        <v/>
      </c>
      <c r="E266" s="17" t="n"/>
      <c r="F266" s="17" t="n"/>
      <c r="G266" s="17" t="n"/>
      <c r="H266" s="17" t="n"/>
      <c r="I266" s="18" t="n"/>
      <c r="J266" s="17" t="n"/>
      <c r="K266" s="17" t="n"/>
      <c r="L266" s="17" t="n"/>
      <c r="M266" s="14">
        <f>IF(E266="","",IF(E266&gt;L266,"BUY-DAY","SELL-DAY"))</f>
        <v/>
      </c>
      <c r="N266" s="19">
        <f>IF(E266="","",MAX(F266-G266,ABS(F266-L266),ABS(G266-L266)))</f>
        <v/>
      </c>
      <c r="O266" s="14">
        <f>IF(E266="","",IF(AND(I266&gt;0,I266&gt;(I266/3)*2.5),"VOL-OK","VOL-NG"))</f>
        <v/>
      </c>
      <c r="P266" s="14">
        <f>IF(E266="","",IF(E266&gt;J266,"ON","OFF"))</f>
        <v/>
      </c>
      <c r="Q266" s="14">
        <f>IF(E266="","",IF(E266&lt;K266,"ON","OFF"))</f>
        <v/>
      </c>
      <c r="R266" s="14">
        <f>IF(OR(E266="",N266&lt;=0),"",IF(AND(M266="BUY-DAY",O266="VOL-OK",Q266="ON",AA266="OK",AB266&lt;&gt;"DOWN"),"BUY",IF(AND(M266="SELL-DAY",O266="VOL-OK",P266="ON",AA266="OK",AB266&lt;&gt;"UP"),"SELL","")))</f>
        <v/>
      </c>
      <c r="S266" s="19">
        <f>IF(R266="","",E266)</f>
        <v/>
      </c>
      <c r="T266" s="19">
        <f>IF(R266="","",IF(R266="BUY",E266-N266*1.5,E266+N266*1.5))</f>
        <v/>
      </c>
      <c r="U266" s="19">
        <f>IF(R266="","",IF(R266="BUY",E266+N266*1.5,E266-N266*1.5))</f>
        <v/>
      </c>
      <c r="V266" s="19">
        <f>IF(R266="","",IF(R266="BUY",E266+N266*2,E266-N266*2))</f>
        <v/>
      </c>
      <c r="W266" s="19">
        <f>IF(R266="","",IF(R266="BUY",E266+N266*3,E266-N266*3))</f>
        <v/>
      </c>
      <c r="X266" s="14">
        <f>IF(OR(E266="",N266&lt;=0),"",IF(AND(E266&gt;H266,ABS(E266-H266)&lt;N266*0.5),"2ND","1ST"))</f>
        <v/>
      </c>
      <c r="Y266" s="14">
        <f>IF(OR(E266="",N266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66" s="14">
        <f>IF(OR(E266="",N266&lt;=0),"",IF(N266&gt;E266*0.05,"VOL-HIGH","VOL-NORMAL"))</f>
        <v/>
      </c>
      <c r="AA266" s="14">
        <f>IF(OR(E266="",N266&lt;=0),"",IF(AND(O266="VOL-OK",Z266="VOL-NORMAL",X266="2ND"),"OK","NG"))</f>
        <v/>
      </c>
      <c r="AB266" s="14">
        <f>IF(OR(E266="",N266&lt;=0),"",IF(AND(F266&gt;J266,G266&gt;K266),"UP",IF(AND(F266&lt;J266,G266&lt;K266),"DOWN","FLAT")))</f>
        <v/>
      </c>
    </row>
    <row r="267" ht="26" customHeight="1" s="1">
      <c r="A267" s="8">
        <f>IF(C267="","",ROW()-2)</f>
        <v/>
      </c>
      <c r="B267" s="9">
        <f>IF('StockList_MS2'!A266="","",HYPERLINK("https://kabutan.jp/stock/?code="&amp;'StockList_MS2'!A266,"株探"))</f>
        <v/>
      </c>
      <c r="C267" s="8">
        <f>IF('StockList_MS2'!A266="","",'StockList_MS2'!A266)</f>
        <v/>
      </c>
      <c r="D267" s="10">
        <f>IF('StockList_MS2'!A266="","",'StockList_MS2'!B266)</f>
        <v/>
      </c>
      <c r="E267" s="11" t="n"/>
      <c r="F267" s="11" t="n"/>
      <c r="G267" s="11" t="n"/>
      <c r="H267" s="11" t="n"/>
      <c r="I267" s="12" t="n"/>
      <c r="J267" s="11" t="n"/>
      <c r="K267" s="11" t="n"/>
      <c r="L267" s="11" t="n"/>
      <c r="M267" s="8">
        <f>IF(E267="","",IF(E267&gt;L267,"BUY-DAY","SELL-DAY"))</f>
        <v/>
      </c>
      <c r="N267" s="13">
        <f>IF(E267="","",MAX(F267-G267,ABS(F267-L267),ABS(G267-L267)))</f>
        <v/>
      </c>
      <c r="O267" s="8">
        <f>IF(E267="","",IF(AND(I267&gt;0,I267&gt;(I267/3)*2.5),"VOL-OK","VOL-NG"))</f>
        <v/>
      </c>
      <c r="P267" s="8">
        <f>IF(E267="","",IF(E267&gt;J267,"ON","OFF"))</f>
        <v/>
      </c>
      <c r="Q267" s="8">
        <f>IF(E267="","",IF(E267&lt;K267,"ON","OFF"))</f>
        <v/>
      </c>
      <c r="R267" s="8">
        <f>IF(OR(E267="",N267&lt;=0),"",IF(AND(M267="BUY-DAY",O267="VOL-OK",Q267="ON",AA267="OK",AB267&lt;&gt;"DOWN"),"BUY",IF(AND(M267="SELL-DAY",O267="VOL-OK",P267="ON",AA267="OK",AB267&lt;&gt;"UP"),"SELL","")))</f>
        <v/>
      </c>
      <c r="S267" s="13">
        <f>IF(R267="","",E267)</f>
        <v/>
      </c>
      <c r="T267" s="13">
        <f>IF(R267="","",IF(R267="BUY",E267-N267*1.5,E267+N267*1.5))</f>
        <v/>
      </c>
      <c r="U267" s="13">
        <f>IF(R267="","",IF(R267="BUY",E267+N267*1.5,E267-N267*1.5))</f>
        <v/>
      </c>
      <c r="V267" s="13">
        <f>IF(R267="","",IF(R267="BUY",E267+N267*2,E267-N267*2))</f>
        <v/>
      </c>
      <c r="W267" s="13">
        <f>IF(R267="","",IF(R267="BUY",E267+N267*3,E267-N267*3))</f>
        <v/>
      </c>
      <c r="X267" s="8">
        <f>IF(OR(E267="",N267&lt;=0),"",IF(AND(E267&gt;H267,ABS(E267-H267)&lt;N267*0.5),"2ND","1ST"))</f>
        <v/>
      </c>
      <c r="Y267" s="8">
        <f>IF(OR(E267="",N267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67" s="8">
        <f>IF(OR(E267="",N267&lt;=0),"",IF(N267&gt;E267*0.05,"VOL-HIGH","VOL-NORMAL"))</f>
        <v/>
      </c>
      <c r="AA267" s="8">
        <f>IF(OR(E267="",N267&lt;=0),"",IF(AND(O267="VOL-OK",Z267="VOL-NORMAL",X267="2ND"),"OK","NG"))</f>
        <v/>
      </c>
      <c r="AB267" s="8">
        <f>IF(OR(E267="",N267&lt;=0),"",IF(AND(F267&gt;J267,G267&gt;K267),"UP",IF(AND(F267&lt;J267,G267&lt;K267),"DOWN","FLAT")))</f>
        <v/>
      </c>
    </row>
    <row r="268" ht="26" customHeight="1" s="1">
      <c r="A268" s="14">
        <f>IF(C268="","",ROW()-2)</f>
        <v/>
      </c>
      <c r="B268" s="15">
        <f>IF('StockList_MS2'!A267="","",HYPERLINK("https://kabutan.jp/stock/?code="&amp;'StockList_MS2'!A267,"株探"))</f>
        <v/>
      </c>
      <c r="C268" s="14">
        <f>IF('StockList_MS2'!A267="","",'StockList_MS2'!A267)</f>
        <v/>
      </c>
      <c r="D268" s="16">
        <f>IF('StockList_MS2'!A267="","",'StockList_MS2'!B267)</f>
        <v/>
      </c>
      <c r="E268" s="17" t="n"/>
      <c r="F268" s="17" t="n"/>
      <c r="G268" s="17" t="n"/>
      <c r="H268" s="17" t="n"/>
      <c r="I268" s="18" t="n"/>
      <c r="J268" s="17" t="n"/>
      <c r="K268" s="17" t="n"/>
      <c r="L268" s="17" t="n"/>
      <c r="M268" s="14">
        <f>IF(E268="","",IF(E268&gt;L268,"BUY-DAY","SELL-DAY"))</f>
        <v/>
      </c>
      <c r="N268" s="19">
        <f>IF(E268="","",MAX(F268-G268,ABS(F268-L268),ABS(G268-L268)))</f>
        <v/>
      </c>
      <c r="O268" s="14">
        <f>IF(E268="","",IF(AND(I268&gt;0,I268&gt;(I268/3)*2.5),"VOL-OK","VOL-NG"))</f>
        <v/>
      </c>
      <c r="P268" s="14">
        <f>IF(E268="","",IF(E268&gt;J268,"ON","OFF"))</f>
        <v/>
      </c>
      <c r="Q268" s="14">
        <f>IF(E268="","",IF(E268&lt;K268,"ON","OFF"))</f>
        <v/>
      </c>
      <c r="R268" s="14">
        <f>IF(OR(E268="",N268&lt;=0),"",IF(AND(M268="BUY-DAY",O268="VOL-OK",Q268="ON",AA268="OK",AB268&lt;&gt;"DOWN"),"BUY",IF(AND(M268="SELL-DAY",O268="VOL-OK",P268="ON",AA268="OK",AB268&lt;&gt;"UP"),"SELL","")))</f>
        <v/>
      </c>
      <c r="S268" s="19">
        <f>IF(R268="","",E268)</f>
        <v/>
      </c>
      <c r="T268" s="19">
        <f>IF(R268="","",IF(R268="BUY",E268-N268*1.5,E268+N268*1.5))</f>
        <v/>
      </c>
      <c r="U268" s="19">
        <f>IF(R268="","",IF(R268="BUY",E268+N268*1.5,E268-N268*1.5))</f>
        <v/>
      </c>
      <c r="V268" s="19">
        <f>IF(R268="","",IF(R268="BUY",E268+N268*2,E268-N268*2))</f>
        <v/>
      </c>
      <c r="W268" s="19">
        <f>IF(R268="","",IF(R268="BUY",E268+N268*3,E268-N268*3))</f>
        <v/>
      </c>
      <c r="X268" s="14">
        <f>IF(OR(E268="",N268&lt;=0),"",IF(AND(E268&gt;H268,ABS(E268-H268)&lt;N268*0.5),"2ND","1ST"))</f>
        <v/>
      </c>
      <c r="Y268" s="14">
        <f>IF(OR(E268="",N268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68" s="14">
        <f>IF(OR(E268="",N268&lt;=0),"",IF(N268&gt;E268*0.05,"VOL-HIGH","VOL-NORMAL"))</f>
        <v/>
      </c>
      <c r="AA268" s="14">
        <f>IF(OR(E268="",N268&lt;=0),"",IF(AND(O268="VOL-OK",Z268="VOL-NORMAL",X268="2ND"),"OK","NG"))</f>
        <v/>
      </c>
      <c r="AB268" s="14">
        <f>IF(OR(E268="",N268&lt;=0),"",IF(AND(F268&gt;J268,G268&gt;K268),"UP",IF(AND(F268&lt;J268,G268&lt;K268),"DOWN","FLAT")))</f>
        <v/>
      </c>
    </row>
    <row r="269" ht="26" customHeight="1" s="1">
      <c r="A269" s="8">
        <f>IF(C269="","",ROW()-2)</f>
        <v/>
      </c>
      <c r="B269" s="9">
        <f>IF('StockList_MS2'!A268="","",HYPERLINK("https://kabutan.jp/stock/?code="&amp;'StockList_MS2'!A268,"株探"))</f>
        <v/>
      </c>
      <c r="C269" s="8">
        <f>IF('StockList_MS2'!A268="","",'StockList_MS2'!A268)</f>
        <v/>
      </c>
      <c r="D269" s="10">
        <f>IF('StockList_MS2'!A268="","",'StockList_MS2'!B268)</f>
        <v/>
      </c>
      <c r="E269" s="11" t="n"/>
      <c r="F269" s="11" t="n"/>
      <c r="G269" s="11" t="n"/>
      <c r="H269" s="11" t="n"/>
      <c r="I269" s="12" t="n"/>
      <c r="J269" s="11" t="n"/>
      <c r="K269" s="11" t="n"/>
      <c r="L269" s="11" t="n"/>
      <c r="M269" s="8">
        <f>IF(E269="","",IF(E269&gt;L269,"BUY-DAY","SELL-DAY"))</f>
        <v/>
      </c>
      <c r="N269" s="13">
        <f>IF(E269="","",MAX(F269-G269,ABS(F269-L269),ABS(G269-L269)))</f>
        <v/>
      </c>
      <c r="O269" s="8">
        <f>IF(E269="","",IF(AND(I269&gt;0,I269&gt;(I269/3)*2.5),"VOL-OK","VOL-NG"))</f>
        <v/>
      </c>
      <c r="P269" s="8">
        <f>IF(E269="","",IF(E269&gt;J269,"ON","OFF"))</f>
        <v/>
      </c>
      <c r="Q269" s="8">
        <f>IF(E269="","",IF(E269&lt;K269,"ON","OFF"))</f>
        <v/>
      </c>
      <c r="R269" s="8">
        <f>IF(OR(E269="",N269&lt;=0),"",IF(AND(M269="BUY-DAY",O269="VOL-OK",Q269="ON",AA269="OK",AB269&lt;&gt;"DOWN"),"BUY",IF(AND(M269="SELL-DAY",O269="VOL-OK",P269="ON",AA269="OK",AB269&lt;&gt;"UP"),"SELL","")))</f>
        <v/>
      </c>
      <c r="S269" s="13">
        <f>IF(R269="","",E269)</f>
        <v/>
      </c>
      <c r="T269" s="13">
        <f>IF(R269="","",IF(R269="BUY",E269-N269*1.5,E269+N269*1.5))</f>
        <v/>
      </c>
      <c r="U269" s="13">
        <f>IF(R269="","",IF(R269="BUY",E269+N269*1.5,E269-N269*1.5))</f>
        <v/>
      </c>
      <c r="V269" s="13">
        <f>IF(R269="","",IF(R269="BUY",E269+N269*2,E269-N269*2))</f>
        <v/>
      </c>
      <c r="W269" s="13">
        <f>IF(R269="","",IF(R269="BUY",E269+N269*3,E269-N269*3))</f>
        <v/>
      </c>
      <c r="X269" s="8">
        <f>IF(OR(E269="",N269&lt;=0),"",IF(AND(E269&gt;H269,ABS(E269-H269)&lt;N269*0.5),"2ND","1ST"))</f>
        <v/>
      </c>
      <c r="Y269" s="8">
        <f>IF(OR(E269="",N269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69" s="8">
        <f>IF(OR(E269="",N269&lt;=0),"",IF(N269&gt;E269*0.05,"VOL-HIGH","VOL-NORMAL"))</f>
        <v/>
      </c>
      <c r="AA269" s="8">
        <f>IF(OR(E269="",N269&lt;=0),"",IF(AND(O269="VOL-OK",Z269="VOL-NORMAL",X269="2ND"),"OK","NG"))</f>
        <v/>
      </c>
      <c r="AB269" s="8">
        <f>IF(OR(E269="",N269&lt;=0),"",IF(AND(F269&gt;J269,G269&gt;K269),"UP",IF(AND(F269&lt;J269,G269&lt;K269),"DOWN","FLAT")))</f>
        <v/>
      </c>
    </row>
    <row r="270" ht="26" customHeight="1" s="1">
      <c r="A270" s="14">
        <f>IF(C270="","",ROW()-2)</f>
        <v/>
      </c>
      <c r="B270" s="15">
        <f>IF('StockList_MS2'!A269="","",HYPERLINK("https://kabutan.jp/stock/?code="&amp;'StockList_MS2'!A269,"株探"))</f>
        <v/>
      </c>
      <c r="C270" s="14">
        <f>IF('StockList_MS2'!A269="","",'StockList_MS2'!A269)</f>
        <v/>
      </c>
      <c r="D270" s="16">
        <f>IF('StockList_MS2'!A269="","",'StockList_MS2'!B269)</f>
        <v/>
      </c>
      <c r="E270" s="17" t="n"/>
      <c r="F270" s="17" t="n"/>
      <c r="G270" s="17" t="n"/>
      <c r="H270" s="17" t="n"/>
      <c r="I270" s="18" t="n"/>
      <c r="J270" s="17" t="n"/>
      <c r="K270" s="17" t="n"/>
      <c r="L270" s="17" t="n"/>
      <c r="M270" s="14">
        <f>IF(E270="","",IF(E270&gt;L270,"BUY-DAY","SELL-DAY"))</f>
        <v/>
      </c>
      <c r="N270" s="19">
        <f>IF(E270="","",MAX(F270-G270,ABS(F270-L270),ABS(G270-L270)))</f>
        <v/>
      </c>
      <c r="O270" s="14">
        <f>IF(E270="","",IF(AND(I270&gt;0,I270&gt;(I270/3)*2.5),"VOL-OK","VOL-NG"))</f>
        <v/>
      </c>
      <c r="P270" s="14">
        <f>IF(E270="","",IF(E270&gt;J270,"ON","OFF"))</f>
        <v/>
      </c>
      <c r="Q270" s="14">
        <f>IF(E270="","",IF(E270&lt;K270,"ON","OFF"))</f>
        <v/>
      </c>
      <c r="R270" s="14">
        <f>IF(OR(E270="",N270&lt;=0),"",IF(AND(M270="BUY-DAY",O270="VOL-OK",Q270="ON",AA270="OK",AB270&lt;&gt;"DOWN"),"BUY",IF(AND(M270="SELL-DAY",O270="VOL-OK",P270="ON",AA270="OK",AB270&lt;&gt;"UP"),"SELL","")))</f>
        <v/>
      </c>
      <c r="S270" s="19">
        <f>IF(R270="","",E270)</f>
        <v/>
      </c>
      <c r="T270" s="19">
        <f>IF(R270="","",IF(R270="BUY",E270-N270*1.5,E270+N270*1.5))</f>
        <v/>
      </c>
      <c r="U270" s="19">
        <f>IF(R270="","",IF(R270="BUY",E270+N270*1.5,E270-N270*1.5))</f>
        <v/>
      </c>
      <c r="V270" s="19">
        <f>IF(R270="","",IF(R270="BUY",E270+N270*2,E270-N270*2))</f>
        <v/>
      </c>
      <c r="W270" s="19">
        <f>IF(R270="","",IF(R270="BUY",E270+N270*3,E270-N270*3))</f>
        <v/>
      </c>
      <c r="X270" s="14">
        <f>IF(OR(E270="",N270&lt;=0),"",IF(AND(E270&gt;H270,ABS(E270-H270)&lt;N270*0.5),"2ND","1ST"))</f>
        <v/>
      </c>
      <c r="Y270" s="14">
        <f>IF(OR(E270="",N270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70" s="14">
        <f>IF(OR(E270="",N270&lt;=0),"",IF(N270&gt;E270*0.05,"VOL-HIGH","VOL-NORMAL"))</f>
        <v/>
      </c>
      <c r="AA270" s="14">
        <f>IF(OR(E270="",N270&lt;=0),"",IF(AND(O270="VOL-OK",Z270="VOL-NORMAL",X270="2ND"),"OK","NG"))</f>
        <v/>
      </c>
      <c r="AB270" s="14">
        <f>IF(OR(E270="",N270&lt;=0),"",IF(AND(F270&gt;J270,G270&gt;K270),"UP",IF(AND(F270&lt;J270,G270&lt;K270),"DOWN","FLAT")))</f>
        <v/>
      </c>
    </row>
    <row r="271" ht="26" customHeight="1" s="1">
      <c r="A271" s="8">
        <f>IF(C271="","",ROW()-2)</f>
        <v/>
      </c>
      <c r="B271" s="9">
        <f>IF('StockList_MS2'!A270="","",HYPERLINK("https://kabutan.jp/stock/?code="&amp;'StockList_MS2'!A270,"株探"))</f>
        <v/>
      </c>
      <c r="C271" s="8">
        <f>IF('StockList_MS2'!A270="","",'StockList_MS2'!A270)</f>
        <v/>
      </c>
      <c r="D271" s="10">
        <f>IF('StockList_MS2'!A270="","",'StockList_MS2'!B270)</f>
        <v/>
      </c>
      <c r="E271" s="11" t="n"/>
      <c r="F271" s="11" t="n"/>
      <c r="G271" s="11" t="n"/>
      <c r="H271" s="11" t="n"/>
      <c r="I271" s="12" t="n"/>
      <c r="J271" s="11" t="n"/>
      <c r="K271" s="11" t="n"/>
      <c r="L271" s="11" t="n"/>
      <c r="M271" s="8">
        <f>IF(E271="","",IF(E271&gt;L271,"BUY-DAY","SELL-DAY"))</f>
        <v/>
      </c>
      <c r="N271" s="13">
        <f>IF(E271="","",MAX(F271-G271,ABS(F271-L271),ABS(G271-L271)))</f>
        <v/>
      </c>
      <c r="O271" s="8">
        <f>IF(E271="","",IF(AND(I271&gt;0,I271&gt;(I271/3)*2.5),"VOL-OK","VOL-NG"))</f>
        <v/>
      </c>
      <c r="P271" s="8">
        <f>IF(E271="","",IF(E271&gt;J271,"ON","OFF"))</f>
        <v/>
      </c>
      <c r="Q271" s="8">
        <f>IF(E271="","",IF(E271&lt;K271,"ON","OFF"))</f>
        <v/>
      </c>
      <c r="R271" s="8">
        <f>IF(OR(E271="",N271&lt;=0),"",IF(AND(M271="BUY-DAY",O271="VOL-OK",Q271="ON",AA271="OK",AB271&lt;&gt;"DOWN"),"BUY",IF(AND(M271="SELL-DAY",O271="VOL-OK",P271="ON",AA271="OK",AB271&lt;&gt;"UP"),"SELL","")))</f>
        <v/>
      </c>
      <c r="S271" s="13">
        <f>IF(R271="","",E271)</f>
        <v/>
      </c>
      <c r="T271" s="13">
        <f>IF(R271="","",IF(R271="BUY",E271-N271*1.5,E271+N271*1.5))</f>
        <v/>
      </c>
      <c r="U271" s="13">
        <f>IF(R271="","",IF(R271="BUY",E271+N271*1.5,E271-N271*1.5))</f>
        <v/>
      </c>
      <c r="V271" s="13">
        <f>IF(R271="","",IF(R271="BUY",E271+N271*2,E271-N271*2))</f>
        <v/>
      </c>
      <c r="W271" s="13">
        <f>IF(R271="","",IF(R271="BUY",E271+N271*3,E271-N271*3))</f>
        <v/>
      </c>
      <c r="X271" s="8">
        <f>IF(OR(E271="",N271&lt;=0),"",IF(AND(E271&gt;H271,ABS(E271-H271)&lt;N271*0.5),"2ND","1ST"))</f>
        <v/>
      </c>
      <c r="Y271" s="8">
        <f>IF(OR(E271="",N271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71" s="8">
        <f>IF(OR(E271="",N271&lt;=0),"",IF(N271&gt;E271*0.05,"VOL-HIGH","VOL-NORMAL"))</f>
        <v/>
      </c>
      <c r="AA271" s="8">
        <f>IF(OR(E271="",N271&lt;=0),"",IF(AND(O271="VOL-OK",Z271="VOL-NORMAL",X271="2ND"),"OK","NG"))</f>
        <v/>
      </c>
      <c r="AB271" s="8">
        <f>IF(OR(E271="",N271&lt;=0),"",IF(AND(F271&gt;J271,G271&gt;K271),"UP",IF(AND(F271&lt;J271,G271&lt;K271),"DOWN","FLAT")))</f>
        <v/>
      </c>
    </row>
    <row r="272" ht="26" customHeight="1" s="1">
      <c r="A272" s="14">
        <f>IF(C272="","",ROW()-2)</f>
        <v/>
      </c>
      <c r="B272" s="15">
        <f>IF('StockList_MS2'!A271="","",HYPERLINK("https://kabutan.jp/stock/?code="&amp;'StockList_MS2'!A271,"株探"))</f>
        <v/>
      </c>
      <c r="C272" s="14">
        <f>IF('StockList_MS2'!A271="","",'StockList_MS2'!A271)</f>
        <v/>
      </c>
      <c r="D272" s="16">
        <f>IF('StockList_MS2'!A271="","",'StockList_MS2'!B271)</f>
        <v/>
      </c>
      <c r="E272" s="17" t="n"/>
      <c r="F272" s="17" t="n"/>
      <c r="G272" s="17" t="n"/>
      <c r="H272" s="17" t="n"/>
      <c r="I272" s="18" t="n"/>
      <c r="J272" s="17" t="n"/>
      <c r="K272" s="17" t="n"/>
      <c r="L272" s="17" t="n"/>
      <c r="M272" s="14">
        <f>IF(E272="","",IF(E272&gt;L272,"BUY-DAY","SELL-DAY"))</f>
        <v/>
      </c>
      <c r="N272" s="19">
        <f>IF(E272="","",MAX(F272-G272,ABS(F272-L272),ABS(G272-L272)))</f>
        <v/>
      </c>
      <c r="O272" s="14">
        <f>IF(E272="","",IF(AND(I272&gt;0,I272&gt;(I272/3)*2.5),"VOL-OK","VOL-NG"))</f>
        <v/>
      </c>
      <c r="P272" s="14">
        <f>IF(E272="","",IF(E272&gt;J272,"ON","OFF"))</f>
        <v/>
      </c>
      <c r="Q272" s="14">
        <f>IF(E272="","",IF(E272&lt;K272,"ON","OFF"))</f>
        <v/>
      </c>
      <c r="R272" s="14">
        <f>IF(OR(E272="",N272&lt;=0),"",IF(AND(M272="BUY-DAY",O272="VOL-OK",Q272="ON",AA272="OK",AB272&lt;&gt;"DOWN"),"BUY",IF(AND(M272="SELL-DAY",O272="VOL-OK",P272="ON",AA272="OK",AB272&lt;&gt;"UP"),"SELL","")))</f>
        <v/>
      </c>
      <c r="S272" s="19">
        <f>IF(R272="","",E272)</f>
        <v/>
      </c>
      <c r="T272" s="19">
        <f>IF(R272="","",IF(R272="BUY",E272-N272*1.5,E272+N272*1.5))</f>
        <v/>
      </c>
      <c r="U272" s="19">
        <f>IF(R272="","",IF(R272="BUY",E272+N272*1.5,E272-N272*1.5))</f>
        <v/>
      </c>
      <c r="V272" s="19">
        <f>IF(R272="","",IF(R272="BUY",E272+N272*2,E272-N272*2))</f>
        <v/>
      </c>
      <c r="W272" s="19">
        <f>IF(R272="","",IF(R272="BUY",E272+N272*3,E272-N272*3))</f>
        <v/>
      </c>
      <c r="X272" s="14">
        <f>IF(OR(E272="",N272&lt;=0),"",IF(AND(E272&gt;H272,ABS(E272-H272)&lt;N272*0.5),"2ND","1ST"))</f>
        <v/>
      </c>
      <c r="Y272" s="14">
        <f>IF(OR(E272="",N272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72" s="14">
        <f>IF(OR(E272="",N272&lt;=0),"",IF(N272&gt;E272*0.05,"VOL-HIGH","VOL-NORMAL"))</f>
        <v/>
      </c>
      <c r="AA272" s="14">
        <f>IF(OR(E272="",N272&lt;=0),"",IF(AND(O272="VOL-OK",Z272="VOL-NORMAL",X272="2ND"),"OK","NG"))</f>
        <v/>
      </c>
      <c r="AB272" s="14">
        <f>IF(OR(E272="",N272&lt;=0),"",IF(AND(F272&gt;J272,G272&gt;K272),"UP",IF(AND(F272&lt;J272,G272&lt;K272),"DOWN","FLAT")))</f>
        <v/>
      </c>
    </row>
    <row r="273" ht="26" customHeight="1" s="1">
      <c r="A273" s="8">
        <f>IF(C273="","",ROW()-2)</f>
        <v/>
      </c>
      <c r="B273" s="9">
        <f>IF('StockList_MS2'!A272="","",HYPERLINK("https://kabutan.jp/stock/?code="&amp;'StockList_MS2'!A272,"株探"))</f>
        <v/>
      </c>
      <c r="C273" s="8">
        <f>IF('StockList_MS2'!A272="","",'StockList_MS2'!A272)</f>
        <v/>
      </c>
      <c r="D273" s="10">
        <f>IF('StockList_MS2'!A272="","",'StockList_MS2'!B272)</f>
        <v/>
      </c>
      <c r="E273" s="11" t="n"/>
      <c r="F273" s="11" t="n"/>
      <c r="G273" s="11" t="n"/>
      <c r="H273" s="11" t="n"/>
      <c r="I273" s="12" t="n"/>
      <c r="J273" s="11" t="n"/>
      <c r="K273" s="11" t="n"/>
      <c r="L273" s="11" t="n"/>
      <c r="M273" s="8">
        <f>IF(E273="","",IF(E273&gt;L273,"BUY-DAY","SELL-DAY"))</f>
        <v/>
      </c>
      <c r="N273" s="13">
        <f>IF(E273="","",MAX(F273-G273,ABS(F273-L273),ABS(G273-L273)))</f>
        <v/>
      </c>
      <c r="O273" s="8">
        <f>IF(E273="","",IF(AND(I273&gt;0,I273&gt;(I273/3)*2.5),"VOL-OK","VOL-NG"))</f>
        <v/>
      </c>
      <c r="P273" s="8">
        <f>IF(E273="","",IF(E273&gt;J273,"ON","OFF"))</f>
        <v/>
      </c>
      <c r="Q273" s="8">
        <f>IF(E273="","",IF(E273&lt;K273,"ON","OFF"))</f>
        <v/>
      </c>
      <c r="R273" s="8">
        <f>IF(OR(E273="",N273&lt;=0),"",IF(AND(M273="BUY-DAY",O273="VOL-OK",Q273="ON",AA273="OK",AB273&lt;&gt;"DOWN"),"BUY",IF(AND(M273="SELL-DAY",O273="VOL-OK",P273="ON",AA273="OK",AB273&lt;&gt;"UP"),"SELL","")))</f>
        <v/>
      </c>
      <c r="S273" s="13">
        <f>IF(R273="","",E273)</f>
        <v/>
      </c>
      <c r="T273" s="13">
        <f>IF(R273="","",IF(R273="BUY",E273-N273*1.5,E273+N273*1.5))</f>
        <v/>
      </c>
      <c r="U273" s="13">
        <f>IF(R273="","",IF(R273="BUY",E273+N273*1.5,E273-N273*1.5))</f>
        <v/>
      </c>
      <c r="V273" s="13">
        <f>IF(R273="","",IF(R273="BUY",E273+N273*2,E273-N273*2))</f>
        <v/>
      </c>
      <c r="W273" s="13">
        <f>IF(R273="","",IF(R273="BUY",E273+N273*3,E273-N273*3))</f>
        <v/>
      </c>
      <c r="X273" s="8">
        <f>IF(OR(E273="",N273&lt;=0),"",IF(AND(E273&gt;H273,ABS(E273-H273)&lt;N273*0.5),"2ND","1ST"))</f>
        <v/>
      </c>
      <c r="Y273" s="8">
        <f>IF(OR(E273="",N273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73" s="8">
        <f>IF(OR(E273="",N273&lt;=0),"",IF(N273&gt;E273*0.05,"VOL-HIGH","VOL-NORMAL"))</f>
        <v/>
      </c>
      <c r="AA273" s="8">
        <f>IF(OR(E273="",N273&lt;=0),"",IF(AND(O273="VOL-OK",Z273="VOL-NORMAL",X273="2ND"),"OK","NG"))</f>
        <v/>
      </c>
      <c r="AB273" s="8">
        <f>IF(OR(E273="",N273&lt;=0),"",IF(AND(F273&gt;J273,G273&gt;K273),"UP",IF(AND(F273&lt;J273,G273&lt;K273),"DOWN","FLAT")))</f>
        <v/>
      </c>
    </row>
    <row r="274" ht="26" customHeight="1" s="1">
      <c r="A274" s="14">
        <f>IF(C274="","",ROW()-2)</f>
        <v/>
      </c>
      <c r="B274" s="15">
        <f>IF('StockList_MS2'!A273="","",HYPERLINK("https://kabutan.jp/stock/?code="&amp;'StockList_MS2'!A273,"株探"))</f>
        <v/>
      </c>
      <c r="C274" s="14">
        <f>IF('StockList_MS2'!A273="","",'StockList_MS2'!A273)</f>
        <v/>
      </c>
      <c r="D274" s="16">
        <f>IF('StockList_MS2'!A273="","",'StockList_MS2'!B273)</f>
        <v/>
      </c>
      <c r="E274" s="17" t="n"/>
      <c r="F274" s="17" t="n"/>
      <c r="G274" s="17" t="n"/>
      <c r="H274" s="17" t="n"/>
      <c r="I274" s="18" t="n"/>
      <c r="J274" s="17" t="n"/>
      <c r="K274" s="17" t="n"/>
      <c r="L274" s="17" t="n"/>
      <c r="M274" s="14">
        <f>IF(E274="","",IF(E274&gt;L274,"BUY-DAY","SELL-DAY"))</f>
        <v/>
      </c>
      <c r="N274" s="19">
        <f>IF(E274="","",MAX(F274-G274,ABS(F274-L274),ABS(G274-L274)))</f>
        <v/>
      </c>
      <c r="O274" s="14">
        <f>IF(E274="","",IF(AND(I274&gt;0,I274&gt;(I274/3)*2.5),"VOL-OK","VOL-NG"))</f>
        <v/>
      </c>
      <c r="P274" s="14">
        <f>IF(E274="","",IF(E274&gt;J274,"ON","OFF"))</f>
        <v/>
      </c>
      <c r="Q274" s="14">
        <f>IF(E274="","",IF(E274&lt;K274,"ON","OFF"))</f>
        <v/>
      </c>
      <c r="R274" s="14">
        <f>IF(OR(E274="",N274&lt;=0),"",IF(AND(M274="BUY-DAY",O274="VOL-OK",Q274="ON",AA274="OK",AB274&lt;&gt;"DOWN"),"BUY",IF(AND(M274="SELL-DAY",O274="VOL-OK",P274="ON",AA274="OK",AB274&lt;&gt;"UP"),"SELL","")))</f>
        <v/>
      </c>
      <c r="S274" s="19">
        <f>IF(R274="","",E274)</f>
        <v/>
      </c>
      <c r="T274" s="19">
        <f>IF(R274="","",IF(R274="BUY",E274-N274*1.5,E274+N274*1.5))</f>
        <v/>
      </c>
      <c r="U274" s="19">
        <f>IF(R274="","",IF(R274="BUY",E274+N274*1.5,E274-N274*1.5))</f>
        <v/>
      </c>
      <c r="V274" s="19">
        <f>IF(R274="","",IF(R274="BUY",E274+N274*2,E274-N274*2))</f>
        <v/>
      </c>
      <c r="W274" s="19">
        <f>IF(R274="","",IF(R274="BUY",E274+N274*3,E274-N274*3))</f>
        <v/>
      </c>
      <c r="X274" s="14">
        <f>IF(OR(E274="",N274&lt;=0),"",IF(AND(E274&gt;H274,ABS(E274-H274)&lt;N274*0.5),"2ND","1ST"))</f>
        <v/>
      </c>
      <c r="Y274" s="14">
        <f>IF(OR(E274="",N274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74" s="14">
        <f>IF(OR(E274="",N274&lt;=0),"",IF(N274&gt;E274*0.05,"VOL-HIGH","VOL-NORMAL"))</f>
        <v/>
      </c>
      <c r="AA274" s="14">
        <f>IF(OR(E274="",N274&lt;=0),"",IF(AND(O274="VOL-OK",Z274="VOL-NORMAL",X274="2ND"),"OK","NG"))</f>
        <v/>
      </c>
      <c r="AB274" s="14">
        <f>IF(OR(E274="",N274&lt;=0),"",IF(AND(F274&gt;J274,G274&gt;K274),"UP",IF(AND(F274&lt;J274,G274&lt;K274),"DOWN","FLAT")))</f>
        <v/>
      </c>
    </row>
    <row r="275" ht="26" customHeight="1" s="1">
      <c r="A275" s="8">
        <f>IF(C275="","",ROW()-2)</f>
        <v/>
      </c>
      <c r="B275" s="9">
        <f>IF('StockList_MS2'!A274="","",HYPERLINK("https://kabutan.jp/stock/?code="&amp;'StockList_MS2'!A274,"株探"))</f>
        <v/>
      </c>
      <c r="C275" s="8">
        <f>IF('StockList_MS2'!A274="","",'StockList_MS2'!A274)</f>
        <v/>
      </c>
      <c r="D275" s="10">
        <f>IF('StockList_MS2'!A274="","",'StockList_MS2'!B274)</f>
        <v/>
      </c>
      <c r="E275" s="11" t="n"/>
      <c r="F275" s="11" t="n"/>
      <c r="G275" s="11" t="n"/>
      <c r="H275" s="11" t="n"/>
      <c r="I275" s="12" t="n"/>
      <c r="J275" s="11" t="n"/>
      <c r="K275" s="11" t="n"/>
      <c r="L275" s="11" t="n"/>
      <c r="M275" s="8">
        <f>IF(E275="","",IF(E275&gt;L275,"BUY-DAY","SELL-DAY"))</f>
        <v/>
      </c>
      <c r="N275" s="13">
        <f>IF(E275="","",MAX(F275-G275,ABS(F275-L275),ABS(G275-L275)))</f>
        <v/>
      </c>
      <c r="O275" s="8">
        <f>IF(E275="","",IF(AND(I275&gt;0,I275&gt;(I275/3)*2.5),"VOL-OK","VOL-NG"))</f>
        <v/>
      </c>
      <c r="P275" s="8">
        <f>IF(E275="","",IF(E275&gt;J275,"ON","OFF"))</f>
        <v/>
      </c>
      <c r="Q275" s="8">
        <f>IF(E275="","",IF(E275&lt;K275,"ON","OFF"))</f>
        <v/>
      </c>
      <c r="R275" s="8">
        <f>IF(OR(E275="",N275&lt;=0),"",IF(AND(M275="BUY-DAY",O275="VOL-OK",Q275="ON",AA275="OK",AB275&lt;&gt;"DOWN"),"BUY",IF(AND(M275="SELL-DAY",O275="VOL-OK",P275="ON",AA275="OK",AB275&lt;&gt;"UP"),"SELL","")))</f>
        <v/>
      </c>
      <c r="S275" s="13">
        <f>IF(R275="","",E275)</f>
        <v/>
      </c>
      <c r="T275" s="13">
        <f>IF(R275="","",IF(R275="BUY",E275-N275*1.5,E275+N275*1.5))</f>
        <v/>
      </c>
      <c r="U275" s="13">
        <f>IF(R275="","",IF(R275="BUY",E275+N275*1.5,E275-N275*1.5))</f>
        <v/>
      </c>
      <c r="V275" s="13">
        <f>IF(R275="","",IF(R275="BUY",E275+N275*2,E275-N275*2))</f>
        <v/>
      </c>
      <c r="W275" s="13">
        <f>IF(R275="","",IF(R275="BUY",E275+N275*3,E275-N275*3))</f>
        <v/>
      </c>
      <c r="X275" s="8">
        <f>IF(OR(E275="",N275&lt;=0),"",IF(AND(E275&gt;H275,ABS(E275-H275)&lt;N275*0.5),"2ND","1ST"))</f>
        <v/>
      </c>
      <c r="Y275" s="8">
        <f>IF(OR(E275="",N275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75" s="8">
        <f>IF(OR(E275="",N275&lt;=0),"",IF(N275&gt;E275*0.05,"VOL-HIGH","VOL-NORMAL"))</f>
        <v/>
      </c>
      <c r="AA275" s="8">
        <f>IF(OR(E275="",N275&lt;=0),"",IF(AND(O275="VOL-OK",Z275="VOL-NORMAL",X275="2ND"),"OK","NG"))</f>
        <v/>
      </c>
      <c r="AB275" s="8">
        <f>IF(OR(E275="",N275&lt;=0),"",IF(AND(F275&gt;J275,G275&gt;K275),"UP",IF(AND(F275&lt;J275,G275&lt;K275),"DOWN","FLAT")))</f>
        <v/>
      </c>
    </row>
    <row r="276" ht="26" customHeight="1" s="1">
      <c r="A276" s="14">
        <f>IF(C276="","",ROW()-2)</f>
        <v/>
      </c>
      <c r="B276" s="15">
        <f>IF('StockList_MS2'!A275="","",HYPERLINK("https://kabutan.jp/stock/?code="&amp;'StockList_MS2'!A275,"株探"))</f>
        <v/>
      </c>
      <c r="C276" s="14">
        <f>IF('StockList_MS2'!A275="","",'StockList_MS2'!A275)</f>
        <v/>
      </c>
      <c r="D276" s="16">
        <f>IF('StockList_MS2'!A275="","",'StockList_MS2'!B275)</f>
        <v/>
      </c>
      <c r="E276" s="17" t="n"/>
      <c r="F276" s="17" t="n"/>
      <c r="G276" s="17" t="n"/>
      <c r="H276" s="17" t="n"/>
      <c r="I276" s="18" t="n"/>
      <c r="J276" s="17" t="n"/>
      <c r="K276" s="17" t="n"/>
      <c r="L276" s="17" t="n"/>
      <c r="M276" s="14">
        <f>IF(E276="","",IF(E276&gt;L276,"BUY-DAY","SELL-DAY"))</f>
        <v/>
      </c>
      <c r="N276" s="19">
        <f>IF(E276="","",MAX(F276-G276,ABS(F276-L276),ABS(G276-L276)))</f>
        <v/>
      </c>
      <c r="O276" s="14">
        <f>IF(E276="","",IF(AND(I276&gt;0,I276&gt;(I276/3)*2.5),"VOL-OK","VOL-NG"))</f>
        <v/>
      </c>
      <c r="P276" s="14">
        <f>IF(E276="","",IF(E276&gt;J276,"ON","OFF"))</f>
        <v/>
      </c>
      <c r="Q276" s="14">
        <f>IF(E276="","",IF(E276&lt;K276,"ON","OFF"))</f>
        <v/>
      </c>
      <c r="R276" s="14">
        <f>IF(OR(E276="",N276&lt;=0),"",IF(AND(M276="BUY-DAY",O276="VOL-OK",Q276="ON",AA276="OK",AB276&lt;&gt;"DOWN"),"BUY",IF(AND(M276="SELL-DAY",O276="VOL-OK",P276="ON",AA276="OK",AB276&lt;&gt;"UP"),"SELL","")))</f>
        <v/>
      </c>
      <c r="S276" s="19">
        <f>IF(R276="","",E276)</f>
        <v/>
      </c>
      <c r="T276" s="19">
        <f>IF(R276="","",IF(R276="BUY",E276-N276*1.5,E276+N276*1.5))</f>
        <v/>
      </c>
      <c r="U276" s="19">
        <f>IF(R276="","",IF(R276="BUY",E276+N276*1.5,E276-N276*1.5))</f>
        <v/>
      </c>
      <c r="V276" s="19">
        <f>IF(R276="","",IF(R276="BUY",E276+N276*2,E276-N276*2))</f>
        <v/>
      </c>
      <c r="W276" s="19">
        <f>IF(R276="","",IF(R276="BUY",E276+N276*3,E276-N276*3))</f>
        <v/>
      </c>
      <c r="X276" s="14">
        <f>IF(OR(E276="",N276&lt;=0),"",IF(AND(E276&gt;H276,ABS(E276-H276)&lt;N276*0.5),"2ND","1ST"))</f>
        <v/>
      </c>
      <c r="Y276" s="14">
        <f>IF(OR(E276="",N276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76" s="14">
        <f>IF(OR(E276="",N276&lt;=0),"",IF(N276&gt;E276*0.05,"VOL-HIGH","VOL-NORMAL"))</f>
        <v/>
      </c>
      <c r="AA276" s="14">
        <f>IF(OR(E276="",N276&lt;=0),"",IF(AND(O276="VOL-OK",Z276="VOL-NORMAL",X276="2ND"),"OK","NG"))</f>
        <v/>
      </c>
      <c r="AB276" s="14">
        <f>IF(OR(E276="",N276&lt;=0),"",IF(AND(F276&gt;J276,G276&gt;K276),"UP",IF(AND(F276&lt;J276,G276&lt;K276),"DOWN","FLAT")))</f>
        <v/>
      </c>
    </row>
    <row r="277" ht="26" customHeight="1" s="1">
      <c r="A277" s="8">
        <f>IF(C277="","",ROW()-2)</f>
        <v/>
      </c>
      <c r="B277" s="9">
        <f>IF('StockList_MS2'!A276="","",HYPERLINK("https://kabutan.jp/stock/?code="&amp;'StockList_MS2'!A276,"株探"))</f>
        <v/>
      </c>
      <c r="C277" s="8">
        <f>IF('StockList_MS2'!A276="","",'StockList_MS2'!A276)</f>
        <v/>
      </c>
      <c r="D277" s="10">
        <f>IF('StockList_MS2'!A276="","",'StockList_MS2'!B276)</f>
        <v/>
      </c>
      <c r="E277" s="11" t="n"/>
      <c r="F277" s="11" t="n"/>
      <c r="G277" s="11" t="n"/>
      <c r="H277" s="11" t="n"/>
      <c r="I277" s="12" t="n"/>
      <c r="J277" s="11" t="n"/>
      <c r="K277" s="11" t="n"/>
      <c r="L277" s="11" t="n"/>
      <c r="M277" s="8">
        <f>IF(E277="","",IF(E277&gt;L277,"BUY-DAY","SELL-DAY"))</f>
        <v/>
      </c>
      <c r="N277" s="13">
        <f>IF(E277="","",MAX(F277-G277,ABS(F277-L277),ABS(G277-L277)))</f>
        <v/>
      </c>
      <c r="O277" s="8">
        <f>IF(E277="","",IF(AND(I277&gt;0,I277&gt;(I277/3)*2.5),"VOL-OK","VOL-NG"))</f>
        <v/>
      </c>
      <c r="P277" s="8">
        <f>IF(E277="","",IF(E277&gt;J277,"ON","OFF"))</f>
        <v/>
      </c>
      <c r="Q277" s="8">
        <f>IF(E277="","",IF(E277&lt;K277,"ON","OFF"))</f>
        <v/>
      </c>
      <c r="R277" s="8">
        <f>IF(OR(E277="",N277&lt;=0),"",IF(AND(M277="BUY-DAY",O277="VOL-OK",Q277="ON",AA277="OK",AB277&lt;&gt;"DOWN"),"BUY",IF(AND(M277="SELL-DAY",O277="VOL-OK",P277="ON",AA277="OK",AB277&lt;&gt;"UP"),"SELL","")))</f>
        <v/>
      </c>
      <c r="S277" s="13">
        <f>IF(R277="","",E277)</f>
        <v/>
      </c>
      <c r="T277" s="13">
        <f>IF(R277="","",IF(R277="BUY",E277-N277*1.5,E277+N277*1.5))</f>
        <v/>
      </c>
      <c r="U277" s="13">
        <f>IF(R277="","",IF(R277="BUY",E277+N277*1.5,E277-N277*1.5))</f>
        <v/>
      </c>
      <c r="V277" s="13">
        <f>IF(R277="","",IF(R277="BUY",E277+N277*2,E277-N277*2))</f>
        <v/>
      </c>
      <c r="W277" s="13">
        <f>IF(R277="","",IF(R277="BUY",E277+N277*3,E277-N277*3))</f>
        <v/>
      </c>
      <c r="X277" s="8">
        <f>IF(OR(E277="",N277&lt;=0),"",IF(AND(E277&gt;H277,ABS(E277-H277)&lt;N277*0.5),"2ND","1ST"))</f>
        <v/>
      </c>
      <c r="Y277" s="8">
        <f>IF(OR(E277="",N277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77" s="8">
        <f>IF(OR(E277="",N277&lt;=0),"",IF(N277&gt;E277*0.05,"VOL-HIGH","VOL-NORMAL"))</f>
        <v/>
      </c>
      <c r="AA277" s="8">
        <f>IF(OR(E277="",N277&lt;=0),"",IF(AND(O277="VOL-OK",Z277="VOL-NORMAL",X277="2ND"),"OK","NG"))</f>
        <v/>
      </c>
      <c r="AB277" s="8">
        <f>IF(OR(E277="",N277&lt;=0),"",IF(AND(F277&gt;J277,G277&gt;K277),"UP",IF(AND(F277&lt;J277,G277&lt;K277),"DOWN","FLAT")))</f>
        <v/>
      </c>
    </row>
    <row r="278" ht="26" customHeight="1" s="1">
      <c r="A278" s="14">
        <f>IF(C278="","",ROW()-2)</f>
        <v/>
      </c>
      <c r="B278" s="15">
        <f>IF('StockList_MS2'!A277="","",HYPERLINK("https://kabutan.jp/stock/?code="&amp;'StockList_MS2'!A277,"株探"))</f>
        <v/>
      </c>
      <c r="C278" s="14">
        <f>IF('StockList_MS2'!A277="","",'StockList_MS2'!A277)</f>
        <v/>
      </c>
      <c r="D278" s="16">
        <f>IF('StockList_MS2'!A277="","",'StockList_MS2'!B277)</f>
        <v/>
      </c>
      <c r="E278" s="17" t="n"/>
      <c r="F278" s="17" t="n"/>
      <c r="G278" s="17" t="n"/>
      <c r="H278" s="17" t="n"/>
      <c r="I278" s="18" t="n"/>
      <c r="J278" s="17" t="n"/>
      <c r="K278" s="17" t="n"/>
      <c r="L278" s="17" t="n"/>
      <c r="M278" s="14">
        <f>IF(E278="","",IF(E278&gt;L278,"BUY-DAY","SELL-DAY"))</f>
        <v/>
      </c>
      <c r="N278" s="19">
        <f>IF(E278="","",MAX(F278-G278,ABS(F278-L278),ABS(G278-L278)))</f>
        <v/>
      </c>
      <c r="O278" s="14">
        <f>IF(E278="","",IF(AND(I278&gt;0,I278&gt;(I278/3)*2.5),"VOL-OK","VOL-NG"))</f>
        <v/>
      </c>
      <c r="P278" s="14">
        <f>IF(E278="","",IF(E278&gt;J278,"ON","OFF"))</f>
        <v/>
      </c>
      <c r="Q278" s="14">
        <f>IF(E278="","",IF(E278&lt;K278,"ON","OFF"))</f>
        <v/>
      </c>
      <c r="R278" s="14">
        <f>IF(OR(E278="",N278&lt;=0),"",IF(AND(M278="BUY-DAY",O278="VOL-OK",Q278="ON",AA278="OK",AB278&lt;&gt;"DOWN"),"BUY",IF(AND(M278="SELL-DAY",O278="VOL-OK",P278="ON",AA278="OK",AB278&lt;&gt;"UP"),"SELL","")))</f>
        <v/>
      </c>
      <c r="S278" s="19">
        <f>IF(R278="","",E278)</f>
        <v/>
      </c>
      <c r="T278" s="19">
        <f>IF(R278="","",IF(R278="BUY",E278-N278*1.5,E278+N278*1.5))</f>
        <v/>
      </c>
      <c r="U278" s="19">
        <f>IF(R278="","",IF(R278="BUY",E278+N278*1.5,E278-N278*1.5))</f>
        <v/>
      </c>
      <c r="V278" s="19">
        <f>IF(R278="","",IF(R278="BUY",E278+N278*2,E278-N278*2))</f>
        <v/>
      </c>
      <c r="W278" s="19">
        <f>IF(R278="","",IF(R278="BUY",E278+N278*3,E278-N278*3))</f>
        <v/>
      </c>
      <c r="X278" s="14">
        <f>IF(OR(E278="",N278&lt;=0),"",IF(AND(E278&gt;H278,ABS(E278-H278)&lt;N278*0.5),"2ND","1ST"))</f>
        <v/>
      </c>
      <c r="Y278" s="14">
        <f>IF(OR(E278="",N278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78" s="14">
        <f>IF(OR(E278="",N278&lt;=0),"",IF(N278&gt;E278*0.05,"VOL-HIGH","VOL-NORMAL"))</f>
        <v/>
      </c>
      <c r="AA278" s="14">
        <f>IF(OR(E278="",N278&lt;=0),"",IF(AND(O278="VOL-OK",Z278="VOL-NORMAL",X278="2ND"),"OK","NG"))</f>
        <v/>
      </c>
      <c r="AB278" s="14">
        <f>IF(OR(E278="",N278&lt;=0),"",IF(AND(F278&gt;J278,G278&gt;K278),"UP",IF(AND(F278&lt;J278,G278&lt;K278),"DOWN","FLAT")))</f>
        <v/>
      </c>
    </row>
    <row r="279" ht="26" customHeight="1" s="1">
      <c r="A279" s="8">
        <f>IF(C279="","",ROW()-2)</f>
        <v/>
      </c>
      <c r="B279" s="9">
        <f>IF('StockList_MS2'!A278="","",HYPERLINK("https://kabutan.jp/stock/?code="&amp;'StockList_MS2'!A278,"株探"))</f>
        <v/>
      </c>
      <c r="C279" s="8">
        <f>IF('StockList_MS2'!A278="","",'StockList_MS2'!A278)</f>
        <v/>
      </c>
      <c r="D279" s="10">
        <f>IF('StockList_MS2'!A278="","",'StockList_MS2'!B278)</f>
        <v/>
      </c>
      <c r="E279" s="11" t="n"/>
      <c r="F279" s="11" t="n"/>
      <c r="G279" s="11" t="n"/>
      <c r="H279" s="11" t="n"/>
      <c r="I279" s="12" t="n"/>
      <c r="J279" s="11" t="n"/>
      <c r="K279" s="11" t="n"/>
      <c r="L279" s="11" t="n"/>
      <c r="M279" s="8">
        <f>IF(E279="","",IF(E279&gt;L279,"BUY-DAY","SELL-DAY"))</f>
        <v/>
      </c>
      <c r="N279" s="13">
        <f>IF(E279="","",MAX(F279-G279,ABS(F279-L279),ABS(G279-L279)))</f>
        <v/>
      </c>
      <c r="O279" s="8">
        <f>IF(E279="","",IF(AND(I279&gt;0,I279&gt;(I279/3)*2.5),"VOL-OK","VOL-NG"))</f>
        <v/>
      </c>
      <c r="P279" s="8">
        <f>IF(E279="","",IF(E279&gt;J279,"ON","OFF"))</f>
        <v/>
      </c>
      <c r="Q279" s="8">
        <f>IF(E279="","",IF(E279&lt;K279,"ON","OFF"))</f>
        <v/>
      </c>
      <c r="R279" s="8">
        <f>IF(OR(E279="",N279&lt;=0),"",IF(AND(M279="BUY-DAY",O279="VOL-OK",Q279="ON",AA279="OK",AB279&lt;&gt;"DOWN"),"BUY",IF(AND(M279="SELL-DAY",O279="VOL-OK",P279="ON",AA279="OK",AB279&lt;&gt;"UP"),"SELL","")))</f>
        <v/>
      </c>
      <c r="S279" s="13">
        <f>IF(R279="","",E279)</f>
        <v/>
      </c>
      <c r="T279" s="13">
        <f>IF(R279="","",IF(R279="BUY",E279-N279*1.5,E279+N279*1.5))</f>
        <v/>
      </c>
      <c r="U279" s="13">
        <f>IF(R279="","",IF(R279="BUY",E279+N279*1.5,E279-N279*1.5))</f>
        <v/>
      </c>
      <c r="V279" s="13">
        <f>IF(R279="","",IF(R279="BUY",E279+N279*2,E279-N279*2))</f>
        <v/>
      </c>
      <c r="W279" s="13">
        <f>IF(R279="","",IF(R279="BUY",E279+N279*3,E279-N279*3))</f>
        <v/>
      </c>
      <c r="X279" s="8">
        <f>IF(OR(E279="",N279&lt;=0),"",IF(AND(E279&gt;H279,ABS(E279-H279)&lt;N279*0.5),"2ND","1ST"))</f>
        <v/>
      </c>
      <c r="Y279" s="8">
        <f>IF(OR(E279="",N279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79" s="8">
        <f>IF(OR(E279="",N279&lt;=0),"",IF(N279&gt;E279*0.05,"VOL-HIGH","VOL-NORMAL"))</f>
        <v/>
      </c>
      <c r="AA279" s="8">
        <f>IF(OR(E279="",N279&lt;=0),"",IF(AND(O279="VOL-OK",Z279="VOL-NORMAL",X279="2ND"),"OK","NG"))</f>
        <v/>
      </c>
      <c r="AB279" s="8">
        <f>IF(OR(E279="",N279&lt;=0),"",IF(AND(F279&gt;J279,G279&gt;K279),"UP",IF(AND(F279&lt;J279,G279&lt;K279),"DOWN","FLAT")))</f>
        <v/>
      </c>
    </row>
    <row r="280" ht="26" customHeight="1" s="1">
      <c r="A280" s="14">
        <f>IF(C280="","",ROW()-2)</f>
        <v/>
      </c>
      <c r="B280" s="15">
        <f>IF('StockList_MS2'!A279="","",HYPERLINK("https://kabutan.jp/stock/?code="&amp;'StockList_MS2'!A279,"株探"))</f>
        <v/>
      </c>
      <c r="C280" s="14">
        <f>IF('StockList_MS2'!A279="","",'StockList_MS2'!A279)</f>
        <v/>
      </c>
      <c r="D280" s="16">
        <f>IF('StockList_MS2'!A279="","",'StockList_MS2'!B279)</f>
        <v/>
      </c>
      <c r="E280" s="17" t="n"/>
      <c r="F280" s="17" t="n"/>
      <c r="G280" s="17" t="n"/>
      <c r="H280" s="17" t="n"/>
      <c r="I280" s="18" t="n"/>
      <c r="J280" s="17" t="n"/>
      <c r="K280" s="17" t="n"/>
      <c r="L280" s="17" t="n"/>
      <c r="M280" s="14">
        <f>IF(E280="","",IF(E280&gt;L280,"BUY-DAY","SELL-DAY"))</f>
        <v/>
      </c>
      <c r="N280" s="19">
        <f>IF(E280="","",MAX(F280-G280,ABS(F280-L280),ABS(G280-L280)))</f>
        <v/>
      </c>
      <c r="O280" s="14">
        <f>IF(E280="","",IF(AND(I280&gt;0,I280&gt;(I280/3)*2.5),"VOL-OK","VOL-NG"))</f>
        <v/>
      </c>
      <c r="P280" s="14">
        <f>IF(E280="","",IF(E280&gt;J280,"ON","OFF"))</f>
        <v/>
      </c>
      <c r="Q280" s="14">
        <f>IF(E280="","",IF(E280&lt;K280,"ON","OFF"))</f>
        <v/>
      </c>
      <c r="R280" s="14">
        <f>IF(OR(E280="",N280&lt;=0),"",IF(AND(M280="BUY-DAY",O280="VOL-OK",Q280="ON",AA280="OK",AB280&lt;&gt;"DOWN"),"BUY",IF(AND(M280="SELL-DAY",O280="VOL-OK",P280="ON",AA280="OK",AB280&lt;&gt;"UP"),"SELL","")))</f>
        <v/>
      </c>
      <c r="S280" s="19">
        <f>IF(R280="","",E280)</f>
        <v/>
      </c>
      <c r="T280" s="19">
        <f>IF(R280="","",IF(R280="BUY",E280-N280*1.5,E280+N280*1.5))</f>
        <v/>
      </c>
      <c r="U280" s="19">
        <f>IF(R280="","",IF(R280="BUY",E280+N280*1.5,E280-N280*1.5))</f>
        <v/>
      </c>
      <c r="V280" s="19">
        <f>IF(R280="","",IF(R280="BUY",E280+N280*2,E280-N280*2))</f>
        <v/>
      </c>
      <c r="W280" s="19">
        <f>IF(R280="","",IF(R280="BUY",E280+N280*3,E280-N280*3))</f>
        <v/>
      </c>
      <c r="X280" s="14">
        <f>IF(OR(E280="",N280&lt;=0),"",IF(AND(E280&gt;H280,ABS(E280-H280)&lt;N280*0.5),"2ND","1ST"))</f>
        <v/>
      </c>
      <c r="Y280" s="14">
        <f>IF(OR(E280="",N280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80" s="14">
        <f>IF(OR(E280="",N280&lt;=0),"",IF(N280&gt;E280*0.05,"VOL-HIGH","VOL-NORMAL"))</f>
        <v/>
      </c>
      <c r="AA280" s="14">
        <f>IF(OR(E280="",N280&lt;=0),"",IF(AND(O280="VOL-OK",Z280="VOL-NORMAL",X280="2ND"),"OK","NG"))</f>
        <v/>
      </c>
      <c r="AB280" s="14">
        <f>IF(OR(E280="",N280&lt;=0),"",IF(AND(F280&gt;J280,G280&gt;K280),"UP",IF(AND(F280&lt;J280,G280&lt;K280),"DOWN","FLAT")))</f>
        <v/>
      </c>
    </row>
    <row r="281" ht="26" customHeight="1" s="1">
      <c r="A281" s="8">
        <f>IF(C281="","",ROW()-2)</f>
        <v/>
      </c>
      <c r="B281" s="9">
        <f>IF('StockList_MS2'!A280="","",HYPERLINK("https://kabutan.jp/stock/?code="&amp;'StockList_MS2'!A280,"株探"))</f>
        <v/>
      </c>
      <c r="C281" s="8">
        <f>IF('StockList_MS2'!A280="","",'StockList_MS2'!A280)</f>
        <v/>
      </c>
      <c r="D281" s="10">
        <f>IF('StockList_MS2'!A280="","",'StockList_MS2'!B280)</f>
        <v/>
      </c>
      <c r="E281" s="11" t="n"/>
      <c r="F281" s="11" t="n"/>
      <c r="G281" s="11" t="n"/>
      <c r="H281" s="11" t="n"/>
      <c r="I281" s="12" t="n"/>
      <c r="J281" s="11" t="n"/>
      <c r="K281" s="11" t="n"/>
      <c r="L281" s="11" t="n"/>
      <c r="M281" s="8">
        <f>IF(E281="","",IF(E281&gt;L281,"BUY-DAY","SELL-DAY"))</f>
        <v/>
      </c>
      <c r="N281" s="13">
        <f>IF(E281="","",MAX(F281-G281,ABS(F281-L281),ABS(G281-L281)))</f>
        <v/>
      </c>
      <c r="O281" s="8">
        <f>IF(E281="","",IF(AND(I281&gt;0,I281&gt;(I281/3)*2.5),"VOL-OK","VOL-NG"))</f>
        <v/>
      </c>
      <c r="P281" s="8">
        <f>IF(E281="","",IF(E281&gt;J281,"ON","OFF"))</f>
        <v/>
      </c>
      <c r="Q281" s="8">
        <f>IF(E281="","",IF(E281&lt;K281,"ON","OFF"))</f>
        <v/>
      </c>
      <c r="R281" s="8">
        <f>IF(OR(E281="",N281&lt;=0),"",IF(AND(M281="BUY-DAY",O281="VOL-OK",Q281="ON",AA281="OK",AB281&lt;&gt;"DOWN"),"BUY",IF(AND(M281="SELL-DAY",O281="VOL-OK",P281="ON",AA281="OK",AB281&lt;&gt;"UP"),"SELL","")))</f>
        <v/>
      </c>
      <c r="S281" s="13">
        <f>IF(R281="","",E281)</f>
        <v/>
      </c>
      <c r="T281" s="13">
        <f>IF(R281="","",IF(R281="BUY",E281-N281*1.5,E281+N281*1.5))</f>
        <v/>
      </c>
      <c r="U281" s="13">
        <f>IF(R281="","",IF(R281="BUY",E281+N281*1.5,E281-N281*1.5))</f>
        <v/>
      </c>
      <c r="V281" s="13">
        <f>IF(R281="","",IF(R281="BUY",E281+N281*2,E281-N281*2))</f>
        <v/>
      </c>
      <c r="W281" s="13">
        <f>IF(R281="","",IF(R281="BUY",E281+N281*3,E281-N281*3))</f>
        <v/>
      </c>
      <c r="X281" s="8">
        <f>IF(OR(E281="",N281&lt;=0),"",IF(AND(E281&gt;H281,ABS(E281-H281)&lt;N281*0.5),"2ND","1ST"))</f>
        <v/>
      </c>
      <c r="Y281" s="8">
        <f>IF(OR(E281="",N281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81" s="8">
        <f>IF(OR(E281="",N281&lt;=0),"",IF(N281&gt;E281*0.05,"VOL-HIGH","VOL-NORMAL"))</f>
        <v/>
      </c>
      <c r="AA281" s="8">
        <f>IF(OR(E281="",N281&lt;=0),"",IF(AND(O281="VOL-OK",Z281="VOL-NORMAL",X281="2ND"),"OK","NG"))</f>
        <v/>
      </c>
      <c r="AB281" s="8">
        <f>IF(OR(E281="",N281&lt;=0),"",IF(AND(F281&gt;J281,G281&gt;K281),"UP",IF(AND(F281&lt;J281,G281&lt;K281),"DOWN","FLAT")))</f>
        <v/>
      </c>
    </row>
    <row r="282" ht="26" customHeight="1" s="1">
      <c r="A282" s="14">
        <f>IF(C282="","",ROW()-2)</f>
        <v/>
      </c>
      <c r="B282" s="15">
        <f>IF('StockList_MS2'!A281="","",HYPERLINK("https://kabutan.jp/stock/?code="&amp;'StockList_MS2'!A281,"株探"))</f>
        <v/>
      </c>
      <c r="C282" s="14">
        <f>IF('StockList_MS2'!A281="","",'StockList_MS2'!A281)</f>
        <v/>
      </c>
      <c r="D282" s="16">
        <f>IF('StockList_MS2'!A281="","",'StockList_MS2'!B281)</f>
        <v/>
      </c>
      <c r="E282" s="17" t="n"/>
      <c r="F282" s="17" t="n"/>
      <c r="G282" s="17" t="n"/>
      <c r="H282" s="17" t="n"/>
      <c r="I282" s="18" t="n"/>
      <c r="J282" s="17" t="n"/>
      <c r="K282" s="17" t="n"/>
      <c r="L282" s="17" t="n"/>
      <c r="M282" s="14">
        <f>IF(E282="","",IF(E282&gt;L282,"BUY-DAY","SELL-DAY"))</f>
        <v/>
      </c>
      <c r="N282" s="19">
        <f>IF(E282="","",MAX(F282-G282,ABS(F282-L282),ABS(G282-L282)))</f>
        <v/>
      </c>
      <c r="O282" s="14">
        <f>IF(E282="","",IF(AND(I282&gt;0,I282&gt;(I282/3)*2.5),"VOL-OK","VOL-NG"))</f>
        <v/>
      </c>
      <c r="P282" s="14">
        <f>IF(E282="","",IF(E282&gt;J282,"ON","OFF"))</f>
        <v/>
      </c>
      <c r="Q282" s="14">
        <f>IF(E282="","",IF(E282&lt;K282,"ON","OFF"))</f>
        <v/>
      </c>
      <c r="R282" s="14">
        <f>IF(OR(E282="",N282&lt;=0),"",IF(AND(M282="BUY-DAY",O282="VOL-OK",Q282="ON",AA282="OK",AB282&lt;&gt;"DOWN"),"BUY",IF(AND(M282="SELL-DAY",O282="VOL-OK",P282="ON",AA282="OK",AB282&lt;&gt;"UP"),"SELL","")))</f>
        <v/>
      </c>
      <c r="S282" s="19">
        <f>IF(R282="","",E282)</f>
        <v/>
      </c>
      <c r="T282" s="19">
        <f>IF(R282="","",IF(R282="BUY",E282-N282*1.5,E282+N282*1.5))</f>
        <v/>
      </c>
      <c r="U282" s="19">
        <f>IF(R282="","",IF(R282="BUY",E282+N282*1.5,E282-N282*1.5))</f>
        <v/>
      </c>
      <c r="V282" s="19">
        <f>IF(R282="","",IF(R282="BUY",E282+N282*2,E282-N282*2))</f>
        <v/>
      </c>
      <c r="W282" s="19">
        <f>IF(R282="","",IF(R282="BUY",E282+N282*3,E282-N282*3))</f>
        <v/>
      </c>
      <c r="X282" s="14">
        <f>IF(OR(E282="",N282&lt;=0),"",IF(AND(E282&gt;H282,ABS(E282-H282)&lt;N282*0.5),"2ND","1ST"))</f>
        <v/>
      </c>
      <c r="Y282" s="14">
        <f>IF(OR(E282="",N282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82" s="14">
        <f>IF(OR(E282="",N282&lt;=0),"",IF(N282&gt;E282*0.05,"VOL-HIGH","VOL-NORMAL"))</f>
        <v/>
      </c>
      <c r="AA282" s="14">
        <f>IF(OR(E282="",N282&lt;=0),"",IF(AND(O282="VOL-OK",Z282="VOL-NORMAL",X282="2ND"),"OK","NG"))</f>
        <v/>
      </c>
      <c r="AB282" s="14">
        <f>IF(OR(E282="",N282&lt;=0),"",IF(AND(F282&gt;J282,G282&gt;K282),"UP",IF(AND(F282&lt;J282,G282&lt;K282),"DOWN","FLAT")))</f>
        <v/>
      </c>
    </row>
    <row r="283" ht="26" customHeight="1" s="1">
      <c r="A283" s="8">
        <f>IF(C283="","",ROW()-2)</f>
        <v/>
      </c>
      <c r="B283" s="9">
        <f>IF('StockList_MS2'!A282="","",HYPERLINK("https://kabutan.jp/stock/?code="&amp;'StockList_MS2'!A282,"株探"))</f>
        <v/>
      </c>
      <c r="C283" s="8">
        <f>IF('StockList_MS2'!A282="","",'StockList_MS2'!A282)</f>
        <v/>
      </c>
      <c r="D283" s="10">
        <f>IF('StockList_MS2'!A282="","",'StockList_MS2'!B282)</f>
        <v/>
      </c>
      <c r="E283" s="11" t="n"/>
      <c r="F283" s="11" t="n"/>
      <c r="G283" s="11" t="n"/>
      <c r="H283" s="11" t="n"/>
      <c r="I283" s="12" t="n"/>
      <c r="J283" s="11" t="n"/>
      <c r="K283" s="11" t="n"/>
      <c r="L283" s="11" t="n"/>
      <c r="M283" s="8">
        <f>IF(E283="","",IF(E283&gt;L283,"BUY-DAY","SELL-DAY"))</f>
        <v/>
      </c>
      <c r="N283" s="13">
        <f>IF(E283="","",MAX(F283-G283,ABS(F283-L283),ABS(G283-L283)))</f>
        <v/>
      </c>
      <c r="O283" s="8">
        <f>IF(E283="","",IF(AND(I283&gt;0,I283&gt;(I283/3)*2.5),"VOL-OK","VOL-NG"))</f>
        <v/>
      </c>
      <c r="P283" s="8">
        <f>IF(E283="","",IF(E283&gt;J283,"ON","OFF"))</f>
        <v/>
      </c>
      <c r="Q283" s="8">
        <f>IF(E283="","",IF(E283&lt;K283,"ON","OFF"))</f>
        <v/>
      </c>
      <c r="R283" s="8">
        <f>IF(OR(E283="",N283&lt;=0),"",IF(AND(M283="BUY-DAY",O283="VOL-OK",Q283="ON",AA283="OK",AB283&lt;&gt;"DOWN"),"BUY",IF(AND(M283="SELL-DAY",O283="VOL-OK",P283="ON",AA283="OK",AB283&lt;&gt;"UP"),"SELL","")))</f>
        <v/>
      </c>
      <c r="S283" s="13">
        <f>IF(R283="","",E283)</f>
        <v/>
      </c>
      <c r="T283" s="13">
        <f>IF(R283="","",IF(R283="BUY",E283-N283*1.5,E283+N283*1.5))</f>
        <v/>
      </c>
      <c r="U283" s="13">
        <f>IF(R283="","",IF(R283="BUY",E283+N283*1.5,E283-N283*1.5))</f>
        <v/>
      </c>
      <c r="V283" s="13">
        <f>IF(R283="","",IF(R283="BUY",E283+N283*2,E283-N283*2))</f>
        <v/>
      </c>
      <c r="W283" s="13">
        <f>IF(R283="","",IF(R283="BUY",E283+N283*3,E283-N283*3))</f>
        <v/>
      </c>
      <c r="X283" s="8">
        <f>IF(OR(E283="",N283&lt;=0),"",IF(AND(E283&gt;H283,ABS(E283-H283)&lt;N283*0.5),"2ND","1ST"))</f>
        <v/>
      </c>
      <c r="Y283" s="8">
        <f>IF(OR(E283="",N283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83" s="8">
        <f>IF(OR(E283="",N283&lt;=0),"",IF(N283&gt;E283*0.05,"VOL-HIGH","VOL-NORMAL"))</f>
        <v/>
      </c>
      <c r="AA283" s="8">
        <f>IF(OR(E283="",N283&lt;=0),"",IF(AND(O283="VOL-OK",Z283="VOL-NORMAL",X283="2ND"),"OK","NG"))</f>
        <v/>
      </c>
      <c r="AB283" s="8">
        <f>IF(OR(E283="",N283&lt;=0),"",IF(AND(F283&gt;J283,G283&gt;K283),"UP",IF(AND(F283&lt;J283,G283&lt;K283),"DOWN","FLAT")))</f>
        <v/>
      </c>
    </row>
    <row r="284" ht="26" customHeight="1" s="1">
      <c r="A284" s="14">
        <f>IF(C284="","",ROW()-2)</f>
        <v/>
      </c>
      <c r="B284" s="15">
        <f>IF('StockList_MS2'!A283="","",HYPERLINK("https://kabutan.jp/stock/?code="&amp;'StockList_MS2'!A283,"株探"))</f>
        <v/>
      </c>
      <c r="C284" s="14">
        <f>IF('StockList_MS2'!A283="","",'StockList_MS2'!A283)</f>
        <v/>
      </c>
      <c r="D284" s="16">
        <f>IF('StockList_MS2'!A283="","",'StockList_MS2'!B283)</f>
        <v/>
      </c>
      <c r="E284" s="17" t="n"/>
      <c r="F284" s="17" t="n"/>
      <c r="G284" s="17" t="n"/>
      <c r="H284" s="17" t="n"/>
      <c r="I284" s="18" t="n"/>
      <c r="J284" s="17" t="n"/>
      <c r="K284" s="17" t="n"/>
      <c r="L284" s="17" t="n"/>
      <c r="M284" s="14">
        <f>IF(E284="","",IF(E284&gt;L284,"BUY-DAY","SELL-DAY"))</f>
        <v/>
      </c>
      <c r="N284" s="19">
        <f>IF(E284="","",MAX(F284-G284,ABS(F284-L284),ABS(G284-L284)))</f>
        <v/>
      </c>
      <c r="O284" s="14">
        <f>IF(E284="","",IF(AND(I284&gt;0,I284&gt;(I284/3)*2.5),"VOL-OK","VOL-NG"))</f>
        <v/>
      </c>
      <c r="P284" s="14">
        <f>IF(E284="","",IF(E284&gt;J284,"ON","OFF"))</f>
        <v/>
      </c>
      <c r="Q284" s="14">
        <f>IF(E284="","",IF(E284&lt;K284,"ON","OFF"))</f>
        <v/>
      </c>
      <c r="R284" s="14">
        <f>IF(OR(E284="",N284&lt;=0),"",IF(AND(M284="BUY-DAY",O284="VOL-OK",Q284="ON",AA284="OK",AB284&lt;&gt;"DOWN"),"BUY",IF(AND(M284="SELL-DAY",O284="VOL-OK",P284="ON",AA284="OK",AB284&lt;&gt;"UP"),"SELL","")))</f>
        <v/>
      </c>
      <c r="S284" s="19">
        <f>IF(R284="","",E284)</f>
        <v/>
      </c>
      <c r="T284" s="19">
        <f>IF(R284="","",IF(R284="BUY",E284-N284*1.5,E284+N284*1.5))</f>
        <v/>
      </c>
      <c r="U284" s="19">
        <f>IF(R284="","",IF(R284="BUY",E284+N284*1.5,E284-N284*1.5))</f>
        <v/>
      </c>
      <c r="V284" s="19">
        <f>IF(R284="","",IF(R284="BUY",E284+N284*2,E284-N284*2))</f>
        <v/>
      </c>
      <c r="W284" s="19">
        <f>IF(R284="","",IF(R284="BUY",E284+N284*3,E284-N284*3))</f>
        <v/>
      </c>
      <c r="X284" s="14">
        <f>IF(OR(E284="",N284&lt;=0),"",IF(AND(E284&gt;H284,ABS(E284-H284)&lt;N284*0.5),"2ND","1ST"))</f>
        <v/>
      </c>
      <c r="Y284" s="14">
        <f>IF(OR(E284="",N284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84" s="14">
        <f>IF(OR(E284="",N284&lt;=0),"",IF(N284&gt;E284*0.05,"VOL-HIGH","VOL-NORMAL"))</f>
        <v/>
      </c>
      <c r="AA284" s="14">
        <f>IF(OR(E284="",N284&lt;=0),"",IF(AND(O284="VOL-OK",Z284="VOL-NORMAL",X284="2ND"),"OK","NG"))</f>
        <v/>
      </c>
      <c r="AB284" s="14">
        <f>IF(OR(E284="",N284&lt;=0),"",IF(AND(F284&gt;J284,G284&gt;K284),"UP",IF(AND(F284&lt;J284,G284&lt;K284),"DOWN","FLAT")))</f>
        <v/>
      </c>
    </row>
    <row r="285" ht="26" customHeight="1" s="1">
      <c r="A285" s="8">
        <f>IF(C285="","",ROW()-2)</f>
        <v/>
      </c>
      <c r="B285" s="9">
        <f>IF('StockList_MS2'!A284="","",HYPERLINK("https://kabutan.jp/stock/?code="&amp;'StockList_MS2'!A284,"株探"))</f>
        <v/>
      </c>
      <c r="C285" s="8">
        <f>IF('StockList_MS2'!A284="","",'StockList_MS2'!A284)</f>
        <v/>
      </c>
      <c r="D285" s="10">
        <f>IF('StockList_MS2'!A284="","",'StockList_MS2'!B284)</f>
        <v/>
      </c>
      <c r="E285" s="11" t="n"/>
      <c r="F285" s="11" t="n"/>
      <c r="G285" s="11" t="n"/>
      <c r="H285" s="11" t="n"/>
      <c r="I285" s="12" t="n"/>
      <c r="J285" s="11" t="n"/>
      <c r="K285" s="11" t="n"/>
      <c r="L285" s="11" t="n"/>
      <c r="M285" s="8">
        <f>IF(E285="","",IF(E285&gt;L285,"BUY-DAY","SELL-DAY"))</f>
        <v/>
      </c>
      <c r="N285" s="13">
        <f>IF(E285="","",MAX(F285-G285,ABS(F285-L285),ABS(G285-L285)))</f>
        <v/>
      </c>
      <c r="O285" s="8">
        <f>IF(E285="","",IF(AND(I285&gt;0,I285&gt;(I285/3)*2.5),"VOL-OK","VOL-NG"))</f>
        <v/>
      </c>
      <c r="P285" s="8">
        <f>IF(E285="","",IF(E285&gt;J285,"ON","OFF"))</f>
        <v/>
      </c>
      <c r="Q285" s="8">
        <f>IF(E285="","",IF(E285&lt;K285,"ON","OFF"))</f>
        <v/>
      </c>
      <c r="R285" s="8">
        <f>IF(OR(E285="",N285&lt;=0),"",IF(AND(M285="BUY-DAY",O285="VOL-OK",Q285="ON",AA285="OK",AB285&lt;&gt;"DOWN"),"BUY",IF(AND(M285="SELL-DAY",O285="VOL-OK",P285="ON",AA285="OK",AB285&lt;&gt;"UP"),"SELL","")))</f>
        <v/>
      </c>
      <c r="S285" s="13">
        <f>IF(R285="","",E285)</f>
        <v/>
      </c>
      <c r="T285" s="13">
        <f>IF(R285="","",IF(R285="BUY",E285-N285*1.5,E285+N285*1.5))</f>
        <v/>
      </c>
      <c r="U285" s="13">
        <f>IF(R285="","",IF(R285="BUY",E285+N285*1.5,E285-N285*1.5))</f>
        <v/>
      </c>
      <c r="V285" s="13">
        <f>IF(R285="","",IF(R285="BUY",E285+N285*2,E285-N285*2))</f>
        <v/>
      </c>
      <c r="W285" s="13">
        <f>IF(R285="","",IF(R285="BUY",E285+N285*3,E285-N285*3))</f>
        <v/>
      </c>
      <c r="X285" s="8">
        <f>IF(OR(E285="",N285&lt;=0),"",IF(AND(E285&gt;H285,ABS(E285-H285)&lt;N285*0.5),"2ND","1ST"))</f>
        <v/>
      </c>
      <c r="Y285" s="8">
        <f>IF(OR(E285="",N285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85" s="8">
        <f>IF(OR(E285="",N285&lt;=0),"",IF(N285&gt;E285*0.05,"VOL-HIGH","VOL-NORMAL"))</f>
        <v/>
      </c>
      <c r="AA285" s="8">
        <f>IF(OR(E285="",N285&lt;=0),"",IF(AND(O285="VOL-OK",Z285="VOL-NORMAL",X285="2ND"),"OK","NG"))</f>
        <v/>
      </c>
      <c r="AB285" s="8">
        <f>IF(OR(E285="",N285&lt;=0),"",IF(AND(F285&gt;J285,G285&gt;K285),"UP",IF(AND(F285&lt;J285,G285&lt;K285),"DOWN","FLAT")))</f>
        <v/>
      </c>
    </row>
    <row r="286" ht="26" customHeight="1" s="1">
      <c r="A286" s="14">
        <f>IF(C286="","",ROW()-2)</f>
        <v/>
      </c>
      <c r="B286" s="15">
        <f>IF('StockList_MS2'!A285="","",HYPERLINK("https://kabutan.jp/stock/?code="&amp;'StockList_MS2'!A285,"株探"))</f>
        <v/>
      </c>
      <c r="C286" s="14">
        <f>IF('StockList_MS2'!A285="","",'StockList_MS2'!A285)</f>
        <v/>
      </c>
      <c r="D286" s="16">
        <f>IF('StockList_MS2'!A285="","",'StockList_MS2'!B285)</f>
        <v/>
      </c>
      <c r="E286" s="17" t="n"/>
      <c r="F286" s="17" t="n"/>
      <c r="G286" s="17" t="n"/>
      <c r="H286" s="17" t="n"/>
      <c r="I286" s="18" t="n"/>
      <c r="J286" s="17" t="n"/>
      <c r="K286" s="17" t="n"/>
      <c r="L286" s="17" t="n"/>
      <c r="M286" s="14">
        <f>IF(E286="","",IF(E286&gt;L286,"BUY-DAY","SELL-DAY"))</f>
        <v/>
      </c>
      <c r="N286" s="19">
        <f>IF(E286="","",MAX(F286-G286,ABS(F286-L286),ABS(G286-L286)))</f>
        <v/>
      </c>
      <c r="O286" s="14">
        <f>IF(E286="","",IF(AND(I286&gt;0,I286&gt;(I286/3)*2.5),"VOL-OK","VOL-NG"))</f>
        <v/>
      </c>
      <c r="P286" s="14">
        <f>IF(E286="","",IF(E286&gt;J286,"ON","OFF"))</f>
        <v/>
      </c>
      <c r="Q286" s="14">
        <f>IF(E286="","",IF(E286&lt;K286,"ON","OFF"))</f>
        <v/>
      </c>
      <c r="R286" s="14">
        <f>IF(OR(E286="",N286&lt;=0),"",IF(AND(M286="BUY-DAY",O286="VOL-OK",Q286="ON",AA286="OK",AB286&lt;&gt;"DOWN"),"BUY",IF(AND(M286="SELL-DAY",O286="VOL-OK",P286="ON",AA286="OK",AB286&lt;&gt;"UP"),"SELL","")))</f>
        <v/>
      </c>
      <c r="S286" s="19">
        <f>IF(R286="","",E286)</f>
        <v/>
      </c>
      <c r="T286" s="19">
        <f>IF(R286="","",IF(R286="BUY",E286-N286*1.5,E286+N286*1.5))</f>
        <v/>
      </c>
      <c r="U286" s="19">
        <f>IF(R286="","",IF(R286="BUY",E286+N286*1.5,E286-N286*1.5))</f>
        <v/>
      </c>
      <c r="V286" s="19">
        <f>IF(R286="","",IF(R286="BUY",E286+N286*2,E286-N286*2))</f>
        <v/>
      </c>
      <c r="W286" s="19">
        <f>IF(R286="","",IF(R286="BUY",E286+N286*3,E286-N286*3))</f>
        <v/>
      </c>
      <c r="X286" s="14">
        <f>IF(OR(E286="",N286&lt;=0),"",IF(AND(E286&gt;H286,ABS(E286-H286)&lt;N286*0.5),"2ND","1ST"))</f>
        <v/>
      </c>
      <c r="Y286" s="14">
        <f>IF(OR(E286="",N286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86" s="14">
        <f>IF(OR(E286="",N286&lt;=0),"",IF(N286&gt;E286*0.05,"VOL-HIGH","VOL-NORMAL"))</f>
        <v/>
      </c>
      <c r="AA286" s="14">
        <f>IF(OR(E286="",N286&lt;=0),"",IF(AND(O286="VOL-OK",Z286="VOL-NORMAL",X286="2ND"),"OK","NG"))</f>
        <v/>
      </c>
      <c r="AB286" s="14">
        <f>IF(OR(E286="",N286&lt;=0),"",IF(AND(F286&gt;J286,G286&gt;K286),"UP",IF(AND(F286&lt;J286,G286&lt;K286),"DOWN","FLAT")))</f>
        <v/>
      </c>
    </row>
    <row r="287" ht="26" customHeight="1" s="1">
      <c r="A287" s="8">
        <f>IF(C287="","",ROW()-2)</f>
        <v/>
      </c>
      <c r="B287" s="9">
        <f>IF('StockList_MS2'!A286="","",HYPERLINK("https://kabutan.jp/stock/?code="&amp;'StockList_MS2'!A286,"株探"))</f>
        <v/>
      </c>
      <c r="C287" s="8">
        <f>IF('StockList_MS2'!A286="","",'StockList_MS2'!A286)</f>
        <v/>
      </c>
      <c r="D287" s="10">
        <f>IF('StockList_MS2'!A286="","",'StockList_MS2'!B286)</f>
        <v/>
      </c>
      <c r="E287" s="11" t="n"/>
      <c r="F287" s="11" t="n"/>
      <c r="G287" s="11" t="n"/>
      <c r="H287" s="11" t="n"/>
      <c r="I287" s="12" t="n"/>
      <c r="J287" s="11" t="n"/>
      <c r="K287" s="11" t="n"/>
      <c r="L287" s="11" t="n"/>
      <c r="M287" s="8">
        <f>IF(E287="","",IF(E287&gt;L287,"BUY-DAY","SELL-DAY"))</f>
        <v/>
      </c>
      <c r="N287" s="13">
        <f>IF(E287="","",MAX(F287-G287,ABS(F287-L287),ABS(G287-L287)))</f>
        <v/>
      </c>
      <c r="O287" s="8">
        <f>IF(E287="","",IF(AND(I287&gt;0,I287&gt;(I287/3)*2.5),"VOL-OK","VOL-NG"))</f>
        <v/>
      </c>
      <c r="P287" s="8">
        <f>IF(E287="","",IF(E287&gt;J287,"ON","OFF"))</f>
        <v/>
      </c>
      <c r="Q287" s="8">
        <f>IF(E287="","",IF(E287&lt;K287,"ON","OFF"))</f>
        <v/>
      </c>
      <c r="R287" s="8">
        <f>IF(OR(E287="",N287&lt;=0),"",IF(AND(M287="BUY-DAY",O287="VOL-OK",Q287="ON",AA287="OK",AB287&lt;&gt;"DOWN"),"BUY",IF(AND(M287="SELL-DAY",O287="VOL-OK",P287="ON",AA287="OK",AB287&lt;&gt;"UP"),"SELL","")))</f>
        <v/>
      </c>
      <c r="S287" s="13">
        <f>IF(R287="","",E287)</f>
        <v/>
      </c>
      <c r="T287" s="13">
        <f>IF(R287="","",IF(R287="BUY",E287-N287*1.5,E287+N287*1.5))</f>
        <v/>
      </c>
      <c r="U287" s="13">
        <f>IF(R287="","",IF(R287="BUY",E287+N287*1.5,E287-N287*1.5))</f>
        <v/>
      </c>
      <c r="V287" s="13">
        <f>IF(R287="","",IF(R287="BUY",E287+N287*2,E287-N287*2))</f>
        <v/>
      </c>
      <c r="W287" s="13">
        <f>IF(R287="","",IF(R287="BUY",E287+N287*3,E287-N287*3))</f>
        <v/>
      </c>
      <c r="X287" s="8">
        <f>IF(OR(E287="",N287&lt;=0),"",IF(AND(E287&gt;H287,ABS(E287-H287)&lt;N287*0.5),"2ND","1ST"))</f>
        <v/>
      </c>
      <c r="Y287" s="8">
        <f>IF(OR(E287="",N287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87" s="8">
        <f>IF(OR(E287="",N287&lt;=0),"",IF(N287&gt;E287*0.05,"VOL-HIGH","VOL-NORMAL"))</f>
        <v/>
      </c>
      <c r="AA287" s="8">
        <f>IF(OR(E287="",N287&lt;=0),"",IF(AND(O287="VOL-OK",Z287="VOL-NORMAL",X287="2ND"),"OK","NG"))</f>
        <v/>
      </c>
      <c r="AB287" s="8">
        <f>IF(OR(E287="",N287&lt;=0),"",IF(AND(F287&gt;J287,G287&gt;K287),"UP",IF(AND(F287&lt;J287,G287&lt;K287),"DOWN","FLAT")))</f>
        <v/>
      </c>
    </row>
    <row r="288" ht="26" customHeight="1" s="1">
      <c r="A288" s="14">
        <f>IF(C288="","",ROW()-2)</f>
        <v/>
      </c>
      <c r="B288" s="15">
        <f>IF('StockList_MS2'!A287="","",HYPERLINK("https://kabutan.jp/stock/?code="&amp;'StockList_MS2'!A287,"株探"))</f>
        <v/>
      </c>
      <c r="C288" s="14">
        <f>IF('StockList_MS2'!A287="","",'StockList_MS2'!A287)</f>
        <v/>
      </c>
      <c r="D288" s="16">
        <f>IF('StockList_MS2'!A287="","",'StockList_MS2'!B287)</f>
        <v/>
      </c>
      <c r="E288" s="17" t="n"/>
      <c r="F288" s="17" t="n"/>
      <c r="G288" s="17" t="n"/>
      <c r="H288" s="17" t="n"/>
      <c r="I288" s="18" t="n"/>
      <c r="J288" s="17" t="n"/>
      <c r="K288" s="17" t="n"/>
      <c r="L288" s="17" t="n"/>
      <c r="M288" s="14">
        <f>IF(E288="","",IF(E288&gt;L288,"BUY-DAY","SELL-DAY"))</f>
        <v/>
      </c>
      <c r="N288" s="19">
        <f>IF(E288="","",MAX(F288-G288,ABS(F288-L288),ABS(G288-L288)))</f>
        <v/>
      </c>
      <c r="O288" s="14">
        <f>IF(E288="","",IF(AND(I288&gt;0,I288&gt;(I288/3)*2.5),"VOL-OK","VOL-NG"))</f>
        <v/>
      </c>
      <c r="P288" s="14">
        <f>IF(E288="","",IF(E288&gt;J288,"ON","OFF"))</f>
        <v/>
      </c>
      <c r="Q288" s="14">
        <f>IF(E288="","",IF(E288&lt;K288,"ON","OFF"))</f>
        <v/>
      </c>
      <c r="R288" s="14">
        <f>IF(OR(E288="",N288&lt;=0),"",IF(AND(M288="BUY-DAY",O288="VOL-OK",Q288="ON",AA288="OK",AB288&lt;&gt;"DOWN"),"BUY",IF(AND(M288="SELL-DAY",O288="VOL-OK",P288="ON",AA288="OK",AB288&lt;&gt;"UP"),"SELL","")))</f>
        <v/>
      </c>
      <c r="S288" s="19">
        <f>IF(R288="","",E288)</f>
        <v/>
      </c>
      <c r="T288" s="19">
        <f>IF(R288="","",IF(R288="BUY",E288-N288*1.5,E288+N288*1.5))</f>
        <v/>
      </c>
      <c r="U288" s="19">
        <f>IF(R288="","",IF(R288="BUY",E288+N288*1.5,E288-N288*1.5))</f>
        <v/>
      </c>
      <c r="V288" s="19">
        <f>IF(R288="","",IF(R288="BUY",E288+N288*2,E288-N288*2))</f>
        <v/>
      </c>
      <c r="W288" s="19">
        <f>IF(R288="","",IF(R288="BUY",E288+N288*3,E288-N288*3))</f>
        <v/>
      </c>
      <c r="X288" s="14">
        <f>IF(OR(E288="",N288&lt;=0),"",IF(AND(E288&gt;H288,ABS(E288-H288)&lt;N288*0.5),"2ND","1ST"))</f>
        <v/>
      </c>
      <c r="Y288" s="14">
        <f>IF(OR(E288="",N288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88" s="14">
        <f>IF(OR(E288="",N288&lt;=0),"",IF(N288&gt;E288*0.05,"VOL-HIGH","VOL-NORMAL"))</f>
        <v/>
      </c>
      <c r="AA288" s="14">
        <f>IF(OR(E288="",N288&lt;=0),"",IF(AND(O288="VOL-OK",Z288="VOL-NORMAL",X288="2ND"),"OK","NG"))</f>
        <v/>
      </c>
      <c r="AB288" s="14">
        <f>IF(OR(E288="",N288&lt;=0),"",IF(AND(F288&gt;J288,G288&gt;K288),"UP",IF(AND(F288&lt;J288,G288&lt;K288),"DOWN","FLAT")))</f>
        <v/>
      </c>
    </row>
    <row r="289" ht="26" customHeight="1" s="1">
      <c r="A289" s="8">
        <f>IF(C289="","",ROW()-2)</f>
        <v/>
      </c>
      <c r="B289" s="9">
        <f>IF('StockList_MS2'!A288="","",HYPERLINK("https://kabutan.jp/stock/?code="&amp;'StockList_MS2'!A288,"株探"))</f>
        <v/>
      </c>
      <c r="C289" s="8">
        <f>IF('StockList_MS2'!A288="","",'StockList_MS2'!A288)</f>
        <v/>
      </c>
      <c r="D289" s="10">
        <f>IF('StockList_MS2'!A288="","",'StockList_MS2'!B288)</f>
        <v/>
      </c>
      <c r="E289" s="11" t="n"/>
      <c r="F289" s="11" t="n"/>
      <c r="G289" s="11" t="n"/>
      <c r="H289" s="11" t="n"/>
      <c r="I289" s="12" t="n"/>
      <c r="J289" s="11" t="n"/>
      <c r="K289" s="11" t="n"/>
      <c r="L289" s="11" t="n"/>
      <c r="M289" s="8">
        <f>IF(E289="","",IF(E289&gt;L289,"BUY-DAY","SELL-DAY"))</f>
        <v/>
      </c>
      <c r="N289" s="13">
        <f>IF(E289="","",MAX(F289-G289,ABS(F289-L289),ABS(G289-L289)))</f>
        <v/>
      </c>
      <c r="O289" s="8">
        <f>IF(E289="","",IF(AND(I289&gt;0,I289&gt;(I289/3)*2.5),"VOL-OK","VOL-NG"))</f>
        <v/>
      </c>
      <c r="P289" s="8">
        <f>IF(E289="","",IF(E289&gt;J289,"ON","OFF"))</f>
        <v/>
      </c>
      <c r="Q289" s="8">
        <f>IF(E289="","",IF(E289&lt;K289,"ON","OFF"))</f>
        <v/>
      </c>
      <c r="R289" s="8">
        <f>IF(OR(E289="",N289&lt;=0),"",IF(AND(M289="BUY-DAY",O289="VOL-OK",Q289="ON",AA289="OK",AB289&lt;&gt;"DOWN"),"BUY",IF(AND(M289="SELL-DAY",O289="VOL-OK",P289="ON",AA289="OK",AB289&lt;&gt;"UP"),"SELL","")))</f>
        <v/>
      </c>
      <c r="S289" s="13">
        <f>IF(R289="","",E289)</f>
        <v/>
      </c>
      <c r="T289" s="13">
        <f>IF(R289="","",IF(R289="BUY",E289-N289*1.5,E289+N289*1.5))</f>
        <v/>
      </c>
      <c r="U289" s="13">
        <f>IF(R289="","",IF(R289="BUY",E289+N289*1.5,E289-N289*1.5))</f>
        <v/>
      </c>
      <c r="V289" s="13">
        <f>IF(R289="","",IF(R289="BUY",E289+N289*2,E289-N289*2))</f>
        <v/>
      </c>
      <c r="W289" s="13">
        <f>IF(R289="","",IF(R289="BUY",E289+N289*3,E289-N289*3))</f>
        <v/>
      </c>
      <c r="X289" s="8">
        <f>IF(OR(E289="",N289&lt;=0),"",IF(AND(E289&gt;H289,ABS(E289-H289)&lt;N289*0.5),"2ND","1ST"))</f>
        <v/>
      </c>
      <c r="Y289" s="8">
        <f>IF(OR(E289="",N289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89" s="8">
        <f>IF(OR(E289="",N289&lt;=0),"",IF(N289&gt;E289*0.05,"VOL-HIGH","VOL-NORMAL"))</f>
        <v/>
      </c>
      <c r="AA289" s="8">
        <f>IF(OR(E289="",N289&lt;=0),"",IF(AND(O289="VOL-OK",Z289="VOL-NORMAL",X289="2ND"),"OK","NG"))</f>
        <v/>
      </c>
      <c r="AB289" s="8">
        <f>IF(OR(E289="",N289&lt;=0),"",IF(AND(F289&gt;J289,G289&gt;K289),"UP",IF(AND(F289&lt;J289,G289&lt;K289),"DOWN","FLAT")))</f>
        <v/>
      </c>
    </row>
    <row r="290" ht="26" customHeight="1" s="1">
      <c r="A290" s="14">
        <f>IF(C290="","",ROW()-2)</f>
        <v/>
      </c>
      <c r="B290" s="15">
        <f>IF('StockList_MS2'!A289="","",HYPERLINK("https://kabutan.jp/stock/?code="&amp;'StockList_MS2'!A289,"株探"))</f>
        <v/>
      </c>
      <c r="C290" s="14">
        <f>IF('StockList_MS2'!A289="","",'StockList_MS2'!A289)</f>
        <v/>
      </c>
      <c r="D290" s="16">
        <f>IF('StockList_MS2'!A289="","",'StockList_MS2'!B289)</f>
        <v/>
      </c>
      <c r="E290" s="17" t="n"/>
      <c r="F290" s="17" t="n"/>
      <c r="G290" s="17" t="n"/>
      <c r="H290" s="17" t="n"/>
      <c r="I290" s="18" t="n"/>
      <c r="J290" s="17" t="n"/>
      <c r="K290" s="17" t="n"/>
      <c r="L290" s="17" t="n"/>
      <c r="M290" s="14">
        <f>IF(E290="","",IF(E290&gt;L290,"BUY-DAY","SELL-DAY"))</f>
        <v/>
      </c>
      <c r="N290" s="19">
        <f>IF(E290="","",MAX(F290-G290,ABS(F290-L290),ABS(G290-L290)))</f>
        <v/>
      </c>
      <c r="O290" s="14">
        <f>IF(E290="","",IF(AND(I290&gt;0,I290&gt;(I290/3)*2.5),"VOL-OK","VOL-NG"))</f>
        <v/>
      </c>
      <c r="P290" s="14">
        <f>IF(E290="","",IF(E290&gt;J290,"ON","OFF"))</f>
        <v/>
      </c>
      <c r="Q290" s="14">
        <f>IF(E290="","",IF(E290&lt;K290,"ON","OFF"))</f>
        <v/>
      </c>
      <c r="R290" s="14">
        <f>IF(OR(E290="",N290&lt;=0),"",IF(AND(M290="BUY-DAY",O290="VOL-OK",Q290="ON",AA290="OK",AB290&lt;&gt;"DOWN"),"BUY",IF(AND(M290="SELL-DAY",O290="VOL-OK",P290="ON",AA290="OK",AB290&lt;&gt;"UP"),"SELL","")))</f>
        <v/>
      </c>
      <c r="S290" s="19">
        <f>IF(R290="","",E290)</f>
        <v/>
      </c>
      <c r="T290" s="19">
        <f>IF(R290="","",IF(R290="BUY",E290-N290*1.5,E290+N290*1.5))</f>
        <v/>
      </c>
      <c r="U290" s="19">
        <f>IF(R290="","",IF(R290="BUY",E290+N290*1.5,E290-N290*1.5))</f>
        <v/>
      </c>
      <c r="V290" s="19">
        <f>IF(R290="","",IF(R290="BUY",E290+N290*2,E290-N290*2))</f>
        <v/>
      </c>
      <c r="W290" s="19">
        <f>IF(R290="","",IF(R290="BUY",E290+N290*3,E290-N290*3))</f>
        <v/>
      </c>
      <c r="X290" s="14">
        <f>IF(OR(E290="",N290&lt;=0),"",IF(AND(E290&gt;H290,ABS(E290-H290)&lt;N290*0.5),"2ND","1ST"))</f>
        <v/>
      </c>
      <c r="Y290" s="14">
        <f>IF(OR(E290="",N290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90" s="14">
        <f>IF(OR(E290="",N290&lt;=0),"",IF(N290&gt;E290*0.05,"VOL-HIGH","VOL-NORMAL"))</f>
        <v/>
      </c>
      <c r="AA290" s="14">
        <f>IF(OR(E290="",N290&lt;=0),"",IF(AND(O290="VOL-OK",Z290="VOL-NORMAL",X290="2ND"),"OK","NG"))</f>
        <v/>
      </c>
      <c r="AB290" s="14">
        <f>IF(OR(E290="",N290&lt;=0),"",IF(AND(F290&gt;J290,G290&gt;K290),"UP",IF(AND(F290&lt;J290,G290&lt;K290),"DOWN","FLAT")))</f>
        <v/>
      </c>
    </row>
    <row r="291" ht="26" customHeight="1" s="1">
      <c r="A291" s="8">
        <f>IF(C291="","",ROW()-2)</f>
        <v/>
      </c>
      <c r="B291" s="9">
        <f>IF('StockList_MS2'!A290="","",HYPERLINK("https://kabutan.jp/stock/?code="&amp;'StockList_MS2'!A290,"株探"))</f>
        <v/>
      </c>
      <c r="C291" s="8">
        <f>IF('StockList_MS2'!A290="","",'StockList_MS2'!A290)</f>
        <v/>
      </c>
      <c r="D291" s="10">
        <f>IF('StockList_MS2'!A290="","",'StockList_MS2'!B290)</f>
        <v/>
      </c>
      <c r="E291" s="11" t="n"/>
      <c r="F291" s="11" t="n"/>
      <c r="G291" s="11" t="n"/>
      <c r="H291" s="11" t="n"/>
      <c r="I291" s="12" t="n"/>
      <c r="J291" s="11" t="n"/>
      <c r="K291" s="11" t="n"/>
      <c r="L291" s="11" t="n"/>
      <c r="M291" s="8">
        <f>IF(E291="","",IF(E291&gt;L291,"BUY-DAY","SELL-DAY"))</f>
        <v/>
      </c>
      <c r="N291" s="13">
        <f>IF(E291="","",MAX(F291-G291,ABS(F291-L291),ABS(G291-L291)))</f>
        <v/>
      </c>
      <c r="O291" s="8">
        <f>IF(E291="","",IF(AND(I291&gt;0,I291&gt;(I291/3)*2.5),"VOL-OK","VOL-NG"))</f>
        <v/>
      </c>
      <c r="P291" s="8">
        <f>IF(E291="","",IF(E291&gt;J291,"ON","OFF"))</f>
        <v/>
      </c>
      <c r="Q291" s="8">
        <f>IF(E291="","",IF(E291&lt;K291,"ON","OFF"))</f>
        <v/>
      </c>
      <c r="R291" s="8">
        <f>IF(OR(E291="",N291&lt;=0),"",IF(AND(M291="BUY-DAY",O291="VOL-OK",Q291="ON",AA291="OK",AB291&lt;&gt;"DOWN"),"BUY",IF(AND(M291="SELL-DAY",O291="VOL-OK",P291="ON",AA291="OK",AB291&lt;&gt;"UP"),"SELL","")))</f>
        <v/>
      </c>
      <c r="S291" s="13">
        <f>IF(R291="","",E291)</f>
        <v/>
      </c>
      <c r="T291" s="13">
        <f>IF(R291="","",IF(R291="BUY",E291-N291*1.5,E291+N291*1.5))</f>
        <v/>
      </c>
      <c r="U291" s="13">
        <f>IF(R291="","",IF(R291="BUY",E291+N291*1.5,E291-N291*1.5))</f>
        <v/>
      </c>
      <c r="V291" s="13">
        <f>IF(R291="","",IF(R291="BUY",E291+N291*2,E291-N291*2))</f>
        <v/>
      </c>
      <c r="W291" s="13">
        <f>IF(R291="","",IF(R291="BUY",E291+N291*3,E291-N291*3))</f>
        <v/>
      </c>
      <c r="X291" s="8">
        <f>IF(OR(E291="",N291&lt;=0),"",IF(AND(E291&gt;H291,ABS(E291-H291)&lt;N291*0.5),"2ND","1ST"))</f>
        <v/>
      </c>
      <c r="Y291" s="8">
        <f>IF(OR(E291="",N291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91" s="8">
        <f>IF(OR(E291="",N291&lt;=0),"",IF(N291&gt;E291*0.05,"VOL-HIGH","VOL-NORMAL"))</f>
        <v/>
      </c>
      <c r="AA291" s="8">
        <f>IF(OR(E291="",N291&lt;=0),"",IF(AND(O291="VOL-OK",Z291="VOL-NORMAL",X291="2ND"),"OK","NG"))</f>
        <v/>
      </c>
      <c r="AB291" s="8">
        <f>IF(OR(E291="",N291&lt;=0),"",IF(AND(F291&gt;J291,G291&gt;K291),"UP",IF(AND(F291&lt;J291,G291&lt;K291),"DOWN","FLAT")))</f>
        <v/>
      </c>
    </row>
    <row r="292" ht="26" customHeight="1" s="1">
      <c r="A292" s="14">
        <f>IF(C292="","",ROW()-2)</f>
        <v/>
      </c>
      <c r="B292" s="15">
        <f>IF('StockList_MS2'!A291="","",HYPERLINK("https://kabutan.jp/stock/?code="&amp;'StockList_MS2'!A291,"株探"))</f>
        <v/>
      </c>
      <c r="C292" s="14">
        <f>IF('StockList_MS2'!A291="","",'StockList_MS2'!A291)</f>
        <v/>
      </c>
      <c r="D292" s="16">
        <f>IF('StockList_MS2'!A291="","",'StockList_MS2'!B291)</f>
        <v/>
      </c>
      <c r="E292" s="17" t="n"/>
      <c r="F292" s="17" t="n"/>
      <c r="G292" s="17" t="n"/>
      <c r="H292" s="17" t="n"/>
      <c r="I292" s="18" t="n"/>
      <c r="J292" s="17" t="n"/>
      <c r="K292" s="17" t="n"/>
      <c r="L292" s="17" t="n"/>
      <c r="M292" s="14">
        <f>IF(E292="","",IF(E292&gt;L292,"BUY-DAY","SELL-DAY"))</f>
        <v/>
      </c>
      <c r="N292" s="19">
        <f>IF(E292="","",MAX(F292-G292,ABS(F292-L292),ABS(G292-L292)))</f>
        <v/>
      </c>
      <c r="O292" s="14">
        <f>IF(E292="","",IF(AND(I292&gt;0,I292&gt;(I292/3)*2.5),"VOL-OK","VOL-NG"))</f>
        <v/>
      </c>
      <c r="P292" s="14">
        <f>IF(E292="","",IF(E292&gt;J292,"ON","OFF"))</f>
        <v/>
      </c>
      <c r="Q292" s="14">
        <f>IF(E292="","",IF(E292&lt;K292,"ON","OFF"))</f>
        <v/>
      </c>
      <c r="R292" s="14">
        <f>IF(OR(E292="",N292&lt;=0),"",IF(AND(M292="BUY-DAY",O292="VOL-OK",Q292="ON",AA292="OK",AB292&lt;&gt;"DOWN"),"BUY",IF(AND(M292="SELL-DAY",O292="VOL-OK",P292="ON",AA292="OK",AB292&lt;&gt;"UP"),"SELL","")))</f>
        <v/>
      </c>
      <c r="S292" s="19">
        <f>IF(R292="","",E292)</f>
        <v/>
      </c>
      <c r="T292" s="19">
        <f>IF(R292="","",IF(R292="BUY",E292-N292*1.5,E292+N292*1.5))</f>
        <v/>
      </c>
      <c r="U292" s="19">
        <f>IF(R292="","",IF(R292="BUY",E292+N292*1.5,E292-N292*1.5))</f>
        <v/>
      </c>
      <c r="V292" s="19">
        <f>IF(R292="","",IF(R292="BUY",E292+N292*2,E292-N292*2))</f>
        <v/>
      </c>
      <c r="W292" s="19">
        <f>IF(R292="","",IF(R292="BUY",E292+N292*3,E292-N292*3))</f>
        <v/>
      </c>
      <c r="X292" s="14">
        <f>IF(OR(E292="",N292&lt;=0),"",IF(AND(E292&gt;H292,ABS(E292-H292)&lt;N292*0.5),"2ND","1ST"))</f>
        <v/>
      </c>
      <c r="Y292" s="14">
        <f>IF(OR(E292="",N292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92" s="14">
        <f>IF(OR(E292="",N292&lt;=0),"",IF(N292&gt;E292*0.05,"VOL-HIGH","VOL-NORMAL"))</f>
        <v/>
      </c>
      <c r="AA292" s="14">
        <f>IF(OR(E292="",N292&lt;=0),"",IF(AND(O292="VOL-OK",Z292="VOL-NORMAL",X292="2ND"),"OK","NG"))</f>
        <v/>
      </c>
      <c r="AB292" s="14">
        <f>IF(OR(E292="",N292&lt;=0),"",IF(AND(F292&gt;J292,G292&gt;K292),"UP",IF(AND(F292&lt;J292,G292&lt;K292),"DOWN","FLAT")))</f>
        <v/>
      </c>
    </row>
    <row r="293" ht="26" customHeight="1" s="1">
      <c r="A293" s="8">
        <f>IF(C293="","",ROW()-2)</f>
        <v/>
      </c>
      <c r="B293" s="9">
        <f>IF('StockList_MS2'!A292="","",HYPERLINK("https://kabutan.jp/stock/?code="&amp;'StockList_MS2'!A292,"株探"))</f>
        <v/>
      </c>
      <c r="C293" s="8">
        <f>IF('StockList_MS2'!A292="","",'StockList_MS2'!A292)</f>
        <v/>
      </c>
      <c r="D293" s="10">
        <f>IF('StockList_MS2'!A292="","",'StockList_MS2'!B292)</f>
        <v/>
      </c>
      <c r="E293" s="11" t="n"/>
      <c r="F293" s="11" t="n"/>
      <c r="G293" s="11" t="n"/>
      <c r="H293" s="11" t="n"/>
      <c r="I293" s="12" t="n"/>
      <c r="J293" s="11" t="n"/>
      <c r="K293" s="11" t="n"/>
      <c r="L293" s="11" t="n"/>
      <c r="M293" s="8">
        <f>IF(E293="","",IF(E293&gt;L293,"BUY-DAY","SELL-DAY"))</f>
        <v/>
      </c>
      <c r="N293" s="13">
        <f>IF(E293="","",MAX(F293-G293,ABS(F293-L293),ABS(G293-L293)))</f>
        <v/>
      </c>
      <c r="O293" s="8">
        <f>IF(E293="","",IF(AND(I293&gt;0,I293&gt;(I293/3)*2.5),"VOL-OK","VOL-NG"))</f>
        <v/>
      </c>
      <c r="P293" s="8">
        <f>IF(E293="","",IF(E293&gt;J293,"ON","OFF"))</f>
        <v/>
      </c>
      <c r="Q293" s="8">
        <f>IF(E293="","",IF(E293&lt;K293,"ON","OFF"))</f>
        <v/>
      </c>
      <c r="R293" s="8">
        <f>IF(OR(E293="",N293&lt;=0),"",IF(AND(M293="BUY-DAY",O293="VOL-OK",Q293="ON",AA293="OK",AB293&lt;&gt;"DOWN"),"BUY",IF(AND(M293="SELL-DAY",O293="VOL-OK",P293="ON",AA293="OK",AB293&lt;&gt;"UP"),"SELL","")))</f>
        <v/>
      </c>
      <c r="S293" s="13">
        <f>IF(R293="","",E293)</f>
        <v/>
      </c>
      <c r="T293" s="13">
        <f>IF(R293="","",IF(R293="BUY",E293-N293*1.5,E293+N293*1.5))</f>
        <v/>
      </c>
      <c r="U293" s="13">
        <f>IF(R293="","",IF(R293="BUY",E293+N293*1.5,E293-N293*1.5))</f>
        <v/>
      </c>
      <c r="V293" s="13">
        <f>IF(R293="","",IF(R293="BUY",E293+N293*2,E293-N293*2))</f>
        <v/>
      </c>
      <c r="W293" s="13">
        <f>IF(R293="","",IF(R293="BUY",E293+N293*3,E293-N293*3))</f>
        <v/>
      </c>
      <c r="X293" s="8">
        <f>IF(OR(E293="",N293&lt;=0),"",IF(AND(E293&gt;H293,ABS(E293-H293)&lt;N293*0.5),"2ND","1ST"))</f>
        <v/>
      </c>
      <c r="Y293" s="8">
        <f>IF(OR(E293="",N293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93" s="8">
        <f>IF(OR(E293="",N293&lt;=0),"",IF(N293&gt;E293*0.05,"VOL-HIGH","VOL-NORMAL"))</f>
        <v/>
      </c>
      <c r="AA293" s="8">
        <f>IF(OR(E293="",N293&lt;=0),"",IF(AND(O293="VOL-OK",Z293="VOL-NORMAL",X293="2ND"),"OK","NG"))</f>
        <v/>
      </c>
      <c r="AB293" s="8">
        <f>IF(OR(E293="",N293&lt;=0),"",IF(AND(F293&gt;J293,G293&gt;K293),"UP",IF(AND(F293&lt;J293,G293&lt;K293),"DOWN","FLAT")))</f>
        <v/>
      </c>
    </row>
    <row r="294" ht="26" customHeight="1" s="1">
      <c r="A294" s="14">
        <f>IF(C294="","",ROW()-2)</f>
        <v/>
      </c>
      <c r="B294" s="15">
        <f>IF('StockList_MS2'!A293="","",HYPERLINK("https://kabutan.jp/stock/?code="&amp;'StockList_MS2'!A293,"株探"))</f>
        <v/>
      </c>
      <c r="C294" s="14">
        <f>IF('StockList_MS2'!A293="","",'StockList_MS2'!A293)</f>
        <v/>
      </c>
      <c r="D294" s="16">
        <f>IF('StockList_MS2'!A293="","",'StockList_MS2'!B293)</f>
        <v/>
      </c>
      <c r="E294" s="17" t="n"/>
      <c r="F294" s="17" t="n"/>
      <c r="G294" s="17" t="n"/>
      <c r="H294" s="17" t="n"/>
      <c r="I294" s="18" t="n"/>
      <c r="J294" s="17" t="n"/>
      <c r="K294" s="17" t="n"/>
      <c r="L294" s="17" t="n"/>
      <c r="M294" s="14">
        <f>IF(E294="","",IF(E294&gt;L294,"BUY-DAY","SELL-DAY"))</f>
        <v/>
      </c>
      <c r="N294" s="19">
        <f>IF(E294="","",MAX(F294-G294,ABS(F294-L294),ABS(G294-L294)))</f>
        <v/>
      </c>
      <c r="O294" s="14">
        <f>IF(E294="","",IF(AND(I294&gt;0,I294&gt;(I294/3)*2.5),"VOL-OK","VOL-NG"))</f>
        <v/>
      </c>
      <c r="P294" s="14">
        <f>IF(E294="","",IF(E294&gt;J294,"ON","OFF"))</f>
        <v/>
      </c>
      <c r="Q294" s="14">
        <f>IF(E294="","",IF(E294&lt;K294,"ON","OFF"))</f>
        <v/>
      </c>
      <c r="R294" s="14">
        <f>IF(OR(E294="",N294&lt;=0),"",IF(AND(M294="BUY-DAY",O294="VOL-OK",Q294="ON",AA294="OK",AB294&lt;&gt;"DOWN"),"BUY",IF(AND(M294="SELL-DAY",O294="VOL-OK",P294="ON",AA294="OK",AB294&lt;&gt;"UP"),"SELL","")))</f>
        <v/>
      </c>
      <c r="S294" s="19">
        <f>IF(R294="","",E294)</f>
        <v/>
      </c>
      <c r="T294" s="19">
        <f>IF(R294="","",IF(R294="BUY",E294-N294*1.5,E294+N294*1.5))</f>
        <v/>
      </c>
      <c r="U294" s="19">
        <f>IF(R294="","",IF(R294="BUY",E294+N294*1.5,E294-N294*1.5))</f>
        <v/>
      </c>
      <c r="V294" s="19">
        <f>IF(R294="","",IF(R294="BUY",E294+N294*2,E294-N294*2))</f>
        <v/>
      </c>
      <c r="W294" s="19">
        <f>IF(R294="","",IF(R294="BUY",E294+N294*3,E294-N294*3))</f>
        <v/>
      </c>
      <c r="X294" s="14">
        <f>IF(OR(E294="",N294&lt;=0),"",IF(AND(E294&gt;H294,ABS(E294-H294)&lt;N294*0.5),"2ND","1ST"))</f>
        <v/>
      </c>
      <c r="Y294" s="14">
        <f>IF(OR(E294="",N294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94" s="14">
        <f>IF(OR(E294="",N294&lt;=0),"",IF(N294&gt;E294*0.05,"VOL-HIGH","VOL-NORMAL"))</f>
        <v/>
      </c>
      <c r="AA294" s="14">
        <f>IF(OR(E294="",N294&lt;=0),"",IF(AND(O294="VOL-OK",Z294="VOL-NORMAL",X294="2ND"),"OK","NG"))</f>
        <v/>
      </c>
      <c r="AB294" s="14">
        <f>IF(OR(E294="",N294&lt;=0),"",IF(AND(F294&gt;J294,G294&gt;K294),"UP",IF(AND(F294&lt;J294,G294&lt;K294),"DOWN","FLAT")))</f>
        <v/>
      </c>
    </row>
    <row r="295" ht="26" customHeight="1" s="1">
      <c r="A295" s="8">
        <f>IF(C295="","",ROW()-2)</f>
        <v/>
      </c>
      <c r="B295" s="9">
        <f>IF('StockList_MS2'!A294="","",HYPERLINK("https://kabutan.jp/stock/?code="&amp;'StockList_MS2'!A294,"株探"))</f>
        <v/>
      </c>
      <c r="C295" s="8">
        <f>IF('StockList_MS2'!A294="","",'StockList_MS2'!A294)</f>
        <v/>
      </c>
      <c r="D295" s="10">
        <f>IF('StockList_MS2'!A294="","",'StockList_MS2'!B294)</f>
        <v/>
      </c>
      <c r="E295" s="11" t="n"/>
      <c r="F295" s="11" t="n"/>
      <c r="G295" s="11" t="n"/>
      <c r="H295" s="11" t="n"/>
      <c r="I295" s="12" t="n"/>
      <c r="J295" s="11" t="n"/>
      <c r="K295" s="11" t="n"/>
      <c r="L295" s="11" t="n"/>
      <c r="M295" s="8">
        <f>IF(E295="","",IF(E295&gt;L295,"BUY-DAY","SELL-DAY"))</f>
        <v/>
      </c>
      <c r="N295" s="13">
        <f>IF(E295="","",MAX(F295-G295,ABS(F295-L295),ABS(G295-L295)))</f>
        <v/>
      </c>
      <c r="O295" s="8">
        <f>IF(E295="","",IF(AND(I295&gt;0,I295&gt;(I295/3)*2.5),"VOL-OK","VOL-NG"))</f>
        <v/>
      </c>
      <c r="P295" s="8">
        <f>IF(E295="","",IF(E295&gt;J295,"ON","OFF"))</f>
        <v/>
      </c>
      <c r="Q295" s="8">
        <f>IF(E295="","",IF(E295&lt;K295,"ON","OFF"))</f>
        <v/>
      </c>
      <c r="R295" s="8">
        <f>IF(OR(E295="",N295&lt;=0),"",IF(AND(M295="BUY-DAY",O295="VOL-OK",Q295="ON",AA295="OK",AB295&lt;&gt;"DOWN"),"BUY",IF(AND(M295="SELL-DAY",O295="VOL-OK",P295="ON",AA295="OK",AB295&lt;&gt;"UP"),"SELL","")))</f>
        <v/>
      </c>
      <c r="S295" s="13">
        <f>IF(R295="","",E295)</f>
        <v/>
      </c>
      <c r="T295" s="13">
        <f>IF(R295="","",IF(R295="BUY",E295-N295*1.5,E295+N295*1.5))</f>
        <v/>
      </c>
      <c r="U295" s="13">
        <f>IF(R295="","",IF(R295="BUY",E295+N295*1.5,E295-N295*1.5))</f>
        <v/>
      </c>
      <c r="V295" s="13">
        <f>IF(R295="","",IF(R295="BUY",E295+N295*2,E295-N295*2))</f>
        <v/>
      </c>
      <c r="W295" s="13">
        <f>IF(R295="","",IF(R295="BUY",E295+N295*3,E295-N295*3))</f>
        <v/>
      </c>
      <c r="X295" s="8">
        <f>IF(OR(E295="",N295&lt;=0),"",IF(AND(E295&gt;H295,ABS(E295-H295)&lt;N295*0.5),"2ND","1ST"))</f>
        <v/>
      </c>
      <c r="Y295" s="8">
        <f>IF(OR(E295="",N295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95" s="8">
        <f>IF(OR(E295="",N295&lt;=0),"",IF(N295&gt;E295*0.05,"VOL-HIGH","VOL-NORMAL"))</f>
        <v/>
      </c>
      <c r="AA295" s="8">
        <f>IF(OR(E295="",N295&lt;=0),"",IF(AND(O295="VOL-OK",Z295="VOL-NORMAL",X295="2ND"),"OK","NG"))</f>
        <v/>
      </c>
      <c r="AB295" s="8">
        <f>IF(OR(E295="",N295&lt;=0),"",IF(AND(F295&gt;J295,G295&gt;K295),"UP",IF(AND(F295&lt;J295,G295&lt;K295),"DOWN","FLAT")))</f>
        <v/>
      </c>
    </row>
    <row r="296" ht="26" customHeight="1" s="1">
      <c r="A296" s="14">
        <f>IF(C296="","",ROW()-2)</f>
        <v/>
      </c>
      <c r="B296" s="15">
        <f>IF('StockList_MS2'!A295="","",HYPERLINK("https://kabutan.jp/stock/?code="&amp;'StockList_MS2'!A295,"株探"))</f>
        <v/>
      </c>
      <c r="C296" s="14">
        <f>IF('StockList_MS2'!A295="","",'StockList_MS2'!A295)</f>
        <v/>
      </c>
      <c r="D296" s="16">
        <f>IF('StockList_MS2'!A295="","",'StockList_MS2'!B295)</f>
        <v/>
      </c>
      <c r="E296" s="17" t="n"/>
      <c r="F296" s="17" t="n"/>
      <c r="G296" s="17" t="n"/>
      <c r="H296" s="17" t="n"/>
      <c r="I296" s="18" t="n"/>
      <c r="J296" s="17" t="n"/>
      <c r="K296" s="17" t="n"/>
      <c r="L296" s="17" t="n"/>
      <c r="M296" s="14">
        <f>IF(E296="","",IF(E296&gt;L296,"BUY-DAY","SELL-DAY"))</f>
        <v/>
      </c>
      <c r="N296" s="19">
        <f>IF(E296="","",MAX(F296-G296,ABS(F296-L296),ABS(G296-L296)))</f>
        <v/>
      </c>
      <c r="O296" s="14">
        <f>IF(E296="","",IF(AND(I296&gt;0,I296&gt;(I296/3)*2.5),"VOL-OK","VOL-NG"))</f>
        <v/>
      </c>
      <c r="P296" s="14">
        <f>IF(E296="","",IF(E296&gt;J296,"ON","OFF"))</f>
        <v/>
      </c>
      <c r="Q296" s="14">
        <f>IF(E296="","",IF(E296&lt;K296,"ON","OFF"))</f>
        <v/>
      </c>
      <c r="R296" s="14">
        <f>IF(OR(E296="",N296&lt;=0),"",IF(AND(M296="BUY-DAY",O296="VOL-OK",Q296="ON",AA296="OK",AB296&lt;&gt;"DOWN"),"BUY",IF(AND(M296="SELL-DAY",O296="VOL-OK",P296="ON",AA296="OK",AB296&lt;&gt;"UP"),"SELL","")))</f>
        <v/>
      </c>
      <c r="S296" s="19">
        <f>IF(R296="","",E296)</f>
        <v/>
      </c>
      <c r="T296" s="19">
        <f>IF(R296="","",IF(R296="BUY",E296-N296*1.5,E296+N296*1.5))</f>
        <v/>
      </c>
      <c r="U296" s="19">
        <f>IF(R296="","",IF(R296="BUY",E296+N296*1.5,E296-N296*1.5))</f>
        <v/>
      </c>
      <c r="V296" s="19">
        <f>IF(R296="","",IF(R296="BUY",E296+N296*2,E296-N296*2))</f>
        <v/>
      </c>
      <c r="W296" s="19">
        <f>IF(R296="","",IF(R296="BUY",E296+N296*3,E296-N296*3))</f>
        <v/>
      </c>
      <c r="X296" s="14">
        <f>IF(OR(E296="",N296&lt;=0),"",IF(AND(E296&gt;H296,ABS(E296-H296)&lt;N296*0.5),"2ND","1ST"))</f>
        <v/>
      </c>
      <c r="Y296" s="14">
        <f>IF(OR(E296="",N296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96" s="14">
        <f>IF(OR(E296="",N296&lt;=0),"",IF(N296&gt;E296*0.05,"VOL-HIGH","VOL-NORMAL"))</f>
        <v/>
      </c>
      <c r="AA296" s="14">
        <f>IF(OR(E296="",N296&lt;=0),"",IF(AND(O296="VOL-OK",Z296="VOL-NORMAL",X296="2ND"),"OK","NG"))</f>
        <v/>
      </c>
      <c r="AB296" s="14">
        <f>IF(OR(E296="",N296&lt;=0),"",IF(AND(F296&gt;J296,G296&gt;K296),"UP",IF(AND(F296&lt;J296,G296&lt;K296),"DOWN","FLAT")))</f>
        <v/>
      </c>
    </row>
    <row r="297" ht="26" customHeight="1" s="1">
      <c r="A297" s="8">
        <f>IF(C297="","",ROW()-2)</f>
        <v/>
      </c>
      <c r="B297" s="9">
        <f>IF('StockList_MS2'!A296="","",HYPERLINK("https://kabutan.jp/stock/?code="&amp;'StockList_MS2'!A296,"株探"))</f>
        <v/>
      </c>
      <c r="C297" s="8">
        <f>IF('StockList_MS2'!A296="","",'StockList_MS2'!A296)</f>
        <v/>
      </c>
      <c r="D297" s="10">
        <f>IF('StockList_MS2'!A296="","",'StockList_MS2'!B296)</f>
        <v/>
      </c>
      <c r="E297" s="11" t="n"/>
      <c r="F297" s="11" t="n"/>
      <c r="G297" s="11" t="n"/>
      <c r="H297" s="11" t="n"/>
      <c r="I297" s="12" t="n"/>
      <c r="J297" s="11" t="n"/>
      <c r="K297" s="11" t="n"/>
      <c r="L297" s="11" t="n"/>
      <c r="M297" s="8">
        <f>IF(E297="","",IF(E297&gt;L297,"BUY-DAY","SELL-DAY"))</f>
        <v/>
      </c>
      <c r="N297" s="13">
        <f>IF(E297="","",MAX(F297-G297,ABS(F297-L297),ABS(G297-L297)))</f>
        <v/>
      </c>
      <c r="O297" s="8">
        <f>IF(E297="","",IF(AND(I297&gt;0,I297&gt;(I297/3)*2.5),"VOL-OK","VOL-NG"))</f>
        <v/>
      </c>
      <c r="P297" s="8">
        <f>IF(E297="","",IF(E297&gt;J297,"ON","OFF"))</f>
        <v/>
      </c>
      <c r="Q297" s="8">
        <f>IF(E297="","",IF(E297&lt;K297,"ON","OFF"))</f>
        <v/>
      </c>
      <c r="R297" s="8">
        <f>IF(OR(E297="",N297&lt;=0),"",IF(AND(M297="BUY-DAY",O297="VOL-OK",Q297="ON",AA297="OK",AB297&lt;&gt;"DOWN"),"BUY",IF(AND(M297="SELL-DAY",O297="VOL-OK",P297="ON",AA297="OK",AB297&lt;&gt;"UP"),"SELL","")))</f>
        <v/>
      </c>
      <c r="S297" s="13">
        <f>IF(R297="","",E297)</f>
        <v/>
      </c>
      <c r="T297" s="13">
        <f>IF(R297="","",IF(R297="BUY",E297-N297*1.5,E297+N297*1.5))</f>
        <v/>
      </c>
      <c r="U297" s="13">
        <f>IF(R297="","",IF(R297="BUY",E297+N297*1.5,E297-N297*1.5))</f>
        <v/>
      </c>
      <c r="V297" s="13">
        <f>IF(R297="","",IF(R297="BUY",E297+N297*2,E297-N297*2))</f>
        <v/>
      </c>
      <c r="W297" s="13">
        <f>IF(R297="","",IF(R297="BUY",E297+N297*3,E297-N297*3))</f>
        <v/>
      </c>
      <c r="X297" s="8">
        <f>IF(OR(E297="",N297&lt;=0),"",IF(AND(E297&gt;H297,ABS(E297-H297)&lt;N297*0.5),"2ND","1ST"))</f>
        <v/>
      </c>
      <c r="Y297" s="8">
        <f>IF(OR(E297="",N297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97" s="8">
        <f>IF(OR(E297="",N297&lt;=0),"",IF(N297&gt;E297*0.05,"VOL-HIGH","VOL-NORMAL"))</f>
        <v/>
      </c>
      <c r="AA297" s="8">
        <f>IF(OR(E297="",N297&lt;=0),"",IF(AND(O297="VOL-OK",Z297="VOL-NORMAL",X297="2ND"),"OK","NG"))</f>
        <v/>
      </c>
      <c r="AB297" s="8">
        <f>IF(OR(E297="",N297&lt;=0),"",IF(AND(F297&gt;J297,G297&gt;K297),"UP",IF(AND(F297&lt;J297,G297&lt;K297),"DOWN","FLAT")))</f>
        <v/>
      </c>
    </row>
    <row r="298" ht="26" customHeight="1" s="1">
      <c r="A298" s="14">
        <f>IF(C298="","",ROW()-2)</f>
        <v/>
      </c>
      <c r="B298" s="15">
        <f>IF('StockList_MS2'!A297="","",HYPERLINK("https://kabutan.jp/stock/?code="&amp;'StockList_MS2'!A297,"株探"))</f>
        <v/>
      </c>
      <c r="C298" s="14">
        <f>IF('StockList_MS2'!A297="","",'StockList_MS2'!A297)</f>
        <v/>
      </c>
      <c r="D298" s="16">
        <f>IF('StockList_MS2'!A297="","",'StockList_MS2'!B297)</f>
        <v/>
      </c>
      <c r="E298" s="17" t="n"/>
      <c r="F298" s="17" t="n"/>
      <c r="G298" s="17" t="n"/>
      <c r="H298" s="17" t="n"/>
      <c r="I298" s="18" t="n"/>
      <c r="J298" s="17" t="n"/>
      <c r="K298" s="17" t="n"/>
      <c r="L298" s="17" t="n"/>
      <c r="M298" s="14">
        <f>IF(E298="","",IF(E298&gt;L298,"BUY-DAY","SELL-DAY"))</f>
        <v/>
      </c>
      <c r="N298" s="19">
        <f>IF(E298="","",MAX(F298-G298,ABS(F298-L298),ABS(G298-L298)))</f>
        <v/>
      </c>
      <c r="O298" s="14">
        <f>IF(E298="","",IF(AND(I298&gt;0,I298&gt;(I298/3)*2.5),"VOL-OK","VOL-NG"))</f>
        <v/>
      </c>
      <c r="P298" s="14">
        <f>IF(E298="","",IF(E298&gt;J298,"ON","OFF"))</f>
        <v/>
      </c>
      <c r="Q298" s="14">
        <f>IF(E298="","",IF(E298&lt;K298,"ON","OFF"))</f>
        <v/>
      </c>
      <c r="R298" s="14">
        <f>IF(OR(E298="",N298&lt;=0),"",IF(AND(M298="BUY-DAY",O298="VOL-OK",Q298="ON",AA298="OK",AB298&lt;&gt;"DOWN"),"BUY",IF(AND(M298="SELL-DAY",O298="VOL-OK",P298="ON",AA298="OK",AB298&lt;&gt;"UP"),"SELL","")))</f>
        <v/>
      </c>
      <c r="S298" s="19">
        <f>IF(R298="","",E298)</f>
        <v/>
      </c>
      <c r="T298" s="19">
        <f>IF(R298="","",IF(R298="BUY",E298-N298*1.5,E298+N298*1.5))</f>
        <v/>
      </c>
      <c r="U298" s="19">
        <f>IF(R298="","",IF(R298="BUY",E298+N298*1.5,E298-N298*1.5))</f>
        <v/>
      </c>
      <c r="V298" s="19">
        <f>IF(R298="","",IF(R298="BUY",E298+N298*2,E298-N298*2))</f>
        <v/>
      </c>
      <c r="W298" s="19">
        <f>IF(R298="","",IF(R298="BUY",E298+N298*3,E298-N298*3))</f>
        <v/>
      </c>
      <c r="X298" s="14">
        <f>IF(OR(E298="",N298&lt;=0),"",IF(AND(E298&gt;H298,ABS(E298-H298)&lt;N298*0.5),"2ND","1ST"))</f>
        <v/>
      </c>
      <c r="Y298" s="14">
        <f>IF(OR(E298="",N298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98" s="14">
        <f>IF(OR(E298="",N298&lt;=0),"",IF(N298&gt;E298*0.05,"VOL-HIGH","VOL-NORMAL"))</f>
        <v/>
      </c>
      <c r="AA298" s="14">
        <f>IF(OR(E298="",N298&lt;=0),"",IF(AND(O298="VOL-OK",Z298="VOL-NORMAL",X298="2ND"),"OK","NG"))</f>
        <v/>
      </c>
      <c r="AB298" s="14">
        <f>IF(OR(E298="",N298&lt;=0),"",IF(AND(F298&gt;J298,G298&gt;K298),"UP",IF(AND(F298&lt;J298,G298&lt;K298),"DOWN","FLAT")))</f>
        <v/>
      </c>
    </row>
    <row r="299" ht="26" customHeight="1" s="1">
      <c r="A299" s="8">
        <f>IF(C299="","",ROW()-2)</f>
        <v/>
      </c>
      <c r="B299" s="9">
        <f>IF('StockList_MS2'!A298="","",HYPERLINK("https://kabutan.jp/stock/?code="&amp;'StockList_MS2'!A298,"株探"))</f>
        <v/>
      </c>
      <c r="C299" s="8">
        <f>IF('StockList_MS2'!A298="","",'StockList_MS2'!A298)</f>
        <v/>
      </c>
      <c r="D299" s="10">
        <f>IF('StockList_MS2'!A298="","",'StockList_MS2'!B298)</f>
        <v/>
      </c>
      <c r="E299" s="11" t="n"/>
      <c r="F299" s="11" t="n"/>
      <c r="G299" s="11" t="n"/>
      <c r="H299" s="11" t="n"/>
      <c r="I299" s="12" t="n"/>
      <c r="J299" s="11" t="n"/>
      <c r="K299" s="11" t="n"/>
      <c r="L299" s="11" t="n"/>
      <c r="M299" s="8">
        <f>IF(E299="","",IF(E299&gt;L299,"BUY-DAY","SELL-DAY"))</f>
        <v/>
      </c>
      <c r="N299" s="13">
        <f>IF(E299="","",MAX(F299-G299,ABS(F299-L299),ABS(G299-L299)))</f>
        <v/>
      </c>
      <c r="O299" s="8">
        <f>IF(E299="","",IF(AND(I299&gt;0,I299&gt;(I299/3)*2.5),"VOL-OK","VOL-NG"))</f>
        <v/>
      </c>
      <c r="P299" s="8">
        <f>IF(E299="","",IF(E299&gt;J299,"ON","OFF"))</f>
        <v/>
      </c>
      <c r="Q299" s="8">
        <f>IF(E299="","",IF(E299&lt;K299,"ON","OFF"))</f>
        <v/>
      </c>
      <c r="R299" s="8">
        <f>IF(OR(E299="",N299&lt;=0),"",IF(AND(M299="BUY-DAY",O299="VOL-OK",Q299="ON",AA299="OK",AB299&lt;&gt;"DOWN"),"BUY",IF(AND(M299="SELL-DAY",O299="VOL-OK",P299="ON",AA299="OK",AB299&lt;&gt;"UP"),"SELL","")))</f>
        <v/>
      </c>
      <c r="S299" s="13">
        <f>IF(R299="","",E299)</f>
        <v/>
      </c>
      <c r="T299" s="13">
        <f>IF(R299="","",IF(R299="BUY",E299-N299*1.5,E299+N299*1.5))</f>
        <v/>
      </c>
      <c r="U299" s="13">
        <f>IF(R299="","",IF(R299="BUY",E299+N299*1.5,E299-N299*1.5))</f>
        <v/>
      </c>
      <c r="V299" s="13">
        <f>IF(R299="","",IF(R299="BUY",E299+N299*2,E299-N299*2))</f>
        <v/>
      </c>
      <c r="W299" s="13">
        <f>IF(R299="","",IF(R299="BUY",E299+N299*3,E299-N299*3))</f>
        <v/>
      </c>
      <c r="X299" s="8">
        <f>IF(OR(E299="",N299&lt;=0),"",IF(AND(E299&gt;H299,ABS(E299-H299)&lt;N299*0.5),"2ND","1ST"))</f>
        <v/>
      </c>
      <c r="Y299" s="8">
        <f>IF(OR(E299="",N299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299" s="8">
        <f>IF(OR(E299="",N299&lt;=0),"",IF(N299&gt;E299*0.05,"VOL-HIGH","VOL-NORMAL"))</f>
        <v/>
      </c>
      <c r="AA299" s="8">
        <f>IF(OR(E299="",N299&lt;=0),"",IF(AND(O299="VOL-OK",Z299="VOL-NORMAL",X299="2ND"),"OK","NG"))</f>
        <v/>
      </c>
      <c r="AB299" s="8">
        <f>IF(OR(E299="",N299&lt;=0),"",IF(AND(F299&gt;J299,G299&gt;K299),"UP",IF(AND(F299&lt;J299,G299&lt;K299),"DOWN","FLAT")))</f>
        <v/>
      </c>
    </row>
    <row r="300" ht="26" customHeight="1" s="1">
      <c r="A300" s="14">
        <f>IF(C300="","",ROW()-2)</f>
        <v/>
      </c>
      <c r="B300" s="15">
        <f>IF('StockList_MS2'!A299="","",HYPERLINK("https://kabutan.jp/stock/?code="&amp;'StockList_MS2'!A299,"株探"))</f>
        <v/>
      </c>
      <c r="C300" s="14">
        <f>IF('StockList_MS2'!A299="","",'StockList_MS2'!A299)</f>
        <v/>
      </c>
      <c r="D300" s="16">
        <f>IF('StockList_MS2'!A299="","",'StockList_MS2'!B299)</f>
        <v/>
      </c>
      <c r="E300" s="17" t="n"/>
      <c r="F300" s="17" t="n"/>
      <c r="G300" s="17" t="n"/>
      <c r="H300" s="17" t="n"/>
      <c r="I300" s="18" t="n"/>
      <c r="J300" s="17" t="n"/>
      <c r="K300" s="17" t="n"/>
      <c r="L300" s="17" t="n"/>
      <c r="M300" s="14">
        <f>IF(E300="","",IF(E300&gt;L300,"BUY-DAY","SELL-DAY"))</f>
        <v/>
      </c>
      <c r="N300" s="19">
        <f>IF(E300="","",MAX(F300-G300,ABS(F300-L300),ABS(G300-L300)))</f>
        <v/>
      </c>
      <c r="O300" s="14">
        <f>IF(E300="","",IF(AND(I300&gt;0,I300&gt;(I300/3)*2.5),"VOL-OK","VOL-NG"))</f>
        <v/>
      </c>
      <c r="P300" s="14">
        <f>IF(E300="","",IF(E300&gt;J300,"ON","OFF"))</f>
        <v/>
      </c>
      <c r="Q300" s="14">
        <f>IF(E300="","",IF(E300&lt;K300,"ON","OFF"))</f>
        <v/>
      </c>
      <c r="R300" s="14">
        <f>IF(OR(E300="",N300&lt;=0),"",IF(AND(M300="BUY-DAY",O300="VOL-OK",Q300="ON",AA300="OK",AB300&lt;&gt;"DOWN"),"BUY",IF(AND(M300="SELL-DAY",O300="VOL-OK",P300="ON",AA300="OK",AB300&lt;&gt;"UP"),"SELL","")))</f>
        <v/>
      </c>
      <c r="S300" s="19">
        <f>IF(R300="","",E300)</f>
        <v/>
      </c>
      <c r="T300" s="19">
        <f>IF(R300="","",IF(R300="BUY",E300-N300*1.5,E300+N300*1.5))</f>
        <v/>
      </c>
      <c r="U300" s="19">
        <f>IF(R300="","",IF(R300="BUY",E300+N300*1.5,E300-N300*1.5))</f>
        <v/>
      </c>
      <c r="V300" s="19">
        <f>IF(R300="","",IF(R300="BUY",E300+N300*2,E300-N300*2))</f>
        <v/>
      </c>
      <c r="W300" s="19">
        <f>IF(R300="","",IF(R300="BUY",E300+N300*3,E300-N300*3))</f>
        <v/>
      </c>
      <c r="X300" s="14">
        <f>IF(OR(E300="",N300&lt;=0),"",IF(AND(E300&gt;H300,ABS(E300-H300)&lt;N300*0.5),"2ND","1ST"))</f>
        <v/>
      </c>
      <c r="Y300" s="14">
        <f>IF(OR(E300="",N300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00" s="14">
        <f>IF(OR(E300="",N300&lt;=0),"",IF(N300&gt;E300*0.05,"VOL-HIGH","VOL-NORMAL"))</f>
        <v/>
      </c>
      <c r="AA300" s="14">
        <f>IF(OR(E300="",N300&lt;=0),"",IF(AND(O300="VOL-OK",Z300="VOL-NORMAL",X300="2ND"),"OK","NG"))</f>
        <v/>
      </c>
      <c r="AB300" s="14">
        <f>IF(OR(E300="",N300&lt;=0),"",IF(AND(F300&gt;J300,G300&gt;K300),"UP",IF(AND(F300&lt;J300,G300&lt;K300),"DOWN","FLAT")))</f>
        <v/>
      </c>
    </row>
    <row r="301" ht="26" customHeight="1" s="1">
      <c r="A301" s="8">
        <f>IF(C301="","",ROW()-2)</f>
        <v/>
      </c>
      <c r="B301" s="9">
        <f>IF('StockList_MS2'!A300="","",HYPERLINK("https://kabutan.jp/stock/?code="&amp;'StockList_MS2'!A300,"株探"))</f>
        <v/>
      </c>
      <c r="C301" s="8">
        <f>IF('StockList_MS2'!A300="","",'StockList_MS2'!A300)</f>
        <v/>
      </c>
      <c r="D301" s="10">
        <f>IF('StockList_MS2'!A300="","",'StockList_MS2'!B300)</f>
        <v/>
      </c>
      <c r="E301" s="11" t="n"/>
      <c r="F301" s="11" t="n"/>
      <c r="G301" s="11" t="n"/>
      <c r="H301" s="11" t="n"/>
      <c r="I301" s="12" t="n"/>
      <c r="J301" s="11" t="n"/>
      <c r="K301" s="11" t="n"/>
      <c r="L301" s="11" t="n"/>
      <c r="M301" s="8">
        <f>IF(E301="","",IF(E301&gt;L301,"BUY-DAY","SELL-DAY"))</f>
        <v/>
      </c>
      <c r="N301" s="13">
        <f>IF(E301="","",MAX(F301-G301,ABS(F301-L301),ABS(G301-L301)))</f>
        <v/>
      </c>
      <c r="O301" s="8">
        <f>IF(E301="","",IF(AND(I301&gt;0,I301&gt;(I301/3)*2.5),"VOL-OK","VOL-NG"))</f>
        <v/>
      </c>
      <c r="P301" s="8">
        <f>IF(E301="","",IF(E301&gt;J301,"ON","OFF"))</f>
        <v/>
      </c>
      <c r="Q301" s="8">
        <f>IF(E301="","",IF(E301&lt;K301,"ON","OFF"))</f>
        <v/>
      </c>
      <c r="R301" s="8">
        <f>IF(OR(E301="",N301&lt;=0),"",IF(AND(M301="BUY-DAY",O301="VOL-OK",Q301="ON",AA301="OK",AB301&lt;&gt;"DOWN"),"BUY",IF(AND(M301="SELL-DAY",O301="VOL-OK",P301="ON",AA301="OK",AB301&lt;&gt;"UP"),"SELL","")))</f>
        <v/>
      </c>
      <c r="S301" s="13">
        <f>IF(R301="","",E301)</f>
        <v/>
      </c>
      <c r="T301" s="13">
        <f>IF(R301="","",IF(R301="BUY",E301-N301*1.5,E301+N301*1.5))</f>
        <v/>
      </c>
      <c r="U301" s="13">
        <f>IF(R301="","",IF(R301="BUY",E301+N301*1.5,E301-N301*1.5))</f>
        <v/>
      </c>
      <c r="V301" s="13">
        <f>IF(R301="","",IF(R301="BUY",E301+N301*2,E301-N301*2))</f>
        <v/>
      </c>
      <c r="W301" s="13">
        <f>IF(R301="","",IF(R301="BUY",E301+N301*3,E301-N301*3))</f>
        <v/>
      </c>
      <c r="X301" s="8">
        <f>IF(OR(E301="",N301&lt;=0),"",IF(AND(E301&gt;H301,ABS(E301-H301)&lt;N301*0.5),"2ND","1ST"))</f>
        <v/>
      </c>
      <c r="Y301" s="8">
        <f>IF(OR(E301="",N301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01" s="8">
        <f>IF(OR(E301="",N301&lt;=0),"",IF(N301&gt;E301*0.05,"VOL-HIGH","VOL-NORMAL"))</f>
        <v/>
      </c>
      <c r="AA301" s="8">
        <f>IF(OR(E301="",N301&lt;=0),"",IF(AND(O301="VOL-OK",Z301="VOL-NORMAL",X301="2ND"),"OK","NG"))</f>
        <v/>
      </c>
      <c r="AB301" s="8">
        <f>IF(OR(E301="",N301&lt;=0),"",IF(AND(F301&gt;J301,G301&gt;K301),"UP",IF(AND(F301&lt;J301,G301&lt;K301),"DOWN","FLAT")))</f>
        <v/>
      </c>
    </row>
    <row r="302" ht="26" customHeight="1" s="1">
      <c r="A302" s="14">
        <f>IF(C302="","",ROW()-2)</f>
        <v/>
      </c>
      <c r="B302" s="15">
        <f>IF('StockList_MS2'!A301="","",HYPERLINK("https://kabutan.jp/stock/?code="&amp;'StockList_MS2'!A301,"株探"))</f>
        <v/>
      </c>
      <c r="C302" s="14">
        <f>IF('StockList_MS2'!A301="","",'StockList_MS2'!A301)</f>
        <v/>
      </c>
      <c r="D302" s="16">
        <f>IF('StockList_MS2'!A301="","",'StockList_MS2'!B301)</f>
        <v/>
      </c>
      <c r="E302" s="17" t="n"/>
      <c r="F302" s="17" t="n"/>
      <c r="G302" s="17" t="n"/>
      <c r="H302" s="17" t="n"/>
      <c r="I302" s="18" t="n"/>
      <c r="J302" s="17" t="n"/>
      <c r="K302" s="17" t="n"/>
      <c r="L302" s="17" t="n"/>
      <c r="M302" s="14">
        <f>IF(E302="","",IF(E302&gt;L302,"BUY-DAY","SELL-DAY"))</f>
        <v/>
      </c>
      <c r="N302" s="19">
        <f>IF(E302="","",MAX(F302-G302,ABS(F302-L302),ABS(G302-L302)))</f>
        <v/>
      </c>
      <c r="O302" s="14">
        <f>IF(E302="","",IF(AND(I302&gt;0,I302&gt;(I302/3)*2.5),"VOL-OK","VOL-NG"))</f>
        <v/>
      </c>
      <c r="P302" s="14">
        <f>IF(E302="","",IF(E302&gt;J302,"ON","OFF"))</f>
        <v/>
      </c>
      <c r="Q302" s="14">
        <f>IF(E302="","",IF(E302&lt;K302,"ON","OFF"))</f>
        <v/>
      </c>
      <c r="R302" s="14">
        <f>IF(OR(E302="",N302&lt;=0),"",IF(AND(M302="BUY-DAY",O302="VOL-OK",Q302="ON",AA302="OK",AB302&lt;&gt;"DOWN"),"BUY",IF(AND(M302="SELL-DAY",O302="VOL-OK",P302="ON",AA302="OK",AB302&lt;&gt;"UP"),"SELL","")))</f>
        <v/>
      </c>
      <c r="S302" s="19">
        <f>IF(R302="","",E302)</f>
        <v/>
      </c>
      <c r="T302" s="19">
        <f>IF(R302="","",IF(R302="BUY",E302-N302*1.5,E302+N302*1.5))</f>
        <v/>
      </c>
      <c r="U302" s="19">
        <f>IF(R302="","",IF(R302="BUY",E302+N302*1.5,E302-N302*1.5))</f>
        <v/>
      </c>
      <c r="V302" s="19">
        <f>IF(R302="","",IF(R302="BUY",E302+N302*2,E302-N302*2))</f>
        <v/>
      </c>
      <c r="W302" s="19">
        <f>IF(R302="","",IF(R302="BUY",E302+N302*3,E302-N302*3))</f>
        <v/>
      </c>
      <c r="X302" s="14">
        <f>IF(OR(E302="",N302&lt;=0),"",IF(AND(E302&gt;H302,ABS(E302-H302)&lt;N302*0.5),"2ND","1ST"))</f>
        <v/>
      </c>
      <c r="Y302" s="14">
        <f>IF(OR(E302="",N302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02" s="14">
        <f>IF(OR(E302="",N302&lt;=0),"",IF(N302&gt;E302*0.05,"VOL-HIGH","VOL-NORMAL"))</f>
        <v/>
      </c>
      <c r="AA302" s="14">
        <f>IF(OR(E302="",N302&lt;=0),"",IF(AND(O302="VOL-OK",Z302="VOL-NORMAL",X302="2ND"),"OK","NG"))</f>
        <v/>
      </c>
      <c r="AB302" s="14">
        <f>IF(OR(E302="",N302&lt;=0),"",IF(AND(F302&gt;J302,G302&gt;K302),"UP",IF(AND(F302&lt;J302,G302&lt;K302),"DOWN","FLAT")))</f>
        <v/>
      </c>
    </row>
    <row r="303" ht="26" customHeight="1" s="1">
      <c r="A303" s="8">
        <f>IF(C303="","",ROW()-2)</f>
        <v/>
      </c>
      <c r="B303" s="9">
        <f>IF('StockList_MS2'!A302="","",HYPERLINK("https://kabutan.jp/stock/?code="&amp;'StockList_MS2'!A302,"株探"))</f>
        <v/>
      </c>
      <c r="C303" s="8">
        <f>IF('StockList_MS2'!A302="","",'StockList_MS2'!A302)</f>
        <v/>
      </c>
      <c r="D303" s="10">
        <f>IF('StockList_MS2'!A302="","",'StockList_MS2'!B302)</f>
        <v/>
      </c>
      <c r="E303" s="11" t="n"/>
      <c r="F303" s="11" t="n"/>
      <c r="G303" s="11" t="n"/>
      <c r="H303" s="11" t="n"/>
      <c r="I303" s="12" t="n"/>
      <c r="J303" s="11" t="n"/>
      <c r="K303" s="11" t="n"/>
      <c r="L303" s="11" t="n"/>
      <c r="M303" s="8">
        <f>IF(E303="","",IF(E303&gt;L303,"BUY-DAY","SELL-DAY"))</f>
        <v/>
      </c>
      <c r="N303" s="13">
        <f>IF(E303="","",MAX(F303-G303,ABS(F303-L303),ABS(G303-L303)))</f>
        <v/>
      </c>
      <c r="O303" s="8">
        <f>IF(E303="","",IF(AND(I303&gt;0,I303&gt;(I303/3)*2.5),"VOL-OK","VOL-NG"))</f>
        <v/>
      </c>
      <c r="P303" s="8">
        <f>IF(E303="","",IF(E303&gt;J303,"ON","OFF"))</f>
        <v/>
      </c>
      <c r="Q303" s="8">
        <f>IF(E303="","",IF(E303&lt;K303,"ON","OFF"))</f>
        <v/>
      </c>
      <c r="R303" s="8">
        <f>IF(OR(E303="",N303&lt;=0),"",IF(AND(M303="BUY-DAY",O303="VOL-OK",Q303="ON",AA303="OK",AB303&lt;&gt;"DOWN"),"BUY",IF(AND(M303="SELL-DAY",O303="VOL-OK",P303="ON",AA303="OK",AB303&lt;&gt;"UP"),"SELL","")))</f>
        <v/>
      </c>
      <c r="S303" s="13">
        <f>IF(R303="","",E303)</f>
        <v/>
      </c>
      <c r="T303" s="13">
        <f>IF(R303="","",IF(R303="BUY",E303-N303*1.5,E303+N303*1.5))</f>
        <v/>
      </c>
      <c r="U303" s="13">
        <f>IF(R303="","",IF(R303="BUY",E303+N303*1.5,E303-N303*1.5))</f>
        <v/>
      </c>
      <c r="V303" s="13">
        <f>IF(R303="","",IF(R303="BUY",E303+N303*2,E303-N303*2))</f>
        <v/>
      </c>
      <c r="W303" s="13">
        <f>IF(R303="","",IF(R303="BUY",E303+N303*3,E303-N303*3))</f>
        <v/>
      </c>
      <c r="X303" s="8">
        <f>IF(OR(E303="",N303&lt;=0),"",IF(AND(E303&gt;H303,ABS(E303-H303)&lt;N303*0.5),"2ND","1ST"))</f>
        <v/>
      </c>
      <c r="Y303" s="8">
        <f>IF(OR(E303="",N303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03" s="8">
        <f>IF(OR(E303="",N303&lt;=0),"",IF(N303&gt;E303*0.05,"VOL-HIGH","VOL-NORMAL"))</f>
        <v/>
      </c>
      <c r="AA303" s="8">
        <f>IF(OR(E303="",N303&lt;=0),"",IF(AND(O303="VOL-OK",Z303="VOL-NORMAL",X303="2ND"),"OK","NG"))</f>
        <v/>
      </c>
      <c r="AB303" s="8">
        <f>IF(OR(E303="",N303&lt;=0),"",IF(AND(F303&gt;J303,G303&gt;K303),"UP",IF(AND(F303&lt;J303,G303&lt;K303),"DOWN","FLAT")))</f>
        <v/>
      </c>
    </row>
    <row r="304" ht="26" customHeight="1" s="1">
      <c r="A304" s="14">
        <f>IF(C304="","",ROW()-2)</f>
        <v/>
      </c>
      <c r="B304" s="15">
        <f>IF('StockList_MS2'!A303="","",HYPERLINK("https://kabutan.jp/stock/?code="&amp;'StockList_MS2'!A303,"株探"))</f>
        <v/>
      </c>
      <c r="C304" s="14">
        <f>IF('StockList_MS2'!A303="","",'StockList_MS2'!A303)</f>
        <v/>
      </c>
      <c r="D304" s="16">
        <f>IF('StockList_MS2'!A303="","",'StockList_MS2'!B303)</f>
        <v/>
      </c>
      <c r="E304" s="17" t="n"/>
      <c r="F304" s="17" t="n"/>
      <c r="G304" s="17" t="n"/>
      <c r="H304" s="17" t="n"/>
      <c r="I304" s="18" t="n"/>
      <c r="J304" s="17" t="n"/>
      <c r="K304" s="17" t="n"/>
      <c r="L304" s="17" t="n"/>
      <c r="M304" s="14">
        <f>IF(E304="","",IF(E304&gt;L304,"BUY-DAY","SELL-DAY"))</f>
        <v/>
      </c>
      <c r="N304" s="19">
        <f>IF(E304="","",MAX(F304-G304,ABS(F304-L304),ABS(G304-L304)))</f>
        <v/>
      </c>
      <c r="O304" s="14">
        <f>IF(E304="","",IF(AND(I304&gt;0,I304&gt;(I304/3)*2.5),"VOL-OK","VOL-NG"))</f>
        <v/>
      </c>
      <c r="P304" s="14">
        <f>IF(E304="","",IF(E304&gt;J304,"ON","OFF"))</f>
        <v/>
      </c>
      <c r="Q304" s="14">
        <f>IF(E304="","",IF(E304&lt;K304,"ON","OFF"))</f>
        <v/>
      </c>
      <c r="R304" s="14">
        <f>IF(OR(E304="",N304&lt;=0),"",IF(AND(M304="BUY-DAY",O304="VOL-OK",Q304="ON",AA304="OK",AB304&lt;&gt;"DOWN"),"BUY",IF(AND(M304="SELL-DAY",O304="VOL-OK",P304="ON",AA304="OK",AB304&lt;&gt;"UP"),"SELL","")))</f>
        <v/>
      </c>
      <c r="S304" s="19">
        <f>IF(R304="","",E304)</f>
        <v/>
      </c>
      <c r="T304" s="19">
        <f>IF(R304="","",IF(R304="BUY",E304-N304*1.5,E304+N304*1.5))</f>
        <v/>
      </c>
      <c r="U304" s="19">
        <f>IF(R304="","",IF(R304="BUY",E304+N304*1.5,E304-N304*1.5))</f>
        <v/>
      </c>
      <c r="V304" s="19">
        <f>IF(R304="","",IF(R304="BUY",E304+N304*2,E304-N304*2))</f>
        <v/>
      </c>
      <c r="W304" s="19">
        <f>IF(R304="","",IF(R304="BUY",E304+N304*3,E304-N304*3))</f>
        <v/>
      </c>
      <c r="X304" s="14">
        <f>IF(OR(E304="",N304&lt;=0),"",IF(AND(E304&gt;H304,ABS(E304-H304)&lt;N304*0.5),"2ND","1ST"))</f>
        <v/>
      </c>
      <c r="Y304" s="14">
        <f>IF(OR(E304="",N304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04" s="14">
        <f>IF(OR(E304="",N304&lt;=0),"",IF(N304&gt;E304*0.05,"VOL-HIGH","VOL-NORMAL"))</f>
        <v/>
      </c>
      <c r="AA304" s="14">
        <f>IF(OR(E304="",N304&lt;=0),"",IF(AND(O304="VOL-OK",Z304="VOL-NORMAL",X304="2ND"),"OK","NG"))</f>
        <v/>
      </c>
      <c r="AB304" s="14">
        <f>IF(OR(E304="",N304&lt;=0),"",IF(AND(F304&gt;J304,G304&gt;K304),"UP",IF(AND(F304&lt;J304,G304&lt;K304),"DOWN","FLAT")))</f>
        <v/>
      </c>
    </row>
    <row r="305" ht="26" customHeight="1" s="1">
      <c r="A305" s="8">
        <f>IF(C305="","",ROW()-2)</f>
        <v/>
      </c>
      <c r="B305" s="9">
        <f>IF('StockList_MS2'!A304="","",HYPERLINK("https://kabutan.jp/stock/?code="&amp;'StockList_MS2'!A304,"株探"))</f>
        <v/>
      </c>
      <c r="C305" s="8">
        <f>IF('StockList_MS2'!A304="","",'StockList_MS2'!A304)</f>
        <v/>
      </c>
      <c r="D305" s="10">
        <f>IF('StockList_MS2'!A304="","",'StockList_MS2'!B304)</f>
        <v/>
      </c>
      <c r="E305" s="11" t="n"/>
      <c r="F305" s="11" t="n"/>
      <c r="G305" s="11" t="n"/>
      <c r="H305" s="11" t="n"/>
      <c r="I305" s="12" t="n"/>
      <c r="J305" s="11" t="n"/>
      <c r="K305" s="11" t="n"/>
      <c r="L305" s="11" t="n"/>
      <c r="M305" s="8">
        <f>IF(E305="","",IF(E305&gt;L305,"BUY-DAY","SELL-DAY"))</f>
        <v/>
      </c>
      <c r="N305" s="13">
        <f>IF(E305="","",MAX(F305-G305,ABS(F305-L305),ABS(G305-L305)))</f>
        <v/>
      </c>
      <c r="O305" s="8">
        <f>IF(E305="","",IF(AND(I305&gt;0,I305&gt;(I305/3)*2.5),"VOL-OK","VOL-NG"))</f>
        <v/>
      </c>
      <c r="P305" s="8">
        <f>IF(E305="","",IF(E305&gt;J305,"ON","OFF"))</f>
        <v/>
      </c>
      <c r="Q305" s="8">
        <f>IF(E305="","",IF(E305&lt;K305,"ON","OFF"))</f>
        <v/>
      </c>
      <c r="R305" s="8">
        <f>IF(OR(E305="",N305&lt;=0),"",IF(AND(M305="BUY-DAY",O305="VOL-OK",Q305="ON",AA305="OK",AB305&lt;&gt;"DOWN"),"BUY",IF(AND(M305="SELL-DAY",O305="VOL-OK",P305="ON",AA305="OK",AB305&lt;&gt;"UP"),"SELL","")))</f>
        <v/>
      </c>
      <c r="S305" s="13">
        <f>IF(R305="","",E305)</f>
        <v/>
      </c>
      <c r="T305" s="13">
        <f>IF(R305="","",IF(R305="BUY",E305-N305*1.5,E305+N305*1.5))</f>
        <v/>
      </c>
      <c r="U305" s="13">
        <f>IF(R305="","",IF(R305="BUY",E305+N305*1.5,E305-N305*1.5))</f>
        <v/>
      </c>
      <c r="V305" s="13">
        <f>IF(R305="","",IF(R305="BUY",E305+N305*2,E305-N305*2))</f>
        <v/>
      </c>
      <c r="W305" s="13">
        <f>IF(R305="","",IF(R305="BUY",E305+N305*3,E305-N305*3))</f>
        <v/>
      </c>
      <c r="X305" s="8">
        <f>IF(OR(E305="",N305&lt;=0),"",IF(AND(E305&gt;H305,ABS(E305-H305)&lt;N305*0.5),"2ND","1ST"))</f>
        <v/>
      </c>
      <c r="Y305" s="8">
        <f>IF(OR(E305="",N305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05" s="8">
        <f>IF(OR(E305="",N305&lt;=0),"",IF(N305&gt;E305*0.05,"VOL-HIGH","VOL-NORMAL"))</f>
        <v/>
      </c>
      <c r="AA305" s="8">
        <f>IF(OR(E305="",N305&lt;=0),"",IF(AND(O305="VOL-OK",Z305="VOL-NORMAL",X305="2ND"),"OK","NG"))</f>
        <v/>
      </c>
      <c r="AB305" s="8">
        <f>IF(OR(E305="",N305&lt;=0),"",IF(AND(F305&gt;J305,G305&gt;K305),"UP",IF(AND(F305&lt;J305,G305&lt;K305),"DOWN","FLAT")))</f>
        <v/>
      </c>
    </row>
    <row r="306" ht="26" customHeight="1" s="1">
      <c r="A306" s="14">
        <f>IF(C306="","",ROW()-2)</f>
        <v/>
      </c>
      <c r="B306" s="15">
        <f>IF('StockList_MS2'!A305="","",HYPERLINK("https://kabutan.jp/stock/?code="&amp;'StockList_MS2'!A305,"株探"))</f>
        <v/>
      </c>
      <c r="C306" s="14">
        <f>IF('StockList_MS2'!A305="","",'StockList_MS2'!A305)</f>
        <v/>
      </c>
      <c r="D306" s="16">
        <f>IF('StockList_MS2'!A305="","",'StockList_MS2'!B305)</f>
        <v/>
      </c>
      <c r="E306" s="17" t="n"/>
      <c r="F306" s="17" t="n"/>
      <c r="G306" s="17" t="n"/>
      <c r="H306" s="17" t="n"/>
      <c r="I306" s="18" t="n"/>
      <c r="J306" s="17" t="n"/>
      <c r="K306" s="17" t="n"/>
      <c r="L306" s="17" t="n"/>
      <c r="M306" s="14">
        <f>IF(E306="","",IF(E306&gt;L306,"BUY-DAY","SELL-DAY"))</f>
        <v/>
      </c>
      <c r="N306" s="19">
        <f>IF(E306="","",MAX(F306-G306,ABS(F306-L306),ABS(G306-L306)))</f>
        <v/>
      </c>
      <c r="O306" s="14">
        <f>IF(E306="","",IF(AND(I306&gt;0,I306&gt;(I306/3)*2.5),"VOL-OK","VOL-NG"))</f>
        <v/>
      </c>
      <c r="P306" s="14">
        <f>IF(E306="","",IF(E306&gt;J306,"ON","OFF"))</f>
        <v/>
      </c>
      <c r="Q306" s="14">
        <f>IF(E306="","",IF(E306&lt;K306,"ON","OFF"))</f>
        <v/>
      </c>
      <c r="R306" s="14">
        <f>IF(OR(E306="",N306&lt;=0),"",IF(AND(M306="BUY-DAY",O306="VOL-OK",Q306="ON",AA306="OK",AB306&lt;&gt;"DOWN"),"BUY",IF(AND(M306="SELL-DAY",O306="VOL-OK",P306="ON",AA306="OK",AB306&lt;&gt;"UP"),"SELL","")))</f>
        <v/>
      </c>
      <c r="S306" s="19">
        <f>IF(R306="","",E306)</f>
        <v/>
      </c>
      <c r="T306" s="19">
        <f>IF(R306="","",IF(R306="BUY",E306-N306*1.5,E306+N306*1.5))</f>
        <v/>
      </c>
      <c r="U306" s="19">
        <f>IF(R306="","",IF(R306="BUY",E306+N306*1.5,E306-N306*1.5))</f>
        <v/>
      </c>
      <c r="V306" s="19">
        <f>IF(R306="","",IF(R306="BUY",E306+N306*2,E306-N306*2))</f>
        <v/>
      </c>
      <c r="W306" s="19">
        <f>IF(R306="","",IF(R306="BUY",E306+N306*3,E306-N306*3))</f>
        <v/>
      </c>
      <c r="X306" s="14">
        <f>IF(OR(E306="",N306&lt;=0),"",IF(AND(E306&gt;H306,ABS(E306-H306)&lt;N306*0.5),"2ND","1ST"))</f>
        <v/>
      </c>
      <c r="Y306" s="14">
        <f>IF(OR(E306="",N306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06" s="14">
        <f>IF(OR(E306="",N306&lt;=0),"",IF(N306&gt;E306*0.05,"VOL-HIGH","VOL-NORMAL"))</f>
        <v/>
      </c>
      <c r="AA306" s="14">
        <f>IF(OR(E306="",N306&lt;=0),"",IF(AND(O306="VOL-OK",Z306="VOL-NORMAL",X306="2ND"),"OK","NG"))</f>
        <v/>
      </c>
      <c r="AB306" s="14">
        <f>IF(OR(E306="",N306&lt;=0),"",IF(AND(F306&gt;J306,G306&gt;K306),"UP",IF(AND(F306&lt;J306,G306&lt;K306),"DOWN","FLAT")))</f>
        <v/>
      </c>
    </row>
    <row r="307" ht="26" customHeight="1" s="1">
      <c r="A307" s="8">
        <f>IF(C307="","",ROW()-2)</f>
        <v/>
      </c>
      <c r="B307" s="9">
        <f>IF('StockList_MS2'!A306="","",HYPERLINK("https://kabutan.jp/stock/?code="&amp;'StockList_MS2'!A306,"株探"))</f>
        <v/>
      </c>
      <c r="C307" s="8">
        <f>IF('StockList_MS2'!A306="","",'StockList_MS2'!A306)</f>
        <v/>
      </c>
      <c r="D307" s="10">
        <f>IF('StockList_MS2'!A306="","",'StockList_MS2'!B306)</f>
        <v/>
      </c>
      <c r="E307" s="11" t="n"/>
      <c r="F307" s="11" t="n"/>
      <c r="G307" s="11" t="n"/>
      <c r="H307" s="11" t="n"/>
      <c r="I307" s="12" t="n"/>
      <c r="J307" s="11" t="n"/>
      <c r="K307" s="11" t="n"/>
      <c r="L307" s="11" t="n"/>
      <c r="M307" s="8">
        <f>IF(E307="","",IF(E307&gt;L307,"BUY-DAY","SELL-DAY"))</f>
        <v/>
      </c>
      <c r="N307" s="13">
        <f>IF(E307="","",MAX(F307-G307,ABS(F307-L307),ABS(G307-L307)))</f>
        <v/>
      </c>
      <c r="O307" s="8">
        <f>IF(E307="","",IF(AND(I307&gt;0,I307&gt;(I307/3)*2.5),"VOL-OK","VOL-NG"))</f>
        <v/>
      </c>
      <c r="P307" s="8">
        <f>IF(E307="","",IF(E307&gt;J307,"ON","OFF"))</f>
        <v/>
      </c>
      <c r="Q307" s="8">
        <f>IF(E307="","",IF(E307&lt;K307,"ON","OFF"))</f>
        <v/>
      </c>
      <c r="R307" s="8">
        <f>IF(OR(E307="",N307&lt;=0),"",IF(AND(M307="BUY-DAY",O307="VOL-OK",Q307="ON",AA307="OK",AB307&lt;&gt;"DOWN"),"BUY",IF(AND(M307="SELL-DAY",O307="VOL-OK",P307="ON",AA307="OK",AB307&lt;&gt;"UP"),"SELL","")))</f>
        <v/>
      </c>
      <c r="S307" s="13">
        <f>IF(R307="","",E307)</f>
        <v/>
      </c>
      <c r="T307" s="13">
        <f>IF(R307="","",IF(R307="BUY",E307-N307*1.5,E307+N307*1.5))</f>
        <v/>
      </c>
      <c r="U307" s="13">
        <f>IF(R307="","",IF(R307="BUY",E307+N307*1.5,E307-N307*1.5))</f>
        <v/>
      </c>
      <c r="V307" s="13">
        <f>IF(R307="","",IF(R307="BUY",E307+N307*2,E307-N307*2))</f>
        <v/>
      </c>
      <c r="W307" s="13">
        <f>IF(R307="","",IF(R307="BUY",E307+N307*3,E307-N307*3))</f>
        <v/>
      </c>
      <c r="X307" s="8">
        <f>IF(OR(E307="",N307&lt;=0),"",IF(AND(E307&gt;H307,ABS(E307-H307)&lt;N307*0.5),"2ND","1ST"))</f>
        <v/>
      </c>
      <c r="Y307" s="8">
        <f>IF(OR(E307="",N307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07" s="8">
        <f>IF(OR(E307="",N307&lt;=0),"",IF(N307&gt;E307*0.05,"VOL-HIGH","VOL-NORMAL"))</f>
        <v/>
      </c>
      <c r="AA307" s="8">
        <f>IF(OR(E307="",N307&lt;=0),"",IF(AND(O307="VOL-OK",Z307="VOL-NORMAL",X307="2ND"),"OK","NG"))</f>
        <v/>
      </c>
      <c r="AB307" s="8">
        <f>IF(OR(E307="",N307&lt;=0),"",IF(AND(F307&gt;J307,G307&gt;K307),"UP",IF(AND(F307&lt;J307,G307&lt;K307),"DOWN","FLAT")))</f>
        <v/>
      </c>
    </row>
    <row r="308" ht="26" customHeight="1" s="1">
      <c r="A308" s="14">
        <f>IF(C308="","",ROW()-2)</f>
        <v/>
      </c>
      <c r="B308" s="15">
        <f>IF('StockList_MS2'!A307="","",HYPERLINK("https://kabutan.jp/stock/?code="&amp;'StockList_MS2'!A307,"株探"))</f>
        <v/>
      </c>
      <c r="C308" s="14">
        <f>IF('StockList_MS2'!A307="","",'StockList_MS2'!A307)</f>
        <v/>
      </c>
      <c r="D308" s="16">
        <f>IF('StockList_MS2'!A307="","",'StockList_MS2'!B307)</f>
        <v/>
      </c>
      <c r="E308" s="17" t="n"/>
      <c r="F308" s="17" t="n"/>
      <c r="G308" s="17" t="n"/>
      <c r="H308" s="17" t="n"/>
      <c r="I308" s="18" t="n"/>
      <c r="J308" s="17" t="n"/>
      <c r="K308" s="17" t="n"/>
      <c r="L308" s="17" t="n"/>
      <c r="M308" s="14">
        <f>IF(E308="","",IF(E308&gt;L308,"BUY-DAY","SELL-DAY"))</f>
        <v/>
      </c>
      <c r="N308" s="19">
        <f>IF(E308="","",MAX(F308-G308,ABS(F308-L308),ABS(G308-L308)))</f>
        <v/>
      </c>
      <c r="O308" s="14">
        <f>IF(E308="","",IF(AND(I308&gt;0,I308&gt;(I308/3)*2.5),"VOL-OK","VOL-NG"))</f>
        <v/>
      </c>
      <c r="P308" s="14">
        <f>IF(E308="","",IF(E308&gt;J308,"ON","OFF"))</f>
        <v/>
      </c>
      <c r="Q308" s="14">
        <f>IF(E308="","",IF(E308&lt;K308,"ON","OFF"))</f>
        <v/>
      </c>
      <c r="R308" s="14">
        <f>IF(OR(E308="",N308&lt;=0),"",IF(AND(M308="BUY-DAY",O308="VOL-OK",Q308="ON",AA308="OK",AB308&lt;&gt;"DOWN"),"BUY",IF(AND(M308="SELL-DAY",O308="VOL-OK",P308="ON",AA308="OK",AB308&lt;&gt;"UP"),"SELL","")))</f>
        <v/>
      </c>
      <c r="S308" s="19">
        <f>IF(R308="","",E308)</f>
        <v/>
      </c>
      <c r="T308" s="19">
        <f>IF(R308="","",IF(R308="BUY",E308-N308*1.5,E308+N308*1.5))</f>
        <v/>
      </c>
      <c r="U308" s="19">
        <f>IF(R308="","",IF(R308="BUY",E308+N308*1.5,E308-N308*1.5))</f>
        <v/>
      </c>
      <c r="V308" s="19">
        <f>IF(R308="","",IF(R308="BUY",E308+N308*2,E308-N308*2))</f>
        <v/>
      </c>
      <c r="W308" s="19">
        <f>IF(R308="","",IF(R308="BUY",E308+N308*3,E308-N308*3))</f>
        <v/>
      </c>
      <c r="X308" s="14">
        <f>IF(OR(E308="",N308&lt;=0),"",IF(AND(E308&gt;H308,ABS(E308-H308)&lt;N308*0.5),"2ND","1ST"))</f>
        <v/>
      </c>
      <c r="Y308" s="14">
        <f>IF(OR(E308="",N308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08" s="14">
        <f>IF(OR(E308="",N308&lt;=0),"",IF(N308&gt;E308*0.05,"VOL-HIGH","VOL-NORMAL"))</f>
        <v/>
      </c>
      <c r="AA308" s="14">
        <f>IF(OR(E308="",N308&lt;=0),"",IF(AND(O308="VOL-OK",Z308="VOL-NORMAL",X308="2ND"),"OK","NG"))</f>
        <v/>
      </c>
      <c r="AB308" s="14">
        <f>IF(OR(E308="",N308&lt;=0),"",IF(AND(F308&gt;J308,G308&gt;K308),"UP",IF(AND(F308&lt;J308,G308&lt;K308),"DOWN","FLAT")))</f>
        <v/>
      </c>
    </row>
    <row r="309" ht="26" customHeight="1" s="1">
      <c r="A309" s="8">
        <f>IF(C309="","",ROW()-2)</f>
        <v/>
      </c>
      <c r="B309" s="9">
        <f>IF('StockList_MS2'!A308="","",HYPERLINK("https://kabutan.jp/stock/?code="&amp;'StockList_MS2'!A308,"株探"))</f>
        <v/>
      </c>
      <c r="C309" s="8">
        <f>IF('StockList_MS2'!A308="","",'StockList_MS2'!A308)</f>
        <v/>
      </c>
      <c r="D309" s="10">
        <f>IF('StockList_MS2'!A308="","",'StockList_MS2'!B308)</f>
        <v/>
      </c>
      <c r="E309" s="11" t="n"/>
      <c r="F309" s="11" t="n"/>
      <c r="G309" s="11" t="n"/>
      <c r="H309" s="11" t="n"/>
      <c r="I309" s="12" t="n"/>
      <c r="J309" s="11" t="n"/>
      <c r="K309" s="11" t="n"/>
      <c r="L309" s="11" t="n"/>
      <c r="M309" s="8">
        <f>IF(E309="","",IF(E309&gt;L309,"BUY-DAY","SELL-DAY"))</f>
        <v/>
      </c>
      <c r="N309" s="13">
        <f>IF(E309="","",MAX(F309-G309,ABS(F309-L309),ABS(G309-L309)))</f>
        <v/>
      </c>
      <c r="O309" s="8">
        <f>IF(E309="","",IF(AND(I309&gt;0,I309&gt;(I309/3)*2.5),"VOL-OK","VOL-NG"))</f>
        <v/>
      </c>
      <c r="P309" s="8">
        <f>IF(E309="","",IF(E309&gt;J309,"ON","OFF"))</f>
        <v/>
      </c>
      <c r="Q309" s="8">
        <f>IF(E309="","",IF(E309&lt;K309,"ON","OFF"))</f>
        <v/>
      </c>
      <c r="R309" s="8">
        <f>IF(OR(E309="",N309&lt;=0),"",IF(AND(M309="BUY-DAY",O309="VOL-OK",Q309="ON",AA309="OK",AB309&lt;&gt;"DOWN"),"BUY",IF(AND(M309="SELL-DAY",O309="VOL-OK",P309="ON",AA309="OK",AB309&lt;&gt;"UP"),"SELL","")))</f>
        <v/>
      </c>
      <c r="S309" s="13">
        <f>IF(R309="","",E309)</f>
        <v/>
      </c>
      <c r="T309" s="13">
        <f>IF(R309="","",IF(R309="BUY",E309-N309*1.5,E309+N309*1.5))</f>
        <v/>
      </c>
      <c r="U309" s="13">
        <f>IF(R309="","",IF(R309="BUY",E309+N309*1.5,E309-N309*1.5))</f>
        <v/>
      </c>
      <c r="V309" s="13">
        <f>IF(R309="","",IF(R309="BUY",E309+N309*2,E309-N309*2))</f>
        <v/>
      </c>
      <c r="W309" s="13">
        <f>IF(R309="","",IF(R309="BUY",E309+N309*3,E309-N309*3))</f>
        <v/>
      </c>
      <c r="X309" s="8">
        <f>IF(OR(E309="",N309&lt;=0),"",IF(AND(E309&gt;H309,ABS(E309-H309)&lt;N309*0.5),"2ND","1ST"))</f>
        <v/>
      </c>
      <c r="Y309" s="8">
        <f>IF(OR(E309="",N309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09" s="8">
        <f>IF(OR(E309="",N309&lt;=0),"",IF(N309&gt;E309*0.05,"VOL-HIGH","VOL-NORMAL"))</f>
        <v/>
      </c>
      <c r="AA309" s="8">
        <f>IF(OR(E309="",N309&lt;=0),"",IF(AND(O309="VOL-OK",Z309="VOL-NORMAL",X309="2ND"),"OK","NG"))</f>
        <v/>
      </c>
      <c r="AB309" s="8">
        <f>IF(OR(E309="",N309&lt;=0),"",IF(AND(F309&gt;J309,G309&gt;K309),"UP",IF(AND(F309&lt;J309,G309&lt;K309),"DOWN","FLAT")))</f>
        <v/>
      </c>
    </row>
    <row r="310" ht="26" customHeight="1" s="1">
      <c r="A310" s="14">
        <f>IF(C310="","",ROW()-2)</f>
        <v/>
      </c>
      <c r="B310" s="15">
        <f>IF('StockList_MS2'!A309="","",HYPERLINK("https://kabutan.jp/stock/?code="&amp;'StockList_MS2'!A309,"株探"))</f>
        <v/>
      </c>
      <c r="C310" s="14">
        <f>IF('StockList_MS2'!A309="","",'StockList_MS2'!A309)</f>
        <v/>
      </c>
      <c r="D310" s="16">
        <f>IF('StockList_MS2'!A309="","",'StockList_MS2'!B309)</f>
        <v/>
      </c>
      <c r="E310" s="17" t="n"/>
      <c r="F310" s="17" t="n"/>
      <c r="G310" s="17" t="n"/>
      <c r="H310" s="17" t="n"/>
      <c r="I310" s="18" t="n"/>
      <c r="J310" s="17" t="n"/>
      <c r="K310" s="17" t="n"/>
      <c r="L310" s="17" t="n"/>
      <c r="M310" s="14">
        <f>IF(E310="","",IF(E310&gt;L310,"BUY-DAY","SELL-DAY"))</f>
        <v/>
      </c>
      <c r="N310" s="19">
        <f>IF(E310="","",MAX(F310-G310,ABS(F310-L310),ABS(G310-L310)))</f>
        <v/>
      </c>
      <c r="O310" s="14">
        <f>IF(E310="","",IF(AND(I310&gt;0,I310&gt;(I310/3)*2.5),"VOL-OK","VOL-NG"))</f>
        <v/>
      </c>
      <c r="P310" s="14">
        <f>IF(E310="","",IF(E310&gt;J310,"ON","OFF"))</f>
        <v/>
      </c>
      <c r="Q310" s="14">
        <f>IF(E310="","",IF(E310&lt;K310,"ON","OFF"))</f>
        <v/>
      </c>
      <c r="R310" s="14">
        <f>IF(OR(E310="",N310&lt;=0),"",IF(AND(M310="BUY-DAY",O310="VOL-OK",Q310="ON",AA310="OK",AB310&lt;&gt;"DOWN"),"BUY",IF(AND(M310="SELL-DAY",O310="VOL-OK",P310="ON",AA310="OK",AB310&lt;&gt;"UP"),"SELL","")))</f>
        <v/>
      </c>
      <c r="S310" s="19">
        <f>IF(R310="","",E310)</f>
        <v/>
      </c>
      <c r="T310" s="19">
        <f>IF(R310="","",IF(R310="BUY",E310-N310*1.5,E310+N310*1.5))</f>
        <v/>
      </c>
      <c r="U310" s="19">
        <f>IF(R310="","",IF(R310="BUY",E310+N310*1.5,E310-N310*1.5))</f>
        <v/>
      </c>
      <c r="V310" s="19">
        <f>IF(R310="","",IF(R310="BUY",E310+N310*2,E310-N310*2))</f>
        <v/>
      </c>
      <c r="W310" s="19">
        <f>IF(R310="","",IF(R310="BUY",E310+N310*3,E310-N310*3))</f>
        <v/>
      </c>
      <c r="X310" s="14">
        <f>IF(OR(E310="",N310&lt;=0),"",IF(AND(E310&gt;H310,ABS(E310-H310)&lt;N310*0.5),"2ND","1ST"))</f>
        <v/>
      </c>
      <c r="Y310" s="14">
        <f>IF(OR(E310="",N310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10" s="14">
        <f>IF(OR(E310="",N310&lt;=0),"",IF(N310&gt;E310*0.05,"VOL-HIGH","VOL-NORMAL"))</f>
        <v/>
      </c>
      <c r="AA310" s="14">
        <f>IF(OR(E310="",N310&lt;=0),"",IF(AND(O310="VOL-OK",Z310="VOL-NORMAL",X310="2ND"),"OK","NG"))</f>
        <v/>
      </c>
      <c r="AB310" s="14">
        <f>IF(OR(E310="",N310&lt;=0),"",IF(AND(F310&gt;J310,G310&gt;K310),"UP",IF(AND(F310&lt;J310,G310&lt;K310),"DOWN","FLAT")))</f>
        <v/>
      </c>
    </row>
    <row r="311" ht="26" customHeight="1" s="1">
      <c r="A311" s="8">
        <f>IF(C311="","",ROW()-2)</f>
        <v/>
      </c>
      <c r="B311" s="9">
        <f>IF('StockList_MS2'!A310="","",HYPERLINK("https://kabutan.jp/stock/?code="&amp;'StockList_MS2'!A310,"株探"))</f>
        <v/>
      </c>
      <c r="C311" s="8">
        <f>IF('StockList_MS2'!A310="","",'StockList_MS2'!A310)</f>
        <v/>
      </c>
      <c r="D311" s="10">
        <f>IF('StockList_MS2'!A310="","",'StockList_MS2'!B310)</f>
        <v/>
      </c>
      <c r="E311" s="11" t="n"/>
      <c r="F311" s="11" t="n"/>
      <c r="G311" s="11" t="n"/>
      <c r="H311" s="11" t="n"/>
      <c r="I311" s="12" t="n"/>
      <c r="J311" s="11" t="n"/>
      <c r="K311" s="11" t="n"/>
      <c r="L311" s="11" t="n"/>
      <c r="M311" s="8">
        <f>IF(E311="","",IF(E311&gt;L311,"BUY-DAY","SELL-DAY"))</f>
        <v/>
      </c>
      <c r="N311" s="13">
        <f>IF(E311="","",MAX(F311-G311,ABS(F311-L311),ABS(G311-L311)))</f>
        <v/>
      </c>
      <c r="O311" s="8">
        <f>IF(E311="","",IF(AND(I311&gt;0,I311&gt;(I311/3)*2.5),"VOL-OK","VOL-NG"))</f>
        <v/>
      </c>
      <c r="P311" s="8">
        <f>IF(E311="","",IF(E311&gt;J311,"ON","OFF"))</f>
        <v/>
      </c>
      <c r="Q311" s="8">
        <f>IF(E311="","",IF(E311&lt;K311,"ON","OFF"))</f>
        <v/>
      </c>
      <c r="R311" s="8">
        <f>IF(OR(E311="",N311&lt;=0),"",IF(AND(M311="BUY-DAY",O311="VOL-OK",Q311="ON",AA311="OK",AB311&lt;&gt;"DOWN"),"BUY",IF(AND(M311="SELL-DAY",O311="VOL-OK",P311="ON",AA311="OK",AB311&lt;&gt;"UP"),"SELL","")))</f>
        <v/>
      </c>
      <c r="S311" s="13">
        <f>IF(R311="","",E311)</f>
        <v/>
      </c>
      <c r="T311" s="13">
        <f>IF(R311="","",IF(R311="BUY",E311-N311*1.5,E311+N311*1.5))</f>
        <v/>
      </c>
      <c r="U311" s="13">
        <f>IF(R311="","",IF(R311="BUY",E311+N311*1.5,E311-N311*1.5))</f>
        <v/>
      </c>
      <c r="V311" s="13">
        <f>IF(R311="","",IF(R311="BUY",E311+N311*2,E311-N311*2))</f>
        <v/>
      </c>
      <c r="W311" s="13">
        <f>IF(R311="","",IF(R311="BUY",E311+N311*3,E311-N311*3))</f>
        <v/>
      </c>
      <c r="X311" s="8">
        <f>IF(OR(E311="",N311&lt;=0),"",IF(AND(E311&gt;H311,ABS(E311-H311)&lt;N311*0.5),"2ND","1ST"))</f>
        <v/>
      </c>
      <c r="Y311" s="8">
        <f>IF(OR(E311="",N311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11" s="8">
        <f>IF(OR(E311="",N311&lt;=0),"",IF(N311&gt;E311*0.05,"VOL-HIGH","VOL-NORMAL"))</f>
        <v/>
      </c>
      <c r="AA311" s="8">
        <f>IF(OR(E311="",N311&lt;=0),"",IF(AND(O311="VOL-OK",Z311="VOL-NORMAL",X311="2ND"),"OK","NG"))</f>
        <v/>
      </c>
      <c r="AB311" s="8">
        <f>IF(OR(E311="",N311&lt;=0),"",IF(AND(F311&gt;J311,G311&gt;K311),"UP",IF(AND(F311&lt;J311,G311&lt;K311),"DOWN","FLAT")))</f>
        <v/>
      </c>
    </row>
    <row r="312" ht="26" customHeight="1" s="1">
      <c r="A312" s="14">
        <f>IF(C312="","",ROW()-2)</f>
        <v/>
      </c>
      <c r="B312" s="15">
        <f>IF('StockList_MS2'!A311="","",HYPERLINK("https://kabutan.jp/stock/?code="&amp;'StockList_MS2'!A311,"株探"))</f>
        <v/>
      </c>
      <c r="C312" s="14">
        <f>IF('StockList_MS2'!A311="","",'StockList_MS2'!A311)</f>
        <v/>
      </c>
      <c r="D312" s="16">
        <f>IF('StockList_MS2'!A311="","",'StockList_MS2'!B311)</f>
        <v/>
      </c>
      <c r="E312" s="17" t="n"/>
      <c r="F312" s="17" t="n"/>
      <c r="G312" s="17" t="n"/>
      <c r="H312" s="17" t="n"/>
      <c r="I312" s="18" t="n"/>
      <c r="J312" s="17" t="n"/>
      <c r="K312" s="17" t="n"/>
      <c r="L312" s="17" t="n"/>
      <c r="M312" s="14">
        <f>IF(E312="","",IF(E312&gt;L312,"BUY-DAY","SELL-DAY"))</f>
        <v/>
      </c>
      <c r="N312" s="19">
        <f>IF(E312="","",MAX(F312-G312,ABS(F312-L312),ABS(G312-L312)))</f>
        <v/>
      </c>
      <c r="O312" s="14">
        <f>IF(E312="","",IF(AND(I312&gt;0,I312&gt;(I312/3)*2.5),"VOL-OK","VOL-NG"))</f>
        <v/>
      </c>
      <c r="P312" s="14">
        <f>IF(E312="","",IF(E312&gt;J312,"ON","OFF"))</f>
        <v/>
      </c>
      <c r="Q312" s="14">
        <f>IF(E312="","",IF(E312&lt;K312,"ON","OFF"))</f>
        <v/>
      </c>
      <c r="R312" s="14">
        <f>IF(OR(E312="",N312&lt;=0),"",IF(AND(M312="BUY-DAY",O312="VOL-OK",Q312="ON",AA312="OK",AB312&lt;&gt;"DOWN"),"BUY",IF(AND(M312="SELL-DAY",O312="VOL-OK",P312="ON",AA312="OK",AB312&lt;&gt;"UP"),"SELL","")))</f>
        <v/>
      </c>
      <c r="S312" s="19">
        <f>IF(R312="","",E312)</f>
        <v/>
      </c>
      <c r="T312" s="19">
        <f>IF(R312="","",IF(R312="BUY",E312-N312*1.5,E312+N312*1.5))</f>
        <v/>
      </c>
      <c r="U312" s="19">
        <f>IF(R312="","",IF(R312="BUY",E312+N312*1.5,E312-N312*1.5))</f>
        <v/>
      </c>
      <c r="V312" s="19">
        <f>IF(R312="","",IF(R312="BUY",E312+N312*2,E312-N312*2))</f>
        <v/>
      </c>
      <c r="W312" s="19">
        <f>IF(R312="","",IF(R312="BUY",E312+N312*3,E312-N312*3))</f>
        <v/>
      </c>
      <c r="X312" s="14">
        <f>IF(OR(E312="",N312&lt;=0),"",IF(AND(E312&gt;H312,ABS(E312-H312)&lt;N312*0.5),"2ND","1ST"))</f>
        <v/>
      </c>
      <c r="Y312" s="14">
        <f>IF(OR(E312="",N312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12" s="14">
        <f>IF(OR(E312="",N312&lt;=0),"",IF(N312&gt;E312*0.05,"VOL-HIGH","VOL-NORMAL"))</f>
        <v/>
      </c>
      <c r="AA312" s="14">
        <f>IF(OR(E312="",N312&lt;=0),"",IF(AND(O312="VOL-OK",Z312="VOL-NORMAL",X312="2ND"),"OK","NG"))</f>
        <v/>
      </c>
      <c r="AB312" s="14">
        <f>IF(OR(E312="",N312&lt;=0),"",IF(AND(F312&gt;J312,G312&gt;K312),"UP",IF(AND(F312&lt;J312,G312&lt;K312),"DOWN","FLAT")))</f>
        <v/>
      </c>
    </row>
    <row r="313" ht="26" customHeight="1" s="1">
      <c r="A313" s="8">
        <f>IF(C313="","",ROW()-2)</f>
        <v/>
      </c>
      <c r="B313" s="9">
        <f>IF('StockList_MS2'!A312="","",HYPERLINK("https://kabutan.jp/stock/?code="&amp;'StockList_MS2'!A312,"株探"))</f>
        <v/>
      </c>
      <c r="C313" s="8">
        <f>IF('StockList_MS2'!A312="","",'StockList_MS2'!A312)</f>
        <v/>
      </c>
      <c r="D313" s="10">
        <f>IF('StockList_MS2'!A312="","",'StockList_MS2'!B312)</f>
        <v/>
      </c>
      <c r="E313" s="11" t="n"/>
      <c r="F313" s="11" t="n"/>
      <c r="G313" s="11" t="n"/>
      <c r="H313" s="11" t="n"/>
      <c r="I313" s="12" t="n"/>
      <c r="J313" s="11" t="n"/>
      <c r="K313" s="11" t="n"/>
      <c r="L313" s="11" t="n"/>
      <c r="M313" s="8">
        <f>IF(E313="","",IF(E313&gt;L313,"BUY-DAY","SELL-DAY"))</f>
        <v/>
      </c>
      <c r="N313" s="13">
        <f>IF(E313="","",MAX(F313-G313,ABS(F313-L313),ABS(G313-L313)))</f>
        <v/>
      </c>
      <c r="O313" s="8">
        <f>IF(E313="","",IF(AND(I313&gt;0,I313&gt;(I313/3)*2.5),"VOL-OK","VOL-NG"))</f>
        <v/>
      </c>
      <c r="P313" s="8">
        <f>IF(E313="","",IF(E313&gt;J313,"ON","OFF"))</f>
        <v/>
      </c>
      <c r="Q313" s="8">
        <f>IF(E313="","",IF(E313&lt;K313,"ON","OFF"))</f>
        <v/>
      </c>
      <c r="R313" s="8">
        <f>IF(OR(E313="",N313&lt;=0),"",IF(AND(M313="BUY-DAY",O313="VOL-OK",Q313="ON",AA313="OK",AB313&lt;&gt;"DOWN"),"BUY",IF(AND(M313="SELL-DAY",O313="VOL-OK",P313="ON",AA313="OK",AB313&lt;&gt;"UP"),"SELL","")))</f>
        <v/>
      </c>
      <c r="S313" s="13">
        <f>IF(R313="","",E313)</f>
        <v/>
      </c>
      <c r="T313" s="13">
        <f>IF(R313="","",IF(R313="BUY",E313-N313*1.5,E313+N313*1.5))</f>
        <v/>
      </c>
      <c r="U313" s="13">
        <f>IF(R313="","",IF(R313="BUY",E313+N313*1.5,E313-N313*1.5))</f>
        <v/>
      </c>
      <c r="V313" s="13">
        <f>IF(R313="","",IF(R313="BUY",E313+N313*2,E313-N313*2))</f>
        <v/>
      </c>
      <c r="W313" s="13">
        <f>IF(R313="","",IF(R313="BUY",E313+N313*3,E313-N313*3))</f>
        <v/>
      </c>
      <c r="X313" s="8">
        <f>IF(OR(E313="",N313&lt;=0),"",IF(AND(E313&gt;H313,ABS(E313-H313)&lt;N313*0.5),"2ND","1ST"))</f>
        <v/>
      </c>
      <c r="Y313" s="8">
        <f>IF(OR(E313="",N313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13" s="8">
        <f>IF(OR(E313="",N313&lt;=0),"",IF(N313&gt;E313*0.05,"VOL-HIGH","VOL-NORMAL"))</f>
        <v/>
      </c>
      <c r="AA313" s="8">
        <f>IF(OR(E313="",N313&lt;=0),"",IF(AND(O313="VOL-OK",Z313="VOL-NORMAL",X313="2ND"),"OK","NG"))</f>
        <v/>
      </c>
      <c r="AB313" s="8">
        <f>IF(OR(E313="",N313&lt;=0),"",IF(AND(F313&gt;J313,G313&gt;K313),"UP",IF(AND(F313&lt;J313,G313&lt;K313),"DOWN","FLAT")))</f>
        <v/>
      </c>
    </row>
    <row r="314" ht="26" customHeight="1" s="1">
      <c r="A314" s="14">
        <f>IF(C314="","",ROW()-2)</f>
        <v/>
      </c>
      <c r="B314" s="15">
        <f>IF('StockList_MS2'!A313="","",HYPERLINK("https://kabutan.jp/stock/?code="&amp;'StockList_MS2'!A313,"株探"))</f>
        <v/>
      </c>
      <c r="C314" s="14">
        <f>IF('StockList_MS2'!A313="","",'StockList_MS2'!A313)</f>
        <v/>
      </c>
      <c r="D314" s="16">
        <f>IF('StockList_MS2'!A313="","",'StockList_MS2'!B313)</f>
        <v/>
      </c>
      <c r="E314" s="17" t="n"/>
      <c r="F314" s="17" t="n"/>
      <c r="G314" s="17" t="n"/>
      <c r="H314" s="17" t="n"/>
      <c r="I314" s="18" t="n"/>
      <c r="J314" s="17" t="n"/>
      <c r="K314" s="17" t="n"/>
      <c r="L314" s="17" t="n"/>
      <c r="M314" s="14">
        <f>IF(E314="","",IF(E314&gt;L314,"BUY-DAY","SELL-DAY"))</f>
        <v/>
      </c>
      <c r="N314" s="19">
        <f>IF(E314="","",MAX(F314-G314,ABS(F314-L314),ABS(G314-L314)))</f>
        <v/>
      </c>
      <c r="O314" s="14">
        <f>IF(E314="","",IF(AND(I314&gt;0,I314&gt;(I314/3)*2.5),"VOL-OK","VOL-NG"))</f>
        <v/>
      </c>
      <c r="P314" s="14">
        <f>IF(E314="","",IF(E314&gt;J314,"ON","OFF"))</f>
        <v/>
      </c>
      <c r="Q314" s="14">
        <f>IF(E314="","",IF(E314&lt;K314,"ON","OFF"))</f>
        <v/>
      </c>
      <c r="R314" s="14">
        <f>IF(OR(E314="",N314&lt;=0),"",IF(AND(M314="BUY-DAY",O314="VOL-OK",Q314="ON",AA314="OK",AB314&lt;&gt;"DOWN"),"BUY",IF(AND(M314="SELL-DAY",O314="VOL-OK",P314="ON",AA314="OK",AB314&lt;&gt;"UP"),"SELL","")))</f>
        <v/>
      </c>
      <c r="S314" s="19">
        <f>IF(R314="","",E314)</f>
        <v/>
      </c>
      <c r="T314" s="19">
        <f>IF(R314="","",IF(R314="BUY",E314-N314*1.5,E314+N314*1.5))</f>
        <v/>
      </c>
      <c r="U314" s="19">
        <f>IF(R314="","",IF(R314="BUY",E314+N314*1.5,E314-N314*1.5))</f>
        <v/>
      </c>
      <c r="V314" s="19">
        <f>IF(R314="","",IF(R314="BUY",E314+N314*2,E314-N314*2))</f>
        <v/>
      </c>
      <c r="W314" s="19">
        <f>IF(R314="","",IF(R314="BUY",E314+N314*3,E314-N314*3))</f>
        <v/>
      </c>
      <c r="X314" s="14">
        <f>IF(OR(E314="",N314&lt;=0),"",IF(AND(E314&gt;H314,ABS(E314-H314)&lt;N314*0.5),"2ND","1ST"))</f>
        <v/>
      </c>
      <c r="Y314" s="14">
        <f>IF(OR(E314="",N314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14" s="14">
        <f>IF(OR(E314="",N314&lt;=0),"",IF(N314&gt;E314*0.05,"VOL-HIGH","VOL-NORMAL"))</f>
        <v/>
      </c>
      <c r="AA314" s="14">
        <f>IF(OR(E314="",N314&lt;=0),"",IF(AND(O314="VOL-OK",Z314="VOL-NORMAL",X314="2ND"),"OK","NG"))</f>
        <v/>
      </c>
      <c r="AB314" s="14">
        <f>IF(OR(E314="",N314&lt;=0),"",IF(AND(F314&gt;J314,G314&gt;K314),"UP",IF(AND(F314&lt;J314,G314&lt;K314),"DOWN","FLAT")))</f>
        <v/>
      </c>
    </row>
    <row r="315" ht="26" customHeight="1" s="1">
      <c r="A315" s="8">
        <f>IF(C315="","",ROW()-2)</f>
        <v/>
      </c>
      <c r="B315" s="9">
        <f>IF('StockList_MS2'!A314="","",HYPERLINK("https://kabutan.jp/stock/?code="&amp;'StockList_MS2'!A314,"株探"))</f>
        <v/>
      </c>
      <c r="C315" s="8">
        <f>IF('StockList_MS2'!A314="","",'StockList_MS2'!A314)</f>
        <v/>
      </c>
      <c r="D315" s="10">
        <f>IF('StockList_MS2'!A314="","",'StockList_MS2'!B314)</f>
        <v/>
      </c>
      <c r="E315" s="11" t="n"/>
      <c r="F315" s="11" t="n"/>
      <c r="G315" s="11" t="n"/>
      <c r="H315" s="11" t="n"/>
      <c r="I315" s="12" t="n"/>
      <c r="J315" s="11" t="n"/>
      <c r="K315" s="11" t="n"/>
      <c r="L315" s="11" t="n"/>
      <c r="M315" s="8">
        <f>IF(E315="","",IF(E315&gt;L315,"BUY-DAY","SELL-DAY"))</f>
        <v/>
      </c>
      <c r="N315" s="13">
        <f>IF(E315="","",MAX(F315-G315,ABS(F315-L315),ABS(G315-L315)))</f>
        <v/>
      </c>
      <c r="O315" s="8">
        <f>IF(E315="","",IF(AND(I315&gt;0,I315&gt;(I315/3)*2.5),"VOL-OK","VOL-NG"))</f>
        <v/>
      </c>
      <c r="P315" s="8">
        <f>IF(E315="","",IF(E315&gt;J315,"ON","OFF"))</f>
        <v/>
      </c>
      <c r="Q315" s="8">
        <f>IF(E315="","",IF(E315&lt;K315,"ON","OFF"))</f>
        <v/>
      </c>
      <c r="R315" s="8">
        <f>IF(OR(E315="",N315&lt;=0),"",IF(AND(M315="BUY-DAY",O315="VOL-OK",Q315="ON",AA315="OK",AB315&lt;&gt;"DOWN"),"BUY",IF(AND(M315="SELL-DAY",O315="VOL-OK",P315="ON",AA315="OK",AB315&lt;&gt;"UP"),"SELL","")))</f>
        <v/>
      </c>
      <c r="S315" s="13">
        <f>IF(R315="","",E315)</f>
        <v/>
      </c>
      <c r="T315" s="13">
        <f>IF(R315="","",IF(R315="BUY",E315-N315*1.5,E315+N315*1.5))</f>
        <v/>
      </c>
      <c r="U315" s="13">
        <f>IF(R315="","",IF(R315="BUY",E315+N315*1.5,E315-N315*1.5))</f>
        <v/>
      </c>
      <c r="V315" s="13">
        <f>IF(R315="","",IF(R315="BUY",E315+N315*2,E315-N315*2))</f>
        <v/>
      </c>
      <c r="W315" s="13">
        <f>IF(R315="","",IF(R315="BUY",E315+N315*3,E315-N315*3))</f>
        <v/>
      </c>
      <c r="X315" s="8">
        <f>IF(OR(E315="",N315&lt;=0),"",IF(AND(E315&gt;H315,ABS(E315-H315)&lt;N315*0.5),"2ND","1ST"))</f>
        <v/>
      </c>
      <c r="Y315" s="8">
        <f>IF(OR(E315="",N315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15" s="8">
        <f>IF(OR(E315="",N315&lt;=0),"",IF(N315&gt;E315*0.05,"VOL-HIGH","VOL-NORMAL"))</f>
        <v/>
      </c>
      <c r="AA315" s="8">
        <f>IF(OR(E315="",N315&lt;=0),"",IF(AND(O315="VOL-OK",Z315="VOL-NORMAL",X315="2ND"),"OK","NG"))</f>
        <v/>
      </c>
      <c r="AB315" s="8">
        <f>IF(OR(E315="",N315&lt;=0),"",IF(AND(F315&gt;J315,G315&gt;K315),"UP",IF(AND(F315&lt;J315,G315&lt;K315),"DOWN","FLAT")))</f>
        <v/>
      </c>
    </row>
    <row r="316" ht="26" customHeight="1" s="1">
      <c r="A316" s="14">
        <f>IF(C316="","",ROW()-2)</f>
        <v/>
      </c>
      <c r="B316" s="15">
        <f>IF('StockList_MS2'!A315="","",HYPERLINK("https://kabutan.jp/stock/?code="&amp;'StockList_MS2'!A315,"株探"))</f>
        <v/>
      </c>
      <c r="C316" s="14">
        <f>IF('StockList_MS2'!A315="","",'StockList_MS2'!A315)</f>
        <v/>
      </c>
      <c r="D316" s="16">
        <f>IF('StockList_MS2'!A315="","",'StockList_MS2'!B315)</f>
        <v/>
      </c>
      <c r="E316" s="17" t="n"/>
      <c r="F316" s="17" t="n"/>
      <c r="G316" s="17" t="n"/>
      <c r="H316" s="17" t="n"/>
      <c r="I316" s="18" t="n"/>
      <c r="J316" s="17" t="n"/>
      <c r="K316" s="17" t="n"/>
      <c r="L316" s="17" t="n"/>
      <c r="M316" s="14">
        <f>IF(E316="","",IF(E316&gt;L316,"BUY-DAY","SELL-DAY"))</f>
        <v/>
      </c>
      <c r="N316" s="19">
        <f>IF(E316="","",MAX(F316-G316,ABS(F316-L316),ABS(G316-L316)))</f>
        <v/>
      </c>
      <c r="O316" s="14">
        <f>IF(E316="","",IF(AND(I316&gt;0,I316&gt;(I316/3)*2.5),"VOL-OK","VOL-NG"))</f>
        <v/>
      </c>
      <c r="P316" s="14">
        <f>IF(E316="","",IF(E316&gt;J316,"ON","OFF"))</f>
        <v/>
      </c>
      <c r="Q316" s="14">
        <f>IF(E316="","",IF(E316&lt;K316,"ON","OFF"))</f>
        <v/>
      </c>
      <c r="R316" s="14">
        <f>IF(OR(E316="",N316&lt;=0),"",IF(AND(M316="BUY-DAY",O316="VOL-OK",Q316="ON",AA316="OK",AB316&lt;&gt;"DOWN"),"BUY",IF(AND(M316="SELL-DAY",O316="VOL-OK",P316="ON",AA316="OK",AB316&lt;&gt;"UP"),"SELL","")))</f>
        <v/>
      </c>
      <c r="S316" s="19">
        <f>IF(R316="","",E316)</f>
        <v/>
      </c>
      <c r="T316" s="19">
        <f>IF(R316="","",IF(R316="BUY",E316-N316*1.5,E316+N316*1.5))</f>
        <v/>
      </c>
      <c r="U316" s="19">
        <f>IF(R316="","",IF(R316="BUY",E316+N316*1.5,E316-N316*1.5))</f>
        <v/>
      </c>
      <c r="V316" s="19">
        <f>IF(R316="","",IF(R316="BUY",E316+N316*2,E316-N316*2))</f>
        <v/>
      </c>
      <c r="W316" s="19">
        <f>IF(R316="","",IF(R316="BUY",E316+N316*3,E316-N316*3))</f>
        <v/>
      </c>
      <c r="X316" s="14">
        <f>IF(OR(E316="",N316&lt;=0),"",IF(AND(E316&gt;H316,ABS(E316-H316)&lt;N316*0.5),"2ND","1ST"))</f>
        <v/>
      </c>
      <c r="Y316" s="14">
        <f>IF(OR(E316="",N316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16" s="14">
        <f>IF(OR(E316="",N316&lt;=0),"",IF(N316&gt;E316*0.05,"VOL-HIGH","VOL-NORMAL"))</f>
        <v/>
      </c>
      <c r="AA316" s="14">
        <f>IF(OR(E316="",N316&lt;=0),"",IF(AND(O316="VOL-OK",Z316="VOL-NORMAL",X316="2ND"),"OK","NG"))</f>
        <v/>
      </c>
      <c r="AB316" s="14">
        <f>IF(OR(E316="",N316&lt;=0),"",IF(AND(F316&gt;J316,G316&gt;K316),"UP",IF(AND(F316&lt;J316,G316&lt;K316),"DOWN","FLAT")))</f>
        <v/>
      </c>
    </row>
    <row r="317" ht="26" customHeight="1" s="1">
      <c r="A317" s="8">
        <f>IF(C317="","",ROW()-2)</f>
        <v/>
      </c>
      <c r="B317" s="9">
        <f>IF('StockList_MS2'!A316="","",HYPERLINK("https://kabutan.jp/stock/?code="&amp;'StockList_MS2'!A316,"株探"))</f>
        <v/>
      </c>
      <c r="C317" s="8">
        <f>IF('StockList_MS2'!A316="","",'StockList_MS2'!A316)</f>
        <v/>
      </c>
      <c r="D317" s="10">
        <f>IF('StockList_MS2'!A316="","",'StockList_MS2'!B316)</f>
        <v/>
      </c>
      <c r="E317" s="11" t="n"/>
      <c r="F317" s="11" t="n"/>
      <c r="G317" s="11" t="n"/>
      <c r="H317" s="11" t="n"/>
      <c r="I317" s="12" t="n"/>
      <c r="J317" s="11" t="n"/>
      <c r="K317" s="11" t="n"/>
      <c r="L317" s="11" t="n"/>
      <c r="M317" s="8">
        <f>IF(E317="","",IF(E317&gt;L317,"BUY-DAY","SELL-DAY"))</f>
        <v/>
      </c>
      <c r="N317" s="13">
        <f>IF(E317="","",MAX(F317-G317,ABS(F317-L317),ABS(G317-L317)))</f>
        <v/>
      </c>
      <c r="O317" s="8">
        <f>IF(E317="","",IF(AND(I317&gt;0,I317&gt;(I317/3)*2.5),"VOL-OK","VOL-NG"))</f>
        <v/>
      </c>
      <c r="P317" s="8">
        <f>IF(E317="","",IF(E317&gt;J317,"ON","OFF"))</f>
        <v/>
      </c>
      <c r="Q317" s="8">
        <f>IF(E317="","",IF(E317&lt;K317,"ON","OFF"))</f>
        <v/>
      </c>
      <c r="R317" s="8">
        <f>IF(OR(E317="",N317&lt;=0),"",IF(AND(M317="BUY-DAY",O317="VOL-OK",Q317="ON",AA317="OK",AB317&lt;&gt;"DOWN"),"BUY",IF(AND(M317="SELL-DAY",O317="VOL-OK",P317="ON",AA317="OK",AB317&lt;&gt;"UP"),"SELL","")))</f>
        <v/>
      </c>
      <c r="S317" s="13">
        <f>IF(R317="","",E317)</f>
        <v/>
      </c>
      <c r="T317" s="13">
        <f>IF(R317="","",IF(R317="BUY",E317-N317*1.5,E317+N317*1.5))</f>
        <v/>
      </c>
      <c r="U317" s="13">
        <f>IF(R317="","",IF(R317="BUY",E317+N317*1.5,E317-N317*1.5))</f>
        <v/>
      </c>
      <c r="V317" s="13">
        <f>IF(R317="","",IF(R317="BUY",E317+N317*2,E317-N317*2))</f>
        <v/>
      </c>
      <c r="W317" s="13">
        <f>IF(R317="","",IF(R317="BUY",E317+N317*3,E317-N317*3))</f>
        <v/>
      </c>
      <c r="X317" s="8">
        <f>IF(OR(E317="",N317&lt;=0),"",IF(AND(E317&gt;H317,ABS(E317-H317)&lt;N317*0.5),"2ND","1ST"))</f>
        <v/>
      </c>
      <c r="Y317" s="8">
        <f>IF(OR(E317="",N317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17" s="8">
        <f>IF(OR(E317="",N317&lt;=0),"",IF(N317&gt;E317*0.05,"VOL-HIGH","VOL-NORMAL"))</f>
        <v/>
      </c>
      <c r="AA317" s="8">
        <f>IF(OR(E317="",N317&lt;=0),"",IF(AND(O317="VOL-OK",Z317="VOL-NORMAL",X317="2ND"),"OK","NG"))</f>
        <v/>
      </c>
      <c r="AB317" s="8">
        <f>IF(OR(E317="",N317&lt;=0),"",IF(AND(F317&gt;J317,G317&gt;K317),"UP",IF(AND(F317&lt;J317,G317&lt;K317),"DOWN","FLAT")))</f>
        <v/>
      </c>
    </row>
    <row r="318" ht="26" customHeight="1" s="1">
      <c r="A318" s="14">
        <f>IF(C318="","",ROW()-2)</f>
        <v/>
      </c>
      <c r="B318" s="15">
        <f>IF('StockList_MS2'!A317="","",HYPERLINK("https://kabutan.jp/stock/?code="&amp;'StockList_MS2'!A317,"株探"))</f>
        <v/>
      </c>
      <c r="C318" s="14">
        <f>IF('StockList_MS2'!A317="","",'StockList_MS2'!A317)</f>
        <v/>
      </c>
      <c r="D318" s="16">
        <f>IF('StockList_MS2'!A317="","",'StockList_MS2'!B317)</f>
        <v/>
      </c>
      <c r="E318" s="17" t="n"/>
      <c r="F318" s="17" t="n"/>
      <c r="G318" s="17" t="n"/>
      <c r="H318" s="17" t="n"/>
      <c r="I318" s="18" t="n"/>
      <c r="J318" s="17" t="n"/>
      <c r="K318" s="17" t="n"/>
      <c r="L318" s="17" t="n"/>
      <c r="M318" s="14">
        <f>IF(E318="","",IF(E318&gt;L318,"BUY-DAY","SELL-DAY"))</f>
        <v/>
      </c>
      <c r="N318" s="19">
        <f>IF(E318="","",MAX(F318-G318,ABS(F318-L318),ABS(G318-L318)))</f>
        <v/>
      </c>
      <c r="O318" s="14">
        <f>IF(E318="","",IF(AND(I318&gt;0,I318&gt;(I318/3)*2.5),"VOL-OK","VOL-NG"))</f>
        <v/>
      </c>
      <c r="P318" s="14">
        <f>IF(E318="","",IF(E318&gt;J318,"ON","OFF"))</f>
        <v/>
      </c>
      <c r="Q318" s="14">
        <f>IF(E318="","",IF(E318&lt;K318,"ON","OFF"))</f>
        <v/>
      </c>
      <c r="R318" s="14">
        <f>IF(OR(E318="",N318&lt;=0),"",IF(AND(M318="BUY-DAY",O318="VOL-OK",Q318="ON",AA318="OK",AB318&lt;&gt;"DOWN"),"BUY",IF(AND(M318="SELL-DAY",O318="VOL-OK",P318="ON",AA318="OK",AB318&lt;&gt;"UP"),"SELL","")))</f>
        <v/>
      </c>
      <c r="S318" s="19">
        <f>IF(R318="","",E318)</f>
        <v/>
      </c>
      <c r="T318" s="19">
        <f>IF(R318="","",IF(R318="BUY",E318-N318*1.5,E318+N318*1.5))</f>
        <v/>
      </c>
      <c r="U318" s="19">
        <f>IF(R318="","",IF(R318="BUY",E318+N318*1.5,E318-N318*1.5))</f>
        <v/>
      </c>
      <c r="V318" s="19">
        <f>IF(R318="","",IF(R318="BUY",E318+N318*2,E318-N318*2))</f>
        <v/>
      </c>
      <c r="W318" s="19">
        <f>IF(R318="","",IF(R318="BUY",E318+N318*3,E318-N318*3))</f>
        <v/>
      </c>
      <c r="X318" s="14">
        <f>IF(OR(E318="",N318&lt;=0),"",IF(AND(E318&gt;H318,ABS(E318-H318)&lt;N318*0.5),"2ND","1ST"))</f>
        <v/>
      </c>
      <c r="Y318" s="14">
        <f>IF(OR(E318="",N318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18" s="14">
        <f>IF(OR(E318="",N318&lt;=0),"",IF(N318&gt;E318*0.05,"VOL-HIGH","VOL-NORMAL"))</f>
        <v/>
      </c>
      <c r="AA318" s="14">
        <f>IF(OR(E318="",N318&lt;=0),"",IF(AND(O318="VOL-OK",Z318="VOL-NORMAL",X318="2ND"),"OK","NG"))</f>
        <v/>
      </c>
      <c r="AB318" s="14">
        <f>IF(OR(E318="",N318&lt;=0),"",IF(AND(F318&gt;J318,G318&gt;K318),"UP",IF(AND(F318&lt;J318,G318&lt;K318),"DOWN","FLAT")))</f>
        <v/>
      </c>
    </row>
    <row r="319" ht="26" customHeight="1" s="1">
      <c r="A319" s="8">
        <f>IF(C319="","",ROW()-2)</f>
        <v/>
      </c>
      <c r="B319" s="9">
        <f>IF('StockList_MS2'!A318="","",HYPERLINK("https://kabutan.jp/stock/?code="&amp;'StockList_MS2'!A318,"株探"))</f>
        <v/>
      </c>
      <c r="C319" s="8">
        <f>IF('StockList_MS2'!A318="","",'StockList_MS2'!A318)</f>
        <v/>
      </c>
      <c r="D319" s="10">
        <f>IF('StockList_MS2'!A318="","",'StockList_MS2'!B318)</f>
        <v/>
      </c>
      <c r="E319" s="11" t="n"/>
      <c r="F319" s="11" t="n"/>
      <c r="G319" s="11" t="n"/>
      <c r="H319" s="11" t="n"/>
      <c r="I319" s="12" t="n"/>
      <c r="J319" s="11" t="n"/>
      <c r="K319" s="11" t="n"/>
      <c r="L319" s="11" t="n"/>
      <c r="M319" s="8">
        <f>IF(E319="","",IF(E319&gt;L319,"BUY-DAY","SELL-DAY"))</f>
        <v/>
      </c>
      <c r="N319" s="13">
        <f>IF(E319="","",MAX(F319-G319,ABS(F319-L319),ABS(G319-L319)))</f>
        <v/>
      </c>
      <c r="O319" s="8">
        <f>IF(E319="","",IF(AND(I319&gt;0,I319&gt;(I319/3)*2.5),"VOL-OK","VOL-NG"))</f>
        <v/>
      </c>
      <c r="P319" s="8">
        <f>IF(E319="","",IF(E319&gt;J319,"ON","OFF"))</f>
        <v/>
      </c>
      <c r="Q319" s="8">
        <f>IF(E319="","",IF(E319&lt;K319,"ON","OFF"))</f>
        <v/>
      </c>
      <c r="R319" s="8">
        <f>IF(OR(E319="",N319&lt;=0),"",IF(AND(M319="BUY-DAY",O319="VOL-OK",Q319="ON",AA319="OK",AB319&lt;&gt;"DOWN"),"BUY",IF(AND(M319="SELL-DAY",O319="VOL-OK",P319="ON",AA319="OK",AB319&lt;&gt;"UP"),"SELL","")))</f>
        <v/>
      </c>
      <c r="S319" s="13">
        <f>IF(R319="","",E319)</f>
        <v/>
      </c>
      <c r="T319" s="13">
        <f>IF(R319="","",IF(R319="BUY",E319-N319*1.5,E319+N319*1.5))</f>
        <v/>
      </c>
      <c r="U319" s="13">
        <f>IF(R319="","",IF(R319="BUY",E319+N319*1.5,E319-N319*1.5))</f>
        <v/>
      </c>
      <c r="V319" s="13">
        <f>IF(R319="","",IF(R319="BUY",E319+N319*2,E319-N319*2))</f>
        <v/>
      </c>
      <c r="W319" s="13">
        <f>IF(R319="","",IF(R319="BUY",E319+N319*3,E319-N319*3))</f>
        <v/>
      </c>
      <c r="X319" s="8">
        <f>IF(OR(E319="",N319&lt;=0),"",IF(AND(E319&gt;H319,ABS(E319-H319)&lt;N319*0.5),"2ND","1ST"))</f>
        <v/>
      </c>
      <c r="Y319" s="8">
        <f>IF(OR(E319="",N319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19" s="8">
        <f>IF(OR(E319="",N319&lt;=0),"",IF(N319&gt;E319*0.05,"VOL-HIGH","VOL-NORMAL"))</f>
        <v/>
      </c>
      <c r="AA319" s="8">
        <f>IF(OR(E319="",N319&lt;=0),"",IF(AND(O319="VOL-OK",Z319="VOL-NORMAL",X319="2ND"),"OK","NG"))</f>
        <v/>
      </c>
      <c r="AB319" s="8">
        <f>IF(OR(E319="",N319&lt;=0),"",IF(AND(F319&gt;J319,G319&gt;K319),"UP",IF(AND(F319&lt;J319,G319&lt;K319),"DOWN","FLAT")))</f>
        <v/>
      </c>
    </row>
    <row r="320" ht="26" customHeight="1" s="1">
      <c r="A320" s="14">
        <f>IF(C320="","",ROW()-2)</f>
        <v/>
      </c>
      <c r="B320" s="15">
        <f>IF('StockList_MS2'!A319="","",HYPERLINK("https://kabutan.jp/stock/?code="&amp;'StockList_MS2'!A319,"株探"))</f>
        <v/>
      </c>
      <c r="C320" s="14">
        <f>IF('StockList_MS2'!A319="","",'StockList_MS2'!A319)</f>
        <v/>
      </c>
      <c r="D320" s="16">
        <f>IF('StockList_MS2'!A319="","",'StockList_MS2'!B319)</f>
        <v/>
      </c>
      <c r="E320" s="17" t="n"/>
      <c r="F320" s="17" t="n"/>
      <c r="G320" s="17" t="n"/>
      <c r="H320" s="17" t="n"/>
      <c r="I320" s="18" t="n"/>
      <c r="J320" s="17" t="n"/>
      <c r="K320" s="17" t="n"/>
      <c r="L320" s="17" t="n"/>
      <c r="M320" s="14">
        <f>IF(E320="","",IF(E320&gt;L320,"BUY-DAY","SELL-DAY"))</f>
        <v/>
      </c>
      <c r="N320" s="19">
        <f>IF(E320="","",MAX(F320-G320,ABS(F320-L320),ABS(G320-L320)))</f>
        <v/>
      </c>
      <c r="O320" s="14">
        <f>IF(E320="","",IF(AND(I320&gt;0,I320&gt;(I320/3)*2.5),"VOL-OK","VOL-NG"))</f>
        <v/>
      </c>
      <c r="P320" s="14">
        <f>IF(E320="","",IF(E320&gt;J320,"ON","OFF"))</f>
        <v/>
      </c>
      <c r="Q320" s="14">
        <f>IF(E320="","",IF(E320&lt;K320,"ON","OFF"))</f>
        <v/>
      </c>
      <c r="R320" s="14">
        <f>IF(OR(E320="",N320&lt;=0),"",IF(AND(M320="BUY-DAY",O320="VOL-OK",Q320="ON",AA320="OK",AB320&lt;&gt;"DOWN"),"BUY",IF(AND(M320="SELL-DAY",O320="VOL-OK",P320="ON",AA320="OK",AB320&lt;&gt;"UP"),"SELL","")))</f>
        <v/>
      </c>
      <c r="S320" s="19">
        <f>IF(R320="","",E320)</f>
        <v/>
      </c>
      <c r="T320" s="19">
        <f>IF(R320="","",IF(R320="BUY",E320-N320*1.5,E320+N320*1.5))</f>
        <v/>
      </c>
      <c r="U320" s="19">
        <f>IF(R320="","",IF(R320="BUY",E320+N320*1.5,E320-N320*1.5))</f>
        <v/>
      </c>
      <c r="V320" s="19">
        <f>IF(R320="","",IF(R320="BUY",E320+N320*2,E320-N320*2))</f>
        <v/>
      </c>
      <c r="W320" s="19">
        <f>IF(R320="","",IF(R320="BUY",E320+N320*3,E320-N320*3))</f>
        <v/>
      </c>
      <c r="X320" s="14">
        <f>IF(OR(E320="",N320&lt;=0),"",IF(AND(E320&gt;H320,ABS(E320-H320)&lt;N320*0.5),"2ND","1ST"))</f>
        <v/>
      </c>
      <c r="Y320" s="14">
        <f>IF(OR(E320="",N320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20" s="14">
        <f>IF(OR(E320="",N320&lt;=0),"",IF(N320&gt;E320*0.05,"VOL-HIGH","VOL-NORMAL"))</f>
        <v/>
      </c>
      <c r="AA320" s="14">
        <f>IF(OR(E320="",N320&lt;=0),"",IF(AND(O320="VOL-OK",Z320="VOL-NORMAL",X320="2ND"),"OK","NG"))</f>
        <v/>
      </c>
      <c r="AB320" s="14">
        <f>IF(OR(E320="",N320&lt;=0),"",IF(AND(F320&gt;J320,G320&gt;K320),"UP",IF(AND(F320&lt;J320,G320&lt;K320),"DOWN","FLAT")))</f>
        <v/>
      </c>
    </row>
    <row r="321" ht="26" customHeight="1" s="1">
      <c r="A321" s="8">
        <f>IF(C321="","",ROW()-2)</f>
        <v/>
      </c>
      <c r="B321" s="9">
        <f>IF('StockList_MS2'!A320="","",HYPERLINK("https://kabutan.jp/stock/?code="&amp;'StockList_MS2'!A320,"株探"))</f>
        <v/>
      </c>
      <c r="C321" s="8">
        <f>IF('StockList_MS2'!A320="","",'StockList_MS2'!A320)</f>
        <v/>
      </c>
      <c r="D321" s="10">
        <f>IF('StockList_MS2'!A320="","",'StockList_MS2'!B320)</f>
        <v/>
      </c>
      <c r="E321" s="11" t="n"/>
      <c r="F321" s="11" t="n"/>
      <c r="G321" s="11" t="n"/>
      <c r="H321" s="11" t="n"/>
      <c r="I321" s="12" t="n"/>
      <c r="J321" s="11" t="n"/>
      <c r="K321" s="11" t="n"/>
      <c r="L321" s="11" t="n"/>
      <c r="M321" s="8">
        <f>IF(E321="","",IF(E321&gt;L321,"BUY-DAY","SELL-DAY"))</f>
        <v/>
      </c>
      <c r="N321" s="13">
        <f>IF(E321="","",MAX(F321-G321,ABS(F321-L321),ABS(G321-L321)))</f>
        <v/>
      </c>
      <c r="O321" s="8">
        <f>IF(E321="","",IF(AND(I321&gt;0,I321&gt;(I321/3)*2.5),"VOL-OK","VOL-NG"))</f>
        <v/>
      </c>
      <c r="P321" s="8">
        <f>IF(E321="","",IF(E321&gt;J321,"ON","OFF"))</f>
        <v/>
      </c>
      <c r="Q321" s="8">
        <f>IF(E321="","",IF(E321&lt;K321,"ON","OFF"))</f>
        <v/>
      </c>
      <c r="R321" s="8">
        <f>IF(OR(E321="",N321&lt;=0),"",IF(AND(M321="BUY-DAY",O321="VOL-OK",Q321="ON",AA321="OK",AB321&lt;&gt;"DOWN"),"BUY",IF(AND(M321="SELL-DAY",O321="VOL-OK",P321="ON",AA321="OK",AB321&lt;&gt;"UP"),"SELL","")))</f>
        <v/>
      </c>
      <c r="S321" s="13">
        <f>IF(R321="","",E321)</f>
        <v/>
      </c>
      <c r="T321" s="13">
        <f>IF(R321="","",IF(R321="BUY",E321-N321*1.5,E321+N321*1.5))</f>
        <v/>
      </c>
      <c r="U321" s="13">
        <f>IF(R321="","",IF(R321="BUY",E321+N321*1.5,E321-N321*1.5))</f>
        <v/>
      </c>
      <c r="V321" s="13">
        <f>IF(R321="","",IF(R321="BUY",E321+N321*2,E321-N321*2))</f>
        <v/>
      </c>
      <c r="W321" s="13">
        <f>IF(R321="","",IF(R321="BUY",E321+N321*3,E321-N321*3))</f>
        <v/>
      </c>
      <c r="X321" s="8">
        <f>IF(OR(E321="",N321&lt;=0),"",IF(AND(E321&gt;H321,ABS(E321-H321)&lt;N321*0.5),"2ND","1ST"))</f>
        <v/>
      </c>
      <c r="Y321" s="8">
        <f>IF(OR(E321="",N321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21" s="8">
        <f>IF(OR(E321="",N321&lt;=0),"",IF(N321&gt;E321*0.05,"VOL-HIGH","VOL-NORMAL"))</f>
        <v/>
      </c>
      <c r="AA321" s="8">
        <f>IF(OR(E321="",N321&lt;=0),"",IF(AND(O321="VOL-OK",Z321="VOL-NORMAL",X321="2ND"),"OK","NG"))</f>
        <v/>
      </c>
      <c r="AB321" s="8">
        <f>IF(OR(E321="",N321&lt;=0),"",IF(AND(F321&gt;J321,G321&gt;K321),"UP",IF(AND(F321&lt;J321,G321&lt;K321),"DOWN","FLAT")))</f>
        <v/>
      </c>
    </row>
    <row r="322" ht="26" customHeight="1" s="1">
      <c r="A322" s="14">
        <f>IF(C322="","",ROW()-2)</f>
        <v/>
      </c>
      <c r="B322" s="15">
        <f>IF('StockList_MS2'!A321="","",HYPERLINK("https://kabutan.jp/stock/?code="&amp;'StockList_MS2'!A321,"株探"))</f>
        <v/>
      </c>
      <c r="C322" s="14">
        <f>IF('StockList_MS2'!A321="","",'StockList_MS2'!A321)</f>
        <v/>
      </c>
      <c r="D322" s="16">
        <f>IF('StockList_MS2'!A321="","",'StockList_MS2'!B321)</f>
        <v/>
      </c>
      <c r="E322" s="17" t="n"/>
      <c r="F322" s="17" t="n"/>
      <c r="G322" s="17" t="n"/>
      <c r="H322" s="17" t="n"/>
      <c r="I322" s="18" t="n"/>
      <c r="J322" s="17" t="n"/>
      <c r="K322" s="17" t="n"/>
      <c r="L322" s="17" t="n"/>
      <c r="M322" s="14">
        <f>IF(E322="","",IF(E322&gt;L322,"BUY-DAY","SELL-DAY"))</f>
        <v/>
      </c>
      <c r="N322" s="19">
        <f>IF(E322="","",MAX(F322-G322,ABS(F322-L322),ABS(G322-L322)))</f>
        <v/>
      </c>
      <c r="O322" s="14">
        <f>IF(E322="","",IF(AND(I322&gt;0,I322&gt;(I322/3)*2.5),"VOL-OK","VOL-NG"))</f>
        <v/>
      </c>
      <c r="P322" s="14">
        <f>IF(E322="","",IF(E322&gt;J322,"ON","OFF"))</f>
        <v/>
      </c>
      <c r="Q322" s="14">
        <f>IF(E322="","",IF(E322&lt;K322,"ON","OFF"))</f>
        <v/>
      </c>
      <c r="R322" s="14">
        <f>IF(OR(E322="",N322&lt;=0),"",IF(AND(M322="BUY-DAY",O322="VOL-OK",Q322="ON",AA322="OK",AB322&lt;&gt;"DOWN"),"BUY",IF(AND(M322="SELL-DAY",O322="VOL-OK",P322="ON",AA322="OK",AB322&lt;&gt;"UP"),"SELL","")))</f>
        <v/>
      </c>
      <c r="S322" s="19">
        <f>IF(R322="","",E322)</f>
        <v/>
      </c>
      <c r="T322" s="19">
        <f>IF(R322="","",IF(R322="BUY",E322-N322*1.5,E322+N322*1.5))</f>
        <v/>
      </c>
      <c r="U322" s="19">
        <f>IF(R322="","",IF(R322="BUY",E322+N322*1.5,E322-N322*1.5))</f>
        <v/>
      </c>
      <c r="V322" s="19">
        <f>IF(R322="","",IF(R322="BUY",E322+N322*2,E322-N322*2))</f>
        <v/>
      </c>
      <c r="W322" s="19">
        <f>IF(R322="","",IF(R322="BUY",E322+N322*3,E322-N322*3))</f>
        <v/>
      </c>
      <c r="X322" s="14">
        <f>IF(OR(E322="",N322&lt;=0),"",IF(AND(E322&gt;H322,ABS(E322-H322)&lt;N322*0.5),"2ND","1ST"))</f>
        <v/>
      </c>
      <c r="Y322" s="14">
        <f>IF(OR(E322="",N322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22" s="14">
        <f>IF(OR(E322="",N322&lt;=0),"",IF(N322&gt;E322*0.05,"VOL-HIGH","VOL-NORMAL"))</f>
        <v/>
      </c>
      <c r="AA322" s="14">
        <f>IF(OR(E322="",N322&lt;=0),"",IF(AND(O322="VOL-OK",Z322="VOL-NORMAL",X322="2ND"),"OK","NG"))</f>
        <v/>
      </c>
      <c r="AB322" s="14">
        <f>IF(OR(E322="",N322&lt;=0),"",IF(AND(F322&gt;J322,G322&gt;K322),"UP",IF(AND(F322&lt;J322,G322&lt;K322),"DOWN","FLAT")))</f>
        <v/>
      </c>
    </row>
    <row r="323" ht="26" customHeight="1" s="1">
      <c r="A323" s="8">
        <f>IF(C323="","",ROW()-2)</f>
        <v/>
      </c>
      <c r="B323" s="9">
        <f>IF('StockList_MS2'!A322="","",HYPERLINK("https://kabutan.jp/stock/?code="&amp;'StockList_MS2'!A322,"株探"))</f>
        <v/>
      </c>
      <c r="C323" s="8">
        <f>IF('StockList_MS2'!A322="","",'StockList_MS2'!A322)</f>
        <v/>
      </c>
      <c r="D323" s="10">
        <f>IF('StockList_MS2'!A322="","",'StockList_MS2'!B322)</f>
        <v/>
      </c>
      <c r="E323" s="11" t="n"/>
      <c r="F323" s="11" t="n"/>
      <c r="G323" s="11" t="n"/>
      <c r="H323" s="11" t="n"/>
      <c r="I323" s="12" t="n"/>
      <c r="J323" s="11" t="n"/>
      <c r="K323" s="11" t="n"/>
      <c r="L323" s="11" t="n"/>
      <c r="M323" s="8">
        <f>IF(E323="","",IF(E323&gt;L323,"BUY-DAY","SELL-DAY"))</f>
        <v/>
      </c>
      <c r="N323" s="13">
        <f>IF(E323="","",MAX(F323-G323,ABS(F323-L323),ABS(G323-L323)))</f>
        <v/>
      </c>
      <c r="O323" s="8">
        <f>IF(E323="","",IF(AND(I323&gt;0,I323&gt;(I323/3)*2.5),"VOL-OK","VOL-NG"))</f>
        <v/>
      </c>
      <c r="P323" s="8">
        <f>IF(E323="","",IF(E323&gt;J323,"ON","OFF"))</f>
        <v/>
      </c>
      <c r="Q323" s="8">
        <f>IF(E323="","",IF(E323&lt;K323,"ON","OFF"))</f>
        <v/>
      </c>
      <c r="R323" s="8">
        <f>IF(OR(E323="",N323&lt;=0),"",IF(AND(M323="BUY-DAY",O323="VOL-OK",Q323="ON",AA323="OK",AB323&lt;&gt;"DOWN"),"BUY",IF(AND(M323="SELL-DAY",O323="VOL-OK",P323="ON",AA323="OK",AB323&lt;&gt;"UP"),"SELL","")))</f>
        <v/>
      </c>
      <c r="S323" s="13">
        <f>IF(R323="","",E323)</f>
        <v/>
      </c>
      <c r="T323" s="13">
        <f>IF(R323="","",IF(R323="BUY",E323-N323*1.5,E323+N323*1.5))</f>
        <v/>
      </c>
      <c r="U323" s="13">
        <f>IF(R323="","",IF(R323="BUY",E323+N323*1.5,E323-N323*1.5))</f>
        <v/>
      </c>
      <c r="V323" s="13">
        <f>IF(R323="","",IF(R323="BUY",E323+N323*2,E323-N323*2))</f>
        <v/>
      </c>
      <c r="W323" s="13">
        <f>IF(R323="","",IF(R323="BUY",E323+N323*3,E323-N323*3))</f>
        <v/>
      </c>
      <c r="X323" s="8">
        <f>IF(OR(E323="",N323&lt;=0),"",IF(AND(E323&gt;H323,ABS(E323-H323)&lt;N323*0.5),"2ND","1ST"))</f>
        <v/>
      </c>
      <c r="Y323" s="8">
        <f>IF(OR(E323="",N323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23" s="8">
        <f>IF(OR(E323="",N323&lt;=0),"",IF(N323&gt;E323*0.05,"VOL-HIGH","VOL-NORMAL"))</f>
        <v/>
      </c>
      <c r="AA323" s="8">
        <f>IF(OR(E323="",N323&lt;=0),"",IF(AND(O323="VOL-OK",Z323="VOL-NORMAL",X323="2ND"),"OK","NG"))</f>
        <v/>
      </c>
      <c r="AB323" s="8">
        <f>IF(OR(E323="",N323&lt;=0),"",IF(AND(F323&gt;J323,G323&gt;K323),"UP",IF(AND(F323&lt;J323,G323&lt;K323),"DOWN","FLAT")))</f>
        <v/>
      </c>
    </row>
    <row r="324" ht="26" customHeight="1" s="1">
      <c r="A324" s="14">
        <f>IF(C324="","",ROW()-2)</f>
        <v/>
      </c>
      <c r="B324" s="15">
        <f>IF('StockList_MS2'!A323="","",HYPERLINK("https://kabutan.jp/stock/?code="&amp;'StockList_MS2'!A323,"株探"))</f>
        <v/>
      </c>
      <c r="C324" s="14">
        <f>IF('StockList_MS2'!A323="","",'StockList_MS2'!A323)</f>
        <v/>
      </c>
      <c r="D324" s="16">
        <f>IF('StockList_MS2'!A323="","",'StockList_MS2'!B323)</f>
        <v/>
      </c>
      <c r="E324" s="17" t="n"/>
      <c r="F324" s="17" t="n"/>
      <c r="G324" s="17" t="n"/>
      <c r="H324" s="17" t="n"/>
      <c r="I324" s="18" t="n"/>
      <c r="J324" s="17" t="n"/>
      <c r="K324" s="17" t="n"/>
      <c r="L324" s="17" t="n"/>
      <c r="M324" s="14">
        <f>IF(E324="","",IF(E324&gt;L324,"BUY-DAY","SELL-DAY"))</f>
        <v/>
      </c>
      <c r="N324" s="19">
        <f>IF(E324="","",MAX(F324-G324,ABS(F324-L324),ABS(G324-L324)))</f>
        <v/>
      </c>
      <c r="O324" s="14">
        <f>IF(E324="","",IF(AND(I324&gt;0,I324&gt;(I324/3)*2.5),"VOL-OK","VOL-NG"))</f>
        <v/>
      </c>
      <c r="P324" s="14">
        <f>IF(E324="","",IF(E324&gt;J324,"ON","OFF"))</f>
        <v/>
      </c>
      <c r="Q324" s="14">
        <f>IF(E324="","",IF(E324&lt;K324,"ON","OFF"))</f>
        <v/>
      </c>
      <c r="R324" s="14">
        <f>IF(OR(E324="",N324&lt;=0),"",IF(AND(M324="BUY-DAY",O324="VOL-OK",Q324="ON",AA324="OK",AB324&lt;&gt;"DOWN"),"BUY",IF(AND(M324="SELL-DAY",O324="VOL-OK",P324="ON",AA324="OK",AB324&lt;&gt;"UP"),"SELL","")))</f>
        <v/>
      </c>
      <c r="S324" s="19">
        <f>IF(R324="","",E324)</f>
        <v/>
      </c>
      <c r="T324" s="19">
        <f>IF(R324="","",IF(R324="BUY",E324-N324*1.5,E324+N324*1.5))</f>
        <v/>
      </c>
      <c r="U324" s="19">
        <f>IF(R324="","",IF(R324="BUY",E324+N324*1.5,E324-N324*1.5))</f>
        <v/>
      </c>
      <c r="V324" s="19">
        <f>IF(R324="","",IF(R324="BUY",E324+N324*2,E324-N324*2))</f>
        <v/>
      </c>
      <c r="W324" s="19">
        <f>IF(R324="","",IF(R324="BUY",E324+N324*3,E324-N324*3))</f>
        <v/>
      </c>
      <c r="X324" s="14">
        <f>IF(OR(E324="",N324&lt;=0),"",IF(AND(E324&gt;H324,ABS(E324-H324)&lt;N324*0.5),"2ND","1ST"))</f>
        <v/>
      </c>
      <c r="Y324" s="14">
        <f>IF(OR(E324="",N324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24" s="14">
        <f>IF(OR(E324="",N324&lt;=0),"",IF(N324&gt;E324*0.05,"VOL-HIGH","VOL-NORMAL"))</f>
        <v/>
      </c>
      <c r="AA324" s="14">
        <f>IF(OR(E324="",N324&lt;=0),"",IF(AND(O324="VOL-OK",Z324="VOL-NORMAL",X324="2ND"),"OK","NG"))</f>
        <v/>
      </c>
      <c r="AB324" s="14">
        <f>IF(OR(E324="",N324&lt;=0),"",IF(AND(F324&gt;J324,G324&gt;K324),"UP",IF(AND(F324&lt;J324,G324&lt;K324),"DOWN","FLAT")))</f>
        <v/>
      </c>
    </row>
    <row r="325" ht="26" customHeight="1" s="1">
      <c r="A325" s="8">
        <f>IF(C325="","",ROW()-2)</f>
        <v/>
      </c>
      <c r="B325" s="9">
        <f>IF('StockList_MS2'!A324="","",HYPERLINK("https://kabutan.jp/stock/?code="&amp;'StockList_MS2'!A324,"株探"))</f>
        <v/>
      </c>
      <c r="C325" s="8">
        <f>IF('StockList_MS2'!A324="","",'StockList_MS2'!A324)</f>
        <v/>
      </c>
      <c r="D325" s="10">
        <f>IF('StockList_MS2'!A324="","",'StockList_MS2'!B324)</f>
        <v/>
      </c>
      <c r="E325" s="11" t="n"/>
      <c r="F325" s="11" t="n"/>
      <c r="G325" s="11" t="n"/>
      <c r="H325" s="11" t="n"/>
      <c r="I325" s="12" t="n"/>
      <c r="J325" s="11" t="n"/>
      <c r="K325" s="11" t="n"/>
      <c r="L325" s="11" t="n"/>
      <c r="M325" s="8">
        <f>IF(E325="","",IF(E325&gt;L325,"BUY-DAY","SELL-DAY"))</f>
        <v/>
      </c>
      <c r="N325" s="13">
        <f>IF(E325="","",MAX(F325-G325,ABS(F325-L325),ABS(G325-L325)))</f>
        <v/>
      </c>
      <c r="O325" s="8">
        <f>IF(E325="","",IF(AND(I325&gt;0,I325&gt;(I325/3)*2.5),"VOL-OK","VOL-NG"))</f>
        <v/>
      </c>
      <c r="P325" s="8">
        <f>IF(E325="","",IF(E325&gt;J325,"ON","OFF"))</f>
        <v/>
      </c>
      <c r="Q325" s="8">
        <f>IF(E325="","",IF(E325&lt;K325,"ON","OFF"))</f>
        <v/>
      </c>
      <c r="R325" s="8">
        <f>IF(OR(E325="",N325&lt;=0),"",IF(AND(M325="BUY-DAY",O325="VOL-OK",Q325="ON",AA325="OK",AB325&lt;&gt;"DOWN"),"BUY",IF(AND(M325="SELL-DAY",O325="VOL-OK",P325="ON",AA325="OK",AB325&lt;&gt;"UP"),"SELL","")))</f>
        <v/>
      </c>
      <c r="S325" s="13">
        <f>IF(R325="","",E325)</f>
        <v/>
      </c>
      <c r="T325" s="13">
        <f>IF(R325="","",IF(R325="BUY",E325-N325*1.5,E325+N325*1.5))</f>
        <v/>
      </c>
      <c r="U325" s="13">
        <f>IF(R325="","",IF(R325="BUY",E325+N325*1.5,E325-N325*1.5))</f>
        <v/>
      </c>
      <c r="V325" s="13">
        <f>IF(R325="","",IF(R325="BUY",E325+N325*2,E325-N325*2))</f>
        <v/>
      </c>
      <c r="W325" s="13">
        <f>IF(R325="","",IF(R325="BUY",E325+N325*3,E325-N325*3))</f>
        <v/>
      </c>
      <c r="X325" s="8">
        <f>IF(OR(E325="",N325&lt;=0),"",IF(AND(E325&gt;H325,ABS(E325-H325)&lt;N325*0.5),"2ND","1ST"))</f>
        <v/>
      </c>
      <c r="Y325" s="8">
        <f>IF(OR(E325="",N325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25" s="8">
        <f>IF(OR(E325="",N325&lt;=0),"",IF(N325&gt;E325*0.05,"VOL-HIGH","VOL-NORMAL"))</f>
        <v/>
      </c>
      <c r="AA325" s="8">
        <f>IF(OR(E325="",N325&lt;=0),"",IF(AND(O325="VOL-OK",Z325="VOL-NORMAL",X325="2ND"),"OK","NG"))</f>
        <v/>
      </c>
      <c r="AB325" s="8">
        <f>IF(OR(E325="",N325&lt;=0),"",IF(AND(F325&gt;J325,G325&gt;K325),"UP",IF(AND(F325&lt;J325,G325&lt;K325),"DOWN","FLAT")))</f>
        <v/>
      </c>
    </row>
    <row r="326" ht="26" customHeight="1" s="1">
      <c r="A326" s="14">
        <f>IF(C326="","",ROW()-2)</f>
        <v/>
      </c>
      <c r="B326" s="15">
        <f>IF('StockList_MS2'!A325="","",HYPERLINK("https://kabutan.jp/stock/?code="&amp;'StockList_MS2'!A325,"株探"))</f>
        <v/>
      </c>
      <c r="C326" s="14">
        <f>IF('StockList_MS2'!A325="","",'StockList_MS2'!A325)</f>
        <v/>
      </c>
      <c r="D326" s="16">
        <f>IF('StockList_MS2'!A325="","",'StockList_MS2'!B325)</f>
        <v/>
      </c>
      <c r="E326" s="17" t="n"/>
      <c r="F326" s="17" t="n"/>
      <c r="G326" s="17" t="n"/>
      <c r="H326" s="17" t="n"/>
      <c r="I326" s="18" t="n"/>
      <c r="J326" s="17" t="n"/>
      <c r="K326" s="17" t="n"/>
      <c r="L326" s="17" t="n"/>
      <c r="M326" s="14">
        <f>IF(E326="","",IF(E326&gt;L326,"BUY-DAY","SELL-DAY"))</f>
        <v/>
      </c>
      <c r="N326" s="19">
        <f>IF(E326="","",MAX(F326-G326,ABS(F326-L326),ABS(G326-L326)))</f>
        <v/>
      </c>
      <c r="O326" s="14">
        <f>IF(E326="","",IF(AND(I326&gt;0,I326&gt;(I326/3)*2.5),"VOL-OK","VOL-NG"))</f>
        <v/>
      </c>
      <c r="P326" s="14">
        <f>IF(E326="","",IF(E326&gt;J326,"ON","OFF"))</f>
        <v/>
      </c>
      <c r="Q326" s="14">
        <f>IF(E326="","",IF(E326&lt;K326,"ON","OFF"))</f>
        <v/>
      </c>
      <c r="R326" s="14">
        <f>IF(OR(E326="",N326&lt;=0),"",IF(AND(M326="BUY-DAY",O326="VOL-OK",Q326="ON",AA326="OK",AB326&lt;&gt;"DOWN"),"BUY",IF(AND(M326="SELL-DAY",O326="VOL-OK",P326="ON",AA326="OK",AB326&lt;&gt;"UP"),"SELL","")))</f>
        <v/>
      </c>
      <c r="S326" s="19">
        <f>IF(R326="","",E326)</f>
        <v/>
      </c>
      <c r="T326" s="19">
        <f>IF(R326="","",IF(R326="BUY",E326-N326*1.5,E326+N326*1.5))</f>
        <v/>
      </c>
      <c r="U326" s="19">
        <f>IF(R326="","",IF(R326="BUY",E326+N326*1.5,E326-N326*1.5))</f>
        <v/>
      </c>
      <c r="V326" s="19">
        <f>IF(R326="","",IF(R326="BUY",E326+N326*2,E326-N326*2))</f>
        <v/>
      </c>
      <c r="W326" s="19">
        <f>IF(R326="","",IF(R326="BUY",E326+N326*3,E326-N326*3))</f>
        <v/>
      </c>
      <c r="X326" s="14">
        <f>IF(OR(E326="",N326&lt;=0),"",IF(AND(E326&gt;H326,ABS(E326-H326)&lt;N326*0.5),"2ND","1ST"))</f>
        <v/>
      </c>
      <c r="Y326" s="14">
        <f>IF(OR(E326="",N326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26" s="14">
        <f>IF(OR(E326="",N326&lt;=0),"",IF(N326&gt;E326*0.05,"VOL-HIGH","VOL-NORMAL"))</f>
        <v/>
      </c>
      <c r="AA326" s="14">
        <f>IF(OR(E326="",N326&lt;=0),"",IF(AND(O326="VOL-OK",Z326="VOL-NORMAL",X326="2ND"),"OK","NG"))</f>
        <v/>
      </c>
      <c r="AB326" s="14">
        <f>IF(OR(E326="",N326&lt;=0),"",IF(AND(F326&gt;J326,G326&gt;K326),"UP",IF(AND(F326&lt;J326,G326&lt;K326),"DOWN","FLAT")))</f>
        <v/>
      </c>
    </row>
    <row r="327" ht="26" customHeight="1" s="1">
      <c r="A327" s="8">
        <f>IF(C327="","",ROW()-2)</f>
        <v/>
      </c>
      <c r="B327" s="9">
        <f>IF('StockList_MS2'!A326="","",HYPERLINK("https://kabutan.jp/stock/?code="&amp;'StockList_MS2'!A326,"株探"))</f>
        <v/>
      </c>
      <c r="C327" s="8">
        <f>IF('StockList_MS2'!A326="","",'StockList_MS2'!A326)</f>
        <v/>
      </c>
      <c r="D327" s="10">
        <f>IF('StockList_MS2'!A326="","",'StockList_MS2'!B326)</f>
        <v/>
      </c>
      <c r="E327" s="11" t="n"/>
      <c r="F327" s="11" t="n"/>
      <c r="G327" s="11" t="n"/>
      <c r="H327" s="11" t="n"/>
      <c r="I327" s="12" t="n"/>
      <c r="J327" s="11" t="n"/>
      <c r="K327" s="11" t="n"/>
      <c r="L327" s="11" t="n"/>
      <c r="M327" s="8">
        <f>IF(E327="","",IF(E327&gt;L327,"BUY-DAY","SELL-DAY"))</f>
        <v/>
      </c>
      <c r="N327" s="13">
        <f>IF(E327="","",MAX(F327-G327,ABS(F327-L327),ABS(G327-L327)))</f>
        <v/>
      </c>
      <c r="O327" s="8">
        <f>IF(E327="","",IF(AND(I327&gt;0,I327&gt;(I327/3)*2.5),"VOL-OK","VOL-NG"))</f>
        <v/>
      </c>
      <c r="P327" s="8">
        <f>IF(E327="","",IF(E327&gt;J327,"ON","OFF"))</f>
        <v/>
      </c>
      <c r="Q327" s="8">
        <f>IF(E327="","",IF(E327&lt;K327,"ON","OFF"))</f>
        <v/>
      </c>
      <c r="R327" s="8">
        <f>IF(OR(E327="",N327&lt;=0),"",IF(AND(M327="BUY-DAY",O327="VOL-OK",Q327="ON",AA327="OK",AB327&lt;&gt;"DOWN"),"BUY",IF(AND(M327="SELL-DAY",O327="VOL-OK",P327="ON",AA327="OK",AB327&lt;&gt;"UP"),"SELL","")))</f>
        <v/>
      </c>
      <c r="S327" s="13">
        <f>IF(R327="","",E327)</f>
        <v/>
      </c>
      <c r="T327" s="13">
        <f>IF(R327="","",IF(R327="BUY",E327-N327*1.5,E327+N327*1.5))</f>
        <v/>
      </c>
      <c r="U327" s="13">
        <f>IF(R327="","",IF(R327="BUY",E327+N327*1.5,E327-N327*1.5))</f>
        <v/>
      </c>
      <c r="V327" s="13">
        <f>IF(R327="","",IF(R327="BUY",E327+N327*2,E327-N327*2))</f>
        <v/>
      </c>
      <c r="W327" s="13">
        <f>IF(R327="","",IF(R327="BUY",E327+N327*3,E327-N327*3))</f>
        <v/>
      </c>
      <c r="X327" s="8">
        <f>IF(OR(E327="",N327&lt;=0),"",IF(AND(E327&gt;H327,ABS(E327-H327)&lt;N327*0.5),"2ND","1ST"))</f>
        <v/>
      </c>
      <c r="Y327" s="8">
        <f>IF(OR(E327="",N327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27" s="8">
        <f>IF(OR(E327="",N327&lt;=0),"",IF(N327&gt;E327*0.05,"VOL-HIGH","VOL-NORMAL"))</f>
        <v/>
      </c>
      <c r="AA327" s="8">
        <f>IF(OR(E327="",N327&lt;=0),"",IF(AND(O327="VOL-OK",Z327="VOL-NORMAL",X327="2ND"),"OK","NG"))</f>
        <v/>
      </c>
      <c r="AB327" s="8">
        <f>IF(OR(E327="",N327&lt;=0),"",IF(AND(F327&gt;J327,G327&gt;K327),"UP",IF(AND(F327&lt;J327,G327&lt;K327),"DOWN","FLAT")))</f>
        <v/>
      </c>
    </row>
    <row r="328" ht="26" customHeight="1" s="1">
      <c r="A328" s="14">
        <f>IF(C328="","",ROW()-2)</f>
        <v/>
      </c>
      <c r="B328" s="15">
        <f>IF('StockList_MS2'!A327="","",HYPERLINK("https://kabutan.jp/stock/?code="&amp;'StockList_MS2'!A327,"株探"))</f>
        <v/>
      </c>
      <c r="C328" s="14">
        <f>IF('StockList_MS2'!A327="","",'StockList_MS2'!A327)</f>
        <v/>
      </c>
      <c r="D328" s="16">
        <f>IF('StockList_MS2'!A327="","",'StockList_MS2'!B327)</f>
        <v/>
      </c>
      <c r="E328" s="17" t="n"/>
      <c r="F328" s="17" t="n"/>
      <c r="G328" s="17" t="n"/>
      <c r="H328" s="17" t="n"/>
      <c r="I328" s="18" t="n"/>
      <c r="J328" s="17" t="n"/>
      <c r="K328" s="17" t="n"/>
      <c r="L328" s="17" t="n"/>
      <c r="M328" s="14">
        <f>IF(E328="","",IF(E328&gt;L328,"BUY-DAY","SELL-DAY"))</f>
        <v/>
      </c>
      <c r="N328" s="19">
        <f>IF(E328="","",MAX(F328-G328,ABS(F328-L328),ABS(G328-L328)))</f>
        <v/>
      </c>
      <c r="O328" s="14">
        <f>IF(E328="","",IF(AND(I328&gt;0,I328&gt;(I328/3)*2.5),"VOL-OK","VOL-NG"))</f>
        <v/>
      </c>
      <c r="P328" s="14">
        <f>IF(E328="","",IF(E328&gt;J328,"ON","OFF"))</f>
        <v/>
      </c>
      <c r="Q328" s="14">
        <f>IF(E328="","",IF(E328&lt;K328,"ON","OFF"))</f>
        <v/>
      </c>
      <c r="R328" s="14">
        <f>IF(OR(E328="",N328&lt;=0),"",IF(AND(M328="BUY-DAY",O328="VOL-OK",Q328="ON",AA328="OK",AB328&lt;&gt;"DOWN"),"BUY",IF(AND(M328="SELL-DAY",O328="VOL-OK",P328="ON",AA328="OK",AB328&lt;&gt;"UP"),"SELL","")))</f>
        <v/>
      </c>
      <c r="S328" s="19">
        <f>IF(R328="","",E328)</f>
        <v/>
      </c>
      <c r="T328" s="19">
        <f>IF(R328="","",IF(R328="BUY",E328-N328*1.5,E328+N328*1.5))</f>
        <v/>
      </c>
      <c r="U328" s="19">
        <f>IF(R328="","",IF(R328="BUY",E328+N328*1.5,E328-N328*1.5))</f>
        <v/>
      </c>
      <c r="V328" s="19">
        <f>IF(R328="","",IF(R328="BUY",E328+N328*2,E328-N328*2))</f>
        <v/>
      </c>
      <c r="W328" s="19">
        <f>IF(R328="","",IF(R328="BUY",E328+N328*3,E328-N328*3))</f>
        <v/>
      </c>
      <c r="X328" s="14">
        <f>IF(OR(E328="",N328&lt;=0),"",IF(AND(E328&gt;H328,ABS(E328-H328)&lt;N328*0.5),"2ND","1ST"))</f>
        <v/>
      </c>
      <c r="Y328" s="14">
        <f>IF(OR(E328="",N328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28" s="14">
        <f>IF(OR(E328="",N328&lt;=0),"",IF(N328&gt;E328*0.05,"VOL-HIGH","VOL-NORMAL"))</f>
        <v/>
      </c>
      <c r="AA328" s="14">
        <f>IF(OR(E328="",N328&lt;=0),"",IF(AND(O328="VOL-OK",Z328="VOL-NORMAL",X328="2ND"),"OK","NG"))</f>
        <v/>
      </c>
      <c r="AB328" s="14">
        <f>IF(OR(E328="",N328&lt;=0),"",IF(AND(F328&gt;J328,G328&gt;K328),"UP",IF(AND(F328&lt;J328,G328&lt;K328),"DOWN","FLAT")))</f>
        <v/>
      </c>
    </row>
    <row r="329" ht="26" customHeight="1" s="1">
      <c r="A329" s="8">
        <f>IF(C329="","",ROW()-2)</f>
        <v/>
      </c>
      <c r="B329" s="9">
        <f>IF('StockList_MS2'!A328="","",HYPERLINK("https://kabutan.jp/stock/?code="&amp;'StockList_MS2'!A328,"株探"))</f>
        <v/>
      </c>
      <c r="C329" s="8">
        <f>IF('StockList_MS2'!A328="","",'StockList_MS2'!A328)</f>
        <v/>
      </c>
      <c r="D329" s="10">
        <f>IF('StockList_MS2'!A328="","",'StockList_MS2'!B328)</f>
        <v/>
      </c>
      <c r="E329" s="11" t="n"/>
      <c r="F329" s="11" t="n"/>
      <c r="G329" s="11" t="n"/>
      <c r="H329" s="11" t="n"/>
      <c r="I329" s="12" t="n"/>
      <c r="J329" s="11" t="n"/>
      <c r="K329" s="11" t="n"/>
      <c r="L329" s="11" t="n"/>
      <c r="M329" s="8">
        <f>IF(E329="","",IF(E329&gt;L329,"BUY-DAY","SELL-DAY"))</f>
        <v/>
      </c>
      <c r="N329" s="13">
        <f>IF(E329="","",MAX(F329-G329,ABS(F329-L329),ABS(G329-L329)))</f>
        <v/>
      </c>
      <c r="O329" s="8">
        <f>IF(E329="","",IF(AND(I329&gt;0,I329&gt;(I329/3)*2.5),"VOL-OK","VOL-NG"))</f>
        <v/>
      </c>
      <c r="P329" s="8">
        <f>IF(E329="","",IF(E329&gt;J329,"ON","OFF"))</f>
        <v/>
      </c>
      <c r="Q329" s="8">
        <f>IF(E329="","",IF(E329&lt;K329,"ON","OFF"))</f>
        <v/>
      </c>
      <c r="R329" s="8">
        <f>IF(OR(E329="",N329&lt;=0),"",IF(AND(M329="BUY-DAY",O329="VOL-OK",Q329="ON",AA329="OK",AB329&lt;&gt;"DOWN"),"BUY",IF(AND(M329="SELL-DAY",O329="VOL-OK",P329="ON",AA329="OK",AB329&lt;&gt;"UP"),"SELL","")))</f>
        <v/>
      </c>
      <c r="S329" s="13">
        <f>IF(R329="","",E329)</f>
        <v/>
      </c>
      <c r="T329" s="13">
        <f>IF(R329="","",IF(R329="BUY",E329-N329*1.5,E329+N329*1.5))</f>
        <v/>
      </c>
      <c r="U329" s="13">
        <f>IF(R329="","",IF(R329="BUY",E329+N329*1.5,E329-N329*1.5))</f>
        <v/>
      </c>
      <c r="V329" s="13">
        <f>IF(R329="","",IF(R329="BUY",E329+N329*2,E329-N329*2))</f>
        <v/>
      </c>
      <c r="W329" s="13">
        <f>IF(R329="","",IF(R329="BUY",E329+N329*3,E329-N329*3))</f>
        <v/>
      </c>
      <c r="X329" s="8">
        <f>IF(OR(E329="",N329&lt;=0),"",IF(AND(E329&gt;H329,ABS(E329-H329)&lt;N329*0.5),"2ND","1ST"))</f>
        <v/>
      </c>
      <c r="Y329" s="8">
        <f>IF(OR(E329="",N329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29" s="8">
        <f>IF(OR(E329="",N329&lt;=0),"",IF(N329&gt;E329*0.05,"VOL-HIGH","VOL-NORMAL"))</f>
        <v/>
      </c>
      <c r="AA329" s="8">
        <f>IF(OR(E329="",N329&lt;=0),"",IF(AND(O329="VOL-OK",Z329="VOL-NORMAL",X329="2ND"),"OK","NG"))</f>
        <v/>
      </c>
      <c r="AB329" s="8">
        <f>IF(OR(E329="",N329&lt;=0),"",IF(AND(F329&gt;J329,G329&gt;K329),"UP",IF(AND(F329&lt;J329,G329&lt;K329),"DOWN","FLAT")))</f>
        <v/>
      </c>
    </row>
    <row r="330" ht="26" customHeight="1" s="1">
      <c r="A330" s="14">
        <f>IF(C330="","",ROW()-2)</f>
        <v/>
      </c>
      <c r="B330" s="15">
        <f>IF('StockList_MS2'!A329="","",HYPERLINK("https://kabutan.jp/stock/?code="&amp;'StockList_MS2'!A329,"株探"))</f>
        <v/>
      </c>
      <c r="C330" s="14">
        <f>IF('StockList_MS2'!A329="","",'StockList_MS2'!A329)</f>
        <v/>
      </c>
      <c r="D330" s="16">
        <f>IF('StockList_MS2'!A329="","",'StockList_MS2'!B329)</f>
        <v/>
      </c>
      <c r="E330" s="17" t="n"/>
      <c r="F330" s="17" t="n"/>
      <c r="G330" s="17" t="n"/>
      <c r="H330" s="17" t="n"/>
      <c r="I330" s="18" t="n"/>
      <c r="J330" s="17" t="n"/>
      <c r="K330" s="17" t="n"/>
      <c r="L330" s="17" t="n"/>
      <c r="M330" s="14">
        <f>IF(E330="","",IF(E330&gt;L330,"BUY-DAY","SELL-DAY"))</f>
        <v/>
      </c>
      <c r="N330" s="19">
        <f>IF(E330="","",MAX(F330-G330,ABS(F330-L330),ABS(G330-L330)))</f>
        <v/>
      </c>
      <c r="O330" s="14">
        <f>IF(E330="","",IF(AND(I330&gt;0,I330&gt;(I330/3)*2.5),"VOL-OK","VOL-NG"))</f>
        <v/>
      </c>
      <c r="P330" s="14">
        <f>IF(E330="","",IF(E330&gt;J330,"ON","OFF"))</f>
        <v/>
      </c>
      <c r="Q330" s="14">
        <f>IF(E330="","",IF(E330&lt;K330,"ON","OFF"))</f>
        <v/>
      </c>
      <c r="R330" s="14">
        <f>IF(OR(E330="",N330&lt;=0),"",IF(AND(M330="BUY-DAY",O330="VOL-OK",Q330="ON",AA330="OK",AB330&lt;&gt;"DOWN"),"BUY",IF(AND(M330="SELL-DAY",O330="VOL-OK",P330="ON",AA330="OK",AB330&lt;&gt;"UP"),"SELL","")))</f>
        <v/>
      </c>
      <c r="S330" s="19">
        <f>IF(R330="","",E330)</f>
        <v/>
      </c>
      <c r="T330" s="19">
        <f>IF(R330="","",IF(R330="BUY",E330-N330*1.5,E330+N330*1.5))</f>
        <v/>
      </c>
      <c r="U330" s="19">
        <f>IF(R330="","",IF(R330="BUY",E330+N330*1.5,E330-N330*1.5))</f>
        <v/>
      </c>
      <c r="V330" s="19">
        <f>IF(R330="","",IF(R330="BUY",E330+N330*2,E330-N330*2))</f>
        <v/>
      </c>
      <c r="W330" s="19">
        <f>IF(R330="","",IF(R330="BUY",E330+N330*3,E330-N330*3))</f>
        <v/>
      </c>
      <c r="X330" s="14">
        <f>IF(OR(E330="",N330&lt;=0),"",IF(AND(E330&gt;H330,ABS(E330-H330)&lt;N330*0.5),"2ND","1ST"))</f>
        <v/>
      </c>
      <c r="Y330" s="14">
        <f>IF(OR(E330="",N330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30" s="14">
        <f>IF(OR(E330="",N330&lt;=0),"",IF(N330&gt;E330*0.05,"VOL-HIGH","VOL-NORMAL"))</f>
        <v/>
      </c>
      <c r="AA330" s="14">
        <f>IF(OR(E330="",N330&lt;=0),"",IF(AND(O330="VOL-OK",Z330="VOL-NORMAL",X330="2ND"),"OK","NG"))</f>
        <v/>
      </c>
      <c r="AB330" s="14">
        <f>IF(OR(E330="",N330&lt;=0),"",IF(AND(F330&gt;J330,G330&gt;K330),"UP",IF(AND(F330&lt;J330,G330&lt;K330),"DOWN","FLAT")))</f>
        <v/>
      </c>
    </row>
    <row r="331" ht="26" customHeight="1" s="1">
      <c r="A331" s="8">
        <f>IF(C331="","",ROW()-2)</f>
        <v/>
      </c>
      <c r="B331" s="9">
        <f>IF('StockList_MS2'!A330="","",HYPERLINK("https://kabutan.jp/stock/?code="&amp;'StockList_MS2'!A330,"株探"))</f>
        <v/>
      </c>
      <c r="C331" s="8">
        <f>IF('StockList_MS2'!A330="","",'StockList_MS2'!A330)</f>
        <v/>
      </c>
      <c r="D331" s="10">
        <f>IF('StockList_MS2'!A330="","",'StockList_MS2'!B330)</f>
        <v/>
      </c>
      <c r="E331" s="11" t="n"/>
      <c r="F331" s="11" t="n"/>
      <c r="G331" s="11" t="n"/>
      <c r="H331" s="11" t="n"/>
      <c r="I331" s="12" t="n"/>
      <c r="J331" s="11" t="n"/>
      <c r="K331" s="11" t="n"/>
      <c r="L331" s="11" t="n"/>
      <c r="M331" s="8">
        <f>IF(E331="","",IF(E331&gt;L331,"BUY-DAY","SELL-DAY"))</f>
        <v/>
      </c>
      <c r="N331" s="13">
        <f>IF(E331="","",MAX(F331-G331,ABS(F331-L331),ABS(G331-L331)))</f>
        <v/>
      </c>
      <c r="O331" s="8">
        <f>IF(E331="","",IF(AND(I331&gt;0,I331&gt;(I331/3)*2.5),"VOL-OK","VOL-NG"))</f>
        <v/>
      </c>
      <c r="P331" s="8">
        <f>IF(E331="","",IF(E331&gt;J331,"ON","OFF"))</f>
        <v/>
      </c>
      <c r="Q331" s="8">
        <f>IF(E331="","",IF(E331&lt;K331,"ON","OFF"))</f>
        <v/>
      </c>
      <c r="R331" s="8">
        <f>IF(OR(E331="",N331&lt;=0),"",IF(AND(M331="BUY-DAY",O331="VOL-OK",Q331="ON",AA331="OK",AB331&lt;&gt;"DOWN"),"BUY",IF(AND(M331="SELL-DAY",O331="VOL-OK",P331="ON",AA331="OK",AB331&lt;&gt;"UP"),"SELL","")))</f>
        <v/>
      </c>
      <c r="S331" s="13">
        <f>IF(R331="","",E331)</f>
        <v/>
      </c>
      <c r="T331" s="13">
        <f>IF(R331="","",IF(R331="BUY",E331-N331*1.5,E331+N331*1.5))</f>
        <v/>
      </c>
      <c r="U331" s="13">
        <f>IF(R331="","",IF(R331="BUY",E331+N331*1.5,E331-N331*1.5))</f>
        <v/>
      </c>
      <c r="V331" s="13">
        <f>IF(R331="","",IF(R331="BUY",E331+N331*2,E331-N331*2))</f>
        <v/>
      </c>
      <c r="W331" s="13">
        <f>IF(R331="","",IF(R331="BUY",E331+N331*3,E331-N331*3))</f>
        <v/>
      </c>
      <c r="X331" s="8">
        <f>IF(OR(E331="",N331&lt;=0),"",IF(AND(E331&gt;H331,ABS(E331-H331)&lt;N331*0.5),"2ND","1ST"))</f>
        <v/>
      </c>
      <c r="Y331" s="8">
        <f>IF(OR(E331="",N331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31" s="8">
        <f>IF(OR(E331="",N331&lt;=0),"",IF(N331&gt;E331*0.05,"VOL-HIGH","VOL-NORMAL"))</f>
        <v/>
      </c>
      <c r="AA331" s="8">
        <f>IF(OR(E331="",N331&lt;=0),"",IF(AND(O331="VOL-OK",Z331="VOL-NORMAL",X331="2ND"),"OK","NG"))</f>
        <v/>
      </c>
      <c r="AB331" s="8">
        <f>IF(OR(E331="",N331&lt;=0),"",IF(AND(F331&gt;J331,G331&gt;K331),"UP",IF(AND(F331&lt;J331,G331&lt;K331),"DOWN","FLAT")))</f>
        <v/>
      </c>
    </row>
    <row r="332" ht="26" customHeight="1" s="1">
      <c r="A332" s="14">
        <f>IF(C332="","",ROW()-2)</f>
        <v/>
      </c>
      <c r="B332" s="15">
        <f>IF('StockList_MS2'!A331="","",HYPERLINK("https://kabutan.jp/stock/?code="&amp;'StockList_MS2'!A331,"株探"))</f>
        <v/>
      </c>
      <c r="C332" s="14">
        <f>IF('StockList_MS2'!A331="","",'StockList_MS2'!A331)</f>
        <v/>
      </c>
      <c r="D332" s="16">
        <f>IF('StockList_MS2'!A331="","",'StockList_MS2'!B331)</f>
        <v/>
      </c>
      <c r="E332" s="17" t="n"/>
      <c r="F332" s="17" t="n"/>
      <c r="G332" s="17" t="n"/>
      <c r="H332" s="17" t="n"/>
      <c r="I332" s="18" t="n"/>
      <c r="J332" s="17" t="n"/>
      <c r="K332" s="17" t="n"/>
      <c r="L332" s="17" t="n"/>
      <c r="M332" s="14">
        <f>IF(E332="","",IF(E332&gt;L332,"BUY-DAY","SELL-DAY"))</f>
        <v/>
      </c>
      <c r="N332" s="19">
        <f>IF(E332="","",MAX(F332-G332,ABS(F332-L332),ABS(G332-L332)))</f>
        <v/>
      </c>
      <c r="O332" s="14">
        <f>IF(E332="","",IF(AND(I332&gt;0,I332&gt;(I332/3)*2.5),"VOL-OK","VOL-NG"))</f>
        <v/>
      </c>
      <c r="P332" s="14">
        <f>IF(E332="","",IF(E332&gt;J332,"ON","OFF"))</f>
        <v/>
      </c>
      <c r="Q332" s="14">
        <f>IF(E332="","",IF(E332&lt;K332,"ON","OFF"))</f>
        <v/>
      </c>
      <c r="R332" s="14">
        <f>IF(OR(E332="",N332&lt;=0),"",IF(AND(M332="BUY-DAY",O332="VOL-OK",Q332="ON",AA332="OK",AB332&lt;&gt;"DOWN"),"BUY",IF(AND(M332="SELL-DAY",O332="VOL-OK",P332="ON",AA332="OK",AB332&lt;&gt;"UP"),"SELL","")))</f>
        <v/>
      </c>
      <c r="S332" s="19">
        <f>IF(R332="","",E332)</f>
        <v/>
      </c>
      <c r="T332" s="19">
        <f>IF(R332="","",IF(R332="BUY",E332-N332*1.5,E332+N332*1.5))</f>
        <v/>
      </c>
      <c r="U332" s="19">
        <f>IF(R332="","",IF(R332="BUY",E332+N332*1.5,E332-N332*1.5))</f>
        <v/>
      </c>
      <c r="V332" s="19">
        <f>IF(R332="","",IF(R332="BUY",E332+N332*2,E332-N332*2))</f>
        <v/>
      </c>
      <c r="W332" s="19">
        <f>IF(R332="","",IF(R332="BUY",E332+N332*3,E332-N332*3))</f>
        <v/>
      </c>
      <c r="X332" s="14">
        <f>IF(OR(E332="",N332&lt;=0),"",IF(AND(E332&gt;H332,ABS(E332-H332)&lt;N332*0.5),"2ND","1ST"))</f>
        <v/>
      </c>
      <c r="Y332" s="14">
        <f>IF(OR(E332="",N332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32" s="14">
        <f>IF(OR(E332="",N332&lt;=0),"",IF(N332&gt;E332*0.05,"VOL-HIGH","VOL-NORMAL"))</f>
        <v/>
      </c>
      <c r="AA332" s="14">
        <f>IF(OR(E332="",N332&lt;=0),"",IF(AND(O332="VOL-OK",Z332="VOL-NORMAL",X332="2ND"),"OK","NG"))</f>
        <v/>
      </c>
      <c r="AB332" s="14">
        <f>IF(OR(E332="",N332&lt;=0),"",IF(AND(F332&gt;J332,G332&gt;K332),"UP",IF(AND(F332&lt;J332,G332&lt;K332),"DOWN","FLAT")))</f>
        <v/>
      </c>
    </row>
    <row r="333" ht="26" customHeight="1" s="1">
      <c r="A333" s="8">
        <f>IF(C333="","",ROW()-2)</f>
        <v/>
      </c>
      <c r="B333" s="9">
        <f>IF('StockList_MS2'!A332="","",HYPERLINK("https://kabutan.jp/stock/?code="&amp;'StockList_MS2'!A332,"株探"))</f>
        <v/>
      </c>
      <c r="C333" s="8">
        <f>IF('StockList_MS2'!A332="","",'StockList_MS2'!A332)</f>
        <v/>
      </c>
      <c r="D333" s="10">
        <f>IF('StockList_MS2'!A332="","",'StockList_MS2'!B332)</f>
        <v/>
      </c>
      <c r="E333" s="11" t="n"/>
      <c r="F333" s="11" t="n"/>
      <c r="G333" s="11" t="n"/>
      <c r="H333" s="11" t="n"/>
      <c r="I333" s="12" t="n"/>
      <c r="J333" s="11" t="n"/>
      <c r="K333" s="11" t="n"/>
      <c r="L333" s="11" t="n"/>
      <c r="M333" s="8">
        <f>IF(E333="","",IF(E333&gt;L333,"BUY-DAY","SELL-DAY"))</f>
        <v/>
      </c>
      <c r="N333" s="13">
        <f>IF(E333="","",MAX(F333-G333,ABS(F333-L333),ABS(G333-L333)))</f>
        <v/>
      </c>
      <c r="O333" s="8">
        <f>IF(E333="","",IF(AND(I333&gt;0,I333&gt;(I333/3)*2.5),"VOL-OK","VOL-NG"))</f>
        <v/>
      </c>
      <c r="P333" s="8">
        <f>IF(E333="","",IF(E333&gt;J333,"ON","OFF"))</f>
        <v/>
      </c>
      <c r="Q333" s="8">
        <f>IF(E333="","",IF(E333&lt;K333,"ON","OFF"))</f>
        <v/>
      </c>
      <c r="R333" s="8">
        <f>IF(OR(E333="",N333&lt;=0),"",IF(AND(M333="BUY-DAY",O333="VOL-OK",Q333="ON",AA333="OK",AB333&lt;&gt;"DOWN"),"BUY",IF(AND(M333="SELL-DAY",O333="VOL-OK",P333="ON",AA333="OK",AB333&lt;&gt;"UP"),"SELL","")))</f>
        <v/>
      </c>
      <c r="S333" s="13">
        <f>IF(R333="","",E333)</f>
        <v/>
      </c>
      <c r="T333" s="13">
        <f>IF(R333="","",IF(R333="BUY",E333-N333*1.5,E333+N333*1.5))</f>
        <v/>
      </c>
      <c r="U333" s="13">
        <f>IF(R333="","",IF(R333="BUY",E333+N333*1.5,E333-N333*1.5))</f>
        <v/>
      </c>
      <c r="V333" s="13">
        <f>IF(R333="","",IF(R333="BUY",E333+N333*2,E333-N333*2))</f>
        <v/>
      </c>
      <c r="W333" s="13">
        <f>IF(R333="","",IF(R333="BUY",E333+N333*3,E333-N333*3))</f>
        <v/>
      </c>
      <c r="X333" s="8">
        <f>IF(OR(E333="",N333&lt;=0),"",IF(AND(E333&gt;H333,ABS(E333-H333)&lt;N333*0.5),"2ND","1ST"))</f>
        <v/>
      </c>
      <c r="Y333" s="8">
        <f>IF(OR(E333="",N333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33" s="8">
        <f>IF(OR(E333="",N333&lt;=0),"",IF(N333&gt;E333*0.05,"VOL-HIGH","VOL-NORMAL"))</f>
        <v/>
      </c>
      <c r="AA333" s="8">
        <f>IF(OR(E333="",N333&lt;=0),"",IF(AND(O333="VOL-OK",Z333="VOL-NORMAL",X333="2ND"),"OK","NG"))</f>
        <v/>
      </c>
      <c r="AB333" s="8">
        <f>IF(OR(E333="",N333&lt;=0),"",IF(AND(F333&gt;J333,G333&gt;K333),"UP",IF(AND(F333&lt;J333,G333&lt;K333),"DOWN","FLAT")))</f>
        <v/>
      </c>
    </row>
    <row r="334" ht="26" customHeight="1" s="1">
      <c r="A334" s="14">
        <f>IF(C334="","",ROW()-2)</f>
        <v/>
      </c>
      <c r="B334" s="15">
        <f>IF('StockList_MS2'!A333="","",HYPERLINK("https://kabutan.jp/stock/?code="&amp;'StockList_MS2'!A333,"株探"))</f>
        <v/>
      </c>
      <c r="C334" s="14">
        <f>IF('StockList_MS2'!A333="","",'StockList_MS2'!A333)</f>
        <v/>
      </c>
      <c r="D334" s="16">
        <f>IF('StockList_MS2'!A333="","",'StockList_MS2'!B333)</f>
        <v/>
      </c>
      <c r="E334" s="17" t="n"/>
      <c r="F334" s="17" t="n"/>
      <c r="G334" s="17" t="n"/>
      <c r="H334" s="17" t="n"/>
      <c r="I334" s="18" t="n"/>
      <c r="J334" s="17" t="n"/>
      <c r="K334" s="17" t="n"/>
      <c r="L334" s="17" t="n"/>
      <c r="M334" s="14">
        <f>IF(E334="","",IF(E334&gt;L334,"BUY-DAY","SELL-DAY"))</f>
        <v/>
      </c>
      <c r="N334" s="19">
        <f>IF(E334="","",MAX(F334-G334,ABS(F334-L334),ABS(G334-L334)))</f>
        <v/>
      </c>
      <c r="O334" s="14">
        <f>IF(E334="","",IF(AND(I334&gt;0,I334&gt;(I334/3)*2.5),"VOL-OK","VOL-NG"))</f>
        <v/>
      </c>
      <c r="P334" s="14">
        <f>IF(E334="","",IF(E334&gt;J334,"ON","OFF"))</f>
        <v/>
      </c>
      <c r="Q334" s="14">
        <f>IF(E334="","",IF(E334&lt;K334,"ON","OFF"))</f>
        <v/>
      </c>
      <c r="R334" s="14">
        <f>IF(OR(E334="",N334&lt;=0),"",IF(AND(M334="BUY-DAY",O334="VOL-OK",Q334="ON",AA334="OK",AB334&lt;&gt;"DOWN"),"BUY",IF(AND(M334="SELL-DAY",O334="VOL-OK",P334="ON",AA334="OK",AB334&lt;&gt;"UP"),"SELL","")))</f>
        <v/>
      </c>
      <c r="S334" s="19">
        <f>IF(R334="","",E334)</f>
        <v/>
      </c>
      <c r="T334" s="19">
        <f>IF(R334="","",IF(R334="BUY",E334-N334*1.5,E334+N334*1.5))</f>
        <v/>
      </c>
      <c r="U334" s="19">
        <f>IF(R334="","",IF(R334="BUY",E334+N334*1.5,E334-N334*1.5))</f>
        <v/>
      </c>
      <c r="V334" s="19">
        <f>IF(R334="","",IF(R334="BUY",E334+N334*2,E334-N334*2))</f>
        <v/>
      </c>
      <c r="W334" s="19">
        <f>IF(R334="","",IF(R334="BUY",E334+N334*3,E334-N334*3))</f>
        <v/>
      </c>
      <c r="X334" s="14">
        <f>IF(OR(E334="",N334&lt;=0),"",IF(AND(E334&gt;H334,ABS(E334-H334)&lt;N334*0.5),"2ND","1ST"))</f>
        <v/>
      </c>
      <c r="Y334" s="14">
        <f>IF(OR(E334="",N334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34" s="14">
        <f>IF(OR(E334="",N334&lt;=0),"",IF(N334&gt;E334*0.05,"VOL-HIGH","VOL-NORMAL"))</f>
        <v/>
      </c>
      <c r="AA334" s="14">
        <f>IF(OR(E334="",N334&lt;=0),"",IF(AND(O334="VOL-OK",Z334="VOL-NORMAL",X334="2ND"),"OK","NG"))</f>
        <v/>
      </c>
      <c r="AB334" s="14">
        <f>IF(OR(E334="",N334&lt;=0),"",IF(AND(F334&gt;J334,G334&gt;K334),"UP",IF(AND(F334&lt;J334,G334&lt;K334),"DOWN","FLAT")))</f>
        <v/>
      </c>
    </row>
    <row r="335" ht="26" customHeight="1" s="1">
      <c r="A335" s="8">
        <f>IF(C335="","",ROW()-2)</f>
        <v/>
      </c>
      <c r="B335" s="9">
        <f>IF('StockList_MS2'!A334="","",HYPERLINK("https://kabutan.jp/stock/?code="&amp;'StockList_MS2'!A334,"株探"))</f>
        <v/>
      </c>
      <c r="C335" s="8">
        <f>IF('StockList_MS2'!A334="","",'StockList_MS2'!A334)</f>
        <v/>
      </c>
      <c r="D335" s="10">
        <f>IF('StockList_MS2'!A334="","",'StockList_MS2'!B334)</f>
        <v/>
      </c>
      <c r="E335" s="11" t="n"/>
      <c r="F335" s="11" t="n"/>
      <c r="G335" s="11" t="n"/>
      <c r="H335" s="11" t="n"/>
      <c r="I335" s="12" t="n"/>
      <c r="J335" s="11" t="n"/>
      <c r="K335" s="11" t="n"/>
      <c r="L335" s="11" t="n"/>
      <c r="M335" s="8">
        <f>IF(E335="","",IF(E335&gt;L335,"BUY-DAY","SELL-DAY"))</f>
        <v/>
      </c>
      <c r="N335" s="13">
        <f>IF(E335="","",MAX(F335-G335,ABS(F335-L335),ABS(G335-L335)))</f>
        <v/>
      </c>
      <c r="O335" s="8">
        <f>IF(E335="","",IF(AND(I335&gt;0,I335&gt;(I335/3)*2.5),"VOL-OK","VOL-NG"))</f>
        <v/>
      </c>
      <c r="P335" s="8">
        <f>IF(E335="","",IF(E335&gt;J335,"ON","OFF"))</f>
        <v/>
      </c>
      <c r="Q335" s="8">
        <f>IF(E335="","",IF(E335&lt;K335,"ON","OFF"))</f>
        <v/>
      </c>
      <c r="R335" s="8">
        <f>IF(OR(E335="",N335&lt;=0),"",IF(AND(M335="BUY-DAY",O335="VOL-OK",Q335="ON",AA335="OK",AB335&lt;&gt;"DOWN"),"BUY",IF(AND(M335="SELL-DAY",O335="VOL-OK",P335="ON",AA335="OK",AB335&lt;&gt;"UP"),"SELL","")))</f>
        <v/>
      </c>
      <c r="S335" s="13">
        <f>IF(R335="","",E335)</f>
        <v/>
      </c>
      <c r="T335" s="13">
        <f>IF(R335="","",IF(R335="BUY",E335-N335*1.5,E335+N335*1.5))</f>
        <v/>
      </c>
      <c r="U335" s="13">
        <f>IF(R335="","",IF(R335="BUY",E335+N335*1.5,E335-N335*1.5))</f>
        <v/>
      </c>
      <c r="V335" s="13">
        <f>IF(R335="","",IF(R335="BUY",E335+N335*2,E335-N335*2))</f>
        <v/>
      </c>
      <c r="W335" s="13">
        <f>IF(R335="","",IF(R335="BUY",E335+N335*3,E335-N335*3))</f>
        <v/>
      </c>
      <c r="X335" s="8">
        <f>IF(OR(E335="",N335&lt;=0),"",IF(AND(E335&gt;H335,ABS(E335-H335)&lt;N335*0.5),"2ND","1ST"))</f>
        <v/>
      </c>
      <c r="Y335" s="8">
        <f>IF(OR(E335="",N335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35" s="8">
        <f>IF(OR(E335="",N335&lt;=0),"",IF(N335&gt;E335*0.05,"VOL-HIGH","VOL-NORMAL"))</f>
        <v/>
      </c>
      <c r="AA335" s="8">
        <f>IF(OR(E335="",N335&lt;=0),"",IF(AND(O335="VOL-OK",Z335="VOL-NORMAL",X335="2ND"),"OK","NG"))</f>
        <v/>
      </c>
      <c r="AB335" s="8">
        <f>IF(OR(E335="",N335&lt;=0),"",IF(AND(F335&gt;J335,G335&gt;K335),"UP",IF(AND(F335&lt;J335,G335&lt;K335),"DOWN","FLAT")))</f>
        <v/>
      </c>
    </row>
    <row r="336" ht="26" customHeight="1" s="1">
      <c r="A336" s="14">
        <f>IF(C336="","",ROW()-2)</f>
        <v/>
      </c>
      <c r="B336" s="15">
        <f>IF('StockList_MS2'!A335="","",HYPERLINK("https://kabutan.jp/stock/?code="&amp;'StockList_MS2'!A335,"株探"))</f>
        <v/>
      </c>
      <c r="C336" s="14">
        <f>IF('StockList_MS2'!A335="","",'StockList_MS2'!A335)</f>
        <v/>
      </c>
      <c r="D336" s="16">
        <f>IF('StockList_MS2'!A335="","",'StockList_MS2'!B335)</f>
        <v/>
      </c>
      <c r="E336" s="17" t="n"/>
      <c r="F336" s="17" t="n"/>
      <c r="G336" s="17" t="n"/>
      <c r="H336" s="17" t="n"/>
      <c r="I336" s="18" t="n"/>
      <c r="J336" s="17" t="n"/>
      <c r="K336" s="17" t="n"/>
      <c r="L336" s="17" t="n"/>
      <c r="M336" s="14">
        <f>IF(E336="","",IF(E336&gt;L336,"BUY-DAY","SELL-DAY"))</f>
        <v/>
      </c>
      <c r="N336" s="19">
        <f>IF(E336="","",MAX(F336-G336,ABS(F336-L336),ABS(G336-L336)))</f>
        <v/>
      </c>
      <c r="O336" s="14">
        <f>IF(E336="","",IF(AND(I336&gt;0,I336&gt;(I336/3)*2.5),"VOL-OK","VOL-NG"))</f>
        <v/>
      </c>
      <c r="P336" s="14">
        <f>IF(E336="","",IF(E336&gt;J336,"ON","OFF"))</f>
        <v/>
      </c>
      <c r="Q336" s="14">
        <f>IF(E336="","",IF(E336&lt;K336,"ON","OFF"))</f>
        <v/>
      </c>
      <c r="R336" s="14">
        <f>IF(OR(E336="",N336&lt;=0),"",IF(AND(M336="BUY-DAY",O336="VOL-OK",Q336="ON",AA336="OK",AB336&lt;&gt;"DOWN"),"BUY",IF(AND(M336="SELL-DAY",O336="VOL-OK",P336="ON",AA336="OK",AB336&lt;&gt;"UP"),"SELL","")))</f>
        <v/>
      </c>
      <c r="S336" s="19">
        <f>IF(R336="","",E336)</f>
        <v/>
      </c>
      <c r="T336" s="19">
        <f>IF(R336="","",IF(R336="BUY",E336-N336*1.5,E336+N336*1.5))</f>
        <v/>
      </c>
      <c r="U336" s="19">
        <f>IF(R336="","",IF(R336="BUY",E336+N336*1.5,E336-N336*1.5))</f>
        <v/>
      </c>
      <c r="V336" s="19">
        <f>IF(R336="","",IF(R336="BUY",E336+N336*2,E336-N336*2))</f>
        <v/>
      </c>
      <c r="W336" s="19">
        <f>IF(R336="","",IF(R336="BUY",E336+N336*3,E336-N336*3))</f>
        <v/>
      </c>
      <c r="X336" s="14">
        <f>IF(OR(E336="",N336&lt;=0),"",IF(AND(E336&gt;H336,ABS(E336-H336)&lt;N336*0.5),"2ND","1ST"))</f>
        <v/>
      </c>
      <c r="Y336" s="14">
        <f>IF(OR(E336="",N336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36" s="14">
        <f>IF(OR(E336="",N336&lt;=0),"",IF(N336&gt;E336*0.05,"VOL-HIGH","VOL-NORMAL"))</f>
        <v/>
      </c>
      <c r="AA336" s="14">
        <f>IF(OR(E336="",N336&lt;=0),"",IF(AND(O336="VOL-OK",Z336="VOL-NORMAL",X336="2ND"),"OK","NG"))</f>
        <v/>
      </c>
      <c r="AB336" s="14">
        <f>IF(OR(E336="",N336&lt;=0),"",IF(AND(F336&gt;J336,G336&gt;K336),"UP",IF(AND(F336&lt;J336,G336&lt;K336),"DOWN","FLAT")))</f>
        <v/>
      </c>
    </row>
    <row r="337" ht="26" customHeight="1" s="1">
      <c r="A337" s="8">
        <f>IF(C337="","",ROW()-2)</f>
        <v/>
      </c>
      <c r="B337" s="9">
        <f>IF('StockList_MS2'!A336="","",HYPERLINK("https://kabutan.jp/stock/?code="&amp;'StockList_MS2'!A336,"株探"))</f>
        <v/>
      </c>
      <c r="C337" s="8">
        <f>IF('StockList_MS2'!A336="","",'StockList_MS2'!A336)</f>
        <v/>
      </c>
      <c r="D337" s="10">
        <f>IF('StockList_MS2'!A336="","",'StockList_MS2'!B336)</f>
        <v/>
      </c>
      <c r="E337" s="11" t="n"/>
      <c r="F337" s="11" t="n"/>
      <c r="G337" s="11" t="n"/>
      <c r="H337" s="11" t="n"/>
      <c r="I337" s="12" t="n"/>
      <c r="J337" s="11" t="n"/>
      <c r="K337" s="11" t="n"/>
      <c r="L337" s="11" t="n"/>
      <c r="M337" s="8">
        <f>IF(E337="","",IF(E337&gt;L337,"BUY-DAY","SELL-DAY"))</f>
        <v/>
      </c>
      <c r="N337" s="13">
        <f>IF(E337="","",MAX(F337-G337,ABS(F337-L337),ABS(G337-L337)))</f>
        <v/>
      </c>
      <c r="O337" s="8">
        <f>IF(E337="","",IF(AND(I337&gt;0,I337&gt;(I337/3)*2.5),"VOL-OK","VOL-NG"))</f>
        <v/>
      </c>
      <c r="P337" s="8">
        <f>IF(E337="","",IF(E337&gt;J337,"ON","OFF"))</f>
        <v/>
      </c>
      <c r="Q337" s="8">
        <f>IF(E337="","",IF(E337&lt;K337,"ON","OFF"))</f>
        <v/>
      </c>
      <c r="R337" s="8">
        <f>IF(OR(E337="",N337&lt;=0),"",IF(AND(M337="BUY-DAY",O337="VOL-OK",Q337="ON",AA337="OK",AB337&lt;&gt;"DOWN"),"BUY",IF(AND(M337="SELL-DAY",O337="VOL-OK",P337="ON",AA337="OK",AB337&lt;&gt;"UP"),"SELL","")))</f>
        <v/>
      </c>
      <c r="S337" s="13">
        <f>IF(R337="","",E337)</f>
        <v/>
      </c>
      <c r="T337" s="13">
        <f>IF(R337="","",IF(R337="BUY",E337-N337*1.5,E337+N337*1.5))</f>
        <v/>
      </c>
      <c r="U337" s="13">
        <f>IF(R337="","",IF(R337="BUY",E337+N337*1.5,E337-N337*1.5))</f>
        <v/>
      </c>
      <c r="V337" s="13">
        <f>IF(R337="","",IF(R337="BUY",E337+N337*2,E337-N337*2))</f>
        <v/>
      </c>
      <c r="W337" s="13">
        <f>IF(R337="","",IF(R337="BUY",E337+N337*3,E337-N337*3))</f>
        <v/>
      </c>
      <c r="X337" s="8">
        <f>IF(OR(E337="",N337&lt;=0),"",IF(AND(E337&gt;H337,ABS(E337-H337)&lt;N337*0.5),"2ND","1ST"))</f>
        <v/>
      </c>
      <c r="Y337" s="8">
        <f>IF(OR(E337="",N337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37" s="8">
        <f>IF(OR(E337="",N337&lt;=0),"",IF(N337&gt;E337*0.05,"VOL-HIGH","VOL-NORMAL"))</f>
        <v/>
      </c>
      <c r="AA337" s="8">
        <f>IF(OR(E337="",N337&lt;=0),"",IF(AND(O337="VOL-OK",Z337="VOL-NORMAL",X337="2ND"),"OK","NG"))</f>
        <v/>
      </c>
      <c r="AB337" s="8">
        <f>IF(OR(E337="",N337&lt;=0),"",IF(AND(F337&gt;J337,G337&gt;K337),"UP",IF(AND(F337&lt;J337,G337&lt;K337),"DOWN","FLAT")))</f>
        <v/>
      </c>
    </row>
    <row r="338" ht="26" customHeight="1" s="1">
      <c r="A338" s="14">
        <f>IF(C338="","",ROW()-2)</f>
        <v/>
      </c>
      <c r="B338" s="15">
        <f>IF('StockList_MS2'!A337="","",HYPERLINK("https://kabutan.jp/stock/?code="&amp;'StockList_MS2'!A337,"株探"))</f>
        <v/>
      </c>
      <c r="C338" s="14">
        <f>IF('StockList_MS2'!A337="","",'StockList_MS2'!A337)</f>
        <v/>
      </c>
      <c r="D338" s="16">
        <f>IF('StockList_MS2'!A337="","",'StockList_MS2'!B337)</f>
        <v/>
      </c>
      <c r="E338" s="17" t="n"/>
      <c r="F338" s="17" t="n"/>
      <c r="G338" s="17" t="n"/>
      <c r="H338" s="17" t="n"/>
      <c r="I338" s="18" t="n"/>
      <c r="J338" s="17" t="n"/>
      <c r="K338" s="17" t="n"/>
      <c r="L338" s="17" t="n"/>
      <c r="M338" s="14">
        <f>IF(E338="","",IF(E338&gt;L338,"BUY-DAY","SELL-DAY"))</f>
        <v/>
      </c>
      <c r="N338" s="19">
        <f>IF(E338="","",MAX(F338-G338,ABS(F338-L338),ABS(G338-L338)))</f>
        <v/>
      </c>
      <c r="O338" s="14">
        <f>IF(E338="","",IF(AND(I338&gt;0,I338&gt;(I338/3)*2.5),"VOL-OK","VOL-NG"))</f>
        <v/>
      </c>
      <c r="P338" s="14">
        <f>IF(E338="","",IF(E338&gt;J338,"ON","OFF"))</f>
        <v/>
      </c>
      <c r="Q338" s="14">
        <f>IF(E338="","",IF(E338&lt;K338,"ON","OFF"))</f>
        <v/>
      </c>
      <c r="R338" s="14">
        <f>IF(OR(E338="",N338&lt;=0),"",IF(AND(M338="BUY-DAY",O338="VOL-OK",Q338="ON",AA338="OK",AB338&lt;&gt;"DOWN"),"BUY",IF(AND(M338="SELL-DAY",O338="VOL-OK",P338="ON",AA338="OK",AB338&lt;&gt;"UP"),"SELL","")))</f>
        <v/>
      </c>
      <c r="S338" s="19">
        <f>IF(R338="","",E338)</f>
        <v/>
      </c>
      <c r="T338" s="19">
        <f>IF(R338="","",IF(R338="BUY",E338-N338*1.5,E338+N338*1.5))</f>
        <v/>
      </c>
      <c r="U338" s="19">
        <f>IF(R338="","",IF(R338="BUY",E338+N338*1.5,E338-N338*1.5))</f>
        <v/>
      </c>
      <c r="V338" s="19">
        <f>IF(R338="","",IF(R338="BUY",E338+N338*2,E338-N338*2))</f>
        <v/>
      </c>
      <c r="W338" s="19">
        <f>IF(R338="","",IF(R338="BUY",E338+N338*3,E338-N338*3))</f>
        <v/>
      </c>
      <c r="X338" s="14">
        <f>IF(OR(E338="",N338&lt;=0),"",IF(AND(E338&gt;H338,ABS(E338-H338)&lt;N338*0.5),"2ND","1ST"))</f>
        <v/>
      </c>
      <c r="Y338" s="14">
        <f>IF(OR(E338="",N338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38" s="14">
        <f>IF(OR(E338="",N338&lt;=0),"",IF(N338&gt;E338*0.05,"VOL-HIGH","VOL-NORMAL"))</f>
        <v/>
      </c>
      <c r="AA338" s="14">
        <f>IF(OR(E338="",N338&lt;=0),"",IF(AND(O338="VOL-OK",Z338="VOL-NORMAL",X338="2ND"),"OK","NG"))</f>
        <v/>
      </c>
      <c r="AB338" s="14">
        <f>IF(OR(E338="",N338&lt;=0),"",IF(AND(F338&gt;J338,G338&gt;K338),"UP",IF(AND(F338&lt;J338,G338&lt;K338),"DOWN","FLAT")))</f>
        <v/>
      </c>
    </row>
    <row r="339" ht="26" customHeight="1" s="1">
      <c r="A339" s="8">
        <f>IF(C339="","",ROW()-2)</f>
        <v/>
      </c>
      <c r="B339" s="9">
        <f>IF('StockList_MS2'!A338="","",HYPERLINK("https://kabutan.jp/stock/?code="&amp;'StockList_MS2'!A338,"株探"))</f>
        <v/>
      </c>
      <c r="C339" s="8">
        <f>IF('StockList_MS2'!A338="","",'StockList_MS2'!A338)</f>
        <v/>
      </c>
      <c r="D339" s="10">
        <f>IF('StockList_MS2'!A338="","",'StockList_MS2'!B338)</f>
        <v/>
      </c>
      <c r="E339" s="11" t="n"/>
      <c r="F339" s="11" t="n"/>
      <c r="G339" s="11" t="n"/>
      <c r="H339" s="11" t="n"/>
      <c r="I339" s="12" t="n"/>
      <c r="J339" s="11" t="n"/>
      <c r="K339" s="11" t="n"/>
      <c r="L339" s="11" t="n"/>
      <c r="M339" s="8">
        <f>IF(E339="","",IF(E339&gt;L339,"BUY-DAY","SELL-DAY"))</f>
        <v/>
      </c>
      <c r="N339" s="13">
        <f>IF(E339="","",MAX(F339-G339,ABS(F339-L339),ABS(G339-L339)))</f>
        <v/>
      </c>
      <c r="O339" s="8">
        <f>IF(E339="","",IF(AND(I339&gt;0,I339&gt;(I339/3)*2.5),"VOL-OK","VOL-NG"))</f>
        <v/>
      </c>
      <c r="P339" s="8">
        <f>IF(E339="","",IF(E339&gt;J339,"ON","OFF"))</f>
        <v/>
      </c>
      <c r="Q339" s="8">
        <f>IF(E339="","",IF(E339&lt;K339,"ON","OFF"))</f>
        <v/>
      </c>
      <c r="R339" s="8">
        <f>IF(OR(E339="",N339&lt;=0),"",IF(AND(M339="BUY-DAY",O339="VOL-OK",Q339="ON",AA339="OK",AB339&lt;&gt;"DOWN"),"BUY",IF(AND(M339="SELL-DAY",O339="VOL-OK",P339="ON",AA339="OK",AB339&lt;&gt;"UP"),"SELL","")))</f>
        <v/>
      </c>
      <c r="S339" s="13">
        <f>IF(R339="","",E339)</f>
        <v/>
      </c>
      <c r="T339" s="13">
        <f>IF(R339="","",IF(R339="BUY",E339-N339*1.5,E339+N339*1.5))</f>
        <v/>
      </c>
      <c r="U339" s="13">
        <f>IF(R339="","",IF(R339="BUY",E339+N339*1.5,E339-N339*1.5))</f>
        <v/>
      </c>
      <c r="V339" s="13">
        <f>IF(R339="","",IF(R339="BUY",E339+N339*2,E339-N339*2))</f>
        <v/>
      </c>
      <c r="W339" s="13">
        <f>IF(R339="","",IF(R339="BUY",E339+N339*3,E339-N339*3))</f>
        <v/>
      </c>
      <c r="X339" s="8">
        <f>IF(OR(E339="",N339&lt;=0),"",IF(AND(E339&gt;H339,ABS(E339-H339)&lt;N339*0.5),"2ND","1ST"))</f>
        <v/>
      </c>
      <c r="Y339" s="8">
        <f>IF(OR(E339="",N339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39" s="8">
        <f>IF(OR(E339="",N339&lt;=0),"",IF(N339&gt;E339*0.05,"VOL-HIGH","VOL-NORMAL"))</f>
        <v/>
      </c>
      <c r="AA339" s="8">
        <f>IF(OR(E339="",N339&lt;=0),"",IF(AND(O339="VOL-OK",Z339="VOL-NORMAL",X339="2ND"),"OK","NG"))</f>
        <v/>
      </c>
      <c r="AB339" s="8">
        <f>IF(OR(E339="",N339&lt;=0),"",IF(AND(F339&gt;J339,G339&gt;K339),"UP",IF(AND(F339&lt;J339,G339&lt;K339),"DOWN","FLAT")))</f>
        <v/>
      </c>
    </row>
    <row r="340" ht="26" customHeight="1" s="1">
      <c r="A340" s="14">
        <f>IF(C340="","",ROW()-2)</f>
        <v/>
      </c>
      <c r="B340" s="15">
        <f>IF('StockList_MS2'!A339="","",HYPERLINK("https://kabutan.jp/stock/?code="&amp;'StockList_MS2'!A339,"株探"))</f>
        <v/>
      </c>
      <c r="C340" s="14">
        <f>IF('StockList_MS2'!A339="","",'StockList_MS2'!A339)</f>
        <v/>
      </c>
      <c r="D340" s="16">
        <f>IF('StockList_MS2'!A339="","",'StockList_MS2'!B339)</f>
        <v/>
      </c>
      <c r="E340" s="17" t="n"/>
      <c r="F340" s="17" t="n"/>
      <c r="G340" s="17" t="n"/>
      <c r="H340" s="17" t="n"/>
      <c r="I340" s="18" t="n"/>
      <c r="J340" s="17" t="n"/>
      <c r="K340" s="17" t="n"/>
      <c r="L340" s="17" t="n"/>
      <c r="M340" s="14">
        <f>IF(E340="","",IF(E340&gt;L340,"BUY-DAY","SELL-DAY"))</f>
        <v/>
      </c>
      <c r="N340" s="19">
        <f>IF(E340="","",MAX(F340-G340,ABS(F340-L340),ABS(G340-L340)))</f>
        <v/>
      </c>
      <c r="O340" s="14">
        <f>IF(E340="","",IF(AND(I340&gt;0,I340&gt;(I340/3)*2.5),"VOL-OK","VOL-NG"))</f>
        <v/>
      </c>
      <c r="P340" s="14">
        <f>IF(E340="","",IF(E340&gt;J340,"ON","OFF"))</f>
        <v/>
      </c>
      <c r="Q340" s="14">
        <f>IF(E340="","",IF(E340&lt;K340,"ON","OFF"))</f>
        <v/>
      </c>
      <c r="R340" s="14">
        <f>IF(OR(E340="",N340&lt;=0),"",IF(AND(M340="BUY-DAY",O340="VOL-OK",Q340="ON",AA340="OK",AB340&lt;&gt;"DOWN"),"BUY",IF(AND(M340="SELL-DAY",O340="VOL-OK",P340="ON",AA340="OK",AB340&lt;&gt;"UP"),"SELL","")))</f>
        <v/>
      </c>
      <c r="S340" s="19">
        <f>IF(R340="","",E340)</f>
        <v/>
      </c>
      <c r="T340" s="19">
        <f>IF(R340="","",IF(R340="BUY",E340-N340*1.5,E340+N340*1.5))</f>
        <v/>
      </c>
      <c r="U340" s="19">
        <f>IF(R340="","",IF(R340="BUY",E340+N340*1.5,E340-N340*1.5))</f>
        <v/>
      </c>
      <c r="V340" s="19">
        <f>IF(R340="","",IF(R340="BUY",E340+N340*2,E340-N340*2))</f>
        <v/>
      </c>
      <c r="W340" s="19">
        <f>IF(R340="","",IF(R340="BUY",E340+N340*3,E340-N340*3))</f>
        <v/>
      </c>
      <c r="X340" s="14">
        <f>IF(OR(E340="",N340&lt;=0),"",IF(AND(E340&gt;H340,ABS(E340-H340)&lt;N340*0.5),"2ND","1ST"))</f>
        <v/>
      </c>
      <c r="Y340" s="14">
        <f>IF(OR(E340="",N340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40" s="14">
        <f>IF(OR(E340="",N340&lt;=0),"",IF(N340&gt;E340*0.05,"VOL-HIGH","VOL-NORMAL"))</f>
        <v/>
      </c>
      <c r="AA340" s="14">
        <f>IF(OR(E340="",N340&lt;=0),"",IF(AND(O340="VOL-OK",Z340="VOL-NORMAL",X340="2ND"),"OK","NG"))</f>
        <v/>
      </c>
      <c r="AB340" s="14">
        <f>IF(OR(E340="",N340&lt;=0),"",IF(AND(F340&gt;J340,G340&gt;K340),"UP",IF(AND(F340&lt;J340,G340&lt;K340),"DOWN","FLAT")))</f>
        <v/>
      </c>
    </row>
    <row r="341" ht="26" customHeight="1" s="1">
      <c r="A341" s="8">
        <f>IF(C341="","",ROW()-2)</f>
        <v/>
      </c>
      <c r="B341" s="9">
        <f>IF('StockList_MS2'!A340="","",HYPERLINK("https://kabutan.jp/stock/?code="&amp;'StockList_MS2'!A340,"株探"))</f>
        <v/>
      </c>
      <c r="C341" s="8">
        <f>IF('StockList_MS2'!A340="","",'StockList_MS2'!A340)</f>
        <v/>
      </c>
      <c r="D341" s="10">
        <f>IF('StockList_MS2'!A340="","",'StockList_MS2'!B340)</f>
        <v/>
      </c>
      <c r="E341" s="11" t="n"/>
      <c r="F341" s="11" t="n"/>
      <c r="G341" s="11" t="n"/>
      <c r="H341" s="11" t="n"/>
      <c r="I341" s="12" t="n"/>
      <c r="J341" s="11" t="n"/>
      <c r="K341" s="11" t="n"/>
      <c r="L341" s="11" t="n"/>
      <c r="M341" s="8">
        <f>IF(E341="","",IF(E341&gt;L341,"BUY-DAY","SELL-DAY"))</f>
        <v/>
      </c>
      <c r="N341" s="13">
        <f>IF(E341="","",MAX(F341-G341,ABS(F341-L341),ABS(G341-L341)))</f>
        <v/>
      </c>
      <c r="O341" s="8">
        <f>IF(E341="","",IF(AND(I341&gt;0,I341&gt;(I341/3)*2.5),"VOL-OK","VOL-NG"))</f>
        <v/>
      </c>
      <c r="P341" s="8">
        <f>IF(E341="","",IF(E341&gt;J341,"ON","OFF"))</f>
        <v/>
      </c>
      <c r="Q341" s="8">
        <f>IF(E341="","",IF(E341&lt;K341,"ON","OFF"))</f>
        <v/>
      </c>
      <c r="R341" s="8">
        <f>IF(OR(E341="",N341&lt;=0),"",IF(AND(M341="BUY-DAY",O341="VOL-OK",Q341="ON",AA341="OK",AB341&lt;&gt;"DOWN"),"BUY",IF(AND(M341="SELL-DAY",O341="VOL-OK",P341="ON",AA341="OK",AB341&lt;&gt;"UP"),"SELL","")))</f>
        <v/>
      </c>
      <c r="S341" s="13">
        <f>IF(R341="","",E341)</f>
        <v/>
      </c>
      <c r="T341" s="13">
        <f>IF(R341="","",IF(R341="BUY",E341-N341*1.5,E341+N341*1.5))</f>
        <v/>
      </c>
      <c r="U341" s="13">
        <f>IF(R341="","",IF(R341="BUY",E341+N341*1.5,E341-N341*1.5))</f>
        <v/>
      </c>
      <c r="V341" s="13">
        <f>IF(R341="","",IF(R341="BUY",E341+N341*2,E341-N341*2))</f>
        <v/>
      </c>
      <c r="W341" s="13">
        <f>IF(R341="","",IF(R341="BUY",E341+N341*3,E341-N341*3))</f>
        <v/>
      </c>
      <c r="X341" s="8">
        <f>IF(OR(E341="",N341&lt;=0),"",IF(AND(E341&gt;H341,ABS(E341-H341)&lt;N341*0.5),"2ND","1ST"))</f>
        <v/>
      </c>
      <c r="Y341" s="8">
        <f>IF(OR(E341="",N341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41" s="8">
        <f>IF(OR(E341="",N341&lt;=0),"",IF(N341&gt;E341*0.05,"VOL-HIGH","VOL-NORMAL"))</f>
        <v/>
      </c>
      <c r="AA341" s="8">
        <f>IF(OR(E341="",N341&lt;=0),"",IF(AND(O341="VOL-OK",Z341="VOL-NORMAL",X341="2ND"),"OK","NG"))</f>
        <v/>
      </c>
      <c r="AB341" s="8">
        <f>IF(OR(E341="",N341&lt;=0),"",IF(AND(F341&gt;J341,G341&gt;K341),"UP",IF(AND(F341&lt;J341,G341&lt;K341),"DOWN","FLAT")))</f>
        <v/>
      </c>
    </row>
    <row r="342" ht="26" customHeight="1" s="1">
      <c r="A342" s="14">
        <f>IF(C342="","",ROW()-2)</f>
        <v/>
      </c>
      <c r="B342" s="15">
        <f>IF('StockList_MS2'!A341="","",HYPERLINK("https://kabutan.jp/stock/?code="&amp;'StockList_MS2'!A341,"株探"))</f>
        <v/>
      </c>
      <c r="C342" s="14">
        <f>IF('StockList_MS2'!A341="","",'StockList_MS2'!A341)</f>
        <v/>
      </c>
      <c r="D342" s="16">
        <f>IF('StockList_MS2'!A341="","",'StockList_MS2'!B341)</f>
        <v/>
      </c>
      <c r="E342" s="17" t="n"/>
      <c r="F342" s="17" t="n"/>
      <c r="G342" s="17" t="n"/>
      <c r="H342" s="17" t="n"/>
      <c r="I342" s="18" t="n"/>
      <c r="J342" s="17" t="n"/>
      <c r="K342" s="17" t="n"/>
      <c r="L342" s="17" t="n"/>
      <c r="M342" s="14">
        <f>IF(E342="","",IF(E342&gt;L342,"BUY-DAY","SELL-DAY"))</f>
        <v/>
      </c>
      <c r="N342" s="19">
        <f>IF(E342="","",MAX(F342-G342,ABS(F342-L342),ABS(G342-L342)))</f>
        <v/>
      </c>
      <c r="O342" s="14">
        <f>IF(E342="","",IF(AND(I342&gt;0,I342&gt;(I342/3)*2.5),"VOL-OK","VOL-NG"))</f>
        <v/>
      </c>
      <c r="P342" s="14">
        <f>IF(E342="","",IF(E342&gt;J342,"ON","OFF"))</f>
        <v/>
      </c>
      <c r="Q342" s="14">
        <f>IF(E342="","",IF(E342&lt;K342,"ON","OFF"))</f>
        <v/>
      </c>
      <c r="R342" s="14">
        <f>IF(OR(E342="",N342&lt;=0),"",IF(AND(M342="BUY-DAY",O342="VOL-OK",Q342="ON",AA342="OK",AB342&lt;&gt;"DOWN"),"BUY",IF(AND(M342="SELL-DAY",O342="VOL-OK",P342="ON",AA342="OK",AB342&lt;&gt;"UP"),"SELL","")))</f>
        <v/>
      </c>
      <c r="S342" s="19">
        <f>IF(R342="","",E342)</f>
        <v/>
      </c>
      <c r="T342" s="19">
        <f>IF(R342="","",IF(R342="BUY",E342-N342*1.5,E342+N342*1.5))</f>
        <v/>
      </c>
      <c r="U342" s="19">
        <f>IF(R342="","",IF(R342="BUY",E342+N342*1.5,E342-N342*1.5))</f>
        <v/>
      </c>
      <c r="V342" s="19">
        <f>IF(R342="","",IF(R342="BUY",E342+N342*2,E342-N342*2))</f>
        <v/>
      </c>
      <c r="W342" s="19">
        <f>IF(R342="","",IF(R342="BUY",E342+N342*3,E342-N342*3))</f>
        <v/>
      </c>
      <c r="X342" s="14">
        <f>IF(OR(E342="",N342&lt;=0),"",IF(AND(E342&gt;H342,ABS(E342-H342)&lt;N342*0.5),"2ND","1ST"))</f>
        <v/>
      </c>
      <c r="Y342" s="14">
        <f>IF(OR(E342="",N342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42" s="14">
        <f>IF(OR(E342="",N342&lt;=0),"",IF(N342&gt;E342*0.05,"VOL-HIGH","VOL-NORMAL"))</f>
        <v/>
      </c>
      <c r="AA342" s="14">
        <f>IF(OR(E342="",N342&lt;=0),"",IF(AND(O342="VOL-OK",Z342="VOL-NORMAL",X342="2ND"),"OK","NG"))</f>
        <v/>
      </c>
      <c r="AB342" s="14">
        <f>IF(OR(E342="",N342&lt;=0),"",IF(AND(F342&gt;J342,G342&gt;K342),"UP",IF(AND(F342&lt;J342,G342&lt;K342),"DOWN","FLAT")))</f>
        <v/>
      </c>
    </row>
    <row r="343" ht="26" customHeight="1" s="1">
      <c r="A343" s="8">
        <f>IF(C343="","",ROW()-2)</f>
        <v/>
      </c>
      <c r="B343" s="9">
        <f>IF('StockList_MS2'!A342="","",HYPERLINK("https://kabutan.jp/stock/?code="&amp;'StockList_MS2'!A342,"株探"))</f>
        <v/>
      </c>
      <c r="C343" s="8">
        <f>IF('StockList_MS2'!A342="","",'StockList_MS2'!A342)</f>
        <v/>
      </c>
      <c r="D343" s="10">
        <f>IF('StockList_MS2'!A342="","",'StockList_MS2'!B342)</f>
        <v/>
      </c>
      <c r="E343" s="11" t="n"/>
      <c r="F343" s="11" t="n"/>
      <c r="G343" s="11" t="n"/>
      <c r="H343" s="11" t="n"/>
      <c r="I343" s="12" t="n"/>
      <c r="J343" s="11" t="n"/>
      <c r="K343" s="11" t="n"/>
      <c r="L343" s="11" t="n"/>
      <c r="M343" s="8">
        <f>IF(E343="","",IF(E343&gt;L343,"BUY-DAY","SELL-DAY"))</f>
        <v/>
      </c>
      <c r="N343" s="13">
        <f>IF(E343="","",MAX(F343-G343,ABS(F343-L343),ABS(G343-L343)))</f>
        <v/>
      </c>
      <c r="O343" s="8">
        <f>IF(E343="","",IF(AND(I343&gt;0,I343&gt;(I343/3)*2.5),"VOL-OK","VOL-NG"))</f>
        <v/>
      </c>
      <c r="P343" s="8">
        <f>IF(E343="","",IF(E343&gt;J343,"ON","OFF"))</f>
        <v/>
      </c>
      <c r="Q343" s="8">
        <f>IF(E343="","",IF(E343&lt;K343,"ON","OFF"))</f>
        <v/>
      </c>
      <c r="R343" s="8">
        <f>IF(OR(E343="",N343&lt;=0),"",IF(AND(M343="BUY-DAY",O343="VOL-OK",Q343="ON",AA343="OK",AB343&lt;&gt;"DOWN"),"BUY",IF(AND(M343="SELL-DAY",O343="VOL-OK",P343="ON",AA343="OK",AB343&lt;&gt;"UP"),"SELL","")))</f>
        <v/>
      </c>
      <c r="S343" s="13">
        <f>IF(R343="","",E343)</f>
        <v/>
      </c>
      <c r="T343" s="13">
        <f>IF(R343="","",IF(R343="BUY",E343-N343*1.5,E343+N343*1.5))</f>
        <v/>
      </c>
      <c r="U343" s="13">
        <f>IF(R343="","",IF(R343="BUY",E343+N343*1.5,E343-N343*1.5))</f>
        <v/>
      </c>
      <c r="V343" s="13">
        <f>IF(R343="","",IF(R343="BUY",E343+N343*2,E343-N343*2))</f>
        <v/>
      </c>
      <c r="W343" s="13">
        <f>IF(R343="","",IF(R343="BUY",E343+N343*3,E343-N343*3))</f>
        <v/>
      </c>
      <c r="X343" s="8">
        <f>IF(OR(E343="",N343&lt;=0),"",IF(AND(E343&gt;H343,ABS(E343-H343)&lt;N343*0.5),"2ND","1ST"))</f>
        <v/>
      </c>
      <c r="Y343" s="8">
        <f>IF(OR(E343="",N343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43" s="8">
        <f>IF(OR(E343="",N343&lt;=0),"",IF(N343&gt;E343*0.05,"VOL-HIGH","VOL-NORMAL"))</f>
        <v/>
      </c>
      <c r="AA343" s="8">
        <f>IF(OR(E343="",N343&lt;=0),"",IF(AND(O343="VOL-OK",Z343="VOL-NORMAL",X343="2ND"),"OK","NG"))</f>
        <v/>
      </c>
      <c r="AB343" s="8">
        <f>IF(OR(E343="",N343&lt;=0),"",IF(AND(F343&gt;J343,G343&gt;K343),"UP",IF(AND(F343&lt;J343,G343&lt;K343),"DOWN","FLAT")))</f>
        <v/>
      </c>
    </row>
    <row r="344" ht="26" customHeight="1" s="1">
      <c r="A344" s="14">
        <f>IF(C344="","",ROW()-2)</f>
        <v/>
      </c>
      <c r="B344" s="15">
        <f>IF('StockList_MS2'!A343="","",HYPERLINK("https://kabutan.jp/stock/?code="&amp;'StockList_MS2'!A343,"株探"))</f>
        <v/>
      </c>
      <c r="C344" s="14">
        <f>IF('StockList_MS2'!A343="","",'StockList_MS2'!A343)</f>
        <v/>
      </c>
      <c r="D344" s="16">
        <f>IF('StockList_MS2'!A343="","",'StockList_MS2'!B343)</f>
        <v/>
      </c>
      <c r="E344" s="17" t="n"/>
      <c r="F344" s="17" t="n"/>
      <c r="G344" s="17" t="n"/>
      <c r="H344" s="17" t="n"/>
      <c r="I344" s="18" t="n"/>
      <c r="J344" s="17" t="n"/>
      <c r="K344" s="17" t="n"/>
      <c r="L344" s="17" t="n"/>
      <c r="M344" s="14">
        <f>IF(E344="","",IF(E344&gt;L344,"BUY-DAY","SELL-DAY"))</f>
        <v/>
      </c>
      <c r="N344" s="19">
        <f>IF(E344="","",MAX(F344-G344,ABS(F344-L344),ABS(G344-L344)))</f>
        <v/>
      </c>
      <c r="O344" s="14">
        <f>IF(E344="","",IF(AND(I344&gt;0,I344&gt;(I344/3)*2.5),"VOL-OK","VOL-NG"))</f>
        <v/>
      </c>
      <c r="P344" s="14">
        <f>IF(E344="","",IF(E344&gt;J344,"ON","OFF"))</f>
        <v/>
      </c>
      <c r="Q344" s="14">
        <f>IF(E344="","",IF(E344&lt;K344,"ON","OFF"))</f>
        <v/>
      </c>
      <c r="R344" s="14">
        <f>IF(OR(E344="",N344&lt;=0),"",IF(AND(M344="BUY-DAY",O344="VOL-OK",Q344="ON",AA344="OK",AB344&lt;&gt;"DOWN"),"BUY",IF(AND(M344="SELL-DAY",O344="VOL-OK",P344="ON",AA344="OK",AB344&lt;&gt;"UP"),"SELL","")))</f>
        <v/>
      </c>
      <c r="S344" s="19">
        <f>IF(R344="","",E344)</f>
        <v/>
      </c>
      <c r="T344" s="19">
        <f>IF(R344="","",IF(R344="BUY",E344-N344*1.5,E344+N344*1.5))</f>
        <v/>
      </c>
      <c r="U344" s="19">
        <f>IF(R344="","",IF(R344="BUY",E344+N344*1.5,E344-N344*1.5))</f>
        <v/>
      </c>
      <c r="V344" s="19">
        <f>IF(R344="","",IF(R344="BUY",E344+N344*2,E344-N344*2))</f>
        <v/>
      </c>
      <c r="W344" s="19">
        <f>IF(R344="","",IF(R344="BUY",E344+N344*3,E344-N344*3))</f>
        <v/>
      </c>
      <c r="X344" s="14">
        <f>IF(OR(E344="",N344&lt;=0),"",IF(AND(E344&gt;H344,ABS(E344-H344)&lt;N344*0.5),"2ND","1ST"))</f>
        <v/>
      </c>
      <c r="Y344" s="14">
        <f>IF(OR(E344="",N344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44" s="14">
        <f>IF(OR(E344="",N344&lt;=0),"",IF(N344&gt;E344*0.05,"VOL-HIGH","VOL-NORMAL"))</f>
        <v/>
      </c>
      <c r="AA344" s="14">
        <f>IF(OR(E344="",N344&lt;=0),"",IF(AND(O344="VOL-OK",Z344="VOL-NORMAL",X344="2ND"),"OK","NG"))</f>
        <v/>
      </c>
      <c r="AB344" s="14">
        <f>IF(OR(E344="",N344&lt;=0),"",IF(AND(F344&gt;J344,G344&gt;K344),"UP",IF(AND(F344&lt;J344,G344&lt;K344),"DOWN","FLAT")))</f>
        <v/>
      </c>
    </row>
    <row r="345" ht="26" customHeight="1" s="1">
      <c r="A345" s="8">
        <f>IF(C345="","",ROW()-2)</f>
        <v/>
      </c>
      <c r="B345" s="9">
        <f>IF('StockList_MS2'!A344="","",HYPERLINK("https://kabutan.jp/stock/?code="&amp;'StockList_MS2'!A344,"株探"))</f>
        <v/>
      </c>
      <c r="C345" s="8">
        <f>IF('StockList_MS2'!A344="","",'StockList_MS2'!A344)</f>
        <v/>
      </c>
      <c r="D345" s="10">
        <f>IF('StockList_MS2'!A344="","",'StockList_MS2'!B344)</f>
        <v/>
      </c>
      <c r="E345" s="11" t="n"/>
      <c r="F345" s="11" t="n"/>
      <c r="G345" s="11" t="n"/>
      <c r="H345" s="11" t="n"/>
      <c r="I345" s="12" t="n"/>
      <c r="J345" s="11" t="n"/>
      <c r="K345" s="11" t="n"/>
      <c r="L345" s="11" t="n"/>
      <c r="M345" s="8">
        <f>IF(E345="","",IF(E345&gt;L345,"BUY-DAY","SELL-DAY"))</f>
        <v/>
      </c>
      <c r="N345" s="13">
        <f>IF(E345="","",MAX(F345-G345,ABS(F345-L345),ABS(G345-L345)))</f>
        <v/>
      </c>
      <c r="O345" s="8">
        <f>IF(E345="","",IF(AND(I345&gt;0,I345&gt;(I345/3)*2.5),"VOL-OK","VOL-NG"))</f>
        <v/>
      </c>
      <c r="P345" s="8">
        <f>IF(E345="","",IF(E345&gt;J345,"ON","OFF"))</f>
        <v/>
      </c>
      <c r="Q345" s="8">
        <f>IF(E345="","",IF(E345&lt;K345,"ON","OFF"))</f>
        <v/>
      </c>
      <c r="R345" s="8">
        <f>IF(OR(E345="",N345&lt;=0),"",IF(AND(M345="BUY-DAY",O345="VOL-OK",Q345="ON",AA345="OK",AB345&lt;&gt;"DOWN"),"BUY",IF(AND(M345="SELL-DAY",O345="VOL-OK",P345="ON",AA345="OK",AB345&lt;&gt;"UP"),"SELL","")))</f>
        <v/>
      </c>
      <c r="S345" s="13">
        <f>IF(R345="","",E345)</f>
        <v/>
      </c>
      <c r="T345" s="13">
        <f>IF(R345="","",IF(R345="BUY",E345-N345*1.5,E345+N345*1.5))</f>
        <v/>
      </c>
      <c r="U345" s="13">
        <f>IF(R345="","",IF(R345="BUY",E345+N345*1.5,E345-N345*1.5))</f>
        <v/>
      </c>
      <c r="V345" s="13">
        <f>IF(R345="","",IF(R345="BUY",E345+N345*2,E345-N345*2))</f>
        <v/>
      </c>
      <c r="W345" s="13">
        <f>IF(R345="","",IF(R345="BUY",E345+N345*3,E345-N345*3))</f>
        <v/>
      </c>
      <c r="X345" s="8">
        <f>IF(OR(E345="",N345&lt;=0),"",IF(AND(E345&gt;H345,ABS(E345-H345)&lt;N345*0.5),"2ND","1ST"))</f>
        <v/>
      </c>
      <c r="Y345" s="8">
        <f>IF(OR(E345="",N345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45" s="8">
        <f>IF(OR(E345="",N345&lt;=0),"",IF(N345&gt;E345*0.05,"VOL-HIGH","VOL-NORMAL"))</f>
        <v/>
      </c>
      <c r="AA345" s="8">
        <f>IF(OR(E345="",N345&lt;=0),"",IF(AND(O345="VOL-OK",Z345="VOL-NORMAL",X345="2ND"),"OK","NG"))</f>
        <v/>
      </c>
      <c r="AB345" s="8">
        <f>IF(OR(E345="",N345&lt;=0),"",IF(AND(F345&gt;J345,G345&gt;K345),"UP",IF(AND(F345&lt;J345,G345&lt;K345),"DOWN","FLAT")))</f>
        <v/>
      </c>
    </row>
    <row r="346" ht="26" customHeight="1" s="1">
      <c r="A346" s="14">
        <f>IF(C346="","",ROW()-2)</f>
        <v/>
      </c>
      <c r="B346" s="15">
        <f>IF('StockList_MS2'!A345="","",HYPERLINK("https://kabutan.jp/stock/?code="&amp;'StockList_MS2'!A345,"株探"))</f>
        <v/>
      </c>
      <c r="C346" s="14">
        <f>IF('StockList_MS2'!A345="","",'StockList_MS2'!A345)</f>
        <v/>
      </c>
      <c r="D346" s="16">
        <f>IF('StockList_MS2'!A345="","",'StockList_MS2'!B345)</f>
        <v/>
      </c>
      <c r="E346" s="17" t="n"/>
      <c r="F346" s="17" t="n"/>
      <c r="G346" s="17" t="n"/>
      <c r="H346" s="17" t="n"/>
      <c r="I346" s="18" t="n"/>
      <c r="J346" s="17" t="n"/>
      <c r="K346" s="17" t="n"/>
      <c r="L346" s="17" t="n"/>
      <c r="M346" s="14">
        <f>IF(E346="","",IF(E346&gt;L346,"BUY-DAY","SELL-DAY"))</f>
        <v/>
      </c>
      <c r="N346" s="19">
        <f>IF(E346="","",MAX(F346-G346,ABS(F346-L346),ABS(G346-L346)))</f>
        <v/>
      </c>
      <c r="O346" s="14">
        <f>IF(E346="","",IF(AND(I346&gt;0,I346&gt;(I346/3)*2.5),"VOL-OK","VOL-NG"))</f>
        <v/>
      </c>
      <c r="P346" s="14">
        <f>IF(E346="","",IF(E346&gt;J346,"ON","OFF"))</f>
        <v/>
      </c>
      <c r="Q346" s="14">
        <f>IF(E346="","",IF(E346&lt;K346,"ON","OFF"))</f>
        <v/>
      </c>
      <c r="R346" s="14">
        <f>IF(OR(E346="",N346&lt;=0),"",IF(AND(M346="BUY-DAY",O346="VOL-OK",Q346="ON",AA346="OK",AB346&lt;&gt;"DOWN"),"BUY",IF(AND(M346="SELL-DAY",O346="VOL-OK",P346="ON",AA346="OK",AB346&lt;&gt;"UP"),"SELL","")))</f>
        <v/>
      </c>
      <c r="S346" s="19">
        <f>IF(R346="","",E346)</f>
        <v/>
      </c>
      <c r="T346" s="19">
        <f>IF(R346="","",IF(R346="BUY",E346-N346*1.5,E346+N346*1.5))</f>
        <v/>
      </c>
      <c r="U346" s="19">
        <f>IF(R346="","",IF(R346="BUY",E346+N346*1.5,E346-N346*1.5))</f>
        <v/>
      </c>
      <c r="V346" s="19">
        <f>IF(R346="","",IF(R346="BUY",E346+N346*2,E346-N346*2))</f>
        <v/>
      </c>
      <c r="W346" s="19">
        <f>IF(R346="","",IF(R346="BUY",E346+N346*3,E346-N346*3))</f>
        <v/>
      </c>
      <c r="X346" s="14">
        <f>IF(OR(E346="",N346&lt;=0),"",IF(AND(E346&gt;H346,ABS(E346-H346)&lt;N346*0.5),"2ND","1ST"))</f>
        <v/>
      </c>
      <c r="Y346" s="14">
        <f>IF(OR(E346="",N346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46" s="14">
        <f>IF(OR(E346="",N346&lt;=0),"",IF(N346&gt;E346*0.05,"VOL-HIGH","VOL-NORMAL"))</f>
        <v/>
      </c>
      <c r="AA346" s="14">
        <f>IF(OR(E346="",N346&lt;=0),"",IF(AND(O346="VOL-OK",Z346="VOL-NORMAL",X346="2ND"),"OK","NG"))</f>
        <v/>
      </c>
      <c r="AB346" s="14">
        <f>IF(OR(E346="",N346&lt;=0),"",IF(AND(F346&gt;J346,G346&gt;K346),"UP",IF(AND(F346&lt;J346,G346&lt;K346),"DOWN","FLAT")))</f>
        <v/>
      </c>
    </row>
    <row r="347" ht="26" customHeight="1" s="1">
      <c r="A347" s="8">
        <f>IF(C347="","",ROW()-2)</f>
        <v/>
      </c>
      <c r="B347" s="9">
        <f>IF('StockList_MS2'!A346="","",HYPERLINK("https://kabutan.jp/stock/?code="&amp;'StockList_MS2'!A346,"株探"))</f>
        <v/>
      </c>
      <c r="C347" s="8">
        <f>IF('StockList_MS2'!A346="","",'StockList_MS2'!A346)</f>
        <v/>
      </c>
      <c r="D347" s="10">
        <f>IF('StockList_MS2'!A346="","",'StockList_MS2'!B346)</f>
        <v/>
      </c>
      <c r="E347" s="11" t="n"/>
      <c r="F347" s="11" t="n"/>
      <c r="G347" s="11" t="n"/>
      <c r="H347" s="11" t="n"/>
      <c r="I347" s="12" t="n"/>
      <c r="J347" s="11" t="n"/>
      <c r="K347" s="11" t="n"/>
      <c r="L347" s="11" t="n"/>
      <c r="M347" s="8">
        <f>IF(E347="","",IF(E347&gt;L347,"BUY-DAY","SELL-DAY"))</f>
        <v/>
      </c>
      <c r="N347" s="13">
        <f>IF(E347="","",MAX(F347-G347,ABS(F347-L347),ABS(G347-L347)))</f>
        <v/>
      </c>
      <c r="O347" s="8">
        <f>IF(E347="","",IF(AND(I347&gt;0,I347&gt;(I347/3)*2.5),"VOL-OK","VOL-NG"))</f>
        <v/>
      </c>
      <c r="P347" s="8">
        <f>IF(E347="","",IF(E347&gt;J347,"ON","OFF"))</f>
        <v/>
      </c>
      <c r="Q347" s="8">
        <f>IF(E347="","",IF(E347&lt;K347,"ON","OFF"))</f>
        <v/>
      </c>
      <c r="R347" s="8">
        <f>IF(OR(E347="",N347&lt;=0),"",IF(AND(M347="BUY-DAY",O347="VOL-OK",Q347="ON",AA347="OK",AB347&lt;&gt;"DOWN"),"BUY",IF(AND(M347="SELL-DAY",O347="VOL-OK",P347="ON",AA347="OK",AB347&lt;&gt;"UP"),"SELL","")))</f>
        <v/>
      </c>
      <c r="S347" s="13">
        <f>IF(R347="","",E347)</f>
        <v/>
      </c>
      <c r="T347" s="13">
        <f>IF(R347="","",IF(R347="BUY",E347-N347*1.5,E347+N347*1.5))</f>
        <v/>
      </c>
      <c r="U347" s="13">
        <f>IF(R347="","",IF(R347="BUY",E347+N347*1.5,E347-N347*1.5))</f>
        <v/>
      </c>
      <c r="V347" s="13">
        <f>IF(R347="","",IF(R347="BUY",E347+N347*2,E347-N347*2))</f>
        <v/>
      </c>
      <c r="W347" s="13">
        <f>IF(R347="","",IF(R347="BUY",E347+N347*3,E347-N347*3))</f>
        <v/>
      </c>
      <c r="X347" s="8">
        <f>IF(OR(E347="",N347&lt;=0),"",IF(AND(E347&gt;H347,ABS(E347-H347)&lt;N347*0.5),"2ND","1ST"))</f>
        <v/>
      </c>
      <c r="Y347" s="8">
        <f>IF(OR(E347="",N347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47" s="8">
        <f>IF(OR(E347="",N347&lt;=0),"",IF(N347&gt;E347*0.05,"VOL-HIGH","VOL-NORMAL"))</f>
        <v/>
      </c>
      <c r="AA347" s="8">
        <f>IF(OR(E347="",N347&lt;=0),"",IF(AND(O347="VOL-OK",Z347="VOL-NORMAL",X347="2ND"),"OK","NG"))</f>
        <v/>
      </c>
      <c r="AB347" s="8">
        <f>IF(OR(E347="",N347&lt;=0),"",IF(AND(F347&gt;J347,G347&gt;K347),"UP",IF(AND(F347&lt;J347,G347&lt;K347),"DOWN","FLAT")))</f>
        <v/>
      </c>
    </row>
    <row r="348" ht="26" customHeight="1" s="1">
      <c r="A348" s="14">
        <f>IF(C348="","",ROW()-2)</f>
        <v/>
      </c>
      <c r="B348" s="15">
        <f>IF('StockList_MS2'!A347="","",HYPERLINK("https://kabutan.jp/stock/?code="&amp;'StockList_MS2'!A347,"株探"))</f>
        <v/>
      </c>
      <c r="C348" s="14">
        <f>IF('StockList_MS2'!A347="","",'StockList_MS2'!A347)</f>
        <v/>
      </c>
      <c r="D348" s="16">
        <f>IF('StockList_MS2'!A347="","",'StockList_MS2'!B347)</f>
        <v/>
      </c>
      <c r="E348" s="17" t="n"/>
      <c r="F348" s="17" t="n"/>
      <c r="G348" s="17" t="n"/>
      <c r="H348" s="17" t="n"/>
      <c r="I348" s="18" t="n"/>
      <c r="J348" s="17" t="n"/>
      <c r="K348" s="17" t="n"/>
      <c r="L348" s="17" t="n"/>
      <c r="M348" s="14">
        <f>IF(E348="","",IF(E348&gt;L348,"BUY-DAY","SELL-DAY"))</f>
        <v/>
      </c>
      <c r="N348" s="19">
        <f>IF(E348="","",MAX(F348-G348,ABS(F348-L348),ABS(G348-L348)))</f>
        <v/>
      </c>
      <c r="O348" s="14">
        <f>IF(E348="","",IF(AND(I348&gt;0,I348&gt;(I348/3)*2.5),"VOL-OK","VOL-NG"))</f>
        <v/>
      </c>
      <c r="P348" s="14">
        <f>IF(E348="","",IF(E348&gt;J348,"ON","OFF"))</f>
        <v/>
      </c>
      <c r="Q348" s="14">
        <f>IF(E348="","",IF(E348&lt;K348,"ON","OFF"))</f>
        <v/>
      </c>
      <c r="R348" s="14">
        <f>IF(OR(E348="",N348&lt;=0),"",IF(AND(M348="BUY-DAY",O348="VOL-OK",Q348="ON",AA348="OK",AB348&lt;&gt;"DOWN"),"BUY",IF(AND(M348="SELL-DAY",O348="VOL-OK",P348="ON",AA348="OK",AB348&lt;&gt;"UP"),"SELL","")))</f>
        <v/>
      </c>
      <c r="S348" s="19">
        <f>IF(R348="","",E348)</f>
        <v/>
      </c>
      <c r="T348" s="19">
        <f>IF(R348="","",IF(R348="BUY",E348-N348*1.5,E348+N348*1.5))</f>
        <v/>
      </c>
      <c r="U348" s="19">
        <f>IF(R348="","",IF(R348="BUY",E348+N348*1.5,E348-N348*1.5))</f>
        <v/>
      </c>
      <c r="V348" s="19">
        <f>IF(R348="","",IF(R348="BUY",E348+N348*2,E348-N348*2))</f>
        <v/>
      </c>
      <c r="W348" s="19">
        <f>IF(R348="","",IF(R348="BUY",E348+N348*3,E348-N348*3))</f>
        <v/>
      </c>
      <c r="X348" s="14">
        <f>IF(OR(E348="",N348&lt;=0),"",IF(AND(E348&gt;H348,ABS(E348-H348)&lt;N348*0.5),"2ND","1ST"))</f>
        <v/>
      </c>
      <c r="Y348" s="14">
        <f>IF(OR(E348="",N348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48" s="14">
        <f>IF(OR(E348="",N348&lt;=0),"",IF(N348&gt;E348*0.05,"VOL-HIGH","VOL-NORMAL"))</f>
        <v/>
      </c>
      <c r="AA348" s="14">
        <f>IF(OR(E348="",N348&lt;=0),"",IF(AND(O348="VOL-OK",Z348="VOL-NORMAL",X348="2ND"),"OK","NG"))</f>
        <v/>
      </c>
      <c r="AB348" s="14">
        <f>IF(OR(E348="",N348&lt;=0),"",IF(AND(F348&gt;J348,G348&gt;K348),"UP",IF(AND(F348&lt;J348,G348&lt;K348),"DOWN","FLAT")))</f>
        <v/>
      </c>
    </row>
    <row r="349" ht="26" customHeight="1" s="1">
      <c r="A349" s="8">
        <f>IF(C349="","",ROW()-2)</f>
        <v/>
      </c>
      <c r="B349" s="9">
        <f>IF('StockList_MS2'!A348="","",HYPERLINK("https://kabutan.jp/stock/?code="&amp;'StockList_MS2'!A348,"株探"))</f>
        <v/>
      </c>
      <c r="C349" s="8">
        <f>IF('StockList_MS2'!A348="","",'StockList_MS2'!A348)</f>
        <v/>
      </c>
      <c r="D349" s="10">
        <f>IF('StockList_MS2'!A348="","",'StockList_MS2'!B348)</f>
        <v/>
      </c>
      <c r="E349" s="11" t="n"/>
      <c r="F349" s="11" t="n"/>
      <c r="G349" s="11" t="n"/>
      <c r="H349" s="11" t="n"/>
      <c r="I349" s="12" t="n"/>
      <c r="J349" s="11" t="n"/>
      <c r="K349" s="11" t="n"/>
      <c r="L349" s="11" t="n"/>
      <c r="M349" s="8">
        <f>IF(E349="","",IF(E349&gt;L349,"BUY-DAY","SELL-DAY"))</f>
        <v/>
      </c>
      <c r="N349" s="13">
        <f>IF(E349="","",MAX(F349-G349,ABS(F349-L349),ABS(G349-L349)))</f>
        <v/>
      </c>
      <c r="O349" s="8">
        <f>IF(E349="","",IF(AND(I349&gt;0,I349&gt;(I349/3)*2.5),"VOL-OK","VOL-NG"))</f>
        <v/>
      </c>
      <c r="P349" s="8">
        <f>IF(E349="","",IF(E349&gt;J349,"ON","OFF"))</f>
        <v/>
      </c>
      <c r="Q349" s="8">
        <f>IF(E349="","",IF(E349&lt;K349,"ON","OFF"))</f>
        <v/>
      </c>
      <c r="R349" s="8">
        <f>IF(OR(E349="",N349&lt;=0),"",IF(AND(M349="BUY-DAY",O349="VOL-OK",Q349="ON",AA349="OK",AB349&lt;&gt;"DOWN"),"BUY",IF(AND(M349="SELL-DAY",O349="VOL-OK",P349="ON",AA349="OK",AB349&lt;&gt;"UP"),"SELL","")))</f>
        <v/>
      </c>
      <c r="S349" s="13">
        <f>IF(R349="","",E349)</f>
        <v/>
      </c>
      <c r="T349" s="13">
        <f>IF(R349="","",IF(R349="BUY",E349-N349*1.5,E349+N349*1.5))</f>
        <v/>
      </c>
      <c r="U349" s="13">
        <f>IF(R349="","",IF(R349="BUY",E349+N349*1.5,E349-N349*1.5))</f>
        <v/>
      </c>
      <c r="V349" s="13">
        <f>IF(R349="","",IF(R349="BUY",E349+N349*2,E349-N349*2))</f>
        <v/>
      </c>
      <c r="W349" s="13">
        <f>IF(R349="","",IF(R349="BUY",E349+N349*3,E349-N349*3))</f>
        <v/>
      </c>
      <c r="X349" s="8">
        <f>IF(OR(E349="",N349&lt;=0),"",IF(AND(E349&gt;H349,ABS(E349-H349)&lt;N349*0.5),"2ND","1ST"))</f>
        <v/>
      </c>
      <c r="Y349" s="8">
        <f>IF(OR(E349="",N349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49" s="8">
        <f>IF(OR(E349="",N349&lt;=0),"",IF(N349&gt;E349*0.05,"VOL-HIGH","VOL-NORMAL"))</f>
        <v/>
      </c>
      <c r="AA349" s="8">
        <f>IF(OR(E349="",N349&lt;=0),"",IF(AND(O349="VOL-OK",Z349="VOL-NORMAL",X349="2ND"),"OK","NG"))</f>
        <v/>
      </c>
      <c r="AB349" s="8">
        <f>IF(OR(E349="",N349&lt;=0),"",IF(AND(F349&gt;J349,G349&gt;K349),"UP",IF(AND(F349&lt;J349,G349&lt;K349),"DOWN","FLAT")))</f>
        <v/>
      </c>
    </row>
    <row r="350" ht="26" customHeight="1" s="1">
      <c r="A350" s="14">
        <f>IF(C350="","",ROW()-2)</f>
        <v/>
      </c>
      <c r="B350" s="15">
        <f>IF('StockList_MS2'!A349="","",HYPERLINK("https://kabutan.jp/stock/?code="&amp;'StockList_MS2'!A349,"株探"))</f>
        <v/>
      </c>
      <c r="C350" s="14">
        <f>IF('StockList_MS2'!A349="","",'StockList_MS2'!A349)</f>
        <v/>
      </c>
      <c r="D350" s="16">
        <f>IF('StockList_MS2'!A349="","",'StockList_MS2'!B349)</f>
        <v/>
      </c>
      <c r="E350" s="17" t="n"/>
      <c r="F350" s="17" t="n"/>
      <c r="G350" s="17" t="n"/>
      <c r="H350" s="17" t="n"/>
      <c r="I350" s="18" t="n"/>
      <c r="J350" s="17" t="n"/>
      <c r="K350" s="17" t="n"/>
      <c r="L350" s="17" t="n"/>
      <c r="M350" s="14">
        <f>IF(E350="","",IF(E350&gt;L350,"BUY-DAY","SELL-DAY"))</f>
        <v/>
      </c>
      <c r="N350" s="19">
        <f>IF(E350="","",MAX(F350-G350,ABS(F350-L350),ABS(G350-L350)))</f>
        <v/>
      </c>
      <c r="O350" s="14">
        <f>IF(E350="","",IF(AND(I350&gt;0,I350&gt;(I350/3)*2.5),"VOL-OK","VOL-NG"))</f>
        <v/>
      </c>
      <c r="P350" s="14">
        <f>IF(E350="","",IF(E350&gt;J350,"ON","OFF"))</f>
        <v/>
      </c>
      <c r="Q350" s="14">
        <f>IF(E350="","",IF(E350&lt;K350,"ON","OFF"))</f>
        <v/>
      </c>
      <c r="R350" s="14">
        <f>IF(OR(E350="",N350&lt;=0),"",IF(AND(M350="BUY-DAY",O350="VOL-OK",Q350="ON",AA350="OK",AB350&lt;&gt;"DOWN"),"BUY",IF(AND(M350="SELL-DAY",O350="VOL-OK",P350="ON",AA350="OK",AB350&lt;&gt;"UP"),"SELL","")))</f>
        <v/>
      </c>
      <c r="S350" s="19">
        <f>IF(R350="","",E350)</f>
        <v/>
      </c>
      <c r="T350" s="19">
        <f>IF(R350="","",IF(R350="BUY",E350-N350*1.5,E350+N350*1.5))</f>
        <v/>
      </c>
      <c r="U350" s="19">
        <f>IF(R350="","",IF(R350="BUY",E350+N350*1.5,E350-N350*1.5))</f>
        <v/>
      </c>
      <c r="V350" s="19">
        <f>IF(R350="","",IF(R350="BUY",E350+N350*2,E350-N350*2))</f>
        <v/>
      </c>
      <c r="W350" s="19">
        <f>IF(R350="","",IF(R350="BUY",E350+N350*3,E350-N350*3))</f>
        <v/>
      </c>
      <c r="X350" s="14">
        <f>IF(OR(E350="",N350&lt;=0),"",IF(AND(E350&gt;H350,ABS(E350-H350)&lt;N350*0.5),"2ND","1ST"))</f>
        <v/>
      </c>
      <c r="Y350" s="14">
        <f>IF(OR(E350="",N350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50" s="14">
        <f>IF(OR(E350="",N350&lt;=0),"",IF(N350&gt;E350*0.05,"VOL-HIGH","VOL-NORMAL"))</f>
        <v/>
      </c>
      <c r="AA350" s="14">
        <f>IF(OR(E350="",N350&lt;=0),"",IF(AND(O350="VOL-OK",Z350="VOL-NORMAL",X350="2ND"),"OK","NG"))</f>
        <v/>
      </c>
      <c r="AB350" s="14">
        <f>IF(OR(E350="",N350&lt;=0),"",IF(AND(F350&gt;J350,G350&gt;K350),"UP",IF(AND(F350&lt;J350,G350&lt;K350),"DOWN","FLAT")))</f>
        <v/>
      </c>
    </row>
    <row r="351" ht="26" customHeight="1" s="1">
      <c r="A351" s="8">
        <f>IF(C351="","",ROW()-2)</f>
        <v/>
      </c>
      <c r="B351" s="9">
        <f>IF('StockList_MS2'!A350="","",HYPERLINK("https://kabutan.jp/stock/?code="&amp;'StockList_MS2'!A350,"株探"))</f>
        <v/>
      </c>
      <c r="C351" s="8">
        <f>IF('StockList_MS2'!A350="","",'StockList_MS2'!A350)</f>
        <v/>
      </c>
      <c r="D351" s="10">
        <f>IF('StockList_MS2'!A350="","",'StockList_MS2'!B350)</f>
        <v/>
      </c>
      <c r="E351" s="11" t="n"/>
      <c r="F351" s="11" t="n"/>
      <c r="G351" s="11" t="n"/>
      <c r="H351" s="11" t="n"/>
      <c r="I351" s="12" t="n"/>
      <c r="J351" s="11" t="n"/>
      <c r="K351" s="11" t="n"/>
      <c r="L351" s="11" t="n"/>
      <c r="M351" s="8">
        <f>IF(E351="","",IF(E351&gt;L351,"BUY-DAY","SELL-DAY"))</f>
        <v/>
      </c>
      <c r="N351" s="13">
        <f>IF(E351="","",MAX(F351-G351,ABS(F351-L351),ABS(G351-L351)))</f>
        <v/>
      </c>
      <c r="O351" s="8">
        <f>IF(E351="","",IF(AND(I351&gt;0,I351&gt;(I351/3)*2.5),"VOL-OK","VOL-NG"))</f>
        <v/>
      </c>
      <c r="P351" s="8">
        <f>IF(E351="","",IF(E351&gt;J351,"ON","OFF"))</f>
        <v/>
      </c>
      <c r="Q351" s="8">
        <f>IF(E351="","",IF(E351&lt;K351,"ON","OFF"))</f>
        <v/>
      </c>
      <c r="R351" s="8">
        <f>IF(OR(E351="",N351&lt;=0),"",IF(AND(M351="BUY-DAY",O351="VOL-OK",Q351="ON",AA351="OK",AB351&lt;&gt;"DOWN"),"BUY",IF(AND(M351="SELL-DAY",O351="VOL-OK",P351="ON",AA351="OK",AB351&lt;&gt;"UP"),"SELL","")))</f>
        <v/>
      </c>
      <c r="S351" s="13">
        <f>IF(R351="","",E351)</f>
        <v/>
      </c>
      <c r="T351" s="13">
        <f>IF(R351="","",IF(R351="BUY",E351-N351*1.5,E351+N351*1.5))</f>
        <v/>
      </c>
      <c r="U351" s="13">
        <f>IF(R351="","",IF(R351="BUY",E351+N351*1.5,E351-N351*1.5))</f>
        <v/>
      </c>
      <c r="V351" s="13">
        <f>IF(R351="","",IF(R351="BUY",E351+N351*2,E351-N351*2))</f>
        <v/>
      </c>
      <c r="W351" s="13">
        <f>IF(R351="","",IF(R351="BUY",E351+N351*3,E351-N351*3))</f>
        <v/>
      </c>
      <c r="X351" s="8">
        <f>IF(OR(E351="",N351&lt;=0),"",IF(AND(E351&gt;H351,ABS(E351-H351)&lt;N351*0.5),"2ND","1ST"))</f>
        <v/>
      </c>
      <c r="Y351" s="8">
        <f>IF(OR(E351="",N351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51" s="8">
        <f>IF(OR(E351="",N351&lt;=0),"",IF(N351&gt;E351*0.05,"VOL-HIGH","VOL-NORMAL"))</f>
        <v/>
      </c>
      <c r="AA351" s="8">
        <f>IF(OR(E351="",N351&lt;=0),"",IF(AND(O351="VOL-OK",Z351="VOL-NORMAL",X351="2ND"),"OK","NG"))</f>
        <v/>
      </c>
      <c r="AB351" s="8">
        <f>IF(OR(E351="",N351&lt;=0),"",IF(AND(F351&gt;J351,G351&gt;K351),"UP",IF(AND(F351&lt;J351,G351&lt;K351),"DOWN","FLAT")))</f>
        <v/>
      </c>
    </row>
    <row r="352" ht="26" customHeight="1" s="1">
      <c r="A352" s="14">
        <f>IF(C352="","",ROW()-2)</f>
        <v/>
      </c>
      <c r="B352" s="15">
        <f>IF('StockList_MS2'!A351="","",HYPERLINK("https://kabutan.jp/stock/?code="&amp;'StockList_MS2'!A351,"株探"))</f>
        <v/>
      </c>
      <c r="C352" s="14">
        <f>IF('StockList_MS2'!A351="","",'StockList_MS2'!A351)</f>
        <v/>
      </c>
      <c r="D352" s="16">
        <f>IF('StockList_MS2'!A351="","",'StockList_MS2'!B351)</f>
        <v/>
      </c>
      <c r="E352" s="17" t="n"/>
      <c r="F352" s="17" t="n"/>
      <c r="G352" s="17" t="n"/>
      <c r="H352" s="17" t="n"/>
      <c r="I352" s="18" t="n"/>
      <c r="J352" s="17" t="n"/>
      <c r="K352" s="17" t="n"/>
      <c r="L352" s="17" t="n"/>
      <c r="M352" s="14">
        <f>IF(E352="","",IF(E352&gt;L352,"BUY-DAY","SELL-DAY"))</f>
        <v/>
      </c>
      <c r="N352" s="19">
        <f>IF(E352="","",MAX(F352-G352,ABS(F352-L352),ABS(G352-L352)))</f>
        <v/>
      </c>
      <c r="O352" s="14">
        <f>IF(E352="","",IF(AND(I352&gt;0,I352&gt;(I352/3)*2.5),"VOL-OK","VOL-NG"))</f>
        <v/>
      </c>
      <c r="P352" s="14">
        <f>IF(E352="","",IF(E352&gt;J352,"ON","OFF"))</f>
        <v/>
      </c>
      <c r="Q352" s="14">
        <f>IF(E352="","",IF(E352&lt;K352,"ON","OFF"))</f>
        <v/>
      </c>
      <c r="R352" s="14">
        <f>IF(OR(E352="",N352&lt;=0),"",IF(AND(M352="BUY-DAY",O352="VOL-OK",Q352="ON",AA352="OK",AB352&lt;&gt;"DOWN"),"BUY",IF(AND(M352="SELL-DAY",O352="VOL-OK",P352="ON",AA352="OK",AB352&lt;&gt;"UP"),"SELL","")))</f>
        <v/>
      </c>
      <c r="S352" s="19">
        <f>IF(R352="","",E352)</f>
        <v/>
      </c>
      <c r="T352" s="19">
        <f>IF(R352="","",IF(R352="BUY",E352-N352*1.5,E352+N352*1.5))</f>
        <v/>
      </c>
      <c r="U352" s="19">
        <f>IF(R352="","",IF(R352="BUY",E352+N352*1.5,E352-N352*1.5))</f>
        <v/>
      </c>
      <c r="V352" s="19">
        <f>IF(R352="","",IF(R352="BUY",E352+N352*2,E352-N352*2))</f>
        <v/>
      </c>
      <c r="W352" s="19">
        <f>IF(R352="","",IF(R352="BUY",E352+N352*3,E352-N352*3))</f>
        <v/>
      </c>
      <c r="X352" s="14">
        <f>IF(OR(E352="",N352&lt;=0),"",IF(AND(E352&gt;H352,ABS(E352-H352)&lt;N352*0.5),"2ND","1ST"))</f>
        <v/>
      </c>
      <c r="Y352" s="14">
        <f>IF(OR(E352="",N352&lt;=0),"",IF(AND(TEXT(NOW(),"hh:mm")&gt;="09:00",TEXT(NOW(),"hh:mm")&lt;="09:30"),"寄り付き",IF(AND(TEXT(NOW(),"hh:mm")&gt;="12:30",TEXT(NOW(),"hh:mm")&lt;="14:30"),"後場",IF(AND(TEXT(NOW(),"hh:mm")&gt;="14:30",TEXT(NOW(),"hh:mm")&lt;="15:00"),"引け前","その他"))))</f>
        <v/>
      </c>
      <c r="Z352" s="14">
        <f>IF(OR(E352="",N352&lt;=0),"",IF(N352&gt;E352*0.05,"VOL-HIGH","VOL-NORMAL"))</f>
        <v/>
      </c>
      <c r="AA352" s="14">
        <f>IF(OR(E352="",N352&lt;=0),"",IF(AND(O352="VOL-OK",Z352="VOL-NORMAL",X352="2ND"),"OK","NG"))</f>
        <v/>
      </c>
      <c r="AB352" s="14">
        <f>IF(OR(E352="",N352&lt;=0),"",IF(AND(F352&gt;J352,G352&gt;K352),"UP",IF(AND(F352&lt;J352,G352&lt;K352),"DOWN","FLAT")))</f>
        <v/>
      </c>
    </row>
    <row r="354">
      <c r="N354" s="3" t="inlineStr">
        <is>
          <t>※N列=当足のTrue Range。厳密な14期間ATR(5分足)は『ATR更新_MS2』マクロで蓄積算出。</t>
        </is>
      </c>
    </row>
  </sheetData>
  <autoFilter ref="A2:AB2"/>
  <mergeCells count="1">
    <mergeCell ref="A1:AB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3" customWidth="1" style="1" min="1" max="1"/>
    <col width="13" customWidth="1" style="1" min="2" max="2"/>
    <col width="13" customWidth="1" style="1" min="3" max="3"/>
    <col width="13" customWidth="1" style="1" min="4" max="4"/>
    <col width="13" customWidth="1" style="1" min="5" max="5"/>
    <col width="13" customWidth="1" style="1" min="6" max="6"/>
    <col width="13" customWidth="1" style="1" min="7" max="7"/>
    <col width="13" customWidth="1" style="1" min="8" max="8"/>
    <col width="13" customWidth="1" style="1" min="9" max="9"/>
    <col width="13" customWidth="1" style="1" min="10" max="10"/>
    <col width="13" customWidth="1" style="1" min="11" max="11"/>
    <col width="13" customWidth="1" style="1" min="12" max="12"/>
  </cols>
  <sheetData>
    <row r="1" ht="46" customHeight="1" s="1">
      <c r="A1" s="4" t="inlineStr">
        <is>
          <t>No</t>
        </is>
      </c>
      <c r="B1" s="4" t="inlineStr">
        <is>
          <t>銘柄コード</t>
        </is>
      </c>
      <c r="C1" s="4" t="inlineStr">
        <is>
          <t>売買種別</t>
        </is>
      </c>
      <c r="D1" s="4" t="inlineStr">
        <is>
          <t>Entry</t>
        </is>
      </c>
      <c r="E1" s="4" t="inlineStr">
        <is>
          <t>SL</t>
        </is>
      </c>
      <c r="F1" s="4" t="inlineStr">
        <is>
          <t>TP1</t>
        </is>
      </c>
      <c r="G1" s="4" t="inlineStr">
        <is>
          <t>TP2</t>
        </is>
      </c>
      <c r="H1" s="4" t="inlineStr">
        <is>
          <t>TP3</t>
        </is>
      </c>
      <c r="I1" s="4" t="inlineStr">
        <is>
          <t>結果</t>
        </is>
      </c>
      <c r="J1" s="4" t="inlineStr">
        <is>
          <t>損益</t>
        </is>
      </c>
      <c r="K1" s="4" t="inlineStr">
        <is>
          <t>開始時刻</t>
        </is>
      </c>
      <c r="L1" s="4" t="inlineStr">
        <is>
          <t>終了時刻</t>
        </is>
      </c>
    </row>
    <row r="3">
      <c r="A3" s="3" t="inlineStr">
        <is>
          <t>※『売買抽出_MS2』『結果判定_MS2』マクロで自動出力されます。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3" customWidth="1" style="1" min="1" max="1"/>
    <col width="13" customWidth="1" style="1" min="2" max="2"/>
    <col width="13" customWidth="1" style="1" min="3" max="3"/>
    <col width="13" customWidth="1" style="1" min="4" max="4"/>
    <col width="13" customWidth="1" style="1" min="5" max="5"/>
    <col width="13" customWidth="1" style="1" min="6" max="6"/>
    <col width="13" customWidth="1" style="1" min="7" max="7"/>
    <col width="13" customWidth="1" style="1" min="8" max="8"/>
    <col width="13" customWidth="1" style="1" min="9" max="9"/>
    <col width="13" customWidth="1" style="1" min="10" max="10"/>
    <col width="13" customWidth="1" style="1" min="11" max="11"/>
  </cols>
  <sheetData>
    <row r="1" ht="46" customHeight="1" s="1">
      <c r="A1" s="4" t="inlineStr">
        <is>
          <t>銘柄コード（株探）</t>
        </is>
      </c>
      <c r="B1" s="4" t="inlineStr">
        <is>
          <t>勝率</t>
        </is>
      </c>
      <c r="C1" s="4" t="inlineStr">
        <is>
          <t>PF</t>
        </is>
      </c>
      <c r="D1" s="4" t="inlineStr">
        <is>
          <t>銘柄名</t>
        </is>
      </c>
      <c r="E1" s="4" t="inlineStr">
        <is>
          <t>RR</t>
        </is>
      </c>
      <c r="F1" s="4" t="inlineStr">
        <is>
          <t>最大DD</t>
        </is>
      </c>
      <c r="G1" s="4" t="inlineStr">
        <is>
          <t>平均RR</t>
        </is>
      </c>
      <c r="H1" s="4" t="inlineStr">
        <is>
          <t>連勝</t>
        </is>
      </c>
      <c r="I1" s="4" t="inlineStr">
        <is>
          <t>連敗</t>
        </is>
      </c>
      <c r="J1" s="4" t="inlineStr">
        <is>
          <t>月次損益</t>
        </is>
      </c>
      <c r="K1" s="4" t="inlineStr">
        <is>
          <t>トレード数</t>
        </is>
      </c>
    </row>
    <row r="3">
      <c r="A3" s="3" t="inlineStr">
        <is>
          <t>※『ランキング_MS2』マクロで TRADE_MS2 を集計して出力します。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英明 阿部</dc:creator>
  <dcterms:created xsi:type="dcterms:W3CDTF">2026-08-01T12:40:50Z</dcterms:created>
  <dcterms:modified xsi:type="dcterms:W3CDTF">2026-08-02T00:28:43Z</dcterms:modified>
  <cp:lastModifiedBy>英明 阿部</cp:lastModifiedBy>
</cp:coreProperties>
</file>