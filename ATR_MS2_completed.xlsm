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768" yWindow="1368" windowWidth="28404" windowHeight="18144" tabRatio="600" firstSheet="0" activeTab="0" autoFilterDateGrouping="1"/>
  </bookViews>
  <sheets>
    <sheet name="使い方" sheetId="1" state="visible" r:id="rId1"/>
    <sheet name="StockList_MS2" sheetId="2" state="visible" r:id="rId2"/>
    <sheet name="DATA_MS2" sheetId="3" state="visible" r:id="rId3"/>
    <sheet name="TRADE_MS2" sheetId="4" state="visible" r:id="rId4"/>
    <sheet name="RANK_MS2" sheetId="5" state="visible" r:id="rId5"/>
  </sheets>
  <definedNames>
    <definedName name="_xlnm._FilterDatabase" localSheetId="1" hidden="1">'StockList_MS2'!$A$1:$B$1</definedName>
    <definedName name="_xlnm._FilterDatabase" localSheetId="2" hidden="1">'DATA_MS2'!$A$2:$Y$2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"/>
  </numFmts>
  <fonts count="8">
    <font>
      <name val="游ゴシック"/>
      <charset val="128"/>
      <family val="2"/>
      <color theme="1"/>
      <sz val="14"/>
      <scheme val="minor"/>
    </font>
    <font>
      <name val="游ゴシック"/>
      <charset val="128"/>
      <family val="2"/>
      <sz val="7"/>
      <scheme val="minor"/>
    </font>
    <font>
      <name val="Meiryo"/>
      <b val="1"/>
      <sz val="18"/>
    </font>
    <font>
      <name val="Meiryo"/>
      <i val="1"/>
      <color rgb="00555555"/>
      <sz val="18"/>
    </font>
    <font>
      <name val="Meiryo"/>
      <b val="1"/>
      <color rgb="00FFFFFF"/>
      <sz val="18"/>
    </font>
    <font>
      <name val="Meiryo"/>
      <color rgb="000000FF"/>
      <sz val="18"/>
    </font>
    <font>
      <name val="Meiryo"/>
      <color rgb="000563C1"/>
      <sz val="18"/>
      <u val="single"/>
    </font>
    <font>
      <name val="Meiryo"/>
      <color rgb="00000000"/>
      <sz val="18"/>
    </font>
  </fonts>
  <fills count="5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BDD7EE"/>
      </patternFill>
    </fill>
    <fill>
      <patternFill patternType="solid">
        <fgColor rgb="00F2F7FC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 applyAlignment="1">
      <alignment vertical="center"/>
    </xf>
  </cellStyleXfs>
  <cellXfs count="18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0" fillId="3" borderId="0" pivotButton="0" quotePrefix="0" xfId="0"/>
    <xf numFmtId="0" fontId="6" fillId="4" borderId="1" applyAlignment="1" pivotButton="0" quotePrefix="0" xfId="0">
      <alignment horizontal="center" vertical="center" wrapText="1"/>
    </xf>
    <xf numFmtId="164" fontId="5" fillId="4" borderId="1" applyAlignment="1" pivotButton="0" quotePrefix="0" xfId="0">
      <alignment horizontal="right" vertical="center"/>
    </xf>
    <xf numFmtId="3" fontId="5" fillId="4" borderId="1" applyAlignment="1" pivotButton="0" quotePrefix="0" xfId="0">
      <alignment horizontal="right" vertical="center"/>
    </xf>
    <xf numFmtId="0" fontId="7" fillId="4" borderId="1" applyAlignment="1" pivotButton="0" quotePrefix="0" xfId="0">
      <alignment horizontal="center" vertical="center" wrapText="1"/>
    </xf>
    <xf numFmtId="164" fontId="7" fillId="4" borderId="1" applyAlignment="1" pivotButton="0" quotePrefix="0" xfId="0">
      <alignment horizontal="right" vertical="center"/>
    </xf>
    <xf numFmtId="0" fontId="6" fillId="0" borderId="1" applyAlignment="1" pivotButton="0" quotePrefix="0" xfId="0">
      <alignment horizontal="center" vertical="center" wrapText="1"/>
    </xf>
    <xf numFmtId="164" fontId="5" fillId="0" borderId="1" applyAlignment="1" pivotButton="0" quotePrefix="0" xfId="0">
      <alignment horizontal="right" vertical="center"/>
    </xf>
    <xf numFmtId="3" fontId="5" fillId="0" borderId="1" applyAlignment="1" pivotButton="0" quotePrefix="0" xfId="0">
      <alignment horizontal="right" vertical="center"/>
    </xf>
    <xf numFmtId="0" fontId="7" fillId="0" borderId="1" applyAlignment="1" pivotButton="0" quotePrefix="0" xfId="0">
      <alignment horizontal="center" vertical="center" wrapText="1"/>
    </xf>
    <xf numFmtId="164" fontId="7" fillId="0" borderId="1" applyAlignment="1" pivotButton="0" quotePrefix="0" xfId="0">
      <alignment horizontal="right" vertical="center"/>
    </xf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29"/>
  <sheetViews>
    <sheetView showGridLines="0" tabSelected="1" workbookViewId="0">
      <selection activeCell="B3" sqref="B3"/>
    </sheetView>
  </sheetViews>
  <sheetFormatPr baseColWidth="8" defaultRowHeight="22.2"/>
  <cols>
    <col width="95" customWidth="1" style="1" min="1" max="1"/>
  </cols>
  <sheetData>
    <row r="1">
      <c r="A1" s="2" t="inlineStr">
        <is>
          <t>ATR デイトレ管理ブック（MS2）</t>
        </is>
      </c>
    </row>
    <row r="2">
      <c r="A2" s="3" t="inlineStr"/>
    </row>
    <row r="3">
      <c r="A3" s="3" t="inlineStr">
        <is>
          <t>楽天証券 MARKETSPEED II RSS（RssMarket 関数）を使った日本株デイトレ用テンプレートです。</t>
        </is>
      </c>
    </row>
    <row r="4">
      <c r="A4" s="3" t="inlineStr"/>
    </row>
    <row r="5">
      <c r="A5" s="3" t="inlineStr">
        <is>
          <t>【シート構成】</t>
        </is>
      </c>
    </row>
    <row r="6">
      <c r="A6" s="3" t="inlineStr">
        <is>
          <t xml:space="preserve">　① StockList_MS2 … 監視する銘柄コード・銘柄名を入力（最大350銘柄）</t>
        </is>
      </c>
    </row>
    <row r="7">
      <c r="A7" s="3" t="inlineStr">
        <is>
          <t xml:space="preserve">　② DATA_MS2      … ATR・売買判定のメイン表（B〜I にRSS株価が入ると自動計算）</t>
        </is>
      </c>
    </row>
    <row r="8">
      <c r="A8" s="3" t="inlineStr">
        <is>
          <t xml:space="preserve">　③ TRADE_MS2     … 抽出トレードと結果ログ（マクロで出力）</t>
        </is>
      </c>
    </row>
    <row r="9">
      <c r="A9" s="3" t="inlineStr">
        <is>
          <t xml:space="preserve">　④ RANK_MS2      … 銘柄別の成績ランキング（マクロで集計）</t>
        </is>
      </c>
    </row>
    <row r="10">
      <c r="A10" s="3" t="inlineStr"/>
    </row>
    <row r="11">
      <c r="A11" s="3" t="inlineStr">
        <is>
          <t>【使い方】</t>
        </is>
      </c>
    </row>
    <row r="12">
      <c r="A12" s="3" t="inlineStr">
        <is>
          <t xml:space="preserve">　A. 数式だけで使う：StockList に銘柄を入れ、DATA_MS2 の B〜I 列（青字）に株価を入れると、</t>
        </is>
      </c>
    </row>
    <row r="13">
      <c r="A13" s="3" t="inlineStr">
        <is>
          <t xml:space="preserve">　　 J〜Y 列（ATR・ゾーン・Entry/SL/TP など）が自動計算されます。マクロ不要。</t>
        </is>
      </c>
    </row>
    <row r="14">
      <c r="A14" s="3" t="inlineStr">
        <is>
          <t xml:space="preserve">　B. ボタンで使う：Alt+F11でModule2（重複）を削除 → MS2_Menu.bas をインポート →</t>
        </is>
      </c>
    </row>
    <row r="15">
      <c r="A15" s="3" t="inlineStr">
        <is>
          <t xml:space="preserve">　　 『MS2_Build_Menu』を実行 → 別シート「操作パネル_MS2」にボタンが並びます。</t>
        </is>
      </c>
    </row>
    <row r="16">
      <c r="A16" s="3" t="inlineStr"/>
    </row>
    <row r="17">
      <c r="A17" s="3" t="inlineStr">
        <is>
          <t>【ポイント】</t>
        </is>
      </c>
    </row>
    <row r="18">
      <c r="A18" s="3" t="inlineStr">
        <is>
          <t xml:space="preserve">　・DATA_MS2 のA列は『株探リンク』です。クリックで株探(kabutan.jp)の銘柄ページが開きます。</t>
        </is>
      </c>
    </row>
    <row r="19">
      <c r="A19" s="3" t="inlineStr">
        <is>
          <t xml:space="preserve">　　StockList の銘柄コードに連動し、350銘柄すべて自動反映されます。</t>
        </is>
      </c>
    </row>
    <row r="20">
      <c r="A20" s="3" t="inlineStr">
        <is>
          <t xml:space="preserve">　・DATA_MS2 の1行目は色付きの空白帯です。任意のタイトル等を入力してください。</t>
        </is>
      </c>
    </row>
    <row r="21">
      <c r="A21" s="3" t="inlineStr">
        <is>
          <t xml:space="preserve">　・色：青字＝手入力／RSS入力セル　・　黒字＝自動計算セル</t>
        </is>
      </c>
    </row>
    <row r="22">
      <c r="A22" s="3" t="inlineStr"/>
    </row>
    <row r="23">
      <c r="A23" s="3" t="inlineStr">
        <is>
          <t>【注意】</t>
        </is>
      </c>
    </row>
    <row r="24">
      <c r="A24" s="3" t="inlineStr">
        <is>
          <t xml:space="preserve">　・K列「ATR(14・5分足)」：1行=1銘柄のため当足のTrue Range(TR)を表示。厳密な14期間ATRは</t>
        </is>
      </c>
    </row>
    <row r="25">
      <c r="A25" s="3" t="inlineStr">
        <is>
          <t xml:space="preserve">　　5分足の時系列が必要で『ATR更新_MS2』マクロ側で算出します。</t>
        </is>
      </c>
    </row>
    <row r="26">
      <c r="A26" s="3" t="inlineStr">
        <is>
          <t xml:space="preserve">　・RssMarket関数は楽天MARKETSPEED IIの起動が必要（未起動時はB〜Iを手入力でも動作）。</t>
        </is>
      </c>
    </row>
    <row r="27">
      <c r="A27" s="3" t="inlineStr">
        <is>
          <t xml:space="preserve">　・『MS2_Init_Book』は実行しないでください（全シート初期化＝数式が消えます）。</t>
        </is>
      </c>
    </row>
    <row r="28">
      <c r="A28" s="3" t="inlineStr">
        <is>
          <t xml:space="preserve">　　ボタン作成は表を壊さない『MS2_Build_Menu』を使用。</t>
        </is>
      </c>
    </row>
    <row r="29">
      <c r="A29" s="3" t="inlineStr">
        <is>
          <t xml:space="preserve">　・『銘柄反映_MS2』ボタンはVBA仕様で先頭50銘柄のみコピー。350銘柄は数式反映（自動）で対応。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3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style="1" min="1" max="1"/>
    <col width="30" customWidth="1" style="1" min="2" max="2"/>
  </cols>
  <sheetData>
    <row r="1" ht="46" customHeight="1" s="1">
      <c r="A1" s="4" t="inlineStr">
        <is>
          <t>銘柄コード</t>
        </is>
      </c>
      <c r="B1" s="4" t="inlineStr">
        <is>
          <t>銘柄名</t>
        </is>
      </c>
    </row>
    <row r="2" ht="26" customHeight="1" s="1">
      <c r="A2" s="5" t="inlineStr">
        <is>
          <t>7203</t>
        </is>
      </c>
      <c r="B2" s="5" t="inlineStr">
        <is>
          <t>トヨタ自動車</t>
        </is>
      </c>
    </row>
    <row r="3" ht="26" customHeight="1" s="1">
      <c r="A3" s="5" t="inlineStr">
        <is>
          <t>6758</t>
        </is>
      </c>
      <c r="B3" s="5" t="inlineStr">
        <is>
          <t>ソニーグループ</t>
        </is>
      </c>
    </row>
    <row r="4" ht="26" customHeight="1" s="1">
      <c r="A4" s="5" t="inlineStr">
        <is>
          <t>9984</t>
        </is>
      </c>
      <c r="B4" s="5" t="inlineStr">
        <is>
          <t>ソフトバンクG</t>
        </is>
      </c>
    </row>
    <row r="5" ht="26" customHeight="1" s="1">
      <c r="A5" s="5" t="inlineStr">
        <is>
          <t>8306</t>
        </is>
      </c>
      <c r="B5" s="5" t="inlineStr">
        <is>
          <t>三菱UFJ</t>
        </is>
      </c>
    </row>
    <row r="6" ht="26" customHeight="1" s="1">
      <c r="A6" s="5" t="inlineStr">
        <is>
          <t>6501</t>
        </is>
      </c>
      <c r="B6" s="5" t="inlineStr">
        <is>
          <t>日立製作所</t>
        </is>
      </c>
    </row>
    <row r="7" ht="26" customHeight="1" s="1">
      <c r="A7" s="5" t="n"/>
      <c r="B7" s="5" t="n"/>
    </row>
    <row r="8" ht="26" customHeight="1" s="1">
      <c r="A8" s="5" t="n"/>
      <c r="B8" s="5" t="n"/>
    </row>
    <row r="9" ht="26" customHeight="1" s="1">
      <c r="A9" s="5" t="n"/>
      <c r="B9" s="5" t="n"/>
    </row>
    <row r="10" ht="26" customHeight="1" s="1">
      <c r="A10" s="5" t="n"/>
      <c r="B10" s="5" t="n"/>
    </row>
    <row r="11" ht="26" customHeight="1" s="1">
      <c r="A11" s="5" t="n"/>
      <c r="B11" s="5" t="n"/>
    </row>
    <row r="12" ht="26" customHeight="1" s="1">
      <c r="A12" s="5" t="n"/>
      <c r="B12" s="5" t="n"/>
    </row>
    <row r="13" ht="26" customHeight="1" s="1">
      <c r="A13" s="5" t="n"/>
      <c r="B13" s="5" t="n"/>
    </row>
    <row r="14" ht="26" customHeight="1" s="1">
      <c r="A14" s="5" t="n"/>
      <c r="B14" s="5" t="n"/>
    </row>
    <row r="15" ht="26" customHeight="1" s="1">
      <c r="A15" s="5" t="n"/>
      <c r="B15" s="5" t="n"/>
    </row>
    <row r="16" ht="26" customHeight="1" s="1">
      <c r="A16" s="5" t="n"/>
      <c r="B16" s="5" t="n"/>
    </row>
    <row r="17" ht="26" customHeight="1" s="1">
      <c r="A17" s="5" t="n"/>
      <c r="B17" s="5" t="n"/>
    </row>
    <row r="18" ht="26" customHeight="1" s="1">
      <c r="A18" s="5" t="n"/>
      <c r="B18" s="5" t="n"/>
    </row>
    <row r="19" ht="26" customHeight="1" s="1">
      <c r="A19" s="5" t="n"/>
      <c r="B19" s="5" t="n"/>
    </row>
    <row r="20" ht="26" customHeight="1" s="1">
      <c r="A20" s="5" t="n"/>
      <c r="B20" s="5" t="n"/>
    </row>
    <row r="21" ht="26" customHeight="1" s="1">
      <c r="A21" s="5" t="n"/>
      <c r="B21" s="5" t="n"/>
    </row>
    <row r="22" ht="26" customHeight="1" s="1">
      <c r="A22" s="5" t="n"/>
      <c r="B22" s="5" t="n"/>
    </row>
    <row r="23" ht="26" customHeight="1" s="1">
      <c r="A23" s="5" t="n"/>
      <c r="B23" s="5" t="n"/>
    </row>
    <row r="24" ht="26" customHeight="1" s="1">
      <c r="A24" s="5" t="n"/>
      <c r="B24" s="5" t="n"/>
    </row>
    <row r="25" ht="26" customHeight="1" s="1">
      <c r="A25" s="5" t="n"/>
      <c r="B25" s="5" t="n"/>
    </row>
    <row r="26" ht="26" customHeight="1" s="1">
      <c r="A26" s="5" t="n"/>
      <c r="B26" s="5" t="n"/>
    </row>
    <row r="27" ht="26" customHeight="1" s="1">
      <c r="A27" s="5" t="n"/>
      <c r="B27" s="5" t="n"/>
    </row>
    <row r="28" ht="26" customHeight="1" s="1">
      <c r="A28" s="5" t="n"/>
      <c r="B28" s="5" t="n"/>
    </row>
    <row r="29" ht="26" customHeight="1" s="1">
      <c r="A29" s="5" t="n"/>
      <c r="B29" s="5" t="n"/>
    </row>
    <row r="30" ht="26" customHeight="1" s="1">
      <c r="A30" s="5" t="n"/>
      <c r="B30" s="5" t="n"/>
    </row>
    <row r="31" ht="26" customHeight="1" s="1">
      <c r="A31" s="5" t="n"/>
      <c r="B31" s="5" t="n"/>
    </row>
    <row r="32" ht="26" customHeight="1" s="1">
      <c r="A32" s="5" t="n"/>
      <c r="B32" s="5" t="n"/>
    </row>
    <row r="33" ht="26" customHeight="1" s="1">
      <c r="A33" s="5" t="n"/>
      <c r="B33" s="5" t="n"/>
    </row>
    <row r="34" ht="26" customHeight="1" s="1">
      <c r="A34" s="5" t="n"/>
      <c r="B34" s="5" t="n"/>
    </row>
    <row r="35" ht="26" customHeight="1" s="1">
      <c r="A35" s="5" t="n"/>
      <c r="B35" s="5" t="n"/>
    </row>
    <row r="36" ht="26" customHeight="1" s="1">
      <c r="A36" s="5" t="n"/>
      <c r="B36" s="5" t="n"/>
    </row>
    <row r="37" ht="26" customHeight="1" s="1">
      <c r="A37" s="5" t="n"/>
      <c r="B37" s="5" t="n"/>
    </row>
    <row r="38" ht="26" customHeight="1" s="1">
      <c r="A38" s="5" t="n"/>
      <c r="B38" s="5" t="n"/>
    </row>
    <row r="39" ht="26" customHeight="1" s="1">
      <c r="A39" s="5" t="n"/>
      <c r="B39" s="5" t="n"/>
    </row>
    <row r="40" ht="26" customHeight="1" s="1">
      <c r="A40" s="5" t="n"/>
      <c r="B40" s="5" t="n"/>
    </row>
    <row r="41" ht="26" customHeight="1" s="1">
      <c r="A41" s="5" t="n"/>
      <c r="B41" s="5" t="n"/>
    </row>
    <row r="42" ht="26" customHeight="1" s="1">
      <c r="A42" s="5" t="n"/>
      <c r="B42" s="5" t="n"/>
    </row>
    <row r="43" ht="26" customHeight="1" s="1">
      <c r="A43" s="5" t="n"/>
      <c r="B43" s="5" t="n"/>
    </row>
    <row r="44" ht="26" customHeight="1" s="1">
      <c r="A44" s="5" t="n"/>
      <c r="B44" s="5" t="n"/>
    </row>
    <row r="45" ht="26" customHeight="1" s="1">
      <c r="A45" s="5" t="n"/>
      <c r="B45" s="5" t="n"/>
    </row>
    <row r="46" ht="26" customHeight="1" s="1">
      <c r="A46" s="5" t="n"/>
      <c r="B46" s="5" t="n"/>
    </row>
    <row r="47" ht="26" customHeight="1" s="1">
      <c r="A47" s="5" t="n"/>
      <c r="B47" s="5" t="n"/>
    </row>
    <row r="48" ht="26" customHeight="1" s="1">
      <c r="A48" s="5" t="n"/>
      <c r="B48" s="5" t="n"/>
    </row>
    <row r="49" ht="26" customHeight="1" s="1">
      <c r="A49" s="5" t="n"/>
      <c r="B49" s="5" t="n"/>
    </row>
    <row r="50" ht="26" customHeight="1" s="1">
      <c r="A50" s="5" t="n"/>
      <c r="B50" s="5" t="n"/>
    </row>
    <row r="51" ht="26" customHeight="1" s="1">
      <c r="A51" s="5" t="n"/>
      <c r="B51" s="5" t="n"/>
    </row>
    <row r="52" ht="26" customHeight="1" s="1">
      <c r="A52" s="5" t="n"/>
      <c r="B52" s="5" t="n"/>
    </row>
    <row r="53" ht="26" customHeight="1" s="1">
      <c r="A53" s="5" t="n"/>
      <c r="B53" s="5" t="n"/>
    </row>
    <row r="54" ht="26" customHeight="1" s="1">
      <c r="A54" s="5" t="n"/>
      <c r="B54" s="5" t="n"/>
    </row>
    <row r="55" ht="26" customHeight="1" s="1">
      <c r="A55" s="5" t="n"/>
      <c r="B55" s="5" t="n"/>
    </row>
    <row r="56" ht="26" customHeight="1" s="1">
      <c r="A56" s="5" t="n"/>
      <c r="B56" s="5" t="n"/>
    </row>
    <row r="57" ht="26" customHeight="1" s="1">
      <c r="A57" s="5" t="n"/>
      <c r="B57" s="5" t="n"/>
    </row>
    <row r="58" ht="26" customHeight="1" s="1">
      <c r="A58" s="5" t="n"/>
      <c r="B58" s="5" t="n"/>
    </row>
    <row r="59" ht="26" customHeight="1" s="1">
      <c r="A59" s="5" t="n"/>
      <c r="B59" s="5" t="n"/>
    </row>
    <row r="60" ht="26" customHeight="1" s="1">
      <c r="A60" s="5" t="n"/>
      <c r="B60" s="5" t="n"/>
    </row>
    <row r="61" ht="26" customHeight="1" s="1">
      <c r="A61" s="5" t="n"/>
      <c r="B61" s="5" t="n"/>
    </row>
    <row r="62" ht="26" customHeight="1" s="1">
      <c r="A62" s="5" t="n"/>
      <c r="B62" s="5" t="n"/>
    </row>
    <row r="63" ht="26" customHeight="1" s="1">
      <c r="A63" s="5" t="n"/>
      <c r="B63" s="5" t="n"/>
    </row>
    <row r="64" ht="26" customHeight="1" s="1">
      <c r="A64" s="5" t="n"/>
      <c r="B64" s="5" t="n"/>
    </row>
    <row r="65" ht="26" customHeight="1" s="1">
      <c r="A65" s="5" t="n"/>
      <c r="B65" s="5" t="n"/>
    </row>
    <row r="66" ht="26" customHeight="1" s="1">
      <c r="A66" s="5" t="n"/>
      <c r="B66" s="5" t="n"/>
    </row>
    <row r="67" ht="26" customHeight="1" s="1">
      <c r="A67" s="5" t="n"/>
      <c r="B67" s="5" t="n"/>
    </row>
    <row r="68" ht="26" customHeight="1" s="1">
      <c r="A68" s="5" t="n"/>
      <c r="B68" s="5" t="n"/>
    </row>
    <row r="69" ht="26" customHeight="1" s="1">
      <c r="A69" s="5" t="n"/>
      <c r="B69" s="5" t="n"/>
    </row>
    <row r="70" ht="26" customHeight="1" s="1">
      <c r="A70" s="5" t="n"/>
      <c r="B70" s="5" t="n"/>
    </row>
    <row r="71" ht="26" customHeight="1" s="1">
      <c r="A71" s="5" t="n"/>
      <c r="B71" s="5" t="n"/>
    </row>
    <row r="72" ht="26" customHeight="1" s="1">
      <c r="A72" s="5" t="n"/>
      <c r="B72" s="5" t="n"/>
    </row>
    <row r="73" ht="26" customHeight="1" s="1">
      <c r="A73" s="5" t="n"/>
      <c r="B73" s="5" t="n"/>
    </row>
    <row r="74" ht="26" customHeight="1" s="1">
      <c r="A74" s="5" t="n"/>
      <c r="B74" s="5" t="n"/>
    </row>
    <row r="75" ht="26" customHeight="1" s="1">
      <c r="A75" s="5" t="n"/>
      <c r="B75" s="5" t="n"/>
    </row>
    <row r="76" ht="26" customHeight="1" s="1">
      <c r="A76" s="5" t="n"/>
      <c r="B76" s="5" t="n"/>
    </row>
    <row r="77" ht="26" customHeight="1" s="1">
      <c r="A77" s="5" t="n"/>
      <c r="B77" s="5" t="n"/>
    </row>
    <row r="78" ht="26" customHeight="1" s="1">
      <c r="A78" s="5" t="n"/>
      <c r="B78" s="5" t="n"/>
    </row>
    <row r="79" ht="26" customHeight="1" s="1">
      <c r="A79" s="5" t="n"/>
      <c r="B79" s="5" t="n"/>
    </row>
    <row r="80" ht="26" customHeight="1" s="1">
      <c r="A80" s="5" t="n"/>
      <c r="B80" s="5" t="n"/>
    </row>
    <row r="81" ht="26" customHeight="1" s="1">
      <c r="A81" s="5" t="n"/>
      <c r="B81" s="5" t="n"/>
    </row>
    <row r="82" ht="26" customHeight="1" s="1">
      <c r="A82" s="5" t="n"/>
      <c r="B82" s="5" t="n"/>
    </row>
    <row r="83" ht="26" customHeight="1" s="1">
      <c r="A83" s="5" t="n"/>
      <c r="B83" s="5" t="n"/>
    </row>
    <row r="84" ht="26" customHeight="1" s="1">
      <c r="A84" s="5" t="n"/>
      <c r="B84" s="5" t="n"/>
    </row>
    <row r="85" ht="26" customHeight="1" s="1">
      <c r="A85" s="5" t="n"/>
      <c r="B85" s="5" t="n"/>
    </row>
    <row r="86" ht="26" customHeight="1" s="1">
      <c r="A86" s="5" t="n"/>
      <c r="B86" s="5" t="n"/>
    </row>
    <row r="87" ht="26" customHeight="1" s="1">
      <c r="A87" s="5" t="n"/>
      <c r="B87" s="5" t="n"/>
    </row>
    <row r="88" ht="26" customHeight="1" s="1">
      <c r="A88" s="5" t="n"/>
      <c r="B88" s="5" t="n"/>
    </row>
    <row r="89" ht="26" customHeight="1" s="1">
      <c r="A89" s="5" t="n"/>
      <c r="B89" s="5" t="n"/>
    </row>
    <row r="90" ht="26" customHeight="1" s="1">
      <c r="A90" s="5" t="n"/>
      <c r="B90" s="5" t="n"/>
    </row>
    <row r="91" ht="26" customHeight="1" s="1">
      <c r="A91" s="5" t="n"/>
      <c r="B91" s="5" t="n"/>
    </row>
    <row r="92" ht="26" customHeight="1" s="1">
      <c r="A92" s="5" t="n"/>
      <c r="B92" s="5" t="n"/>
    </row>
    <row r="93" ht="26" customHeight="1" s="1">
      <c r="A93" s="5" t="n"/>
      <c r="B93" s="5" t="n"/>
    </row>
    <row r="94" ht="26" customHeight="1" s="1">
      <c r="A94" s="5" t="n"/>
      <c r="B94" s="5" t="n"/>
    </row>
    <row r="95" ht="26" customHeight="1" s="1">
      <c r="A95" s="5" t="n"/>
      <c r="B95" s="5" t="n"/>
    </row>
    <row r="96" ht="26" customHeight="1" s="1">
      <c r="A96" s="5" t="n"/>
      <c r="B96" s="5" t="n"/>
    </row>
    <row r="97" ht="26" customHeight="1" s="1">
      <c r="A97" s="5" t="n"/>
      <c r="B97" s="5" t="n"/>
    </row>
    <row r="98" ht="26" customHeight="1" s="1">
      <c r="A98" s="5" t="n"/>
      <c r="B98" s="5" t="n"/>
    </row>
    <row r="99" ht="26" customHeight="1" s="1">
      <c r="A99" s="5" t="n"/>
      <c r="B99" s="5" t="n"/>
    </row>
    <row r="100" ht="26" customHeight="1" s="1">
      <c r="A100" s="5" t="n"/>
      <c r="B100" s="5" t="n"/>
    </row>
    <row r="101" ht="26" customHeight="1" s="1">
      <c r="A101" s="5" t="n"/>
      <c r="B101" s="5" t="n"/>
    </row>
    <row r="102" ht="26" customHeight="1" s="1">
      <c r="A102" s="5" t="n"/>
      <c r="B102" s="5" t="n"/>
    </row>
    <row r="103" ht="26" customHeight="1" s="1">
      <c r="A103" s="5" t="n"/>
      <c r="B103" s="5" t="n"/>
    </row>
    <row r="104" ht="26" customHeight="1" s="1">
      <c r="A104" s="5" t="n"/>
      <c r="B104" s="5" t="n"/>
    </row>
    <row r="105" ht="26" customHeight="1" s="1">
      <c r="A105" s="5" t="n"/>
      <c r="B105" s="5" t="n"/>
    </row>
    <row r="106" ht="26" customHeight="1" s="1">
      <c r="A106" s="5" t="n"/>
      <c r="B106" s="5" t="n"/>
    </row>
    <row r="107" ht="26" customHeight="1" s="1">
      <c r="A107" s="5" t="n"/>
      <c r="B107" s="5" t="n"/>
    </row>
    <row r="108" ht="26" customHeight="1" s="1">
      <c r="A108" s="5" t="n"/>
      <c r="B108" s="5" t="n"/>
    </row>
    <row r="109" ht="26" customHeight="1" s="1">
      <c r="A109" s="5" t="n"/>
      <c r="B109" s="5" t="n"/>
    </row>
    <row r="110" ht="26" customHeight="1" s="1">
      <c r="A110" s="5" t="n"/>
      <c r="B110" s="5" t="n"/>
    </row>
    <row r="111" ht="26" customHeight="1" s="1">
      <c r="A111" s="5" t="n"/>
      <c r="B111" s="5" t="n"/>
    </row>
    <row r="112" ht="26" customHeight="1" s="1">
      <c r="A112" s="5" t="n"/>
      <c r="B112" s="5" t="n"/>
    </row>
    <row r="113" ht="26" customHeight="1" s="1">
      <c r="A113" s="5" t="n"/>
      <c r="B113" s="5" t="n"/>
    </row>
    <row r="114" ht="26" customHeight="1" s="1">
      <c r="A114" s="5" t="n"/>
      <c r="B114" s="5" t="n"/>
    </row>
    <row r="115" ht="26" customHeight="1" s="1">
      <c r="A115" s="5" t="n"/>
      <c r="B115" s="5" t="n"/>
    </row>
    <row r="116" ht="26" customHeight="1" s="1">
      <c r="A116" s="5" t="n"/>
      <c r="B116" s="5" t="n"/>
    </row>
    <row r="117" ht="26" customHeight="1" s="1">
      <c r="A117" s="5" t="n"/>
      <c r="B117" s="5" t="n"/>
    </row>
    <row r="118" ht="26" customHeight="1" s="1">
      <c r="A118" s="5" t="n"/>
      <c r="B118" s="5" t="n"/>
    </row>
    <row r="119" ht="26" customHeight="1" s="1">
      <c r="A119" s="5" t="n"/>
      <c r="B119" s="5" t="n"/>
    </row>
    <row r="120" ht="26" customHeight="1" s="1">
      <c r="A120" s="5" t="n"/>
      <c r="B120" s="5" t="n"/>
    </row>
    <row r="121" ht="26" customHeight="1" s="1">
      <c r="A121" s="5" t="n"/>
      <c r="B121" s="5" t="n"/>
    </row>
    <row r="122" ht="26" customHeight="1" s="1">
      <c r="A122" s="5" t="n"/>
      <c r="B122" s="5" t="n"/>
    </row>
    <row r="123" ht="26" customHeight="1" s="1">
      <c r="A123" s="5" t="n"/>
      <c r="B123" s="5" t="n"/>
    </row>
    <row r="124" ht="26" customHeight="1" s="1">
      <c r="A124" s="5" t="n"/>
      <c r="B124" s="5" t="n"/>
    </row>
    <row r="125" ht="26" customHeight="1" s="1">
      <c r="A125" s="5" t="n"/>
      <c r="B125" s="5" t="n"/>
    </row>
    <row r="126" ht="26" customHeight="1" s="1">
      <c r="A126" s="5" t="n"/>
      <c r="B126" s="5" t="n"/>
    </row>
    <row r="127" ht="26" customHeight="1" s="1">
      <c r="A127" s="5" t="n"/>
      <c r="B127" s="5" t="n"/>
    </row>
    <row r="128" ht="26" customHeight="1" s="1">
      <c r="A128" s="5" t="n"/>
      <c r="B128" s="5" t="n"/>
    </row>
    <row r="129" ht="26" customHeight="1" s="1">
      <c r="A129" s="5" t="n"/>
      <c r="B129" s="5" t="n"/>
    </row>
    <row r="130" ht="26" customHeight="1" s="1">
      <c r="A130" s="5" t="n"/>
      <c r="B130" s="5" t="n"/>
    </row>
    <row r="131" ht="26" customHeight="1" s="1">
      <c r="A131" s="5" t="n"/>
      <c r="B131" s="5" t="n"/>
    </row>
    <row r="132" ht="26" customHeight="1" s="1">
      <c r="A132" s="5" t="n"/>
      <c r="B132" s="5" t="n"/>
    </row>
    <row r="133" ht="26" customHeight="1" s="1">
      <c r="A133" s="5" t="n"/>
      <c r="B133" s="5" t="n"/>
    </row>
    <row r="134" ht="26" customHeight="1" s="1">
      <c r="A134" s="5" t="n"/>
      <c r="B134" s="5" t="n"/>
    </row>
    <row r="135" ht="26" customHeight="1" s="1">
      <c r="A135" s="5" t="n"/>
      <c r="B135" s="5" t="n"/>
    </row>
    <row r="136" ht="26" customHeight="1" s="1">
      <c r="A136" s="5" t="n"/>
      <c r="B136" s="5" t="n"/>
    </row>
    <row r="137" ht="26" customHeight="1" s="1">
      <c r="A137" s="5" t="n"/>
      <c r="B137" s="5" t="n"/>
    </row>
    <row r="138" ht="26" customHeight="1" s="1">
      <c r="A138" s="5" t="n"/>
      <c r="B138" s="5" t="n"/>
    </row>
    <row r="139" ht="26" customHeight="1" s="1">
      <c r="A139" s="5" t="n"/>
      <c r="B139" s="5" t="n"/>
    </row>
    <row r="140" ht="26" customHeight="1" s="1">
      <c r="A140" s="5" t="n"/>
      <c r="B140" s="5" t="n"/>
    </row>
    <row r="141" ht="26" customHeight="1" s="1">
      <c r="A141" s="5" t="n"/>
      <c r="B141" s="5" t="n"/>
    </row>
    <row r="142" ht="26" customHeight="1" s="1">
      <c r="A142" s="5" t="n"/>
      <c r="B142" s="5" t="n"/>
    </row>
    <row r="143" ht="26" customHeight="1" s="1">
      <c r="A143" s="5" t="n"/>
      <c r="B143" s="5" t="n"/>
    </row>
    <row r="144" ht="26" customHeight="1" s="1">
      <c r="A144" s="5" t="n"/>
      <c r="B144" s="5" t="n"/>
    </row>
    <row r="145" ht="26" customHeight="1" s="1">
      <c r="A145" s="5" t="n"/>
      <c r="B145" s="5" t="n"/>
    </row>
    <row r="146" ht="26" customHeight="1" s="1">
      <c r="A146" s="5" t="n"/>
      <c r="B146" s="5" t="n"/>
    </row>
    <row r="147" ht="26" customHeight="1" s="1">
      <c r="A147" s="5" t="n"/>
      <c r="B147" s="5" t="n"/>
    </row>
    <row r="148" ht="26" customHeight="1" s="1">
      <c r="A148" s="5" t="n"/>
      <c r="B148" s="5" t="n"/>
    </row>
    <row r="149" ht="26" customHeight="1" s="1">
      <c r="A149" s="5" t="n"/>
      <c r="B149" s="5" t="n"/>
    </row>
    <row r="150" ht="26" customHeight="1" s="1">
      <c r="A150" s="5" t="n"/>
      <c r="B150" s="5" t="n"/>
    </row>
    <row r="151" ht="26" customHeight="1" s="1">
      <c r="A151" s="5" t="n"/>
      <c r="B151" s="5" t="n"/>
    </row>
    <row r="152" ht="26" customHeight="1" s="1">
      <c r="A152" s="5" t="n"/>
      <c r="B152" s="5" t="n"/>
    </row>
    <row r="153" ht="26" customHeight="1" s="1">
      <c r="A153" s="5" t="n"/>
      <c r="B153" s="5" t="n"/>
    </row>
    <row r="154" ht="26" customHeight="1" s="1">
      <c r="A154" s="5" t="n"/>
      <c r="B154" s="5" t="n"/>
    </row>
    <row r="155" ht="26" customHeight="1" s="1">
      <c r="A155" s="5" t="n"/>
      <c r="B155" s="5" t="n"/>
    </row>
    <row r="156" ht="26" customHeight="1" s="1">
      <c r="A156" s="5" t="n"/>
      <c r="B156" s="5" t="n"/>
    </row>
    <row r="157" ht="26" customHeight="1" s="1">
      <c r="A157" s="5" t="n"/>
      <c r="B157" s="5" t="n"/>
    </row>
    <row r="158" ht="26" customHeight="1" s="1">
      <c r="A158" s="5" t="n"/>
      <c r="B158" s="5" t="n"/>
    </row>
    <row r="159" ht="26" customHeight="1" s="1">
      <c r="A159" s="5" t="n"/>
      <c r="B159" s="5" t="n"/>
    </row>
    <row r="160" ht="26" customHeight="1" s="1">
      <c r="A160" s="5" t="n"/>
      <c r="B160" s="5" t="n"/>
    </row>
    <row r="161" ht="26" customHeight="1" s="1">
      <c r="A161" s="5" t="n"/>
      <c r="B161" s="5" t="n"/>
    </row>
    <row r="162" ht="26" customHeight="1" s="1">
      <c r="A162" s="5" t="n"/>
      <c r="B162" s="5" t="n"/>
    </row>
    <row r="163" ht="26" customHeight="1" s="1">
      <c r="A163" s="5" t="n"/>
      <c r="B163" s="5" t="n"/>
    </row>
    <row r="164" ht="26" customHeight="1" s="1">
      <c r="A164" s="5" t="n"/>
      <c r="B164" s="5" t="n"/>
    </row>
    <row r="165" ht="26" customHeight="1" s="1">
      <c r="A165" s="5" t="n"/>
      <c r="B165" s="5" t="n"/>
    </row>
    <row r="166" ht="26" customHeight="1" s="1">
      <c r="A166" s="5" t="n"/>
      <c r="B166" s="5" t="n"/>
    </row>
    <row r="167" ht="26" customHeight="1" s="1">
      <c r="A167" s="5" t="n"/>
      <c r="B167" s="5" t="n"/>
    </row>
    <row r="168" ht="26" customHeight="1" s="1">
      <c r="A168" s="5" t="n"/>
      <c r="B168" s="5" t="n"/>
    </row>
    <row r="169" ht="26" customHeight="1" s="1">
      <c r="A169" s="5" t="n"/>
      <c r="B169" s="5" t="n"/>
    </row>
    <row r="170" ht="26" customHeight="1" s="1">
      <c r="A170" s="5" t="n"/>
      <c r="B170" s="5" t="n"/>
    </row>
    <row r="171" ht="26" customHeight="1" s="1">
      <c r="A171" s="5" t="n"/>
      <c r="B171" s="5" t="n"/>
    </row>
    <row r="172" ht="26" customHeight="1" s="1">
      <c r="A172" s="5" t="n"/>
      <c r="B172" s="5" t="n"/>
    </row>
    <row r="173" ht="26" customHeight="1" s="1">
      <c r="A173" s="5" t="n"/>
      <c r="B173" s="5" t="n"/>
    </row>
    <row r="174" ht="26" customHeight="1" s="1">
      <c r="A174" s="5" t="n"/>
      <c r="B174" s="5" t="n"/>
    </row>
    <row r="175" ht="26" customHeight="1" s="1">
      <c r="A175" s="5" t="n"/>
      <c r="B175" s="5" t="n"/>
    </row>
    <row r="176" ht="26" customHeight="1" s="1">
      <c r="A176" s="5" t="n"/>
      <c r="B176" s="5" t="n"/>
    </row>
    <row r="177" ht="26" customHeight="1" s="1">
      <c r="A177" s="5" t="n"/>
      <c r="B177" s="5" t="n"/>
    </row>
    <row r="178" ht="26" customHeight="1" s="1">
      <c r="A178" s="5" t="n"/>
      <c r="B178" s="5" t="n"/>
    </row>
    <row r="179" ht="26" customHeight="1" s="1">
      <c r="A179" s="5" t="n"/>
      <c r="B179" s="5" t="n"/>
    </row>
    <row r="180" ht="26" customHeight="1" s="1">
      <c r="A180" s="5" t="n"/>
      <c r="B180" s="5" t="n"/>
    </row>
    <row r="181" ht="26" customHeight="1" s="1">
      <c r="A181" s="5" t="n"/>
      <c r="B181" s="5" t="n"/>
    </row>
    <row r="182" ht="26" customHeight="1" s="1">
      <c r="A182" s="5" t="n"/>
      <c r="B182" s="5" t="n"/>
    </row>
    <row r="183" ht="26" customHeight="1" s="1">
      <c r="A183" s="5" t="n"/>
      <c r="B183" s="5" t="n"/>
    </row>
    <row r="184" ht="26" customHeight="1" s="1">
      <c r="A184" s="5" t="n"/>
      <c r="B184" s="5" t="n"/>
    </row>
    <row r="185" ht="26" customHeight="1" s="1">
      <c r="A185" s="5" t="n"/>
      <c r="B185" s="5" t="n"/>
    </row>
    <row r="186" ht="26" customHeight="1" s="1">
      <c r="A186" s="5" t="n"/>
      <c r="B186" s="5" t="n"/>
    </row>
    <row r="187" ht="26" customHeight="1" s="1">
      <c r="A187" s="5" t="n"/>
      <c r="B187" s="5" t="n"/>
    </row>
    <row r="188" ht="26" customHeight="1" s="1">
      <c r="A188" s="5" t="n"/>
      <c r="B188" s="5" t="n"/>
    </row>
    <row r="189" ht="26" customHeight="1" s="1">
      <c r="A189" s="5" t="n"/>
      <c r="B189" s="5" t="n"/>
    </row>
    <row r="190" ht="26" customHeight="1" s="1">
      <c r="A190" s="5" t="n"/>
      <c r="B190" s="5" t="n"/>
    </row>
    <row r="191" ht="26" customHeight="1" s="1">
      <c r="A191" s="5" t="n"/>
      <c r="B191" s="5" t="n"/>
    </row>
    <row r="192" ht="26" customHeight="1" s="1">
      <c r="A192" s="5" t="n"/>
      <c r="B192" s="5" t="n"/>
    </row>
    <row r="193" ht="26" customHeight="1" s="1">
      <c r="A193" s="5" t="n"/>
      <c r="B193" s="5" t="n"/>
    </row>
    <row r="194" ht="26" customHeight="1" s="1">
      <c r="A194" s="5" t="n"/>
      <c r="B194" s="5" t="n"/>
    </row>
    <row r="195" ht="26" customHeight="1" s="1">
      <c r="A195" s="5" t="n"/>
      <c r="B195" s="5" t="n"/>
    </row>
    <row r="196" ht="26" customHeight="1" s="1">
      <c r="A196" s="5" t="n"/>
      <c r="B196" s="5" t="n"/>
    </row>
    <row r="197" ht="26" customHeight="1" s="1">
      <c r="A197" s="5" t="n"/>
      <c r="B197" s="5" t="n"/>
    </row>
    <row r="198" ht="26" customHeight="1" s="1">
      <c r="A198" s="5" t="n"/>
      <c r="B198" s="5" t="n"/>
    </row>
    <row r="199" ht="26" customHeight="1" s="1">
      <c r="A199" s="5" t="n"/>
      <c r="B199" s="5" t="n"/>
    </row>
    <row r="200" ht="26" customHeight="1" s="1">
      <c r="A200" s="5" t="n"/>
      <c r="B200" s="5" t="n"/>
    </row>
    <row r="201" ht="26" customHeight="1" s="1">
      <c r="A201" s="5" t="n"/>
      <c r="B201" s="5" t="n"/>
    </row>
    <row r="202" ht="26" customHeight="1" s="1">
      <c r="A202" s="5" t="n"/>
      <c r="B202" s="5" t="n"/>
    </row>
    <row r="203" ht="26" customHeight="1" s="1">
      <c r="A203" s="5" t="n"/>
      <c r="B203" s="5" t="n"/>
    </row>
    <row r="204" ht="26" customHeight="1" s="1">
      <c r="A204" s="5" t="n"/>
      <c r="B204" s="5" t="n"/>
    </row>
    <row r="205" ht="26" customHeight="1" s="1">
      <c r="A205" s="5" t="n"/>
      <c r="B205" s="5" t="n"/>
    </row>
    <row r="206" ht="26" customHeight="1" s="1">
      <c r="A206" s="5" t="n"/>
      <c r="B206" s="5" t="n"/>
    </row>
    <row r="207" ht="26" customHeight="1" s="1">
      <c r="A207" s="5" t="n"/>
      <c r="B207" s="5" t="n"/>
    </row>
    <row r="208" ht="26" customHeight="1" s="1">
      <c r="A208" s="5" t="n"/>
      <c r="B208" s="5" t="n"/>
    </row>
    <row r="209" ht="26" customHeight="1" s="1">
      <c r="A209" s="5" t="n"/>
      <c r="B209" s="5" t="n"/>
    </row>
    <row r="210" ht="26" customHeight="1" s="1">
      <c r="A210" s="5" t="n"/>
      <c r="B210" s="5" t="n"/>
    </row>
    <row r="211" ht="26" customHeight="1" s="1">
      <c r="A211" s="5" t="n"/>
      <c r="B211" s="5" t="n"/>
    </row>
    <row r="212" ht="26" customHeight="1" s="1">
      <c r="A212" s="5" t="n"/>
      <c r="B212" s="5" t="n"/>
    </row>
    <row r="213" ht="26" customHeight="1" s="1">
      <c r="A213" s="5" t="n"/>
      <c r="B213" s="5" t="n"/>
    </row>
    <row r="214" ht="26" customHeight="1" s="1">
      <c r="A214" s="5" t="n"/>
      <c r="B214" s="5" t="n"/>
    </row>
    <row r="215" ht="26" customHeight="1" s="1">
      <c r="A215" s="5" t="n"/>
      <c r="B215" s="5" t="n"/>
    </row>
    <row r="216" ht="26" customHeight="1" s="1">
      <c r="A216" s="5" t="n"/>
      <c r="B216" s="5" t="n"/>
    </row>
    <row r="217" ht="26" customHeight="1" s="1">
      <c r="A217" s="5" t="n"/>
      <c r="B217" s="5" t="n"/>
    </row>
    <row r="218" ht="26" customHeight="1" s="1">
      <c r="A218" s="5" t="n"/>
      <c r="B218" s="5" t="n"/>
    </row>
    <row r="219" ht="26" customHeight="1" s="1">
      <c r="A219" s="5" t="n"/>
      <c r="B219" s="5" t="n"/>
    </row>
    <row r="220" ht="26" customHeight="1" s="1">
      <c r="A220" s="5" t="n"/>
      <c r="B220" s="5" t="n"/>
    </row>
    <row r="221" ht="26" customHeight="1" s="1">
      <c r="A221" s="5" t="n"/>
      <c r="B221" s="5" t="n"/>
    </row>
    <row r="222" ht="26" customHeight="1" s="1">
      <c r="A222" s="5" t="n"/>
      <c r="B222" s="5" t="n"/>
    </row>
    <row r="223" ht="26" customHeight="1" s="1">
      <c r="A223" s="5" t="n"/>
      <c r="B223" s="5" t="n"/>
    </row>
    <row r="224" ht="26" customHeight="1" s="1">
      <c r="A224" s="5" t="n"/>
      <c r="B224" s="5" t="n"/>
    </row>
    <row r="225" ht="26" customHeight="1" s="1">
      <c r="A225" s="5" t="n"/>
      <c r="B225" s="5" t="n"/>
    </row>
    <row r="226" ht="26" customHeight="1" s="1">
      <c r="A226" s="5" t="n"/>
      <c r="B226" s="5" t="n"/>
    </row>
    <row r="227" ht="26" customHeight="1" s="1">
      <c r="A227" s="5" t="n"/>
      <c r="B227" s="5" t="n"/>
    </row>
    <row r="228" ht="26" customHeight="1" s="1">
      <c r="A228" s="5" t="n"/>
      <c r="B228" s="5" t="n"/>
    </row>
    <row r="229" ht="26" customHeight="1" s="1">
      <c r="A229" s="5" t="n"/>
      <c r="B229" s="5" t="n"/>
    </row>
    <row r="230" ht="26" customHeight="1" s="1">
      <c r="A230" s="5" t="n"/>
      <c r="B230" s="5" t="n"/>
    </row>
    <row r="231" ht="26" customHeight="1" s="1">
      <c r="A231" s="5" t="n"/>
      <c r="B231" s="5" t="n"/>
    </row>
    <row r="232" ht="26" customHeight="1" s="1">
      <c r="A232" s="5" t="n"/>
      <c r="B232" s="5" t="n"/>
    </row>
    <row r="233" ht="26" customHeight="1" s="1">
      <c r="A233" s="5" t="n"/>
      <c r="B233" s="5" t="n"/>
    </row>
    <row r="234" ht="26" customHeight="1" s="1">
      <c r="A234" s="5" t="n"/>
      <c r="B234" s="5" t="n"/>
    </row>
    <row r="235" ht="26" customHeight="1" s="1">
      <c r="A235" s="5" t="n"/>
      <c r="B235" s="5" t="n"/>
    </row>
    <row r="236" ht="26" customHeight="1" s="1">
      <c r="A236" s="5" t="n"/>
      <c r="B236" s="5" t="n"/>
    </row>
    <row r="237" ht="26" customHeight="1" s="1">
      <c r="A237" s="5" t="n"/>
      <c r="B237" s="5" t="n"/>
    </row>
    <row r="238" ht="26" customHeight="1" s="1">
      <c r="A238" s="5" t="n"/>
      <c r="B238" s="5" t="n"/>
    </row>
    <row r="239" ht="26" customHeight="1" s="1">
      <c r="A239" s="5" t="n"/>
      <c r="B239" s="5" t="n"/>
    </row>
    <row r="240" ht="26" customHeight="1" s="1">
      <c r="A240" s="5" t="n"/>
      <c r="B240" s="5" t="n"/>
    </row>
    <row r="241" ht="26" customHeight="1" s="1">
      <c r="A241" s="5" t="n"/>
      <c r="B241" s="5" t="n"/>
    </row>
    <row r="242" ht="26" customHeight="1" s="1">
      <c r="A242" s="5" t="n"/>
      <c r="B242" s="5" t="n"/>
    </row>
    <row r="243" ht="26" customHeight="1" s="1">
      <c r="A243" s="5" t="n"/>
      <c r="B243" s="5" t="n"/>
    </row>
    <row r="244" ht="26" customHeight="1" s="1">
      <c r="A244" s="5" t="n"/>
      <c r="B244" s="5" t="n"/>
    </row>
    <row r="245" ht="26" customHeight="1" s="1">
      <c r="A245" s="5" t="n"/>
      <c r="B245" s="5" t="n"/>
    </row>
    <row r="246" ht="26" customHeight="1" s="1">
      <c r="A246" s="5" t="n"/>
      <c r="B246" s="5" t="n"/>
    </row>
    <row r="247" ht="26" customHeight="1" s="1">
      <c r="A247" s="5" t="n"/>
      <c r="B247" s="5" t="n"/>
    </row>
    <row r="248" ht="26" customHeight="1" s="1">
      <c r="A248" s="5" t="n"/>
      <c r="B248" s="5" t="n"/>
    </row>
    <row r="249" ht="26" customHeight="1" s="1">
      <c r="A249" s="5" t="n"/>
      <c r="B249" s="5" t="n"/>
    </row>
    <row r="250" ht="26" customHeight="1" s="1">
      <c r="A250" s="5" t="n"/>
      <c r="B250" s="5" t="n"/>
    </row>
    <row r="251" ht="26" customHeight="1" s="1">
      <c r="A251" s="5" t="n"/>
      <c r="B251" s="5" t="n"/>
    </row>
    <row r="252" ht="26" customHeight="1" s="1">
      <c r="A252" s="5" t="n"/>
      <c r="B252" s="5" t="n"/>
    </row>
    <row r="253" ht="26" customHeight="1" s="1">
      <c r="A253" s="5" t="n"/>
      <c r="B253" s="5" t="n"/>
    </row>
    <row r="254" ht="26" customHeight="1" s="1">
      <c r="A254" s="5" t="n"/>
      <c r="B254" s="5" t="n"/>
    </row>
    <row r="255" ht="26" customHeight="1" s="1">
      <c r="A255" s="5" t="n"/>
      <c r="B255" s="5" t="n"/>
    </row>
    <row r="256" ht="26" customHeight="1" s="1">
      <c r="A256" s="5" t="n"/>
      <c r="B256" s="5" t="n"/>
    </row>
    <row r="257" ht="26" customHeight="1" s="1">
      <c r="A257" s="5" t="n"/>
      <c r="B257" s="5" t="n"/>
    </row>
    <row r="258" ht="26" customHeight="1" s="1">
      <c r="A258" s="5" t="n"/>
      <c r="B258" s="5" t="n"/>
    </row>
    <row r="259" ht="26" customHeight="1" s="1">
      <c r="A259" s="5" t="n"/>
      <c r="B259" s="5" t="n"/>
    </row>
    <row r="260" ht="26" customHeight="1" s="1">
      <c r="A260" s="5" t="n"/>
      <c r="B260" s="5" t="n"/>
    </row>
    <row r="261" ht="26" customHeight="1" s="1">
      <c r="A261" s="5" t="n"/>
      <c r="B261" s="5" t="n"/>
    </row>
    <row r="262" ht="26" customHeight="1" s="1">
      <c r="A262" s="5" t="n"/>
      <c r="B262" s="5" t="n"/>
    </row>
    <row r="263" ht="26" customHeight="1" s="1">
      <c r="A263" s="5" t="n"/>
      <c r="B263" s="5" t="n"/>
    </row>
    <row r="264" ht="26" customHeight="1" s="1">
      <c r="A264" s="5" t="n"/>
      <c r="B264" s="5" t="n"/>
    </row>
    <row r="265" ht="26" customHeight="1" s="1">
      <c r="A265" s="5" t="n"/>
      <c r="B265" s="5" t="n"/>
    </row>
    <row r="266" ht="26" customHeight="1" s="1">
      <c r="A266" s="5" t="n"/>
      <c r="B266" s="5" t="n"/>
    </row>
    <row r="267" ht="26" customHeight="1" s="1">
      <c r="A267" s="5" t="n"/>
      <c r="B267" s="5" t="n"/>
    </row>
    <row r="268" ht="26" customHeight="1" s="1">
      <c r="A268" s="5" t="n"/>
      <c r="B268" s="5" t="n"/>
    </row>
    <row r="269" ht="26" customHeight="1" s="1">
      <c r="A269" s="5" t="n"/>
      <c r="B269" s="5" t="n"/>
    </row>
    <row r="270" ht="26" customHeight="1" s="1">
      <c r="A270" s="5" t="n"/>
      <c r="B270" s="5" t="n"/>
    </row>
    <row r="271" ht="26" customHeight="1" s="1">
      <c r="A271" s="5" t="n"/>
      <c r="B271" s="5" t="n"/>
    </row>
    <row r="272" ht="26" customHeight="1" s="1">
      <c r="A272" s="5" t="n"/>
      <c r="B272" s="5" t="n"/>
    </row>
    <row r="273" ht="26" customHeight="1" s="1">
      <c r="A273" s="5" t="n"/>
      <c r="B273" s="5" t="n"/>
    </row>
    <row r="274" ht="26" customHeight="1" s="1">
      <c r="A274" s="5" t="n"/>
      <c r="B274" s="5" t="n"/>
    </row>
    <row r="275" ht="26" customHeight="1" s="1">
      <c r="A275" s="5" t="n"/>
      <c r="B275" s="5" t="n"/>
    </row>
    <row r="276" ht="26" customHeight="1" s="1">
      <c r="A276" s="5" t="n"/>
      <c r="B276" s="5" t="n"/>
    </row>
    <row r="277" ht="26" customHeight="1" s="1">
      <c r="A277" s="5" t="n"/>
      <c r="B277" s="5" t="n"/>
    </row>
    <row r="278" ht="26" customHeight="1" s="1">
      <c r="A278" s="5" t="n"/>
      <c r="B278" s="5" t="n"/>
    </row>
    <row r="279" ht="26" customHeight="1" s="1">
      <c r="A279" s="5" t="n"/>
      <c r="B279" s="5" t="n"/>
    </row>
    <row r="280" ht="26" customHeight="1" s="1">
      <c r="A280" s="5" t="n"/>
      <c r="B280" s="5" t="n"/>
    </row>
    <row r="281" ht="26" customHeight="1" s="1">
      <c r="A281" s="5" t="n"/>
      <c r="B281" s="5" t="n"/>
    </row>
    <row r="282" ht="26" customHeight="1" s="1">
      <c r="A282" s="5" t="n"/>
      <c r="B282" s="5" t="n"/>
    </row>
    <row r="283" ht="26" customHeight="1" s="1">
      <c r="A283" s="5" t="n"/>
      <c r="B283" s="5" t="n"/>
    </row>
    <row r="284" ht="26" customHeight="1" s="1">
      <c r="A284" s="5" t="n"/>
      <c r="B284" s="5" t="n"/>
    </row>
    <row r="285" ht="26" customHeight="1" s="1">
      <c r="A285" s="5" t="n"/>
      <c r="B285" s="5" t="n"/>
    </row>
    <row r="286" ht="26" customHeight="1" s="1">
      <c r="A286" s="5" t="n"/>
      <c r="B286" s="5" t="n"/>
    </row>
    <row r="287" ht="26" customHeight="1" s="1">
      <c r="A287" s="5" t="n"/>
      <c r="B287" s="5" t="n"/>
    </row>
    <row r="288" ht="26" customHeight="1" s="1">
      <c r="A288" s="5" t="n"/>
      <c r="B288" s="5" t="n"/>
    </row>
    <row r="289" ht="26" customHeight="1" s="1">
      <c r="A289" s="5" t="n"/>
      <c r="B289" s="5" t="n"/>
    </row>
    <row r="290" ht="26" customHeight="1" s="1">
      <c r="A290" s="5" t="n"/>
      <c r="B290" s="5" t="n"/>
    </row>
    <row r="291" ht="26" customHeight="1" s="1">
      <c r="A291" s="5" t="n"/>
      <c r="B291" s="5" t="n"/>
    </row>
    <row r="292" ht="26" customHeight="1" s="1">
      <c r="A292" s="5" t="n"/>
      <c r="B292" s="5" t="n"/>
    </row>
    <row r="293" ht="26" customHeight="1" s="1">
      <c r="A293" s="5" t="n"/>
      <c r="B293" s="5" t="n"/>
    </row>
    <row r="294" ht="26" customHeight="1" s="1">
      <c r="A294" s="5" t="n"/>
      <c r="B294" s="5" t="n"/>
    </row>
    <row r="295" ht="26" customHeight="1" s="1">
      <c r="A295" s="5" t="n"/>
      <c r="B295" s="5" t="n"/>
    </row>
    <row r="296" ht="26" customHeight="1" s="1">
      <c r="A296" s="5" t="n"/>
      <c r="B296" s="5" t="n"/>
    </row>
    <row r="297" ht="26" customHeight="1" s="1">
      <c r="A297" s="5" t="n"/>
      <c r="B297" s="5" t="n"/>
    </row>
    <row r="298" ht="26" customHeight="1" s="1">
      <c r="A298" s="5" t="n"/>
      <c r="B298" s="5" t="n"/>
    </row>
    <row r="299" ht="26" customHeight="1" s="1">
      <c r="A299" s="5" t="n"/>
      <c r="B299" s="5" t="n"/>
    </row>
    <row r="300" ht="26" customHeight="1" s="1">
      <c r="A300" s="5" t="n"/>
      <c r="B300" s="5" t="n"/>
    </row>
    <row r="301" ht="26" customHeight="1" s="1">
      <c r="A301" s="5" t="n"/>
      <c r="B301" s="5" t="n"/>
    </row>
    <row r="302" ht="26" customHeight="1" s="1">
      <c r="A302" s="5" t="n"/>
      <c r="B302" s="5" t="n"/>
    </row>
    <row r="303" ht="26" customHeight="1" s="1">
      <c r="A303" s="5" t="n"/>
      <c r="B303" s="5" t="n"/>
    </row>
    <row r="304" ht="26" customHeight="1" s="1">
      <c r="A304" s="5" t="n"/>
      <c r="B304" s="5" t="n"/>
    </row>
    <row r="305" ht="26" customHeight="1" s="1">
      <c r="A305" s="5" t="n"/>
      <c r="B305" s="5" t="n"/>
    </row>
    <row r="306" ht="26" customHeight="1" s="1">
      <c r="A306" s="5" t="n"/>
      <c r="B306" s="5" t="n"/>
    </row>
    <row r="307" ht="26" customHeight="1" s="1">
      <c r="A307" s="5" t="n"/>
      <c r="B307" s="5" t="n"/>
    </row>
    <row r="308" ht="26" customHeight="1" s="1">
      <c r="A308" s="5" t="n"/>
      <c r="B308" s="5" t="n"/>
    </row>
    <row r="309" ht="26" customHeight="1" s="1">
      <c r="A309" s="5" t="n"/>
      <c r="B309" s="5" t="n"/>
    </row>
    <row r="310" ht="26" customHeight="1" s="1">
      <c r="A310" s="5" t="n"/>
      <c r="B310" s="5" t="n"/>
    </row>
    <row r="311" ht="26" customHeight="1" s="1">
      <c r="A311" s="5" t="n"/>
      <c r="B311" s="5" t="n"/>
    </row>
    <row r="312" ht="26" customHeight="1" s="1">
      <c r="A312" s="5" t="n"/>
      <c r="B312" s="5" t="n"/>
    </row>
    <row r="313" ht="26" customHeight="1" s="1">
      <c r="A313" s="5" t="n"/>
      <c r="B313" s="5" t="n"/>
    </row>
    <row r="314" ht="26" customHeight="1" s="1">
      <c r="A314" s="5" t="n"/>
      <c r="B314" s="5" t="n"/>
    </row>
    <row r="315" ht="26" customHeight="1" s="1">
      <c r="A315" s="5" t="n"/>
      <c r="B315" s="5" t="n"/>
    </row>
    <row r="316" ht="26" customHeight="1" s="1">
      <c r="A316" s="5" t="n"/>
      <c r="B316" s="5" t="n"/>
    </row>
    <row r="317" ht="26" customHeight="1" s="1">
      <c r="A317" s="5" t="n"/>
      <c r="B317" s="5" t="n"/>
    </row>
    <row r="318" ht="26" customHeight="1" s="1">
      <c r="A318" s="5" t="n"/>
      <c r="B318" s="5" t="n"/>
    </row>
    <row r="319" ht="26" customHeight="1" s="1">
      <c r="A319" s="5" t="n"/>
      <c r="B319" s="5" t="n"/>
    </row>
    <row r="320" ht="26" customHeight="1" s="1">
      <c r="A320" s="5" t="n"/>
      <c r="B320" s="5" t="n"/>
    </row>
    <row r="321" ht="26" customHeight="1" s="1">
      <c r="A321" s="5" t="n"/>
      <c r="B321" s="5" t="n"/>
    </row>
    <row r="322" ht="26" customHeight="1" s="1">
      <c r="A322" s="5" t="n"/>
      <c r="B322" s="5" t="n"/>
    </row>
    <row r="323" ht="26" customHeight="1" s="1">
      <c r="A323" s="5" t="n"/>
      <c r="B323" s="5" t="n"/>
    </row>
    <row r="324" ht="26" customHeight="1" s="1">
      <c r="A324" s="5" t="n"/>
      <c r="B324" s="5" t="n"/>
    </row>
    <row r="325" ht="26" customHeight="1" s="1">
      <c r="A325" s="5" t="n"/>
      <c r="B325" s="5" t="n"/>
    </row>
    <row r="326" ht="26" customHeight="1" s="1">
      <c r="A326" s="5" t="n"/>
      <c r="B326" s="5" t="n"/>
    </row>
    <row r="327" ht="26" customHeight="1" s="1">
      <c r="A327" s="5" t="n"/>
      <c r="B327" s="5" t="n"/>
    </row>
    <row r="328" ht="26" customHeight="1" s="1">
      <c r="A328" s="5" t="n"/>
      <c r="B328" s="5" t="n"/>
    </row>
    <row r="329" ht="26" customHeight="1" s="1">
      <c r="A329" s="5" t="n"/>
      <c r="B329" s="5" t="n"/>
    </row>
    <row r="330" ht="26" customHeight="1" s="1">
      <c r="A330" s="5" t="n"/>
      <c r="B330" s="5" t="n"/>
    </row>
    <row r="331" ht="26" customHeight="1" s="1">
      <c r="A331" s="5" t="n"/>
      <c r="B331" s="5" t="n"/>
    </row>
    <row r="332" ht="26" customHeight="1" s="1">
      <c r="A332" s="5" t="n"/>
      <c r="B332" s="5" t="n"/>
    </row>
    <row r="333" ht="26" customHeight="1" s="1">
      <c r="A333" s="5" t="n"/>
      <c r="B333" s="5" t="n"/>
    </row>
    <row r="334" ht="26" customHeight="1" s="1">
      <c r="A334" s="5" t="n"/>
      <c r="B334" s="5" t="n"/>
    </row>
    <row r="335" ht="26" customHeight="1" s="1">
      <c r="A335" s="5" t="n"/>
      <c r="B335" s="5" t="n"/>
    </row>
    <row r="336" ht="26" customHeight="1" s="1">
      <c r="A336" s="5" t="n"/>
      <c r="B336" s="5" t="n"/>
    </row>
    <row r="337" ht="26" customHeight="1" s="1">
      <c r="A337" s="5" t="n"/>
      <c r="B337" s="5" t="n"/>
    </row>
    <row r="338" ht="26" customHeight="1" s="1">
      <c r="A338" s="5" t="n"/>
      <c r="B338" s="5" t="n"/>
    </row>
    <row r="339" ht="26" customHeight="1" s="1">
      <c r="A339" s="5" t="n"/>
      <c r="B339" s="5" t="n"/>
    </row>
    <row r="340" ht="26" customHeight="1" s="1">
      <c r="A340" s="5" t="n"/>
      <c r="B340" s="5" t="n"/>
    </row>
    <row r="341" ht="26" customHeight="1" s="1">
      <c r="A341" s="5" t="n"/>
      <c r="B341" s="5" t="n"/>
    </row>
    <row r="342" ht="26" customHeight="1" s="1">
      <c r="A342" s="5" t="n"/>
      <c r="B342" s="5" t="n"/>
    </row>
    <row r="343" ht="26" customHeight="1" s="1">
      <c r="A343" s="5" t="n"/>
      <c r="B343" s="5" t="n"/>
    </row>
    <row r="344" ht="26" customHeight="1" s="1">
      <c r="A344" s="5" t="n"/>
      <c r="B344" s="5" t="n"/>
    </row>
    <row r="345" ht="26" customHeight="1" s="1">
      <c r="A345" s="5" t="n"/>
      <c r="B345" s="5" t="n"/>
    </row>
    <row r="346" ht="26" customHeight="1" s="1">
      <c r="A346" s="5" t="n"/>
      <c r="B346" s="5" t="n"/>
    </row>
    <row r="347" ht="26" customHeight="1" s="1">
      <c r="A347" s="5" t="n"/>
      <c r="B347" s="5" t="n"/>
    </row>
    <row r="348" ht="26" customHeight="1" s="1">
      <c r="A348" s="5" t="n"/>
      <c r="B348" s="5" t="n"/>
    </row>
    <row r="349" ht="26" customHeight="1" s="1">
      <c r="A349" s="5" t="n"/>
      <c r="B349" s="5" t="n"/>
    </row>
    <row r="350" ht="26" customHeight="1" s="1">
      <c r="A350" s="5" t="n"/>
      <c r="B350" s="5" t="n"/>
    </row>
    <row r="351" ht="26" customHeight="1" s="1">
      <c r="A351" s="5" t="n"/>
      <c r="B351" s="5" t="n"/>
    </row>
    <row r="353">
      <c r="A353" s="3" t="inlineStr">
        <is>
          <t>※ 上のサンプルを、監視したい銘柄コード（4桁）と銘柄名に書き換えてください。</t>
        </is>
      </c>
    </row>
  </sheetData>
  <autoFilter ref="A1:B1"/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354"/>
  <sheetViews>
    <sheetView workbookViewId="0">
      <pane xSplit="1" ySplit="2" topLeftCell="B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style="1" min="1" max="1"/>
    <col width="13" customWidth="1" style="1" min="2" max="2"/>
    <col width="13" customWidth="1" style="1" min="3" max="3"/>
    <col width="13" customWidth="1" style="1" min="4" max="4"/>
    <col width="13" customWidth="1" style="1" min="5" max="5"/>
    <col width="15" customWidth="1" style="1" min="6" max="6"/>
    <col width="13" customWidth="1" style="1" min="7" max="7"/>
    <col width="13" customWidth="1" style="1" min="8" max="8"/>
    <col width="13" customWidth="1" style="1" min="9" max="9"/>
    <col width="13" customWidth="1" style="1" min="10" max="10"/>
    <col width="16" customWidth="1" style="1" min="11" max="11"/>
    <col width="13" customWidth="1" style="1" min="12" max="12"/>
    <col width="13" customWidth="1" style="1" min="13" max="13"/>
    <col width="13" customWidth="1" style="1" min="14" max="14"/>
    <col width="13" customWidth="1" style="1" min="15" max="15"/>
    <col width="13" customWidth="1" style="1" min="16" max="16"/>
    <col width="13" customWidth="1" style="1" min="17" max="17"/>
    <col width="13" customWidth="1" style="1" min="18" max="18"/>
    <col width="13" customWidth="1" style="1" min="19" max="19"/>
    <col width="13" customWidth="1" style="1" min="20" max="20"/>
    <col width="13" customWidth="1" style="1" min="21" max="21"/>
    <col width="13" customWidth="1" style="1" min="22" max="22"/>
    <col width="14" customWidth="1" style="1" min="23" max="23"/>
    <col width="12" customWidth="1" style="1" min="24" max="24"/>
    <col width="14" customWidth="1" style="1" min="25" max="25"/>
  </cols>
  <sheetData>
    <row r="1" ht="44" customHeight="1" s="1">
      <c r="A1" s="6" t="n"/>
      <c r="B1" s="7" t="n"/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</row>
    <row r="2" ht="46" customHeight="1" s="1">
      <c r="A2" s="4" t="inlineStr">
        <is>
          <t>銘柄コード（株探）</t>
        </is>
      </c>
      <c r="B2" s="4" t="inlineStr">
        <is>
          <t>現在値</t>
        </is>
      </c>
      <c r="C2" s="4" t="inlineStr">
        <is>
          <t>高値</t>
        </is>
      </c>
      <c r="D2" s="4" t="inlineStr">
        <is>
          <t>安値</t>
        </is>
      </c>
      <c r="E2" s="4" t="inlineStr">
        <is>
          <t>終値</t>
        </is>
      </c>
      <c r="F2" s="4" t="inlineStr">
        <is>
          <t>出来高</t>
        </is>
      </c>
      <c r="G2" s="4" t="inlineStr">
        <is>
          <t>前日高値</t>
        </is>
      </c>
      <c r="H2" s="4" t="inlineStr">
        <is>
          <t>前日安値</t>
        </is>
      </c>
      <c r="I2" s="4" t="inlineStr">
        <is>
          <t>前日終値</t>
        </is>
      </c>
      <c r="J2" s="4" t="inlineStr">
        <is>
          <t>寄り方向</t>
        </is>
      </c>
      <c r="K2" s="4" t="inlineStr">
        <is>
          <t>ATR(14・5分足)</t>
        </is>
      </c>
      <c r="L2" s="4" t="inlineStr">
        <is>
          <t>ゾーン</t>
        </is>
      </c>
      <c r="M2" s="4" t="inlineStr">
        <is>
          <t>STOP-BUY</t>
        </is>
      </c>
      <c r="N2" s="4" t="inlineStr">
        <is>
          <t>STOP-SELL</t>
        </is>
      </c>
      <c r="O2" s="4" t="inlineStr">
        <is>
          <t>売買種別</t>
        </is>
      </c>
      <c r="P2" s="4" t="inlineStr">
        <is>
          <t>Entry</t>
        </is>
      </c>
      <c r="Q2" s="4" t="inlineStr">
        <is>
          <t>SL</t>
        </is>
      </c>
      <c r="R2" s="4" t="inlineStr">
        <is>
          <t>TP1</t>
        </is>
      </c>
      <c r="S2" s="4" t="inlineStr">
        <is>
          <t>TP2</t>
        </is>
      </c>
      <c r="T2" s="4" t="inlineStr">
        <is>
          <t>TP3</t>
        </is>
      </c>
      <c r="U2" s="4" t="inlineStr">
        <is>
          <t>2回目戻し</t>
        </is>
      </c>
      <c r="V2" s="4" t="inlineStr">
        <is>
          <t>時間帯</t>
        </is>
      </c>
      <c r="W2" s="4" t="inlineStr">
        <is>
          <t>ボラフィルタ</t>
        </is>
      </c>
      <c r="X2" s="4" t="inlineStr">
        <is>
          <t>ダマシ除去</t>
        </is>
      </c>
      <c r="Y2" s="4" t="inlineStr">
        <is>
          <t>トレンド方向</t>
        </is>
      </c>
    </row>
    <row r="3" ht="26" customHeight="1" s="1">
      <c r="A3" s="8">
        <f>IF('StockList_MS2'!A2="","",HYPERLINK("https://kabutan.jp/stock/?code="&amp;'StockList_MS2'!A2,'StockList_MS2'!A2))</f>
        <v/>
      </c>
      <c r="B3" s="9" t="n">
        <v>2500</v>
      </c>
      <c r="C3" s="9" t="n">
        <v>2545</v>
      </c>
      <c r="D3" s="9" t="n">
        <v>2470</v>
      </c>
      <c r="E3" s="9" t="n">
        <v>2495</v>
      </c>
      <c r="F3" s="10" t="n">
        <v>15000000</v>
      </c>
      <c r="G3" s="9" t="n">
        <v>2520</v>
      </c>
      <c r="H3" s="9" t="n">
        <v>2460</v>
      </c>
      <c r="I3" s="9" t="n">
        <v>2490</v>
      </c>
      <c r="J3" s="11">
        <f>IF(B3="","",IF(B3&gt;I3,"BUY-DAY","SELL-DAY"))</f>
        <v/>
      </c>
      <c r="K3" s="12">
        <f>IF(B3="","",MAX(C3-D3,ABS(C3-I3),ABS(D3-I3)))</f>
        <v/>
      </c>
      <c r="L3" s="11">
        <f>IF(B3="","",IF(AND(F3&gt;0,F3&gt;(F3/3)*2.5),"VOL-OK","VOL-NG"))</f>
        <v/>
      </c>
      <c r="M3" s="11">
        <f>IF(B3="","",IF(B3&gt;G3,"ON","OFF"))</f>
        <v/>
      </c>
      <c r="N3" s="11">
        <f>IF(B3="","",IF(B3&lt;H3,"ON","OFF"))</f>
        <v/>
      </c>
      <c r="O3" s="11">
        <f>IF(OR(B3="",K3&lt;=0),"",IF(AND(J3="BUY-DAY",L3="VOL-OK",N3="ON",X3="OK",Y3&lt;&gt;"DOWN"),"BUY",IF(AND(J3="SELL-DAY",L3="VOL-OK",M3="ON",X3="OK",Y3&lt;&gt;"UP"),"SELL","")))</f>
        <v/>
      </c>
      <c r="P3" s="12">
        <f>IF(O3="","",B3)</f>
        <v/>
      </c>
      <c r="Q3" s="12">
        <f>IF(O3="","",IF(O3="BUY",B3-K3*1.5,B3+K3*1.5))</f>
        <v/>
      </c>
      <c r="R3" s="12">
        <f>IF(O3="","",IF(O3="BUY",B3+K3*1.5,B3-K3*1.5))</f>
        <v/>
      </c>
      <c r="S3" s="12">
        <f>IF(O3="","",IF(O3="BUY",B3+K3*2,B3-K3*2))</f>
        <v/>
      </c>
      <c r="T3" s="12">
        <f>IF(O3="","",IF(O3="BUY",B3+K3*3,B3-K3*3))</f>
        <v/>
      </c>
      <c r="U3" s="11">
        <f>IF(OR(B3="",K3&lt;=0),"",IF(AND(B3&gt;E3,ABS(B3-E3)&lt;K3*0.5),"2ND","1ST"))</f>
        <v/>
      </c>
      <c r="V3" s="11">
        <f>IF(OR(B3="",K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" s="11">
        <f>IF(OR(B3="",K3&lt;=0),"",IF(K3&gt;B3*0.05,"VOL-HIGH","VOL-NORMAL"))</f>
        <v/>
      </c>
      <c r="X3" s="11">
        <f>IF(OR(B3="",K3&lt;=0),"",IF(AND(L3="VOL-OK",W3="VOL-NORMAL",U3="2ND"),"OK","NG"))</f>
        <v/>
      </c>
      <c r="Y3" s="11">
        <f>IF(OR(B3="",K3&lt;=0),"",IF(AND(C3&gt;G3,D3&gt;H3),"UP",IF(AND(C3&lt;G3,D3&lt;H3),"DOWN","FLAT")))</f>
        <v/>
      </c>
    </row>
    <row r="4" ht="26" customHeight="1" s="1">
      <c r="A4" s="13">
        <f>IF('StockList_MS2'!A3="","",HYPERLINK("https://kabutan.jp/stock/?code="&amp;'StockList_MS2'!A3,'StockList_MS2'!A3))</f>
        <v/>
      </c>
      <c r="B4" s="14" t="n"/>
      <c r="C4" s="14" t="n"/>
      <c r="D4" s="14" t="n"/>
      <c r="E4" s="14" t="n"/>
      <c r="F4" s="15" t="n"/>
      <c r="G4" s="14" t="n"/>
      <c r="H4" s="14" t="n"/>
      <c r="I4" s="14" t="n"/>
      <c r="J4" s="16">
        <f>IF(B4="","",IF(B4&gt;I4,"BUY-DAY","SELL-DAY"))</f>
        <v/>
      </c>
      <c r="K4" s="17">
        <f>IF(B4="","",MAX(C4-D4,ABS(C4-I4),ABS(D4-I4)))</f>
        <v/>
      </c>
      <c r="L4" s="16">
        <f>IF(B4="","",IF(AND(F4&gt;0,F4&gt;(F4/3)*2.5),"VOL-OK","VOL-NG"))</f>
        <v/>
      </c>
      <c r="M4" s="16">
        <f>IF(B4="","",IF(B4&gt;G4,"ON","OFF"))</f>
        <v/>
      </c>
      <c r="N4" s="16">
        <f>IF(B4="","",IF(B4&lt;H4,"ON","OFF"))</f>
        <v/>
      </c>
      <c r="O4" s="16">
        <f>IF(OR(B4="",K4&lt;=0),"",IF(AND(J4="BUY-DAY",L4="VOL-OK",N4="ON",X4="OK",Y4&lt;&gt;"DOWN"),"BUY",IF(AND(J4="SELL-DAY",L4="VOL-OK",M4="ON",X4="OK",Y4&lt;&gt;"UP"),"SELL","")))</f>
        <v/>
      </c>
      <c r="P4" s="17">
        <f>IF(O4="","",B4)</f>
        <v/>
      </c>
      <c r="Q4" s="17">
        <f>IF(O4="","",IF(O4="BUY",B4-K4*1.5,B4+K4*1.5))</f>
        <v/>
      </c>
      <c r="R4" s="17">
        <f>IF(O4="","",IF(O4="BUY",B4+K4*1.5,B4-K4*1.5))</f>
        <v/>
      </c>
      <c r="S4" s="17">
        <f>IF(O4="","",IF(O4="BUY",B4+K4*2,B4-K4*2))</f>
        <v/>
      </c>
      <c r="T4" s="17">
        <f>IF(O4="","",IF(O4="BUY",B4+K4*3,B4-K4*3))</f>
        <v/>
      </c>
      <c r="U4" s="16">
        <f>IF(OR(B4="",K4&lt;=0),"",IF(AND(B4&gt;E4,ABS(B4-E4)&lt;K4*0.5),"2ND","1ST"))</f>
        <v/>
      </c>
      <c r="V4" s="16">
        <f>IF(OR(B4="",K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" s="16">
        <f>IF(OR(B4="",K4&lt;=0),"",IF(K4&gt;B4*0.05,"VOL-HIGH","VOL-NORMAL"))</f>
        <v/>
      </c>
      <c r="X4" s="16">
        <f>IF(OR(B4="",K4&lt;=0),"",IF(AND(L4="VOL-OK",W4="VOL-NORMAL",U4="2ND"),"OK","NG"))</f>
        <v/>
      </c>
      <c r="Y4" s="16">
        <f>IF(OR(B4="",K4&lt;=0),"",IF(AND(C4&gt;G4,D4&gt;H4),"UP",IF(AND(C4&lt;G4,D4&lt;H4),"DOWN","FLAT")))</f>
        <v/>
      </c>
    </row>
    <row r="5" ht="26" customHeight="1" s="1">
      <c r="A5" s="8">
        <f>IF('StockList_MS2'!A4="","",HYPERLINK("https://kabutan.jp/stock/?code="&amp;'StockList_MS2'!A4,'StockList_MS2'!A4))</f>
        <v/>
      </c>
      <c r="B5" s="9" t="n"/>
      <c r="C5" s="9" t="n"/>
      <c r="D5" s="9" t="n"/>
      <c r="E5" s="9" t="n"/>
      <c r="F5" s="10" t="n"/>
      <c r="G5" s="9" t="n"/>
      <c r="H5" s="9" t="n"/>
      <c r="I5" s="9" t="n"/>
      <c r="J5" s="11">
        <f>IF(B5="","",IF(B5&gt;I5,"BUY-DAY","SELL-DAY"))</f>
        <v/>
      </c>
      <c r="K5" s="12">
        <f>IF(B5="","",MAX(C5-D5,ABS(C5-I5),ABS(D5-I5)))</f>
        <v/>
      </c>
      <c r="L5" s="11">
        <f>IF(B5="","",IF(AND(F5&gt;0,F5&gt;(F5/3)*2.5),"VOL-OK","VOL-NG"))</f>
        <v/>
      </c>
      <c r="M5" s="11">
        <f>IF(B5="","",IF(B5&gt;G5,"ON","OFF"))</f>
        <v/>
      </c>
      <c r="N5" s="11">
        <f>IF(B5="","",IF(B5&lt;H5,"ON","OFF"))</f>
        <v/>
      </c>
      <c r="O5" s="11">
        <f>IF(OR(B5="",K5&lt;=0),"",IF(AND(J5="BUY-DAY",L5="VOL-OK",N5="ON",X5="OK",Y5&lt;&gt;"DOWN"),"BUY",IF(AND(J5="SELL-DAY",L5="VOL-OK",M5="ON",X5="OK",Y5&lt;&gt;"UP"),"SELL","")))</f>
        <v/>
      </c>
      <c r="P5" s="12">
        <f>IF(O5="","",B5)</f>
        <v/>
      </c>
      <c r="Q5" s="12">
        <f>IF(O5="","",IF(O5="BUY",B5-K5*1.5,B5+K5*1.5))</f>
        <v/>
      </c>
      <c r="R5" s="12">
        <f>IF(O5="","",IF(O5="BUY",B5+K5*1.5,B5-K5*1.5))</f>
        <v/>
      </c>
      <c r="S5" s="12">
        <f>IF(O5="","",IF(O5="BUY",B5+K5*2,B5-K5*2))</f>
        <v/>
      </c>
      <c r="T5" s="12">
        <f>IF(O5="","",IF(O5="BUY",B5+K5*3,B5-K5*3))</f>
        <v/>
      </c>
      <c r="U5" s="11">
        <f>IF(OR(B5="",K5&lt;=0),"",IF(AND(B5&gt;E5,ABS(B5-E5)&lt;K5*0.5),"2ND","1ST"))</f>
        <v/>
      </c>
      <c r="V5" s="11">
        <f>IF(OR(B5="",K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" s="11">
        <f>IF(OR(B5="",K5&lt;=0),"",IF(K5&gt;B5*0.05,"VOL-HIGH","VOL-NORMAL"))</f>
        <v/>
      </c>
      <c r="X5" s="11">
        <f>IF(OR(B5="",K5&lt;=0),"",IF(AND(L5="VOL-OK",W5="VOL-NORMAL",U5="2ND"),"OK","NG"))</f>
        <v/>
      </c>
      <c r="Y5" s="11">
        <f>IF(OR(B5="",K5&lt;=0),"",IF(AND(C5&gt;G5,D5&gt;H5),"UP",IF(AND(C5&lt;G5,D5&lt;H5),"DOWN","FLAT")))</f>
        <v/>
      </c>
    </row>
    <row r="6" ht="26" customHeight="1" s="1">
      <c r="A6" s="13">
        <f>IF('StockList_MS2'!A5="","",HYPERLINK("https://kabutan.jp/stock/?code="&amp;'StockList_MS2'!A5,'StockList_MS2'!A5))</f>
        <v/>
      </c>
      <c r="B6" s="14" t="n"/>
      <c r="C6" s="14" t="n"/>
      <c r="D6" s="14" t="n"/>
      <c r="E6" s="14" t="n"/>
      <c r="F6" s="15" t="n"/>
      <c r="G6" s="14" t="n"/>
      <c r="H6" s="14" t="n"/>
      <c r="I6" s="14" t="n"/>
      <c r="J6" s="16">
        <f>IF(B6="","",IF(B6&gt;I6,"BUY-DAY","SELL-DAY"))</f>
        <v/>
      </c>
      <c r="K6" s="17">
        <f>IF(B6="","",MAX(C6-D6,ABS(C6-I6),ABS(D6-I6)))</f>
        <v/>
      </c>
      <c r="L6" s="16">
        <f>IF(B6="","",IF(AND(F6&gt;0,F6&gt;(F6/3)*2.5),"VOL-OK","VOL-NG"))</f>
        <v/>
      </c>
      <c r="M6" s="16">
        <f>IF(B6="","",IF(B6&gt;G6,"ON","OFF"))</f>
        <v/>
      </c>
      <c r="N6" s="16">
        <f>IF(B6="","",IF(B6&lt;H6,"ON","OFF"))</f>
        <v/>
      </c>
      <c r="O6" s="16">
        <f>IF(OR(B6="",K6&lt;=0),"",IF(AND(J6="BUY-DAY",L6="VOL-OK",N6="ON",X6="OK",Y6&lt;&gt;"DOWN"),"BUY",IF(AND(J6="SELL-DAY",L6="VOL-OK",M6="ON",X6="OK",Y6&lt;&gt;"UP"),"SELL","")))</f>
        <v/>
      </c>
      <c r="P6" s="17">
        <f>IF(O6="","",B6)</f>
        <v/>
      </c>
      <c r="Q6" s="17">
        <f>IF(O6="","",IF(O6="BUY",B6-K6*1.5,B6+K6*1.5))</f>
        <v/>
      </c>
      <c r="R6" s="17">
        <f>IF(O6="","",IF(O6="BUY",B6+K6*1.5,B6-K6*1.5))</f>
        <v/>
      </c>
      <c r="S6" s="17">
        <f>IF(O6="","",IF(O6="BUY",B6+K6*2,B6-K6*2))</f>
        <v/>
      </c>
      <c r="T6" s="17">
        <f>IF(O6="","",IF(O6="BUY",B6+K6*3,B6-K6*3))</f>
        <v/>
      </c>
      <c r="U6" s="16">
        <f>IF(OR(B6="",K6&lt;=0),"",IF(AND(B6&gt;E6,ABS(B6-E6)&lt;K6*0.5),"2ND","1ST"))</f>
        <v/>
      </c>
      <c r="V6" s="16">
        <f>IF(OR(B6="",K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" s="16">
        <f>IF(OR(B6="",K6&lt;=0),"",IF(K6&gt;B6*0.05,"VOL-HIGH","VOL-NORMAL"))</f>
        <v/>
      </c>
      <c r="X6" s="16">
        <f>IF(OR(B6="",K6&lt;=0),"",IF(AND(L6="VOL-OK",W6="VOL-NORMAL",U6="2ND"),"OK","NG"))</f>
        <v/>
      </c>
      <c r="Y6" s="16">
        <f>IF(OR(B6="",K6&lt;=0),"",IF(AND(C6&gt;G6,D6&gt;H6),"UP",IF(AND(C6&lt;G6,D6&lt;H6),"DOWN","FLAT")))</f>
        <v/>
      </c>
    </row>
    <row r="7" ht="26" customHeight="1" s="1">
      <c r="A7" s="8">
        <f>IF('StockList_MS2'!A6="","",HYPERLINK("https://kabutan.jp/stock/?code="&amp;'StockList_MS2'!A6,'StockList_MS2'!A6))</f>
        <v/>
      </c>
      <c r="B7" s="9" t="n"/>
      <c r="C7" s="9" t="n"/>
      <c r="D7" s="9" t="n"/>
      <c r="E7" s="9" t="n"/>
      <c r="F7" s="10" t="n"/>
      <c r="G7" s="9" t="n"/>
      <c r="H7" s="9" t="n"/>
      <c r="I7" s="9" t="n"/>
      <c r="J7" s="11">
        <f>IF(B7="","",IF(B7&gt;I7,"BUY-DAY","SELL-DAY"))</f>
        <v/>
      </c>
      <c r="K7" s="12">
        <f>IF(B7="","",MAX(C7-D7,ABS(C7-I7),ABS(D7-I7)))</f>
        <v/>
      </c>
      <c r="L7" s="11">
        <f>IF(B7="","",IF(AND(F7&gt;0,F7&gt;(F7/3)*2.5),"VOL-OK","VOL-NG"))</f>
        <v/>
      </c>
      <c r="M7" s="11">
        <f>IF(B7="","",IF(B7&gt;G7,"ON","OFF"))</f>
        <v/>
      </c>
      <c r="N7" s="11">
        <f>IF(B7="","",IF(B7&lt;H7,"ON","OFF"))</f>
        <v/>
      </c>
      <c r="O7" s="11">
        <f>IF(OR(B7="",K7&lt;=0),"",IF(AND(J7="BUY-DAY",L7="VOL-OK",N7="ON",X7="OK",Y7&lt;&gt;"DOWN"),"BUY",IF(AND(J7="SELL-DAY",L7="VOL-OK",M7="ON",X7="OK",Y7&lt;&gt;"UP"),"SELL","")))</f>
        <v/>
      </c>
      <c r="P7" s="12">
        <f>IF(O7="","",B7)</f>
        <v/>
      </c>
      <c r="Q7" s="12">
        <f>IF(O7="","",IF(O7="BUY",B7-K7*1.5,B7+K7*1.5))</f>
        <v/>
      </c>
      <c r="R7" s="12">
        <f>IF(O7="","",IF(O7="BUY",B7+K7*1.5,B7-K7*1.5))</f>
        <v/>
      </c>
      <c r="S7" s="12">
        <f>IF(O7="","",IF(O7="BUY",B7+K7*2,B7-K7*2))</f>
        <v/>
      </c>
      <c r="T7" s="12">
        <f>IF(O7="","",IF(O7="BUY",B7+K7*3,B7-K7*3))</f>
        <v/>
      </c>
      <c r="U7" s="11">
        <f>IF(OR(B7="",K7&lt;=0),"",IF(AND(B7&gt;E7,ABS(B7-E7)&lt;K7*0.5),"2ND","1ST"))</f>
        <v/>
      </c>
      <c r="V7" s="11">
        <f>IF(OR(B7="",K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" s="11">
        <f>IF(OR(B7="",K7&lt;=0),"",IF(K7&gt;B7*0.05,"VOL-HIGH","VOL-NORMAL"))</f>
        <v/>
      </c>
      <c r="X7" s="11">
        <f>IF(OR(B7="",K7&lt;=0),"",IF(AND(L7="VOL-OK",W7="VOL-NORMAL",U7="2ND"),"OK","NG"))</f>
        <v/>
      </c>
      <c r="Y7" s="11">
        <f>IF(OR(B7="",K7&lt;=0),"",IF(AND(C7&gt;G7,D7&gt;H7),"UP",IF(AND(C7&lt;G7,D7&lt;H7),"DOWN","FLAT")))</f>
        <v/>
      </c>
    </row>
    <row r="8" ht="26" customHeight="1" s="1">
      <c r="A8" s="13">
        <f>IF('StockList_MS2'!A7="","",HYPERLINK("https://kabutan.jp/stock/?code="&amp;'StockList_MS2'!A7,'StockList_MS2'!A7))</f>
        <v/>
      </c>
      <c r="B8" s="14" t="n"/>
      <c r="C8" s="14" t="n"/>
      <c r="D8" s="14" t="n"/>
      <c r="E8" s="14" t="n"/>
      <c r="F8" s="15" t="n"/>
      <c r="G8" s="14" t="n"/>
      <c r="H8" s="14" t="n"/>
      <c r="I8" s="14" t="n"/>
      <c r="J8" s="16">
        <f>IF(B8="","",IF(B8&gt;I8,"BUY-DAY","SELL-DAY"))</f>
        <v/>
      </c>
      <c r="K8" s="17">
        <f>IF(B8="","",MAX(C8-D8,ABS(C8-I8),ABS(D8-I8)))</f>
        <v/>
      </c>
      <c r="L8" s="16">
        <f>IF(B8="","",IF(AND(F8&gt;0,F8&gt;(F8/3)*2.5),"VOL-OK","VOL-NG"))</f>
        <v/>
      </c>
      <c r="M8" s="16">
        <f>IF(B8="","",IF(B8&gt;G8,"ON","OFF"))</f>
        <v/>
      </c>
      <c r="N8" s="16">
        <f>IF(B8="","",IF(B8&lt;H8,"ON","OFF"))</f>
        <v/>
      </c>
      <c r="O8" s="16">
        <f>IF(OR(B8="",K8&lt;=0),"",IF(AND(J8="BUY-DAY",L8="VOL-OK",N8="ON",X8="OK",Y8&lt;&gt;"DOWN"),"BUY",IF(AND(J8="SELL-DAY",L8="VOL-OK",M8="ON",X8="OK",Y8&lt;&gt;"UP"),"SELL","")))</f>
        <v/>
      </c>
      <c r="P8" s="17">
        <f>IF(O8="","",B8)</f>
        <v/>
      </c>
      <c r="Q8" s="17">
        <f>IF(O8="","",IF(O8="BUY",B8-K8*1.5,B8+K8*1.5))</f>
        <v/>
      </c>
      <c r="R8" s="17">
        <f>IF(O8="","",IF(O8="BUY",B8+K8*1.5,B8-K8*1.5))</f>
        <v/>
      </c>
      <c r="S8" s="17">
        <f>IF(O8="","",IF(O8="BUY",B8+K8*2,B8-K8*2))</f>
        <v/>
      </c>
      <c r="T8" s="17">
        <f>IF(O8="","",IF(O8="BUY",B8+K8*3,B8-K8*3))</f>
        <v/>
      </c>
      <c r="U8" s="16">
        <f>IF(OR(B8="",K8&lt;=0),"",IF(AND(B8&gt;E8,ABS(B8-E8)&lt;K8*0.5),"2ND","1ST"))</f>
        <v/>
      </c>
      <c r="V8" s="16">
        <f>IF(OR(B8="",K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" s="16">
        <f>IF(OR(B8="",K8&lt;=0),"",IF(K8&gt;B8*0.05,"VOL-HIGH","VOL-NORMAL"))</f>
        <v/>
      </c>
      <c r="X8" s="16">
        <f>IF(OR(B8="",K8&lt;=0),"",IF(AND(L8="VOL-OK",W8="VOL-NORMAL",U8="2ND"),"OK","NG"))</f>
        <v/>
      </c>
      <c r="Y8" s="16">
        <f>IF(OR(B8="",K8&lt;=0),"",IF(AND(C8&gt;G8,D8&gt;H8),"UP",IF(AND(C8&lt;G8,D8&lt;H8),"DOWN","FLAT")))</f>
        <v/>
      </c>
    </row>
    <row r="9" ht="26" customHeight="1" s="1">
      <c r="A9" s="8">
        <f>IF('StockList_MS2'!A8="","",HYPERLINK("https://kabutan.jp/stock/?code="&amp;'StockList_MS2'!A8,'StockList_MS2'!A8))</f>
        <v/>
      </c>
      <c r="B9" s="9" t="n"/>
      <c r="C9" s="9" t="n"/>
      <c r="D9" s="9" t="n"/>
      <c r="E9" s="9" t="n"/>
      <c r="F9" s="10" t="n"/>
      <c r="G9" s="9" t="n"/>
      <c r="H9" s="9" t="n"/>
      <c r="I9" s="9" t="n"/>
      <c r="J9" s="11">
        <f>IF(B9="","",IF(B9&gt;I9,"BUY-DAY","SELL-DAY"))</f>
        <v/>
      </c>
      <c r="K9" s="12">
        <f>IF(B9="","",MAX(C9-D9,ABS(C9-I9),ABS(D9-I9)))</f>
        <v/>
      </c>
      <c r="L9" s="11">
        <f>IF(B9="","",IF(AND(F9&gt;0,F9&gt;(F9/3)*2.5),"VOL-OK","VOL-NG"))</f>
        <v/>
      </c>
      <c r="M9" s="11">
        <f>IF(B9="","",IF(B9&gt;G9,"ON","OFF"))</f>
        <v/>
      </c>
      <c r="N9" s="11">
        <f>IF(B9="","",IF(B9&lt;H9,"ON","OFF"))</f>
        <v/>
      </c>
      <c r="O9" s="11">
        <f>IF(OR(B9="",K9&lt;=0),"",IF(AND(J9="BUY-DAY",L9="VOL-OK",N9="ON",X9="OK",Y9&lt;&gt;"DOWN"),"BUY",IF(AND(J9="SELL-DAY",L9="VOL-OK",M9="ON",X9="OK",Y9&lt;&gt;"UP"),"SELL","")))</f>
        <v/>
      </c>
      <c r="P9" s="12">
        <f>IF(O9="","",B9)</f>
        <v/>
      </c>
      <c r="Q9" s="12">
        <f>IF(O9="","",IF(O9="BUY",B9-K9*1.5,B9+K9*1.5))</f>
        <v/>
      </c>
      <c r="R9" s="12">
        <f>IF(O9="","",IF(O9="BUY",B9+K9*1.5,B9-K9*1.5))</f>
        <v/>
      </c>
      <c r="S9" s="12">
        <f>IF(O9="","",IF(O9="BUY",B9+K9*2,B9-K9*2))</f>
        <v/>
      </c>
      <c r="T9" s="12">
        <f>IF(O9="","",IF(O9="BUY",B9+K9*3,B9-K9*3))</f>
        <v/>
      </c>
      <c r="U9" s="11">
        <f>IF(OR(B9="",K9&lt;=0),"",IF(AND(B9&gt;E9,ABS(B9-E9)&lt;K9*0.5),"2ND","1ST"))</f>
        <v/>
      </c>
      <c r="V9" s="11">
        <f>IF(OR(B9="",K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" s="11">
        <f>IF(OR(B9="",K9&lt;=0),"",IF(K9&gt;B9*0.05,"VOL-HIGH","VOL-NORMAL"))</f>
        <v/>
      </c>
      <c r="X9" s="11">
        <f>IF(OR(B9="",K9&lt;=0),"",IF(AND(L9="VOL-OK",W9="VOL-NORMAL",U9="2ND"),"OK","NG"))</f>
        <v/>
      </c>
      <c r="Y9" s="11">
        <f>IF(OR(B9="",K9&lt;=0),"",IF(AND(C9&gt;G9,D9&gt;H9),"UP",IF(AND(C9&lt;G9,D9&lt;H9),"DOWN","FLAT")))</f>
        <v/>
      </c>
    </row>
    <row r="10" ht="26" customHeight="1" s="1">
      <c r="A10" s="13">
        <f>IF('StockList_MS2'!A9="","",HYPERLINK("https://kabutan.jp/stock/?code="&amp;'StockList_MS2'!A9,'StockList_MS2'!A9))</f>
        <v/>
      </c>
      <c r="B10" s="14" t="n"/>
      <c r="C10" s="14" t="n"/>
      <c r="D10" s="14" t="n"/>
      <c r="E10" s="14" t="n"/>
      <c r="F10" s="15" t="n"/>
      <c r="G10" s="14" t="n"/>
      <c r="H10" s="14" t="n"/>
      <c r="I10" s="14" t="n"/>
      <c r="J10" s="16">
        <f>IF(B10="","",IF(B10&gt;I10,"BUY-DAY","SELL-DAY"))</f>
        <v/>
      </c>
      <c r="K10" s="17">
        <f>IF(B10="","",MAX(C10-D10,ABS(C10-I10),ABS(D10-I10)))</f>
        <v/>
      </c>
      <c r="L10" s="16">
        <f>IF(B10="","",IF(AND(F10&gt;0,F10&gt;(F10/3)*2.5),"VOL-OK","VOL-NG"))</f>
        <v/>
      </c>
      <c r="M10" s="16">
        <f>IF(B10="","",IF(B10&gt;G10,"ON","OFF"))</f>
        <v/>
      </c>
      <c r="N10" s="16">
        <f>IF(B10="","",IF(B10&lt;H10,"ON","OFF"))</f>
        <v/>
      </c>
      <c r="O10" s="16">
        <f>IF(OR(B10="",K10&lt;=0),"",IF(AND(J10="BUY-DAY",L10="VOL-OK",N10="ON",X10="OK",Y10&lt;&gt;"DOWN"),"BUY",IF(AND(J10="SELL-DAY",L10="VOL-OK",M10="ON",X10="OK",Y10&lt;&gt;"UP"),"SELL","")))</f>
        <v/>
      </c>
      <c r="P10" s="17">
        <f>IF(O10="","",B10)</f>
        <v/>
      </c>
      <c r="Q10" s="17">
        <f>IF(O10="","",IF(O10="BUY",B10-K10*1.5,B10+K10*1.5))</f>
        <v/>
      </c>
      <c r="R10" s="17">
        <f>IF(O10="","",IF(O10="BUY",B10+K10*1.5,B10-K10*1.5))</f>
        <v/>
      </c>
      <c r="S10" s="17">
        <f>IF(O10="","",IF(O10="BUY",B10+K10*2,B10-K10*2))</f>
        <v/>
      </c>
      <c r="T10" s="17">
        <f>IF(O10="","",IF(O10="BUY",B10+K10*3,B10-K10*3))</f>
        <v/>
      </c>
      <c r="U10" s="16">
        <f>IF(OR(B10="",K10&lt;=0),"",IF(AND(B10&gt;E10,ABS(B10-E10)&lt;K10*0.5),"2ND","1ST"))</f>
        <v/>
      </c>
      <c r="V10" s="16">
        <f>IF(OR(B10="",K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" s="16">
        <f>IF(OR(B10="",K10&lt;=0),"",IF(K10&gt;B10*0.05,"VOL-HIGH","VOL-NORMAL"))</f>
        <v/>
      </c>
      <c r="X10" s="16">
        <f>IF(OR(B10="",K10&lt;=0),"",IF(AND(L10="VOL-OK",W10="VOL-NORMAL",U10="2ND"),"OK","NG"))</f>
        <v/>
      </c>
      <c r="Y10" s="16">
        <f>IF(OR(B10="",K10&lt;=0),"",IF(AND(C10&gt;G10,D10&gt;H10),"UP",IF(AND(C10&lt;G10,D10&lt;H10),"DOWN","FLAT")))</f>
        <v/>
      </c>
    </row>
    <row r="11" ht="26" customHeight="1" s="1">
      <c r="A11" s="8">
        <f>IF('StockList_MS2'!A10="","",HYPERLINK("https://kabutan.jp/stock/?code="&amp;'StockList_MS2'!A10,'StockList_MS2'!A10))</f>
        <v/>
      </c>
      <c r="B11" s="9" t="n"/>
      <c r="C11" s="9" t="n"/>
      <c r="D11" s="9" t="n"/>
      <c r="E11" s="9" t="n"/>
      <c r="F11" s="10" t="n"/>
      <c r="G11" s="9" t="n"/>
      <c r="H11" s="9" t="n"/>
      <c r="I11" s="9" t="n"/>
      <c r="J11" s="11">
        <f>IF(B11="","",IF(B11&gt;I11,"BUY-DAY","SELL-DAY"))</f>
        <v/>
      </c>
      <c r="K11" s="12">
        <f>IF(B11="","",MAX(C11-D11,ABS(C11-I11),ABS(D11-I11)))</f>
        <v/>
      </c>
      <c r="L11" s="11">
        <f>IF(B11="","",IF(AND(F11&gt;0,F11&gt;(F11/3)*2.5),"VOL-OK","VOL-NG"))</f>
        <v/>
      </c>
      <c r="M11" s="11">
        <f>IF(B11="","",IF(B11&gt;G11,"ON","OFF"))</f>
        <v/>
      </c>
      <c r="N11" s="11">
        <f>IF(B11="","",IF(B11&lt;H11,"ON","OFF"))</f>
        <v/>
      </c>
      <c r="O11" s="11">
        <f>IF(OR(B11="",K11&lt;=0),"",IF(AND(J11="BUY-DAY",L11="VOL-OK",N11="ON",X11="OK",Y11&lt;&gt;"DOWN"),"BUY",IF(AND(J11="SELL-DAY",L11="VOL-OK",M11="ON",X11="OK",Y11&lt;&gt;"UP"),"SELL","")))</f>
        <v/>
      </c>
      <c r="P11" s="12">
        <f>IF(O11="","",B11)</f>
        <v/>
      </c>
      <c r="Q11" s="12">
        <f>IF(O11="","",IF(O11="BUY",B11-K11*1.5,B11+K11*1.5))</f>
        <v/>
      </c>
      <c r="R11" s="12">
        <f>IF(O11="","",IF(O11="BUY",B11+K11*1.5,B11-K11*1.5))</f>
        <v/>
      </c>
      <c r="S11" s="12">
        <f>IF(O11="","",IF(O11="BUY",B11+K11*2,B11-K11*2))</f>
        <v/>
      </c>
      <c r="T11" s="12">
        <f>IF(O11="","",IF(O11="BUY",B11+K11*3,B11-K11*3))</f>
        <v/>
      </c>
      <c r="U11" s="11">
        <f>IF(OR(B11="",K11&lt;=0),"",IF(AND(B11&gt;E11,ABS(B11-E11)&lt;K11*0.5),"2ND","1ST"))</f>
        <v/>
      </c>
      <c r="V11" s="11">
        <f>IF(OR(B11="",K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" s="11">
        <f>IF(OR(B11="",K11&lt;=0),"",IF(K11&gt;B11*0.05,"VOL-HIGH","VOL-NORMAL"))</f>
        <v/>
      </c>
      <c r="X11" s="11">
        <f>IF(OR(B11="",K11&lt;=0),"",IF(AND(L11="VOL-OK",W11="VOL-NORMAL",U11="2ND"),"OK","NG"))</f>
        <v/>
      </c>
      <c r="Y11" s="11">
        <f>IF(OR(B11="",K11&lt;=0),"",IF(AND(C11&gt;G11,D11&gt;H11),"UP",IF(AND(C11&lt;G11,D11&lt;H11),"DOWN","FLAT")))</f>
        <v/>
      </c>
    </row>
    <row r="12" ht="26" customHeight="1" s="1">
      <c r="A12" s="13">
        <f>IF('StockList_MS2'!A11="","",HYPERLINK("https://kabutan.jp/stock/?code="&amp;'StockList_MS2'!A11,'StockList_MS2'!A11))</f>
        <v/>
      </c>
      <c r="B12" s="14" t="n"/>
      <c r="C12" s="14" t="n"/>
      <c r="D12" s="14" t="n"/>
      <c r="E12" s="14" t="n"/>
      <c r="F12" s="15" t="n"/>
      <c r="G12" s="14" t="n"/>
      <c r="H12" s="14" t="n"/>
      <c r="I12" s="14" t="n"/>
      <c r="J12" s="16">
        <f>IF(B12="","",IF(B12&gt;I12,"BUY-DAY","SELL-DAY"))</f>
        <v/>
      </c>
      <c r="K12" s="17">
        <f>IF(B12="","",MAX(C12-D12,ABS(C12-I12),ABS(D12-I12)))</f>
        <v/>
      </c>
      <c r="L12" s="16">
        <f>IF(B12="","",IF(AND(F12&gt;0,F12&gt;(F12/3)*2.5),"VOL-OK","VOL-NG"))</f>
        <v/>
      </c>
      <c r="M12" s="16">
        <f>IF(B12="","",IF(B12&gt;G12,"ON","OFF"))</f>
        <v/>
      </c>
      <c r="N12" s="16">
        <f>IF(B12="","",IF(B12&lt;H12,"ON","OFF"))</f>
        <v/>
      </c>
      <c r="O12" s="16">
        <f>IF(OR(B12="",K12&lt;=0),"",IF(AND(J12="BUY-DAY",L12="VOL-OK",N12="ON",X12="OK",Y12&lt;&gt;"DOWN"),"BUY",IF(AND(J12="SELL-DAY",L12="VOL-OK",M12="ON",X12="OK",Y12&lt;&gt;"UP"),"SELL","")))</f>
        <v/>
      </c>
      <c r="P12" s="17">
        <f>IF(O12="","",B12)</f>
        <v/>
      </c>
      <c r="Q12" s="17">
        <f>IF(O12="","",IF(O12="BUY",B12-K12*1.5,B12+K12*1.5))</f>
        <v/>
      </c>
      <c r="R12" s="17">
        <f>IF(O12="","",IF(O12="BUY",B12+K12*1.5,B12-K12*1.5))</f>
        <v/>
      </c>
      <c r="S12" s="17">
        <f>IF(O12="","",IF(O12="BUY",B12+K12*2,B12-K12*2))</f>
        <v/>
      </c>
      <c r="T12" s="17">
        <f>IF(O12="","",IF(O12="BUY",B12+K12*3,B12-K12*3))</f>
        <v/>
      </c>
      <c r="U12" s="16">
        <f>IF(OR(B12="",K12&lt;=0),"",IF(AND(B12&gt;E12,ABS(B12-E12)&lt;K12*0.5),"2ND","1ST"))</f>
        <v/>
      </c>
      <c r="V12" s="16">
        <f>IF(OR(B12="",K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" s="16">
        <f>IF(OR(B12="",K12&lt;=0),"",IF(K12&gt;B12*0.05,"VOL-HIGH","VOL-NORMAL"))</f>
        <v/>
      </c>
      <c r="X12" s="16">
        <f>IF(OR(B12="",K12&lt;=0),"",IF(AND(L12="VOL-OK",W12="VOL-NORMAL",U12="2ND"),"OK","NG"))</f>
        <v/>
      </c>
      <c r="Y12" s="16">
        <f>IF(OR(B12="",K12&lt;=0),"",IF(AND(C12&gt;G12,D12&gt;H12),"UP",IF(AND(C12&lt;G12,D12&lt;H12),"DOWN","FLAT")))</f>
        <v/>
      </c>
    </row>
    <row r="13" ht="26" customHeight="1" s="1">
      <c r="A13" s="8">
        <f>IF('StockList_MS2'!A12="","",HYPERLINK("https://kabutan.jp/stock/?code="&amp;'StockList_MS2'!A12,'StockList_MS2'!A12))</f>
        <v/>
      </c>
      <c r="B13" s="9" t="n"/>
      <c r="C13" s="9" t="n"/>
      <c r="D13" s="9" t="n"/>
      <c r="E13" s="9" t="n"/>
      <c r="F13" s="10" t="n"/>
      <c r="G13" s="9" t="n"/>
      <c r="H13" s="9" t="n"/>
      <c r="I13" s="9" t="n"/>
      <c r="J13" s="11">
        <f>IF(B13="","",IF(B13&gt;I13,"BUY-DAY","SELL-DAY"))</f>
        <v/>
      </c>
      <c r="K13" s="12">
        <f>IF(B13="","",MAX(C13-D13,ABS(C13-I13),ABS(D13-I13)))</f>
        <v/>
      </c>
      <c r="L13" s="11">
        <f>IF(B13="","",IF(AND(F13&gt;0,F13&gt;(F13/3)*2.5),"VOL-OK","VOL-NG"))</f>
        <v/>
      </c>
      <c r="M13" s="11">
        <f>IF(B13="","",IF(B13&gt;G13,"ON","OFF"))</f>
        <v/>
      </c>
      <c r="N13" s="11">
        <f>IF(B13="","",IF(B13&lt;H13,"ON","OFF"))</f>
        <v/>
      </c>
      <c r="O13" s="11">
        <f>IF(OR(B13="",K13&lt;=0),"",IF(AND(J13="BUY-DAY",L13="VOL-OK",N13="ON",X13="OK",Y13&lt;&gt;"DOWN"),"BUY",IF(AND(J13="SELL-DAY",L13="VOL-OK",M13="ON",X13="OK",Y13&lt;&gt;"UP"),"SELL","")))</f>
        <v/>
      </c>
      <c r="P13" s="12">
        <f>IF(O13="","",B13)</f>
        <v/>
      </c>
      <c r="Q13" s="12">
        <f>IF(O13="","",IF(O13="BUY",B13-K13*1.5,B13+K13*1.5))</f>
        <v/>
      </c>
      <c r="R13" s="12">
        <f>IF(O13="","",IF(O13="BUY",B13+K13*1.5,B13-K13*1.5))</f>
        <v/>
      </c>
      <c r="S13" s="12">
        <f>IF(O13="","",IF(O13="BUY",B13+K13*2,B13-K13*2))</f>
        <v/>
      </c>
      <c r="T13" s="12">
        <f>IF(O13="","",IF(O13="BUY",B13+K13*3,B13-K13*3))</f>
        <v/>
      </c>
      <c r="U13" s="11">
        <f>IF(OR(B13="",K13&lt;=0),"",IF(AND(B13&gt;E13,ABS(B13-E13)&lt;K13*0.5),"2ND","1ST"))</f>
        <v/>
      </c>
      <c r="V13" s="11">
        <f>IF(OR(B13="",K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" s="11">
        <f>IF(OR(B13="",K13&lt;=0),"",IF(K13&gt;B13*0.05,"VOL-HIGH","VOL-NORMAL"))</f>
        <v/>
      </c>
      <c r="X13" s="11">
        <f>IF(OR(B13="",K13&lt;=0),"",IF(AND(L13="VOL-OK",W13="VOL-NORMAL",U13="2ND"),"OK","NG"))</f>
        <v/>
      </c>
      <c r="Y13" s="11">
        <f>IF(OR(B13="",K13&lt;=0),"",IF(AND(C13&gt;G13,D13&gt;H13),"UP",IF(AND(C13&lt;G13,D13&lt;H13),"DOWN","FLAT")))</f>
        <v/>
      </c>
    </row>
    <row r="14" ht="26" customHeight="1" s="1">
      <c r="A14" s="13">
        <f>IF('StockList_MS2'!A13="","",HYPERLINK("https://kabutan.jp/stock/?code="&amp;'StockList_MS2'!A13,'StockList_MS2'!A13))</f>
        <v/>
      </c>
      <c r="B14" s="14" t="n"/>
      <c r="C14" s="14" t="n"/>
      <c r="D14" s="14" t="n"/>
      <c r="E14" s="14" t="n"/>
      <c r="F14" s="15" t="n"/>
      <c r="G14" s="14" t="n"/>
      <c r="H14" s="14" t="n"/>
      <c r="I14" s="14" t="n"/>
      <c r="J14" s="16">
        <f>IF(B14="","",IF(B14&gt;I14,"BUY-DAY","SELL-DAY"))</f>
        <v/>
      </c>
      <c r="K14" s="17">
        <f>IF(B14="","",MAX(C14-D14,ABS(C14-I14),ABS(D14-I14)))</f>
        <v/>
      </c>
      <c r="L14" s="16">
        <f>IF(B14="","",IF(AND(F14&gt;0,F14&gt;(F14/3)*2.5),"VOL-OK","VOL-NG"))</f>
        <v/>
      </c>
      <c r="M14" s="16">
        <f>IF(B14="","",IF(B14&gt;G14,"ON","OFF"))</f>
        <v/>
      </c>
      <c r="N14" s="16">
        <f>IF(B14="","",IF(B14&lt;H14,"ON","OFF"))</f>
        <v/>
      </c>
      <c r="O14" s="16">
        <f>IF(OR(B14="",K14&lt;=0),"",IF(AND(J14="BUY-DAY",L14="VOL-OK",N14="ON",X14="OK",Y14&lt;&gt;"DOWN"),"BUY",IF(AND(J14="SELL-DAY",L14="VOL-OK",M14="ON",X14="OK",Y14&lt;&gt;"UP"),"SELL","")))</f>
        <v/>
      </c>
      <c r="P14" s="17">
        <f>IF(O14="","",B14)</f>
        <v/>
      </c>
      <c r="Q14" s="17">
        <f>IF(O14="","",IF(O14="BUY",B14-K14*1.5,B14+K14*1.5))</f>
        <v/>
      </c>
      <c r="R14" s="17">
        <f>IF(O14="","",IF(O14="BUY",B14+K14*1.5,B14-K14*1.5))</f>
        <v/>
      </c>
      <c r="S14" s="17">
        <f>IF(O14="","",IF(O14="BUY",B14+K14*2,B14-K14*2))</f>
        <v/>
      </c>
      <c r="T14" s="17">
        <f>IF(O14="","",IF(O14="BUY",B14+K14*3,B14-K14*3))</f>
        <v/>
      </c>
      <c r="U14" s="16">
        <f>IF(OR(B14="",K14&lt;=0),"",IF(AND(B14&gt;E14,ABS(B14-E14)&lt;K14*0.5),"2ND","1ST"))</f>
        <v/>
      </c>
      <c r="V14" s="16">
        <f>IF(OR(B14="",K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" s="16">
        <f>IF(OR(B14="",K14&lt;=0),"",IF(K14&gt;B14*0.05,"VOL-HIGH","VOL-NORMAL"))</f>
        <v/>
      </c>
      <c r="X14" s="16">
        <f>IF(OR(B14="",K14&lt;=0),"",IF(AND(L14="VOL-OK",W14="VOL-NORMAL",U14="2ND"),"OK","NG"))</f>
        <v/>
      </c>
      <c r="Y14" s="16">
        <f>IF(OR(B14="",K14&lt;=0),"",IF(AND(C14&gt;G14,D14&gt;H14),"UP",IF(AND(C14&lt;G14,D14&lt;H14),"DOWN","FLAT")))</f>
        <v/>
      </c>
    </row>
    <row r="15" ht="26" customHeight="1" s="1">
      <c r="A15" s="8">
        <f>IF('StockList_MS2'!A14="","",HYPERLINK("https://kabutan.jp/stock/?code="&amp;'StockList_MS2'!A14,'StockList_MS2'!A14))</f>
        <v/>
      </c>
      <c r="B15" s="9" t="n"/>
      <c r="C15" s="9" t="n"/>
      <c r="D15" s="9" t="n"/>
      <c r="E15" s="9" t="n"/>
      <c r="F15" s="10" t="n"/>
      <c r="G15" s="9" t="n"/>
      <c r="H15" s="9" t="n"/>
      <c r="I15" s="9" t="n"/>
      <c r="J15" s="11">
        <f>IF(B15="","",IF(B15&gt;I15,"BUY-DAY","SELL-DAY"))</f>
        <v/>
      </c>
      <c r="K15" s="12">
        <f>IF(B15="","",MAX(C15-D15,ABS(C15-I15),ABS(D15-I15)))</f>
        <v/>
      </c>
      <c r="L15" s="11">
        <f>IF(B15="","",IF(AND(F15&gt;0,F15&gt;(F15/3)*2.5),"VOL-OK","VOL-NG"))</f>
        <v/>
      </c>
      <c r="M15" s="11">
        <f>IF(B15="","",IF(B15&gt;G15,"ON","OFF"))</f>
        <v/>
      </c>
      <c r="N15" s="11">
        <f>IF(B15="","",IF(B15&lt;H15,"ON","OFF"))</f>
        <v/>
      </c>
      <c r="O15" s="11">
        <f>IF(OR(B15="",K15&lt;=0),"",IF(AND(J15="BUY-DAY",L15="VOL-OK",N15="ON",X15="OK",Y15&lt;&gt;"DOWN"),"BUY",IF(AND(J15="SELL-DAY",L15="VOL-OK",M15="ON",X15="OK",Y15&lt;&gt;"UP"),"SELL","")))</f>
        <v/>
      </c>
      <c r="P15" s="12">
        <f>IF(O15="","",B15)</f>
        <v/>
      </c>
      <c r="Q15" s="12">
        <f>IF(O15="","",IF(O15="BUY",B15-K15*1.5,B15+K15*1.5))</f>
        <v/>
      </c>
      <c r="R15" s="12">
        <f>IF(O15="","",IF(O15="BUY",B15+K15*1.5,B15-K15*1.5))</f>
        <v/>
      </c>
      <c r="S15" s="12">
        <f>IF(O15="","",IF(O15="BUY",B15+K15*2,B15-K15*2))</f>
        <v/>
      </c>
      <c r="T15" s="12">
        <f>IF(O15="","",IF(O15="BUY",B15+K15*3,B15-K15*3))</f>
        <v/>
      </c>
      <c r="U15" s="11">
        <f>IF(OR(B15="",K15&lt;=0),"",IF(AND(B15&gt;E15,ABS(B15-E15)&lt;K15*0.5),"2ND","1ST"))</f>
        <v/>
      </c>
      <c r="V15" s="11">
        <f>IF(OR(B15="",K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" s="11">
        <f>IF(OR(B15="",K15&lt;=0),"",IF(K15&gt;B15*0.05,"VOL-HIGH","VOL-NORMAL"))</f>
        <v/>
      </c>
      <c r="X15" s="11">
        <f>IF(OR(B15="",K15&lt;=0),"",IF(AND(L15="VOL-OK",W15="VOL-NORMAL",U15="2ND"),"OK","NG"))</f>
        <v/>
      </c>
      <c r="Y15" s="11">
        <f>IF(OR(B15="",K15&lt;=0),"",IF(AND(C15&gt;G15,D15&gt;H15),"UP",IF(AND(C15&lt;G15,D15&lt;H15),"DOWN","FLAT")))</f>
        <v/>
      </c>
    </row>
    <row r="16" ht="26" customHeight="1" s="1">
      <c r="A16" s="13">
        <f>IF('StockList_MS2'!A15="","",HYPERLINK("https://kabutan.jp/stock/?code="&amp;'StockList_MS2'!A15,'StockList_MS2'!A15))</f>
        <v/>
      </c>
      <c r="B16" s="14" t="n"/>
      <c r="C16" s="14" t="n"/>
      <c r="D16" s="14" t="n"/>
      <c r="E16" s="14" t="n"/>
      <c r="F16" s="15" t="n"/>
      <c r="G16" s="14" t="n"/>
      <c r="H16" s="14" t="n"/>
      <c r="I16" s="14" t="n"/>
      <c r="J16" s="16">
        <f>IF(B16="","",IF(B16&gt;I16,"BUY-DAY","SELL-DAY"))</f>
        <v/>
      </c>
      <c r="K16" s="17">
        <f>IF(B16="","",MAX(C16-D16,ABS(C16-I16),ABS(D16-I16)))</f>
        <v/>
      </c>
      <c r="L16" s="16">
        <f>IF(B16="","",IF(AND(F16&gt;0,F16&gt;(F16/3)*2.5),"VOL-OK","VOL-NG"))</f>
        <v/>
      </c>
      <c r="M16" s="16">
        <f>IF(B16="","",IF(B16&gt;G16,"ON","OFF"))</f>
        <v/>
      </c>
      <c r="N16" s="16">
        <f>IF(B16="","",IF(B16&lt;H16,"ON","OFF"))</f>
        <v/>
      </c>
      <c r="O16" s="16">
        <f>IF(OR(B16="",K16&lt;=0),"",IF(AND(J16="BUY-DAY",L16="VOL-OK",N16="ON",X16="OK",Y16&lt;&gt;"DOWN"),"BUY",IF(AND(J16="SELL-DAY",L16="VOL-OK",M16="ON",X16="OK",Y16&lt;&gt;"UP"),"SELL","")))</f>
        <v/>
      </c>
      <c r="P16" s="17">
        <f>IF(O16="","",B16)</f>
        <v/>
      </c>
      <c r="Q16" s="17">
        <f>IF(O16="","",IF(O16="BUY",B16-K16*1.5,B16+K16*1.5))</f>
        <v/>
      </c>
      <c r="R16" s="17">
        <f>IF(O16="","",IF(O16="BUY",B16+K16*1.5,B16-K16*1.5))</f>
        <v/>
      </c>
      <c r="S16" s="17">
        <f>IF(O16="","",IF(O16="BUY",B16+K16*2,B16-K16*2))</f>
        <v/>
      </c>
      <c r="T16" s="17">
        <f>IF(O16="","",IF(O16="BUY",B16+K16*3,B16-K16*3))</f>
        <v/>
      </c>
      <c r="U16" s="16">
        <f>IF(OR(B16="",K16&lt;=0),"",IF(AND(B16&gt;E16,ABS(B16-E16)&lt;K16*0.5),"2ND","1ST"))</f>
        <v/>
      </c>
      <c r="V16" s="16">
        <f>IF(OR(B16="",K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" s="16">
        <f>IF(OR(B16="",K16&lt;=0),"",IF(K16&gt;B16*0.05,"VOL-HIGH","VOL-NORMAL"))</f>
        <v/>
      </c>
      <c r="X16" s="16">
        <f>IF(OR(B16="",K16&lt;=0),"",IF(AND(L16="VOL-OK",W16="VOL-NORMAL",U16="2ND"),"OK","NG"))</f>
        <v/>
      </c>
      <c r="Y16" s="16">
        <f>IF(OR(B16="",K16&lt;=0),"",IF(AND(C16&gt;G16,D16&gt;H16),"UP",IF(AND(C16&lt;G16,D16&lt;H16),"DOWN","FLAT")))</f>
        <v/>
      </c>
    </row>
    <row r="17" ht="26" customHeight="1" s="1">
      <c r="A17" s="8">
        <f>IF('StockList_MS2'!A16="","",HYPERLINK("https://kabutan.jp/stock/?code="&amp;'StockList_MS2'!A16,'StockList_MS2'!A16))</f>
        <v/>
      </c>
      <c r="B17" s="9" t="n"/>
      <c r="C17" s="9" t="n"/>
      <c r="D17" s="9" t="n"/>
      <c r="E17" s="9" t="n"/>
      <c r="F17" s="10" t="n"/>
      <c r="G17" s="9" t="n"/>
      <c r="H17" s="9" t="n"/>
      <c r="I17" s="9" t="n"/>
      <c r="J17" s="11">
        <f>IF(B17="","",IF(B17&gt;I17,"BUY-DAY","SELL-DAY"))</f>
        <v/>
      </c>
      <c r="K17" s="12">
        <f>IF(B17="","",MAX(C17-D17,ABS(C17-I17),ABS(D17-I17)))</f>
        <v/>
      </c>
      <c r="L17" s="11">
        <f>IF(B17="","",IF(AND(F17&gt;0,F17&gt;(F17/3)*2.5),"VOL-OK","VOL-NG"))</f>
        <v/>
      </c>
      <c r="M17" s="11">
        <f>IF(B17="","",IF(B17&gt;G17,"ON","OFF"))</f>
        <v/>
      </c>
      <c r="N17" s="11">
        <f>IF(B17="","",IF(B17&lt;H17,"ON","OFF"))</f>
        <v/>
      </c>
      <c r="O17" s="11">
        <f>IF(OR(B17="",K17&lt;=0),"",IF(AND(J17="BUY-DAY",L17="VOL-OK",N17="ON",X17="OK",Y17&lt;&gt;"DOWN"),"BUY",IF(AND(J17="SELL-DAY",L17="VOL-OK",M17="ON",X17="OK",Y17&lt;&gt;"UP"),"SELL","")))</f>
        <v/>
      </c>
      <c r="P17" s="12">
        <f>IF(O17="","",B17)</f>
        <v/>
      </c>
      <c r="Q17" s="12">
        <f>IF(O17="","",IF(O17="BUY",B17-K17*1.5,B17+K17*1.5))</f>
        <v/>
      </c>
      <c r="R17" s="12">
        <f>IF(O17="","",IF(O17="BUY",B17+K17*1.5,B17-K17*1.5))</f>
        <v/>
      </c>
      <c r="S17" s="12">
        <f>IF(O17="","",IF(O17="BUY",B17+K17*2,B17-K17*2))</f>
        <v/>
      </c>
      <c r="T17" s="12">
        <f>IF(O17="","",IF(O17="BUY",B17+K17*3,B17-K17*3))</f>
        <v/>
      </c>
      <c r="U17" s="11">
        <f>IF(OR(B17="",K17&lt;=0),"",IF(AND(B17&gt;E17,ABS(B17-E17)&lt;K17*0.5),"2ND","1ST"))</f>
        <v/>
      </c>
      <c r="V17" s="11">
        <f>IF(OR(B17="",K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" s="11">
        <f>IF(OR(B17="",K17&lt;=0),"",IF(K17&gt;B17*0.05,"VOL-HIGH","VOL-NORMAL"))</f>
        <v/>
      </c>
      <c r="X17" s="11">
        <f>IF(OR(B17="",K17&lt;=0),"",IF(AND(L17="VOL-OK",W17="VOL-NORMAL",U17="2ND"),"OK","NG"))</f>
        <v/>
      </c>
      <c r="Y17" s="11">
        <f>IF(OR(B17="",K17&lt;=0),"",IF(AND(C17&gt;G17,D17&gt;H17),"UP",IF(AND(C17&lt;G17,D17&lt;H17),"DOWN","FLAT")))</f>
        <v/>
      </c>
    </row>
    <row r="18" ht="26" customHeight="1" s="1">
      <c r="A18" s="13">
        <f>IF('StockList_MS2'!A17="","",HYPERLINK("https://kabutan.jp/stock/?code="&amp;'StockList_MS2'!A17,'StockList_MS2'!A17))</f>
        <v/>
      </c>
      <c r="B18" s="14" t="n"/>
      <c r="C18" s="14" t="n"/>
      <c r="D18" s="14" t="n"/>
      <c r="E18" s="14" t="n"/>
      <c r="F18" s="15" t="n"/>
      <c r="G18" s="14" t="n"/>
      <c r="H18" s="14" t="n"/>
      <c r="I18" s="14" t="n"/>
      <c r="J18" s="16">
        <f>IF(B18="","",IF(B18&gt;I18,"BUY-DAY","SELL-DAY"))</f>
        <v/>
      </c>
      <c r="K18" s="17">
        <f>IF(B18="","",MAX(C18-D18,ABS(C18-I18),ABS(D18-I18)))</f>
        <v/>
      </c>
      <c r="L18" s="16">
        <f>IF(B18="","",IF(AND(F18&gt;0,F18&gt;(F18/3)*2.5),"VOL-OK","VOL-NG"))</f>
        <v/>
      </c>
      <c r="M18" s="16">
        <f>IF(B18="","",IF(B18&gt;G18,"ON","OFF"))</f>
        <v/>
      </c>
      <c r="N18" s="16">
        <f>IF(B18="","",IF(B18&lt;H18,"ON","OFF"))</f>
        <v/>
      </c>
      <c r="O18" s="16">
        <f>IF(OR(B18="",K18&lt;=0),"",IF(AND(J18="BUY-DAY",L18="VOL-OK",N18="ON",X18="OK",Y18&lt;&gt;"DOWN"),"BUY",IF(AND(J18="SELL-DAY",L18="VOL-OK",M18="ON",X18="OK",Y18&lt;&gt;"UP"),"SELL","")))</f>
        <v/>
      </c>
      <c r="P18" s="17">
        <f>IF(O18="","",B18)</f>
        <v/>
      </c>
      <c r="Q18" s="17">
        <f>IF(O18="","",IF(O18="BUY",B18-K18*1.5,B18+K18*1.5))</f>
        <v/>
      </c>
      <c r="R18" s="17">
        <f>IF(O18="","",IF(O18="BUY",B18+K18*1.5,B18-K18*1.5))</f>
        <v/>
      </c>
      <c r="S18" s="17">
        <f>IF(O18="","",IF(O18="BUY",B18+K18*2,B18-K18*2))</f>
        <v/>
      </c>
      <c r="T18" s="17">
        <f>IF(O18="","",IF(O18="BUY",B18+K18*3,B18-K18*3))</f>
        <v/>
      </c>
      <c r="U18" s="16">
        <f>IF(OR(B18="",K18&lt;=0),"",IF(AND(B18&gt;E18,ABS(B18-E18)&lt;K18*0.5),"2ND","1ST"))</f>
        <v/>
      </c>
      <c r="V18" s="16">
        <f>IF(OR(B18="",K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" s="16">
        <f>IF(OR(B18="",K18&lt;=0),"",IF(K18&gt;B18*0.05,"VOL-HIGH","VOL-NORMAL"))</f>
        <v/>
      </c>
      <c r="X18" s="16">
        <f>IF(OR(B18="",K18&lt;=0),"",IF(AND(L18="VOL-OK",W18="VOL-NORMAL",U18="2ND"),"OK","NG"))</f>
        <v/>
      </c>
      <c r="Y18" s="16">
        <f>IF(OR(B18="",K18&lt;=0),"",IF(AND(C18&gt;G18,D18&gt;H18),"UP",IF(AND(C18&lt;G18,D18&lt;H18),"DOWN","FLAT")))</f>
        <v/>
      </c>
    </row>
    <row r="19" ht="26" customHeight="1" s="1">
      <c r="A19" s="8">
        <f>IF('StockList_MS2'!A18="","",HYPERLINK("https://kabutan.jp/stock/?code="&amp;'StockList_MS2'!A18,'StockList_MS2'!A18))</f>
        <v/>
      </c>
      <c r="B19" s="9" t="n"/>
      <c r="C19" s="9" t="n"/>
      <c r="D19" s="9" t="n"/>
      <c r="E19" s="9" t="n"/>
      <c r="F19" s="10" t="n"/>
      <c r="G19" s="9" t="n"/>
      <c r="H19" s="9" t="n"/>
      <c r="I19" s="9" t="n"/>
      <c r="J19" s="11">
        <f>IF(B19="","",IF(B19&gt;I19,"BUY-DAY","SELL-DAY"))</f>
        <v/>
      </c>
      <c r="K19" s="12">
        <f>IF(B19="","",MAX(C19-D19,ABS(C19-I19),ABS(D19-I19)))</f>
        <v/>
      </c>
      <c r="L19" s="11">
        <f>IF(B19="","",IF(AND(F19&gt;0,F19&gt;(F19/3)*2.5),"VOL-OK","VOL-NG"))</f>
        <v/>
      </c>
      <c r="M19" s="11">
        <f>IF(B19="","",IF(B19&gt;G19,"ON","OFF"))</f>
        <v/>
      </c>
      <c r="N19" s="11">
        <f>IF(B19="","",IF(B19&lt;H19,"ON","OFF"))</f>
        <v/>
      </c>
      <c r="O19" s="11">
        <f>IF(OR(B19="",K19&lt;=0),"",IF(AND(J19="BUY-DAY",L19="VOL-OK",N19="ON",X19="OK",Y19&lt;&gt;"DOWN"),"BUY",IF(AND(J19="SELL-DAY",L19="VOL-OK",M19="ON",X19="OK",Y19&lt;&gt;"UP"),"SELL","")))</f>
        <v/>
      </c>
      <c r="P19" s="12">
        <f>IF(O19="","",B19)</f>
        <v/>
      </c>
      <c r="Q19" s="12">
        <f>IF(O19="","",IF(O19="BUY",B19-K19*1.5,B19+K19*1.5))</f>
        <v/>
      </c>
      <c r="R19" s="12">
        <f>IF(O19="","",IF(O19="BUY",B19+K19*1.5,B19-K19*1.5))</f>
        <v/>
      </c>
      <c r="S19" s="12">
        <f>IF(O19="","",IF(O19="BUY",B19+K19*2,B19-K19*2))</f>
        <v/>
      </c>
      <c r="T19" s="12">
        <f>IF(O19="","",IF(O19="BUY",B19+K19*3,B19-K19*3))</f>
        <v/>
      </c>
      <c r="U19" s="11">
        <f>IF(OR(B19="",K19&lt;=0),"",IF(AND(B19&gt;E19,ABS(B19-E19)&lt;K19*0.5),"2ND","1ST"))</f>
        <v/>
      </c>
      <c r="V19" s="11">
        <f>IF(OR(B19="",K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" s="11">
        <f>IF(OR(B19="",K19&lt;=0),"",IF(K19&gt;B19*0.05,"VOL-HIGH","VOL-NORMAL"))</f>
        <v/>
      </c>
      <c r="X19" s="11">
        <f>IF(OR(B19="",K19&lt;=0),"",IF(AND(L19="VOL-OK",W19="VOL-NORMAL",U19="2ND"),"OK","NG"))</f>
        <v/>
      </c>
      <c r="Y19" s="11">
        <f>IF(OR(B19="",K19&lt;=0),"",IF(AND(C19&gt;G19,D19&gt;H19),"UP",IF(AND(C19&lt;G19,D19&lt;H19),"DOWN","FLAT")))</f>
        <v/>
      </c>
    </row>
    <row r="20" ht="26" customHeight="1" s="1">
      <c r="A20" s="13">
        <f>IF('StockList_MS2'!A19="","",HYPERLINK("https://kabutan.jp/stock/?code="&amp;'StockList_MS2'!A19,'StockList_MS2'!A19))</f>
        <v/>
      </c>
      <c r="B20" s="14" t="n"/>
      <c r="C20" s="14" t="n"/>
      <c r="D20" s="14" t="n"/>
      <c r="E20" s="14" t="n"/>
      <c r="F20" s="15" t="n"/>
      <c r="G20" s="14" t="n"/>
      <c r="H20" s="14" t="n"/>
      <c r="I20" s="14" t="n"/>
      <c r="J20" s="16">
        <f>IF(B20="","",IF(B20&gt;I20,"BUY-DAY","SELL-DAY"))</f>
        <v/>
      </c>
      <c r="K20" s="17">
        <f>IF(B20="","",MAX(C20-D20,ABS(C20-I20),ABS(D20-I20)))</f>
        <v/>
      </c>
      <c r="L20" s="16">
        <f>IF(B20="","",IF(AND(F20&gt;0,F20&gt;(F20/3)*2.5),"VOL-OK","VOL-NG"))</f>
        <v/>
      </c>
      <c r="M20" s="16">
        <f>IF(B20="","",IF(B20&gt;G20,"ON","OFF"))</f>
        <v/>
      </c>
      <c r="N20" s="16">
        <f>IF(B20="","",IF(B20&lt;H20,"ON","OFF"))</f>
        <v/>
      </c>
      <c r="O20" s="16">
        <f>IF(OR(B20="",K20&lt;=0),"",IF(AND(J20="BUY-DAY",L20="VOL-OK",N20="ON",X20="OK",Y20&lt;&gt;"DOWN"),"BUY",IF(AND(J20="SELL-DAY",L20="VOL-OK",M20="ON",X20="OK",Y20&lt;&gt;"UP"),"SELL","")))</f>
        <v/>
      </c>
      <c r="P20" s="17">
        <f>IF(O20="","",B20)</f>
        <v/>
      </c>
      <c r="Q20" s="17">
        <f>IF(O20="","",IF(O20="BUY",B20-K20*1.5,B20+K20*1.5))</f>
        <v/>
      </c>
      <c r="R20" s="17">
        <f>IF(O20="","",IF(O20="BUY",B20+K20*1.5,B20-K20*1.5))</f>
        <v/>
      </c>
      <c r="S20" s="17">
        <f>IF(O20="","",IF(O20="BUY",B20+K20*2,B20-K20*2))</f>
        <v/>
      </c>
      <c r="T20" s="17">
        <f>IF(O20="","",IF(O20="BUY",B20+K20*3,B20-K20*3))</f>
        <v/>
      </c>
      <c r="U20" s="16">
        <f>IF(OR(B20="",K20&lt;=0),"",IF(AND(B20&gt;E20,ABS(B20-E20)&lt;K20*0.5),"2ND","1ST"))</f>
        <v/>
      </c>
      <c r="V20" s="16">
        <f>IF(OR(B20="",K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" s="16">
        <f>IF(OR(B20="",K20&lt;=0),"",IF(K20&gt;B20*0.05,"VOL-HIGH","VOL-NORMAL"))</f>
        <v/>
      </c>
      <c r="X20" s="16">
        <f>IF(OR(B20="",K20&lt;=0),"",IF(AND(L20="VOL-OK",W20="VOL-NORMAL",U20="2ND"),"OK","NG"))</f>
        <v/>
      </c>
      <c r="Y20" s="16">
        <f>IF(OR(B20="",K20&lt;=0),"",IF(AND(C20&gt;G20,D20&gt;H20),"UP",IF(AND(C20&lt;G20,D20&lt;H20),"DOWN","FLAT")))</f>
        <v/>
      </c>
    </row>
    <row r="21" ht="26" customHeight="1" s="1">
      <c r="A21" s="8">
        <f>IF('StockList_MS2'!A20="","",HYPERLINK("https://kabutan.jp/stock/?code="&amp;'StockList_MS2'!A20,'StockList_MS2'!A20))</f>
        <v/>
      </c>
      <c r="B21" s="9" t="n"/>
      <c r="C21" s="9" t="n"/>
      <c r="D21" s="9" t="n"/>
      <c r="E21" s="9" t="n"/>
      <c r="F21" s="10" t="n"/>
      <c r="G21" s="9" t="n"/>
      <c r="H21" s="9" t="n"/>
      <c r="I21" s="9" t="n"/>
      <c r="J21" s="11">
        <f>IF(B21="","",IF(B21&gt;I21,"BUY-DAY","SELL-DAY"))</f>
        <v/>
      </c>
      <c r="K21" s="12">
        <f>IF(B21="","",MAX(C21-D21,ABS(C21-I21),ABS(D21-I21)))</f>
        <v/>
      </c>
      <c r="L21" s="11">
        <f>IF(B21="","",IF(AND(F21&gt;0,F21&gt;(F21/3)*2.5),"VOL-OK","VOL-NG"))</f>
        <v/>
      </c>
      <c r="M21" s="11">
        <f>IF(B21="","",IF(B21&gt;G21,"ON","OFF"))</f>
        <v/>
      </c>
      <c r="N21" s="11">
        <f>IF(B21="","",IF(B21&lt;H21,"ON","OFF"))</f>
        <v/>
      </c>
      <c r="O21" s="11">
        <f>IF(OR(B21="",K21&lt;=0),"",IF(AND(J21="BUY-DAY",L21="VOL-OK",N21="ON",X21="OK",Y21&lt;&gt;"DOWN"),"BUY",IF(AND(J21="SELL-DAY",L21="VOL-OK",M21="ON",X21="OK",Y21&lt;&gt;"UP"),"SELL","")))</f>
        <v/>
      </c>
      <c r="P21" s="12">
        <f>IF(O21="","",B21)</f>
        <v/>
      </c>
      <c r="Q21" s="12">
        <f>IF(O21="","",IF(O21="BUY",B21-K21*1.5,B21+K21*1.5))</f>
        <v/>
      </c>
      <c r="R21" s="12">
        <f>IF(O21="","",IF(O21="BUY",B21+K21*1.5,B21-K21*1.5))</f>
        <v/>
      </c>
      <c r="S21" s="12">
        <f>IF(O21="","",IF(O21="BUY",B21+K21*2,B21-K21*2))</f>
        <v/>
      </c>
      <c r="T21" s="12">
        <f>IF(O21="","",IF(O21="BUY",B21+K21*3,B21-K21*3))</f>
        <v/>
      </c>
      <c r="U21" s="11">
        <f>IF(OR(B21="",K21&lt;=0),"",IF(AND(B21&gt;E21,ABS(B21-E21)&lt;K21*0.5),"2ND","1ST"))</f>
        <v/>
      </c>
      <c r="V21" s="11">
        <f>IF(OR(B21="",K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" s="11">
        <f>IF(OR(B21="",K21&lt;=0),"",IF(K21&gt;B21*0.05,"VOL-HIGH","VOL-NORMAL"))</f>
        <v/>
      </c>
      <c r="X21" s="11">
        <f>IF(OR(B21="",K21&lt;=0),"",IF(AND(L21="VOL-OK",W21="VOL-NORMAL",U21="2ND"),"OK","NG"))</f>
        <v/>
      </c>
      <c r="Y21" s="11">
        <f>IF(OR(B21="",K21&lt;=0),"",IF(AND(C21&gt;G21,D21&gt;H21),"UP",IF(AND(C21&lt;G21,D21&lt;H21),"DOWN","FLAT")))</f>
        <v/>
      </c>
    </row>
    <row r="22" ht="26" customHeight="1" s="1">
      <c r="A22" s="13">
        <f>IF('StockList_MS2'!A21="","",HYPERLINK("https://kabutan.jp/stock/?code="&amp;'StockList_MS2'!A21,'StockList_MS2'!A21))</f>
        <v/>
      </c>
      <c r="B22" s="14" t="n"/>
      <c r="C22" s="14" t="n"/>
      <c r="D22" s="14" t="n"/>
      <c r="E22" s="14" t="n"/>
      <c r="F22" s="15" t="n"/>
      <c r="G22" s="14" t="n"/>
      <c r="H22" s="14" t="n"/>
      <c r="I22" s="14" t="n"/>
      <c r="J22" s="16">
        <f>IF(B22="","",IF(B22&gt;I22,"BUY-DAY","SELL-DAY"))</f>
        <v/>
      </c>
      <c r="K22" s="17">
        <f>IF(B22="","",MAX(C22-D22,ABS(C22-I22),ABS(D22-I22)))</f>
        <v/>
      </c>
      <c r="L22" s="16">
        <f>IF(B22="","",IF(AND(F22&gt;0,F22&gt;(F22/3)*2.5),"VOL-OK","VOL-NG"))</f>
        <v/>
      </c>
      <c r="M22" s="16">
        <f>IF(B22="","",IF(B22&gt;G22,"ON","OFF"))</f>
        <v/>
      </c>
      <c r="N22" s="16">
        <f>IF(B22="","",IF(B22&lt;H22,"ON","OFF"))</f>
        <v/>
      </c>
      <c r="O22" s="16">
        <f>IF(OR(B22="",K22&lt;=0),"",IF(AND(J22="BUY-DAY",L22="VOL-OK",N22="ON",X22="OK",Y22&lt;&gt;"DOWN"),"BUY",IF(AND(J22="SELL-DAY",L22="VOL-OK",M22="ON",X22="OK",Y22&lt;&gt;"UP"),"SELL","")))</f>
        <v/>
      </c>
      <c r="P22" s="17">
        <f>IF(O22="","",B22)</f>
        <v/>
      </c>
      <c r="Q22" s="17">
        <f>IF(O22="","",IF(O22="BUY",B22-K22*1.5,B22+K22*1.5))</f>
        <v/>
      </c>
      <c r="R22" s="17">
        <f>IF(O22="","",IF(O22="BUY",B22+K22*1.5,B22-K22*1.5))</f>
        <v/>
      </c>
      <c r="S22" s="17">
        <f>IF(O22="","",IF(O22="BUY",B22+K22*2,B22-K22*2))</f>
        <v/>
      </c>
      <c r="T22" s="17">
        <f>IF(O22="","",IF(O22="BUY",B22+K22*3,B22-K22*3))</f>
        <v/>
      </c>
      <c r="U22" s="16">
        <f>IF(OR(B22="",K22&lt;=0),"",IF(AND(B22&gt;E22,ABS(B22-E22)&lt;K22*0.5),"2ND","1ST"))</f>
        <v/>
      </c>
      <c r="V22" s="16">
        <f>IF(OR(B22="",K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" s="16">
        <f>IF(OR(B22="",K22&lt;=0),"",IF(K22&gt;B22*0.05,"VOL-HIGH","VOL-NORMAL"))</f>
        <v/>
      </c>
      <c r="X22" s="16">
        <f>IF(OR(B22="",K22&lt;=0),"",IF(AND(L22="VOL-OK",W22="VOL-NORMAL",U22="2ND"),"OK","NG"))</f>
        <v/>
      </c>
      <c r="Y22" s="16">
        <f>IF(OR(B22="",K22&lt;=0),"",IF(AND(C22&gt;G22,D22&gt;H22),"UP",IF(AND(C22&lt;G22,D22&lt;H22),"DOWN","FLAT")))</f>
        <v/>
      </c>
    </row>
    <row r="23" ht="26" customHeight="1" s="1">
      <c r="A23" s="8">
        <f>IF('StockList_MS2'!A22="","",HYPERLINK("https://kabutan.jp/stock/?code="&amp;'StockList_MS2'!A22,'StockList_MS2'!A22))</f>
        <v/>
      </c>
      <c r="B23" s="9" t="n"/>
      <c r="C23" s="9" t="n"/>
      <c r="D23" s="9" t="n"/>
      <c r="E23" s="9" t="n"/>
      <c r="F23" s="10" t="n"/>
      <c r="G23" s="9" t="n"/>
      <c r="H23" s="9" t="n"/>
      <c r="I23" s="9" t="n"/>
      <c r="J23" s="11">
        <f>IF(B23="","",IF(B23&gt;I23,"BUY-DAY","SELL-DAY"))</f>
        <v/>
      </c>
      <c r="K23" s="12">
        <f>IF(B23="","",MAX(C23-D23,ABS(C23-I23),ABS(D23-I23)))</f>
        <v/>
      </c>
      <c r="L23" s="11">
        <f>IF(B23="","",IF(AND(F23&gt;0,F23&gt;(F23/3)*2.5),"VOL-OK","VOL-NG"))</f>
        <v/>
      </c>
      <c r="M23" s="11">
        <f>IF(B23="","",IF(B23&gt;G23,"ON","OFF"))</f>
        <v/>
      </c>
      <c r="N23" s="11">
        <f>IF(B23="","",IF(B23&lt;H23,"ON","OFF"))</f>
        <v/>
      </c>
      <c r="O23" s="11">
        <f>IF(OR(B23="",K23&lt;=0),"",IF(AND(J23="BUY-DAY",L23="VOL-OK",N23="ON",X23="OK",Y23&lt;&gt;"DOWN"),"BUY",IF(AND(J23="SELL-DAY",L23="VOL-OK",M23="ON",X23="OK",Y23&lt;&gt;"UP"),"SELL","")))</f>
        <v/>
      </c>
      <c r="P23" s="12">
        <f>IF(O23="","",B23)</f>
        <v/>
      </c>
      <c r="Q23" s="12">
        <f>IF(O23="","",IF(O23="BUY",B23-K23*1.5,B23+K23*1.5))</f>
        <v/>
      </c>
      <c r="R23" s="12">
        <f>IF(O23="","",IF(O23="BUY",B23+K23*1.5,B23-K23*1.5))</f>
        <v/>
      </c>
      <c r="S23" s="12">
        <f>IF(O23="","",IF(O23="BUY",B23+K23*2,B23-K23*2))</f>
        <v/>
      </c>
      <c r="T23" s="12">
        <f>IF(O23="","",IF(O23="BUY",B23+K23*3,B23-K23*3))</f>
        <v/>
      </c>
      <c r="U23" s="11">
        <f>IF(OR(B23="",K23&lt;=0),"",IF(AND(B23&gt;E23,ABS(B23-E23)&lt;K23*0.5),"2ND","1ST"))</f>
        <v/>
      </c>
      <c r="V23" s="11">
        <f>IF(OR(B23="",K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" s="11">
        <f>IF(OR(B23="",K23&lt;=0),"",IF(K23&gt;B23*0.05,"VOL-HIGH","VOL-NORMAL"))</f>
        <v/>
      </c>
      <c r="X23" s="11">
        <f>IF(OR(B23="",K23&lt;=0),"",IF(AND(L23="VOL-OK",W23="VOL-NORMAL",U23="2ND"),"OK","NG"))</f>
        <v/>
      </c>
      <c r="Y23" s="11">
        <f>IF(OR(B23="",K23&lt;=0),"",IF(AND(C23&gt;G23,D23&gt;H23),"UP",IF(AND(C23&lt;G23,D23&lt;H23),"DOWN","FLAT")))</f>
        <v/>
      </c>
    </row>
    <row r="24" ht="26" customHeight="1" s="1">
      <c r="A24" s="13">
        <f>IF('StockList_MS2'!A23="","",HYPERLINK("https://kabutan.jp/stock/?code="&amp;'StockList_MS2'!A23,'StockList_MS2'!A23))</f>
        <v/>
      </c>
      <c r="B24" s="14" t="n"/>
      <c r="C24" s="14" t="n"/>
      <c r="D24" s="14" t="n"/>
      <c r="E24" s="14" t="n"/>
      <c r="F24" s="15" t="n"/>
      <c r="G24" s="14" t="n"/>
      <c r="H24" s="14" t="n"/>
      <c r="I24" s="14" t="n"/>
      <c r="J24" s="16">
        <f>IF(B24="","",IF(B24&gt;I24,"BUY-DAY","SELL-DAY"))</f>
        <v/>
      </c>
      <c r="K24" s="17">
        <f>IF(B24="","",MAX(C24-D24,ABS(C24-I24),ABS(D24-I24)))</f>
        <v/>
      </c>
      <c r="L24" s="16">
        <f>IF(B24="","",IF(AND(F24&gt;0,F24&gt;(F24/3)*2.5),"VOL-OK","VOL-NG"))</f>
        <v/>
      </c>
      <c r="M24" s="16">
        <f>IF(B24="","",IF(B24&gt;G24,"ON","OFF"))</f>
        <v/>
      </c>
      <c r="N24" s="16">
        <f>IF(B24="","",IF(B24&lt;H24,"ON","OFF"))</f>
        <v/>
      </c>
      <c r="O24" s="16">
        <f>IF(OR(B24="",K24&lt;=0),"",IF(AND(J24="BUY-DAY",L24="VOL-OK",N24="ON",X24="OK",Y24&lt;&gt;"DOWN"),"BUY",IF(AND(J24="SELL-DAY",L24="VOL-OK",M24="ON",X24="OK",Y24&lt;&gt;"UP"),"SELL","")))</f>
        <v/>
      </c>
      <c r="P24" s="17">
        <f>IF(O24="","",B24)</f>
        <v/>
      </c>
      <c r="Q24" s="17">
        <f>IF(O24="","",IF(O24="BUY",B24-K24*1.5,B24+K24*1.5))</f>
        <v/>
      </c>
      <c r="R24" s="17">
        <f>IF(O24="","",IF(O24="BUY",B24+K24*1.5,B24-K24*1.5))</f>
        <v/>
      </c>
      <c r="S24" s="17">
        <f>IF(O24="","",IF(O24="BUY",B24+K24*2,B24-K24*2))</f>
        <v/>
      </c>
      <c r="T24" s="17">
        <f>IF(O24="","",IF(O24="BUY",B24+K24*3,B24-K24*3))</f>
        <v/>
      </c>
      <c r="U24" s="16">
        <f>IF(OR(B24="",K24&lt;=0),"",IF(AND(B24&gt;E24,ABS(B24-E24)&lt;K24*0.5),"2ND","1ST"))</f>
        <v/>
      </c>
      <c r="V24" s="16">
        <f>IF(OR(B24="",K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" s="16">
        <f>IF(OR(B24="",K24&lt;=0),"",IF(K24&gt;B24*0.05,"VOL-HIGH","VOL-NORMAL"))</f>
        <v/>
      </c>
      <c r="X24" s="16">
        <f>IF(OR(B24="",K24&lt;=0),"",IF(AND(L24="VOL-OK",W24="VOL-NORMAL",U24="2ND"),"OK","NG"))</f>
        <v/>
      </c>
      <c r="Y24" s="16">
        <f>IF(OR(B24="",K24&lt;=0),"",IF(AND(C24&gt;G24,D24&gt;H24),"UP",IF(AND(C24&lt;G24,D24&lt;H24),"DOWN","FLAT")))</f>
        <v/>
      </c>
    </row>
    <row r="25" ht="26" customHeight="1" s="1">
      <c r="A25" s="8">
        <f>IF('StockList_MS2'!A24="","",HYPERLINK("https://kabutan.jp/stock/?code="&amp;'StockList_MS2'!A24,'StockList_MS2'!A24))</f>
        <v/>
      </c>
      <c r="B25" s="9" t="n"/>
      <c r="C25" s="9" t="n"/>
      <c r="D25" s="9" t="n"/>
      <c r="E25" s="9" t="n"/>
      <c r="F25" s="10" t="n"/>
      <c r="G25" s="9" t="n"/>
      <c r="H25" s="9" t="n"/>
      <c r="I25" s="9" t="n"/>
      <c r="J25" s="11">
        <f>IF(B25="","",IF(B25&gt;I25,"BUY-DAY","SELL-DAY"))</f>
        <v/>
      </c>
      <c r="K25" s="12">
        <f>IF(B25="","",MAX(C25-D25,ABS(C25-I25),ABS(D25-I25)))</f>
        <v/>
      </c>
      <c r="L25" s="11">
        <f>IF(B25="","",IF(AND(F25&gt;0,F25&gt;(F25/3)*2.5),"VOL-OK","VOL-NG"))</f>
        <v/>
      </c>
      <c r="M25" s="11">
        <f>IF(B25="","",IF(B25&gt;G25,"ON","OFF"))</f>
        <v/>
      </c>
      <c r="N25" s="11">
        <f>IF(B25="","",IF(B25&lt;H25,"ON","OFF"))</f>
        <v/>
      </c>
      <c r="O25" s="11">
        <f>IF(OR(B25="",K25&lt;=0),"",IF(AND(J25="BUY-DAY",L25="VOL-OK",N25="ON",X25="OK",Y25&lt;&gt;"DOWN"),"BUY",IF(AND(J25="SELL-DAY",L25="VOL-OK",M25="ON",X25="OK",Y25&lt;&gt;"UP"),"SELL","")))</f>
        <v/>
      </c>
      <c r="P25" s="12">
        <f>IF(O25="","",B25)</f>
        <v/>
      </c>
      <c r="Q25" s="12">
        <f>IF(O25="","",IF(O25="BUY",B25-K25*1.5,B25+K25*1.5))</f>
        <v/>
      </c>
      <c r="R25" s="12">
        <f>IF(O25="","",IF(O25="BUY",B25+K25*1.5,B25-K25*1.5))</f>
        <v/>
      </c>
      <c r="S25" s="12">
        <f>IF(O25="","",IF(O25="BUY",B25+K25*2,B25-K25*2))</f>
        <v/>
      </c>
      <c r="T25" s="12">
        <f>IF(O25="","",IF(O25="BUY",B25+K25*3,B25-K25*3))</f>
        <v/>
      </c>
      <c r="U25" s="11">
        <f>IF(OR(B25="",K25&lt;=0),"",IF(AND(B25&gt;E25,ABS(B25-E25)&lt;K25*0.5),"2ND","1ST"))</f>
        <v/>
      </c>
      <c r="V25" s="11">
        <f>IF(OR(B25="",K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" s="11">
        <f>IF(OR(B25="",K25&lt;=0),"",IF(K25&gt;B25*0.05,"VOL-HIGH","VOL-NORMAL"))</f>
        <v/>
      </c>
      <c r="X25" s="11">
        <f>IF(OR(B25="",K25&lt;=0),"",IF(AND(L25="VOL-OK",W25="VOL-NORMAL",U25="2ND"),"OK","NG"))</f>
        <v/>
      </c>
      <c r="Y25" s="11">
        <f>IF(OR(B25="",K25&lt;=0),"",IF(AND(C25&gt;G25,D25&gt;H25),"UP",IF(AND(C25&lt;G25,D25&lt;H25),"DOWN","FLAT")))</f>
        <v/>
      </c>
    </row>
    <row r="26" ht="26" customHeight="1" s="1">
      <c r="A26" s="13">
        <f>IF('StockList_MS2'!A25="","",HYPERLINK("https://kabutan.jp/stock/?code="&amp;'StockList_MS2'!A25,'StockList_MS2'!A25))</f>
        <v/>
      </c>
      <c r="B26" s="14" t="n"/>
      <c r="C26" s="14" t="n"/>
      <c r="D26" s="14" t="n"/>
      <c r="E26" s="14" t="n"/>
      <c r="F26" s="15" t="n"/>
      <c r="G26" s="14" t="n"/>
      <c r="H26" s="14" t="n"/>
      <c r="I26" s="14" t="n"/>
      <c r="J26" s="16">
        <f>IF(B26="","",IF(B26&gt;I26,"BUY-DAY","SELL-DAY"))</f>
        <v/>
      </c>
      <c r="K26" s="17">
        <f>IF(B26="","",MAX(C26-D26,ABS(C26-I26),ABS(D26-I26)))</f>
        <v/>
      </c>
      <c r="L26" s="16">
        <f>IF(B26="","",IF(AND(F26&gt;0,F26&gt;(F26/3)*2.5),"VOL-OK","VOL-NG"))</f>
        <v/>
      </c>
      <c r="M26" s="16">
        <f>IF(B26="","",IF(B26&gt;G26,"ON","OFF"))</f>
        <v/>
      </c>
      <c r="N26" s="16">
        <f>IF(B26="","",IF(B26&lt;H26,"ON","OFF"))</f>
        <v/>
      </c>
      <c r="O26" s="16">
        <f>IF(OR(B26="",K26&lt;=0),"",IF(AND(J26="BUY-DAY",L26="VOL-OK",N26="ON",X26="OK",Y26&lt;&gt;"DOWN"),"BUY",IF(AND(J26="SELL-DAY",L26="VOL-OK",M26="ON",X26="OK",Y26&lt;&gt;"UP"),"SELL","")))</f>
        <v/>
      </c>
      <c r="P26" s="17">
        <f>IF(O26="","",B26)</f>
        <v/>
      </c>
      <c r="Q26" s="17">
        <f>IF(O26="","",IF(O26="BUY",B26-K26*1.5,B26+K26*1.5))</f>
        <v/>
      </c>
      <c r="R26" s="17">
        <f>IF(O26="","",IF(O26="BUY",B26+K26*1.5,B26-K26*1.5))</f>
        <v/>
      </c>
      <c r="S26" s="17">
        <f>IF(O26="","",IF(O26="BUY",B26+K26*2,B26-K26*2))</f>
        <v/>
      </c>
      <c r="T26" s="17">
        <f>IF(O26="","",IF(O26="BUY",B26+K26*3,B26-K26*3))</f>
        <v/>
      </c>
      <c r="U26" s="16">
        <f>IF(OR(B26="",K26&lt;=0),"",IF(AND(B26&gt;E26,ABS(B26-E26)&lt;K26*0.5),"2ND","1ST"))</f>
        <v/>
      </c>
      <c r="V26" s="16">
        <f>IF(OR(B26="",K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" s="16">
        <f>IF(OR(B26="",K26&lt;=0),"",IF(K26&gt;B26*0.05,"VOL-HIGH","VOL-NORMAL"))</f>
        <v/>
      </c>
      <c r="X26" s="16">
        <f>IF(OR(B26="",K26&lt;=0),"",IF(AND(L26="VOL-OK",W26="VOL-NORMAL",U26="2ND"),"OK","NG"))</f>
        <v/>
      </c>
      <c r="Y26" s="16">
        <f>IF(OR(B26="",K26&lt;=0),"",IF(AND(C26&gt;G26,D26&gt;H26),"UP",IF(AND(C26&lt;G26,D26&lt;H26),"DOWN","FLAT")))</f>
        <v/>
      </c>
    </row>
    <row r="27" ht="26" customHeight="1" s="1">
      <c r="A27" s="8">
        <f>IF('StockList_MS2'!A26="","",HYPERLINK("https://kabutan.jp/stock/?code="&amp;'StockList_MS2'!A26,'StockList_MS2'!A26))</f>
        <v/>
      </c>
      <c r="B27" s="9" t="n"/>
      <c r="C27" s="9" t="n"/>
      <c r="D27" s="9" t="n"/>
      <c r="E27" s="9" t="n"/>
      <c r="F27" s="10" t="n"/>
      <c r="G27" s="9" t="n"/>
      <c r="H27" s="9" t="n"/>
      <c r="I27" s="9" t="n"/>
      <c r="J27" s="11">
        <f>IF(B27="","",IF(B27&gt;I27,"BUY-DAY","SELL-DAY"))</f>
        <v/>
      </c>
      <c r="K27" s="12">
        <f>IF(B27="","",MAX(C27-D27,ABS(C27-I27),ABS(D27-I27)))</f>
        <v/>
      </c>
      <c r="L27" s="11">
        <f>IF(B27="","",IF(AND(F27&gt;0,F27&gt;(F27/3)*2.5),"VOL-OK","VOL-NG"))</f>
        <v/>
      </c>
      <c r="M27" s="11">
        <f>IF(B27="","",IF(B27&gt;G27,"ON","OFF"))</f>
        <v/>
      </c>
      <c r="N27" s="11">
        <f>IF(B27="","",IF(B27&lt;H27,"ON","OFF"))</f>
        <v/>
      </c>
      <c r="O27" s="11">
        <f>IF(OR(B27="",K27&lt;=0),"",IF(AND(J27="BUY-DAY",L27="VOL-OK",N27="ON",X27="OK",Y27&lt;&gt;"DOWN"),"BUY",IF(AND(J27="SELL-DAY",L27="VOL-OK",M27="ON",X27="OK",Y27&lt;&gt;"UP"),"SELL","")))</f>
        <v/>
      </c>
      <c r="P27" s="12">
        <f>IF(O27="","",B27)</f>
        <v/>
      </c>
      <c r="Q27" s="12">
        <f>IF(O27="","",IF(O27="BUY",B27-K27*1.5,B27+K27*1.5))</f>
        <v/>
      </c>
      <c r="R27" s="12">
        <f>IF(O27="","",IF(O27="BUY",B27+K27*1.5,B27-K27*1.5))</f>
        <v/>
      </c>
      <c r="S27" s="12">
        <f>IF(O27="","",IF(O27="BUY",B27+K27*2,B27-K27*2))</f>
        <v/>
      </c>
      <c r="T27" s="12">
        <f>IF(O27="","",IF(O27="BUY",B27+K27*3,B27-K27*3))</f>
        <v/>
      </c>
      <c r="U27" s="11">
        <f>IF(OR(B27="",K27&lt;=0),"",IF(AND(B27&gt;E27,ABS(B27-E27)&lt;K27*0.5),"2ND","1ST"))</f>
        <v/>
      </c>
      <c r="V27" s="11">
        <f>IF(OR(B27="",K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" s="11">
        <f>IF(OR(B27="",K27&lt;=0),"",IF(K27&gt;B27*0.05,"VOL-HIGH","VOL-NORMAL"))</f>
        <v/>
      </c>
      <c r="X27" s="11">
        <f>IF(OR(B27="",K27&lt;=0),"",IF(AND(L27="VOL-OK",W27="VOL-NORMAL",U27="2ND"),"OK","NG"))</f>
        <v/>
      </c>
      <c r="Y27" s="11">
        <f>IF(OR(B27="",K27&lt;=0),"",IF(AND(C27&gt;G27,D27&gt;H27),"UP",IF(AND(C27&lt;G27,D27&lt;H27),"DOWN","FLAT")))</f>
        <v/>
      </c>
    </row>
    <row r="28" ht="26" customHeight="1" s="1">
      <c r="A28" s="13">
        <f>IF('StockList_MS2'!A27="","",HYPERLINK("https://kabutan.jp/stock/?code="&amp;'StockList_MS2'!A27,'StockList_MS2'!A27))</f>
        <v/>
      </c>
      <c r="B28" s="14" t="n"/>
      <c r="C28" s="14" t="n"/>
      <c r="D28" s="14" t="n"/>
      <c r="E28" s="14" t="n"/>
      <c r="F28" s="15" t="n"/>
      <c r="G28" s="14" t="n"/>
      <c r="H28" s="14" t="n"/>
      <c r="I28" s="14" t="n"/>
      <c r="J28" s="16">
        <f>IF(B28="","",IF(B28&gt;I28,"BUY-DAY","SELL-DAY"))</f>
        <v/>
      </c>
      <c r="K28" s="17">
        <f>IF(B28="","",MAX(C28-D28,ABS(C28-I28),ABS(D28-I28)))</f>
        <v/>
      </c>
      <c r="L28" s="16">
        <f>IF(B28="","",IF(AND(F28&gt;0,F28&gt;(F28/3)*2.5),"VOL-OK","VOL-NG"))</f>
        <v/>
      </c>
      <c r="M28" s="16">
        <f>IF(B28="","",IF(B28&gt;G28,"ON","OFF"))</f>
        <v/>
      </c>
      <c r="N28" s="16">
        <f>IF(B28="","",IF(B28&lt;H28,"ON","OFF"))</f>
        <v/>
      </c>
      <c r="O28" s="16">
        <f>IF(OR(B28="",K28&lt;=0),"",IF(AND(J28="BUY-DAY",L28="VOL-OK",N28="ON",X28="OK",Y28&lt;&gt;"DOWN"),"BUY",IF(AND(J28="SELL-DAY",L28="VOL-OK",M28="ON",X28="OK",Y28&lt;&gt;"UP"),"SELL","")))</f>
        <v/>
      </c>
      <c r="P28" s="17">
        <f>IF(O28="","",B28)</f>
        <v/>
      </c>
      <c r="Q28" s="17">
        <f>IF(O28="","",IF(O28="BUY",B28-K28*1.5,B28+K28*1.5))</f>
        <v/>
      </c>
      <c r="R28" s="17">
        <f>IF(O28="","",IF(O28="BUY",B28+K28*1.5,B28-K28*1.5))</f>
        <v/>
      </c>
      <c r="S28" s="17">
        <f>IF(O28="","",IF(O28="BUY",B28+K28*2,B28-K28*2))</f>
        <v/>
      </c>
      <c r="T28" s="17">
        <f>IF(O28="","",IF(O28="BUY",B28+K28*3,B28-K28*3))</f>
        <v/>
      </c>
      <c r="U28" s="16">
        <f>IF(OR(B28="",K28&lt;=0),"",IF(AND(B28&gt;E28,ABS(B28-E28)&lt;K28*0.5),"2ND","1ST"))</f>
        <v/>
      </c>
      <c r="V28" s="16">
        <f>IF(OR(B28="",K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" s="16">
        <f>IF(OR(B28="",K28&lt;=0),"",IF(K28&gt;B28*0.05,"VOL-HIGH","VOL-NORMAL"))</f>
        <v/>
      </c>
      <c r="X28" s="16">
        <f>IF(OR(B28="",K28&lt;=0),"",IF(AND(L28="VOL-OK",W28="VOL-NORMAL",U28="2ND"),"OK","NG"))</f>
        <v/>
      </c>
      <c r="Y28" s="16">
        <f>IF(OR(B28="",K28&lt;=0),"",IF(AND(C28&gt;G28,D28&gt;H28),"UP",IF(AND(C28&lt;G28,D28&lt;H28),"DOWN","FLAT")))</f>
        <v/>
      </c>
    </row>
    <row r="29" ht="26" customHeight="1" s="1">
      <c r="A29" s="8">
        <f>IF('StockList_MS2'!A28="","",HYPERLINK("https://kabutan.jp/stock/?code="&amp;'StockList_MS2'!A28,'StockList_MS2'!A28))</f>
        <v/>
      </c>
      <c r="B29" s="9" t="n"/>
      <c r="C29" s="9" t="n"/>
      <c r="D29" s="9" t="n"/>
      <c r="E29" s="9" t="n"/>
      <c r="F29" s="10" t="n"/>
      <c r="G29" s="9" t="n"/>
      <c r="H29" s="9" t="n"/>
      <c r="I29" s="9" t="n"/>
      <c r="J29" s="11">
        <f>IF(B29="","",IF(B29&gt;I29,"BUY-DAY","SELL-DAY"))</f>
        <v/>
      </c>
      <c r="K29" s="12">
        <f>IF(B29="","",MAX(C29-D29,ABS(C29-I29),ABS(D29-I29)))</f>
        <v/>
      </c>
      <c r="L29" s="11">
        <f>IF(B29="","",IF(AND(F29&gt;0,F29&gt;(F29/3)*2.5),"VOL-OK","VOL-NG"))</f>
        <v/>
      </c>
      <c r="M29" s="11">
        <f>IF(B29="","",IF(B29&gt;G29,"ON","OFF"))</f>
        <v/>
      </c>
      <c r="N29" s="11">
        <f>IF(B29="","",IF(B29&lt;H29,"ON","OFF"))</f>
        <v/>
      </c>
      <c r="O29" s="11">
        <f>IF(OR(B29="",K29&lt;=0),"",IF(AND(J29="BUY-DAY",L29="VOL-OK",N29="ON",X29="OK",Y29&lt;&gt;"DOWN"),"BUY",IF(AND(J29="SELL-DAY",L29="VOL-OK",M29="ON",X29="OK",Y29&lt;&gt;"UP"),"SELL","")))</f>
        <v/>
      </c>
      <c r="P29" s="12">
        <f>IF(O29="","",B29)</f>
        <v/>
      </c>
      <c r="Q29" s="12">
        <f>IF(O29="","",IF(O29="BUY",B29-K29*1.5,B29+K29*1.5))</f>
        <v/>
      </c>
      <c r="R29" s="12">
        <f>IF(O29="","",IF(O29="BUY",B29+K29*1.5,B29-K29*1.5))</f>
        <v/>
      </c>
      <c r="S29" s="12">
        <f>IF(O29="","",IF(O29="BUY",B29+K29*2,B29-K29*2))</f>
        <v/>
      </c>
      <c r="T29" s="12">
        <f>IF(O29="","",IF(O29="BUY",B29+K29*3,B29-K29*3))</f>
        <v/>
      </c>
      <c r="U29" s="11">
        <f>IF(OR(B29="",K29&lt;=0),"",IF(AND(B29&gt;E29,ABS(B29-E29)&lt;K29*0.5),"2ND","1ST"))</f>
        <v/>
      </c>
      <c r="V29" s="11">
        <f>IF(OR(B29="",K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" s="11">
        <f>IF(OR(B29="",K29&lt;=0),"",IF(K29&gt;B29*0.05,"VOL-HIGH","VOL-NORMAL"))</f>
        <v/>
      </c>
      <c r="X29" s="11">
        <f>IF(OR(B29="",K29&lt;=0),"",IF(AND(L29="VOL-OK",W29="VOL-NORMAL",U29="2ND"),"OK","NG"))</f>
        <v/>
      </c>
      <c r="Y29" s="11">
        <f>IF(OR(B29="",K29&lt;=0),"",IF(AND(C29&gt;G29,D29&gt;H29),"UP",IF(AND(C29&lt;G29,D29&lt;H29),"DOWN","FLAT")))</f>
        <v/>
      </c>
    </row>
    <row r="30" ht="26" customHeight="1" s="1">
      <c r="A30" s="13">
        <f>IF('StockList_MS2'!A29="","",HYPERLINK("https://kabutan.jp/stock/?code="&amp;'StockList_MS2'!A29,'StockList_MS2'!A29))</f>
        <v/>
      </c>
      <c r="B30" s="14" t="n"/>
      <c r="C30" s="14" t="n"/>
      <c r="D30" s="14" t="n"/>
      <c r="E30" s="14" t="n"/>
      <c r="F30" s="15" t="n"/>
      <c r="G30" s="14" t="n"/>
      <c r="H30" s="14" t="n"/>
      <c r="I30" s="14" t="n"/>
      <c r="J30" s="16">
        <f>IF(B30="","",IF(B30&gt;I30,"BUY-DAY","SELL-DAY"))</f>
        <v/>
      </c>
      <c r="K30" s="17">
        <f>IF(B30="","",MAX(C30-D30,ABS(C30-I30),ABS(D30-I30)))</f>
        <v/>
      </c>
      <c r="L30" s="16">
        <f>IF(B30="","",IF(AND(F30&gt;0,F30&gt;(F30/3)*2.5),"VOL-OK","VOL-NG"))</f>
        <v/>
      </c>
      <c r="M30" s="16">
        <f>IF(B30="","",IF(B30&gt;G30,"ON","OFF"))</f>
        <v/>
      </c>
      <c r="N30" s="16">
        <f>IF(B30="","",IF(B30&lt;H30,"ON","OFF"))</f>
        <v/>
      </c>
      <c r="O30" s="16">
        <f>IF(OR(B30="",K30&lt;=0),"",IF(AND(J30="BUY-DAY",L30="VOL-OK",N30="ON",X30="OK",Y30&lt;&gt;"DOWN"),"BUY",IF(AND(J30="SELL-DAY",L30="VOL-OK",M30="ON",X30="OK",Y30&lt;&gt;"UP"),"SELL","")))</f>
        <v/>
      </c>
      <c r="P30" s="17">
        <f>IF(O30="","",B30)</f>
        <v/>
      </c>
      <c r="Q30" s="17">
        <f>IF(O30="","",IF(O30="BUY",B30-K30*1.5,B30+K30*1.5))</f>
        <v/>
      </c>
      <c r="R30" s="17">
        <f>IF(O30="","",IF(O30="BUY",B30+K30*1.5,B30-K30*1.5))</f>
        <v/>
      </c>
      <c r="S30" s="17">
        <f>IF(O30="","",IF(O30="BUY",B30+K30*2,B30-K30*2))</f>
        <v/>
      </c>
      <c r="T30" s="17">
        <f>IF(O30="","",IF(O30="BUY",B30+K30*3,B30-K30*3))</f>
        <v/>
      </c>
      <c r="U30" s="16">
        <f>IF(OR(B30="",K30&lt;=0),"",IF(AND(B30&gt;E30,ABS(B30-E30)&lt;K30*0.5),"2ND","1ST"))</f>
        <v/>
      </c>
      <c r="V30" s="16">
        <f>IF(OR(B30="",K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" s="16">
        <f>IF(OR(B30="",K30&lt;=0),"",IF(K30&gt;B30*0.05,"VOL-HIGH","VOL-NORMAL"))</f>
        <v/>
      </c>
      <c r="X30" s="16">
        <f>IF(OR(B30="",K30&lt;=0),"",IF(AND(L30="VOL-OK",W30="VOL-NORMAL",U30="2ND"),"OK","NG"))</f>
        <v/>
      </c>
      <c r="Y30" s="16">
        <f>IF(OR(B30="",K30&lt;=0),"",IF(AND(C30&gt;G30,D30&gt;H30),"UP",IF(AND(C30&lt;G30,D30&lt;H30),"DOWN","FLAT")))</f>
        <v/>
      </c>
    </row>
    <row r="31" ht="26" customHeight="1" s="1">
      <c r="A31" s="8">
        <f>IF('StockList_MS2'!A30="","",HYPERLINK("https://kabutan.jp/stock/?code="&amp;'StockList_MS2'!A30,'StockList_MS2'!A30))</f>
        <v/>
      </c>
      <c r="B31" s="9" t="n"/>
      <c r="C31" s="9" t="n"/>
      <c r="D31" s="9" t="n"/>
      <c r="E31" s="9" t="n"/>
      <c r="F31" s="10" t="n"/>
      <c r="G31" s="9" t="n"/>
      <c r="H31" s="9" t="n"/>
      <c r="I31" s="9" t="n"/>
      <c r="J31" s="11">
        <f>IF(B31="","",IF(B31&gt;I31,"BUY-DAY","SELL-DAY"))</f>
        <v/>
      </c>
      <c r="K31" s="12">
        <f>IF(B31="","",MAX(C31-D31,ABS(C31-I31),ABS(D31-I31)))</f>
        <v/>
      </c>
      <c r="L31" s="11">
        <f>IF(B31="","",IF(AND(F31&gt;0,F31&gt;(F31/3)*2.5),"VOL-OK","VOL-NG"))</f>
        <v/>
      </c>
      <c r="M31" s="11">
        <f>IF(B31="","",IF(B31&gt;G31,"ON","OFF"))</f>
        <v/>
      </c>
      <c r="N31" s="11">
        <f>IF(B31="","",IF(B31&lt;H31,"ON","OFF"))</f>
        <v/>
      </c>
      <c r="O31" s="11">
        <f>IF(OR(B31="",K31&lt;=0),"",IF(AND(J31="BUY-DAY",L31="VOL-OK",N31="ON",X31="OK",Y31&lt;&gt;"DOWN"),"BUY",IF(AND(J31="SELL-DAY",L31="VOL-OK",M31="ON",X31="OK",Y31&lt;&gt;"UP"),"SELL","")))</f>
        <v/>
      </c>
      <c r="P31" s="12">
        <f>IF(O31="","",B31)</f>
        <v/>
      </c>
      <c r="Q31" s="12">
        <f>IF(O31="","",IF(O31="BUY",B31-K31*1.5,B31+K31*1.5))</f>
        <v/>
      </c>
      <c r="R31" s="12">
        <f>IF(O31="","",IF(O31="BUY",B31+K31*1.5,B31-K31*1.5))</f>
        <v/>
      </c>
      <c r="S31" s="12">
        <f>IF(O31="","",IF(O31="BUY",B31+K31*2,B31-K31*2))</f>
        <v/>
      </c>
      <c r="T31" s="12">
        <f>IF(O31="","",IF(O31="BUY",B31+K31*3,B31-K31*3))</f>
        <v/>
      </c>
      <c r="U31" s="11">
        <f>IF(OR(B31="",K31&lt;=0),"",IF(AND(B31&gt;E31,ABS(B31-E31)&lt;K31*0.5),"2ND","1ST"))</f>
        <v/>
      </c>
      <c r="V31" s="11">
        <f>IF(OR(B31="",K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" s="11">
        <f>IF(OR(B31="",K31&lt;=0),"",IF(K31&gt;B31*0.05,"VOL-HIGH","VOL-NORMAL"))</f>
        <v/>
      </c>
      <c r="X31" s="11">
        <f>IF(OR(B31="",K31&lt;=0),"",IF(AND(L31="VOL-OK",W31="VOL-NORMAL",U31="2ND"),"OK","NG"))</f>
        <v/>
      </c>
      <c r="Y31" s="11">
        <f>IF(OR(B31="",K31&lt;=0),"",IF(AND(C31&gt;G31,D31&gt;H31),"UP",IF(AND(C31&lt;G31,D31&lt;H31),"DOWN","FLAT")))</f>
        <v/>
      </c>
    </row>
    <row r="32" ht="26" customHeight="1" s="1">
      <c r="A32" s="13">
        <f>IF('StockList_MS2'!A31="","",HYPERLINK("https://kabutan.jp/stock/?code="&amp;'StockList_MS2'!A31,'StockList_MS2'!A31))</f>
        <v/>
      </c>
      <c r="B32" s="14" t="n"/>
      <c r="C32" s="14" t="n"/>
      <c r="D32" s="14" t="n"/>
      <c r="E32" s="14" t="n"/>
      <c r="F32" s="15" t="n"/>
      <c r="G32" s="14" t="n"/>
      <c r="H32" s="14" t="n"/>
      <c r="I32" s="14" t="n"/>
      <c r="J32" s="16">
        <f>IF(B32="","",IF(B32&gt;I32,"BUY-DAY","SELL-DAY"))</f>
        <v/>
      </c>
      <c r="K32" s="17">
        <f>IF(B32="","",MAX(C32-D32,ABS(C32-I32),ABS(D32-I32)))</f>
        <v/>
      </c>
      <c r="L32" s="16">
        <f>IF(B32="","",IF(AND(F32&gt;0,F32&gt;(F32/3)*2.5),"VOL-OK","VOL-NG"))</f>
        <v/>
      </c>
      <c r="M32" s="16">
        <f>IF(B32="","",IF(B32&gt;G32,"ON","OFF"))</f>
        <v/>
      </c>
      <c r="N32" s="16">
        <f>IF(B32="","",IF(B32&lt;H32,"ON","OFF"))</f>
        <v/>
      </c>
      <c r="O32" s="16">
        <f>IF(OR(B32="",K32&lt;=0),"",IF(AND(J32="BUY-DAY",L32="VOL-OK",N32="ON",X32="OK",Y32&lt;&gt;"DOWN"),"BUY",IF(AND(J32="SELL-DAY",L32="VOL-OK",M32="ON",X32="OK",Y32&lt;&gt;"UP"),"SELL","")))</f>
        <v/>
      </c>
      <c r="P32" s="17">
        <f>IF(O32="","",B32)</f>
        <v/>
      </c>
      <c r="Q32" s="17">
        <f>IF(O32="","",IF(O32="BUY",B32-K32*1.5,B32+K32*1.5))</f>
        <v/>
      </c>
      <c r="R32" s="17">
        <f>IF(O32="","",IF(O32="BUY",B32+K32*1.5,B32-K32*1.5))</f>
        <v/>
      </c>
      <c r="S32" s="17">
        <f>IF(O32="","",IF(O32="BUY",B32+K32*2,B32-K32*2))</f>
        <v/>
      </c>
      <c r="T32" s="17">
        <f>IF(O32="","",IF(O32="BUY",B32+K32*3,B32-K32*3))</f>
        <v/>
      </c>
      <c r="U32" s="16">
        <f>IF(OR(B32="",K32&lt;=0),"",IF(AND(B32&gt;E32,ABS(B32-E32)&lt;K32*0.5),"2ND","1ST"))</f>
        <v/>
      </c>
      <c r="V32" s="16">
        <f>IF(OR(B32="",K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" s="16">
        <f>IF(OR(B32="",K32&lt;=0),"",IF(K32&gt;B32*0.05,"VOL-HIGH","VOL-NORMAL"))</f>
        <v/>
      </c>
      <c r="X32" s="16">
        <f>IF(OR(B32="",K32&lt;=0),"",IF(AND(L32="VOL-OK",W32="VOL-NORMAL",U32="2ND"),"OK","NG"))</f>
        <v/>
      </c>
      <c r="Y32" s="16">
        <f>IF(OR(B32="",K32&lt;=0),"",IF(AND(C32&gt;G32,D32&gt;H32),"UP",IF(AND(C32&lt;G32,D32&lt;H32),"DOWN","FLAT")))</f>
        <v/>
      </c>
    </row>
    <row r="33" ht="26" customHeight="1" s="1">
      <c r="A33" s="8">
        <f>IF('StockList_MS2'!A32="","",HYPERLINK("https://kabutan.jp/stock/?code="&amp;'StockList_MS2'!A32,'StockList_MS2'!A32))</f>
        <v/>
      </c>
      <c r="B33" s="9" t="n"/>
      <c r="C33" s="9" t="n"/>
      <c r="D33" s="9" t="n"/>
      <c r="E33" s="9" t="n"/>
      <c r="F33" s="10" t="n"/>
      <c r="G33" s="9" t="n"/>
      <c r="H33" s="9" t="n"/>
      <c r="I33" s="9" t="n"/>
      <c r="J33" s="11">
        <f>IF(B33="","",IF(B33&gt;I33,"BUY-DAY","SELL-DAY"))</f>
        <v/>
      </c>
      <c r="K33" s="12">
        <f>IF(B33="","",MAX(C33-D33,ABS(C33-I33),ABS(D33-I33)))</f>
        <v/>
      </c>
      <c r="L33" s="11">
        <f>IF(B33="","",IF(AND(F33&gt;0,F33&gt;(F33/3)*2.5),"VOL-OK","VOL-NG"))</f>
        <v/>
      </c>
      <c r="M33" s="11">
        <f>IF(B33="","",IF(B33&gt;G33,"ON","OFF"))</f>
        <v/>
      </c>
      <c r="N33" s="11">
        <f>IF(B33="","",IF(B33&lt;H33,"ON","OFF"))</f>
        <v/>
      </c>
      <c r="O33" s="11">
        <f>IF(OR(B33="",K33&lt;=0),"",IF(AND(J33="BUY-DAY",L33="VOL-OK",N33="ON",X33="OK",Y33&lt;&gt;"DOWN"),"BUY",IF(AND(J33="SELL-DAY",L33="VOL-OK",M33="ON",X33="OK",Y33&lt;&gt;"UP"),"SELL","")))</f>
        <v/>
      </c>
      <c r="P33" s="12">
        <f>IF(O33="","",B33)</f>
        <v/>
      </c>
      <c r="Q33" s="12">
        <f>IF(O33="","",IF(O33="BUY",B33-K33*1.5,B33+K33*1.5))</f>
        <v/>
      </c>
      <c r="R33" s="12">
        <f>IF(O33="","",IF(O33="BUY",B33+K33*1.5,B33-K33*1.5))</f>
        <v/>
      </c>
      <c r="S33" s="12">
        <f>IF(O33="","",IF(O33="BUY",B33+K33*2,B33-K33*2))</f>
        <v/>
      </c>
      <c r="T33" s="12">
        <f>IF(O33="","",IF(O33="BUY",B33+K33*3,B33-K33*3))</f>
        <v/>
      </c>
      <c r="U33" s="11">
        <f>IF(OR(B33="",K33&lt;=0),"",IF(AND(B33&gt;E33,ABS(B33-E33)&lt;K33*0.5),"2ND","1ST"))</f>
        <v/>
      </c>
      <c r="V33" s="11">
        <f>IF(OR(B33="",K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" s="11">
        <f>IF(OR(B33="",K33&lt;=0),"",IF(K33&gt;B33*0.05,"VOL-HIGH","VOL-NORMAL"))</f>
        <v/>
      </c>
      <c r="X33" s="11">
        <f>IF(OR(B33="",K33&lt;=0),"",IF(AND(L33="VOL-OK",W33="VOL-NORMAL",U33="2ND"),"OK","NG"))</f>
        <v/>
      </c>
      <c r="Y33" s="11">
        <f>IF(OR(B33="",K33&lt;=0),"",IF(AND(C33&gt;G33,D33&gt;H33),"UP",IF(AND(C33&lt;G33,D33&lt;H33),"DOWN","FLAT")))</f>
        <v/>
      </c>
    </row>
    <row r="34" ht="26" customHeight="1" s="1">
      <c r="A34" s="13">
        <f>IF('StockList_MS2'!A33="","",HYPERLINK("https://kabutan.jp/stock/?code="&amp;'StockList_MS2'!A33,'StockList_MS2'!A33))</f>
        <v/>
      </c>
      <c r="B34" s="14" t="n"/>
      <c r="C34" s="14" t="n"/>
      <c r="D34" s="14" t="n"/>
      <c r="E34" s="14" t="n"/>
      <c r="F34" s="15" t="n"/>
      <c r="G34" s="14" t="n"/>
      <c r="H34" s="14" t="n"/>
      <c r="I34" s="14" t="n"/>
      <c r="J34" s="16">
        <f>IF(B34="","",IF(B34&gt;I34,"BUY-DAY","SELL-DAY"))</f>
        <v/>
      </c>
      <c r="K34" s="17">
        <f>IF(B34="","",MAX(C34-D34,ABS(C34-I34),ABS(D34-I34)))</f>
        <v/>
      </c>
      <c r="L34" s="16">
        <f>IF(B34="","",IF(AND(F34&gt;0,F34&gt;(F34/3)*2.5),"VOL-OK","VOL-NG"))</f>
        <v/>
      </c>
      <c r="M34" s="16">
        <f>IF(B34="","",IF(B34&gt;G34,"ON","OFF"))</f>
        <v/>
      </c>
      <c r="N34" s="16">
        <f>IF(B34="","",IF(B34&lt;H34,"ON","OFF"))</f>
        <v/>
      </c>
      <c r="O34" s="16">
        <f>IF(OR(B34="",K34&lt;=0),"",IF(AND(J34="BUY-DAY",L34="VOL-OK",N34="ON",X34="OK",Y34&lt;&gt;"DOWN"),"BUY",IF(AND(J34="SELL-DAY",L34="VOL-OK",M34="ON",X34="OK",Y34&lt;&gt;"UP"),"SELL","")))</f>
        <v/>
      </c>
      <c r="P34" s="17">
        <f>IF(O34="","",B34)</f>
        <v/>
      </c>
      <c r="Q34" s="17">
        <f>IF(O34="","",IF(O34="BUY",B34-K34*1.5,B34+K34*1.5))</f>
        <v/>
      </c>
      <c r="R34" s="17">
        <f>IF(O34="","",IF(O34="BUY",B34+K34*1.5,B34-K34*1.5))</f>
        <v/>
      </c>
      <c r="S34" s="17">
        <f>IF(O34="","",IF(O34="BUY",B34+K34*2,B34-K34*2))</f>
        <v/>
      </c>
      <c r="T34" s="17">
        <f>IF(O34="","",IF(O34="BUY",B34+K34*3,B34-K34*3))</f>
        <v/>
      </c>
      <c r="U34" s="16">
        <f>IF(OR(B34="",K34&lt;=0),"",IF(AND(B34&gt;E34,ABS(B34-E34)&lt;K34*0.5),"2ND","1ST"))</f>
        <v/>
      </c>
      <c r="V34" s="16">
        <f>IF(OR(B34="",K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" s="16">
        <f>IF(OR(B34="",K34&lt;=0),"",IF(K34&gt;B34*0.05,"VOL-HIGH","VOL-NORMAL"))</f>
        <v/>
      </c>
      <c r="X34" s="16">
        <f>IF(OR(B34="",K34&lt;=0),"",IF(AND(L34="VOL-OK",W34="VOL-NORMAL",U34="2ND"),"OK","NG"))</f>
        <v/>
      </c>
      <c r="Y34" s="16">
        <f>IF(OR(B34="",K34&lt;=0),"",IF(AND(C34&gt;G34,D34&gt;H34),"UP",IF(AND(C34&lt;G34,D34&lt;H34),"DOWN","FLAT")))</f>
        <v/>
      </c>
    </row>
    <row r="35" ht="26" customHeight="1" s="1">
      <c r="A35" s="8">
        <f>IF('StockList_MS2'!A34="","",HYPERLINK("https://kabutan.jp/stock/?code="&amp;'StockList_MS2'!A34,'StockList_MS2'!A34))</f>
        <v/>
      </c>
      <c r="B35" s="9" t="n"/>
      <c r="C35" s="9" t="n"/>
      <c r="D35" s="9" t="n"/>
      <c r="E35" s="9" t="n"/>
      <c r="F35" s="10" t="n"/>
      <c r="G35" s="9" t="n"/>
      <c r="H35" s="9" t="n"/>
      <c r="I35" s="9" t="n"/>
      <c r="J35" s="11">
        <f>IF(B35="","",IF(B35&gt;I35,"BUY-DAY","SELL-DAY"))</f>
        <v/>
      </c>
      <c r="K35" s="12">
        <f>IF(B35="","",MAX(C35-D35,ABS(C35-I35),ABS(D35-I35)))</f>
        <v/>
      </c>
      <c r="L35" s="11">
        <f>IF(B35="","",IF(AND(F35&gt;0,F35&gt;(F35/3)*2.5),"VOL-OK","VOL-NG"))</f>
        <v/>
      </c>
      <c r="M35" s="11">
        <f>IF(B35="","",IF(B35&gt;G35,"ON","OFF"))</f>
        <v/>
      </c>
      <c r="N35" s="11">
        <f>IF(B35="","",IF(B35&lt;H35,"ON","OFF"))</f>
        <v/>
      </c>
      <c r="O35" s="11">
        <f>IF(OR(B35="",K35&lt;=0),"",IF(AND(J35="BUY-DAY",L35="VOL-OK",N35="ON",X35="OK",Y35&lt;&gt;"DOWN"),"BUY",IF(AND(J35="SELL-DAY",L35="VOL-OK",M35="ON",X35="OK",Y35&lt;&gt;"UP"),"SELL","")))</f>
        <v/>
      </c>
      <c r="P35" s="12">
        <f>IF(O35="","",B35)</f>
        <v/>
      </c>
      <c r="Q35" s="12">
        <f>IF(O35="","",IF(O35="BUY",B35-K35*1.5,B35+K35*1.5))</f>
        <v/>
      </c>
      <c r="R35" s="12">
        <f>IF(O35="","",IF(O35="BUY",B35+K35*1.5,B35-K35*1.5))</f>
        <v/>
      </c>
      <c r="S35" s="12">
        <f>IF(O35="","",IF(O35="BUY",B35+K35*2,B35-K35*2))</f>
        <v/>
      </c>
      <c r="T35" s="12">
        <f>IF(O35="","",IF(O35="BUY",B35+K35*3,B35-K35*3))</f>
        <v/>
      </c>
      <c r="U35" s="11">
        <f>IF(OR(B35="",K35&lt;=0),"",IF(AND(B35&gt;E35,ABS(B35-E35)&lt;K35*0.5),"2ND","1ST"))</f>
        <v/>
      </c>
      <c r="V35" s="11">
        <f>IF(OR(B35="",K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" s="11">
        <f>IF(OR(B35="",K35&lt;=0),"",IF(K35&gt;B35*0.05,"VOL-HIGH","VOL-NORMAL"))</f>
        <v/>
      </c>
      <c r="X35" s="11">
        <f>IF(OR(B35="",K35&lt;=0),"",IF(AND(L35="VOL-OK",W35="VOL-NORMAL",U35="2ND"),"OK","NG"))</f>
        <v/>
      </c>
      <c r="Y35" s="11">
        <f>IF(OR(B35="",K35&lt;=0),"",IF(AND(C35&gt;G35,D35&gt;H35),"UP",IF(AND(C35&lt;G35,D35&lt;H35),"DOWN","FLAT")))</f>
        <v/>
      </c>
    </row>
    <row r="36" ht="26" customHeight="1" s="1">
      <c r="A36" s="13">
        <f>IF('StockList_MS2'!A35="","",HYPERLINK("https://kabutan.jp/stock/?code="&amp;'StockList_MS2'!A35,'StockList_MS2'!A35))</f>
        <v/>
      </c>
      <c r="B36" s="14" t="n"/>
      <c r="C36" s="14" t="n"/>
      <c r="D36" s="14" t="n"/>
      <c r="E36" s="14" t="n"/>
      <c r="F36" s="15" t="n"/>
      <c r="G36" s="14" t="n"/>
      <c r="H36" s="14" t="n"/>
      <c r="I36" s="14" t="n"/>
      <c r="J36" s="16">
        <f>IF(B36="","",IF(B36&gt;I36,"BUY-DAY","SELL-DAY"))</f>
        <v/>
      </c>
      <c r="K36" s="17">
        <f>IF(B36="","",MAX(C36-D36,ABS(C36-I36),ABS(D36-I36)))</f>
        <v/>
      </c>
      <c r="L36" s="16">
        <f>IF(B36="","",IF(AND(F36&gt;0,F36&gt;(F36/3)*2.5),"VOL-OK","VOL-NG"))</f>
        <v/>
      </c>
      <c r="M36" s="16">
        <f>IF(B36="","",IF(B36&gt;G36,"ON","OFF"))</f>
        <v/>
      </c>
      <c r="N36" s="16">
        <f>IF(B36="","",IF(B36&lt;H36,"ON","OFF"))</f>
        <v/>
      </c>
      <c r="O36" s="16">
        <f>IF(OR(B36="",K36&lt;=0),"",IF(AND(J36="BUY-DAY",L36="VOL-OK",N36="ON",X36="OK",Y36&lt;&gt;"DOWN"),"BUY",IF(AND(J36="SELL-DAY",L36="VOL-OK",M36="ON",X36="OK",Y36&lt;&gt;"UP"),"SELL","")))</f>
        <v/>
      </c>
      <c r="P36" s="17">
        <f>IF(O36="","",B36)</f>
        <v/>
      </c>
      <c r="Q36" s="17">
        <f>IF(O36="","",IF(O36="BUY",B36-K36*1.5,B36+K36*1.5))</f>
        <v/>
      </c>
      <c r="R36" s="17">
        <f>IF(O36="","",IF(O36="BUY",B36+K36*1.5,B36-K36*1.5))</f>
        <v/>
      </c>
      <c r="S36" s="17">
        <f>IF(O36="","",IF(O36="BUY",B36+K36*2,B36-K36*2))</f>
        <v/>
      </c>
      <c r="T36" s="17">
        <f>IF(O36="","",IF(O36="BUY",B36+K36*3,B36-K36*3))</f>
        <v/>
      </c>
      <c r="U36" s="16">
        <f>IF(OR(B36="",K36&lt;=0),"",IF(AND(B36&gt;E36,ABS(B36-E36)&lt;K36*0.5),"2ND","1ST"))</f>
        <v/>
      </c>
      <c r="V36" s="16">
        <f>IF(OR(B36="",K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6" s="16">
        <f>IF(OR(B36="",K36&lt;=0),"",IF(K36&gt;B36*0.05,"VOL-HIGH","VOL-NORMAL"))</f>
        <v/>
      </c>
      <c r="X36" s="16">
        <f>IF(OR(B36="",K36&lt;=0),"",IF(AND(L36="VOL-OK",W36="VOL-NORMAL",U36="2ND"),"OK","NG"))</f>
        <v/>
      </c>
      <c r="Y36" s="16">
        <f>IF(OR(B36="",K36&lt;=0),"",IF(AND(C36&gt;G36,D36&gt;H36),"UP",IF(AND(C36&lt;G36,D36&lt;H36),"DOWN","FLAT")))</f>
        <v/>
      </c>
    </row>
    <row r="37" ht="26" customHeight="1" s="1">
      <c r="A37" s="8">
        <f>IF('StockList_MS2'!A36="","",HYPERLINK("https://kabutan.jp/stock/?code="&amp;'StockList_MS2'!A36,'StockList_MS2'!A36))</f>
        <v/>
      </c>
      <c r="B37" s="9" t="n"/>
      <c r="C37" s="9" t="n"/>
      <c r="D37" s="9" t="n"/>
      <c r="E37" s="9" t="n"/>
      <c r="F37" s="10" t="n"/>
      <c r="G37" s="9" t="n"/>
      <c r="H37" s="9" t="n"/>
      <c r="I37" s="9" t="n"/>
      <c r="J37" s="11">
        <f>IF(B37="","",IF(B37&gt;I37,"BUY-DAY","SELL-DAY"))</f>
        <v/>
      </c>
      <c r="K37" s="12">
        <f>IF(B37="","",MAX(C37-D37,ABS(C37-I37),ABS(D37-I37)))</f>
        <v/>
      </c>
      <c r="L37" s="11">
        <f>IF(B37="","",IF(AND(F37&gt;0,F37&gt;(F37/3)*2.5),"VOL-OK","VOL-NG"))</f>
        <v/>
      </c>
      <c r="M37" s="11">
        <f>IF(B37="","",IF(B37&gt;G37,"ON","OFF"))</f>
        <v/>
      </c>
      <c r="N37" s="11">
        <f>IF(B37="","",IF(B37&lt;H37,"ON","OFF"))</f>
        <v/>
      </c>
      <c r="O37" s="11">
        <f>IF(OR(B37="",K37&lt;=0),"",IF(AND(J37="BUY-DAY",L37="VOL-OK",N37="ON",X37="OK",Y37&lt;&gt;"DOWN"),"BUY",IF(AND(J37="SELL-DAY",L37="VOL-OK",M37="ON",X37="OK",Y37&lt;&gt;"UP"),"SELL","")))</f>
        <v/>
      </c>
      <c r="P37" s="12">
        <f>IF(O37="","",B37)</f>
        <v/>
      </c>
      <c r="Q37" s="12">
        <f>IF(O37="","",IF(O37="BUY",B37-K37*1.5,B37+K37*1.5))</f>
        <v/>
      </c>
      <c r="R37" s="12">
        <f>IF(O37="","",IF(O37="BUY",B37+K37*1.5,B37-K37*1.5))</f>
        <v/>
      </c>
      <c r="S37" s="12">
        <f>IF(O37="","",IF(O37="BUY",B37+K37*2,B37-K37*2))</f>
        <v/>
      </c>
      <c r="T37" s="12">
        <f>IF(O37="","",IF(O37="BUY",B37+K37*3,B37-K37*3))</f>
        <v/>
      </c>
      <c r="U37" s="11">
        <f>IF(OR(B37="",K37&lt;=0),"",IF(AND(B37&gt;E37,ABS(B37-E37)&lt;K37*0.5),"2ND","1ST"))</f>
        <v/>
      </c>
      <c r="V37" s="11">
        <f>IF(OR(B37="",K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7" s="11">
        <f>IF(OR(B37="",K37&lt;=0),"",IF(K37&gt;B37*0.05,"VOL-HIGH","VOL-NORMAL"))</f>
        <v/>
      </c>
      <c r="X37" s="11">
        <f>IF(OR(B37="",K37&lt;=0),"",IF(AND(L37="VOL-OK",W37="VOL-NORMAL",U37="2ND"),"OK","NG"))</f>
        <v/>
      </c>
      <c r="Y37" s="11">
        <f>IF(OR(B37="",K37&lt;=0),"",IF(AND(C37&gt;G37,D37&gt;H37),"UP",IF(AND(C37&lt;G37,D37&lt;H37),"DOWN","FLAT")))</f>
        <v/>
      </c>
    </row>
    <row r="38" ht="26" customHeight="1" s="1">
      <c r="A38" s="13">
        <f>IF('StockList_MS2'!A37="","",HYPERLINK("https://kabutan.jp/stock/?code="&amp;'StockList_MS2'!A37,'StockList_MS2'!A37))</f>
        <v/>
      </c>
      <c r="B38" s="14" t="n"/>
      <c r="C38" s="14" t="n"/>
      <c r="D38" s="14" t="n"/>
      <c r="E38" s="14" t="n"/>
      <c r="F38" s="15" t="n"/>
      <c r="G38" s="14" t="n"/>
      <c r="H38" s="14" t="n"/>
      <c r="I38" s="14" t="n"/>
      <c r="J38" s="16">
        <f>IF(B38="","",IF(B38&gt;I38,"BUY-DAY","SELL-DAY"))</f>
        <v/>
      </c>
      <c r="K38" s="17">
        <f>IF(B38="","",MAX(C38-D38,ABS(C38-I38),ABS(D38-I38)))</f>
        <v/>
      </c>
      <c r="L38" s="16">
        <f>IF(B38="","",IF(AND(F38&gt;0,F38&gt;(F38/3)*2.5),"VOL-OK","VOL-NG"))</f>
        <v/>
      </c>
      <c r="M38" s="16">
        <f>IF(B38="","",IF(B38&gt;G38,"ON","OFF"))</f>
        <v/>
      </c>
      <c r="N38" s="16">
        <f>IF(B38="","",IF(B38&lt;H38,"ON","OFF"))</f>
        <v/>
      </c>
      <c r="O38" s="16">
        <f>IF(OR(B38="",K38&lt;=0),"",IF(AND(J38="BUY-DAY",L38="VOL-OK",N38="ON",X38="OK",Y38&lt;&gt;"DOWN"),"BUY",IF(AND(J38="SELL-DAY",L38="VOL-OK",M38="ON",X38="OK",Y38&lt;&gt;"UP"),"SELL","")))</f>
        <v/>
      </c>
      <c r="P38" s="17">
        <f>IF(O38="","",B38)</f>
        <v/>
      </c>
      <c r="Q38" s="17">
        <f>IF(O38="","",IF(O38="BUY",B38-K38*1.5,B38+K38*1.5))</f>
        <v/>
      </c>
      <c r="R38" s="17">
        <f>IF(O38="","",IF(O38="BUY",B38+K38*1.5,B38-K38*1.5))</f>
        <v/>
      </c>
      <c r="S38" s="17">
        <f>IF(O38="","",IF(O38="BUY",B38+K38*2,B38-K38*2))</f>
        <v/>
      </c>
      <c r="T38" s="17">
        <f>IF(O38="","",IF(O38="BUY",B38+K38*3,B38-K38*3))</f>
        <v/>
      </c>
      <c r="U38" s="16">
        <f>IF(OR(B38="",K38&lt;=0),"",IF(AND(B38&gt;E38,ABS(B38-E38)&lt;K38*0.5),"2ND","1ST"))</f>
        <v/>
      </c>
      <c r="V38" s="16">
        <f>IF(OR(B38="",K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8" s="16">
        <f>IF(OR(B38="",K38&lt;=0),"",IF(K38&gt;B38*0.05,"VOL-HIGH","VOL-NORMAL"))</f>
        <v/>
      </c>
      <c r="X38" s="16">
        <f>IF(OR(B38="",K38&lt;=0),"",IF(AND(L38="VOL-OK",W38="VOL-NORMAL",U38="2ND"),"OK","NG"))</f>
        <v/>
      </c>
      <c r="Y38" s="16">
        <f>IF(OR(B38="",K38&lt;=0),"",IF(AND(C38&gt;G38,D38&gt;H38),"UP",IF(AND(C38&lt;G38,D38&lt;H38),"DOWN","FLAT")))</f>
        <v/>
      </c>
    </row>
    <row r="39" ht="26" customHeight="1" s="1">
      <c r="A39" s="8">
        <f>IF('StockList_MS2'!A38="","",HYPERLINK("https://kabutan.jp/stock/?code="&amp;'StockList_MS2'!A38,'StockList_MS2'!A38))</f>
        <v/>
      </c>
      <c r="B39" s="9" t="n"/>
      <c r="C39" s="9" t="n"/>
      <c r="D39" s="9" t="n"/>
      <c r="E39" s="9" t="n"/>
      <c r="F39" s="10" t="n"/>
      <c r="G39" s="9" t="n"/>
      <c r="H39" s="9" t="n"/>
      <c r="I39" s="9" t="n"/>
      <c r="J39" s="11">
        <f>IF(B39="","",IF(B39&gt;I39,"BUY-DAY","SELL-DAY"))</f>
        <v/>
      </c>
      <c r="K39" s="12">
        <f>IF(B39="","",MAX(C39-D39,ABS(C39-I39),ABS(D39-I39)))</f>
        <v/>
      </c>
      <c r="L39" s="11">
        <f>IF(B39="","",IF(AND(F39&gt;0,F39&gt;(F39/3)*2.5),"VOL-OK","VOL-NG"))</f>
        <v/>
      </c>
      <c r="M39" s="11">
        <f>IF(B39="","",IF(B39&gt;G39,"ON","OFF"))</f>
        <v/>
      </c>
      <c r="N39" s="11">
        <f>IF(B39="","",IF(B39&lt;H39,"ON","OFF"))</f>
        <v/>
      </c>
      <c r="O39" s="11">
        <f>IF(OR(B39="",K39&lt;=0),"",IF(AND(J39="BUY-DAY",L39="VOL-OK",N39="ON",X39="OK",Y39&lt;&gt;"DOWN"),"BUY",IF(AND(J39="SELL-DAY",L39="VOL-OK",M39="ON",X39="OK",Y39&lt;&gt;"UP"),"SELL","")))</f>
        <v/>
      </c>
      <c r="P39" s="12">
        <f>IF(O39="","",B39)</f>
        <v/>
      </c>
      <c r="Q39" s="12">
        <f>IF(O39="","",IF(O39="BUY",B39-K39*1.5,B39+K39*1.5))</f>
        <v/>
      </c>
      <c r="R39" s="12">
        <f>IF(O39="","",IF(O39="BUY",B39+K39*1.5,B39-K39*1.5))</f>
        <v/>
      </c>
      <c r="S39" s="12">
        <f>IF(O39="","",IF(O39="BUY",B39+K39*2,B39-K39*2))</f>
        <v/>
      </c>
      <c r="T39" s="12">
        <f>IF(O39="","",IF(O39="BUY",B39+K39*3,B39-K39*3))</f>
        <v/>
      </c>
      <c r="U39" s="11">
        <f>IF(OR(B39="",K39&lt;=0),"",IF(AND(B39&gt;E39,ABS(B39-E39)&lt;K39*0.5),"2ND","1ST"))</f>
        <v/>
      </c>
      <c r="V39" s="11">
        <f>IF(OR(B39="",K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9" s="11">
        <f>IF(OR(B39="",K39&lt;=0),"",IF(K39&gt;B39*0.05,"VOL-HIGH","VOL-NORMAL"))</f>
        <v/>
      </c>
      <c r="X39" s="11">
        <f>IF(OR(B39="",K39&lt;=0),"",IF(AND(L39="VOL-OK",W39="VOL-NORMAL",U39="2ND"),"OK","NG"))</f>
        <v/>
      </c>
      <c r="Y39" s="11">
        <f>IF(OR(B39="",K39&lt;=0),"",IF(AND(C39&gt;G39,D39&gt;H39),"UP",IF(AND(C39&lt;G39,D39&lt;H39),"DOWN","FLAT")))</f>
        <v/>
      </c>
    </row>
    <row r="40" ht="26" customHeight="1" s="1">
      <c r="A40" s="13">
        <f>IF('StockList_MS2'!A39="","",HYPERLINK("https://kabutan.jp/stock/?code="&amp;'StockList_MS2'!A39,'StockList_MS2'!A39))</f>
        <v/>
      </c>
      <c r="B40" s="14" t="n"/>
      <c r="C40" s="14" t="n"/>
      <c r="D40" s="14" t="n"/>
      <c r="E40" s="14" t="n"/>
      <c r="F40" s="15" t="n"/>
      <c r="G40" s="14" t="n"/>
      <c r="H40" s="14" t="n"/>
      <c r="I40" s="14" t="n"/>
      <c r="J40" s="16">
        <f>IF(B40="","",IF(B40&gt;I40,"BUY-DAY","SELL-DAY"))</f>
        <v/>
      </c>
      <c r="K40" s="17">
        <f>IF(B40="","",MAX(C40-D40,ABS(C40-I40),ABS(D40-I40)))</f>
        <v/>
      </c>
      <c r="L40" s="16">
        <f>IF(B40="","",IF(AND(F40&gt;0,F40&gt;(F40/3)*2.5),"VOL-OK","VOL-NG"))</f>
        <v/>
      </c>
      <c r="M40" s="16">
        <f>IF(B40="","",IF(B40&gt;G40,"ON","OFF"))</f>
        <v/>
      </c>
      <c r="N40" s="16">
        <f>IF(B40="","",IF(B40&lt;H40,"ON","OFF"))</f>
        <v/>
      </c>
      <c r="O40" s="16">
        <f>IF(OR(B40="",K40&lt;=0),"",IF(AND(J40="BUY-DAY",L40="VOL-OK",N40="ON",X40="OK",Y40&lt;&gt;"DOWN"),"BUY",IF(AND(J40="SELL-DAY",L40="VOL-OK",M40="ON",X40="OK",Y40&lt;&gt;"UP"),"SELL","")))</f>
        <v/>
      </c>
      <c r="P40" s="17">
        <f>IF(O40="","",B40)</f>
        <v/>
      </c>
      <c r="Q40" s="17">
        <f>IF(O40="","",IF(O40="BUY",B40-K40*1.5,B40+K40*1.5))</f>
        <v/>
      </c>
      <c r="R40" s="17">
        <f>IF(O40="","",IF(O40="BUY",B40+K40*1.5,B40-K40*1.5))</f>
        <v/>
      </c>
      <c r="S40" s="17">
        <f>IF(O40="","",IF(O40="BUY",B40+K40*2,B40-K40*2))</f>
        <v/>
      </c>
      <c r="T40" s="17">
        <f>IF(O40="","",IF(O40="BUY",B40+K40*3,B40-K40*3))</f>
        <v/>
      </c>
      <c r="U40" s="16">
        <f>IF(OR(B40="",K40&lt;=0),"",IF(AND(B40&gt;E40,ABS(B40-E40)&lt;K40*0.5),"2ND","1ST"))</f>
        <v/>
      </c>
      <c r="V40" s="16">
        <f>IF(OR(B40="",K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0" s="16">
        <f>IF(OR(B40="",K40&lt;=0),"",IF(K40&gt;B40*0.05,"VOL-HIGH","VOL-NORMAL"))</f>
        <v/>
      </c>
      <c r="X40" s="16">
        <f>IF(OR(B40="",K40&lt;=0),"",IF(AND(L40="VOL-OK",W40="VOL-NORMAL",U40="2ND"),"OK","NG"))</f>
        <v/>
      </c>
      <c r="Y40" s="16">
        <f>IF(OR(B40="",K40&lt;=0),"",IF(AND(C40&gt;G40,D40&gt;H40),"UP",IF(AND(C40&lt;G40,D40&lt;H40),"DOWN","FLAT")))</f>
        <v/>
      </c>
    </row>
    <row r="41" ht="26" customHeight="1" s="1">
      <c r="A41" s="8">
        <f>IF('StockList_MS2'!A40="","",HYPERLINK("https://kabutan.jp/stock/?code="&amp;'StockList_MS2'!A40,'StockList_MS2'!A40))</f>
        <v/>
      </c>
      <c r="B41" s="9" t="n"/>
      <c r="C41" s="9" t="n"/>
      <c r="D41" s="9" t="n"/>
      <c r="E41" s="9" t="n"/>
      <c r="F41" s="10" t="n"/>
      <c r="G41" s="9" t="n"/>
      <c r="H41" s="9" t="n"/>
      <c r="I41" s="9" t="n"/>
      <c r="J41" s="11">
        <f>IF(B41="","",IF(B41&gt;I41,"BUY-DAY","SELL-DAY"))</f>
        <v/>
      </c>
      <c r="K41" s="12">
        <f>IF(B41="","",MAX(C41-D41,ABS(C41-I41),ABS(D41-I41)))</f>
        <v/>
      </c>
      <c r="L41" s="11">
        <f>IF(B41="","",IF(AND(F41&gt;0,F41&gt;(F41/3)*2.5),"VOL-OK","VOL-NG"))</f>
        <v/>
      </c>
      <c r="M41" s="11">
        <f>IF(B41="","",IF(B41&gt;G41,"ON","OFF"))</f>
        <v/>
      </c>
      <c r="N41" s="11">
        <f>IF(B41="","",IF(B41&lt;H41,"ON","OFF"))</f>
        <v/>
      </c>
      <c r="O41" s="11">
        <f>IF(OR(B41="",K41&lt;=0),"",IF(AND(J41="BUY-DAY",L41="VOL-OK",N41="ON",X41="OK",Y41&lt;&gt;"DOWN"),"BUY",IF(AND(J41="SELL-DAY",L41="VOL-OK",M41="ON",X41="OK",Y41&lt;&gt;"UP"),"SELL","")))</f>
        <v/>
      </c>
      <c r="P41" s="12">
        <f>IF(O41="","",B41)</f>
        <v/>
      </c>
      <c r="Q41" s="12">
        <f>IF(O41="","",IF(O41="BUY",B41-K41*1.5,B41+K41*1.5))</f>
        <v/>
      </c>
      <c r="R41" s="12">
        <f>IF(O41="","",IF(O41="BUY",B41+K41*1.5,B41-K41*1.5))</f>
        <v/>
      </c>
      <c r="S41" s="12">
        <f>IF(O41="","",IF(O41="BUY",B41+K41*2,B41-K41*2))</f>
        <v/>
      </c>
      <c r="T41" s="12">
        <f>IF(O41="","",IF(O41="BUY",B41+K41*3,B41-K41*3))</f>
        <v/>
      </c>
      <c r="U41" s="11">
        <f>IF(OR(B41="",K41&lt;=0),"",IF(AND(B41&gt;E41,ABS(B41-E41)&lt;K41*0.5),"2ND","1ST"))</f>
        <v/>
      </c>
      <c r="V41" s="11">
        <f>IF(OR(B41="",K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1" s="11">
        <f>IF(OR(B41="",K41&lt;=0),"",IF(K41&gt;B41*0.05,"VOL-HIGH","VOL-NORMAL"))</f>
        <v/>
      </c>
      <c r="X41" s="11">
        <f>IF(OR(B41="",K41&lt;=0),"",IF(AND(L41="VOL-OK",W41="VOL-NORMAL",U41="2ND"),"OK","NG"))</f>
        <v/>
      </c>
      <c r="Y41" s="11">
        <f>IF(OR(B41="",K41&lt;=0),"",IF(AND(C41&gt;G41,D41&gt;H41),"UP",IF(AND(C41&lt;G41,D41&lt;H41),"DOWN","FLAT")))</f>
        <v/>
      </c>
    </row>
    <row r="42" ht="26" customHeight="1" s="1">
      <c r="A42" s="13">
        <f>IF('StockList_MS2'!A41="","",HYPERLINK("https://kabutan.jp/stock/?code="&amp;'StockList_MS2'!A41,'StockList_MS2'!A41))</f>
        <v/>
      </c>
      <c r="B42" s="14" t="n"/>
      <c r="C42" s="14" t="n"/>
      <c r="D42" s="14" t="n"/>
      <c r="E42" s="14" t="n"/>
      <c r="F42" s="15" t="n"/>
      <c r="G42" s="14" t="n"/>
      <c r="H42" s="14" t="n"/>
      <c r="I42" s="14" t="n"/>
      <c r="J42" s="16">
        <f>IF(B42="","",IF(B42&gt;I42,"BUY-DAY","SELL-DAY"))</f>
        <v/>
      </c>
      <c r="K42" s="17">
        <f>IF(B42="","",MAX(C42-D42,ABS(C42-I42),ABS(D42-I42)))</f>
        <v/>
      </c>
      <c r="L42" s="16">
        <f>IF(B42="","",IF(AND(F42&gt;0,F42&gt;(F42/3)*2.5),"VOL-OK","VOL-NG"))</f>
        <v/>
      </c>
      <c r="M42" s="16">
        <f>IF(B42="","",IF(B42&gt;G42,"ON","OFF"))</f>
        <v/>
      </c>
      <c r="N42" s="16">
        <f>IF(B42="","",IF(B42&lt;H42,"ON","OFF"))</f>
        <v/>
      </c>
      <c r="O42" s="16">
        <f>IF(OR(B42="",K42&lt;=0),"",IF(AND(J42="BUY-DAY",L42="VOL-OK",N42="ON",X42="OK",Y42&lt;&gt;"DOWN"),"BUY",IF(AND(J42="SELL-DAY",L42="VOL-OK",M42="ON",X42="OK",Y42&lt;&gt;"UP"),"SELL","")))</f>
        <v/>
      </c>
      <c r="P42" s="17">
        <f>IF(O42="","",B42)</f>
        <v/>
      </c>
      <c r="Q42" s="17">
        <f>IF(O42="","",IF(O42="BUY",B42-K42*1.5,B42+K42*1.5))</f>
        <v/>
      </c>
      <c r="R42" s="17">
        <f>IF(O42="","",IF(O42="BUY",B42+K42*1.5,B42-K42*1.5))</f>
        <v/>
      </c>
      <c r="S42" s="17">
        <f>IF(O42="","",IF(O42="BUY",B42+K42*2,B42-K42*2))</f>
        <v/>
      </c>
      <c r="T42" s="17">
        <f>IF(O42="","",IF(O42="BUY",B42+K42*3,B42-K42*3))</f>
        <v/>
      </c>
      <c r="U42" s="16">
        <f>IF(OR(B42="",K42&lt;=0),"",IF(AND(B42&gt;E42,ABS(B42-E42)&lt;K42*0.5),"2ND","1ST"))</f>
        <v/>
      </c>
      <c r="V42" s="16">
        <f>IF(OR(B42="",K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2" s="16">
        <f>IF(OR(B42="",K42&lt;=0),"",IF(K42&gt;B42*0.05,"VOL-HIGH","VOL-NORMAL"))</f>
        <v/>
      </c>
      <c r="X42" s="16">
        <f>IF(OR(B42="",K42&lt;=0),"",IF(AND(L42="VOL-OK",W42="VOL-NORMAL",U42="2ND"),"OK","NG"))</f>
        <v/>
      </c>
      <c r="Y42" s="16">
        <f>IF(OR(B42="",K42&lt;=0),"",IF(AND(C42&gt;G42,D42&gt;H42),"UP",IF(AND(C42&lt;G42,D42&lt;H42),"DOWN","FLAT")))</f>
        <v/>
      </c>
    </row>
    <row r="43" ht="26" customHeight="1" s="1">
      <c r="A43" s="8">
        <f>IF('StockList_MS2'!A42="","",HYPERLINK("https://kabutan.jp/stock/?code="&amp;'StockList_MS2'!A42,'StockList_MS2'!A42))</f>
        <v/>
      </c>
      <c r="B43" s="9" t="n"/>
      <c r="C43" s="9" t="n"/>
      <c r="D43" s="9" t="n"/>
      <c r="E43" s="9" t="n"/>
      <c r="F43" s="10" t="n"/>
      <c r="G43" s="9" t="n"/>
      <c r="H43" s="9" t="n"/>
      <c r="I43" s="9" t="n"/>
      <c r="J43" s="11">
        <f>IF(B43="","",IF(B43&gt;I43,"BUY-DAY","SELL-DAY"))</f>
        <v/>
      </c>
      <c r="K43" s="12">
        <f>IF(B43="","",MAX(C43-D43,ABS(C43-I43),ABS(D43-I43)))</f>
        <v/>
      </c>
      <c r="L43" s="11">
        <f>IF(B43="","",IF(AND(F43&gt;0,F43&gt;(F43/3)*2.5),"VOL-OK","VOL-NG"))</f>
        <v/>
      </c>
      <c r="M43" s="11">
        <f>IF(B43="","",IF(B43&gt;G43,"ON","OFF"))</f>
        <v/>
      </c>
      <c r="N43" s="11">
        <f>IF(B43="","",IF(B43&lt;H43,"ON","OFF"))</f>
        <v/>
      </c>
      <c r="O43" s="11">
        <f>IF(OR(B43="",K43&lt;=0),"",IF(AND(J43="BUY-DAY",L43="VOL-OK",N43="ON",X43="OK",Y43&lt;&gt;"DOWN"),"BUY",IF(AND(J43="SELL-DAY",L43="VOL-OK",M43="ON",X43="OK",Y43&lt;&gt;"UP"),"SELL","")))</f>
        <v/>
      </c>
      <c r="P43" s="12">
        <f>IF(O43="","",B43)</f>
        <v/>
      </c>
      <c r="Q43" s="12">
        <f>IF(O43="","",IF(O43="BUY",B43-K43*1.5,B43+K43*1.5))</f>
        <v/>
      </c>
      <c r="R43" s="12">
        <f>IF(O43="","",IF(O43="BUY",B43+K43*1.5,B43-K43*1.5))</f>
        <v/>
      </c>
      <c r="S43" s="12">
        <f>IF(O43="","",IF(O43="BUY",B43+K43*2,B43-K43*2))</f>
        <v/>
      </c>
      <c r="T43" s="12">
        <f>IF(O43="","",IF(O43="BUY",B43+K43*3,B43-K43*3))</f>
        <v/>
      </c>
      <c r="U43" s="11">
        <f>IF(OR(B43="",K43&lt;=0),"",IF(AND(B43&gt;E43,ABS(B43-E43)&lt;K43*0.5),"2ND","1ST"))</f>
        <v/>
      </c>
      <c r="V43" s="11">
        <f>IF(OR(B43="",K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3" s="11">
        <f>IF(OR(B43="",K43&lt;=0),"",IF(K43&gt;B43*0.05,"VOL-HIGH","VOL-NORMAL"))</f>
        <v/>
      </c>
      <c r="X43" s="11">
        <f>IF(OR(B43="",K43&lt;=0),"",IF(AND(L43="VOL-OK",W43="VOL-NORMAL",U43="2ND"),"OK","NG"))</f>
        <v/>
      </c>
      <c r="Y43" s="11">
        <f>IF(OR(B43="",K43&lt;=0),"",IF(AND(C43&gt;G43,D43&gt;H43),"UP",IF(AND(C43&lt;G43,D43&lt;H43),"DOWN","FLAT")))</f>
        <v/>
      </c>
    </row>
    <row r="44" ht="26" customHeight="1" s="1">
      <c r="A44" s="13">
        <f>IF('StockList_MS2'!A43="","",HYPERLINK("https://kabutan.jp/stock/?code="&amp;'StockList_MS2'!A43,'StockList_MS2'!A43))</f>
        <v/>
      </c>
      <c r="B44" s="14" t="n"/>
      <c r="C44" s="14" t="n"/>
      <c r="D44" s="14" t="n"/>
      <c r="E44" s="14" t="n"/>
      <c r="F44" s="15" t="n"/>
      <c r="G44" s="14" t="n"/>
      <c r="H44" s="14" t="n"/>
      <c r="I44" s="14" t="n"/>
      <c r="J44" s="16">
        <f>IF(B44="","",IF(B44&gt;I44,"BUY-DAY","SELL-DAY"))</f>
        <v/>
      </c>
      <c r="K44" s="17">
        <f>IF(B44="","",MAX(C44-D44,ABS(C44-I44),ABS(D44-I44)))</f>
        <v/>
      </c>
      <c r="L44" s="16">
        <f>IF(B44="","",IF(AND(F44&gt;0,F44&gt;(F44/3)*2.5),"VOL-OK","VOL-NG"))</f>
        <v/>
      </c>
      <c r="M44" s="16">
        <f>IF(B44="","",IF(B44&gt;G44,"ON","OFF"))</f>
        <v/>
      </c>
      <c r="N44" s="16">
        <f>IF(B44="","",IF(B44&lt;H44,"ON","OFF"))</f>
        <v/>
      </c>
      <c r="O44" s="16">
        <f>IF(OR(B44="",K44&lt;=0),"",IF(AND(J44="BUY-DAY",L44="VOL-OK",N44="ON",X44="OK",Y44&lt;&gt;"DOWN"),"BUY",IF(AND(J44="SELL-DAY",L44="VOL-OK",M44="ON",X44="OK",Y44&lt;&gt;"UP"),"SELL","")))</f>
        <v/>
      </c>
      <c r="P44" s="17">
        <f>IF(O44="","",B44)</f>
        <v/>
      </c>
      <c r="Q44" s="17">
        <f>IF(O44="","",IF(O44="BUY",B44-K44*1.5,B44+K44*1.5))</f>
        <v/>
      </c>
      <c r="R44" s="17">
        <f>IF(O44="","",IF(O44="BUY",B44+K44*1.5,B44-K44*1.5))</f>
        <v/>
      </c>
      <c r="S44" s="17">
        <f>IF(O44="","",IF(O44="BUY",B44+K44*2,B44-K44*2))</f>
        <v/>
      </c>
      <c r="T44" s="17">
        <f>IF(O44="","",IF(O44="BUY",B44+K44*3,B44-K44*3))</f>
        <v/>
      </c>
      <c r="U44" s="16">
        <f>IF(OR(B44="",K44&lt;=0),"",IF(AND(B44&gt;E44,ABS(B44-E44)&lt;K44*0.5),"2ND","1ST"))</f>
        <v/>
      </c>
      <c r="V44" s="16">
        <f>IF(OR(B44="",K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4" s="16">
        <f>IF(OR(B44="",K44&lt;=0),"",IF(K44&gt;B44*0.05,"VOL-HIGH","VOL-NORMAL"))</f>
        <v/>
      </c>
      <c r="X44" s="16">
        <f>IF(OR(B44="",K44&lt;=0),"",IF(AND(L44="VOL-OK",W44="VOL-NORMAL",U44="2ND"),"OK","NG"))</f>
        <v/>
      </c>
      <c r="Y44" s="16">
        <f>IF(OR(B44="",K44&lt;=0),"",IF(AND(C44&gt;G44,D44&gt;H44),"UP",IF(AND(C44&lt;G44,D44&lt;H44),"DOWN","FLAT")))</f>
        <v/>
      </c>
    </row>
    <row r="45" ht="26" customHeight="1" s="1">
      <c r="A45" s="8">
        <f>IF('StockList_MS2'!A44="","",HYPERLINK("https://kabutan.jp/stock/?code="&amp;'StockList_MS2'!A44,'StockList_MS2'!A44))</f>
        <v/>
      </c>
      <c r="B45" s="9" t="n"/>
      <c r="C45" s="9" t="n"/>
      <c r="D45" s="9" t="n"/>
      <c r="E45" s="9" t="n"/>
      <c r="F45" s="10" t="n"/>
      <c r="G45" s="9" t="n"/>
      <c r="H45" s="9" t="n"/>
      <c r="I45" s="9" t="n"/>
      <c r="J45" s="11">
        <f>IF(B45="","",IF(B45&gt;I45,"BUY-DAY","SELL-DAY"))</f>
        <v/>
      </c>
      <c r="K45" s="12">
        <f>IF(B45="","",MAX(C45-D45,ABS(C45-I45),ABS(D45-I45)))</f>
        <v/>
      </c>
      <c r="L45" s="11">
        <f>IF(B45="","",IF(AND(F45&gt;0,F45&gt;(F45/3)*2.5),"VOL-OK","VOL-NG"))</f>
        <v/>
      </c>
      <c r="M45" s="11">
        <f>IF(B45="","",IF(B45&gt;G45,"ON","OFF"))</f>
        <v/>
      </c>
      <c r="N45" s="11">
        <f>IF(B45="","",IF(B45&lt;H45,"ON","OFF"))</f>
        <v/>
      </c>
      <c r="O45" s="11">
        <f>IF(OR(B45="",K45&lt;=0),"",IF(AND(J45="BUY-DAY",L45="VOL-OK",N45="ON",X45="OK",Y45&lt;&gt;"DOWN"),"BUY",IF(AND(J45="SELL-DAY",L45="VOL-OK",M45="ON",X45="OK",Y45&lt;&gt;"UP"),"SELL","")))</f>
        <v/>
      </c>
      <c r="P45" s="12">
        <f>IF(O45="","",B45)</f>
        <v/>
      </c>
      <c r="Q45" s="12">
        <f>IF(O45="","",IF(O45="BUY",B45-K45*1.5,B45+K45*1.5))</f>
        <v/>
      </c>
      <c r="R45" s="12">
        <f>IF(O45="","",IF(O45="BUY",B45+K45*1.5,B45-K45*1.5))</f>
        <v/>
      </c>
      <c r="S45" s="12">
        <f>IF(O45="","",IF(O45="BUY",B45+K45*2,B45-K45*2))</f>
        <v/>
      </c>
      <c r="T45" s="12">
        <f>IF(O45="","",IF(O45="BUY",B45+K45*3,B45-K45*3))</f>
        <v/>
      </c>
      <c r="U45" s="11">
        <f>IF(OR(B45="",K45&lt;=0),"",IF(AND(B45&gt;E45,ABS(B45-E45)&lt;K45*0.5),"2ND","1ST"))</f>
        <v/>
      </c>
      <c r="V45" s="11">
        <f>IF(OR(B45="",K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5" s="11">
        <f>IF(OR(B45="",K45&lt;=0),"",IF(K45&gt;B45*0.05,"VOL-HIGH","VOL-NORMAL"))</f>
        <v/>
      </c>
      <c r="X45" s="11">
        <f>IF(OR(B45="",K45&lt;=0),"",IF(AND(L45="VOL-OK",W45="VOL-NORMAL",U45="2ND"),"OK","NG"))</f>
        <v/>
      </c>
      <c r="Y45" s="11">
        <f>IF(OR(B45="",K45&lt;=0),"",IF(AND(C45&gt;G45,D45&gt;H45),"UP",IF(AND(C45&lt;G45,D45&lt;H45),"DOWN","FLAT")))</f>
        <v/>
      </c>
    </row>
    <row r="46" ht="26" customHeight="1" s="1">
      <c r="A46" s="13">
        <f>IF('StockList_MS2'!A45="","",HYPERLINK("https://kabutan.jp/stock/?code="&amp;'StockList_MS2'!A45,'StockList_MS2'!A45))</f>
        <v/>
      </c>
      <c r="B46" s="14" t="n"/>
      <c r="C46" s="14" t="n"/>
      <c r="D46" s="14" t="n"/>
      <c r="E46" s="14" t="n"/>
      <c r="F46" s="15" t="n"/>
      <c r="G46" s="14" t="n"/>
      <c r="H46" s="14" t="n"/>
      <c r="I46" s="14" t="n"/>
      <c r="J46" s="16">
        <f>IF(B46="","",IF(B46&gt;I46,"BUY-DAY","SELL-DAY"))</f>
        <v/>
      </c>
      <c r="K46" s="17">
        <f>IF(B46="","",MAX(C46-D46,ABS(C46-I46),ABS(D46-I46)))</f>
        <v/>
      </c>
      <c r="L46" s="16">
        <f>IF(B46="","",IF(AND(F46&gt;0,F46&gt;(F46/3)*2.5),"VOL-OK","VOL-NG"))</f>
        <v/>
      </c>
      <c r="M46" s="16">
        <f>IF(B46="","",IF(B46&gt;G46,"ON","OFF"))</f>
        <v/>
      </c>
      <c r="N46" s="16">
        <f>IF(B46="","",IF(B46&lt;H46,"ON","OFF"))</f>
        <v/>
      </c>
      <c r="O46" s="16">
        <f>IF(OR(B46="",K46&lt;=0),"",IF(AND(J46="BUY-DAY",L46="VOL-OK",N46="ON",X46="OK",Y46&lt;&gt;"DOWN"),"BUY",IF(AND(J46="SELL-DAY",L46="VOL-OK",M46="ON",X46="OK",Y46&lt;&gt;"UP"),"SELL","")))</f>
        <v/>
      </c>
      <c r="P46" s="17">
        <f>IF(O46="","",B46)</f>
        <v/>
      </c>
      <c r="Q46" s="17">
        <f>IF(O46="","",IF(O46="BUY",B46-K46*1.5,B46+K46*1.5))</f>
        <v/>
      </c>
      <c r="R46" s="17">
        <f>IF(O46="","",IF(O46="BUY",B46+K46*1.5,B46-K46*1.5))</f>
        <v/>
      </c>
      <c r="S46" s="17">
        <f>IF(O46="","",IF(O46="BUY",B46+K46*2,B46-K46*2))</f>
        <v/>
      </c>
      <c r="T46" s="17">
        <f>IF(O46="","",IF(O46="BUY",B46+K46*3,B46-K46*3))</f>
        <v/>
      </c>
      <c r="U46" s="16">
        <f>IF(OR(B46="",K46&lt;=0),"",IF(AND(B46&gt;E46,ABS(B46-E46)&lt;K46*0.5),"2ND","1ST"))</f>
        <v/>
      </c>
      <c r="V46" s="16">
        <f>IF(OR(B46="",K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6" s="16">
        <f>IF(OR(B46="",K46&lt;=0),"",IF(K46&gt;B46*0.05,"VOL-HIGH","VOL-NORMAL"))</f>
        <v/>
      </c>
      <c r="X46" s="16">
        <f>IF(OR(B46="",K46&lt;=0),"",IF(AND(L46="VOL-OK",W46="VOL-NORMAL",U46="2ND"),"OK","NG"))</f>
        <v/>
      </c>
      <c r="Y46" s="16">
        <f>IF(OR(B46="",K46&lt;=0),"",IF(AND(C46&gt;G46,D46&gt;H46),"UP",IF(AND(C46&lt;G46,D46&lt;H46),"DOWN","FLAT")))</f>
        <v/>
      </c>
    </row>
    <row r="47" ht="26" customHeight="1" s="1">
      <c r="A47" s="8">
        <f>IF('StockList_MS2'!A46="","",HYPERLINK("https://kabutan.jp/stock/?code="&amp;'StockList_MS2'!A46,'StockList_MS2'!A46))</f>
        <v/>
      </c>
      <c r="B47" s="9" t="n"/>
      <c r="C47" s="9" t="n"/>
      <c r="D47" s="9" t="n"/>
      <c r="E47" s="9" t="n"/>
      <c r="F47" s="10" t="n"/>
      <c r="G47" s="9" t="n"/>
      <c r="H47" s="9" t="n"/>
      <c r="I47" s="9" t="n"/>
      <c r="J47" s="11">
        <f>IF(B47="","",IF(B47&gt;I47,"BUY-DAY","SELL-DAY"))</f>
        <v/>
      </c>
      <c r="K47" s="12">
        <f>IF(B47="","",MAX(C47-D47,ABS(C47-I47),ABS(D47-I47)))</f>
        <v/>
      </c>
      <c r="L47" s="11">
        <f>IF(B47="","",IF(AND(F47&gt;0,F47&gt;(F47/3)*2.5),"VOL-OK","VOL-NG"))</f>
        <v/>
      </c>
      <c r="M47" s="11">
        <f>IF(B47="","",IF(B47&gt;G47,"ON","OFF"))</f>
        <v/>
      </c>
      <c r="N47" s="11">
        <f>IF(B47="","",IF(B47&lt;H47,"ON","OFF"))</f>
        <v/>
      </c>
      <c r="O47" s="11">
        <f>IF(OR(B47="",K47&lt;=0),"",IF(AND(J47="BUY-DAY",L47="VOL-OK",N47="ON",X47="OK",Y47&lt;&gt;"DOWN"),"BUY",IF(AND(J47="SELL-DAY",L47="VOL-OK",M47="ON",X47="OK",Y47&lt;&gt;"UP"),"SELL","")))</f>
        <v/>
      </c>
      <c r="P47" s="12">
        <f>IF(O47="","",B47)</f>
        <v/>
      </c>
      <c r="Q47" s="12">
        <f>IF(O47="","",IF(O47="BUY",B47-K47*1.5,B47+K47*1.5))</f>
        <v/>
      </c>
      <c r="R47" s="12">
        <f>IF(O47="","",IF(O47="BUY",B47+K47*1.5,B47-K47*1.5))</f>
        <v/>
      </c>
      <c r="S47" s="12">
        <f>IF(O47="","",IF(O47="BUY",B47+K47*2,B47-K47*2))</f>
        <v/>
      </c>
      <c r="T47" s="12">
        <f>IF(O47="","",IF(O47="BUY",B47+K47*3,B47-K47*3))</f>
        <v/>
      </c>
      <c r="U47" s="11">
        <f>IF(OR(B47="",K47&lt;=0),"",IF(AND(B47&gt;E47,ABS(B47-E47)&lt;K47*0.5),"2ND","1ST"))</f>
        <v/>
      </c>
      <c r="V47" s="11">
        <f>IF(OR(B47="",K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7" s="11">
        <f>IF(OR(B47="",K47&lt;=0),"",IF(K47&gt;B47*0.05,"VOL-HIGH","VOL-NORMAL"))</f>
        <v/>
      </c>
      <c r="X47" s="11">
        <f>IF(OR(B47="",K47&lt;=0),"",IF(AND(L47="VOL-OK",W47="VOL-NORMAL",U47="2ND"),"OK","NG"))</f>
        <v/>
      </c>
      <c r="Y47" s="11">
        <f>IF(OR(B47="",K47&lt;=0),"",IF(AND(C47&gt;G47,D47&gt;H47),"UP",IF(AND(C47&lt;G47,D47&lt;H47),"DOWN","FLAT")))</f>
        <v/>
      </c>
    </row>
    <row r="48" ht="26" customHeight="1" s="1">
      <c r="A48" s="13">
        <f>IF('StockList_MS2'!A47="","",HYPERLINK("https://kabutan.jp/stock/?code="&amp;'StockList_MS2'!A47,'StockList_MS2'!A47))</f>
        <v/>
      </c>
      <c r="B48" s="14" t="n"/>
      <c r="C48" s="14" t="n"/>
      <c r="D48" s="14" t="n"/>
      <c r="E48" s="14" t="n"/>
      <c r="F48" s="15" t="n"/>
      <c r="G48" s="14" t="n"/>
      <c r="H48" s="14" t="n"/>
      <c r="I48" s="14" t="n"/>
      <c r="J48" s="16">
        <f>IF(B48="","",IF(B48&gt;I48,"BUY-DAY","SELL-DAY"))</f>
        <v/>
      </c>
      <c r="K48" s="17">
        <f>IF(B48="","",MAX(C48-D48,ABS(C48-I48),ABS(D48-I48)))</f>
        <v/>
      </c>
      <c r="L48" s="16">
        <f>IF(B48="","",IF(AND(F48&gt;0,F48&gt;(F48/3)*2.5),"VOL-OK","VOL-NG"))</f>
        <v/>
      </c>
      <c r="M48" s="16">
        <f>IF(B48="","",IF(B48&gt;G48,"ON","OFF"))</f>
        <v/>
      </c>
      <c r="N48" s="16">
        <f>IF(B48="","",IF(B48&lt;H48,"ON","OFF"))</f>
        <v/>
      </c>
      <c r="O48" s="16">
        <f>IF(OR(B48="",K48&lt;=0),"",IF(AND(J48="BUY-DAY",L48="VOL-OK",N48="ON",X48="OK",Y48&lt;&gt;"DOWN"),"BUY",IF(AND(J48="SELL-DAY",L48="VOL-OK",M48="ON",X48="OK",Y48&lt;&gt;"UP"),"SELL","")))</f>
        <v/>
      </c>
      <c r="P48" s="17">
        <f>IF(O48="","",B48)</f>
        <v/>
      </c>
      <c r="Q48" s="17">
        <f>IF(O48="","",IF(O48="BUY",B48-K48*1.5,B48+K48*1.5))</f>
        <v/>
      </c>
      <c r="R48" s="17">
        <f>IF(O48="","",IF(O48="BUY",B48+K48*1.5,B48-K48*1.5))</f>
        <v/>
      </c>
      <c r="S48" s="17">
        <f>IF(O48="","",IF(O48="BUY",B48+K48*2,B48-K48*2))</f>
        <v/>
      </c>
      <c r="T48" s="17">
        <f>IF(O48="","",IF(O48="BUY",B48+K48*3,B48-K48*3))</f>
        <v/>
      </c>
      <c r="U48" s="16">
        <f>IF(OR(B48="",K48&lt;=0),"",IF(AND(B48&gt;E48,ABS(B48-E48)&lt;K48*0.5),"2ND","1ST"))</f>
        <v/>
      </c>
      <c r="V48" s="16">
        <f>IF(OR(B48="",K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8" s="16">
        <f>IF(OR(B48="",K48&lt;=0),"",IF(K48&gt;B48*0.05,"VOL-HIGH","VOL-NORMAL"))</f>
        <v/>
      </c>
      <c r="X48" s="16">
        <f>IF(OR(B48="",K48&lt;=0),"",IF(AND(L48="VOL-OK",W48="VOL-NORMAL",U48="2ND"),"OK","NG"))</f>
        <v/>
      </c>
      <c r="Y48" s="16">
        <f>IF(OR(B48="",K48&lt;=0),"",IF(AND(C48&gt;G48,D48&gt;H48),"UP",IF(AND(C48&lt;G48,D48&lt;H48),"DOWN","FLAT")))</f>
        <v/>
      </c>
    </row>
    <row r="49" ht="26" customHeight="1" s="1">
      <c r="A49" s="8">
        <f>IF('StockList_MS2'!A48="","",HYPERLINK("https://kabutan.jp/stock/?code="&amp;'StockList_MS2'!A48,'StockList_MS2'!A48))</f>
        <v/>
      </c>
      <c r="B49" s="9" t="n"/>
      <c r="C49" s="9" t="n"/>
      <c r="D49" s="9" t="n"/>
      <c r="E49" s="9" t="n"/>
      <c r="F49" s="10" t="n"/>
      <c r="G49" s="9" t="n"/>
      <c r="H49" s="9" t="n"/>
      <c r="I49" s="9" t="n"/>
      <c r="J49" s="11">
        <f>IF(B49="","",IF(B49&gt;I49,"BUY-DAY","SELL-DAY"))</f>
        <v/>
      </c>
      <c r="K49" s="12">
        <f>IF(B49="","",MAX(C49-D49,ABS(C49-I49),ABS(D49-I49)))</f>
        <v/>
      </c>
      <c r="L49" s="11">
        <f>IF(B49="","",IF(AND(F49&gt;0,F49&gt;(F49/3)*2.5),"VOL-OK","VOL-NG"))</f>
        <v/>
      </c>
      <c r="M49" s="11">
        <f>IF(B49="","",IF(B49&gt;G49,"ON","OFF"))</f>
        <v/>
      </c>
      <c r="N49" s="11">
        <f>IF(B49="","",IF(B49&lt;H49,"ON","OFF"))</f>
        <v/>
      </c>
      <c r="O49" s="11">
        <f>IF(OR(B49="",K49&lt;=0),"",IF(AND(J49="BUY-DAY",L49="VOL-OK",N49="ON",X49="OK",Y49&lt;&gt;"DOWN"),"BUY",IF(AND(J49="SELL-DAY",L49="VOL-OK",M49="ON",X49="OK",Y49&lt;&gt;"UP"),"SELL","")))</f>
        <v/>
      </c>
      <c r="P49" s="12">
        <f>IF(O49="","",B49)</f>
        <v/>
      </c>
      <c r="Q49" s="12">
        <f>IF(O49="","",IF(O49="BUY",B49-K49*1.5,B49+K49*1.5))</f>
        <v/>
      </c>
      <c r="R49" s="12">
        <f>IF(O49="","",IF(O49="BUY",B49+K49*1.5,B49-K49*1.5))</f>
        <v/>
      </c>
      <c r="S49" s="12">
        <f>IF(O49="","",IF(O49="BUY",B49+K49*2,B49-K49*2))</f>
        <v/>
      </c>
      <c r="T49" s="12">
        <f>IF(O49="","",IF(O49="BUY",B49+K49*3,B49-K49*3))</f>
        <v/>
      </c>
      <c r="U49" s="11">
        <f>IF(OR(B49="",K49&lt;=0),"",IF(AND(B49&gt;E49,ABS(B49-E49)&lt;K49*0.5),"2ND","1ST"))</f>
        <v/>
      </c>
      <c r="V49" s="11">
        <f>IF(OR(B49="",K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9" s="11">
        <f>IF(OR(B49="",K49&lt;=0),"",IF(K49&gt;B49*0.05,"VOL-HIGH","VOL-NORMAL"))</f>
        <v/>
      </c>
      <c r="X49" s="11">
        <f>IF(OR(B49="",K49&lt;=0),"",IF(AND(L49="VOL-OK",W49="VOL-NORMAL",U49="2ND"),"OK","NG"))</f>
        <v/>
      </c>
      <c r="Y49" s="11">
        <f>IF(OR(B49="",K49&lt;=0),"",IF(AND(C49&gt;G49,D49&gt;H49),"UP",IF(AND(C49&lt;G49,D49&lt;H49),"DOWN","FLAT")))</f>
        <v/>
      </c>
    </row>
    <row r="50" ht="26" customHeight="1" s="1">
      <c r="A50" s="13">
        <f>IF('StockList_MS2'!A49="","",HYPERLINK("https://kabutan.jp/stock/?code="&amp;'StockList_MS2'!A49,'StockList_MS2'!A49))</f>
        <v/>
      </c>
      <c r="B50" s="14" t="n"/>
      <c r="C50" s="14" t="n"/>
      <c r="D50" s="14" t="n"/>
      <c r="E50" s="14" t="n"/>
      <c r="F50" s="15" t="n"/>
      <c r="G50" s="14" t="n"/>
      <c r="H50" s="14" t="n"/>
      <c r="I50" s="14" t="n"/>
      <c r="J50" s="16">
        <f>IF(B50="","",IF(B50&gt;I50,"BUY-DAY","SELL-DAY"))</f>
        <v/>
      </c>
      <c r="K50" s="17">
        <f>IF(B50="","",MAX(C50-D50,ABS(C50-I50),ABS(D50-I50)))</f>
        <v/>
      </c>
      <c r="L50" s="16">
        <f>IF(B50="","",IF(AND(F50&gt;0,F50&gt;(F50/3)*2.5),"VOL-OK","VOL-NG"))</f>
        <v/>
      </c>
      <c r="M50" s="16">
        <f>IF(B50="","",IF(B50&gt;G50,"ON","OFF"))</f>
        <v/>
      </c>
      <c r="N50" s="16">
        <f>IF(B50="","",IF(B50&lt;H50,"ON","OFF"))</f>
        <v/>
      </c>
      <c r="O50" s="16">
        <f>IF(OR(B50="",K50&lt;=0),"",IF(AND(J50="BUY-DAY",L50="VOL-OK",N50="ON",X50="OK",Y50&lt;&gt;"DOWN"),"BUY",IF(AND(J50="SELL-DAY",L50="VOL-OK",M50="ON",X50="OK",Y50&lt;&gt;"UP"),"SELL","")))</f>
        <v/>
      </c>
      <c r="P50" s="17">
        <f>IF(O50="","",B50)</f>
        <v/>
      </c>
      <c r="Q50" s="17">
        <f>IF(O50="","",IF(O50="BUY",B50-K50*1.5,B50+K50*1.5))</f>
        <v/>
      </c>
      <c r="R50" s="17">
        <f>IF(O50="","",IF(O50="BUY",B50+K50*1.5,B50-K50*1.5))</f>
        <v/>
      </c>
      <c r="S50" s="17">
        <f>IF(O50="","",IF(O50="BUY",B50+K50*2,B50-K50*2))</f>
        <v/>
      </c>
      <c r="T50" s="17">
        <f>IF(O50="","",IF(O50="BUY",B50+K50*3,B50-K50*3))</f>
        <v/>
      </c>
      <c r="U50" s="16">
        <f>IF(OR(B50="",K50&lt;=0),"",IF(AND(B50&gt;E50,ABS(B50-E50)&lt;K50*0.5),"2ND","1ST"))</f>
        <v/>
      </c>
      <c r="V50" s="16">
        <f>IF(OR(B50="",K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0" s="16">
        <f>IF(OR(B50="",K50&lt;=0),"",IF(K50&gt;B50*0.05,"VOL-HIGH","VOL-NORMAL"))</f>
        <v/>
      </c>
      <c r="X50" s="16">
        <f>IF(OR(B50="",K50&lt;=0),"",IF(AND(L50="VOL-OK",W50="VOL-NORMAL",U50="2ND"),"OK","NG"))</f>
        <v/>
      </c>
      <c r="Y50" s="16">
        <f>IF(OR(B50="",K50&lt;=0),"",IF(AND(C50&gt;G50,D50&gt;H50),"UP",IF(AND(C50&lt;G50,D50&lt;H50),"DOWN","FLAT")))</f>
        <v/>
      </c>
    </row>
    <row r="51" ht="26" customHeight="1" s="1">
      <c r="A51" s="8">
        <f>IF('StockList_MS2'!A50="","",HYPERLINK("https://kabutan.jp/stock/?code="&amp;'StockList_MS2'!A50,'StockList_MS2'!A50))</f>
        <v/>
      </c>
      <c r="B51" s="9" t="n"/>
      <c r="C51" s="9" t="n"/>
      <c r="D51" s="9" t="n"/>
      <c r="E51" s="9" t="n"/>
      <c r="F51" s="10" t="n"/>
      <c r="G51" s="9" t="n"/>
      <c r="H51" s="9" t="n"/>
      <c r="I51" s="9" t="n"/>
      <c r="J51" s="11">
        <f>IF(B51="","",IF(B51&gt;I51,"BUY-DAY","SELL-DAY"))</f>
        <v/>
      </c>
      <c r="K51" s="12">
        <f>IF(B51="","",MAX(C51-D51,ABS(C51-I51),ABS(D51-I51)))</f>
        <v/>
      </c>
      <c r="L51" s="11">
        <f>IF(B51="","",IF(AND(F51&gt;0,F51&gt;(F51/3)*2.5),"VOL-OK","VOL-NG"))</f>
        <v/>
      </c>
      <c r="M51" s="11">
        <f>IF(B51="","",IF(B51&gt;G51,"ON","OFF"))</f>
        <v/>
      </c>
      <c r="N51" s="11">
        <f>IF(B51="","",IF(B51&lt;H51,"ON","OFF"))</f>
        <v/>
      </c>
      <c r="O51" s="11">
        <f>IF(OR(B51="",K51&lt;=0),"",IF(AND(J51="BUY-DAY",L51="VOL-OK",N51="ON",X51="OK",Y51&lt;&gt;"DOWN"),"BUY",IF(AND(J51="SELL-DAY",L51="VOL-OK",M51="ON",X51="OK",Y51&lt;&gt;"UP"),"SELL","")))</f>
        <v/>
      </c>
      <c r="P51" s="12">
        <f>IF(O51="","",B51)</f>
        <v/>
      </c>
      <c r="Q51" s="12">
        <f>IF(O51="","",IF(O51="BUY",B51-K51*1.5,B51+K51*1.5))</f>
        <v/>
      </c>
      <c r="R51" s="12">
        <f>IF(O51="","",IF(O51="BUY",B51+K51*1.5,B51-K51*1.5))</f>
        <v/>
      </c>
      <c r="S51" s="12">
        <f>IF(O51="","",IF(O51="BUY",B51+K51*2,B51-K51*2))</f>
        <v/>
      </c>
      <c r="T51" s="12">
        <f>IF(O51="","",IF(O51="BUY",B51+K51*3,B51-K51*3))</f>
        <v/>
      </c>
      <c r="U51" s="11">
        <f>IF(OR(B51="",K51&lt;=0),"",IF(AND(B51&gt;E51,ABS(B51-E51)&lt;K51*0.5),"2ND","1ST"))</f>
        <v/>
      </c>
      <c r="V51" s="11">
        <f>IF(OR(B51="",K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1" s="11">
        <f>IF(OR(B51="",K51&lt;=0),"",IF(K51&gt;B51*0.05,"VOL-HIGH","VOL-NORMAL"))</f>
        <v/>
      </c>
      <c r="X51" s="11">
        <f>IF(OR(B51="",K51&lt;=0),"",IF(AND(L51="VOL-OK",W51="VOL-NORMAL",U51="2ND"),"OK","NG"))</f>
        <v/>
      </c>
      <c r="Y51" s="11">
        <f>IF(OR(B51="",K51&lt;=0),"",IF(AND(C51&gt;G51,D51&gt;H51),"UP",IF(AND(C51&lt;G51,D51&lt;H51),"DOWN","FLAT")))</f>
        <v/>
      </c>
    </row>
    <row r="52" ht="26" customHeight="1" s="1">
      <c r="A52" s="13">
        <f>IF('StockList_MS2'!A51="","",HYPERLINK("https://kabutan.jp/stock/?code="&amp;'StockList_MS2'!A51,'StockList_MS2'!A51))</f>
        <v/>
      </c>
      <c r="B52" s="14" t="n"/>
      <c r="C52" s="14" t="n"/>
      <c r="D52" s="14" t="n"/>
      <c r="E52" s="14" t="n"/>
      <c r="F52" s="15" t="n"/>
      <c r="G52" s="14" t="n"/>
      <c r="H52" s="14" t="n"/>
      <c r="I52" s="14" t="n"/>
      <c r="J52" s="16">
        <f>IF(B52="","",IF(B52&gt;I52,"BUY-DAY","SELL-DAY"))</f>
        <v/>
      </c>
      <c r="K52" s="17">
        <f>IF(B52="","",MAX(C52-D52,ABS(C52-I52),ABS(D52-I52)))</f>
        <v/>
      </c>
      <c r="L52" s="16">
        <f>IF(B52="","",IF(AND(F52&gt;0,F52&gt;(F52/3)*2.5),"VOL-OK","VOL-NG"))</f>
        <v/>
      </c>
      <c r="M52" s="16">
        <f>IF(B52="","",IF(B52&gt;G52,"ON","OFF"))</f>
        <v/>
      </c>
      <c r="N52" s="16">
        <f>IF(B52="","",IF(B52&lt;H52,"ON","OFF"))</f>
        <v/>
      </c>
      <c r="O52" s="16">
        <f>IF(OR(B52="",K52&lt;=0),"",IF(AND(J52="BUY-DAY",L52="VOL-OK",N52="ON",X52="OK",Y52&lt;&gt;"DOWN"),"BUY",IF(AND(J52="SELL-DAY",L52="VOL-OK",M52="ON",X52="OK",Y52&lt;&gt;"UP"),"SELL","")))</f>
        <v/>
      </c>
      <c r="P52" s="17">
        <f>IF(O52="","",B52)</f>
        <v/>
      </c>
      <c r="Q52" s="17">
        <f>IF(O52="","",IF(O52="BUY",B52-K52*1.5,B52+K52*1.5))</f>
        <v/>
      </c>
      <c r="R52" s="17">
        <f>IF(O52="","",IF(O52="BUY",B52+K52*1.5,B52-K52*1.5))</f>
        <v/>
      </c>
      <c r="S52" s="17">
        <f>IF(O52="","",IF(O52="BUY",B52+K52*2,B52-K52*2))</f>
        <v/>
      </c>
      <c r="T52" s="17">
        <f>IF(O52="","",IF(O52="BUY",B52+K52*3,B52-K52*3))</f>
        <v/>
      </c>
      <c r="U52" s="16">
        <f>IF(OR(B52="",K52&lt;=0),"",IF(AND(B52&gt;E52,ABS(B52-E52)&lt;K52*0.5),"2ND","1ST"))</f>
        <v/>
      </c>
      <c r="V52" s="16">
        <f>IF(OR(B52="",K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2" s="16">
        <f>IF(OR(B52="",K52&lt;=0),"",IF(K52&gt;B52*0.05,"VOL-HIGH","VOL-NORMAL"))</f>
        <v/>
      </c>
      <c r="X52" s="16">
        <f>IF(OR(B52="",K52&lt;=0),"",IF(AND(L52="VOL-OK",W52="VOL-NORMAL",U52="2ND"),"OK","NG"))</f>
        <v/>
      </c>
      <c r="Y52" s="16">
        <f>IF(OR(B52="",K52&lt;=0),"",IF(AND(C52&gt;G52,D52&gt;H52),"UP",IF(AND(C52&lt;G52,D52&lt;H52),"DOWN","FLAT")))</f>
        <v/>
      </c>
    </row>
    <row r="53" ht="26" customHeight="1" s="1">
      <c r="A53" s="8">
        <f>IF('StockList_MS2'!A52="","",HYPERLINK("https://kabutan.jp/stock/?code="&amp;'StockList_MS2'!A52,'StockList_MS2'!A52))</f>
        <v/>
      </c>
      <c r="B53" s="9" t="n"/>
      <c r="C53" s="9" t="n"/>
      <c r="D53" s="9" t="n"/>
      <c r="E53" s="9" t="n"/>
      <c r="F53" s="10" t="n"/>
      <c r="G53" s="9" t="n"/>
      <c r="H53" s="9" t="n"/>
      <c r="I53" s="9" t="n"/>
      <c r="J53" s="11">
        <f>IF(B53="","",IF(B53&gt;I53,"BUY-DAY","SELL-DAY"))</f>
        <v/>
      </c>
      <c r="K53" s="12">
        <f>IF(B53="","",MAX(C53-D53,ABS(C53-I53),ABS(D53-I53)))</f>
        <v/>
      </c>
      <c r="L53" s="11">
        <f>IF(B53="","",IF(AND(F53&gt;0,F53&gt;(F53/3)*2.5),"VOL-OK","VOL-NG"))</f>
        <v/>
      </c>
      <c r="M53" s="11">
        <f>IF(B53="","",IF(B53&gt;G53,"ON","OFF"))</f>
        <v/>
      </c>
      <c r="N53" s="11">
        <f>IF(B53="","",IF(B53&lt;H53,"ON","OFF"))</f>
        <v/>
      </c>
      <c r="O53" s="11">
        <f>IF(OR(B53="",K53&lt;=0),"",IF(AND(J53="BUY-DAY",L53="VOL-OK",N53="ON",X53="OK",Y53&lt;&gt;"DOWN"),"BUY",IF(AND(J53="SELL-DAY",L53="VOL-OK",M53="ON",X53="OK",Y53&lt;&gt;"UP"),"SELL","")))</f>
        <v/>
      </c>
      <c r="P53" s="12">
        <f>IF(O53="","",B53)</f>
        <v/>
      </c>
      <c r="Q53" s="12">
        <f>IF(O53="","",IF(O53="BUY",B53-K53*1.5,B53+K53*1.5))</f>
        <v/>
      </c>
      <c r="R53" s="12">
        <f>IF(O53="","",IF(O53="BUY",B53+K53*1.5,B53-K53*1.5))</f>
        <v/>
      </c>
      <c r="S53" s="12">
        <f>IF(O53="","",IF(O53="BUY",B53+K53*2,B53-K53*2))</f>
        <v/>
      </c>
      <c r="T53" s="12">
        <f>IF(O53="","",IF(O53="BUY",B53+K53*3,B53-K53*3))</f>
        <v/>
      </c>
      <c r="U53" s="11">
        <f>IF(OR(B53="",K53&lt;=0),"",IF(AND(B53&gt;E53,ABS(B53-E53)&lt;K53*0.5),"2ND","1ST"))</f>
        <v/>
      </c>
      <c r="V53" s="11">
        <f>IF(OR(B53="",K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3" s="11">
        <f>IF(OR(B53="",K53&lt;=0),"",IF(K53&gt;B53*0.05,"VOL-HIGH","VOL-NORMAL"))</f>
        <v/>
      </c>
      <c r="X53" s="11">
        <f>IF(OR(B53="",K53&lt;=0),"",IF(AND(L53="VOL-OK",W53="VOL-NORMAL",U53="2ND"),"OK","NG"))</f>
        <v/>
      </c>
      <c r="Y53" s="11">
        <f>IF(OR(B53="",K53&lt;=0),"",IF(AND(C53&gt;G53,D53&gt;H53),"UP",IF(AND(C53&lt;G53,D53&lt;H53),"DOWN","FLAT")))</f>
        <v/>
      </c>
    </row>
    <row r="54" ht="26" customHeight="1" s="1">
      <c r="A54" s="13">
        <f>IF('StockList_MS2'!A53="","",HYPERLINK("https://kabutan.jp/stock/?code="&amp;'StockList_MS2'!A53,'StockList_MS2'!A53))</f>
        <v/>
      </c>
      <c r="B54" s="14" t="n"/>
      <c r="C54" s="14" t="n"/>
      <c r="D54" s="14" t="n"/>
      <c r="E54" s="14" t="n"/>
      <c r="F54" s="15" t="n"/>
      <c r="G54" s="14" t="n"/>
      <c r="H54" s="14" t="n"/>
      <c r="I54" s="14" t="n"/>
      <c r="J54" s="16">
        <f>IF(B54="","",IF(B54&gt;I54,"BUY-DAY","SELL-DAY"))</f>
        <v/>
      </c>
      <c r="K54" s="17">
        <f>IF(B54="","",MAX(C54-D54,ABS(C54-I54),ABS(D54-I54)))</f>
        <v/>
      </c>
      <c r="L54" s="16">
        <f>IF(B54="","",IF(AND(F54&gt;0,F54&gt;(F54/3)*2.5),"VOL-OK","VOL-NG"))</f>
        <v/>
      </c>
      <c r="M54" s="16">
        <f>IF(B54="","",IF(B54&gt;G54,"ON","OFF"))</f>
        <v/>
      </c>
      <c r="N54" s="16">
        <f>IF(B54="","",IF(B54&lt;H54,"ON","OFF"))</f>
        <v/>
      </c>
      <c r="O54" s="16">
        <f>IF(OR(B54="",K54&lt;=0),"",IF(AND(J54="BUY-DAY",L54="VOL-OK",N54="ON",X54="OK",Y54&lt;&gt;"DOWN"),"BUY",IF(AND(J54="SELL-DAY",L54="VOL-OK",M54="ON",X54="OK",Y54&lt;&gt;"UP"),"SELL","")))</f>
        <v/>
      </c>
      <c r="P54" s="17">
        <f>IF(O54="","",B54)</f>
        <v/>
      </c>
      <c r="Q54" s="17">
        <f>IF(O54="","",IF(O54="BUY",B54-K54*1.5,B54+K54*1.5))</f>
        <v/>
      </c>
      <c r="R54" s="17">
        <f>IF(O54="","",IF(O54="BUY",B54+K54*1.5,B54-K54*1.5))</f>
        <v/>
      </c>
      <c r="S54" s="17">
        <f>IF(O54="","",IF(O54="BUY",B54+K54*2,B54-K54*2))</f>
        <v/>
      </c>
      <c r="T54" s="17">
        <f>IF(O54="","",IF(O54="BUY",B54+K54*3,B54-K54*3))</f>
        <v/>
      </c>
      <c r="U54" s="16">
        <f>IF(OR(B54="",K54&lt;=0),"",IF(AND(B54&gt;E54,ABS(B54-E54)&lt;K54*0.5),"2ND","1ST"))</f>
        <v/>
      </c>
      <c r="V54" s="16">
        <f>IF(OR(B54="",K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4" s="16">
        <f>IF(OR(B54="",K54&lt;=0),"",IF(K54&gt;B54*0.05,"VOL-HIGH","VOL-NORMAL"))</f>
        <v/>
      </c>
      <c r="X54" s="16">
        <f>IF(OR(B54="",K54&lt;=0),"",IF(AND(L54="VOL-OK",W54="VOL-NORMAL",U54="2ND"),"OK","NG"))</f>
        <v/>
      </c>
      <c r="Y54" s="16">
        <f>IF(OR(B54="",K54&lt;=0),"",IF(AND(C54&gt;G54,D54&gt;H54),"UP",IF(AND(C54&lt;G54,D54&lt;H54),"DOWN","FLAT")))</f>
        <v/>
      </c>
    </row>
    <row r="55" ht="26" customHeight="1" s="1">
      <c r="A55" s="8">
        <f>IF('StockList_MS2'!A54="","",HYPERLINK("https://kabutan.jp/stock/?code="&amp;'StockList_MS2'!A54,'StockList_MS2'!A54))</f>
        <v/>
      </c>
      <c r="B55" s="9" t="n"/>
      <c r="C55" s="9" t="n"/>
      <c r="D55" s="9" t="n"/>
      <c r="E55" s="9" t="n"/>
      <c r="F55" s="10" t="n"/>
      <c r="G55" s="9" t="n"/>
      <c r="H55" s="9" t="n"/>
      <c r="I55" s="9" t="n"/>
      <c r="J55" s="11">
        <f>IF(B55="","",IF(B55&gt;I55,"BUY-DAY","SELL-DAY"))</f>
        <v/>
      </c>
      <c r="K55" s="12">
        <f>IF(B55="","",MAX(C55-D55,ABS(C55-I55),ABS(D55-I55)))</f>
        <v/>
      </c>
      <c r="L55" s="11">
        <f>IF(B55="","",IF(AND(F55&gt;0,F55&gt;(F55/3)*2.5),"VOL-OK","VOL-NG"))</f>
        <v/>
      </c>
      <c r="M55" s="11">
        <f>IF(B55="","",IF(B55&gt;G55,"ON","OFF"))</f>
        <v/>
      </c>
      <c r="N55" s="11">
        <f>IF(B55="","",IF(B55&lt;H55,"ON","OFF"))</f>
        <v/>
      </c>
      <c r="O55" s="11">
        <f>IF(OR(B55="",K55&lt;=0),"",IF(AND(J55="BUY-DAY",L55="VOL-OK",N55="ON",X55="OK",Y55&lt;&gt;"DOWN"),"BUY",IF(AND(J55="SELL-DAY",L55="VOL-OK",M55="ON",X55="OK",Y55&lt;&gt;"UP"),"SELL","")))</f>
        <v/>
      </c>
      <c r="P55" s="12">
        <f>IF(O55="","",B55)</f>
        <v/>
      </c>
      <c r="Q55" s="12">
        <f>IF(O55="","",IF(O55="BUY",B55-K55*1.5,B55+K55*1.5))</f>
        <v/>
      </c>
      <c r="R55" s="12">
        <f>IF(O55="","",IF(O55="BUY",B55+K55*1.5,B55-K55*1.5))</f>
        <v/>
      </c>
      <c r="S55" s="12">
        <f>IF(O55="","",IF(O55="BUY",B55+K55*2,B55-K55*2))</f>
        <v/>
      </c>
      <c r="T55" s="12">
        <f>IF(O55="","",IF(O55="BUY",B55+K55*3,B55-K55*3))</f>
        <v/>
      </c>
      <c r="U55" s="11">
        <f>IF(OR(B55="",K55&lt;=0),"",IF(AND(B55&gt;E55,ABS(B55-E55)&lt;K55*0.5),"2ND","1ST"))</f>
        <v/>
      </c>
      <c r="V55" s="11">
        <f>IF(OR(B55="",K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5" s="11">
        <f>IF(OR(B55="",K55&lt;=0),"",IF(K55&gt;B55*0.05,"VOL-HIGH","VOL-NORMAL"))</f>
        <v/>
      </c>
      <c r="X55" s="11">
        <f>IF(OR(B55="",K55&lt;=0),"",IF(AND(L55="VOL-OK",W55="VOL-NORMAL",U55="2ND"),"OK","NG"))</f>
        <v/>
      </c>
      <c r="Y55" s="11">
        <f>IF(OR(B55="",K55&lt;=0),"",IF(AND(C55&gt;G55,D55&gt;H55),"UP",IF(AND(C55&lt;G55,D55&lt;H55),"DOWN","FLAT")))</f>
        <v/>
      </c>
    </row>
    <row r="56" ht="26" customHeight="1" s="1">
      <c r="A56" s="13">
        <f>IF('StockList_MS2'!A55="","",HYPERLINK("https://kabutan.jp/stock/?code="&amp;'StockList_MS2'!A55,'StockList_MS2'!A55))</f>
        <v/>
      </c>
      <c r="B56" s="14" t="n"/>
      <c r="C56" s="14" t="n"/>
      <c r="D56" s="14" t="n"/>
      <c r="E56" s="14" t="n"/>
      <c r="F56" s="15" t="n"/>
      <c r="G56" s="14" t="n"/>
      <c r="H56" s="14" t="n"/>
      <c r="I56" s="14" t="n"/>
      <c r="J56" s="16">
        <f>IF(B56="","",IF(B56&gt;I56,"BUY-DAY","SELL-DAY"))</f>
        <v/>
      </c>
      <c r="K56" s="17">
        <f>IF(B56="","",MAX(C56-D56,ABS(C56-I56),ABS(D56-I56)))</f>
        <v/>
      </c>
      <c r="L56" s="16">
        <f>IF(B56="","",IF(AND(F56&gt;0,F56&gt;(F56/3)*2.5),"VOL-OK","VOL-NG"))</f>
        <v/>
      </c>
      <c r="M56" s="16">
        <f>IF(B56="","",IF(B56&gt;G56,"ON","OFF"))</f>
        <v/>
      </c>
      <c r="N56" s="16">
        <f>IF(B56="","",IF(B56&lt;H56,"ON","OFF"))</f>
        <v/>
      </c>
      <c r="O56" s="16">
        <f>IF(OR(B56="",K56&lt;=0),"",IF(AND(J56="BUY-DAY",L56="VOL-OK",N56="ON",X56="OK",Y56&lt;&gt;"DOWN"),"BUY",IF(AND(J56="SELL-DAY",L56="VOL-OK",M56="ON",X56="OK",Y56&lt;&gt;"UP"),"SELL","")))</f>
        <v/>
      </c>
      <c r="P56" s="17">
        <f>IF(O56="","",B56)</f>
        <v/>
      </c>
      <c r="Q56" s="17">
        <f>IF(O56="","",IF(O56="BUY",B56-K56*1.5,B56+K56*1.5))</f>
        <v/>
      </c>
      <c r="R56" s="17">
        <f>IF(O56="","",IF(O56="BUY",B56+K56*1.5,B56-K56*1.5))</f>
        <v/>
      </c>
      <c r="S56" s="17">
        <f>IF(O56="","",IF(O56="BUY",B56+K56*2,B56-K56*2))</f>
        <v/>
      </c>
      <c r="T56" s="17">
        <f>IF(O56="","",IF(O56="BUY",B56+K56*3,B56-K56*3))</f>
        <v/>
      </c>
      <c r="U56" s="16">
        <f>IF(OR(B56="",K56&lt;=0),"",IF(AND(B56&gt;E56,ABS(B56-E56)&lt;K56*0.5),"2ND","1ST"))</f>
        <v/>
      </c>
      <c r="V56" s="16">
        <f>IF(OR(B56="",K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6" s="16">
        <f>IF(OR(B56="",K56&lt;=0),"",IF(K56&gt;B56*0.05,"VOL-HIGH","VOL-NORMAL"))</f>
        <v/>
      </c>
      <c r="X56" s="16">
        <f>IF(OR(B56="",K56&lt;=0),"",IF(AND(L56="VOL-OK",W56="VOL-NORMAL",U56="2ND"),"OK","NG"))</f>
        <v/>
      </c>
      <c r="Y56" s="16">
        <f>IF(OR(B56="",K56&lt;=0),"",IF(AND(C56&gt;G56,D56&gt;H56),"UP",IF(AND(C56&lt;G56,D56&lt;H56),"DOWN","FLAT")))</f>
        <v/>
      </c>
    </row>
    <row r="57" ht="26" customHeight="1" s="1">
      <c r="A57" s="8">
        <f>IF('StockList_MS2'!A56="","",HYPERLINK("https://kabutan.jp/stock/?code="&amp;'StockList_MS2'!A56,'StockList_MS2'!A56))</f>
        <v/>
      </c>
      <c r="B57" s="9" t="n"/>
      <c r="C57" s="9" t="n"/>
      <c r="D57" s="9" t="n"/>
      <c r="E57" s="9" t="n"/>
      <c r="F57" s="10" t="n"/>
      <c r="G57" s="9" t="n"/>
      <c r="H57" s="9" t="n"/>
      <c r="I57" s="9" t="n"/>
      <c r="J57" s="11">
        <f>IF(B57="","",IF(B57&gt;I57,"BUY-DAY","SELL-DAY"))</f>
        <v/>
      </c>
      <c r="K57" s="12">
        <f>IF(B57="","",MAX(C57-D57,ABS(C57-I57),ABS(D57-I57)))</f>
        <v/>
      </c>
      <c r="L57" s="11">
        <f>IF(B57="","",IF(AND(F57&gt;0,F57&gt;(F57/3)*2.5),"VOL-OK","VOL-NG"))</f>
        <v/>
      </c>
      <c r="M57" s="11">
        <f>IF(B57="","",IF(B57&gt;G57,"ON","OFF"))</f>
        <v/>
      </c>
      <c r="N57" s="11">
        <f>IF(B57="","",IF(B57&lt;H57,"ON","OFF"))</f>
        <v/>
      </c>
      <c r="O57" s="11">
        <f>IF(OR(B57="",K57&lt;=0),"",IF(AND(J57="BUY-DAY",L57="VOL-OK",N57="ON",X57="OK",Y57&lt;&gt;"DOWN"),"BUY",IF(AND(J57="SELL-DAY",L57="VOL-OK",M57="ON",X57="OK",Y57&lt;&gt;"UP"),"SELL","")))</f>
        <v/>
      </c>
      <c r="P57" s="12">
        <f>IF(O57="","",B57)</f>
        <v/>
      </c>
      <c r="Q57" s="12">
        <f>IF(O57="","",IF(O57="BUY",B57-K57*1.5,B57+K57*1.5))</f>
        <v/>
      </c>
      <c r="R57" s="12">
        <f>IF(O57="","",IF(O57="BUY",B57+K57*1.5,B57-K57*1.5))</f>
        <v/>
      </c>
      <c r="S57" s="12">
        <f>IF(O57="","",IF(O57="BUY",B57+K57*2,B57-K57*2))</f>
        <v/>
      </c>
      <c r="T57" s="12">
        <f>IF(O57="","",IF(O57="BUY",B57+K57*3,B57-K57*3))</f>
        <v/>
      </c>
      <c r="U57" s="11">
        <f>IF(OR(B57="",K57&lt;=0),"",IF(AND(B57&gt;E57,ABS(B57-E57)&lt;K57*0.5),"2ND","1ST"))</f>
        <v/>
      </c>
      <c r="V57" s="11">
        <f>IF(OR(B57="",K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7" s="11">
        <f>IF(OR(B57="",K57&lt;=0),"",IF(K57&gt;B57*0.05,"VOL-HIGH","VOL-NORMAL"))</f>
        <v/>
      </c>
      <c r="X57" s="11">
        <f>IF(OR(B57="",K57&lt;=0),"",IF(AND(L57="VOL-OK",W57="VOL-NORMAL",U57="2ND"),"OK","NG"))</f>
        <v/>
      </c>
      <c r="Y57" s="11">
        <f>IF(OR(B57="",K57&lt;=0),"",IF(AND(C57&gt;G57,D57&gt;H57),"UP",IF(AND(C57&lt;G57,D57&lt;H57),"DOWN","FLAT")))</f>
        <v/>
      </c>
    </row>
    <row r="58" ht="26" customHeight="1" s="1">
      <c r="A58" s="13">
        <f>IF('StockList_MS2'!A57="","",HYPERLINK("https://kabutan.jp/stock/?code="&amp;'StockList_MS2'!A57,'StockList_MS2'!A57))</f>
        <v/>
      </c>
      <c r="B58" s="14" t="n"/>
      <c r="C58" s="14" t="n"/>
      <c r="D58" s="14" t="n"/>
      <c r="E58" s="14" t="n"/>
      <c r="F58" s="15" t="n"/>
      <c r="G58" s="14" t="n"/>
      <c r="H58" s="14" t="n"/>
      <c r="I58" s="14" t="n"/>
      <c r="J58" s="16">
        <f>IF(B58="","",IF(B58&gt;I58,"BUY-DAY","SELL-DAY"))</f>
        <v/>
      </c>
      <c r="K58" s="17">
        <f>IF(B58="","",MAX(C58-D58,ABS(C58-I58),ABS(D58-I58)))</f>
        <v/>
      </c>
      <c r="L58" s="16">
        <f>IF(B58="","",IF(AND(F58&gt;0,F58&gt;(F58/3)*2.5),"VOL-OK","VOL-NG"))</f>
        <v/>
      </c>
      <c r="M58" s="16">
        <f>IF(B58="","",IF(B58&gt;G58,"ON","OFF"))</f>
        <v/>
      </c>
      <c r="N58" s="16">
        <f>IF(B58="","",IF(B58&lt;H58,"ON","OFF"))</f>
        <v/>
      </c>
      <c r="O58" s="16">
        <f>IF(OR(B58="",K58&lt;=0),"",IF(AND(J58="BUY-DAY",L58="VOL-OK",N58="ON",X58="OK",Y58&lt;&gt;"DOWN"),"BUY",IF(AND(J58="SELL-DAY",L58="VOL-OK",M58="ON",X58="OK",Y58&lt;&gt;"UP"),"SELL","")))</f>
        <v/>
      </c>
      <c r="P58" s="17">
        <f>IF(O58="","",B58)</f>
        <v/>
      </c>
      <c r="Q58" s="17">
        <f>IF(O58="","",IF(O58="BUY",B58-K58*1.5,B58+K58*1.5))</f>
        <v/>
      </c>
      <c r="R58" s="17">
        <f>IF(O58="","",IF(O58="BUY",B58+K58*1.5,B58-K58*1.5))</f>
        <v/>
      </c>
      <c r="S58" s="17">
        <f>IF(O58="","",IF(O58="BUY",B58+K58*2,B58-K58*2))</f>
        <v/>
      </c>
      <c r="T58" s="17">
        <f>IF(O58="","",IF(O58="BUY",B58+K58*3,B58-K58*3))</f>
        <v/>
      </c>
      <c r="U58" s="16">
        <f>IF(OR(B58="",K58&lt;=0),"",IF(AND(B58&gt;E58,ABS(B58-E58)&lt;K58*0.5),"2ND","1ST"))</f>
        <v/>
      </c>
      <c r="V58" s="16">
        <f>IF(OR(B58="",K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8" s="16">
        <f>IF(OR(B58="",K58&lt;=0),"",IF(K58&gt;B58*0.05,"VOL-HIGH","VOL-NORMAL"))</f>
        <v/>
      </c>
      <c r="X58" s="16">
        <f>IF(OR(B58="",K58&lt;=0),"",IF(AND(L58="VOL-OK",W58="VOL-NORMAL",U58="2ND"),"OK","NG"))</f>
        <v/>
      </c>
      <c r="Y58" s="16">
        <f>IF(OR(B58="",K58&lt;=0),"",IF(AND(C58&gt;G58,D58&gt;H58),"UP",IF(AND(C58&lt;G58,D58&lt;H58),"DOWN","FLAT")))</f>
        <v/>
      </c>
    </row>
    <row r="59" ht="26" customHeight="1" s="1">
      <c r="A59" s="8">
        <f>IF('StockList_MS2'!A58="","",HYPERLINK("https://kabutan.jp/stock/?code="&amp;'StockList_MS2'!A58,'StockList_MS2'!A58))</f>
        <v/>
      </c>
      <c r="B59" s="9" t="n"/>
      <c r="C59" s="9" t="n"/>
      <c r="D59" s="9" t="n"/>
      <c r="E59" s="9" t="n"/>
      <c r="F59" s="10" t="n"/>
      <c r="G59" s="9" t="n"/>
      <c r="H59" s="9" t="n"/>
      <c r="I59" s="9" t="n"/>
      <c r="J59" s="11">
        <f>IF(B59="","",IF(B59&gt;I59,"BUY-DAY","SELL-DAY"))</f>
        <v/>
      </c>
      <c r="K59" s="12">
        <f>IF(B59="","",MAX(C59-D59,ABS(C59-I59),ABS(D59-I59)))</f>
        <v/>
      </c>
      <c r="L59" s="11">
        <f>IF(B59="","",IF(AND(F59&gt;0,F59&gt;(F59/3)*2.5),"VOL-OK","VOL-NG"))</f>
        <v/>
      </c>
      <c r="M59" s="11">
        <f>IF(B59="","",IF(B59&gt;G59,"ON","OFF"))</f>
        <v/>
      </c>
      <c r="N59" s="11">
        <f>IF(B59="","",IF(B59&lt;H59,"ON","OFF"))</f>
        <v/>
      </c>
      <c r="O59" s="11">
        <f>IF(OR(B59="",K59&lt;=0),"",IF(AND(J59="BUY-DAY",L59="VOL-OK",N59="ON",X59="OK",Y59&lt;&gt;"DOWN"),"BUY",IF(AND(J59="SELL-DAY",L59="VOL-OK",M59="ON",X59="OK",Y59&lt;&gt;"UP"),"SELL","")))</f>
        <v/>
      </c>
      <c r="P59" s="12">
        <f>IF(O59="","",B59)</f>
        <v/>
      </c>
      <c r="Q59" s="12">
        <f>IF(O59="","",IF(O59="BUY",B59-K59*1.5,B59+K59*1.5))</f>
        <v/>
      </c>
      <c r="R59" s="12">
        <f>IF(O59="","",IF(O59="BUY",B59+K59*1.5,B59-K59*1.5))</f>
        <v/>
      </c>
      <c r="S59" s="12">
        <f>IF(O59="","",IF(O59="BUY",B59+K59*2,B59-K59*2))</f>
        <v/>
      </c>
      <c r="T59" s="12">
        <f>IF(O59="","",IF(O59="BUY",B59+K59*3,B59-K59*3))</f>
        <v/>
      </c>
      <c r="U59" s="11">
        <f>IF(OR(B59="",K59&lt;=0),"",IF(AND(B59&gt;E59,ABS(B59-E59)&lt;K59*0.5),"2ND","1ST"))</f>
        <v/>
      </c>
      <c r="V59" s="11">
        <f>IF(OR(B59="",K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9" s="11">
        <f>IF(OR(B59="",K59&lt;=0),"",IF(K59&gt;B59*0.05,"VOL-HIGH","VOL-NORMAL"))</f>
        <v/>
      </c>
      <c r="X59" s="11">
        <f>IF(OR(B59="",K59&lt;=0),"",IF(AND(L59="VOL-OK",W59="VOL-NORMAL",U59="2ND"),"OK","NG"))</f>
        <v/>
      </c>
      <c r="Y59" s="11">
        <f>IF(OR(B59="",K59&lt;=0),"",IF(AND(C59&gt;G59,D59&gt;H59),"UP",IF(AND(C59&lt;G59,D59&lt;H59),"DOWN","FLAT")))</f>
        <v/>
      </c>
    </row>
    <row r="60" ht="26" customHeight="1" s="1">
      <c r="A60" s="13">
        <f>IF('StockList_MS2'!A59="","",HYPERLINK("https://kabutan.jp/stock/?code="&amp;'StockList_MS2'!A59,'StockList_MS2'!A59))</f>
        <v/>
      </c>
      <c r="B60" s="14" t="n"/>
      <c r="C60" s="14" t="n"/>
      <c r="D60" s="14" t="n"/>
      <c r="E60" s="14" t="n"/>
      <c r="F60" s="15" t="n"/>
      <c r="G60" s="14" t="n"/>
      <c r="H60" s="14" t="n"/>
      <c r="I60" s="14" t="n"/>
      <c r="J60" s="16">
        <f>IF(B60="","",IF(B60&gt;I60,"BUY-DAY","SELL-DAY"))</f>
        <v/>
      </c>
      <c r="K60" s="17">
        <f>IF(B60="","",MAX(C60-D60,ABS(C60-I60),ABS(D60-I60)))</f>
        <v/>
      </c>
      <c r="L60" s="16">
        <f>IF(B60="","",IF(AND(F60&gt;0,F60&gt;(F60/3)*2.5),"VOL-OK","VOL-NG"))</f>
        <v/>
      </c>
      <c r="M60" s="16">
        <f>IF(B60="","",IF(B60&gt;G60,"ON","OFF"))</f>
        <v/>
      </c>
      <c r="N60" s="16">
        <f>IF(B60="","",IF(B60&lt;H60,"ON","OFF"))</f>
        <v/>
      </c>
      <c r="O60" s="16">
        <f>IF(OR(B60="",K60&lt;=0),"",IF(AND(J60="BUY-DAY",L60="VOL-OK",N60="ON",X60="OK",Y60&lt;&gt;"DOWN"),"BUY",IF(AND(J60="SELL-DAY",L60="VOL-OK",M60="ON",X60="OK",Y60&lt;&gt;"UP"),"SELL","")))</f>
        <v/>
      </c>
      <c r="P60" s="17">
        <f>IF(O60="","",B60)</f>
        <v/>
      </c>
      <c r="Q60" s="17">
        <f>IF(O60="","",IF(O60="BUY",B60-K60*1.5,B60+K60*1.5))</f>
        <v/>
      </c>
      <c r="R60" s="17">
        <f>IF(O60="","",IF(O60="BUY",B60+K60*1.5,B60-K60*1.5))</f>
        <v/>
      </c>
      <c r="S60" s="17">
        <f>IF(O60="","",IF(O60="BUY",B60+K60*2,B60-K60*2))</f>
        <v/>
      </c>
      <c r="T60" s="17">
        <f>IF(O60="","",IF(O60="BUY",B60+K60*3,B60-K60*3))</f>
        <v/>
      </c>
      <c r="U60" s="16">
        <f>IF(OR(B60="",K60&lt;=0),"",IF(AND(B60&gt;E60,ABS(B60-E60)&lt;K60*0.5),"2ND","1ST"))</f>
        <v/>
      </c>
      <c r="V60" s="16">
        <f>IF(OR(B60="",K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0" s="16">
        <f>IF(OR(B60="",K60&lt;=0),"",IF(K60&gt;B60*0.05,"VOL-HIGH","VOL-NORMAL"))</f>
        <v/>
      </c>
      <c r="X60" s="16">
        <f>IF(OR(B60="",K60&lt;=0),"",IF(AND(L60="VOL-OK",W60="VOL-NORMAL",U60="2ND"),"OK","NG"))</f>
        <v/>
      </c>
      <c r="Y60" s="16">
        <f>IF(OR(B60="",K60&lt;=0),"",IF(AND(C60&gt;G60,D60&gt;H60),"UP",IF(AND(C60&lt;G60,D60&lt;H60),"DOWN","FLAT")))</f>
        <v/>
      </c>
    </row>
    <row r="61" ht="26" customHeight="1" s="1">
      <c r="A61" s="8">
        <f>IF('StockList_MS2'!A60="","",HYPERLINK("https://kabutan.jp/stock/?code="&amp;'StockList_MS2'!A60,'StockList_MS2'!A60))</f>
        <v/>
      </c>
      <c r="B61" s="9" t="n"/>
      <c r="C61" s="9" t="n"/>
      <c r="D61" s="9" t="n"/>
      <c r="E61" s="9" t="n"/>
      <c r="F61" s="10" t="n"/>
      <c r="G61" s="9" t="n"/>
      <c r="H61" s="9" t="n"/>
      <c r="I61" s="9" t="n"/>
      <c r="J61" s="11">
        <f>IF(B61="","",IF(B61&gt;I61,"BUY-DAY","SELL-DAY"))</f>
        <v/>
      </c>
      <c r="K61" s="12">
        <f>IF(B61="","",MAX(C61-D61,ABS(C61-I61),ABS(D61-I61)))</f>
        <v/>
      </c>
      <c r="L61" s="11">
        <f>IF(B61="","",IF(AND(F61&gt;0,F61&gt;(F61/3)*2.5),"VOL-OK","VOL-NG"))</f>
        <v/>
      </c>
      <c r="M61" s="11">
        <f>IF(B61="","",IF(B61&gt;G61,"ON","OFF"))</f>
        <v/>
      </c>
      <c r="N61" s="11">
        <f>IF(B61="","",IF(B61&lt;H61,"ON","OFF"))</f>
        <v/>
      </c>
      <c r="O61" s="11">
        <f>IF(OR(B61="",K61&lt;=0),"",IF(AND(J61="BUY-DAY",L61="VOL-OK",N61="ON",X61="OK",Y61&lt;&gt;"DOWN"),"BUY",IF(AND(J61="SELL-DAY",L61="VOL-OK",M61="ON",X61="OK",Y61&lt;&gt;"UP"),"SELL","")))</f>
        <v/>
      </c>
      <c r="P61" s="12">
        <f>IF(O61="","",B61)</f>
        <v/>
      </c>
      <c r="Q61" s="12">
        <f>IF(O61="","",IF(O61="BUY",B61-K61*1.5,B61+K61*1.5))</f>
        <v/>
      </c>
      <c r="R61" s="12">
        <f>IF(O61="","",IF(O61="BUY",B61+K61*1.5,B61-K61*1.5))</f>
        <v/>
      </c>
      <c r="S61" s="12">
        <f>IF(O61="","",IF(O61="BUY",B61+K61*2,B61-K61*2))</f>
        <v/>
      </c>
      <c r="T61" s="12">
        <f>IF(O61="","",IF(O61="BUY",B61+K61*3,B61-K61*3))</f>
        <v/>
      </c>
      <c r="U61" s="11">
        <f>IF(OR(B61="",K61&lt;=0),"",IF(AND(B61&gt;E61,ABS(B61-E61)&lt;K61*0.5),"2ND","1ST"))</f>
        <v/>
      </c>
      <c r="V61" s="11">
        <f>IF(OR(B61="",K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1" s="11">
        <f>IF(OR(B61="",K61&lt;=0),"",IF(K61&gt;B61*0.05,"VOL-HIGH","VOL-NORMAL"))</f>
        <v/>
      </c>
      <c r="X61" s="11">
        <f>IF(OR(B61="",K61&lt;=0),"",IF(AND(L61="VOL-OK",W61="VOL-NORMAL",U61="2ND"),"OK","NG"))</f>
        <v/>
      </c>
      <c r="Y61" s="11">
        <f>IF(OR(B61="",K61&lt;=0),"",IF(AND(C61&gt;G61,D61&gt;H61),"UP",IF(AND(C61&lt;G61,D61&lt;H61),"DOWN","FLAT")))</f>
        <v/>
      </c>
    </row>
    <row r="62" ht="26" customHeight="1" s="1">
      <c r="A62" s="13">
        <f>IF('StockList_MS2'!A61="","",HYPERLINK("https://kabutan.jp/stock/?code="&amp;'StockList_MS2'!A61,'StockList_MS2'!A61))</f>
        <v/>
      </c>
      <c r="B62" s="14" t="n"/>
      <c r="C62" s="14" t="n"/>
      <c r="D62" s="14" t="n"/>
      <c r="E62" s="14" t="n"/>
      <c r="F62" s="15" t="n"/>
      <c r="G62" s="14" t="n"/>
      <c r="H62" s="14" t="n"/>
      <c r="I62" s="14" t="n"/>
      <c r="J62" s="16">
        <f>IF(B62="","",IF(B62&gt;I62,"BUY-DAY","SELL-DAY"))</f>
        <v/>
      </c>
      <c r="K62" s="17">
        <f>IF(B62="","",MAX(C62-D62,ABS(C62-I62),ABS(D62-I62)))</f>
        <v/>
      </c>
      <c r="L62" s="16">
        <f>IF(B62="","",IF(AND(F62&gt;0,F62&gt;(F62/3)*2.5),"VOL-OK","VOL-NG"))</f>
        <v/>
      </c>
      <c r="M62" s="16">
        <f>IF(B62="","",IF(B62&gt;G62,"ON","OFF"))</f>
        <v/>
      </c>
      <c r="N62" s="16">
        <f>IF(B62="","",IF(B62&lt;H62,"ON","OFF"))</f>
        <v/>
      </c>
      <c r="O62" s="16">
        <f>IF(OR(B62="",K62&lt;=0),"",IF(AND(J62="BUY-DAY",L62="VOL-OK",N62="ON",X62="OK",Y62&lt;&gt;"DOWN"),"BUY",IF(AND(J62="SELL-DAY",L62="VOL-OK",M62="ON",X62="OK",Y62&lt;&gt;"UP"),"SELL","")))</f>
        <v/>
      </c>
      <c r="P62" s="17">
        <f>IF(O62="","",B62)</f>
        <v/>
      </c>
      <c r="Q62" s="17">
        <f>IF(O62="","",IF(O62="BUY",B62-K62*1.5,B62+K62*1.5))</f>
        <v/>
      </c>
      <c r="R62" s="17">
        <f>IF(O62="","",IF(O62="BUY",B62+K62*1.5,B62-K62*1.5))</f>
        <v/>
      </c>
      <c r="S62" s="17">
        <f>IF(O62="","",IF(O62="BUY",B62+K62*2,B62-K62*2))</f>
        <v/>
      </c>
      <c r="T62" s="17">
        <f>IF(O62="","",IF(O62="BUY",B62+K62*3,B62-K62*3))</f>
        <v/>
      </c>
      <c r="U62" s="16">
        <f>IF(OR(B62="",K62&lt;=0),"",IF(AND(B62&gt;E62,ABS(B62-E62)&lt;K62*0.5),"2ND","1ST"))</f>
        <v/>
      </c>
      <c r="V62" s="16">
        <f>IF(OR(B62="",K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2" s="16">
        <f>IF(OR(B62="",K62&lt;=0),"",IF(K62&gt;B62*0.05,"VOL-HIGH","VOL-NORMAL"))</f>
        <v/>
      </c>
      <c r="X62" s="16">
        <f>IF(OR(B62="",K62&lt;=0),"",IF(AND(L62="VOL-OK",W62="VOL-NORMAL",U62="2ND"),"OK","NG"))</f>
        <v/>
      </c>
      <c r="Y62" s="16">
        <f>IF(OR(B62="",K62&lt;=0),"",IF(AND(C62&gt;G62,D62&gt;H62),"UP",IF(AND(C62&lt;G62,D62&lt;H62),"DOWN","FLAT")))</f>
        <v/>
      </c>
    </row>
    <row r="63" ht="26" customHeight="1" s="1">
      <c r="A63" s="8">
        <f>IF('StockList_MS2'!A62="","",HYPERLINK("https://kabutan.jp/stock/?code="&amp;'StockList_MS2'!A62,'StockList_MS2'!A62))</f>
        <v/>
      </c>
      <c r="B63" s="9" t="n"/>
      <c r="C63" s="9" t="n"/>
      <c r="D63" s="9" t="n"/>
      <c r="E63" s="9" t="n"/>
      <c r="F63" s="10" t="n"/>
      <c r="G63" s="9" t="n"/>
      <c r="H63" s="9" t="n"/>
      <c r="I63" s="9" t="n"/>
      <c r="J63" s="11">
        <f>IF(B63="","",IF(B63&gt;I63,"BUY-DAY","SELL-DAY"))</f>
        <v/>
      </c>
      <c r="K63" s="12">
        <f>IF(B63="","",MAX(C63-D63,ABS(C63-I63),ABS(D63-I63)))</f>
        <v/>
      </c>
      <c r="L63" s="11">
        <f>IF(B63="","",IF(AND(F63&gt;0,F63&gt;(F63/3)*2.5),"VOL-OK","VOL-NG"))</f>
        <v/>
      </c>
      <c r="M63" s="11">
        <f>IF(B63="","",IF(B63&gt;G63,"ON","OFF"))</f>
        <v/>
      </c>
      <c r="N63" s="11">
        <f>IF(B63="","",IF(B63&lt;H63,"ON","OFF"))</f>
        <v/>
      </c>
      <c r="O63" s="11">
        <f>IF(OR(B63="",K63&lt;=0),"",IF(AND(J63="BUY-DAY",L63="VOL-OK",N63="ON",X63="OK",Y63&lt;&gt;"DOWN"),"BUY",IF(AND(J63="SELL-DAY",L63="VOL-OK",M63="ON",X63="OK",Y63&lt;&gt;"UP"),"SELL","")))</f>
        <v/>
      </c>
      <c r="P63" s="12">
        <f>IF(O63="","",B63)</f>
        <v/>
      </c>
      <c r="Q63" s="12">
        <f>IF(O63="","",IF(O63="BUY",B63-K63*1.5,B63+K63*1.5))</f>
        <v/>
      </c>
      <c r="R63" s="12">
        <f>IF(O63="","",IF(O63="BUY",B63+K63*1.5,B63-K63*1.5))</f>
        <v/>
      </c>
      <c r="S63" s="12">
        <f>IF(O63="","",IF(O63="BUY",B63+K63*2,B63-K63*2))</f>
        <v/>
      </c>
      <c r="T63" s="12">
        <f>IF(O63="","",IF(O63="BUY",B63+K63*3,B63-K63*3))</f>
        <v/>
      </c>
      <c r="U63" s="11">
        <f>IF(OR(B63="",K63&lt;=0),"",IF(AND(B63&gt;E63,ABS(B63-E63)&lt;K63*0.5),"2ND","1ST"))</f>
        <v/>
      </c>
      <c r="V63" s="11">
        <f>IF(OR(B63="",K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3" s="11">
        <f>IF(OR(B63="",K63&lt;=0),"",IF(K63&gt;B63*0.05,"VOL-HIGH","VOL-NORMAL"))</f>
        <v/>
      </c>
      <c r="X63" s="11">
        <f>IF(OR(B63="",K63&lt;=0),"",IF(AND(L63="VOL-OK",W63="VOL-NORMAL",U63="2ND"),"OK","NG"))</f>
        <v/>
      </c>
      <c r="Y63" s="11">
        <f>IF(OR(B63="",K63&lt;=0),"",IF(AND(C63&gt;G63,D63&gt;H63),"UP",IF(AND(C63&lt;G63,D63&lt;H63),"DOWN","FLAT")))</f>
        <v/>
      </c>
    </row>
    <row r="64" ht="26" customHeight="1" s="1">
      <c r="A64" s="13">
        <f>IF('StockList_MS2'!A63="","",HYPERLINK("https://kabutan.jp/stock/?code="&amp;'StockList_MS2'!A63,'StockList_MS2'!A63))</f>
        <v/>
      </c>
      <c r="B64" s="14" t="n"/>
      <c r="C64" s="14" t="n"/>
      <c r="D64" s="14" t="n"/>
      <c r="E64" s="14" t="n"/>
      <c r="F64" s="15" t="n"/>
      <c r="G64" s="14" t="n"/>
      <c r="H64" s="14" t="n"/>
      <c r="I64" s="14" t="n"/>
      <c r="J64" s="16">
        <f>IF(B64="","",IF(B64&gt;I64,"BUY-DAY","SELL-DAY"))</f>
        <v/>
      </c>
      <c r="K64" s="17">
        <f>IF(B64="","",MAX(C64-D64,ABS(C64-I64),ABS(D64-I64)))</f>
        <v/>
      </c>
      <c r="L64" s="16">
        <f>IF(B64="","",IF(AND(F64&gt;0,F64&gt;(F64/3)*2.5),"VOL-OK","VOL-NG"))</f>
        <v/>
      </c>
      <c r="M64" s="16">
        <f>IF(B64="","",IF(B64&gt;G64,"ON","OFF"))</f>
        <v/>
      </c>
      <c r="N64" s="16">
        <f>IF(B64="","",IF(B64&lt;H64,"ON","OFF"))</f>
        <v/>
      </c>
      <c r="O64" s="16">
        <f>IF(OR(B64="",K64&lt;=0),"",IF(AND(J64="BUY-DAY",L64="VOL-OK",N64="ON",X64="OK",Y64&lt;&gt;"DOWN"),"BUY",IF(AND(J64="SELL-DAY",L64="VOL-OK",M64="ON",X64="OK",Y64&lt;&gt;"UP"),"SELL","")))</f>
        <v/>
      </c>
      <c r="P64" s="17">
        <f>IF(O64="","",B64)</f>
        <v/>
      </c>
      <c r="Q64" s="17">
        <f>IF(O64="","",IF(O64="BUY",B64-K64*1.5,B64+K64*1.5))</f>
        <v/>
      </c>
      <c r="R64" s="17">
        <f>IF(O64="","",IF(O64="BUY",B64+K64*1.5,B64-K64*1.5))</f>
        <v/>
      </c>
      <c r="S64" s="17">
        <f>IF(O64="","",IF(O64="BUY",B64+K64*2,B64-K64*2))</f>
        <v/>
      </c>
      <c r="T64" s="17">
        <f>IF(O64="","",IF(O64="BUY",B64+K64*3,B64-K64*3))</f>
        <v/>
      </c>
      <c r="U64" s="16">
        <f>IF(OR(B64="",K64&lt;=0),"",IF(AND(B64&gt;E64,ABS(B64-E64)&lt;K64*0.5),"2ND","1ST"))</f>
        <v/>
      </c>
      <c r="V64" s="16">
        <f>IF(OR(B64="",K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4" s="16">
        <f>IF(OR(B64="",K64&lt;=0),"",IF(K64&gt;B64*0.05,"VOL-HIGH","VOL-NORMAL"))</f>
        <v/>
      </c>
      <c r="X64" s="16">
        <f>IF(OR(B64="",K64&lt;=0),"",IF(AND(L64="VOL-OK",W64="VOL-NORMAL",U64="2ND"),"OK","NG"))</f>
        <v/>
      </c>
      <c r="Y64" s="16">
        <f>IF(OR(B64="",K64&lt;=0),"",IF(AND(C64&gt;G64,D64&gt;H64),"UP",IF(AND(C64&lt;G64,D64&lt;H64),"DOWN","FLAT")))</f>
        <v/>
      </c>
    </row>
    <row r="65" ht="26" customHeight="1" s="1">
      <c r="A65" s="8">
        <f>IF('StockList_MS2'!A64="","",HYPERLINK("https://kabutan.jp/stock/?code="&amp;'StockList_MS2'!A64,'StockList_MS2'!A64))</f>
        <v/>
      </c>
      <c r="B65" s="9" t="n"/>
      <c r="C65" s="9" t="n"/>
      <c r="D65" s="9" t="n"/>
      <c r="E65" s="9" t="n"/>
      <c r="F65" s="10" t="n"/>
      <c r="G65" s="9" t="n"/>
      <c r="H65" s="9" t="n"/>
      <c r="I65" s="9" t="n"/>
      <c r="J65" s="11">
        <f>IF(B65="","",IF(B65&gt;I65,"BUY-DAY","SELL-DAY"))</f>
        <v/>
      </c>
      <c r="K65" s="12">
        <f>IF(B65="","",MAX(C65-D65,ABS(C65-I65),ABS(D65-I65)))</f>
        <v/>
      </c>
      <c r="L65" s="11">
        <f>IF(B65="","",IF(AND(F65&gt;0,F65&gt;(F65/3)*2.5),"VOL-OK","VOL-NG"))</f>
        <v/>
      </c>
      <c r="M65" s="11">
        <f>IF(B65="","",IF(B65&gt;G65,"ON","OFF"))</f>
        <v/>
      </c>
      <c r="N65" s="11">
        <f>IF(B65="","",IF(B65&lt;H65,"ON","OFF"))</f>
        <v/>
      </c>
      <c r="O65" s="11">
        <f>IF(OR(B65="",K65&lt;=0),"",IF(AND(J65="BUY-DAY",L65="VOL-OK",N65="ON",X65="OK",Y65&lt;&gt;"DOWN"),"BUY",IF(AND(J65="SELL-DAY",L65="VOL-OK",M65="ON",X65="OK",Y65&lt;&gt;"UP"),"SELL","")))</f>
        <v/>
      </c>
      <c r="P65" s="12">
        <f>IF(O65="","",B65)</f>
        <v/>
      </c>
      <c r="Q65" s="12">
        <f>IF(O65="","",IF(O65="BUY",B65-K65*1.5,B65+K65*1.5))</f>
        <v/>
      </c>
      <c r="R65" s="12">
        <f>IF(O65="","",IF(O65="BUY",B65+K65*1.5,B65-K65*1.5))</f>
        <v/>
      </c>
      <c r="S65" s="12">
        <f>IF(O65="","",IF(O65="BUY",B65+K65*2,B65-K65*2))</f>
        <v/>
      </c>
      <c r="T65" s="12">
        <f>IF(O65="","",IF(O65="BUY",B65+K65*3,B65-K65*3))</f>
        <v/>
      </c>
      <c r="U65" s="11">
        <f>IF(OR(B65="",K65&lt;=0),"",IF(AND(B65&gt;E65,ABS(B65-E65)&lt;K65*0.5),"2ND","1ST"))</f>
        <v/>
      </c>
      <c r="V65" s="11">
        <f>IF(OR(B65="",K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5" s="11">
        <f>IF(OR(B65="",K65&lt;=0),"",IF(K65&gt;B65*0.05,"VOL-HIGH","VOL-NORMAL"))</f>
        <v/>
      </c>
      <c r="X65" s="11">
        <f>IF(OR(B65="",K65&lt;=0),"",IF(AND(L65="VOL-OK",W65="VOL-NORMAL",U65="2ND"),"OK","NG"))</f>
        <v/>
      </c>
      <c r="Y65" s="11">
        <f>IF(OR(B65="",K65&lt;=0),"",IF(AND(C65&gt;G65,D65&gt;H65),"UP",IF(AND(C65&lt;G65,D65&lt;H65),"DOWN","FLAT")))</f>
        <v/>
      </c>
    </row>
    <row r="66" ht="26" customHeight="1" s="1">
      <c r="A66" s="13">
        <f>IF('StockList_MS2'!A65="","",HYPERLINK("https://kabutan.jp/stock/?code="&amp;'StockList_MS2'!A65,'StockList_MS2'!A65))</f>
        <v/>
      </c>
      <c r="B66" s="14" t="n"/>
      <c r="C66" s="14" t="n"/>
      <c r="D66" s="14" t="n"/>
      <c r="E66" s="14" t="n"/>
      <c r="F66" s="15" t="n"/>
      <c r="G66" s="14" t="n"/>
      <c r="H66" s="14" t="n"/>
      <c r="I66" s="14" t="n"/>
      <c r="J66" s="16">
        <f>IF(B66="","",IF(B66&gt;I66,"BUY-DAY","SELL-DAY"))</f>
        <v/>
      </c>
      <c r="K66" s="17">
        <f>IF(B66="","",MAX(C66-D66,ABS(C66-I66),ABS(D66-I66)))</f>
        <v/>
      </c>
      <c r="L66" s="16">
        <f>IF(B66="","",IF(AND(F66&gt;0,F66&gt;(F66/3)*2.5),"VOL-OK","VOL-NG"))</f>
        <v/>
      </c>
      <c r="M66" s="16">
        <f>IF(B66="","",IF(B66&gt;G66,"ON","OFF"))</f>
        <v/>
      </c>
      <c r="N66" s="16">
        <f>IF(B66="","",IF(B66&lt;H66,"ON","OFF"))</f>
        <v/>
      </c>
      <c r="O66" s="16">
        <f>IF(OR(B66="",K66&lt;=0),"",IF(AND(J66="BUY-DAY",L66="VOL-OK",N66="ON",X66="OK",Y66&lt;&gt;"DOWN"),"BUY",IF(AND(J66="SELL-DAY",L66="VOL-OK",M66="ON",X66="OK",Y66&lt;&gt;"UP"),"SELL","")))</f>
        <v/>
      </c>
      <c r="P66" s="17">
        <f>IF(O66="","",B66)</f>
        <v/>
      </c>
      <c r="Q66" s="17">
        <f>IF(O66="","",IF(O66="BUY",B66-K66*1.5,B66+K66*1.5))</f>
        <v/>
      </c>
      <c r="R66" s="17">
        <f>IF(O66="","",IF(O66="BUY",B66+K66*1.5,B66-K66*1.5))</f>
        <v/>
      </c>
      <c r="S66" s="17">
        <f>IF(O66="","",IF(O66="BUY",B66+K66*2,B66-K66*2))</f>
        <v/>
      </c>
      <c r="T66" s="17">
        <f>IF(O66="","",IF(O66="BUY",B66+K66*3,B66-K66*3))</f>
        <v/>
      </c>
      <c r="U66" s="16">
        <f>IF(OR(B66="",K66&lt;=0),"",IF(AND(B66&gt;E66,ABS(B66-E66)&lt;K66*0.5),"2ND","1ST"))</f>
        <v/>
      </c>
      <c r="V66" s="16">
        <f>IF(OR(B66="",K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6" s="16">
        <f>IF(OR(B66="",K66&lt;=0),"",IF(K66&gt;B66*0.05,"VOL-HIGH","VOL-NORMAL"))</f>
        <v/>
      </c>
      <c r="X66" s="16">
        <f>IF(OR(B66="",K66&lt;=0),"",IF(AND(L66="VOL-OK",W66="VOL-NORMAL",U66="2ND"),"OK","NG"))</f>
        <v/>
      </c>
      <c r="Y66" s="16">
        <f>IF(OR(B66="",K66&lt;=0),"",IF(AND(C66&gt;G66,D66&gt;H66),"UP",IF(AND(C66&lt;G66,D66&lt;H66),"DOWN","FLAT")))</f>
        <v/>
      </c>
    </row>
    <row r="67" ht="26" customHeight="1" s="1">
      <c r="A67" s="8">
        <f>IF('StockList_MS2'!A66="","",HYPERLINK("https://kabutan.jp/stock/?code="&amp;'StockList_MS2'!A66,'StockList_MS2'!A66))</f>
        <v/>
      </c>
      <c r="B67" s="9" t="n"/>
      <c r="C67" s="9" t="n"/>
      <c r="D67" s="9" t="n"/>
      <c r="E67" s="9" t="n"/>
      <c r="F67" s="10" t="n"/>
      <c r="G67" s="9" t="n"/>
      <c r="H67" s="9" t="n"/>
      <c r="I67" s="9" t="n"/>
      <c r="J67" s="11">
        <f>IF(B67="","",IF(B67&gt;I67,"BUY-DAY","SELL-DAY"))</f>
        <v/>
      </c>
      <c r="K67" s="12">
        <f>IF(B67="","",MAX(C67-D67,ABS(C67-I67),ABS(D67-I67)))</f>
        <v/>
      </c>
      <c r="L67" s="11">
        <f>IF(B67="","",IF(AND(F67&gt;0,F67&gt;(F67/3)*2.5),"VOL-OK","VOL-NG"))</f>
        <v/>
      </c>
      <c r="M67" s="11">
        <f>IF(B67="","",IF(B67&gt;G67,"ON","OFF"))</f>
        <v/>
      </c>
      <c r="N67" s="11">
        <f>IF(B67="","",IF(B67&lt;H67,"ON","OFF"))</f>
        <v/>
      </c>
      <c r="O67" s="11">
        <f>IF(OR(B67="",K67&lt;=0),"",IF(AND(J67="BUY-DAY",L67="VOL-OK",N67="ON",X67="OK",Y67&lt;&gt;"DOWN"),"BUY",IF(AND(J67="SELL-DAY",L67="VOL-OK",M67="ON",X67="OK",Y67&lt;&gt;"UP"),"SELL","")))</f>
        <v/>
      </c>
      <c r="P67" s="12">
        <f>IF(O67="","",B67)</f>
        <v/>
      </c>
      <c r="Q67" s="12">
        <f>IF(O67="","",IF(O67="BUY",B67-K67*1.5,B67+K67*1.5))</f>
        <v/>
      </c>
      <c r="R67" s="12">
        <f>IF(O67="","",IF(O67="BUY",B67+K67*1.5,B67-K67*1.5))</f>
        <v/>
      </c>
      <c r="S67" s="12">
        <f>IF(O67="","",IF(O67="BUY",B67+K67*2,B67-K67*2))</f>
        <v/>
      </c>
      <c r="T67" s="12">
        <f>IF(O67="","",IF(O67="BUY",B67+K67*3,B67-K67*3))</f>
        <v/>
      </c>
      <c r="U67" s="11">
        <f>IF(OR(B67="",K67&lt;=0),"",IF(AND(B67&gt;E67,ABS(B67-E67)&lt;K67*0.5),"2ND","1ST"))</f>
        <v/>
      </c>
      <c r="V67" s="11">
        <f>IF(OR(B67="",K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7" s="11">
        <f>IF(OR(B67="",K67&lt;=0),"",IF(K67&gt;B67*0.05,"VOL-HIGH","VOL-NORMAL"))</f>
        <v/>
      </c>
      <c r="X67" s="11">
        <f>IF(OR(B67="",K67&lt;=0),"",IF(AND(L67="VOL-OK",W67="VOL-NORMAL",U67="2ND"),"OK","NG"))</f>
        <v/>
      </c>
      <c r="Y67" s="11">
        <f>IF(OR(B67="",K67&lt;=0),"",IF(AND(C67&gt;G67,D67&gt;H67),"UP",IF(AND(C67&lt;G67,D67&lt;H67),"DOWN","FLAT")))</f>
        <v/>
      </c>
    </row>
    <row r="68" ht="26" customHeight="1" s="1">
      <c r="A68" s="13">
        <f>IF('StockList_MS2'!A67="","",HYPERLINK("https://kabutan.jp/stock/?code="&amp;'StockList_MS2'!A67,'StockList_MS2'!A67))</f>
        <v/>
      </c>
      <c r="B68" s="14" t="n"/>
      <c r="C68" s="14" t="n"/>
      <c r="D68" s="14" t="n"/>
      <c r="E68" s="14" t="n"/>
      <c r="F68" s="15" t="n"/>
      <c r="G68" s="14" t="n"/>
      <c r="H68" s="14" t="n"/>
      <c r="I68" s="14" t="n"/>
      <c r="J68" s="16">
        <f>IF(B68="","",IF(B68&gt;I68,"BUY-DAY","SELL-DAY"))</f>
        <v/>
      </c>
      <c r="K68" s="17">
        <f>IF(B68="","",MAX(C68-D68,ABS(C68-I68),ABS(D68-I68)))</f>
        <v/>
      </c>
      <c r="L68" s="16">
        <f>IF(B68="","",IF(AND(F68&gt;0,F68&gt;(F68/3)*2.5),"VOL-OK","VOL-NG"))</f>
        <v/>
      </c>
      <c r="M68" s="16">
        <f>IF(B68="","",IF(B68&gt;G68,"ON","OFF"))</f>
        <v/>
      </c>
      <c r="N68" s="16">
        <f>IF(B68="","",IF(B68&lt;H68,"ON","OFF"))</f>
        <v/>
      </c>
      <c r="O68" s="16">
        <f>IF(OR(B68="",K68&lt;=0),"",IF(AND(J68="BUY-DAY",L68="VOL-OK",N68="ON",X68="OK",Y68&lt;&gt;"DOWN"),"BUY",IF(AND(J68="SELL-DAY",L68="VOL-OK",M68="ON",X68="OK",Y68&lt;&gt;"UP"),"SELL","")))</f>
        <v/>
      </c>
      <c r="P68" s="17">
        <f>IF(O68="","",B68)</f>
        <v/>
      </c>
      <c r="Q68" s="17">
        <f>IF(O68="","",IF(O68="BUY",B68-K68*1.5,B68+K68*1.5))</f>
        <v/>
      </c>
      <c r="R68" s="17">
        <f>IF(O68="","",IF(O68="BUY",B68+K68*1.5,B68-K68*1.5))</f>
        <v/>
      </c>
      <c r="S68" s="17">
        <f>IF(O68="","",IF(O68="BUY",B68+K68*2,B68-K68*2))</f>
        <v/>
      </c>
      <c r="T68" s="17">
        <f>IF(O68="","",IF(O68="BUY",B68+K68*3,B68-K68*3))</f>
        <v/>
      </c>
      <c r="U68" s="16">
        <f>IF(OR(B68="",K68&lt;=0),"",IF(AND(B68&gt;E68,ABS(B68-E68)&lt;K68*0.5),"2ND","1ST"))</f>
        <v/>
      </c>
      <c r="V68" s="16">
        <f>IF(OR(B68="",K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8" s="16">
        <f>IF(OR(B68="",K68&lt;=0),"",IF(K68&gt;B68*0.05,"VOL-HIGH","VOL-NORMAL"))</f>
        <v/>
      </c>
      <c r="X68" s="16">
        <f>IF(OR(B68="",K68&lt;=0),"",IF(AND(L68="VOL-OK",W68="VOL-NORMAL",U68="2ND"),"OK","NG"))</f>
        <v/>
      </c>
      <c r="Y68" s="16">
        <f>IF(OR(B68="",K68&lt;=0),"",IF(AND(C68&gt;G68,D68&gt;H68),"UP",IF(AND(C68&lt;G68,D68&lt;H68),"DOWN","FLAT")))</f>
        <v/>
      </c>
    </row>
    <row r="69" ht="26" customHeight="1" s="1">
      <c r="A69" s="8">
        <f>IF('StockList_MS2'!A68="","",HYPERLINK("https://kabutan.jp/stock/?code="&amp;'StockList_MS2'!A68,'StockList_MS2'!A68))</f>
        <v/>
      </c>
      <c r="B69" s="9" t="n"/>
      <c r="C69" s="9" t="n"/>
      <c r="D69" s="9" t="n"/>
      <c r="E69" s="9" t="n"/>
      <c r="F69" s="10" t="n"/>
      <c r="G69" s="9" t="n"/>
      <c r="H69" s="9" t="n"/>
      <c r="I69" s="9" t="n"/>
      <c r="J69" s="11">
        <f>IF(B69="","",IF(B69&gt;I69,"BUY-DAY","SELL-DAY"))</f>
        <v/>
      </c>
      <c r="K69" s="12">
        <f>IF(B69="","",MAX(C69-D69,ABS(C69-I69),ABS(D69-I69)))</f>
        <v/>
      </c>
      <c r="L69" s="11">
        <f>IF(B69="","",IF(AND(F69&gt;0,F69&gt;(F69/3)*2.5),"VOL-OK","VOL-NG"))</f>
        <v/>
      </c>
      <c r="M69" s="11">
        <f>IF(B69="","",IF(B69&gt;G69,"ON","OFF"))</f>
        <v/>
      </c>
      <c r="N69" s="11">
        <f>IF(B69="","",IF(B69&lt;H69,"ON","OFF"))</f>
        <v/>
      </c>
      <c r="O69" s="11">
        <f>IF(OR(B69="",K69&lt;=0),"",IF(AND(J69="BUY-DAY",L69="VOL-OK",N69="ON",X69="OK",Y69&lt;&gt;"DOWN"),"BUY",IF(AND(J69="SELL-DAY",L69="VOL-OK",M69="ON",X69="OK",Y69&lt;&gt;"UP"),"SELL","")))</f>
        <v/>
      </c>
      <c r="P69" s="12">
        <f>IF(O69="","",B69)</f>
        <v/>
      </c>
      <c r="Q69" s="12">
        <f>IF(O69="","",IF(O69="BUY",B69-K69*1.5,B69+K69*1.5))</f>
        <v/>
      </c>
      <c r="R69" s="12">
        <f>IF(O69="","",IF(O69="BUY",B69+K69*1.5,B69-K69*1.5))</f>
        <v/>
      </c>
      <c r="S69" s="12">
        <f>IF(O69="","",IF(O69="BUY",B69+K69*2,B69-K69*2))</f>
        <v/>
      </c>
      <c r="T69" s="12">
        <f>IF(O69="","",IF(O69="BUY",B69+K69*3,B69-K69*3))</f>
        <v/>
      </c>
      <c r="U69" s="11">
        <f>IF(OR(B69="",K69&lt;=0),"",IF(AND(B69&gt;E69,ABS(B69-E69)&lt;K69*0.5),"2ND","1ST"))</f>
        <v/>
      </c>
      <c r="V69" s="11">
        <f>IF(OR(B69="",K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9" s="11">
        <f>IF(OR(B69="",K69&lt;=0),"",IF(K69&gt;B69*0.05,"VOL-HIGH","VOL-NORMAL"))</f>
        <v/>
      </c>
      <c r="X69" s="11">
        <f>IF(OR(B69="",K69&lt;=0),"",IF(AND(L69="VOL-OK",W69="VOL-NORMAL",U69="2ND"),"OK","NG"))</f>
        <v/>
      </c>
      <c r="Y69" s="11">
        <f>IF(OR(B69="",K69&lt;=0),"",IF(AND(C69&gt;G69,D69&gt;H69),"UP",IF(AND(C69&lt;G69,D69&lt;H69),"DOWN","FLAT")))</f>
        <v/>
      </c>
    </row>
    <row r="70" ht="26" customHeight="1" s="1">
      <c r="A70" s="13">
        <f>IF('StockList_MS2'!A69="","",HYPERLINK("https://kabutan.jp/stock/?code="&amp;'StockList_MS2'!A69,'StockList_MS2'!A69))</f>
        <v/>
      </c>
      <c r="B70" s="14" t="n"/>
      <c r="C70" s="14" t="n"/>
      <c r="D70" s="14" t="n"/>
      <c r="E70" s="14" t="n"/>
      <c r="F70" s="15" t="n"/>
      <c r="G70" s="14" t="n"/>
      <c r="H70" s="14" t="n"/>
      <c r="I70" s="14" t="n"/>
      <c r="J70" s="16">
        <f>IF(B70="","",IF(B70&gt;I70,"BUY-DAY","SELL-DAY"))</f>
        <v/>
      </c>
      <c r="K70" s="17">
        <f>IF(B70="","",MAX(C70-D70,ABS(C70-I70),ABS(D70-I70)))</f>
        <v/>
      </c>
      <c r="L70" s="16">
        <f>IF(B70="","",IF(AND(F70&gt;0,F70&gt;(F70/3)*2.5),"VOL-OK","VOL-NG"))</f>
        <v/>
      </c>
      <c r="M70" s="16">
        <f>IF(B70="","",IF(B70&gt;G70,"ON","OFF"))</f>
        <v/>
      </c>
      <c r="N70" s="16">
        <f>IF(B70="","",IF(B70&lt;H70,"ON","OFF"))</f>
        <v/>
      </c>
      <c r="O70" s="16">
        <f>IF(OR(B70="",K70&lt;=0),"",IF(AND(J70="BUY-DAY",L70="VOL-OK",N70="ON",X70="OK",Y70&lt;&gt;"DOWN"),"BUY",IF(AND(J70="SELL-DAY",L70="VOL-OK",M70="ON",X70="OK",Y70&lt;&gt;"UP"),"SELL","")))</f>
        <v/>
      </c>
      <c r="P70" s="17">
        <f>IF(O70="","",B70)</f>
        <v/>
      </c>
      <c r="Q70" s="17">
        <f>IF(O70="","",IF(O70="BUY",B70-K70*1.5,B70+K70*1.5))</f>
        <v/>
      </c>
      <c r="R70" s="17">
        <f>IF(O70="","",IF(O70="BUY",B70+K70*1.5,B70-K70*1.5))</f>
        <v/>
      </c>
      <c r="S70" s="17">
        <f>IF(O70="","",IF(O70="BUY",B70+K70*2,B70-K70*2))</f>
        <v/>
      </c>
      <c r="T70" s="17">
        <f>IF(O70="","",IF(O70="BUY",B70+K70*3,B70-K70*3))</f>
        <v/>
      </c>
      <c r="U70" s="16">
        <f>IF(OR(B70="",K70&lt;=0),"",IF(AND(B70&gt;E70,ABS(B70-E70)&lt;K70*0.5),"2ND","1ST"))</f>
        <v/>
      </c>
      <c r="V70" s="16">
        <f>IF(OR(B70="",K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0" s="16">
        <f>IF(OR(B70="",K70&lt;=0),"",IF(K70&gt;B70*0.05,"VOL-HIGH","VOL-NORMAL"))</f>
        <v/>
      </c>
      <c r="X70" s="16">
        <f>IF(OR(B70="",K70&lt;=0),"",IF(AND(L70="VOL-OK",W70="VOL-NORMAL",U70="2ND"),"OK","NG"))</f>
        <v/>
      </c>
      <c r="Y70" s="16">
        <f>IF(OR(B70="",K70&lt;=0),"",IF(AND(C70&gt;G70,D70&gt;H70),"UP",IF(AND(C70&lt;G70,D70&lt;H70),"DOWN","FLAT")))</f>
        <v/>
      </c>
    </row>
    <row r="71" ht="26" customHeight="1" s="1">
      <c r="A71" s="8">
        <f>IF('StockList_MS2'!A70="","",HYPERLINK("https://kabutan.jp/stock/?code="&amp;'StockList_MS2'!A70,'StockList_MS2'!A70))</f>
        <v/>
      </c>
      <c r="B71" s="9" t="n"/>
      <c r="C71" s="9" t="n"/>
      <c r="D71" s="9" t="n"/>
      <c r="E71" s="9" t="n"/>
      <c r="F71" s="10" t="n"/>
      <c r="G71" s="9" t="n"/>
      <c r="H71" s="9" t="n"/>
      <c r="I71" s="9" t="n"/>
      <c r="J71" s="11">
        <f>IF(B71="","",IF(B71&gt;I71,"BUY-DAY","SELL-DAY"))</f>
        <v/>
      </c>
      <c r="K71" s="12">
        <f>IF(B71="","",MAX(C71-D71,ABS(C71-I71),ABS(D71-I71)))</f>
        <v/>
      </c>
      <c r="L71" s="11">
        <f>IF(B71="","",IF(AND(F71&gt;0,F71&gt;(F71/3)*2.5),"VOL-OK","VOL-NG"))</f>
        <v/>
      </c>
      <c r="M71" s="11">
        <f>IF(B71="","",IF(B71&gt;G71,"ON","OFF"))</f>
        <v/>
      </c>
      <c r="N71" s="11">
        <f>IF(B71="","",IF(B71&lt;H71,"ON","OFF"))</f>
        <v/>
      </c>
      <c r="O71" s="11">
        <f>IF(OR(B71="",K71&lt;=0),"",IF(AND(J71="BUY-DAY",L71="VOL-OK",N71="ON",X71="OK",Y71&lt;&gt;"DOWN"),"BUY",IF(AND(J71="SELL-DAY",L71="VOL-OK",M71="ON",X71="OK",Y71&lt;&gt;"UP"),"SELL","")))</f>
        <v/>
      </c>
      <c r="P71" s="12">
        <f>IF(O71="","",B71)</f>
        <v/>
      </c>
      <c r="Q71" s="12">
        <f>IF(O71="","",IF(O71="BUY",B71-K71*1.5,B71+K71*1.5))</f>
        <v/>
      </c>
      <c r="R71" s="12">
        <f>IF(O71="","",IF(O71="BUY",B71+K71*1.5,B71-K71*1.5))</f>
        <v/>
      </c>
      <c r="S71" s="12">
        <f>IF(O71="","",IF(O71="BUY",B71+K71*2,B71-K71*2))</f>
        <v/>
      </c>
      <c r="T71" s="12">
        <f>IF(O71="","",IF(O71="BUY",B71+K71*3,B71-K71*3))</f>
        <v/>
      </c>
      <c r="U71" s="11">
        <f>IF(OR(B71="",K71&lt;=0),"",IF(AND(B71&gt;E71,ABS(B71-E71)&lt;K71*0.5),"2ND","1ST"))</f>
        <v/>
      </c>
      <c r="V71" s="11">
        <f>IF(OR(B71="",K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1" s="11">
        <f>IF(OR(B71="",K71&lt;=0),"",IF(K71&gt;B71*0.05,"VOL-HIGH","VOL-NORMAL"))</f>
        <v/>
      </c>
      <c r="X71" s="11">
        <f>IF(OR(B71="",K71&lt;=0),"",IF(AND(L71="VOL-OK",W71="VOL-NORMAL",U71="2ND"),"OK","NG"))</f>
        <v/>
      </c>
      <c r="Y71" s="11">
        <f>IF(OR(B71="",K71&lt;=0),"",IF(AND(C71&gt;G71,D71&gt;H71),"UP",IF(AND(C71&lt;G71,D71&lt;H71),"DOWN","FLAT")))</f>
        <v/>
      </c>
    </row>
    <row r="72" ht="26" customHeight="1" s="1">
      <c r="A72" s="13">
        <f>IF('StockList_MS2'!A71="","",HYPERLINK("https://kabutan.jp/stock/?code="&amp;'StockList_MS2'!A71,'StockList_MS2'!A71))</f>
        <v/>
      </c>
      <c r="B72" s="14" t="n"/>
      <c r="C72" s="14" t="n"/>
      <c r="D72" s="14" t="n"/>
      <c r="E72" s="14" t="n"/>
      <c r="F72" s="15" t="n"/>
      <c r="G72" s="14" t="n"/>
      <c r="H72" s="14" t="n"/>
      <c r="I72" s="14" t="n"/>
      <c r="J72" s="16">
        <f>IF(B72="","",IF(B72&gt;I72,"BUY-DAY","SELL-DAY"))</f>
        <v/>
      </c>
      <c r="K72" s="17">
        <f>IF(B72="","",MAX(C72-D72,ABS(C72-I72),ABS(D72-I72)))</f>
        <v/>
      </c>
      <c r="L72" s="16">
        <f>IF(B72="","",IF(AND(F72&gt;0,F72&gt;(F72/3)*2.5),"VOL-OK","VOL-NG"))</f>
        <v/>
      </c>
      <c r="M72" s="16">
        <f>IF(B72="","",IF(B72&gt;G72,"ON","OFF"))</f>
        <v/>
      </c>
      <c r="N72" s="16">
        <f>IF(B72="","",IF(B72&lt;H72,"ON","OFF"))</f>
        <v/>
      </c>
      <c r="O72" s="16">
        <f>IF(OR(B72="",K72&lt;=0),"",IF(AND(J72="BUY-DAY",L72="VOL-OK",N72="ON",X72="OK",Y72&lt;&gt;"DOWN"),"BUY",IF(AND(J72="SELL-DAY",L72="VOL-OK",M72="ON",X72="OK",Y72&lt;&gt;"UP"),"SELL","")))</f>
        <v/>
      </c>
      <c r="P72" s="17">
        <f>IF(O72="","",B72)</f>
        <v/>
      </c>
      <c r="Q72" s="17">
        <f>IF(O72="","",IF(O72="BUY",B72-K72*1.5,B72+K72*1.5))</f>
        <v/>
      </c>
      <c r="R72" s="17">
        <f>IF(O72="","",IF(O72="BUY",B72+K72*1.5,B72-K72*1.5))</f>
        <v/>
      </c>
      <c r="S72" s="17">
        <f>IF(O72="","",IF(O72="BUY",B72+K72*2,B72-K72*2))</f>
        <v/>
      </c>
      <c r="T72" s="17">
        <f>IF(O72="","",IF(O72="BUY",B72+K72*3,B72-K72*3))</f>
        <v/>
      </c>
      <c r="U72" s="16">
        <f>IF(OR(B72="",K72&lt;=0),"",IF(AND(B72&gt;E72,ABS(B72-E72)&lt;K72*0.5),"2ND","1ST"))</f>
        <v/>
      </c>
      <c r="V72" s="16">
        <f>IF(OR(B72="",K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2" s="16">
        <f>IF(OR(B72="",K72&lt;=0),"",IF(K72&gt;B72*0.05,"VOL-HIGH","VOL-NORMAL"))</f>
        <v/>
      </c>
      <c r="X72" s="16">
        <f>IF(OR(B72="",K72&lt;=0),"",IF(AND(L72="VOL-OK",W72="VOL-NORMAL",U72="2ND"),"OK","NG"))</f>
        <v/>
      </c>
      <c r="Y72" s="16">
        <f>IF(OR(B72="",K72&lt;=0),"",IF(AND(C72&gt;G72,D72&gt;H72),"UP",IF(AND(C72&lt;G72,D72&lt;H72),"DOWN","FLAT")))</f>
        <v/>
      </c>
    </row>
    <row r="73" ht="26" customHeight="1" s="1">
      <c r="A73" s="8">
        <f>IF('StockList_MS2'!A72="","",HYPERLINK("https://kabutan.jp/stock/?code="&amp;'StockList_MS2'!A72,'StockList_MS2'!A72))</f>
        <v/>
      </c>
      <c r="B73" s="9" t="n"/>
      <c r="C73" s="9" t="n"/>
      <c r="D73" s="9" t="n"/>
      <c r="E73" s="9" t="n"/>
      <c r="F73" s="10" t="n"/>
      <c r="G73" s="9" t="n"/>
      <c r="H73" s="9" t="n"/>
      <c r="I73" s="9" t="n"/>
      <c r="J73" s="11">
        <f>IF(B73="","",IF(B73&gt;I73,"BUY-DAY","SELL-DAY"))</f>
        <v/>
      </c>
      <c r="K73" s="12">
        <f>IF(B73="","",MAX(C73-D73,ABS(C73-I73),ABS(D73-I73)))</f>
        <v/>
      </c>
      <c r="L73" s="11">
        <f>IF(B73="","",IF(AND(F73&gt;0,F73&gt;(F73/3)*2.5),"VOL-OK","VOL-NG"))</f>
        <v/>
      </c>
      <c r="M73" s="11">
        <f>IF(B73="","",IF(B73&gt;G73,"ON","OFF"))</f>
        <v/>
      </c>
      <c r="N73" s="11">
        <f>IF(B73="","",IF(B73&lt;H73,"ON","OFF"))</f>
        <v/>
      </c>
      <c r="O73" s="11">
        <f>IF(OR(B73="",K73&lt;=0),"",IF(AND(J73="BUY-DAY",L73="VOL-OK",N73="ON",X73="OK",Y73&lt;&gt;"DOWN"),"BUY",IF(AND(J73="SELL-DAY",L73="VOL-OK",M73="ON",X73="OK",Y73&lt;&gt;"UP"),"SELL","")))</f>
        <v/>
      </c>
      <c r="P73" s="12">
        <f>IF(O73="","",B73)</f>
        <v/>
      </c>
      <c r="Q73" s="12">
        <f>IF(O73="","",IF(O73="BUY",B73-K73*1.5,B73+K73*1.5))</f>
        <v/>
      </c>
      <c r="R73" s="12">
        <f>IF(O73="","",IF(O73="BUY",B73+K73*1.5,B73-K73*1.5))</f>
        <v/>
      </c>
      <c r="S73" s="12">
        <f>IF(O73="","",IF(O73="BUY",B73+K73*2,B73-K73*2))</f>
        <v/>
      </c>
      <c r="T73" s="12">
        <f>IF(O73="","",IF(O73="BUY",B73+K73*3,B73-K73*3))</f>
        <v/>
      </c>
      <c r="U73" s="11">
        <f>IF(OR(B73="",K73&lt;=0),"",IF(AND(B73&gt;E73,ABS(B73-E73)&lt;K73*0.5),"2ND","1ST"))</f>
        <v/>
      </c>
      <c r="V73" s="11">
        <f>IF(OR(B73="",K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3" s="11">
        <f>IF(OR(B73="",K73&lt;=0),"",IF(K73&gt;B73*0.05,"VOL-HIGH","VOL-NORMAL"))</f>
        <v/>
      </c>
      <c r="X73" s="11">
        <f>IF(OR(B73="",K73&lt;=0),"",IF(AND(L73="VOL-OK",W73="VOL-NORMAL",U73="2ND"),"OK","NG"))</f>
        <v/>
      </c>
      <c r="Y73" s="11">
        <f>IF(OR(B73="",K73&lt;=0),"",IF(AND(C73&gt;G73,D73&gt;H73),"UP",IF(AND(C73&lt;G73,D73&lt;H73),"DOWN","FLAT")))</f>
        <v/>
      </c>
    </row>
    <row r="74" ht="26" customHeight="1" s="1">
      <c r="A74" s="13">
        <f>IF('StockList_MS2'!A73="","",HYPERLINK("https://kabutan.jp/stock/?code="&amp;'StockList_MS2'!A73,'StockList_MS2'!A73))</f>
        <v/>
      </c>
      <c r="B74" s="14" t="n"/>
      <c r="C74" s="14" t="n"/>
      <c r="D74" s="14" t="n"/>
      <c r="E74" s="14" t="n"/>
      <c r="F74" s="15" t="n"/>
      <c r="G74" s="14" t="n"/>
      <c r="H74" s="14" t="n"/>
      <c r="I74" s="14" t="n"/>
      <c r="J74" s="16">
        <f>IF(B74="","",IF(B74&gt;I74,"BUY-DAY","SELL-DAY"))</f>
        <v/>
      </c>
      <c r="K74" s="17">
        <f>IF(B74="","",MAX(C74-D74,ABS(C74-I74),ABS(D74-I74)))</f>
        <v/>
      </c>
      <c r="L74" s="16">
        <f>IF(B74="","",IF(AND(F74&gt;0,F74&gt;(F74/3)*2.5),"VOL-OK","VOL-NG"))</f>
        <v/>
      </c>
      <c r="M74" s="16">
        <f>IF(B74="","",IF(B74&gt;G74,"ON","OFF"))</f>
        <v/>
      </c>
      <c r="N74" s="16">
        <f>IF(B74="","",IF(B74&lt;H74,"ON","OFF"))</f>
        <v/>
      </c>
      <c r="O74" s="16">
        <f>IF(OR(B74="",K74&lt;=0),"",IF(AND(J74="BUY-DAY",L74="VOL-OK",N74="ON",X74="OK",Y74&lt;&gt;"DOWN"),"BUY",IF(AND(J74="SELL-DAY",L74="VOL-OK",M74="ON",X74="OK",Y74&lt;&gt;"UP"),"SELL","")))</f>
        <v/>
      </c>
      <c r="P74" s="17">
        <f>IF(O74="","",B74)</f>
        <v/>
      </c>
      <c r="Q74" s="17">
        <f>IF(O74="","",IF(O74="BUY",B74-K74*1.5,B74+K74*1.5))</f>
        <v/>
      </c>
      <c r="R74" s="17">
        <f>IF(O74="","",IF(O74="BUY",B74+K74*1.5,B74-K74*1.5))</f>
        <v/>
      </c>
      <c r="S74" s="17">
        <f>IF(O74="","",IF(O74="BUY",B74+K74*2,B74-K74*2))</f>
        <v/>
      </c>
      <c r="T74" s="17">
        <f>IF(O74="","",IF(O74="BUY",B74+K74*3,B74-K74*3))</f>
        <v/>
      </c>
      <c r="U74" s="16">
        <f>IF(OR(B74="",K74&lt;=0),"",IF(AND(B74&gt;E74,ABS(B74-E74)&lt;K74*0.5),"2ND","1ST"))</f>
        <v/>
      </c>
      <c r="V74" s="16">
        <f>IF(OR(B74="",K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4" s="16">
        <f>IF(OR(B74="",K74&lt;=0),"",IF(K74&gt;B74*0.05,"VOL-HIGH","VOL-NORMAL"))</f>
        <v/>
      </c>
      <c r="X74" s="16">
        <f>IF(OR(B74="",K74&lt;=0),"",IF(AND(L74="VOL-OK",W74="VOL-NORMAL",U74="2ND"),"OK","NG"))</f>
        <v/>
      </c>
      <c r="Y74" s="16">
        <f>IF(OR(B74="",K74&lt;=0),"",IF(AND(C74&gt;G74,D74&gt;H74),"UP",IF(AND(C74&lt;G74,D74&lt;H74),"DOWN","FLAT")))</f>
        <v/>
      </c>
    </row>
    <row r="75" ht="26" customHeight="1" s="1">
      <c r="A75" s="8">
        <f>IF('StockList_MS2'!A74="","",HYPERLINK("https://kabutan.jp/stock/?code="&amp;'StockList_MS2'!A74,'StockList_MS2'!A74))</f>
        <v/>
      </c>
      <c r="B75" s="9" t="n"/>
      <c r="C75" s="9" t="n"/>
      <c r="D75" s="9" t="n"/>
      <c r="E75" s="9" t="n"/>
      <c r="F75" s="10" t="n"/>
      <c r="G75" s="9" t="n"/>
      <c r="H75" s="9" t="n"/>
      <c r="I75" s="9" t="n"/>
      <c r="J75" s="11">
        <f>IF(B75="","",IF(B75&gt;I75,"BUY-DAY","SELL-DAY"))</f>
        <v/>
      </c>
      <c r="K75" s="12">
        <f>IF(B75="","",MAX(C75-D75,ABS(C75-I75),ABS(D75-I75)))</f>
        <v/>
      </c>
      <c r="L75" s="11">
        <f>IF(B75="","",IF(AND(F75&gt;0,F75&gt;(F75/3)*2.5),"VOL-OK","VOL-NG"))</f>
        <v/>
      </c>
      <c r="M75" s="11">
        <f>IF(B75="","",IF(B75&gt;G75,"ON","OFF"))</f>
        <v/>
      </c>
      <c r="N75" s="11">
        <f>IF(B75="","",IF(B75&lt;H75,"ON","OFF"))</f>
        <v/>
      </c>
      <c r="O75" s="11">
        <f>IF(OR(B75="",K75&lt;=0),"",IF(AND(J75="BUY-DAY",L75="VOL-OK",N75="ON",X75="OK",Y75&lt;&gt;"DOWN"),"BUY",IF(AND(J75="SELL-DAY",L75="VOL-OK",M75="ON",X75="OK",Y75&lt;&gt;"UP"),"SELL","")))</f>
        <v/>
      </c>
      <c r="P75" s="12">
        <f>IF(O75="","",B75)</f>
        <v/>
      </c>
      <c r="Q75" s="12">
        <f>IF(O75="","",IF(O75="BUY",B75-K75*1.5,B75+K75*1.5))</f>
        <v/>
      </c>
      <c r="R75" s="12">
        <f>IF(O75="","",IF(O75="BUY",B75+K75*1.5,B75-K75*1.5))</f>
        <v/>
      </c>
      <c r="S75" s="12">
        <f>IF(O75="","",IF(O75="BUY",B75+K75*2,B75-K75*2))</f>
        <v/>
      </c>
      <c r="T75" s="12">
        <f>IF(O75="","",IF(O75="BUY",B75+K75*3,B75-K75*3))</f>
        <v/>
      </c>
      <c r="U75" s="11">
        <f>IF(OR(B75="",K75&lt;=0),"",IF(AND(B75&gt;E75,ABS(B75-E75)&lt;K75*0.5),"2ND","1ST"))</f>
        <v/>
      </c>
      <c r="V75" s="11">
        <f>IF(OR(B75="",K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5" s="11">
        <f>IF(OR(B75="",K75&lt;=0),"",IF(K75&gt;B75*0.05,"VOL-HIGH","VOL-NORMAL"))</f>
        <v/>
      </c>
      <c r="X75" s="11">
        <f>IF(OR(B75="",K75&lt;=0),"",IF(AND(L75="VOL-OK",W75="VOL-NORMAL",U75="2ND"),"OK","NG"))</f>
        <v/>
      </c>
      <c r="Y75" s="11">
        <f>IF(OR(B75="",K75&lt;=0),"",IF(AND(C75&gt;G75,D75&gt;H75),"UP",IF(AND(C75&lt;G75,D75&lt;H75),"DOWN","FLAT")))</f>
        <v/>
      </c>
    </row>
    <row r="76" ht="26" customHeight="1" s="1">
      <c r="A76" s="13">
        <f>IF('StockList_MS2'!A75="","",HYPERLINK("https://kabutan.jp/stock/?code="&amp;'StockList_MS2'!A75,'StockList_MS2'!A75))</f>
        <v/>
      </c>
      <c r="B76" s="14" t="n"/>
      <c r="C76" s="14" t="n"/>
      <c r="D76" s="14" t="n"/>
      <c r="E76" s="14" t="n"/>
      <c r="F76" s="15" t="n"/>
      <c r="G76" s="14" t="n"/>
      <c r="H76" s="14" t="n"/>
      <c r="I76" s="14" t="n"/>
      <c r="J76" s="16">
        <f>IF(B76="","",IF(B76&gt;I76,"BUY-DAY","SELL-DAY"))</f>
        <v/>
      </c>
      <c r="K76" s="17">
        <f>IF(B76="","",MAX(C76-D76,ABS(C76-I76),ABS(D76-I76)))</f>
        <v/>
      </c>
      <c r="L76" s="16">
        <f>IF(B76="","",IF(AND(F76&gt;0,F76&gt;(F76/3)*2.5),"VOL-OK","VOL-NG"))</f>
        <v/>
      </c>
      <c r="M76" s="16">
        <f>IF(B76="","",IF(B76&gt;G76,"ON","OFF"))</f>
        <v/>
      </c>
      <c r="N76" s="16">
        <f>IF(B76="","",IF(B76&lt;H76,"ON","OFF"))</f>
        <v/>
      </c>
      <c r="O76" s="16">
        <f>IF(OR(B76="",K76&lt;=0),"",IF(AND(J76="BUY-DAY",L76="VOL-OK",N76="ON",X76="OK",Y76&lt;&gt;"DOWN"),"BUY",IF(AND(J76="SELL-DAY",L76="VOL-OK",M76="ON",X76="OK",Y76&lt;&gt;"UP"),"SELL","")))</f>
        <v/>
      </c>
      <c r="P76" s="17">
        <f>IF(O76="","",B76)</f>
        <v/>
      </c>
      <c r="Q76" s="17">
        <f>IF(O76="","",IF(O76="BUY",B76-K76*1.5,B76+K76*1.5))</f>
        <v/>
      </c>
      <c r="R76" s="17">
        <f>IF(O76="","",IF(O76="BUY",B76+K76*1.5,B76-K76*1.5))</f>
        <v/>
      </c>
      <c r="S76" s="17">
        <f>IF(O76="","",IF(O76="BUY",B76+K76*2,B76-K76*2))</f>
        <v/>
      </c>
      <c r="T76" s="17">
        <f>IF(O76="","",IF(O76="BUY",B76+K76*3,B76-K76*3))</f>
        <v/>
      </c>
      <c r="U76" s="16">
        <f>IF(OR(B76="",K76&lt;=0),"",IF(AND(B76&gt;E76,ABS(B76-E76)&lt;K76*0.5),"2ND","1ST"))</f>
        <v/>
      </c>
      <c r="V76" s="16">
        <f>IF(OR(B76="",K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6" s="16">
        <f>IF(OR(B76="",K76&lt;=0),"",IF(K76&gt;B76*0.05,"VOL-HIGH","VOL-NORMAL"))</f>
        <v/>
      </c>
      <c r="X76" s="16">
        <f>IF(OR(B76="",K76&lt;=0),"",IF(AND(L76="VOL-OK",W76="VOL-NORMAL",U76="2ND"),"OK","NG"))</f>
        <v/>
      </c>
      <c r="Y76" s="16">
        <f>IF(OR(B76="",K76&lt;=0),"",IF(AND(C76&gt;G76,D76&gt;H76),"UP",IF(AND(C76&lt;G76,D76&lt;H76),"DOWN","FLAT")))</f>
        <v/>
      </c>
    </row>
    <row r="77" ht="26" customHeight="1" s="1">
      <c r="A77" s="8">
        <f>IF('StockList_MS2'!A76="","",HYPERLINK("https://kabutan.jp/stock/?code="&amp;'StockList_MS2'!A76,'StockList_MS2'!A76))</f>
        <v/>
      </c>
      <c r="B77" s="9" t="n"/>
      <c r="C77" s="9" t="n"/>
      <c r="D77" s="9" t="n"/>
      <c r="E77" s="9" t="n"/>
      <c r="F77" s="10" t="n"/>
      <c r="G77" s="9" t="n"/>
      <c r="H77" s="9" t="n"/>
      <c r="I77" s="9" t="n"/>
      <c r="J77" s="11">
        <f>IF(B77="","",IF(B77&gt;I77,"BUY-DAY","SELL-DAY"))</f>
        <v/>
      </c>
      <c r="K77" s="12">
        <f>IF(B77="","",MAX(C77-D77,ABS(C77-I77),ABS(D77-I77)))</f>
        <v/>
      </c>
      <c r="L77" s="11">
        <f>IF(B77="","",IF(AND(F77&gt;0,F77&gt;(F77/3)*2.5),"VOL-OK","VOL-NG"))</f>
        <v/>
      </c>
      <c r="M77" s="11">
        <f>IF(B77="","",IF(B77&gt;G77,"ON","OFF"))</f>
        <v/>
      </c>
      <c r="N77" s="11">
        <f>IF(B77="","",IF(B77&lt;H77,"ON","OFF"))</f>
        <v/>
      </c>
      <c r="O77" s="11">
        <f>IF(OR(B77="",K77&lt;=0),"",IF(AND(J77="BUY-DAY",L77="VOL-OK",N77="ON",X77="OK",Y77&lt;&gt;"DOWN"),"BUY",IF(AND(J77="SELL-DAY",L77="VOL-OK",M77="ON",X77="OK",Y77&lt;&gt;"UP"),"SELL","")))</f>
        <v/>
      </c>
      <c r="P77" s="12">
        <f>IF(O77="","",B77)</f>
        <v/>
      </c>
      <c r="Q77" s="12">
        <f>IF(O77="","",IF(O77="BUY",B77-K77*1.5,B77+K77*1.5))</f>
        <v/>
      </c>
      <c r="R77" s="12">
        <f>IF(O77="","",IF(O77="BUY",B77+K77*1.5,B77-K77*1.5))</f>
        <v/>
      </c>
      <c r="S77" s="12">
        <f>IF(O77="","",IF(O77="BUY",B77+K77*2,B77-K77*2))</f>
        <v/>
      </c>
      <c r="T77" s="12">
        <f>IF(O77="","",IF(O77="BUY",B77+K77*3,B77-K77*3))</f>
        <v/>
      </c>
      <c r="U77" s="11">
        <f>IF(OR(B77="",K77&lt;=0),"",IF(AND(B77&gt;E77,ABS(B77-E77)&lt;K77*0.5),"2ND","1ST"))</f>
        <v/>
      </c>
      <c r="V77" s="11">
        <f>IF(OR(B77="",K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7" s="11">
        <f>IF(OR(B77="",K77&lt;=0),"",IF(K77&gt;B77*0.05,"VOL-HIGH","VOL-NORMAL"))</f>
        <v/>
      </c>
      <c r="X77" s="11">
        <f>IF(OR(B77="",K77&lt;=0),"",IF(AND(L77="VOL-OK",W77="VOL-NORMAL",U77="2ND"),"OK","NG"))</f>
        <v/>
      </c>
      <c r="Y77" s="11">
        <f>IF(OR(B77="",K77&lt;=0),"",IF(AND(C77&gt;G77,D77&gt;H77),"UP",IF(AND(C77&lt;G77,D77&lt;H77),"DOWN","FLAT")))</f>
        <v/>
      </c>
    </row>
    <row r="78" ht="26" customHeight="1" s="1">
      <c r="A78" s="13">
        <f>IF('StockList_MS2'!A77="","",HYPERLINK("https://kabutan.jp/stock/?code="&amp;'StockList_MS2'!A77,'StockList_MS2'!A77))</f>
        <v/>
      </c>
      <c r="B78" s="14" t="n"/>
      <c r="C78" s="14" t="n"/>
      <c r="D78" s="14" t="n"/>
      <c r="E78" s="14" t="n"/>
      <c r="F78" s="15" t="n"/>
      <c r="G78" s="14" t="n"/>
      <c r="H78" s="14" t="n"/>
      <c r="I78" s="14" t="n"/>
      <c r="J78" s="16">
        <f>IF(B78="","",IF(B78&gt;I78,"BUY-DAY","SELL-DAY"))</f>
        <v/>
      </c>
      <c r="K78" s="17">
        <f>IF(B78="","",MAX(C78-D78,ABS(C78-I78),ABS(D78-I78)))</f>
        <v/>
      </c>
      <c r="L78" s="16">
        <f>IF(B78="","",IF(AND(F78&gt;0,F78&gt;(F78/3)*2.5),"VOL-OK","VOL-NG"))</f>
        <v/>
      </c>
      <c r="M78" s="16">
        <f>IF(B78="","",IF(B78&gt;G78,"ON","OFF"))</f>
        <v/>
      </c>
      <c r="N78" s="16">
        <f>IF(B78="","",IF(B78&lt;H78,"ON","OFF"))</f>
        <v/>
      </c>
      <c r="O78" s="16">
        <f>IF(OR(B78="",K78&lt;=0),"",IF(AND(J78="BUY-DAY",L78="VOL-OK",N78="ON",X78="OK",Y78&lt;&gt;"DOWN"),"BUY",IF(AND(J78="SELL-DAY",L78="VOL-OK",M78="ON",X78="OK",Y78&lt;&gt;"UP"),"SELL","")))</f>
        <v/>
      </c>
      <c r="P78" s="17">
        <f>IF(O78="","",B78)</f>
        <v/>
      </c>
      <c r="Q78" s="17">
        <f>IF(O78="","",IF(O78="BUY",B78-K78*1.5,B78+K78*1.5))</f>
        <v/>
      </c>
      <c r="R78" s="17">
        <f>IF(O78="","",IF(O78="BUY",B78+K78*1.5,B78-K78*1.5))</f>
        <v/>
      </c>
      <c r="S78" s="17">
        <f>IF(O78="","",IF(O78="BUY",B78+K78*2,B78-K78*2))</f>
        <v/>
      </c>
      <c r="T78" s="17">
        <f>IF(O78="","",IF(O78="BUY",B78+K78*3,B78-K78*3))</f>
        <v/>
      </c>
      <c r="U78" s="16">
        <f>IF(OR(B78="",K78&lt;=0),"",IF(AND(B78&gt;E78,ABS(B78-E78)&lt;K78*0.5),"2ND","1ST"))</f>
        <v/>
      </c>
      <c r="V78" s="16">
        <f>IF(OR(B78="",K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8" s="16">
        <f>IF(OR(B78="",K78&lt;=0),"",IF(K78&gt;B78*0.05,"VOL-HIGH","VOL-NORMAL"))</f>
        <v/>
      </c>
      <c r="X78" s="16">
        <f>IF(OR(B78="",K78&lt;=0),"",IF(AND(L78="VOL-OK",W78="VOL-NORMAL",U78="2ND"),"OK","NG"))</f>
        <v/>
      </c>
      <c r="Y78" s="16">
        <f>IF(OR(B78="",K78&lt;=0),"",IF(AND(C78&gt;G78,D78&gt;H78),"UP",IF(AND(C78&lt;G78,D78&lt;H78),"DOWN","FLAT")))</f>
        <v/>
      </c>
    </row>
    <row r="79" ht="26" customHeight="1" s="1">
      <c r="A79" s="8">
        <f>IF('StockList_MS2'!A78="","",HYPERLINK("https://kabutan.jp/stock/?code="&amp;'StockList_MS2'!A78,'StockList_MS2'!A78))</f>
        <v/>
      </c>
      <c r="B79" s="9" t="n"/>
      <c r="C79" s="9" t="n"/>
      <c r="D79" s="9" t="n"/>
      <c r="E79" s="9" t="n"/>
      <c r="F79" s="10" t="n"/>
      <c r="G79" s="9" t="n"/>
      <c r="H79" s="9" t="n"/>
      <c r="I79" s="9" t="n"/>
      <c r="J79" s="11">
        <f>IF(B79="","",IF(B79&gt;I79,"BUY-DAY","SELL-DAY"))</f>
        <v/>
      </c>
      <c r="K79" s="12">
        <f>IF(B79="","",MAX(C79-D79,ABS(C79-I79),ABS(D79-I79)))</f>
        <v/>
      </c>
      <c r="L79" s="11">
        <f>IF(B79="","",IF(AND(F79&gt;0,F79&gt;(F79/3)*2.5),"VOL-OK","VOL-NG"))</f>
        <v/>
      </c>
      <c r="M79" s="11">
        <f>IF(B79="","",IF(B79&gt;G79,"ON","OFF"))</f>
        <v/>
      </c>
      <c r="N79" s="11">
        <f>IF(B79="","",IF(B79&lt;H79,"ON","OFF"))</f>
        <v/>
      </c>
      <c r="O79" s="11">
        <f>IF(OR(B79="",K79&lt;=0),"",IF(AND(J79="BUY-DAY",L79="VOL-OK",N79="ON",X79="OK",Y79&lt;&gt;"DOWN"),"BUY",IF(AND(J79="SELL-DAY",L79="VOL-OK",M79="ON",X79="OK",Y79&lt;&gt;"UP"),"SELL","")))</f>
        <v/>
      </c>
      <c r="P79" s="12">
        <f>IF(O79="","",B79)</f>
        <v/>
      </c>
      <c r="Q79" s="12">
        <f>IF(O79="","",IF(O79="BUY",B79-K79*1.5,B79+K79*1.5))</f>
        <v/>
      </c>
      <c r="R79" s="12">
        <f>IF(O79="","",IF(O79="BUY",B79+K79*1.5,B79-K79*1.5))</f>
        <v/>
      </c>
      <c r="S79" s="12">
        <f>IF(O79="","",IF(O79="BUY",B79+K79*2,B79-K79*2))</f>
        <v/>
      </c>
      <c r="T79" s="12">
        <f>IF(O79="","",IF(O79="BUY",B79+K79*3,B79-K79*3))</f>
        <v/>
      </c>
      <c r="U79" s="11">
        <f>IF(OR(B79="",K79&lt;=0),"",IF(AND(B79&gt;E79,ABS(B79-E79)&lt;K79*0.5),"2ND","1ST"))</f>
        <v/>
      </c>
      <c r="V79" s="11">
        <f>IF(OR(B79="",K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9" s="11">
        <f>IF(OR(B79="",K79&lt;=0),"",IF(K79&gt;B79*0.05,"VOL-HIGH","VOL-NORMAL"))</f>
        <v/>
      </c>
      <c r="X79" s="11">
        <f>IF(OR(B79="",K79&lt;=0),"",IF(AND(L79="VOL-OK",W79="VOL-NORMAL",U79="2ND"),"OK","NG"))</f>
        <v/>
      </c>
      <c r="Y79" s="11">
        <f>IF(OR(B79="",K79&lt;=0),"",IF(AND(C79&gt;G79,D79&gt;H79),"UP",IF(AND(C79&lt;G79,D79&lt;H79),"DOWN","FLAT")))</f>
        <v/>
      </c>
    </row>
    <row r="80" ht="26" customHeight="1" s="1">
      <c r="A80" s="13">
        <f>IF('StockList_MS2'!A79="","",HYPERLINK("https://kabutan.jp/stock/?code="&amp;'StockList_MS2'!A79,'StockList_MS2'!A79))</f>
        <v/>
      </c>
      <c r="B80" s="14" t="n"/>
      <c r="C80" s="14" t="n"/>
      <c r="D80" s="14" t="n"/>
      <c r="E80" s="14" t="n"/>
      <c r="F80" s="15" t="n"/>
      <c r="G80" s="14" t="n"/>
      <c r="H80" s="14" t="n"/>
      <c r="I80" s="14" t="n"/>
      <c r="J80" s="16">
        <f>IF(B80="","",IF(B80&gt;I80,"BUY-DAY","SELL-DAY"))</f>
        <v/>
      </c>
      <c r="K80" s="17">
        <f>IF(B80="","",MAX(C80-D80,ABS(C80-I80),ABS(D80-I80)))</f>
        <v/>
      </c>
      <c r="L80" s="16">
        <f>IF(B80="","",IF(AND(F80&gt;0,F80&gt;(F80/3)*2.5),"VOL-OK","VOL-NG"))</f>
        <v/>
      </c>
      <c r="M80" s="16">
        <f>IF(B80="","",IF(B80&gt;G80,"ON","OFF"))</f>
        <v/>
      </c>
      <c r="N80" s="16">
        <f>IF(B80="","",IF(B80&lt;H80,"ON","OFF"))</f>
        <v/>
      </c>
      <c r="O80" s="16">
        <f>IF(OR(B80="",K80&lt;=0),"",IF(AND(J80="BUY-DAY",L80="VOL-OK",N80="ON",X80="OK",Y80&lt;&gt;"DOWN"),"BUY",IF(AND(J80="SELL-DAY",L80="VOL-OK",M80="ON",X80="OK",Y80&lt;&gt;"UP"),"SELL","")))</f>
        <v/>
      </c>
      <c r="P80" s="17">
        <f>IF(O80="","",B80)</f>
        <v/>
      </c>
      <c r="Q80" s="17">
        <f>IF(O80="","",IF(O80="BUY",B80-K80*1.5,B80+K80*1.5))</f>
        <v/>
      </c>
      <c r="R80" s="17">
        <f>IF(O80="","",IF(O80="BUY",B80+K80*1.5,B80-K80*1.5))</f>
        <v/>
      </c>
      <c r="S80" s="17">
        <f>IF(O80="","",IF(O80="BUY",B80+K80*2,B80-K80*2))</f>
        <v/>
      </c>
      <c r="T80" s="17">
        <f>IF(O80="","",IF(O80="BUY",B80+K80*3,B80-K80*3))</f>
        <v/>
      </c>
      <c r="U80" s="16">
        <f>IF(OR(B80="",K80&lt;=0),"",IF(AND(B80&gt;E80,ABS(B80-E80)&lt;K80*0.5),"2ND","1ST"))</f>
        <v/>
      </c>
      <c r="V80" s="16">
        <f>IF(OR(B80="",K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0" s="16">
        <f>IF(OR(B80="",K80&lt;=0),"",IF(K80&gt;B80*0.05,"VOL-HIGH","VOL-NORMAL"))</f>
        <v/>
      </c>
      <c r="X80" s="16">
        <f>IF(OR(B80="",K80&lt;=0),"",IF(AND(L80="VOL-OK",W80="VOL-NORMAL",U80="2ND"),"OK","NG"))</f>
        <v/>
      </c>
      <c r="Y80" s="16">
        <f>IF(OR(B80="",K80&lt;=0),"",IF(AND(C80&gt;G80,D80&gt;H80),"UP",IF(AND(C80&lt;G80,D80&lt;H80),"DOWN","FLAT")))</f>
        <v/>
      </c>
    </row>
    <row r="81" ht="26" customHeight="1" s="1">
      <c r="A81" s="8">
        <f>IF('StockList_MS2'!A80="","",HYPERLINK("https://kabutan.jp/stock/?code="&amp;'StockList_MS2'!A80,'StockList_MS2'!A80))</f>
        <v/>
      </c>
      <c r="B81" s="9" t="n"/>
      <c r="C81" s="9" t="n"/>
      <c r="D81" s="9" t="n"/>
      <c r="E81" s="9" t="n"/>
      <c r="F81" s="10" t="n"/>
      <c r="G81" s="9" t="n"/>
      <c r="H81" s="9" t="n"/>
      <c r="I81" s="9" t="n"/>
      <c r="J81" s="11">
        <f>IF(B81="","",IF(B81&gt;I81,"BUY-DAY","SELL-DAY"))</f>
        <v/>
      </c>
      <c r="K81" s="12">
        <f>IF(B81="","",MAX(C81-D81,ABS(C81-I81),ABS(D81-I81)))</f>
        <v/>
      </c>
      <c r="L81" s="11">
        <f>IF(B81="","",IF(AND(F81&gt;0,F81&gt;(F81/3)*2.5),"VOL-OK","VOL-NG"))</f>
        <v/>
      </c>
      <c r="M81" s="11">
        <f>IF(B81="","",IF(B81&gt;G81,"ON","OFF"))</f>
        <v/>
      </c>
      <c r="N81" s="11">
        <f>IF(B81="","",IF(B81&lt;H81,"ON","OFF"))</f>
        <v/>
      </c>
      <c r="O81" s="11">
        <f>IF(OR(B81="",K81&lt;=0),"",IF(AND(J81="BUY-DAY",L81="VOL-OK",N81="ON",X81="OK",Y81&lt;&gt;"DOWN"),"BUY",IF(AND(J81="SELL-DAY",L81="VOL-OK",M81="ON",X81="OK",Y81&lt;&gt;"UP"),"SELL","")))</f>
        <v/>
      </c>
      <c r="P81" s="12">
        <f>IF(O81="","",B81)</f>
        <v/>
      </c>
      <c r="Q81" s="12">
        <f>IF(O81="","",IF(O81="BUY",B81-K81*1.5,B81+K81*1.5))</f>
        <v/>
      </c>
      <c r="R81" s="12">
        <f>IF(O81="","",IF(O81="BUY",B81+K81*1.5,B81-K81*1.5))</f>
        <v/>
      </c>
      <c r="S81" s="12">
        <f>IF(O81="","",IF(O81="BUY",B81+K81*2,B81-K81*2))</f>
        <v/>
      </c>
      <c r="T81" s="12">
        <f>IF(O81="","",IF(O81="BUY",B81+K81*3,B81-K81*3))</f>
        <v/>
      </c>
      <c r="U81" s="11">
        <f>IF(OR(B81="",K81&lt;=0),"",IF(AND(B81&gt;E81,ABS(B81-E81)&lt;K81*0.5),"2ND","1ST"))</f>
        <v/>
      </c>
      <c r="V81" s="11">
        <f>IF(OR(B81="",K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1" s="11">
        <f>IF(OR(B81="",K81&lt;=0),"",IF(K81&gt;B81*0.05,"VOL-HIGH","VOL-NORMAL"))</f>
        <v/>
      </c>
      <c r="X81" s="11">
        <f>IF(OR(B81="",K81&lt;=0),"",IF(AND(L81="VOL-OK",W81="VOL-NORMAL",U81="2ND"),"OK","NG"))</f>
        <v/>
      </c>
      <c r="Y81" s="11">
        <f>IF(OR(B81="",K81&lt;=0),"",IF(AND(C81&gt;G81,D81&gt;H81),"UP",IF(AND(C81&lt;G81,D81&lt;H81),"DOWN","FLAT")))</f>
        <v/>
      </c>
    </row>
    <row r="82" ht="26" customHeight="1" s="1">
      <c r="A82" s="13">
        <f>IF('StockList_MS2'!A81="","",HYPERLINK("https://kabutan.jp/stock/?code="&amp;'StockList_MS2'!A81,'StockList_MS2'!A81))</f>
        <v/>
      </c>
      <c r="B82" s="14" t="n"/>
      <c r="C82" s="14" t="n"/>
      <c r="D82" s="14" t="n"/>
      <c r="E82" s="14" t="n"/>
      <c r="F82" s="15" t="n"/>
      <c r="G82" s="14" t="n"/>
      <c r="H82" s="14" t="n"/>
      <c r="I82" s="14" t="n"/>
      <c r="J82" s="16">
        <f>IF(B82="","",IF(B82&gt;I82,"BUY-DAY","SELL-DAY"))</f>
        <v/>
      </c>
      <c r="K82" s="17">
        <f>IF(B82="","",MAX(C82-D82,ABS(C82-I82),ABS(D82-I82)))</f>
        <v/>
      </c>
      <c r="L82" s="16">
        <f>IF(B82="","",IF(AND(F82&gt;0,F82&gt;(F82/3)*2.5),"VOL-OK","VOL-NG"))</f>
        <v/>
      </c>
      <c r="M82" s="16">
        <f>IF(B82="","",IF(B82&gt;G82,"ON","OFF"))</f>
        <v/>
      </c>
      <c r="N82" s="16">
        <f>IF(B82="","",IF(B82&lt;H82,"ON","OFF"))</f>
        <v/>
      </c>
      <c r="O82" s="16">
        <f>IF(OR(B82="",K82&lt;=0),"",IF(AND(J82="BUY-DAY",L82="VOL-OK",N82="ON",X82="OK",Y82&lt;&gt;"DOWN"),"BUY",IF(AND(J82="SELL-DAY",L82="VOL-OK",M82="ON",X82="OK",Y82&lt;&gt;"UP"),"SELL","")))</f>
        <v/>
      </c>
      <c r="P82" s="17">
        <f>IF(O82="","",B82)</f>
        <v/>
      </c>
      <c r="Q82" s="17">
        <f>IF(O82="","",IF(O82="BUY",B82-K82*1.5,B82+K82*1.5))</f>
        <v/>
      </c>
      <c r="R82" s="17">
        <f>IF(O82="","",IF(O82="BUY",B82+K82*1.5,B82-K82*1.5))</f>
        <v/>
      </c>
      <c r="S82" s="17">
        <f>IF(O82="","",IF(O82="BUY",B82+K82*2,B82-K82*2))</f>
        <v/>
      </c>
      <c r="T82" s="17">
        <f>IF(O82="","",IF(O82="BUY",B82+K82*3,B82-K82*3))</f>
        <v/>
      </c>
      <c r="U82" s="16">
        <f>IF(OR(B82="",K82&lt;=0),"",IF(AND(B82&gt;E82,ABS(B82-E82)&lt;K82*0.5),"2ND","1ST"))</f>
        <v/>
      </c>
      <c r="V82" s="16">
        <f>IF(OR(B82="",K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2" s="16">
        <f>IF(OR(B82="",K82&lt;=0),"",IF(K82&gt;B82*0.05,"VOL-HIGH","VOL-NORMAL"))</f>
        <v/>
      </c>
      <c r="X82" s="16">
        <f>IF(OR(B82="",K82&lt;=0),"",IF(AND(L82="VOL-OK",W82="VOL-NORMAL",U82="2ND"),"OK","NG"))</f>
        <v/>
      </c>
      <c r="Y82" s="16">
        <f>IF(OR(B82="",K82&lt;=0),"",IF(AND(C82&gt;G82,D82&gt;H82),"UP",IF(AND(C82&lt;G82,D82&lt;H82),"DOWN","FLAT")))</f>
        <v/>
      </c>
    </row>
    <row r="83" ht="26" customHeight="1" s="1">
      <c r="A83" s="8">
        <f>IF('StockList_MS2'!A82="","",HYPERLINK("https://kabutan.jp/stock/?code="&amp;'StockList_MS2'!A82,'StockList_MS2'!A82))</f>
        <v/>
      </c>
      <c r="B83" s="9" t="n"/>
      <c r="C83" s="9" t="n"/>
      <c r="D83" s="9" t="n"/>
      <c r="E83" s="9" t="n"/>
      <c r="F83" s="10" t="n"/>
      <c r="G83" s="9" t="n"/>
      <c r="H83" s="9" t="n"/>
      <c r="I83" s="9" t="n"/>
      <c r="J83" s="11">
        <f>IF(B83="","",IF(B83&gt;I83,"BUY-DAY","SELL-DAY"))</f>
        <v/>
      </c>
      <c r="K83" s="12">
        <f>IF(B83="","",MAX(C83-D83,ABS(C83-I83),ABS(D83-I83)))</f>
        <v/>
      </c>
      <c r="L83" s="11">
        <f>IF(B83="","",IF(AND(F83&gt;0,F83&gt;(F83/3)*2.5),"VOL-OK","VOL-NG"))</f>
        <v/>
      </c>
      <c r="M83" s="11">
        <f>IF(B83="","",IF(B83&gt;G83,"ON","OFF"))</f>
        <v/>
      </c>
      <c r="N83" s="11">
        <f>IF(B83="","",IF(B83&lt;H83,"ON","OFF"))</f>
        <v/>
      </c>
      <c r="O83" s="11">
        <f>IF(OR(B83="",K83&lt;=0),"",IF(AND(J83="BUY-DAY",L83="VOL-OK",N83="ON",X83="OK",Y83&lt;&gt;"DOWN"),"BUY",IF(AND(J83="SELL-DAY",L83="VOL-OK",M83="ON",X83="OK",Y83&lt;&gt;"UP"),"SELL","")))</f>
        <v/>
      </c>
      <c r="P83" s="12">
        <f>IF(O83="","",B83)</f>
        <v/>
      </c>
      <c r="Q83" s="12">
        <f>IF(O83="","",IF(O83="BUY",B83-K83*1.5,B83+K83*1.5))</f>
        <v/>
      </c>
      <c r="R83" s="12">
        <f>IF(O83="","",IF(O83="BUY",B83+K83*1.5,B83-K83*1.5))</f>
        <v/>
      </c>
      <c r="S83" s="12">
        <f>IF(O83="","",IF(O83="BUY",B83+K83*2,B83-K83*2))</f>
        <v/>
      </c>
      <c r="T83" s="12">
        <f>IF(O83="","",IF(O83="BUY",B83+K83*3,B83-K83*3))</f>
        <v/>
      </c>
      <c r="U83" s="11">
        <f>IF(OR(B83="",K83&lt;=0),"",IF(AND(B83&gt;E83,ABS(B83-E83)&lt;K83*0.5),"2ND","1ST"))</f>
        <v/>
      </c>
      <c r="V83" s="11">
        <f>IF(OR(B83="",K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3" s="11">
        <f>IF(OR(B83="",K83&lt;=0),"",IF(K83&gt;B83*0.05,"VOL-HIGH","VOL-NORMAL"))</f>
        <v/>
      </c>
      <c r="X83" s="11">
        <f>IF(OR(B83="",K83&lt;=0),"",IF(AND(L83="VOL-OK",W83="VOL-NORMAL",U83="2ND"),"OK","NG"))</f>
        <v/>
      </c>
      <c r="Y83" s="11">
        <f>IF(OR(B83="",K83&lt;=0),"",IF(AND(C83&gt;G83,D83&gt;H83),"UP",IF(AND(C83&lt;G83,D83&lt;H83),"DOWN","FLAT")))</f>
        <v/>
      </c>
    </row>
    <row r="84" ht="26" customHeight="1" s="1">
      <c r="A84" s="13">
        <f>IF('StockList_MS2'!A83="","",HYPERLINK("https://kabutan.jp/stock/?code="&amp;'StockList_MS2'!A83,'StockList_MS2'!A83))</f>
        <v/>
      </c>
      <c r="B84" s="14" t="n"/>
      <c r="C84" s="14" t="n"/>
      <c r="D84" s="14" t="n"/>
      <c r="E84" s="14" t="n"/>
      <c r="F84" s="15" t="n"/>
      <c r="G84" s="14" t="n"/>
      <c r="H84" s="14" t="n"/>
      <c r="I84" s="14" t="n"/>
      <c r="J84" s="16">
        <f>IF(B84="","",IF(B84&gt;I84,"BUY-DAY","SELL-DAY"))</f>
        <v/>
      </c>
      <c r="K84" s="17">
        <f>IF(B84="","",MAX(C84-D84,ABS(C84-I84),ABS(D84-I84)))</f>
        <v/>
      </c>
      <c r="L84" s="16">
        <f>IF(B84="","",IF(AND(F84&gt;0,F84&gt;(F84/3)*2.5),"VOL-OK","VOL-NG"))</f>
        <v/>
      </c>
      <c r="M84" s="16">
        <f>IF(B84="","",IF(B84&gt;G84,"ON","OFF"))</f>
        <v/>
      </c>
      <c r="N84" s="16">
        <f>IF(B84="","",IF(B84&lt;H84,"ON","OFF"))</f>
        <v/>
      </c>
      <c r="O84" s="16">
        <f>IF(OR(B84="",K84&lt;=0),"",IF(AND(J84="BUY-DAY",L84="VOL-OK",N84="ON",X84="OK",Y84&lt;&gt;"DOWN"),"BUY",IF(AND(J84="SELL-DAY",L84="VOL-OK",M84="ON",X84="OK",Y84&lt;&gt;"UP"),"SELL","")))</f>
        <v/>
      </c>
      <c r="P84" s="17">
        <f>IF(O84="","",B84)</f>
        <v/>
      </c>
      <c r="Q84" s="17">
        <f>IF(O84="","",IF(O84="BUY",B84-K84*1.5,B84+K84*1.5))</f>
        <v/>
      </c>
      <c r="R84" s="17">
        <f>IF(O84="","",IF(O84="BUY",B84+K84*1.5,B84-K84*1.5))</f>
        <v/>
      </c>
      <c r="S84" s="17">
        <f>IF(O84="","",IF(O84="BUY",B84+K84*2,B84-K84*2))</f>
        <v/>
      </c>
      <c r="T84" s="17">
        <f>IF(O84="","",IF(O84="BUY",B84+K84*3,B84-K84*3))</f>
        <v/>
      </c>
      <c r="U84" s="16">
        <f>IF(OR(B84="",K84&lt;=0),"",IF(AND(B84&gt;E84,ABS(B84-E84)&lt;K84*0.5),"2ND","1ST"))</f>
        <v/>
      </c>
      <c r="V84" s="16">
        <f>IF(OR(B84="",K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4" s="16">
        <f>IF(OR(B84="",K84&lt;=0),"",IF(K84&gt;B84*0.05,"VOL-HIGH","VOL-NORMAL"))</f>
        <v/>
      </c>
      <c r="X84" s="16">
        <f>IF(OR(B84="",K84&lt;=0),"",IF(AND(L84="VOL-OK",W84="VOL-NORMAL",U84="2ND"),"OK","NG"))</f>
        <v/>
      </c>
      <c r="Y84" s="16">
        <f>IF(OR(B84="",K84&lt;=0),"",IF(AND(C84&gt;G84,D84&gt;H84),"UP",IF(AND(C84&lt;G84,D84&lt;H84),"DOWN","FLAT")))</f>
        <v/>
      </c>
    </row>
    <row r="85" ht="26" customHeight="1" s="1">
      <c r="A85" s="8">
        <f>IF('StockList_MS2'!A84="","",HYPERLINK("https://kabutan.jp/stock/?code="&amp;'StockList_MS2'!A84,'StockList_MS2'!A84))</f>
        <v/>
      </c>
      <c r="B85" s="9" t="n"/>
      <c r="C85" s="9" t="n"/>
      <c r="D85" s="9" t="n"/>
      <c r="E85" s="9" t="n"/>
      <c r="F85" s="10" t="n"/>
      <c r="G85" s="9" t="n"/>
      <c r="H85" s="9" t="n"/>
      <c r="I85" s="9" t="n"/>
      <c r="J85" s="11">
        <f>IF(B85="","",IF(B85&gt;I85,"BUY-DAY","SELL-DAY"))</f>
        <v/>
      </c>
      <c r="K85" s="12">
        <f>IF(B85="","",MAX(C85-D85,ABS(C85-I85),ABS(D85-I85)))</f>
        <v/>
      </c>
      <c r="L85" s="11">
        <f>IF(B85="","",IF(AND(F85&gt;0,F85&gt;(F85/3)*2.5),"VOL-OK","VOL-NG"))</f>
        <v/>
      </c>
      <c r="M85" s="11">
        <f>IF(B85="","",IF(B85&gt;G85,"ON","OFF"))</f>
        <v/>
      </c>
      <c r="N85" s="11">
        <f>IF(B85="","",IF(B85&lt;H85,"ON","OFF"))</f>
        <v/>
      </c>
      <c r="O85" s="11">
        <f>IF(OR(B85="",K85&lt;=0),"",IF(AND(J85="BUY-DAY",L85="VOL-OK",N85="ON",X85="OK",Y85&lt;&gt;"DOWN"),"BUY",IF(AND(J85="SELL-DAY",L85="VOL-OK",M85="ON",X85="OK",Y85&lt;&gt;"UP"),"SELL","")))</f>
        <v/>
      </c>
      <c r="P85" s="12">
        <f>IF(O85="","",B85)</f>
        <v/>
      </c>
      <c r="Q85" s="12">
        <f>IF(O85="","",IF(O85="BUY",B85-K85*1.5,B85+K85*1.5))</f>
        <v/>
      </c>
      <c r="R85" s="12">
        <f>IF(O85="","",IF(O85="BUY",B85+K85*1.5,B85-K85*1.5))</f>
        <v/>
      </c>
      <c r="S85" s="12">
        <f>IF(O85="","",IF(O85="BUY",B85+K85*2,B85-K85*2))</f>
        <v/>
      </c>
      <c r="T85" s="12">
        <f>IF(O85="","",IF(O85="BUY",B85+K85*3,B85-K85*3))</f>
        <v/>
      </c>
      <c r="U85" s="11">
        <f>IF(OR(B85="",K85&lt;=0),"",IF(AND(B85&gt;E85,ABS(B85-E85)&lt;K85*0.5),"2ND","1ST"))</f>
        <v/>
      </c>
      <c r="V85" s="11">
        <f>IF(OR(B85="",K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5" s="11">
        <f>IF(OR(B85="",K85&lt;=0),"",IF(K85&gt;B85*0.05,"VOL-HIGH","VOL-NORMAL"))</f>
        <v/>
      </c>
      <c r="X85" s="11">
        <f>IF(OR(B85="",K85&lt;=0),"",IF(AND(L85="VOL-OK",W85="VOL-NORMAL",U85="2ND"),"OK","NG"))</f>
        <v/>
      </c>
      <c r="Y85" s="11">
        <f>IF(OR(B85="",K85&lt;=0),"",IF(AND(C85&gt;G85,D85&gt;H85),"UP",IF(AND(C85&lt;G85,D85&lt;H85),"DOWN","FLAT")))</f>
        <v/>
      </c>
    </row>
    <row r="86" ht="26" customHeight="1" s="1">
      <c r="A86" s="13">
        <f>IF('StockList_MS2'!A85="","",HYPERLINK("https://kabutan.jp/stock/?code="&amp;'StockList_MS2'!A85,'StockList_MS2'!A85))</f>
        <v/>
      </c>
      <c r="B86" s="14" t="n"/>
      <c r="C86" s="14" t="n"/>
      <c r="D86" s="14" t="n"/>
      <c r="E86" s="14" t="n"/>
      <c r="F86" s="15" t="n"/>
      <c r="G86" s="14" t="n"/>
      <c r="H86" s="14" t="n"/>
      <c r="I86" s="14" t="n"/>
      <c r="J86" s="16">
        <f>IF(B86="","",IF(B86&gt;I86,"BUY-DAY","SELL-DAY"))</f>
        <v/>
      </c>
      <c r="K86" s="17">
        <f>IF(B86="","",MAX(C86-D86,ABS(C86-I86),ABS(D86-I86)))</f>
        <v/>
      </c>
      <c r="L86" s="16">
        <f>IF(B86="","",IF(AND(F86&gt;0,F86&gt;(F86/3)*2.5),"VOL-OK","VOL-NG"))</f>
        <v/>
      </c>
      <c r="M86" s="16">
        <f>IF(B86="","",IF(B86&gt;G86,"ON","OFF"))</f>
        <v/>
      </c>
      <c r="N86" s="16">
        <f>IF(B86="","",IF(B86&lt;H86,"ON","OFF"))</f>
        <v/>
      </c>
      <c r="O86" s="16">
        <f>IF(OR(B86="",K86&lt;=0),"",IF(AND(J86="BUY-DAY",L86="VOL-OK",N86="ON",X86="OK",Y86&lt;&gt;"DOWN"),"BUY",IF(AND(J86="SELL-DAY",L86="VOL-OK",M86="ON",X86="OK",Y86&lt;&gt;"UP"),"SELL","")))</f>
        <v/>
      </c>
      <c r="P86" s="17">
        <f>IF(O86="","",B86)</f>
        <v/>
      </c>
      <c r="Q86" s="17">
        <f>IF(O86="","",IF(O86="BUY",B86-K86*1.5,B86+K86*1.5))</f>
        <v/>
      </c>
      <c r="R86" s="17">
        <f>IF(O86="","",IF(O86="BUY",B86+K86*1.5,B86-K86*1.5))</f>
        <v/>
      </c>
      <c r="S86" s="17">
        <f>IF(O86="","",IF(O86="BUY",B86+K86*2,B86-K86*2))</f>
        <v/>
      </c>
      <c r="T86" s="17">
        <f>IF(O86="","",IF(O86="BUY",B86+K86*3,B86-K86*3))</f>
        <v/>
      </c>
      <c r="U86" s="16">
        <f>IF(OR(B86="",K86&lt;=0),"",IF(AND(B86&gt;E86,ABS(B86-E86)&lt;K86*0.5),"2ND","1ST"))</f>
        <v/>
      </c>
      <c r="V86" s="16">
        <f>IF(OR(B86="",K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6" s="16">
        <f>IF(OR(B86="",K86&lt;=0),"",IF(K86&gt;B86*0.05,"VOL-HIGH","VOL-NORMAL"))</f>
        <v/>
      </c>
      <c r="X86" s="16">
        <f>IF(OR(B86="",K86&lt;=0),"",IF(AND(L86="VOL-OK",W86="VOL-NORMAL",U86="2ND"),"OK","NG"))</f>
        <v/>
      </c>
      <c r="Y86" s="16">
        <f>IF(OR(B86="",K86&lt;=0),"",IF(AND(C86&gt;G86,D86&gt;H86),"UP",IF(AND(C86&lt;G86,D86&lt;H86),"DOWN","FLAT")))</f>
        <v/>
      </c>
    </row>
    <row r="87" ht="26" customHeight="1" s="1">
      <c r="A87" s="8">
        <f>IF('StockList_MS2'!A86="","",HYPERLINK("https://kabutan.jp/stock/?code="&amp;'StockList_MS2'!A86,'StockList_MS2'!A86))</f>
        <v/>
      </c>
      <c r="B87" s="9" t="n"/>
      <c r="C87" s="9" t="n"/>
      <c r="D87" s="9" t="n"/>
      <c r="E87" s="9" t="n"/>
      <c r="F87" s="10" t="n"/>
      <c r="G87" s="9" t="n"/>
      <c r="H87" s="9" t="n"/>
      <c r="I87" s="9" t="n"/>
      <c r="J87" s="11">
        <f>IF(B87="","",IF(B87&gt;I87,"BUY-DAY","SELL-DAY"))</f>
        <v/>
      </c>
      <c r="K87" s="12">
        <f>IF(B87="","",MAX(C87-D87,ABS(C87-I87),ABS(D87-I87)))</f>
        <v/>
      </c>
      <c r="L87" s="11">
        <f>IF(B87="","",IF(AND(F87&gt;0,F87&gt;(F87/3)*2.5),"VOL-OK","VOL-NG"))</f>
        <v/>
      </c>
      <c r="M87" s="11">
        <f>IF(B87="","",IF(B87&gt;G87,"ON","OFF"))</f>
        <v/>
      </c>
      <c r="N87" s="11">
        <f>IF(B87="","",IF(B87&lt;H87,"ON","OFF"))</f>
        <v/>
      </c>
      <c r="O87" s="11">
        <f>IF(OR(B87="",K87&lt;=0),"",IF(AND(J87="BUY-DAY",L87="VOL-OK",N87="ON",X87="OK",Y87&lt;&gt;"DOWN"),"BUY",IF(AND(J87="SELL-DAY",L87="VOL-OK",M87="ON",X87="OK",Y87&lt;&gt;"UP"),"SELL","")))</f>
        <v/>
      </c>
      <c r="P87" s="12">
        <f>IF(O87="","",B87)</f>
        <v/>
      </c>
      <c r="Q87" s="12">
        <f>IF(O87="","",IF(O87="BUY",B87-K87*1.5,B87+K87*1.5))</f>
        <v/>
      </c>
      <c r="R87" s="12">
        <f>IF(O87="","",IF(O87="BUY",B87+K87*1.5,B87-K87*1.5))</f>
        <v/>
      </c>
      <c r="S87" s="12">
        <f>IF(O87="","",IF(O87="BUY",B87+K87*2,B87-K87*2))</f>
        <v/>
      </c>
      <c r="T87" s="12">
        <f>IF(O87="","",IF(O87="BUY",B87+K87*3,B87-K87*3))</f>
        <v/>
      </c>
      <c r="U87" s="11">
        <f>IF(OR(B87="",K87&lt;=0),"",IF(AND(B87&gt;E87,ABS(B87-E87)&lt;K87*0.5),"2ND","1ST"))</f>
        <v/>
      </c>
      <c r="V87" s="11">
        <f>IF(OR(B87="",K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7" s="11">
        <f>IF(OR(B87="",K87&lt;=0),"",IF(K87&gt;B87*0.05,"VOL-HIGH","VOL-NORMAL"))</f>
        <v/>
      </c>
      <c r="X87" s="11">
        <f>IF(OR(B87="",K87&lt;=0),"",IF(AND(L87="VOL-OK",W87="VOL-NORMAL",U87="2ND"),"OK","NG"))</f>
        <v/>
      </c>
      <c r="Y87" s="11">
        <f>IF(OR(B87="",K87&lt;=0),"",IF(AND(C87&gt;G87,D87&gt;H87),"UP",IF(AND(C87&lt;G87,D87&lt;H87),"DOWN","FLAT")))</f>
        <v/>
      </c>
    </row>
    <row r="88" ht="26" customHeight="1" s="1">
      <c r="A88" s="13">
        <f>IF('StockList_MS2'!A87="","",HYPERLINK("https://kabutan.jp/stock/?code="&amp;'StockList_MS2'!A87,'StockList_MS2'!A87))</f>
        <v/>
      </c>
      <c r="B88" s="14" t="n"/>
      <c r="C88" s="14" t="n"/>
      <c r="D88" s="14" t="n"/>
      <c r="E88" s="14" t="n"/>
      <c r="F88" s="15" t="n"/>
      <c r="G88" s="14" t="n"/>
      <c r="H88" s="14" t="n"/>
      <c r="I88" s="14" t="n"/>
      <c r="J88" s="16">
        <f>IF(B88="","",IF(B88&gt;I88,"BUY-DAY","SELL-DAY"))</f>
        <v/>
      </c>
      <c r="K88" s="17">
        <f>IF(B88="","",MAX(C88-D88,ABS(C88-I88),ABS(D88-I88)))</f>
        <v/>
      </c>
      <c r="L88" s="16">
        <f>IF(B88="","",IF(AND(F88&gt;0,F88&gt;(F88/3)*2.5),"VOL-OK","VOL-NG"))</f>
        <v/>
      </c>
      <c r="M88" s="16">
        <f>IF(B88="","",IF(B88&gt;G88,"ON","OFF"))</f>
        <v/>
      </c>
      <c r="N88" s="16">
        <f>IF(B88="","",IF(B88&lt;H88,"ON","OFF"))</f>
        <v/>
      </c>
      <c r="O88" s="16">
        <f>IF(OR(B88="",K88&lt;=0),"",IF(AND(J88="BUY-DAY",L88="VOL-OK",N88="ON",X88="OK",Y88&lt;&gt;"DOWN"),"BUY",IF(AND(J88="SELL-DAY",L88="VOL-OK",M88="ON",X88="OK",Y88&lt;&gt;"UP"),"SELL","")))</f>
        <v/>
      </c>
      <c r="P88" s="17">
        <f>IF(O88="","",B88)</f>
        <v/>
      </c>
      <c r="Q88" s="17">
        <f>IF(O88="","",IF(O88="BUY",B88-K88*1.5,B88+K88*1.5))</f>
        <v/>
      </c>
      <c r="R88" s="17">
        <f>IF(O88="","",IF(O88="BUY",B88+K88*1.5,B88-K88*1.5))</f>
        <v/>
      </c>
      <c r="S88" s="17">
        <f>IF(O88="","",IF(O88="BUY",B88+K88*2,B88-K88*2))</f>
        <v/>
      </c>
      <c r="T88" s="17">
        <f>IF(O88="","",IF(O88="BUY",B88+K88*3,B88-K88*3))</f>
        <v/>
      </c>
      <c r="U88" s="16">
        <f>IF(OR(B88="",K88&lt;=0),"",IF(AND(B88&gt;E88,ABS(B88-E88)&lt;K88*0.5),"2ND","1ST"))</f>
        <v/>
      </c>
      <c r="V88" s="16">
        <f>IF(OR(B88="",K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8" s="16">
        <f>IF(OR(B88="",K88&lt;=0),"",IF(K88&gt;B88*0.05,"VOL-HIGH","VOL-NORMAL"))</f>
        <v/>
      </c>
      <c r="X88" s="16">
        <f>IF(OR(B88="",K88&lt;=0),"",IF(AND(L88="VOL-OK",W88="VOL-NORMAL",U88="2ND"),"OK","NG"))</f>
        <v/>
      </c>
      <c r="Y88" s="16">
        <f>IF(OR(B88="",K88&lt;=0),"",IF(AND(C88&gt;G88,D88&gt;H88),"UP",IF(AND(C88&lt;G88,D88&lt;H88),"DOWN","FLAT")))</f>
        <v/>
      </c>
    </row>
    <row r="89" ht="26" customHeight="1" s="1">
      <c r="A89" s="8">
        <f>IF('StockList_MS2'!A88="","",HYPERLINK("https://kabutan.jp/stock/?code="&amp;'StockList_MS2'!A88,'StockList_MS2'!A88))</f>
        <v/>
      </c>
      <c r="B89" s="9" t="n"/>
      <c r="C89" s="9" t="n"/>
      <c r="D89" s="9" t="n"/>
      <c r="E89" s="9" t="n"/>
      <c r="F89" s="10" t="n"/>
      <c r="G89" s="9" t="n"/>
      <c r="H89" s="9" t="n"/>
      <c r="I89" s="9" t="n"/>
      <c r="J89" s="11">
        <f>IF(B89="","",IF(B89&gt;I89,"BUY-DAY","SELL-DAY"))</f>
        <v/>
      </c>
      <c r="K89" s="12">
        <f>IF(B89="","",MAX(C89-D89,ABS(C89-I89),ABS(D89-I89)))</f>
        <v/>
      </c>
      <c r="L89" s="11">
        <f>IF(B89="","",IF(AND(F89&gt;0,F89&gt;(F89/3)*2.5),"VOL-OK","VOL-NG"))</f>
        <v/>
      </c>
      <c r="M89" s="11">
        <f>IF(B89="","",IF(B89&gt;G89,"ON","OFF"))</f>
        <v/>
      </c>
      <c r="N89" s="11">
        <f>IF(B89="","",IF(B89&lt;H89,"ON","OFF"))</f>
        <v/>
      </c>
      <c r="O89" s="11">
        <f>IF(OR(B89="",K89&lt;=0),"",IF(AND(J89="BUY-DAY",L89="VOL-OK",N89="ON",X89="OK",Y89&lt;&gt;"DOWN"),"BUY",IF(AND(J89="SELL-DAY",L89="VOL-OK",M89="ON",X89="OK",Y89&lt;&gt;"UP"),"SELL","")))</f>
        <v/>
      </c>
      <c r="P89" s="12">
        <f>IF(O89="","",B89)</f>
        <v/>
      </c>
      <c r="Q89" s="12">
        <f>IF(O89="","",IF(O89="BUY",B89-K89*1.5,B89+K89*1.5))</f>
        <v/>
      </c>
      <c r="R89" s="12">
        <f>IF(O89="","",IF(O89="BUY",B89+K89*1.5,B89-K89*1.5))</f>
        <v/>
      </c>
      <c r="S89" s="12">
        <f>IF(O89="","",IF(O89="BUY",B89+K89*2,B89-K89*2))</f>
        <v/>
      </c>
      <c r="T89" s="12">
        <f>IF(O89="","",IF(O89="BUY",B89+K89*3,B89-K89*3))</f>
        <v/>
      </c>
      <c r="U89" s="11">
        <f>IF(OR(B89="",K89&lt;=0),"",IF(AND(B89&gt;E89,ABS(B89-E89)&lt;K89*0.5),"2ND","1ST"))</f>
        <v/>
      </c>
      <c r="V89" s="11">
        <f>IF(OR(B89="",K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9" s="11">
        <f>IF(OR(B89="",K89&lt;=0),"",IF(K89&gt;B89*0.05,"VOL-HIGH","VOL-NORMAL"))</f>
        <v/>
      </c>
      <c r="X89" s="11">
        <f>IF(OR(B89="",K89&lt;=0),"",IF(AND(L89="VOL-OK",W89="VOL-NORMAL",U89="2ND"),"OK","NG"))</f>
        <v/>
      </c>
      <c r="Y89" s="11">
        <f>IF(OR(B89="",K89&lt;=0),"",IF(AND(C89&gt;G89,D89&gt;H89),"UP",IF(AND(C89&lt;G89,D89&lt;H89),"DOWN","FLAT")))</f>
        <v/>
      </c>
    </row>
    <row r="90" ht="26" customHeight="1" s="1">
      <c r="A90" s="13">
        <f>IF('StockList_MS2'!A89="","",HYPERLINK("https://kabutan.jp/stock/?code="&amp;'StockList_MS2'!A89,'StockList_MS2'!A89))</f>
        <v/>
      </c>
      <c r="B90" s="14" t="n"/>
      <c r="C90" s="14" t="n"/>
      <c r="D90" s="14" t="n"/>
      <c r="E90" s="14" t="n"/>
      <c r="F90" s="15" t="n"/>
      <c r="G90" s="14" t="n"/>
      <c r="H90" s="14" t="n"/>
      <c r="I90" s="14" t="n"/>
      <c r="J90" s="16">
        <f>IF(B90="","",IF(B90&gt;I90,"BUY-DAY","SELL-DAY"))</f>
        <v/>
      </c>
      <c r="K90" s="17">
        <f>IF(B90="","",MAX(C90-D90,ABS(C90-I90),ABS(D90-I90)))</f>
        <v/>
      </c>
      <c r="L90" s="16">
        <f>IF(B90="","",IF(AND(F90&gt;0,F90&gt;(F90/3)*2.5),"VOL-OK","VOL-NG"))</f>
        <v/>
      </c>
      <c r="M90" s="16">
        <f>IF(B90="","",IF(B90&gt;G90,"ON","OFF"))</f>
        <v/>
      </c>
      <c r="N90" s="16">
        <f>IF(B90="","",IF(B90&lt;H90,"ON","OFF"))</f>
        <v/>
      </c>
      <c r="O90" s="16">
        <f>IF(OR(B90="",K90&lt;=0),"",IF(AND(J90="BUY-DAY",L90="VOL-OK",N90="ON",X90="OK",Y90&lt;&gt;"DOWN"),"BUY",IF(AND(J90="SELL-DAY",L90="VOL-OK",M90="ON",X90="OK",Y90&lt;&gt;"UP"),"SELL","")))</f>
        <v/>
      </c>
      <c r="P90" s="17">
        <f>IF(O90="","",B90)</f>
        <v/>
      </c>
      <c r="Q90" s="17">
        <f>IF(O90="","",IF(O90="BUY",B90-K90*1.5,B90+K90*1.5))</f>
        <v/>
      </c>
      <c r="R90" s="17">
        <f>IF(O90="","",IF(O90="BUY",B90+K90*1.5,B90-K90*1.5))</f>
        <v/>
      </c>
      <c r="S90" s="17">
        <f>IF(O90="","",IF(O90="BUY",B90+K90*2,B90-K90*2))</f>
        <v/>
      </c>
      <c r="T90" s="17">
        <f>IF(O90="","",IF(O90="BUY",B90+K90*3,B90-K90*3))</f>
        <v/>
      </c>
      <c r="U90" s="16">
        <f>IF(OR(B90="",K90&lt;=0),"",IF(AND(B90&gt;E90,ABS(B90-E90)&lt;K90*0.5),"2ND","1ST"))</f>
        <v/>
      </c>
      <c r="V90" s="16">
        <f>IF(OR(B90="",K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0" s="16">
        <f>IF(OR(B90="",K90&lt;=0),"",IF(K90&gt;B90*0.05,"VOL-HIGH","VOL-NORMAL"))</f>
        <v/>
      </c>
      <c r="X90" s="16">
        <f>IF(OR(B90="",K90&lt;=0),"",IF(AND(L90="VOL-OK",W90="VOL-NORMAL",U90="2ND"),"OK","NG"))</f>
        <v/>
      </c>
      <c r="Y90" s="16">
        <f>IF(OR(B90="",K90&lt;=0),"",IF(AND(C90&gt;G90,D90&gt;H90),"UP",IF(AND(C90&lt;G90,D90&lt;H90),"DOWN","FLAT")))</f>
        <v/>
      </c>
    </row>
    <row r="91" ht="26" customHeight="1" s="1">
      <c r="A91" s="8">
        <f>IF('StockList_MS2'!A90="","",HYPERLINK("https://kabutan.jp/stock/?code="&amp;'StockList_MS2'!A90,'StockList_MS2'!A90))</f>
        <v/>
      </c>
      <c r="B91" s="9" t="n"/>
      <c r="C91" s="9" t="n"/>
      <c r="D91" s="9" t="n"/>
      <c r="E91" s="9" t="n"/>
      <c r="F91" s="10" t="n"/>
      <c r="G91" s="9" t="n"/>
      <c r="H91" s="9" t="n"/>
      <c r="I91" s="9" t="n"/>
      <c r="J91" s="11">
        <f>IF(B91="","",IF(B91&gt;I91,"BUY-DAY","SELL-DAY"))</f>
        <v/>
      </c>
      <c r="K91" s="12">
        <f>IF(B91="","",MAX(C91-D91,ABS(C91-I91),ABS(D91-I91)))</f>
        <v/>
      </c>
      <c r="L91" s="11">
        <f>IF(B91="","",IF(AND(F91&gt;0,F91&gt;(F91/3)*2.5),"VOL-OK","VOL-NG"))</f>
        <v/>
      </c>
      <c r="M91" s="11">
        <f>IF(B91="","",IF(B91&gt;G91,"ON","OFF"))</f>
        <v/>
      </c>
      <c r="N91" s="11">
        <f>IF(B91="","",IF(B91&lt;H91,"ON","OFF"))</f>
        <v/>
      </c>
      <c r="O91" s="11">
        <f>IF(OR(B91="",K91&lt;=0),"",IF(AND(J91="BUY-DAY",L91="VOL-OK",N91="ON",X91="OK",Y91&lt;&gt;"DOWN"),"BUY",IF(AND(J91="SELL-DAY",L91="VOL-OK",M91="ON",X91="OK",Y91&lt;&gt;"UP"),"SELL","")))</f>
        <v/>
      </c>
      <c r="P91" s="12">
        <f>IF(O91="","",B91)</f>
        <v/>
      </c>
      <c r="Q91" s="12">
        <f>IF(O91="","",IF(O91="BUY",B91-K91*1.5,B91+K91*1.5))</f>
        <v/>
      </c>
      <c r="R91" s="12">
        <f>IF(O91="","",IF(O91="BUY",B91+K91*1.5,B91-K91*1.5))</f>
        <v/>
      </c>
      <c r="S91" s="12">
        <f>IF(O91="","",IF(O91="BUY",B91+K91*2,B91-K91*2))</f>
        <v/>
      </c>
      <c r="T91" s="12">
        <f>IF(O91="","",IF(O91="BUY",B91+K91*3,B91-K91*3))</f>
        <v/>
      </c>
      <c r="U91" s="11">
        <f>IF(OR(B91="",K91&lt;=0),"",IF(AND(B91&gt;E91,ABS(B91-E91)&lt;K91*0.5),"2ND","1ST"))</f>
        <v/>
      </c>
      <c r="V91" s="11">
        <f>IF(OR(B91="",K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1" s="11">
        <f>IF(OR(B91="",K91&lt;=0),"",IF(K91&gt;B91*0.05,"VOL-HIGH","VOL-NORMAL"))</f>
        <v/>
      </c>
      <c r="X91" s="11">
        <f>IF(OR(B91="",K91&lt;=0),"",IF(AND(L91="VOL-OK",W91="VOL-NORMAL",U91="2ND"),"OK","NG"))</f>
        <v/>
      </c>
      <c r="Y91" s="11">
        <f>IF(OR(B91="",K91&lt;=0),"",IF(AND(C91&gt;G91,D91&gt;H91),"UP",IF(AND(C91&lt;G91,D91&lt;H91),"DOWN","FLAT")))</f>
        <v/>
      </c>
    </row>
    <row r="92" ht="26" customHeight="1" s="1">
      <c r="A92" s="13">
        <f>IF('StockList_MS2'!A91="","",HYPERLINK("https://kabutan.jp/stock/?code="&amp;'StockList_MS2'!A91,'StockList_MS2'!A91))</f>
        <v/>
      </c>
      <c r="B92" s="14" t="n"/>
      <c r="C92" s="14" t="n"/>
      <c r="D92" s="14" t="n"/>
      <c r="E92" s="14" t="n"/>
      <c r="F92" s="15" t="n"/>
      <c r="G92" s="14" t="n"/>
      <c r="H92" s="14" t="n"/>
      <c r="I92" s="14" t="n"/>
      <c r="J92" s="16">
        <f>IF(B92="","",IF(B92&gt;I92,"BUY-DAY","SELL-DAY"))</f>
        <v/>
      </c>
      <c r="K92" s="17">
        <f>IF(B92="","",MAX(C92-D92,ABS(C92-I92),ABS(D92-I92)))</f>
        <v/>
      </c>
      <c r="L92" s="16">
        <f>IF(B92="","",IF(AND(F92&gt;0,F92&gt;(F92/3)*2.5),"VOL-OK","VOL-NG"))</f>
        <v/>
      </c>
      <c r="M92" s="16">
        <f>IF(B92="","",IF(B92&gt;G92,"ON","OFF"))</f>
        <v/>
      </c>
      <c r="N92" s="16">
        <f>IF(B92="","",IF(B92&lt;H92,"ON","OFF"))</f>
        <v/>
      </c>
      <c r="O92" s="16">
        <f>IF(OR(B92="",K92&lt;=0),"",IF(AND(J92="BUY-DAY",L92="VOL-OK",N92="ON",X92="OK",Y92&lt;&gt;"DOWN"),"BUY",IF(AND(J92="SELL-DAY",L92="VOL-OK",M92="ON",X92="OK",Y92&lt;&gt;"UP"),"SELL","")))</f>
        <v/>
      </c>
      <c r="P92" s="17">
        <f>IF(O92="","",B92)</f>
        <v/>
      </c>
      <c r="Q92" s="17">
        <f>IF(O92="","",IF(O92="BUY",B92-K92*1.5,B92+K92*1.5))</f>
        <v/>
      </c>
      <c r="R92" s="17">
        <f>IF(O92="","",IF(O92="BUY",B92+K92*1.5,B92-K92*1.5))</f>
        <v/>
      </c>
      <c r="S92" s="17">
        <f>IF(O92="","",IF(O92="BUY",B92+K92*2,B92-K92*2))</f>
        <v/>
      </c>
      <c r="T92" s="17">
        <f>IF(O92="","",IF(O92="BUY",B92+K92*3,B92-K92*3))</f>
        <v/>
      </c>
      <c r="U92" s="16">
        <f>IF(OR(B92="",K92&lt;=0),"",IF(AND(B92&gt;E92,ABS(B92-E92)&lt;K92*0.5),"2ND","1ST"))</f>
        <v/>
      </c>
      <c r="V92" s="16">
        <f>IF(OR(B92="",K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2" s="16">
        <f>IF(OR(B92="",K92&lt;=0),"",IF(K92&gt;B92*0.05,"VOL-HIGH","VOL-NORMAL"))</f>
        <v/>
      </c>
      <c r="X92" s="16">
        <f>IF(OR(B92="",K92&lt;=0),"",IF(AND(L92="VOL-OK",W92="VOL-NORMAL",U92="2ND"),"OK","NG"))</f>
        <v/>
      </c>
      <c r="Y92" s="16">
        <f>IF(OR(B92="",K92&lt;=0),"",IF(AND(C92&gt;G92,D92&gt;H92),"UP",IF(AND(C92&lt;G92,D92&lt;H92),"DOWN","FLAT")))</f>
        <v/>
      </c>
    </row>
    <row r="93" ht="26" customHeight="1" s="1">
      <c r="A93" s="8">
        <f>IF('StockList_MS2'!A92="","",HYPERLINK("https://kabutan.jp/stock/?code="&amp;'StockList_MS2'!A92,'StockList_MS2'!A92))</f>
        <v/>
      </c>
      <c r="B93" s="9" t="n"/>
      <c r="C93" s="9" t="n"/>
      <c r="D93" s="9" t="n"/>
      <c r="E93" s="9" t="n"/>
      <c r="F93" s="10" t="n"/>
      <c r="G93" s="9" t="n"/>
      <c r="H93" s="9" t="n"/>
      <c r="I93" s="9" t="n"/>
      <c r="J93" s="11">
        <f>IF(B93="","",IF(B93&gt;I93,"BUY-DAY","SELL-DAY"))</f>
        <v/>
      </c>
      <c r="K93" s="12">
        <f>IF(B93="","",MAX(C93-D93,ABS(C93-I93),ABS(D93-I93)))</f>
        <v/>
      </c>
      <c r="L93" s="11">
        <f>IF(B93="","",IF(AND(F93&gt;0,F93&gt;(F93/3)*2.5),"VOL-OK","VOL-NG"))</f>
        <v/>
      </c>
      <c r="M93" s="11">
        <f>IF(B93="","",IF(B93&gt;G93,"ON","OFF"))</f>
        <v/>
      </c>
      <c r="N93" s="11">
        <f>IF(B93="","",IF(B93&lt;H93,"ON","OFF"))</f>
        <v/>
      </c>
      <c r="O93" s="11">
        <f>IF(OR(B93="",K93&lt;=0),"",IF(AND(J93="BUY-DAY",L93="VOL-OK",N93="ON",X93="OK",Y93&lt;&gt;"DOWN"),"BUY",IF(AND(J93="SELL-DAY",L93="VOL-OK",M93="ON",X93="OK",Y93&lt;&gt;"UP"),"SELL","")))</f>
        <v/>
      </c>
      <c r="P93" s="12">
        <f>IF(O93="","",B93)</f>
        <v/>
      </c>
      <c r="Q93" s="12">
        <f>IF(O93="","",IF(O93="BUY",B93-K93*1.5,B93+K93*1.5))</f>
        <v/>
      </c>
      <c r="R93" s="12">
        <f>IF(O93="","",IF(O93="BUY",B93+K93*1.5,B93-K93*1.5))</f>
        <v/>
      </c>
      <c r="S93" s="12">
        <f>IF(O93="","",IF(O93="BUY",B93+K93*2,B93-K93*2))</f>
        <v/>
      </c>
      <c r="T93" s="12">
        <f>IF(O93="","",IF(O93="BUY",B93+K93*3,B93-K93*3))</f>
        <v/>
      </c>
      <c r="U93" s="11">
        <f>IF(OR(B93="",K93&lt;=0),"",IF(AND(B93&gt;E93,ABS(B93-E93)&lt;K93*0.5),"2ND","1ST"))</f>
        <v/>
      </c>
      <c r="V93" s="11">
        <f>IF(OR(B93="",K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3" s="11">
        <f>IF(OR(B93="",K93&lt;=0),"",IF(K93&gt;B93*0.05,"VOL-HIGH","VOL-NORMAL"))</f>
        <v/>
      </c>
      <c r="X93" s="11">
        <f>IF(OR(B93="",K93&lt;=0),"",IF(AND(L93="VOL-OK",W93="VOL-NORMAL",U93="2ND"),"OK","NG"))</f>
        <v/>
      </c>
      <c r="Y93" s="11">
        <f>IF(OR(B93="",K93&lt;=0),"",IF(AND(C93&gt;G93,D93&gt;H93),"UP",IF(AND(C93&lt;G93,D93&lt;H93),"DOWN","FLAT")))</f>
        <v/>
      </c>
    </row>
    <row r="94" ht="26" customHeight="1" s="1">
      <c r="A94" s="13">
        <f>IF('StockList_MS2'!A93="","",HYPERLINK("https://kabutan.jp/stock/?code="&amp;'StockList_MS2'!A93,'StockList_MS2'!A93))</f>
        <v/>
      </c>
      <c r="B94" s="14" t="n"/>
      <c r="C94" s="14" t="n"/>
      <c r="D94" s="14" t="n"/>
      <c r="E94" s="14" t="n"/>
      <c r="F94" s="15" t="n"/>
      <c r="G94" s="14" t="n"/>
      <c r="H94" s="14" t="n"/>
      <c r="I94" s="14" t="n"/>
      <c r="J94" s="16">
        <f>IF(B94="","",IF(B94&gt;I94,"BUY-DAY","SELL-DAY"))</f>
        <v/>
      </c>
      <c r="K94" s="17">
        <f>IF(B94="","",MAX(C94-D94,ABS(C94-I94),ABS(D94-I94)))</f>
        <v/>
      </c>
      <c r="L94" s="16">
        <f>IF(B94="","",IF(AND(F94&gt;0,F94&gt;(F94/3)*2.5),"VOL-OK","VOL-NG"))</f>
        <v/>
      </c>
      <c r="M94" s="16">
        <f>IF(B94="","",IF(B94&gt;G94,"ON","OFF"))</f>
        <v/>
      </c>
      <c r="N94" s="16">
        <f>IF(B94="","",IF(B94&lt;H94,"ON","OFF"))</f>
        <v/>
      </c>
      <c r="O94" s="16">
        <f>IF(OR(B94="",K94&lt;=0),"",IF(AND(J94="BUY-DAY",L94="VOL-OK",N94="ON",X94="OK",Y94&lt;&gt;"DOWN"),"BUY",IF(AND(J94="SELL-DAY",L94="VOL-OK",M94="ON",X94="OK",Y94&lt;&gt;"UP"),"SELL","")))</f>
        <v/>
      </c>
      <c r="P94" s="17">
        <f>IF(O94="","",B94)</f>
        <v/>
      </c>
      <c r="Q94" s="17">
        <f>IF(O94="","",IF(O94="BUY",B94-K94*1.5,B94+K94*1.5))</f>
        <v/>
      </c>
      <c r="R94" s="17">
        <f>IF(O94="","",IF(O94="BUY",B94+K94*1.5,B94-K94*1.5))</f>
        <v/>
      </c>
      <c r="S94" s="17">
        <f>IF(O94="","",IF(O94="BUY",B94+K94*2,B94-K94*2))</f>
        <v/>
      </c>
      <c r="T94" s="17">
        <f>IF(O94="","",IF(O94="BUY",B94+K94*3,B94-K94*3))</f>
        <v/>
      </c>
      <c r="U94" s="16">
        <f>IF(OR(B94="",K94&lt;=0),"",IF(AND(B94&gt;E94,ABS(B94-E94)&lt;K94*0.5),"2ND","1ST"))</f>
        <v/>
      </c>
      <c r="V94" s="16">
        <f>IF(OR(B94="",K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4" s="16">
        <f>IF(OR(B94="",K94&lt;=0),"",IF(K94&gt;B94*0.05,"VOL-HIGH","VOL-NORMAL"))</f>
        <v/>
      </c>
      <c r="X94" s="16">
        <f>IF(OR(B94="",K94&lt;=0),"",IF(AND(L94="VOL-OK",W94="VOL-NORMAL",U94="2ND"),"OK","NG"))</f>
        <v/>
      </c>
      <c r="Y94" s="16">
        <f>IF(OR(B94="",K94&lt;=0),"",IF(AND(C94&gt;G94,D94&gt;H94),"UP",IF(AND(C94&lt;G94,D94&lt;H94),"DOWN","FLAT")))</f>
        <v/>
      </c>
    </row>
    <row r="95" ht="26" customHeight="1" s="1">
      <c r="A95" s="8">
        <f>IF('StockList_MS2'!A94="","",HYPERLINK("https://kabutan.jp/stock/?code="&amp;'StockList_MS2'!A94,'StockList_MS2'!A94))</f>
        <v/>
      </c>
      <c r="B95" s="9" t="n"/>
      <c r="C95" s="9" t="n"/>
      <c r="D95" s="9" t="n"/>
      <c r="E95" s="9" t="n"/>
      <c r="F95" s="10" t="n"/>
      <c r="G95" s="9" t="n"/>
      <c r="H95" s="9" t="n"/>
      <c r="I95" s="9" t="n"/>
      <c r="J95" s="11">
        <f>IF(B95="","",IF(B95&gt;I95,"BUY-DAY","SELL-DAY"))</f>
        <v/>
      </c>
      <c r="K95" s="12">
        <f>IF(B95="","",MAX(C95-D95,ABS(C95-I95),ABS(D95-I95)))</f>
        <v/>
      </c>
      <c r="L95" s="11">
        <f>IF(B95="","",IF(AND(F95&gt;0,F95&gt;(F95/3)*2.5),"VOL-OK","VOL-NG"))</f>
        <v/>
      </c>
      <c r="M95" s="11">
        <f>IF(B95="","",IF(B95&gt;G95,"ON","OFF"))</f>
        <v/>
      </c>
      <c r="N95" s="11">
        <f>IF(B95="","",IF(B95&lt;H95,"ON","OFF"))</f>
        <v/>
      </c>
      <c r="O95" s="11">
        <f>IF(OR(B95="",K95&lt;=0),"",IF(AND(J95="BUY-DAY",L95="VOL-OK",N95="ON",X95="OK",Y95&lt;&gt;"DOWN"),"BUY",IF(AND(J95="SELL-DAY",L95="VOL-OK",M95="ON",X95="OK",Y95&lt;&gt;"UP"),"SELL","")))</f>
        <v/>
      </c>
      <c r="P95" s="12">
        <f>IF(O95="","",B95)</f>
        <v/>
      </c>
      <c r="Q95" s="12">
        <f>IF(O95="","",IF(O95="BUY",B95-K95*1.5,B95+K95*1.5))</f>
        <v/>
      </c>
      <c r="R95" s="12">
        <f>IF(O95="","",IF(O95="BUY",B95+K95*1.5,B95-K95*1.5))</f>
        <v/>
      </c>
      <c r="S95" s="12">
        <f>IF(O95="","",IF(O95="BUY",B95+K95*2,B95-K95*2))</f>
        <v/>
      </c>
      <c r="T95" s="12">
        <f>IF(O95="","",IF(O95="BUY",B95+K95*3,B95-K95*3))</f>
        <v/>
      </c>
      <c r="U95" s="11">
        <f>IF(OR(B95="",K95&lt;=0),"",IF(AND(B95&gt;E95,ABS(B95-E95)&lt;K95*0.5),"2ND","1ST"))</f>
        <v/>
      </c>
      <c r="V95" s="11">
        <f>IF(OR(B95="",K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5" s="11">
        <f>IF(OR(B95="",K95&lt;=0),"",IF(K95&gt;B95*0.05,"VOL-HIGH","VOL-NORMAL"))</f>
        <v/>
      </c>
      <c r="X95" s="11">
        <f>IF(OR(B95="",K95&lt;=0),"",IF(AND(L95="VOL-OK",W95="VOL-NORMAL",U95="2ND"),"OK","NG"))</f>
        <v/>
      </c>
      <c r="Y95" s="11">
        <f>IF(OR(B95="",K95&lt;=0),"",IF(AND(C95&gt;G95,D95&gt;H95),"UP",IF(AND(C95&lt;G95,D95&lt;H95),"DOWN","FLAT")))</f>
        <v/>
      </c>
    </row>
    <row r="96" ht="26" customHeight="1" s="1">
      <c r="A96" s="13">
        <f>IF('StockList_MS2'!A95="","",HYPERLINK("https://kabutan.jp/stock/?code="&amp;'StockList_MS2'!A95,'StockList_MS2'!A95))</f>
        <v/>
      </c>
      <c r="B96" s="14" t="n"/>
      <c r="C96" s="14" t="n"/>
      <c r="D96" s="14" t="n"/>
      <c r="E96" s="14" t="n"/>
      <c r="F96" s="15" t="n"/>
      <c r="G96" s="14" t="n"/>
      <c r="H96" s="14" t="n"/>
      <c r="I96" s="14" t="n"/>
      <c r="J96" s="16">
        <f>IF(B96="","",IF(B96&gt;I96,"BUY-DAY","SELL-DAY"))</f>
        <v/>
      </c>
      <c r="K96" s="17">
        <f>IF(B96="","",MAX(C96-D96,ABS(C96-I96),ABS(D96-I96)))</f>
        <v/>
      </c>
      <c r="L96" s="16">
        <f>IF(B96="","",IF(AND(F96&gt;0,F96&gt;(F96/3)*2.5),"VOL-OK","VOL-NG"))</f>
        <v/>
      </c>
      <c r="M96" s="16">
        <f>IF(B96="","",IF(B96&gt;G96,"ON","OFF"))</f>
        <v/>
      </c>
      <c r="N96" s="16">
        <f>IF(B96="","",IF(B96&lt;H96,"ON","OFF"))</f>
        <v/>
      </c>
      <c r="O96" s="16">
        <f>IF(OR(B96="",K96&lt;=0),"",IF(AND(J96="BUY-DAY",L96="VOL-OK",N96="ON",X96="OK",Y96&lt;&gt;"DOWN"),"BUY",IF(AND(J96="SELL-DAY",L96="VOL-OK",M96="ON",X96="OK",Y96&lt;&gt;"UP"),"SELL","")))</f>
        <v/>
      </c>
      <c r="P96" s="17">
        <f>IF(O96="","",B96)</f>
        <v/>
      </c>
      <c r="Q96" s="17">
        <f>IF(O96="","",IF(O96="BUY",B96-K96*1.5,B96+K96*1.5))</f>
        <v/>
      </c>
      <c r="R96" s="17">
        <f>IF(O96="","",IF(O96="BUY",B96+K96*1.5,B96-K96*1.5))</f>
        <v/>
      </c>
      <c r="S96" s="17">
        <f>IF(O96="","",IF(O96="BUY",B96+K96*2,B96-K96*2))</f>
        <v/>
      </c>
      <c r="T96" s="17">
        <f>IF(O96="","",IF(O96="BUY",B96+K96*3,B96-K96*3))</f>
        <v/>
      </c>
      <c r="U96" s="16">
        <f>IF(OR(B96="",K96&lt;=0),"",IF(AND(B96&gt;E96,ABS(B96-E96)&lt;K96*0.5),"2ND","1ST"))</f>
        <v/>
      </c>
      <c r="V96" s="16">
        <f>IF(OR(B96="",K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6" s="16">
        <f>IF(OR(B96="",K96&lt;=0),"",IF(K96&gt;B96*0.05,"VOL-HIGH","VOL-NORMAL"))</f>
        <v/>
      </c>
      <c r="X96" s="16">
        <f>IF(OR(B96="",K96&lt;=0),"",IF(AND(L96="VOL-OK",W96="VOL-NORMAL",U96="2ND"),"OK","NG"))</f>
        <v/>
      </c>
      <c r="Y96" s="16">
        <f>IF(OR(B96="",K96&lt;=0),"",IF(AND(C96&gt;G96,D96&gt;H96),"UP",IF(AND(C96&lt;G96,D96&lt;H96),"DOWN","FLAT")))</f>
        <v/>
      </c>
    </row>
    <row r="97" ht="26" customHeight="1" s="1">
      <c r="A97" s="8">
        <f>IF('StockList_MS2'!A96="","",HYPERLINK("https://kabutan.jp/stock/?code="&amp;'StockList_MS2'!A96,'StockList_MS2'!A96))</f>
        <v/>
      </c>
      <c r="B97" s="9" t="n"/>
      <c r="C97" s="9" t="n"/>
      <c r="D97" s="9" t="n"/>
      <c r="E97" s="9" t="n"/>
      <c r="F97" s="10" t="n"/>
      <c r="G97" s="9" t="n"/>
      <c r="H97" s="9" t="n"/>
      <c r="I97" s="9" t="n"/>
      <c r="J97" s="11">
        <f>IF(B97="","",IF(B97&gt;I97,"BUY-DAY","SELL-DAY"))</f>
        <v/>
      </c>
      <c r="K97" s="12">
        <f>IF(B97="","",MAX(C97-D97,ABS(C97-I97),ABS(D97-I97)))</f>
        <v/>
      </c>
      <c r="L97" s="11">
        <f>IF(B97="","",IF(AND(F97&gt;0,F97&gt;(F97/3)*2.5),"VOL-OK","VOL-NG"))</f>
        <v/>
      </c>
      <c r="M97" s="11">
        <f>IF(B97="","",IF(B97&gt;G97,"ON","OFF"))</f>
        <v/>
      </c>
      <c r="N97" s="11">
        <f>IF(B97="","",IF(B97&lt;H97,"ON","OFF"))</f>
        <v/>
      </c>
      <c r="O97" s="11">
        <f>IF(OR(B97="",K97&lt;=0),"",IF(AND(J97="BUY-DAY",L97="VOL-OK",N97="ON",X97="OK",Y97&lt;&gt;"DOWN"),"BUY",IF(AND(J97="SELL-DAY",L97="VOL-OK",M97="ON",X97="OK",Y97&lt;&gt;"UP"),"SELL","")))</f>
        <v/>
      </c>
      <c r="P97" s="12">
        <f>IF(O97="","",B97)</f>
        <v/>
      </c>
      <c r="Q97" s="12">
        <f>IF(O97="","",IF(O97="BUY",B97-K97*1.5,B97+K97*1.5))</f>
        <v/>
      </c>
      <c r="R97" s="12">
        <f>IF(O97="","",IF(O97="BUY",B97+K97*1.5,B97-K97*1.5))</f>
        <v/>
      </c>
      <c r="S97" s="12">
        <f>IF(O97="","",IF(O97="BUY",B97+K97*2,B97-K97*2))</f>
        <v/>
      </c>
      <c r="T97" s="12">
        <f>IF(O97="","",IF(O97="BUY",B97+K97*3,B97-K97*3))</f>
        <v/>
      </c>
      <c r="U97" s="11">
        <f>IF(OR(B97="",K97&lt;=0),"",IF(AND(B97&gt;E97,ABS(B97-E97)&lt;K97*0.5),"2ND","1ST"))</f>
        <v/>
      </c>
      <c r="V97" s="11">
        <f>IF(OR(B97="",K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7" s="11">
        <f>IF(OR(B97="",K97&lt;=0),"",IF(K97&gt;B97*0.05,"VOL-HIGH","VOL-NORMAL"))</f>
        <v/>
      </c>
      <c r="X97" s="11">
        <f>IF(OR(B97="",K97&lt;=0),"",IF(AND(L97="VOL-OK",W97="VOL-NORMAL",U97="2ND"),"OK","NG"))</f>
        <v/>
      </c>
      <c r="Y97" s="11">
        <f>IF(OR(B97="",K97&lt;=0),"",IF(AND(C97&gt;G97,D97&gt;H97),"UP",IF(AND(C97&lt;G97,D97&lt;H97),"DOWN","FLAT")))</f>
        <v/>
      </c>
    </row>
    <row r="98" ht="26" customHeight="1" s="1">
      <c r="A98" s="13">
        <f>IF('StockList_MS2'!A97="","",HYPERLINK("https://kabutan.jp/stock/?code="&amp;'StockList_MS2'!A97,'StockList_MS2'!A97))</f>
        <v/>
      </c>
      <c r="B98" s="14" t="n"/>
      <c r="C98" s="14" t="n"/>
      <c r="D98" s="14" t="n"/>
      <c r="E98" s="14" t="n"/>
      <c r="F98" s="15" t="n"/>
      <c r="G98" s="14" t="n"/>
      <c r="H98" s="14" t="n"/>
      <c r="I98" s="14" t="n"/>
      <c r="J98" s="16">
        <f>IF(B98="","",IF(B98&gt;I98,"BUY-DAY","SELL-DAY"))</f>
        <v/>
      </c>
      <c r="K98" s="17">
        <f>IF(B98="","",MAX(C98-D98,ABS(C98-I98),ABS(D98-I98)))</f>
        <v/>
      </c>
      <c r="L98" s="16">
        <f>IF(B98="","",IF(AND(F98&gt;0,F98&gt;(F98/3)*2.5),"VOL-OK","VOL-NG"))</f>
        <v/>
      </c>
      <c r="M98" s="16">
        <f>IF(B98="","",IF(B98&gt;G98,"ON","OFF"))</f>
        <v/>
      </c>
      <c r="N98" s="16">
        <f>IF(B98="","",IF(B98&lt;H98,"ON","OFF"))</f>
        <v/>
      </c>
      <c r="O98" s="16">
        <f>IF(OR(B98="",K98&lt;=0),"",IF(AND(J98="BUY-DAY",L98="VOL-OK",N98="ON",X98="OK",Y98&lt;&gt;"DOWN"),"BUY",IF(AND(J98="SELL-DAY",L98="VOL-OK",M98="ON",X98="OK",Y98&lt;&gt;"UP"),"SELL","")))</f>
        <v/>
      </c>
      <c r="P98" s="17">
        <f>IF(O98="","",B98)</f>
        <v/>
      </c>
      <c r="Q98" s="17">
        <f>IF(O98="","",IF(O98="BUY",B98-K98*1.5,B98+K98*1.5))</f>
        <v/>
      </c>
      <c r="R98" s="17">
        <f>IF(O98="","",IF(O98="BUY",B98+K98*1.5,B98-K98*1.5))</f>
        <v/>
      </c>
      <c r="S98" s="17">
        <f>IF(O98="","",IF(O98="BUY",B98+K98*2,B98-K98*2))</f>
        <v/>
      </c>
      <c r="T98" s="17">
        <f>IF(O98="","",IF(O98="BUY",B98+K98*3,B98-K98*3))</f>
        <v/>
      </c>
      <c r="U98" s="16">
        <f>IF(OR(B98="",K98&lt;=0),"",IF(AND(B98&gt;E98,ABS(B98-E98)&lt;K98*0.5),"2ND","1ST"))</f>
        <v/>
      </c>
      <c r="V98" s="16">
        <f>IF(OR(B98="",K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8" s="16">
        <f>IF(OR(B98="",K98&lt;=0),"",IF(K98&gt;B98*0.05,"VOL-HIGH","VOL-NORMAL"))</f>
        <v/>
      </c>
      <c r="X98" s="16">
        <f>IF(OR(B98="",K98&lt;=0),"",IF(AND(L98="VOL-OK",W98="VOL-NORMAL",U98="2ND"),"OK","NG"))</f>
        <v/>
      </c>
      <c r="Y98" s="16">
        <f>IF(OR(B98="",K98&lt;=0),"",IF(AND(C98&gt;G98,D98&gt;H98),"UP",IF(AND(C98&lt;G98,D98&lt;H98),"DOWN","FLAT")))</f>
        <v/>
      </c>
    </row>
    <row r="99" ht="26" customHeight="1" s="1">
      <c r="A99" s="8">
        <f>IF('StockList_MS2'!A98="","",HYPERLINK("https://kabutan.jp/stock/?code="&amp;'StockList_MS2'!A98,'StockList_MS2'!A98))</f>
        <v/>
      </c>
      <c r="B99" s="9" t="n"/>
      <c r="C99" s="9" t="n"/>
      <c r="D99" s="9" t="n"/>
      <c r="E99" s="9" t="n"/>
      <c r="F99" s="10" t="n"/>
      <c r="G99" s="9" t="n"/>
      <c r="H99" s="9" t="n"/>
      <c r="I99" s="9" t="n"/>
      <c r="J99" s="11">
        <f>IF(B99="","",IF(B99&gt;I99,"BUY-DAY","SELL-DAY"))</f>
        <v/>
      </c>
      <c r="K99" s="12">
        <f>IF(B99="","",MAX(C99-D99,ABS(C99-I99),ABS(D99-I99)))</f>
        <v/>
      </c>
      <c r="L99" s="11">
        <f>IF(B99="","",IF(AND(F99&gt;0,F99&gt;(F99/3)*2.5),"VOL-OK","VOL-NG"))</f>
        <v/>
      </c>
      <c r="M99" s="11">
        <f>IF(B99="","",IF(B99&gt;G99,"ON","OFF"))</f>
        <v/>
      </c>
      <c r="N99" s="11">
        <f>IF(B99="","",IF(B99&lt;H99,"ON","OFF"))</f>
        <v/>
      </c>
      <c r="O99" s="11">
        <f>IF(OR(B99="",K99&lt;=0),"",IF(AND(J99="BUY-DAY",L99="VOL-OK",N99="ON",X99="OK",Y99&lt;&gt;"DOWN"),"BUY",IF(AND(J99="SELL-DAY",L99="VOL-OK",M99="ON",X99="OK",Y99&lt;&gt;"UP"),"SELL","")))</f>
        <v/>
      </c>
      <c r="P99" s="12">
        <f>IF(O99="","",B99)</f>
        <v/>
      </c>
      <c r="Q99" s="12">
        <f>IF(O99="","",IF(O99="BUY",B99-K99*1.5,B99+K99*1.5))</f>
        <v/>
      </c>
      <c r="R99" s="12">
        <f>IF(O99="","",IF(O99="BUY",B99+K99*1.5,B99-K99*1.5))</f>
        <v/>
      </c>
      <c r="S99" s="12">
        <f>IF(O99="","",IF(O99="BUY",B99+K99*2,B99-K99*2))</f>
        <v/>
      </c>
      <c r="T99" s="12">
        <f>IF(O99="","",IF(O99="BUY",B99+K99*3,B99-K99*3))</f>
        <v/>
      </c>
      <c r="U99" s="11">
        <f>IF(OR(B99="",K99&lt;=0),"",IF(AND(B99&gt;E99,ABS(B99-E99)&lt;K99*0.5),"2ND","1ST"))</f>
        <v/>
      </c>
      <c r="V99" s="11">
        <f>IF(OR(B99="",K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9" s="11">
        <f>IF(OR(B99="",K99&lt;=0),"",IF(K99&gt;B99*0.05,"VOL-HIGH","VOL-NORMAL"))</f>
        <v/>
      </c>
      <c r="X99" s="11">
        <f>IF(OR(B99="",K99&lt;=0),"",IF(AND(L99="VOL-OK",W99="VOL-NORMAL",U99="2ND"),"OK","NG"))</f>
        <v/>
      </c>
      <c r="Y99" s="11">
        <f>IF(OR(B99="",K99&lt;=0),"",IF(AND(C99&gt;G99,D99&gt;H99),"UP",IF(AND(C99&lt;G99,D99&lt;H99),"DOWN","FLAT")))</f>
        <v/>
      </c>
    </row>
    <row r="100" ht="26" customHeight="1" s="1">
      <c r="A100" s="13">
        <f>IF('StockList_MS2'!A99="","",HYPERLINK("https://kabutan.jp/stock/?code="&amp;'StockList_MS2'!A99,'StockList_MS2'!A99))</f>
        <v/>
      </c>
      <c r="B100" s="14" t="n"/>
      <c r="C100" s="14" t="n"/>
      <c r="D100" s="14" t="n"/>
      <c r="E100" s="14" t="n"/>
      <c r="F100" s="15" t="n"/>
      <c r="G100" s="14" t="n"/>
      <c r="H100" s="14" t="n"/>
      <c r="I100" s="14" t="n"/>
      <c r="J100" s="16">
        <f>IF(B100="","",IF(B100&gt;I100,"BUY-DAY","SELL-DAY"))</f>
        <v/>
      </c>
      <c r="K100" s="17">
        <f>IF(B100="","",MAX(C100-D100,ABS(C100-I100),ABS(D100-I100)))</f>
        <v/>
      </c>
      <c r="L100" s="16">
        <f>IF(B100="","",IF(AND(F100&gt;0,F100&gt;(F100/3)*2.5),"VOL-OK","VOL-NG"))</f>
        <v/>
      </c>
      <c r="M100" s="16">
        <f>IF(B100="","",IF(B100&gt;G100,"ON","OFF"))</f>
        <v/>
      </c>
      <c r="N100" s="16">
        <f>IF(B100="","",IF(B100&lt;H100,"ON","OFF"))</f>
        <v/>
      </c>
      <c r="O100" s="16">
        <f>IF(OR(B100="",K100&lt;=0),"",IF(AND(J100="BUY-DAY",L100="VOL-OK",N100="ON",X100="OK",Y100&lt;&gt;"DOWN"),"BUY",IF(AND(J100="SELL-DAY",L100="VOL-OK",M100="ON",X100="OK",Y100&lt;&gt;"UP"),"SELL","")))</f>
        <v/>
      </c>
      <c r="P100" s="17">
        <f>IF(O100="","",B100)</f>
        <v/>
      </c>
      <c r="Q100" s="17">
        <f>IF(O100="","",IF(O100="BUY",B100-K100*1.5,B100+K100*1.5))</f>
        <v/>
      </c>
      <c r="R100" s="17">
        <f>IF(O100="","",IF(O100="BUY",B100+K100*1.5,B100-K100*1.5))</f>
        <v/>
      </c>
      <c r="S100" s="17">
        <f>IF(O100="","",IF(O100="BUY",B100+K100*2,B100-K100*2))</f>
        <v/>
      </c>
      <c r="T100" s="17">
        <f>IF(O100="","",IF(O100="BUY",B100+K100*3,B100-K100*3))</f>
        <v/>
      </c>
      <c r="U100" s="16">
        <f>IF(OR(B100="",K100&lt;=0),"",IF(AND(B100&gt;E100,ABS(B100-E100)&lt;K100*0.5),"2ND","1ST"))</f>
        <v/>
      </c>
      <c r="V100" s="16">
        <f>IF(OR(B100="",K100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0" s="16">
        <f>IF(OR(B100="",K100&lt;=0),"",IF(K100&gt;B100*0.05,"VOL-HIGH","VOL-NORMAL"))</f>
        <v/>
      </c>
      <c r="X100" s="16">
        <f>IF(OR(B100="",K100&lt;=0),"",IF(AND(L100="VOL-OK",W100="VOL-NORMAL",U100="2ND"),"OK","NG"))</f>
        <v/>
      </c>
      <c r="Y100" s="16">
        <f>IF(OR(B100="",K100&lt;=0),"",IF(AND(C100&gt;G100,D100&gt;H100),"UP",IF(AND(C100&lt;G100,D100&lt;H100),"DOWN","FLAT")))</f>
        <v/>
      </c>
    </row>
    <row r="101" ht="26" customHeight="1" s="1">
      <c r="A101" s="8">
        <f>IF('StockList_MS2'!A100="","",HYPERLINK("https://kabutan.jp/stock/?code="&amp;'StockList_MS2'!A100,'StockList_MS2'!A100))</f>
        <v/>
      </c>
      <c r="B101" s="9" t="n"/>
      <c r="C101" s="9" t="n"/>
      <c r="D101" s="9" t="n"/>
      <c r="E101" s="9" t="n"/>
      <c r="F101" s="10" t="n"/>
      <c r="G101" s="9" t="n"/>
      <c r="H101" s="9" t="n"/>
      <c r="I101" s="9" t="n"/>
      <c r="J101" s="11">
        <f>IF(B101="","",IF(B101&gt;I101,"BUY-DAY","SELL-DAY"))</f>
        <v/>
      </c>
      <c r="K101" s="12">
        <f>IF(B101="","",MAX(C101-D101,ABS(C101-I101),ABS(D101-I101)))</f>
        <v/>
      </c>
      <c r="L101" s="11">
        <f>IF(B101="","",IF(AND(F101&gt;0,F101&gt;(F101/3)*2.5),"VOL-OK","VOL-NG"))</f>
        <v/>
      </c>
      <c r="M101" s="11">
        <f>IF(B101="","",IF(B101&gt;G101,"ON","OFF"))</f>
        <v/>
      </c>
      <c r="N101" s="11">
        <f>IF(B101="","",IF(B101&lt;H101,"ON","OFF"))</f>
        <v/>
      </c>
      <c r="O101" s="11">
        <f>IF(OR(B101="",K101&lt;=0),"",IF(AND(J101="BUY-DAY",L101="VOL-OK",N101="ON",X101="OK",Y101&lt;&gt;"DOWN"),"BUY",IF(AND(J101="SELL-DAY",L101="VOL-OK",M101="ON",X101="OK",Y101&lt;&gt;"UP"),"SELL","")))</f>
        <v/>
      </c>
      <c r="P101" s="12">
        <f>IF(O101="","",B101)</f>
        <v/>
      </c>
      <c r="Q101" s="12">
        <f>IF(O101="","",IF(O101="BUY",B101-K101*1.5,B101+K101*1.5))</f>
        <v/>
      </c>
      <c r="R101" s="12">
        <f>IF(O101="","",IF(O101="BUY",B101+K101*1.5,B101-K101*1.5))</f>
        <v/>
      </c>
      <c r="S101" s="12">
        <f>IF(O101="","",IF(O101="BUY",B101+K101*2,B101-K101*2))</f>
        <v/>
      </c>
      <c r="T101" s="12">
        <f>IF(O101="","",IF(O101="BUY",B101+K101*3,B101-K101*3))</f>
        <v/>
      </c>
      <c r="U101" s="11">
        <f>IF(OR(B101="",K101&lt;=0),"",IF(AND(B101&gt;E101,ABS(B101-E101)&lt;K101*0.5),"2ND","1ST"))</f>
        <v/>
      </c>
      <c r="V101" s="11">
        <f>IF(OR(B101="",K101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1" s="11">
        <f>IF(OR(B101="",K101&lt;=0),"",IF(K101&gt;B101*0.05,"VOL-HIGH","VOL-NORMAL"))</f>
        <v/>
      </c>
      <c r="X101" s="11">
        <f>IF(OR(B101="",K101&lt;=0),"",IF(AND(L101="VOL-OK",W101="VOL-NORMAL",U101="2ND"),"OK","NG"))</f>
        <v/>
      </c>
      <c r="Y101" s="11">
        <f>IF(OR(B101="",K101&lt;=0),"",IF(AND(C101&gt;G101,D101&gt;H101),"UP",IF(AND(C101&lt;G101,D101&lt;H101),"DOWN","FLAT")))</f>
        <v/>
      </c>
    </row>
    <row r="102" ht="26" customHeight="1" s="1">
      <c r="A102" s="13">
        <f>IF('StockList_MS2'!A101="","",HYPERLINK("https://kabutan.jp/stock/?code="&amp;'StockList_MS2'!A101,'StockList_MS2'!A101))</f>
        <v/>
      </c>
      <c r="B102" s="14" t="n"/>
      <c r="C102" s="14" t="n"/>
      <c r="D102" s="14" t="n"/>
      <c r="E102" s="14" t="n"/>
      <c r="F102" s="15" t="n"/>
      <c r="G102" s="14" t="n"/>
      <c r="H102" s="14" t="n"/>
      <c r="I102" s="14" t="n"/>
      <c r="J102" s="16">
        <f>IF(B102="","",IF(B102&gt;I102,"BUY-DAY","SELL-DAY"))</f>
        <v/>
      </c>
      <c r="K102" s="17">
        <f>IF(B102="","",MAX(C102-D102,ABS(C102-I102),ABS(D102-I102)))</f>
        <v/>
      </c>
      <c r="L102" s="16">
        <f>IF(B102="","",IF(AND(F102&gt;0,F102&gt;(F102/3)*2.5),"VOL-OK","VOL-NG"))</f>
        <v/>
      </c>
      <c r="M102" s="16">
        <f>IF(B102="","",IF(B102&gt;G102,"ON","OFF"))</f>
        <v/>
      </c>
      <c r="N102" s="16">
        <f>IF(B102="","",IF(B102&lt;H102,"ON","OFF"))</f>
        <v/>
      </c>
      <c r="O102" s="16">
        <f>IF(OR(B102="",K102&lt;=0),"",IF(AND(J102="BUY-DAY",L102="VOL-OK",N102="ON",X102="OK",Y102&lt;&gt;"DOWN"),"BUY",IF(AND(J102="SELL-DAY",L102="VOL-OK",M102="ON",X102="OK",Y102&lt;&gt;"UP"),"SELL","")))</f>
        <v/>
      </c>
      <c r="P102" s="17">
        <f>IF(O102="","",B102)</f>
        <v/>
      </c>
      <c r="Q102" s="17">
        <f>IF(O102="","",IF(O102="BUY",B102-K102*1.5,B102+K102*1.5))</f>
        <v/>
      </c>
      <c r="R102" s="17">
        <f>IF(O102="","",IF(O102="BUY",B102+K102*1.5,B102-K102*1.5))</f>
        <v/>
      </c>
      <c r="S102" s="17">
        <f>IF(O102="","",IF(O102="BUY",B102+K102*2,B102-K102*2))</f>
        <v/>
      </c>
      <c r="T102" s="17">
        <f>IF(O102="","",IF(O102="BUY",B102+K102*3,B102-K102*3))</f>
        <v/>
      </c>
      <c r="U102" s="16">
        <f>IF(OR(B102="",K102&lt;=0),"",IF(AND(B102&gt;E102,ABS(B102-E102)&lt;K102*0.5),"2ND","1ST"))</f>
        <v/>
      </c>
      <c r="V102" s="16">
        <f>IF(OR(B102="",K102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2" s="16">
        <f>IF(OR(B102="",K102&lt;=0),"",IF(K102&gt;B102*0.05,"VOL-HIGH","VOL-NORMAL"))</f>
        <v/>
      </c>
      <c r="X102" s="16">
        <f>IF(OR(B102="",K102&lt;=0),"",IF(AND(L102="VOL-OK",W102="VOL-NORMAL",U102="2ND"),"OK","NG"))</f>
        <v/>
      </c>
      <c r="Y102" s="16">
        <f>IF(OR(B102="",K102&lt;=0),"",IF(AND(C102&gt;G102,D102&gt;H102),"UP",IF(AND(C102&lt;G102,D102&lt;H102),"DOWN","FLAT")))</f>
        <v/>
      </c>
    </row>
    <row r="103" ht="26" customHeight="1" s="1">
      <c r="A103" s="8">
        <f>IF('StockList_MS2'!A102="","",HYPERLINK("https://kabutan.jp/stock/?code="&amp;'StockList_MS2'!A102,'StockList_MS2'!A102))</f>
        <v/>
      </c>
      <c r="B103" s="9" t="n"/>
      <c r="C103" s="9" t="n"/>
      <c r="D103" s="9" t="n"/>
      <c r="E103" s="9" t="n"/>
      <c r="F103" s="10" t="n"/>
      <c r="G103" s="9" t="n"/>
      <c r="H103" s="9" t="n"/>
      <c r="I103" s="9" t="n"/>
      <c r="J103" s="11">
        <f>IF(B103="","",IF(B103&gt;I103,"BUY-DAY","SELL-DAY"))</f>
        <v/>
      </c>
      <c r="K103" s="12">
        <f>IF(B103="","",MAX(C103-D103,ABS(C103-I103),ABS(D103-I103)))</f>
        <v/>
      </c>
      <c r="L103" s="11">
        <f>IF(B103="","",IF(AND(F103&gt;0,F103&gt;(F103/3)*2.5),"VOL-OK","VOL-NG"))</f>
        <v/>
      </c>
      <c r="M103" s="11">
        <f>IF(B103="","",IF(B103&gt;G103,"ON","OFF"))</f>
        <v/>
      </c>
      <c r="N103" s="11">
        <f>IF(B103="","",IF(B103&lt;H103,"ON","OFF"))</f>
        <v/>
      </c>
      <c r="O103" s="11">
        <f>IF(OR(B103="",K103&lt;=0),"",IF(AND(J103="BUY-DAY",L103="VOL-OK",N103="ON",X103="OK",Y103&lt;&gt;"DOWN"),"BUY",IF(AND(J103="SELL-DAY",L103="VOL-OK",M103="ON",X103="OK",Y103&lt;&gt;"UP"),"SELL","")))</f>
        <v/>
      </c>
      <c r="P103" s="12">
        <f>IF(O103="","",B103)</f>
        <v/>
      </c>
      <c r="Q103" s="12">
        <f>IF(O103="","",IF(O103="BUY",B103-K103*1.5,B103+K103*1.5))</f>
        <v/>
      </c>
      <c r="R103" s="12">
        <f>IF(O103="","",IF(O103="BUY",B103+K103*1.5,B103-K103*1.5))</f>
        <v/>
      </c>
      <c r="S103" s="12">
        <f>IF(O103="","",IF(O103="BUY",B103+K103*2,B103-K103*2))</f>
        <v/>
      </c>
      <c r="T103" s="12">
        <f>IF(O103="","",IF(O103="BUY",B103+K103*3,B103-K103*3))</f>
        <v/>
      </c>
      <c r="U103" s="11">
        <f>IF(OR(B103="",K103&lt;=0),"",IF(AND(B103&gt;E103,ABS(B103-E103)&lt;K103*0.5),"2ND","1ST"))</f>
        <v/>
      </c>
      <c r="V103" s="11">
        <f>IF(OR(B103="",K103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3" s="11">
        <f>IF(OR(B103="",K103&lt;=0),"",IF(K103&gt;B103*0.05,"VOL-HIGH","VOL-NORMAL"))</f>
        <v/>
      </c>
      <c r="X103" s="11">
        <f>IF(OR(B103="",K103&lt;=0),"",IF(AND(L103="VOL-OK",W103="VOL-NORMAL",U103="2ND"),"OK","NG"))</f>
        <v/>
      </c>
      <c r="Y103" s="11">
        <f>IF(OR(B103="",K103&lt;=0),"",IF(AND(C103&gt;G103,D103&gt;H103),"UP",IF(AND(C103&lt;G103,D103&lt;H103),"DOWN","FLAT")))</f>
        <v/>
      </c>
    </row>
    <row r="104" ht="26" customHeight="1" s="1">
      <c r="A104" s="13">
        <f>IF('StockList_MS2'!A103="","",HYPERLINK("https://kabutan.jp/stock/?code="&amp;'StockList_MS2'!A103,'StockList_MS2'!A103))</f>
        <v/>
      </c>
      <c r="B104" s="14" t="n"/>
      <c r="C104" s="14" t="n"/>
      <c r="D104" s="14" t="n"/>
      <c r="E104" s="14" t="n"/>
      <c r="F104" s="15" t="n"/>
      <c r="G104" s="14" t="n"/>
      <c r="H104" s="14" t="n"/>
      <c r="I104" s="14" t="n"/>
      <c r="J104" s="16">
        <f>IF(B104="","",IF(B104&gt;I104,"BUY-DAY","SELL-DAY"))</f>
        <v/>
      </c>
      <c r="K104" s="17">
        <f>IF(B104="","",MAX(C104-D104,ABS(C104-I104),ABS(D104-I104)))</f>
        <v/>
      </c>
      <c r="L104" s="16">
        <f>IF(B104="","",IF(AND(F104&gt;0,F104&gt;(F104/3)*2.5),"VOL-OK","VOL-NG"))</f>
        <v/>
      </c>
      <c r="M104" s="16">
        <f>IF(B104="","",IF(B104&gt;G104,"ON","OFF"))</f>
        <v/>
      </c>
      <c r="N104" s="16">
        <f>IF(B104="","",IF(B104&lt;H104,"ON","OFF"))</f>
        <v/>
      </c>
      <c r="O104" s="16">
        <f>IF(OR(B104="",K104&lt;=0),"",IF(AND(J104="BUY-DAY",L104="VOL-OK",N104="ON",X104="OK",Y104&lt;&gt;"DOWN"),"BUY",IF(AND(J104="SELL-DAY",L104="VOL-OK",M104="ON",X104="OK",Y104&lt;&gt;"UP"),"SELL","")))</f>
        <v/>
      </c>
      <c r="P104" s="17">
        <f>IF(O104="","",B104)</f>
        <v/>
      </c>
      <c r="Q104" s="17">
        <f>IF(O104="","",IF(O104="BUY",B104-K104*1.5,B104+K104*1.5))</f>
        <v/>
      </c>
      <c r="R104" s="17">
        <f>IF(O104="","",IF(O104="BUY",B104+K104*1.5,B104-K104*1.5))</f>
        <v/>
      </c>
      <c r="S104" s="17">
        <f>IF(O104="","",IF(O104="BUY",B104+K104*2,B104-K104*2))</f>
        <v/>
      </c>
      <c r="T104" s="17">
        <f>IF(O104="","",IF(O104="BUY",B104+K104*3,B104-K104*3))</f>
        <v/>
      </c>
      <c r="U104" s="16">
        <f>IF(OR(B104="",K104&lt;=0),"",IF(AND(B104&gt;E104,ABS(B104-E104)&lt;K104*0.5),"2ND","1ST"))</f>
        <v/>
      </c>
      <c r="V104" s="16">
        <f>IF(OR(B104="",K104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4" s="16">
        <f>IF(OR(B104="",K104&lt;=0),"",IF(K104&gt;B104*0.05,"VOL-HIGH","VOL-NORMAL"))</f>
        <v/>
      </c>
      <c r="X104" s="16">
        <f>IF(OR(B104="",K104&lt;=0),"",IF(AND(L104="VOL-OK",W104="VOL-NORMAL",U104="2ND"),"OK","NG"))</f>
        <v/>
      </c>
      <c r="Y104" s="16">
        <f>IF(OR(B104="",K104&lt;=0),"",IF(AND(C104&gt;G104,D104&gt;H104),"UP",IF(AND(C104&lt;G104,D104&lt;H104),"DOWN","FLAT")))</f>
        <v/>
      </c>
    </row>
    <row r="105" ht="26" customHeight="1" s="1">
      <c r="A105" s="8">
        <f>IF('StockList_MS2'!A104="","",HYPERLINK("https://kabutan.jp/stock/?code="&amp;'StockList_MS2'!A104,'StockList_MS2'!A104))</f>
        <v/>
      </c>
      <c r="B105" s="9" t="n"/>
      <c r="C105" s="9" t="n"/>
      <c r="D105" s="9" t="n"/>
      <c r="E105" s="9" t="n"/>
      <c r="F105" s="10" t="n"/>
      <c r="G105" s="9" t="n"/>
      <c r="H105" s="9" t="n"/>
      <c r="I105" s="9" t="n"/>
      <c r="J105" s="11">
        <f>IF(B105="","",IF(B105&gt;I105,"BUY-DAY","SELL-DAY"))</f>
        <v/>
      </c>
      <c r="K105" s="12">
        <f>IF(B105="","",MAX(C105-D105,ABS(C105-I105),ABS(D105-I105)))</f>
        <v/>
      </c>
      <c r="L105" s="11">
        <f>IF(B105="","",IF(AND(F105&gt;0,F105&gt;(F105/3)*2.5),"VOL-OK","VOL-NG"))</f>
        <v/>
      </c>
      <c r="M105" s="11">
        <f>IF(B105="","",IF(B105&gt;G105,"ON","OFF"))</f>
        <v/>
      </c>
      <c r="N105" s="11">
        <f>IF(B105="","",IF(B105&lt;H105,"ON","OFF"))</f>
        <v/>
      </c>
      <c r="O105" s="11">
        <f>IF(OR(B105="",K105&lt;=0),"",IF(AND(J105="BUY-DAY",L105="VOL-OK",N105="ON",X105="OK",Y105&lt;&gt;"DOWN"),"BUY",IF(AND(J105="SELL-DAY",L105="VOL-OK",M105="ON",X105="OK",Y105&lt;&gt;"UP"),"SELL","")))</f>
        <v/>
      </c>
      <c r="P105" s="12">
        <f>IF(O105="","",B105)</f>
        <v/>
      </c>
      <c r="Q105" s="12">
        <f>IF(O105="","",IF(O105="BUY",B105-K105*1.5,B105+K105*1.5))</f>
        <v/>
      </c>
      <c r="R105" s="12">
        <f>IF(O105="","",IF(O105="BUY",B105+K105*1.5,B105-K105*1.5))</f>
        <v/>
      </c>
      <c r="S105" s="12">
        <f>IF(O105="","",IF(O105="BUY",B105+K105*2,B105-K105*2))</f>
        <v/>
      </c>
      <c r="T105" s="12">
        <f>IF(O105="","",IF(O105="BUY",B105+K105*3,B105-K105*3))</f>
        <v/>
      </c>
      <c r="U105" s="11">
        <f>IF(OR(B105="",K105&lt;=0),"",IF(AND(B105&gt;E105,ABS(B105-E105)&lt;K105*0.5),"2ND","1ST"))</f>
        <v/>
      </c>
      <c r="V105" s="11">
        <f>IF(OR(B105="",K105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5" s="11">
        <f>IF(OR(B105="",K105&lt;=0),"",IF(K105&gt;B105*0.05,"VOL-HIGH","VOL-NORMAL"))</f>
        <v/>
      </c>
      <c r="X105" s="11">
        <f>IF(OR(B105="",K105&lt;=0),"",IF(AND(L105="VOL-OK",W105="VOL-NORMAL",U105="2ND"),"OK","NG"))</f>
        <v/>
      </c>
      <c r="Y105" s="11">
        <f>IF(OR(B105="",K105&lt;=0),"",IF(AND(C105&gt;G105,D105&gt;H105),"UP",IF(AND(C105&lt;G105,D105&lt;H105),"DOWN","FLAT")))</f>
        <v/>
      </c>
    </row>
    <row r="106" ht="26" customHeight="1" s="1">
      <c r="A106" s="13">
        <f>IF('StockList_MS2'!A105="","",HYPERLINK("https://kabutan.jp/stock/?code="&amp;'StockList_MS2'!A105,'StockList_MS2'!A105))</f>
        <v/>
      </c>
      <c r="B106" s="14" t="n"/>
      <c r="C106" s="14" t="n"/>
      <c r="D106" s="14" t="n"/>
      <c r="E106" s="14" t="n"/>
      <c r="F106" s="15" t="n"/>
      <c r="G106" s="14" t="n"/>
      <c r="H106" s="14" t="n"/>
      <c r="I106" s="14" t="n"/>
      <c r="J106" s="16">
        <f>IF(B106="","",IF(B106&gt;I106,"BUY-DAY","SELL-DAY"))</f>
        <v/>
      </c>
      <c r="K106" s="17">
        <f>IF(B106="","",MAX(C106-D106,ABS(C106-I106),ABS(D106-I106)))</f>
        <v/>
      </c>
      <c r="L106" s="16">
        <f>IF(B106="","",IF(AND(F106&gt;0,F106&gt;(F106/3)*2.5),"VOL-OK","VOL-NG"))</f>
        <v/>
      </c>
      <c r="M106" s="16">
        <f>IF(B106="","",IF(B106&gt;G106,"ON","OFF"))</f>
        <v/>
      </c>
      <c r="N106" s="16">
        <f>IF(B106="","",IF(B106&lt;H106,"ON","OFF"))</f>
        <v/>
      </c>
      <c r="O106" s="16">
        <f>IF(OR(B106="",K106&lt;=0),"",IF(AND(J106="BUY-DAY",L106="VOL-OK",N106="ON",X106="OK",Y106&lt;&gt;"DOWN"),"BUY",IF(AND(J106="SELL-DAY",L106="VOL-OK",M106="ON",X106="OK",Y106&lt;&gt;"UP"),"SELL","")))</f>
        <v/>
      </c>
      <c r="P106" s="17">
        <f>IF(O106="","",B106)</f>
        <v/>
      </c>
      <c r="Q106" s="17">
        <f>IF(O106="","",IF(O106="BUY",B106-K106*1.5,B106+K106*1.5))</f>
        <v/>
      </c>
      <c r="R106" s="17">
        <f>IF(O106="","",IF(O106="BUY",B106+K106*1.5,B106-K106*1.5))</f>
        <v/>
      </c>
      <c r="S106" s="17">
        <f>IF(O106="","",IF(O106="BUY",B106+K106*2,B106-K106*2))</f>
        <v/>
      </c>
      <c r="T106" s="17">
        <f>IF(O106="","",IF(O106="BUY",B106+K106*3,B106-K106*3))</f>
        <v/>
      </c>
      <c r="U106" s="16">
        <f>IF(OR(B106="",K106&lt;=0),"",IF(AND(B106&gt;E106,ABS(B106-E106)&lt;K106*0.5),"2ND","1ST"))</f>
        <v/>
      </c>
      <c r="V106" s="16">
        <f>IF(OR(B106="",K106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6" s="16">
        <f>IF(OR(B106="",K106&lt;=0),"",IF(K106&gt;B106*0.05,"VOL-HIGH","VOL-NORMAL"))</f>
        <v/>
      </c>
      <c r="X106" s="16">
        <f>IF(OR(B106="",K106&lt;=0),"",IF(AND(L106="VOL-OK",W106="VOL-NORMAL",U106="2ND"),"OK","NG"))</f>
        <v/>
      </c>
      <c r="Y106" s="16">
        <f>IF(OR(B106="",K106&lt;=0),"",IF(AND(C106&gt;G106,D106&gt;H106),"UP",IF(AND(C106&lt;G106,D106&lt;H106),"DOWN","FLAT")))</f>
        <v/>
      </c>
    </row>
    <row r="107" ht="26" customHeight="1" s="1">
      <c r="A107" s="8">
        <f>IF('StockList_MS2'!A106="","",HYPERLINK("https://kabutan.jp/stock/?code="&amp;'StockList_MS2'!A106,'StockList_MS2'!A106))</f>
        <v/>
      </c>
      <c r="B107" s="9" t="n"/>
      <c r="C107" s="9" t="n"/>
      <c r="D107" s="9" t="n"/>
      <c r="E107" s="9" t="n"/>
      <c r="F107" s="10" t="n"/>
      <c r="G107" s="9" t="n"/>
      <c r="H107" s="9" t="n"/>
      <c r="I107" s="9" t="n"/>
      <c r="J107" s="11">
        <f>IF(B107="","",IF(B107&gt;I107,"BUY-DAY","SELL-DAY"))</f>
        <v/>
      </c>
      <c r="K107" s="12">
        <f>IF(B107="","",MAX(C107-D107,ABS(C107-I107),ABS(D107-I107)))</f>
        <v/>
      </c>
      <c r="L107" s="11">
        <f>IF(B107="","",IF(AND(F107&gt;0,F107&gt;(F107/3)*2.5),"VOL-OK","VOL-NG"))</f>
        <v/>
      </c>
      <c r="M107" s="11">
        <f>IF(B107="","",IF(B107&gt;G107,"ON","OFF"))</f>
        <v/>
      </c>
      <c r="N107" s="11">
        <f>IF(B107="","",IF(B107&lt;H107,"ON","OFF"))</f>
        <v/>
      </c>
      <c r="O107" s="11">
        <f>IF(OR(B107="",K107&lt;=0),"",IF(AND(J107="BUY-DAY",L107="VOL-OK",N107="ON",X107="OK",Y107&lt;&gt;"DOWN"),"BUY",IF(AND(J107="SELL-DAY",L107="VOL-OK",M107="ON",X107="OK",Y107&lt;&gt;"UP"),"SELL","")))</f>
        <v/>
      </c>
      <c r="P107" s="12">
        <f>IF(O107="","",B107)</f>
        <v/>
      </c>
      <c r="Q107" s="12">
        <f>IF(O107="","",IF(O107="BUY",B107-K107*1.5,B107+K107*1.5))</f>
        <v/>
      </c>
      <c r="R107" s="12">
        <f>IF(O107="","",IF(O107="BUY",B107+K107*1.5,B107-K107*1.5))</f>
        <v/>
      </c>
      <c r="S107" s="12">
        <f>IF(O107="","",IF(O107="BUY",B107+K107*2,B107-K107*2))</f>
        <v/>
      </c>
      <c r="T107" s="12">
        <f>IF(O107="","",IF(O107="BUY",B107+K107*3,B107-K107*3))</f>
        <v/>
      </c>
      <c r="U107" s="11">
        <f>IF(OR(B107="",K107&lt;=0),"",IF(AND(B107&gt;E107,ABS(B107-E107)&lt;K107*0.5),"2ND","1ST"))</f>
        <v/>
      </c>
      <c r="V107" s="11">
        <f>IF(OR(B107="",K107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7" s="11">
        <f>IF(OR(B107="",K107&lt;=0),"",IF(K107&gt;B107*0.05,"VOL-HIGH","VOL-NORMAL"))</f>
        <v/>
      </c>
      <c r="X107" s="11">
        <f>IF(OR(B107="",K107&lt;=0),"",IF(AND(L107="VOL-OK",W107="VOL-NORMAL",U107="2ND"),"OK","NG"))</f>
        <v/>
      </c>
      <c r="Y107" s="11">
        <f>IF(OR(B107="",K107&lt;=0),"",IF(AND(C107&gt;G107,D107&gt;H107),"UP",IF(AND(C107&lt;G107,D107&lt;H107),"DOWN","FLAT")))</f>
        <v/>
      </c>
    </row>
    <row r="108" ht="26" customHeight="1" s="1">
      <c r="A108" s="13">
        <f>IF('StockList_MS2'!A107="","",HYPERLINK("https://kabutan.jp/stock/?code="&amp;'StockList_MS2'!A107,'StockList_MS2'!A107))</f>
        <v/>
      </c>
      <c r="B108" s="14" t="n"/>
      <c r="C108" s="14" t="n"/>
      <c r="D108" s="14" t="n"/>
      <c r="E108" s="14" t="n"/>
      <c r="F108" s="15" t="n"/>
      <c r="G108" s="14" t="n"/>
      <c r="H108" s="14" t="n"/>
      <c r="I108" s="14" t="n"/>
      <c r="J108" s="16">
        <f>IF(B108="","",IF(B108&gt;I108,"BUY-DAY","SELL-DAY"))</f>
        <v/>
      </c>
      <c r="K108" s="17">
        <f>IF(B108="","",MAX(C108-D108,ABS(C108-I108),ABS(D108-I108)))</f>
        <v/>
      </c>
      <c r="L108" s="16">
        <f>IF(B108="","",IF(AND(F108&gt;0,F108&gt;(F108/3)*2.5),"VOL-OK","VOL-NG"))</f>
        <v/>
      </c>
      <c r="M108" s="16">
        <f>IF(B108="","",IF(B108&gt;G108,"ON","OFF"))</f>
        <v/>
      </c>
      <c r="N108" s="16">
        <f>IF(B108="","",IF(B108&lt;H108,"ON","OFF"))</f>
        <v/>
      </c>
      <c r="O108" s="16">
        <f>IF(OR(B108="",K108&lt;=0),"",IF(AND(J108="BUY-DAY",L108="VOL-OK",N108="ON",X108="OK",Y108&lt;&gt;"DOWN"),"BUY",IF(AND(J108="SELL-DAY",L108="VOL-OK",M108="ON",X108="OK",Y108&lt;&gt;"UP"),"SELL","")))</f>
        <v/>
      </c>
      <c r="P108" s="17">
        <f>IF(O108="","",B108)</f>
        <v/>
      </c>
      <c r="Q108" s="17">
        <f>IF(O108="","",IF(O108="BUY",B108-K108*1.5,B108+K108*1.5))</f>
        <v/>
      </c>
      <c r="R108" s="17">
        <f>IF(O108="","",IF(O108="BUY",B108+K108*1.5,B108-K108*1.5))</f>
        <v/>
      </c>
      <c r="S108" s="17">
        <f>IF(O108="","",IF(O108="BUY",B108+K108*2,B108-K108*2))</f>
        <v/>
      </c>
      <c r="T108" s="17">
        <f>IF(O108="","",IF(O108="BUY",B108+K108*3,B108-K108*3))</f>
        <v/>
      </c>
      <c r="U108" s="16">
        <f>IF(OR(B108="",K108&lt;=0),"",IF(AND(B108&gt;E108,ABS(B108-E108)&lt;K108*0.5),"2ND","1ST"))</f>
        <v/>
      </c>
      <c r="V108" s="16">
        <f>IF(OR(B108="",K108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8" s="16">
        <f>IF(OR(B108="",K108&lt;=0),"",IF(K108&gt;B108*0.05,"VOL-HIGH","VOL-NORMAL"))</f>
        <v/>
      </c>
      <c r="X108" s="16">
        <f>IF(OR(B108="",K108&lt;=0),"",IF(AND(L108="VOL-OK",W108="VOL-NORMAL",U108="2ND"),"OK","NG"))</f>
        <v/>
      </c>
      <c r="Y108" s="16">
        <f>IF(OR(B108="",K108&lt;=0),"",IF(AND(C108&gt;G108,D108&gt;H108),"UP",IF(AND(C108&lt;G108,D108&lt;H108),"DOWN","FLAT")))</f>
        <v/>
      </c>
    </row>
    <row r="109" ht="26" customHeight="1" s="1">
      <c r="A109" s="8">
        <f>IF('StockList_MS2'!A108="","",HYPERLINK("https://kabutan.jp/stock/?code="&amp;'StockList_MS2'!A108,'StockList_MS2'!A108))</f>
        <v/>
      </c>
      <c r="B109" s="9" t="n"/>
      <c r="C109" s="9" t="n"/>
      <c r="D109" s="9" t="n"/>
      <c r="E109" s="9" t="n"/>
      <c r="F109" s="10" t="n"/>
      <c r="G109" s="9" t="n"/>
      <c r="H109" s="9" t="n"/>
      <c r="I109" s="9" t="n"/>
      <c r="J109" s="11">
        <f>IF(B109="","",IF(B109&gt;I109,"BUY-DAY","SELL-DAY"))</f>
        <v/>
      </c>
      <c r="K109" s="12">
        <f>IF(B109="","",MAX(C109-D109,ABS(C109-I109),ABS(D109-I109)))</f>
        <v/>
      </c>
      <c r="L109" s="11">
        <f>IF(B109="","",IF(AND(F109&gt;0,F109&gt;(F109/3)*2.5),"VOL-OK","VOL-NG"))</f>
        <v/>
      </c>
      <c r="M109" s="11">
        <f>IF(B109="","",IF(B109&gt;G109,"ON","OFF"))</f>
        <v/>
      </c>
      <c r="N109" s="11">
        <f>IF(B109="","",IF(B109&lt;H109,"ON","OFF"))</f>
        <v/>
      </c>
      <c r="O109" s="11">
        <f>IF(OR(B109="",K109&lt;=0),"",IF(AND(J109="BUY-DAY",L109="VOL-OK",N109="ON",X109="OK",Y109&lt;&gt;"DOWN"),"BUY",IF(AND(J109="SELL-DAY",L109="VOL-OK",M109="ON",X109="OK",Y109&lt;&gt;"UP"),"SELL","")))</f>
        <v/>
      </c>
      <c r="P109" s="12">
        <f>IF(O109="","",B109)</f>
        <v/>
      </c>
      <c r="Q109" s="12">
        <f>IF(O109="","",IF(O109="BUY",B109-K109*1.5,B109+K109*1.5))</f>
        <v/>
      </c>
      <c r="R109" s="12">
        <f>IF(O109="","",IF(O109="BUY",B109+K109*1.5,B109-K109*1.5))</f>
        <v/>
      </c>
      <c r="S109" s="12">
        <f>IF(O109="","",IF(O109="BUY",B109+K109*2,B109-K109*2))</f>
        <v/>
      </c>
      <c r="T109" s="12">
        <f>IF(O109="","",IF(O109="BUY",B109+K109*3,B109-K109*3))</f>
        <v/>
      </c>
      <c r="U109" s="11">
        <f>IF(OR(B109="",K109&lt;=0),"",IF(AND(B109&gt;E109,ABS(B109-E109)&lt;K109*0.5),"2ND","1ST"))</f>
        <v/>
      </c>
      <c r="V109" s="11">
        <f>IF(OR(B109="",K109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9" s="11">
        <f>IF(OR(B109="",K109&lt;=0),"",IF(K109&gt;B109*0.05,"VOL-HIGH","VOL-NORMAL"))</f>
        <v/>
      </c>
      <c r="X109" s="11">
        <f>IF(OR(B109="",K109&lt;=0),"",IF(AND(L109="VOL-OK",W109="VOL-NORMAL",U109="2ND"),"OK","NG"))</f>
        <v/>
      </c>
      <c r="Y109" s="11">
        <f>IF(OR(B109="",K109&lt;=0),"",IF(AND(C109&gt;G109,D109&gt;H109),"UP",IF(AND(C109&lt;G109,D109&lt;H109),"DOWN","FLAT")))</f>
        <v/>
      </c>
    </row>
    <row r="110" ht="26" customHeight="1" s="1">
      <c r="A110" s="13">
        <f>IF('StockList_MS2'!A109="","",HYPERLINK("https://kabutan.jp/stock/?code="&amp;'StockList_MS2'!A109,'StockList_MS2'!A109))</f>
        <v/>
      </c>
      <c r="B110" s="14" t="n"/>
      <c r="C110" s="14" t="n"/>
      <c r="D110" s="14" t="n"/>
      <c r="E110" s="14" t="n"/>
      <c r="F110" s="15" t="n"/>
      <c r="G110" s="14" t="n"/>
      <c r="H110" s="14" t="n"/>
      <c r="I110" s="14" t="n"/>
      <c r="J110" s="16">
        <f>IF(B110="","",IF(B110&gt;I110,"BUY-DAY","SELL-DAY"))</f>
        <v/>
      </c>
      <c r="K110" s="17">
        <f>IF(B110="","",MAX(C110-D110,ABS(C110-I110),ABS(D110-I110)))</f>
        <v/>
      </c>
      <c r="L110" s="16">
        <f>IF(B110="","",IF(AND(F110&gt;0,F110&gt;(F110/3)*2.5),"VOL-OK","VOL-NG"))</f>
        <v/>
      </c>
      <c r="M110" s="16">
        <f>IF(B110="","",IF(B110&gt;G110,"ON","OFF"))</f>
        <v/>
      </c>
      <c r="N110" s="16">
        <f>IF(B110="","",IF(B110&lt;H110,"ON","OFF"))</f>
        <v/>
      </c>
      <c r="O110" s="16">
        <f>IF(OR(B110="",K110&lt;=0),"",IF(AND(J110="BUY-DAY",L110="VOL-OK",N110="ON",X110="OK",Y110&lt;&gt;"DOWN"),"BUY",IF(AND(J110="SELL-DAY",L110="VOL-OK",M110="ON",X110="OK",Y110&lt;&gt;"UP"),"SELL","")))</f>
        <v/>
      </c>
      <c r="P110" s="17">
        <f>IF(O110="","",B110)</f>
        <v/>
      </c>
      <c r="Q110" s="17">
        <f>IF(O110="","",IF(O110="BUY",B110-K110*1.5,B110+K110*1.5))</f>
        <v/>
      </c>
      <c r="R110" s="17">
        <f>IF(O110="","",IF(O110="BUY",B110+K110*1.5,B110-K110*1.5))</f>
        <v/>
      </c>
      <c r="S110" s="17">
        <f>IF(O110="","",IF(O110="BUY",B110+K110*2,B110-K110*2))</f>
        <v/>
      </c>
      <c r="T110" s="17">
        <f>IF(O110="","",IF(O110="BUY",B110+K110*3,B110-K110*3))</f>
        <v/>
      </c>
      <c r="U110" s="16">
        <f>IF(OR(B110="",K110&lt;=0),"",IF(AND(B110&gt;E110,ABS(B110-E110)&lt;K110*0.5),"2ND","1ST"))</f>
        <v/>
      </c>
      <c r="V110" s="16">
        <f>IF(OR(B110="",K110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0" s="16">
        <f>IF(OR(B110="",K110&lt;=0),"",IF(K110&gt;B110*0.05,"VOL-HIGH","VOL-NORMAL"))</f>
        <v/>
      </c>
      <c r="X110" s="16">
        <f>IF(OR(B110="",K110&lt;=0),"",IF(AND(L110="VOL-OK",W110="VOL-NORMAL",U110="2ND"),"OK","NG"))</f>
        <v/>
      </c>
      <c r="Y110" s="16">
        <f>IF(OR(B110="",K110&lt;=0),"",IF(AND(C110&gt;G110,D110&gt;H110),"UP",IF(AND(C110&lt;G110,D110&lt;H110),"DOWN","FLAT")))</f>
        <v/>
      </c>
    </row>
    <row r="111" ht="26" customHeight="1" s="1">
      <c r="A111" s="8">
        <f>IF('StockList_MS2'!A110="","",HYPERLINK("https://kabutan.jp/stock/?code="&amp;'StockList_MS2'!A110,'StockList_MS2'!A110))</f>
        <v/>
      </c>
      <c r="B111" s="9" t="n"/>
      <c r="C111" s="9" t="n"/>
      <c r="D111" s="9" t="n"/>
      <c r="E111" s="9" t="n"/>
      <c r="F111" s="10" t="n"/>
      <c r="G111" s="9" t="n"/>
      <c r="H111" s="9" t="n"/>
      <c r="I111" s="9" t="n"/>
      <c r="J111" s="11">
        <f>IF(B111="","",IF(B111&gt;I111,"BUY-DAY","SELL-DAY"))</f>
        <v/>
      </c>
      <c r="K111" s="12">
        <f>IF(B111="","",MAX(C111-D111,ABS(C111-I111),ABS(D111-I111)))</f>
        <v/>
      </c>
      <c r="L111" s="11">
        <f>IF(B111="","",IF(AND(F111&gt;0,F111&gt;(F111/3)*2.5),"VOL-OK","VOL-NG"))</f>
        <v/>
      </c>
      <c r="M111" s="11">
        <f>IF(B111="","",IF(B111&gt;G111,"ON","OFF"))</f>
        <v/>
      </c>
      <c r="N111" s="11">
        <f>IF(B111="","",IF(B111&lt;H111,"ON","OFF"))</f>
        <v/>
      </c>
      <c r="O111" s="11">
        <f>IF(OR(B111="",K111&lt;=0),"",IF(AND(J111="BUY-DAY",L111="VOL-OK",N111="ON",X111="OK",Y111&lt;&gt;"DOWN"),"BUY",IF(AND(J111="SELL-DAY",L111="VOL-OK",M111="ON",X111="OK",Y111&lt;&gt;"UP"),"SELL","")))</f>
        <v/>
      </c>
      <c r="P111" s="12">
        <f>IF(O111="","",B111)</f>
        <v/>
      </c>
      <c r="Q111" s="12">
        <f>IF(O111="","",IF(O111="BUY",B111-K111*1.5,B111+K111*1.5))</f>
        <v/>
      </c>
      <c r="R111" s="12">
        <f>IF(O111="","",IF(O111="BUY",B111+K111*1.5,B111-K111*1.5))</f>
        <v/>
      </c>
      <c r="S111" s="12">
        <f>IF(O111="","",IF(O111="BUY",B111+K111*2,B111-K111*2))</f>
        <v/>
      </c>
      <c r="T111" s="12">
        <f>IF(O111="","",IF(O111="BUY",B111+K111*3,B111-K111*3))</f>
        <v/>
      </c>
      <c r="U111" s="11">
        <f>IF(OR(B111="",K111&lt;=0),"",IF(AND(B111&gt;E111,ABS(B111-E111)&lt;K111*0.5),"2ND","1ST"))</f>
        <v/>
      </c>
      <c r="V111" s="11">
        <f>IF(OR(B111="",K111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1" s="11">
        <f>IF(OR(B111="",K111&lt;=0),"",IF(K111&gt;B111*0.05,"VOL-HIGH","VOL-NORMAL"))</f>
        <v/>
      </c>
      <c r="X111" s="11">
        <f>IF(OR(B111="",K111&lt;=0),"",IF(AND(L111="VOL-OK",W111="VOL-NORMAL",U111="2ND"),"OK","NG"))</f>
        <v/>
      </c>
      <c r="Y111" s="11">
        <f>IF(OR(B111="",K111&lt;=0),"",IF(AND(C111&gt;G111,D111&gt;H111),"UP",IF(AND(C111&lt;G111,D111&lt;H111),"DOWN","FLAT")))</f>
        <v/>
      </c>
    </row>
    <row r="112" ht="26" customHeight="1" s="1">
      <c r="A112" s="13">
        <f>IF('StockList_MS2'!A111="","",HYPERLINK("https://kabutan.jp/stock/?code="&amp;'StockList_MS2'!A111,'StockList_MS2'!A111))</f>
        <v/>
      </c>
      <c r="B112" s="14" t="n"/>
      <c r="C112" s="14" t="n"/>
      <c r="D112" s="14" t="n"/>
      <c r="E112" s="14" t="n"/>
      <c r="F112" s="15" t="n"/>
      <c r="G112" s="14" t="n"/>
      <c r="H112" s="14" t="n"/>
      <c r="I112" s="14" t="n"/>
      <c r="J112" s="16">
        <f>IF(B112="","",IF(B112&gt;I112,"BUY-DAY","SELL-DAY"))</f>
        <v/>
      </c>
      <c r="K112" s="17">
        <f>IF(B112="","",MAX(C112-D112,ABS(C112-I112),ABS(D112-I112)))</f>
        <v/>
      </c>
      <c r="L112" s="16">
        <f>IF(B112="","",IF(AND(F112&gt;0,F112&gt;(F112/3)*2.5),"VOL-OK","VOL-NG"))</f>
        <v/>
      </c>
      <c r="M112" s="16">
        <f>IF(B112="","",IF(B112&gt;G112,"ON","OFF"))</f>
        <v/>
      </c>
      <c r="N112" s="16">
        <f>IF(B112="","",IF(B112&lt;H112,"ON","OFF"))</f>
        <v/>
      </c>
      <c r="O112" s="16">
        <f>IF(OR(B112="",K112&lt;=0),"",IF(AND(J112="BUY-DAY",L112="VOL-OK",N112="ON",X112="OK",Y112&lt;&gt;"DOWN"),"BUY",IF(AND(J112="SELL-DAY",L112="VOL-OK",M112="ON",X112="OK",Y112&lt;&gt;"UP"),"SELL","")))</f>
        <v/>
      </c>
      <c r="P112" s="17">
        <f>IF(O112="","",B112)</f>
        <v/>
      </c>
      <c r="Q112" s="17">
        <f>IF(O112="","",IF(O112="BUY",B112-K112*1.5,B112+K112*1.5))</f>
        <v/>
      </c>
      <c r="R112" s="17">
        <f>IF(O112="","",IF(O112="BUY",B112+K112*1.5,B112-K112*1.5))</f>
        <v/>
      </c>
      <c r="S112" s="17">
        <f>IF(O112="","",IF(O112="BUY",B112+K112*2,B112-K112*2))</f>
        <v/>
      </c>
      <c r="T112" s="17">
        <f>IF(O112="","",IF(O112="BUY",B112+K112*3,B112-K112*3))</f>
        <v/>
      </c>
      <c r="U112" s="16">
        <f>IF(OR(B112="",K112&lt;=0),"",IF(AND(B112&gt;E112,ABS(B112-E112)&lt;K112*0.5),"2ND","1ST"))</f>
        <v/>
      </c>
      <c r="V112" s="16">
        <f>IF(OR(B112="",K112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2" s="16">
        <f>IF(OR(B112="",K112&lt;=0),"",IF(K112&gt;B112*0.05,"VOL-HIGH","VOL-NORMAL"))</f>
        <v/>
      </c>
      <c r="X112" s="16">
        <f>IF(OR(B112="",K112&lt;=0),"",IF(AND(L112="VOL-OK",W112="VOL-NORMAL",U112="2ND"),"OK","NG"))</f>
        <v/>
      </c>
      <c r="Y112" s="16">
        <f>IF(OR(B112="",K112&lt;=0),"",IF(AND(C112&gt;G112,D112&gt;H112),"UP",IF(AND(C112&lt;G112,D112&lt;H112),"DOWN","FLAT")))</f>
        <v/>
      </c>
    </row>
    <row r="113" ht="26" customHeight="1" s="1">
      <c r="A113" s="8">
        <f>IF('StockList_MS2'!A112="","",HYPERLINK("https://kabutan.jp/stock/?code="&amp;'StockList_MS2'!A112,'StockList_MS2'!A112))</f>
        <v/>
      </c>
      <c r="B113" s="9" t="n"/>
      <c r="C113" s="9" t="n"/>
      <c r="D113" s="9" t="n"/>
      <c r="E113" s="9" t="n"/>
      <c r="F113" s="10" t="n"/>
      <c r="G113" s="9" t="n"/>
      <c r="H113" s="9" t="n"/>
      <c r="I113" s="9" t="n"/>
      <c r="J113" s="11">
        <f>IF(B113="","",IF(B113&gt;I113,"BUY-DAY","SELL-DAY"))</f>
        <v/>
      </c>
      <c r="K113" s="12">
        <f>IF(B113="","",MAX(C113-D113,ABS(C113-I113),ABS(D113-I113)))</f>
        <v/>
      </c>
      <c r="L113" s="11">
        <f>IF(B113="","",IF(AND(F113&gt;0,F113&gt;(F113/3)*2.5),"VOL-OK","VOL-NG"))</f>
        <v/>
      </c>
      <c r="M113" s="11">
        <f>IF(B113="","",IF(B113&gt;G113,"ON","OFF"))</f>
        <v/>
      </c>
      <c r="N113" s="11">
        <f>IF(B113="","",IF(B113&lt;H113,"ON","OFF"))</f>
        <v/>
      </c>
      <c r="O113" s="11">
        <f>IF(OR(B113="",K113&lt;=0),"",IF(AND(J113="BUY-DAY",L113="VOL-OK",N113="ON",X113="OK",Y113&lt;&gt;"DOWN"),"BUY",IF(AND(J113="SELL-DAY",L113="VOL-OK",M113="ON",X113="OK",Y113&lt;&gt;"UP"),"SELL","")))</f>
        <v/>
      </c>
      <c r="P113" s="12">
        <f>IF(O113="","",B113)</f>
        <v/>
      </c>
      <c r="Q113" s="12">
        <f>IF(O113="","",IF(O113="BUY",B113-K113*1.5,B113+K113*1.5))</f>
        <v/>
      </c>
      <c r="R113" s="12">
        <f>IF(O113="","",IF(O113="BUY",B113+K113*1.5,B113-K113*1.5))</f>
        <v/>
      </c>
      <c r="S113" s="12">
        <f>IF(O113="","",IF(O113="BUY",B113+K113*2,B113-K113*2))</f>
        <v/>
      </c>
      <c r="T113" s="12">
        <f>IF(O113="","",IF(O113="BUY",B113+K113*3,B113-K113*3))</f>
        <v/>
      </c>
      <c r="U113" s="11">
        <f>IF(OR(B113="",K113&lt;=0),"",IF(AND(B113&gt;E113,ABS(B113-E113)&lt;K113*0.5),"2ND","1ST"))</f>
        <v/>
      </c>
      <c r="V113" s="11">
        <f>IF(OR(B113="",K113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3" s="11">
        <f>IF(OR(B113="",K113&lt;=0),"",IF(K113&gt;B113*0.05,"VOL-HIGH","VOL-NORMAL"))</f>
        <v/>
      </c>
      <c r="X113" s="11">
        <f>IF(OR(B113="",K113&lt;=0),"",IF(AND(L113="VOL-OK",W113="VOL-NORMAL",U113="2ND"),"OK","NG"))</f>
        <v/>
      </c>
      <c r="Y113" s="11">
        <f>IF(OR(B113="",K113&lt;=0),"",IF(AND(C113&gt;G113,D113&gt;H113),"UP",IF(AND(C113&lt;G113,D113&lt;H113),"DOWN","FLAT")))</f>
        <v/>
      </c>
    </row>
    <row r="114" ht="26" customHeight="1" s="1">
      <c r="A114" s="13">
        <f>IF('StockList_MS2'!A113="","",HYPERLINK("https://kabutan.jp/stock/?code="&amp;'StockList_MS2'!A113,'StockList_MS2'!A113))</f>
        <v/>
      </c>
      <c r="B114" s="14" t="n"/>
      <c r="C114" s="14" t="n"/>
      <c r="D114" s="14" t="n"/>
      <c r="E114" s="14" t="n"/>
      <c r="F114" s="15" t="n"/>
      <c r="G114" s="14" t="n"/>
      <c r="H114" s="14" t="n"/>
      <c r="I114" s="14" t="n"/>
      <c r="J114" s="16">
        <f>IF(B114="","",IF(B114&gt;I114,"BUY-DAY","SELL-DAY"))</f>
        <v/>
      </c>
      <c r="K114" s="17">
        <f>IF(B114="","",MAX(C114-D114,ABS(C114-I114),ABS(D114-I114)))</f>
        <v/>
      </c>
      <c r="L114" s="16">
        <f>IF(B114="","",IF(AND(F114&gt;0,F114&gt;(F114/3)*2.5),"VOL-OK","VOL-NG"))</f>
        <v/>
      </c>
      <c r="M114" s="16">
        <f>IF(B114="","",IF(B114&gt;G114,"ON","OFF"))</f>
        <v/>
      </c>
      <c r="N114" s="16">
        <f>IF(B114="","",IF(B114&lt;H114,"ON","OFF"))</f>
        <v/>
      </c>
      <c r="O114" s="16">
        <f>IF(OR(B114="",K114&lt;=0),"",IF(AND(J114="BUY-DAY",L114="VOL-OK",N114="ON",X114="OK",Y114&lt;&gt;"DOWN"),"BUY",IF(AND(J114="SELL-DAY",L114="VOL-OK",M114="ON",X114="OK",Y114&lt;&gt;"UP"),"SELL","")))</f>
        <v/>
      </c>
      <c r="P114" s="17">
        <f>IF(O114="","",B114)</f>
        <v/>
      </c>
      <c r="Q114" s="17">
        <f>IF(O114="","",IF(O114="BUY",B114-K114*1.5,B114+K114*1.5))</f>
        <v/>
      </c>
      <c r="R114" s="17">
        <f>IF(O114="","",IF(O114="BUY",B114+K114*1.5,B114-K114*1.5))</f>
        <v/>
      </c>
      <c r="S114" s="17">
        <f>IF(O114="","",IF(O114="BUY",B114+K114*2,B114-K114*2))</f>
        <v/>
      </c>
      <c r="T114" s="17">
        <f>IF(O114="","",IF(O114="BUY",B114+K114*3,B114-K114*3))</f>
        <v/>
      </c>
      <c r="U114" s="16">
        <f>IF(OR(B114="",K114&lt;=0),"",IF(AND(B114&gt;E114,ABS(B114-E114)&lt;K114*0.5),"2ND","1ST"))</f>
        <v/>
      </c>
      <c r="V114" s="16">
        <f>IF(OR(B114="",K114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4" s="16">
        <f>IF(OR(B114="",K114&lt;=0),"",IF(K114&gt;B114*0.05,"VOL-HIGH","VOL-NORMAL"))</f>
        <v/>
      </c>
      <c r="X114" s="16">
        <f>IF(OR(B114="",K114&lt;=0),"",IF(AND(L114="VOL-OK",W114="VOL-NORMAL",U114="2ND"),"OK","NG"))</f>
        <v/>
      </c>
      <c r="Y114" s="16">
        <f>IF(OR(B114="",K114&lt;=0),"",IF(AND(C114&gt;G114,D114&gt;H114),"UP",IF(AND(C114&lt;G114,D114&lt;H114),"DOWN","FLAT")))</f>
        <v/>
      </c>
    </row>
    <row r="115" ht="26" customHeight="1" s="1">
      <c r="A115" s="8">
        <f>IF('StockList_MS2'!A114="","",HYPERLINK("https://kabutan.jp/stock/?code="&amp;'StockList_MS2'!A114,'StockList_MS2'!A114))</f>
        <v/>
      </c>
      <c r="B115" s="9" t="n"/>
      <c r="C115" s="9" t="n"/>
      <c r="D115" s="9" t="n"/>
      <c r="E115" s="9" t="n"/>
      <c r="F115" s="10" t="n"/>
      <c r="G115" s="9" t="n"/>
      <c r="H115" s="9" t="n"/>
      <c r="I115" s="9" t="n"/>
      <c r="J115" s="11">
        <f>IF(B115="","",IF(B115&gt;I115,"BUY-DAY","SELL-DAY"))</f>
        <v/>
      </c>
      <c r="K115" s="12">
        <f>IF(B115="","",MAX(C115-D115,ABS(C115-I115),ABS(D115-I115)))</f>
        <v/>
      </c>
      <c r="L115" s="11">
        <f>IF(B115="","",IF(AND(F115&gt;0,F115&gt;(F115/3)*2.5),"VOL-OK","VOL-NG"))</f>
        <v/>
      </c>
      <c r="M115" s="11">
        <f>IF(B115="","",IF(B115&gt;G115,"ON","OFF"))</f>
        <v/>
      </c>
      <c r="N115" s="11">
        <f>IF(B115="","",IF(B115&lt;H115,"ON","OFF"))</f>
        <v/>
      </c>
      <c r="O115" s="11">
        <f>IF(OR(B115="",K115&lt;=0),"",IF(AND(J115="BUY-DAY",L115="VOL-OK",N115="ON",X115="OK",Y115&lt;&gt;"DOWN"),"BUY",IF(AND(J115="SELL-DAY",L115="VOL-OK",M115="ON",X115="OK",Y115&lt;&gt;"UP"),"SELL","")))</f>
        <v/>
      </c>
      <c r="P115" s="12">
        <f>IF(O115="","",B115)</f>
        <v/>
      </c>
      <c r="Q115" s="12">
        <f>IF(O115="","",IF(O115="BUY",B115-K115*1.5,B115+K115*1.5))</f>
        <v/>
      </c>
      <c r="R115" s="12">
        <f>IF(O115="","",IF(O115="BUY",B115+K115*1.5,B115-K115*1.5))</f>
        <v/>
      </c>
      <c r="S115" s="12">
        <f>IF(O115="","",IF(O115="BUY",B115+K115*2,B115-K115*2))</f>
        <v/>
      </c>
      <c r="T115" s="12">
        <f>IF(O115="","",IF(O115="BUY",B115+K115*3,B115-K115*3))</f>
        <v/>
      </c>
      <c r="U115" s="11">
        <f>IF(OR(B115="",K115&lt;=0),"",IF(AND(B115&gt;E115,ABS(B115-E115)&lt;K115*0.5),"2ND","1ST"))</f>
        <v/>
      </c>
      <c r="V115" s="11">
        <f>IF(OR(B115="",K115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5" s="11">
        <f>IF(OR(B115="",K115&lt;=0),"",IF(K115&gt;B115*0.05,"VOL-HIGH","VOL-NORMAL"))</f>
        <v/>
      </c>
      <c r="X115" s="11">
        <f>IF(OR(B115="",K115&lt;=0),"",IF(AND(L115="VOL-OK",W115="VOL-NORMAL",U115="2ND"),"OK","NG"))</f>
        <v/>
      </c>
      <c r="Y115" s="11">
        <f>IF(OR(B115="",K115&lt;=0),"",IF(AND(C115&gt;G115,D115&gt;H115),"UP",IF(AND(C115&lt;G115,D115&lt;H115),"DOWN","FLAT")))</f>
        <v/>
      </c>
    </row>
    <row r="116" ht="26" customHeight="1" s="1">
      <c r="A116" s="13">
        <f>IF('StockList_MS2'!A115="","",HYPERLINK("https://kabutan.jp/stock/?code="&amp;'StockList_MS2'!A115,'StockList_MS2'!A115))</f>
        <v/>
      </c>
      <c r="B116" s="14" t="n"/>
      <c r="C116" s="14" t="n"/>
      <c r="D116" s="14" t="n"/>
      <c r="E116" s="14" t="n"/>
      <c r="F116" s="15" t="n"/>
      <c r="G116" s="14" t="n"/>
      <c r="H116" s="14" t="n"/>
      <c r="I116" s="14" t="n"/>
      <c r="J116" s="16">
        <f>IF(B116="","",IF(B116&gt;I116,"BUY-DAY","SELL-DAY"))</f>
        <v/>
      </c>
      <c r="K116" s="17">
        <f>IF(B116="","",MAX(C116-D116,ABS(C116-I116),ABS(D116-I116)))</f>
        <v/>
      </c>
      <c r="L116" s="16">
        <f>IF(B116="","",IF(AND(F116&gt;0,F116&gt;(F116/3)*2.5),"VOL-OK","VOL-NG"))</f>
        <v/>
      </c>
      <c r="M116" s="16">
        <f>IF(B116="","",IF(B116&gt;G116,"ON","OFF"))</f>
        <v/>
      </c>
      <c r="N116" s="16">
        <f>IF(B116="","",IF(B116&lt;H116,"ON","OFF"))</f>
        <v/>
      </c>
      <c r="O116" s="16">
        <f>IF(OR(B116="",K116&lt;=0),"",IF(AND(J116="BUY-DAY",L116="VOL-OK",N116="ON",X116="OK",Y116&lt;&gt;"DOWN"),"BUY",IF(AND(J116="SELL-DAY",L116="VOL-OK",M116="ON",X116="OK",Y116&lt;&gt;"UP"),"SELL","")))</f>
        <v/>
      </c>
      <c r="P116" s="17">
        <f>IF(O116="","",B116)</f>
        <v/>
      </c>
      <c r="Q116" s="17">
        <f>IF(O116="","",IF(O116="BUY",B116-K116*1.5,B116+K116*1.5))</f>
        <v/>
      </c>
      <c r="R116" s="17">
        <f>IF(O116="","",IF(O116="BUY",B116+K116*1.5,B116-K116*1.5))</f>
        <v/>
      </c>
      <c r="S116" s="17">
        <f>IF(O116="","",IF(O116="BUY",B116+K116*2,B116-K116*2))</f>
        <v/>
      </c>
      <c r="T116" s="17">
        <f>IF(O116="","",IF(O116="BUY",B116+K116*3,B116-K116*3))</f>
        <v/>
      </c>
      <c r="U116" s="16">
        <f>IF(OR(B116="",K116&lt;=0),"",IF(AND(B116&gt;E116,ABS(B116-E116)&lt;K116*0.5),"2ND","1ST"))</f>
        <v/>
      </c>
      <c r="V116" s="16">
        <f>IF(OR(B116="",K116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6" s="16">
        <f>IF(OR(B116="",K116&lt;=0),"",IF(K116&gt;B116*0.05,"VOL-HIGH","VOL-NORMAL"))</f>
        <v/>
      </c>
      <c r="X116" s="16">
        <f>IF(OR(B116="",K116&lt;=0),"",IF(AND(L116="VOL-OK",W116="VOL-NORMAL",U116="2ND"),"OK","NG"))</f>
        <v/>
      </c>
      <c r="Y116" s="16">
        <f>IF(OR(B116="",K116&lt;=0),"",IF(AND(C116&gt;G116,D116&gt;H116),"UP",IF(AND(C116&lt;G116,D116&lt;H116),"DOWN","FLAT")))</f>
        <v/>
      </c>
    </row>
    <row r="117" ht="26" customHeight="1" s="1">
      <c r="A117" s="8">
        <f>IF('StockList_MS2'!A116="","",HYPERLINK("https://kabutan.jp/stock/?code="&amp;'StockList_MS2'!A116,'StockList_MS2'!A116))</f>
        <v/>
      </c>
      <c r="B117" s="9" t="n"/>
      <c r="C117" s="9" t="n"/>
      <c r="D117" s="9" t="n"/>
      <c r="E117" s="9" t="n"/>
      <c r="F117" s="10" t="n"/>
      <c r="G117" s="9" t="n"/>
      <c r="H117" s="9" t="n"/>
      <c r="I117" s="9" t="n"/>
      <c r="J117" s="11">
        <f>IF(B117="","",IF(B117&gt;I117,"BUY-DAY","SELL-DAY"))</f>
        <v/>
      </c>
      <c r="K117" s="12">
        <f>IF(B117="","",MAX(C117-D117,ABS(C117-I117),ABS(D117-I117)))</f>
        <v/>
      </c>
      <c r="L117" s="11">
        <f>IF(B117="","",IF(AND(F117&gt;0,F117&gt;(F117/3)*2.5),"VOL-OK","VOL-NG"))</f>
        <v/>
      </c>
      <c r="M117" s="11">
        <f>IF(B117="","",IF(B117&gt;G117,"ON","OFF"))</f>
        <v/>
      </c>
      <c r="N117" s="11">
        <f>IF(B117="","",IF(B117&lt;H117,"ON","OFF"))</f>
        <v/>
      </c>
      <c r="O117" s="11">
        <f>IF(OR(B117="",K117&lt;=0),"",IF(AND(J117="BUY-DAY",L117="VOL-OK",N117="ON",X117="OK",Y117&lt;&gt;"DOWN"),"BUY",IF(AND(J117="SELL-DAY",L117="VOL-OK",M117="ON",X117="OK",Y117&lt;&gt;"UP"),"SELL","")))</f>
        <v/>
      </c>
      <c r="P117" s="12">
        <f>IF(O117="","",B117)</f>
        <v/>
      </c>
      <c r="Q117" s="12">
        <f>IF(O117="","",IF(O117="BUY",B117-K117*1.5,B117+K117*1.5))</f>
        <v/>
      </c>
      <c r="R117" s="12">
        <f>IF(O117="","",IF(O117="BUY",B117+K117*1.5,B117-K117*1.5))</f>
        <v/>
      </c>
      <c r="S117" s="12">
        <f>IF(O117="","",IF(O117="BUY",B117+K117*2,B117-K117*2))</f>
        <v/>
      </c>
      <c r="T117" s="12">
        <f>IF(O117="","",IF(O117="BUY",B117+K117*3,B117-K117*3))</f>
        <v/>
      </c>
      <c r="U117" s="11">
        <f>IF(OR(B117="",K117&lt;=0),"",IF(AND(B117&gt;E117,ABS(B117-E117)&lt;K117*0.5),"2ND","1ST"))</f>
        <v/>
      </c>
      <c r="V117" s="11">
        <f>IF(OR(B117="",K117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7" s="11">
        <f>IF(OR(B117="",K117&lt;=0),"",IF(K117&gt;B117*0.05,"VOL-HIGH","VOL-NORMAL"))</f>
        <v/>
      </c>
      <c r="X117" s="11">
        <f>IF(OR(B117="",K117&lt;=0),"",IF(AND(L117="VOL-OK",W117="VOL-NORMAL",U117="2ND"),"OK","NG"))</f>
        <v/>
      </c>
      <c r="Y117" s="11">
        <f>IF(OR(B117="",K117&lt;=0),"",IF(AND(C117&gt;G117,D117&gt;H117),"UP",IF(AND(C117&lt;G117,D117&lt;H117),"DOWN","FLAT")))</f>
        <v/>
      </c>
    </row>
    <row r="118" ht="26" customHeight="1" s="1">
      <c r="A118" s="13">
        <f>IF('StockList_MS2'!A117="","",HYPERLINK("https://kabutan.jp/stock/?code="&amp;'StockList_MS2'!A117,'StockList_MS2'!A117))</f>
        <v/>
      </c>
      <c r="B118" s="14" t="n"/>
      <c r="C118" s="14" t="n"/>
      <c r="D118" s="14" t="n"/>
      <c r="E118" s="14" t="n"/>
      <c r="F118" s="15" t="n"/>
      <c r="G118" s="14" t="n"/>
      <c r="H118" s="14" t="n"/>
      <c r="I118" s="14" t="n"/>
      <c r="J118" s="16">
        <f>IF(B118="","",IF(B118&gt;I118,"BUY-DAY","SELL-DAY"))</f>
        <v/>
      </c>
      <c r="K118" s="17">
        <f>IF(B118="","",MAX(C118-D118,ABS(C118-I118),ABS(D118-I118)))</f>
        <v/>
      </c>
      <c r="L118" s="16">
        <f>IF(B118="","",IF(AND(F118&gt;0,F118&gt;(F118/3)*2.5),"VOL-OK","VOL-NG"))</f>
        <v/>
      </c>
      <c r="M118" s="16">
        <f>IF(B118="","",IF(B118&gt;G118,"ON","OFF"))</f>
        <v/>
      </c>
      <c r="N118" s="16">
        <f>IF(B118="","",IF(B118&lt;H118,"ON","OFF"))</f>
        <v/>
      </c>
      <c r="O118" s="16">
        <f>IF(OR(B118="",K118&lt;=0),"",IF(AND(J118="BUY-DAY",L118="VOL-OK",N118="ON",X118="OK",Y118&lt;&gt;"DOWN"),"BUY",IF(AND(J118="SELL-DAY",L118="VOL-OK",M118="ON",X118="OK",Y118&lt;&gt;"UP"),"SELL","")))</f>
        <v/>
      </c>
      <c r="P118" s="17">
        <f>IF(O118="","",B118)</f>
        <v/>
      </c>
      <c r="Q118" s="17">
        <f>IF(O118="","",IF(O118="BUY",B118-K118*1.5,B118+K118*1.5))</f>
        <v/>
      </c>
      <c r="R118" s="17">
        <f>IF(O118="","",IF(O118="BUY",B118+K118*1.5,B118-K118*1.5))</f>
        <v/>
      </c>
      <c r="S118" s="17">
        <f>IF(O118="","",IF(O118="BUY",B118+K118*2,B118-K118*2))</f>
        <v/>
      </c>
      <c r="T118" s="17">
        <f>IF(O118="","",IF(O118="BUY",B118+K118*3,B118-K118*3))</f>
        <v/>
      </c>
      <c r="U118" s="16">
        <f>IF(OR(B118="",K118&lt;=0),"",IF(AND(B118&gt;E118,ABS(B118-E118)&lt;K118*0.5),"2ND","1ST"))</f>
        <v/>
      </c>
      <c r="V118" s="16">
        <f>IF(OR(B118="",K118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8" s="16">
        <f>IF(OR(B118="",K118&lt;=0),"",IF(K118&gt;B118*0.05,"VOL-HIGH","VOL-NORMAL"))</f>
        <v/>
      </c>
      <c r="X118" s="16">
        <f>IF(OR(B118="",K118&lt;=0),"",IF(AND(L118="VOL-OK",W118="VOL-NORMAL",U118="2ND"),"OK","NG"))</f>
        <v/>
      </c>
      <c r="Y118" s="16">
        <f>IF(OR(B118="",K118&lt;=0),"",IF(AND(C118&gt;G118,D118&gt;H118),"UP",IF(AND(C118&lt;G118,D118&lt;H118),"DOWN","FLAT")))</f>
        <v/>
      </c>
    </row>
    <row r="119" ht="26" customHeight="1" s="1">
      <c r="A119" s="8">
        <f>IF('StockList_MS2'!A118="","",HYPERLINK("https://kabutan.jp/stock/?code="&amp;'StockList_MS2'!A118,'StockList_MS2'!A118))</f>
        <v/>
      </c>
      <c r="B119" s="9" t="n"/>
      <c r="C119" s="9" t="n"/>
      <c r="D119" s="9" t="n"/>
      <c r="E119" s="9" t="n"/>
      <c r="F119" s="10" t="n"/>
      <c r="G119" s="9" t="n"/>
      <c r="H119" s="9" t="n"/>
      <c r="I119" s="9" t="n"/>
      <c r="J119" s="11">
        <f>IF(B119="","",IF(B119&gt;I119,"BUY-DAY","SELL-DAY"))</f>
        <v/>
      </c>
      <c r="K119" s="12">
        <f>IF(B119="","",MAX(C119-D119,ABS(C119-I119),ABS(D119-I119)))</f>
        <v/>
      </c>
      <c r="L119" s="11">
        <f>IF(B119="","",IF(AND(F119&gt;0,F119&gt;(F119/3)*2.5),"VOL-OK","VOL-NG"))</f>
        <v/>
      </c>
      <c r="M119" s="11">
        <f>IF(B119="","",IF(B119&gt;G119,"ON","OFF"))</f>
        <v/>
      </c>
      <c r="N119" s="11">
        <f>IF(B119="","",IF(B119&lt;H119,"ON","OFF"))</f>
        <v/>
      </c>
      <c r="O119" s="11">
        <f>IF(OR(B119="",K119&lt;=0),"",IF(AND(J119="BUY-DAY",L119="VOL-OK",N119="ON",X119="OK",Y119&lt;&gt;"DOWN"),"BUY",IF(AND(J119="SELL-DAY",L119="VOL-OK",M119="ON",X119="OK",Y119&lt;&gt;"UP"),"SELL","")))</f>
        <v/>
      </c>
      <c r="P119" s="12">
        <f>IF(O119="","",B119)</f>
        <v/>
      </c>
      <c r="Q119" s="12">
        <f>IF(O119="","",IF(O119="BUY",B119-K119*1.5,B119+K119*1.5))</f>
        <v/>
      </c>
      <c r="R119" s="12">
        <f>IF(O119="","",IF(O119="BUY",B119+K119*1.5,B119-K119*1.5))</f>
        <v/>
      </c>
      <c r="S119" s="12">
        <f>IF(O119="","",IF(O119="BUY",B119+K119*2,B119-K119*2))</f>
        <v/>
      </c>
      <c r="T119" s="12">
        <f>IF(O119="","",IF(O119="BUY",B119+K119*3,B119-K119*3))</f>
        <v/>
      </c>
      <c r="U119" s="11">
        <f>IF(OR(B119="",K119&lt;=0),"",IF(AND(B119&gt;E119,ABS(B119-E119)&lt;K119*0.5),"2ND","1ST"))</f>
        <v/>
      </c>
      <c r="V119" s="11">
        <f>IF(OR(B119="",K119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9" s="11">
        <f>IF(OR(B119="",K119&lt;=0),"",IF(K119&gt;B119*0.05,"VOL-HIGH","VOL-NORMAL"))</f>
        <v/>
      </c>
      <c r="X119" s="11">
        <f>IF(OR(B119="",K119&lt;=0),"",IF(AND(L119="VOL-OK",W119="VOL-NORMAL",U119="2ND"),"OK","NG"))</f>
        <v/>
      </c>
      <c r="Y119" s="11">
        <f>IF(OR(B119="",K119&lt;=0),"",IF(AND(C119&gt;G119,D119&gt;H119),"UP",IF(AND(C119&lt;G119,D119&lt;H119),"DOWN","FLAT")))</f>
        <v/>
      </c>
    </row>
    <row r="120" ht="26" customHeight="1" s="1">
      <c r="A120" s="13">
        <f>IF('StockList_MS2'!A119="","",HYPERLINK("https://kabutan.jp/stock/?code="&amp;'StockList_MS2'!A119,'StockList_MS2'!A119))</f>
        <v/>
      </c>
      <c r="B120" s="14" t="n"/>
      <c r="C120" s="14" t="n"/>
      <c r="D120" s="14" t="n"/>
      <c r="E120" s="14" t="n"/>
      <c r="F120" s="15" t="n"/>
      <c r="G120" s="14" t="n"/>
      <c r="H120" s="14" t="n"/>
      <c r="I120" s="14" t="n"/>
      <c r="J120" s="16">
        <f>IF(B120="","",IF(B120&gt;I120,"BUY-DAY","SELL-DAY"))</f>
        <v/>
      </c>
      <c r="K120" s="17">
        <f>IF(B120="","",MAX(C120-D120,ABS(C120-I120),ABS(D120-I120)))</f>
        <v/>
      </c>
      <c r="L120" s="16">
        <f>IF(B120="","",IF(AND(F120&gt;0,F120&gt;(F120/3)*2.5),"VOL-OK","VOL-NG"))</f>
        <v/>
      </c>
      <c r="M120" s="16">
        <f>IF(B120="","",IF(B120&gt;G120,"ON","OFF"))</f>
        <v/>
      </c>
      <c r="N120" s="16">
        <f>IF(B120="","",IF(B120&lt;H120,"ON","OFF"))</f>
        <v/>
      </c>
      <c r="O120" s="16">
        <f>IF(OR(B120="",K120&lt;=0),"",IF(AND(J120="BUY-DAY",L120="VOL-OK",N120="ON",X120="OK",Y120&lt;&gt;"DOWN"),"BUY",IF(AND(J120="SELL-DAY",L120="VOL-OK",M120="ON",X120="OK",Y120&lt;&gt;"UP"),"SELL","")))</f>
        <v/>
      </c>
      <c r="P120" s="17">
        <f>IF(O120="","",B120)</f>
        <v/>
      </c>
      <c r="Q120" s="17">
        <f>IF(O120="","",IF(O120="BUY",B120-K120*1.5,B120+K120*1.5))</f>
        <v/>
      </c>
      <c r="R120" s="17">
        <f>IF(O120="","",IF(O120="BUY",B120+K120*1.5,B120-K120*1.5))</f>
        <v/>
      </c>
      <c r="S120" s="17">
        <f>IF(O120="","",IF(O120="BUY",B120+K120*2,B120-K120*2))</f>
        <v/>
      </c>
      <c r="T120" s="17">
        <f>IF(O120="","",IF(O120="BUY",B120+K120*3,B120-K120*3))</f>
        <v/>
      </c>
      <c r="U120" s="16">
        <f>IF(OR(B120="",K120&lt;=0),"",IF(AND(B120&gt;E120,ABS(B120-E120)&lt;K120*0.5),"2ND","1ST"))</f>
        <v/>
      </c>
      <c r="V120" s="16">
        <f>IF(OR(B120="",K120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0" s="16">
        <f>IF(OR(B120="",K120&lt;=0),"",IF(K120&gt;B120*0.05,"VOL-HIGH","VOL-NORMAL"))</f>
        <v/>
      </c>
      <c r="X120" s="16">
        <f>IF(OR(B120="",K120&lt;=0),"",IF(AND(L120="VOL-OK",W120="VOL-NORMAL",U120="2ND"),"OK","NG"))</f>
        <v/>
      </c>
      <c r="Y120" s="16">
        <f>IF(OR(B120="",K120&lt;=0),"",IF(AND(C120&gt;G120,D120&gt;H120),"UP",IF(AND(C120&lt;G120,D120&lt;H120),"DOWN","FLAT")))</f>
        <v/>
      </c>
    </row>
    <row r="121" ht="26" customHeight="1" s="1">
      <c r="A121" s="8">
        <f>IF('StockList_MS2'!A120="","",HYPERLINK("https://kabutan.jp/stock/?code="&amp;'StockList_MS2'!A120,'StockList_MS2'!A120))</f>
        <v/>
      </c>
      <c r="B121" s="9" t="n"/>
      <c r="C121" s="9" t="n"/>
      <c r="D121" s="9" t="n"/>
      <c r="E121" s="9" t="n"/>
      <c r="F121" s="10" t="n"/>
      <c r="G121" s="9" t="n"/>
      <c r="H121" s="9" t="n"/>
      <c r="I121" s="9" t="n"/>
      <c r="J121" s="11">
        <f>IF(B121="","",IF(B121&gt;I121,"BUY-DAY","SELL-DAY"))</f>
        <v/>
      </c>
      <c r="K121" s="12">
        <f>IF(B121="","",MAX(C121-D121,ABS(C121-I121),ABS(D121-I121)))</f>
        <v/>
      </c>
      <c r="L121" s="11">
        <f>IF(B121="","",IF(AND(F121&gt;0,F121&gt;(F121/3)*2.5),"VOL-OK","VOL-NG"))</f>
        <v/>
      </c>
      <c r="M121" s="11">
        <f>IF(B121="","",IF(B121&gt;G121,"ON","OFF"))</f>
        <v/>
      </c>
      <c r="N121" s="11">
        <f>IF(B121="","",IF(B121&lt;H121,"ON","OFF"))</f>
        <v/>
      </c>
      <c r="O121" s="11">
        <f>IF(OR(B121="",K121&lt;=0),"",IF(AND(J121="BUY-DAY",L121="VOL-OK",N121="ON",X121="OK",Y121&lt;&gt;"DOWN"),"BUY",IF(AND(J121="SELL-DAY",L121="VOL-OK",M121="ON",X121="OK",Y121&lt;&gt;"UP"),"SELL","")))</f>
        <v/>
      </c>
      <c r="P121" s="12">
        <f>IF(O121="","",B121)</f>
        <v/>
      </c>
      <c r="Q121" s="12">
        <f>IF(O121="","",IF(O121="BUY",B121-K121*1.5,B121+K121*1.5))</f>
        <v/>
      </c>
      <c r="R121" s="12">
        <f>IF(O121="","",IF(O121="BUY",B121+K121*1.5,B121-K121*1.5))</f>
        <v/>
      </c>
      <c r="S121" s="12">
        <f>IF(O121="","",IF(O121="BUY",B121+K121*2,B121-K121*2))</f>
        <v/>
      </c>
      <c r="T121" s="12">
        <f>IF(O121="","",IF(O121="BUY",B121+K121*3,B121-K121*3))</f>
        <v/>
      </c>
      <c r="U121" s="11">
        <f>IF(OR(B121="",K121&lt;=0),"",IF(AND(B121&gt;E121,ABS(B121-E121)&lt;K121*0.5),"2ND","1ST"))</f>
        <v/>
      </c>
      <c r="V121" s="11">
        <f>IF(OR(B121="",K121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1" s="11">
        <f>IF(OR(B121="",K121&lt;=0),"",IF(K121&gt;B121*0.05,"VOL-HIGH","VOL-NORMAL"))</f>
        <v/>
      </c>
      <c r="X121" s="11">
        <f>IF(OR(B121="",K121&lt;=0),"",IF(AND(L121="VOL-OK",W121="VOL-NORMAL",U121="2ND"),"OK","NG"))</f>
        <v/>
      </c>
      <c r="Y121" s="11">
        <f>IF(OR(B121="",K121&lt;=0),"",IF(AND(C121&gt;G121,D121&gt;H121),"UP",IF(AND(C121&lt;G121,D121&lt;H121),"DOWN","FLAT")))</f>
        <v/>
      </c>
    </row>
    <row r="122" ht="26" customHeight="1" s="1">
      <c r="A122" s="13">
        <f>IF('StockList_MS2'!A121="","",HYPERLINK("https://kabutan.jp/stock/?code="&amp;'StockList_MS2'!A121,'StockList_MS2'!A121))</f>
        <v/>
      </c>
      <c r="B122" s="14" t="n"/>
      <c r="C122" s="14" t="n"/>
      <c r="D122" s="14" t="n"/>
      <c r="E122" s="14" t="n"/>
      <c r="F122" s="15" t="n"/>
      <c r="G122" s="14" t="n"/>
      <c r="H122" s="14" t="n"/>
      <c r="I122" s="14" t="n"/>
      <c r="J122" s="16">
        <f>IF(B122="","",IF(B122&gt;I122,"BUY-DAY","SELL-DAY"))</f>
        <v/>
      </c>
      <c r="K122" s="17">
        <f>IF(B122="","",MAX(C122-D122,ABS(C122-I122),ABS(D122-I122)))</f>
        <v/>
      </c>
      <c r="L122" s="16">
        <f>IF(B122="","",IF(AND(F122&gt;0,F122&gt;(F122/3)*2.5),"VOL-OK","VOL-NG"))</f>
        <v/>
      </c>
      <c r="M122" s="16">
        <f>IF(B122="","",IF(B122&gt;G122,"ON","OFF"))</f>
        <v/>
      </c>
      <c r="N122" s="16">
        <f>IF(B122="","",IF(B122&lt;H122,"ON","OFF"))</f>
        <v/>
      </c>
      <c r="O122" s="16">
        <f>IF(OR(B122="",K122&lt;=0),"",IF(AND(J122="BUY-DAY",L122="VOL-OK",N122="ON",X122="OK",Y122&lt;&gt;"DOWN"),"BUY",IF(AND(J122="SELL-DAY",L122="VOL-OK",M122="ON",X122="OK",Y122&lt;&gt;"UP"),"SELL","")))</f>
        <v/>
      </c>
      <c r="P122" s="17">
        <f>IF(O122="","",B122)</f>
        <v/>
      </c>
      <c r="Q122" s="17">
        <f>IF(O122="","",IF(O122="BUY",B122-K122*1.5,B122+K122*1.5))</f>
        <v/>
      </c>
      <c r="R122" s="17">
        <f>IF(O122="","",IF(O122="BUY",B122+K122*1.5,B122-K122*1.5))</f>
        <v/>
      </c>
      <c r="S122" s="17">
        <f>IF(O122="","",IF(O122="BUY",B122+K122*2,B122-K122*2))</f>
        <v/>
      </c>
      <c r="T122" s="17">
        <f>IF(O122="","",IF(O122="BUY",B122+K122*3,B122-K122*3))</f>
        <v/>
      </c>
      <c r="U122" s="16">
        <f>IF(OR(B122="",K122&lt;=0),"",IF(AND(B122&gt;E122,ABS(B122-E122)&lt;K122*0.5),"2ND","1ST"))</f>
        <v/>
      </c>
      <c r="V122" s="16">
        <f>IF(OR(B122="",K122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2" s="16">
        <f>IF(OR(B122="",K122&lt;=0),"",IF(K122&gt;B122*0.05,"VOL-HIGH","VOL-NORMAL"))</f>
        <v/>
      </c>
      <c r="X122" s="16">
        <f>IF(OR(B122="",K122&lt;=0),"",IF(AND(L122="VOL-OK",W122="VOL-NORMAL",U122="2ND"),"OK","NG"))</f>
        <v/>
      </c>
      <c r="Y122" s="16">
        <f>IF(OR(B122="",K122&lt;=0),"",IF(AND(C122&gt;G122,D122&gt;H122),"UP",IF(AND(C122&lt;G122,D122&lt;H122),"DOWN","FLAT")))</f>
        <v/>
      </c>
    </row>
    <row r="123" ht="26" customHeight="1" s="1">
      <c r="A123" s="8">
        <f>IF('StockList_MS2'!A122="","",HYPERLINK("https://kabutan.jp/stock/?code="&amp;'StockList_MS2'!A122,'StockList_MS2'!A122))</f>
        <v/>
      </c>
      <c r="B123" s="9" t="n"/>
      <c r="C123" s="9" t="n"/>
      <c r="D123" s="9" t="n"/>
      <c r="E123" s="9" t="n"/>
      <c r="F123" s="10" t="n"/>
      <c r="G123" s="9" t="n"/>
      <c r="H123" s="9" t="n"/>
      <c r="I123" s="9" t="n"/>
      <c r="J123" s="11">
        <f>IF(B123="","",IF(B123&gt;I123,"BUY-DAY","SELL-DAY"))</f>
        <v/>
      </c>
      <c r="K123" s="12">
        <f>IF(B123="","",MAX(C123-D123,ABS(C123-I123),ABS(D123-I123)))</f>
        <v/>
      </c>
      <c r="L123" s="11">
        <f>IF(B123="","",IF(AND(F123&gt;0,F123&gt;(F123/3)*2.5),"VOL-OK","VOL-NG"))</f>
        <v/>
      </c>
      <c r="M123" s="11">
        <f>IF(B123="","",IF(B123&gt;G123,"ON","OFF"))</f>
        <v/>
      </c>
      <c r="N123" s="11">
        <f>IF(B123="","",IF(B123&lt;H123,"ON","OFF"))</f>
        <v/>
      </c>
      <c r="O123" s="11">
        <f>IF(OR(B123="",K123&lt;=0),"",IF(AND(J123="BUY-DAY",L123="VOL-OK",N123="ON",X123="OK",Y123&lt;&gt;"DOWN"),"BUY",IF(AND(J123="SELL-DAY",L123="VOL-OK",M123="ON",X123="OK",Y123&lt;&gt;"UP"),"SELL","")))</f>
        <v/>
      </c>
      <c r="P123" s="12">
        <f>IF(O123="","",B123)</f>
        <v/>
      </c>
      <c r="Q123" s="12">
        <f>IF(O123="","",IF(O123="BUY",B123-K123*1.5,B123+K123*1.5))</f>
        <v/>
      </c>
      <c r="R123" s="12">
        <f>IF(O123="","",IF(O123="BUY",B123+K123*1.5,B123-K123*1.5))</f>
        <v/>
      </c>
      <c r="S123" s="12">
        <f>IF(O123="","",IF(O123="BUY",B123+K123*2,B123-K123*2))</f>
        <v/>
      </c>
      <c r="T123" s="12">
        <f>IF(O123="","",IF(O123="BUY",B123+K123*3,B123-K123*3))</f>
        <v/>
      </c>
      <c r="U123" s="11">
        <f>IF(OR(B123="",K123&lt;=0),"",IF(AND(B123&gt;E123,ABS(B123-E123)&lt;K123*0.5),"2ND","1ST"))</f>
        <v/>
      </c>
      <c r="V123" s="11">
        <f>IF(OR(B123="",K123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3" s="11">
        <f>IF(OR(B123="",K123&lt;=0),"",IF(K123&gt;B123*0.05,"VOL-HIGH","VOL-NORMAL"))</f>
        <v/>
      </c>
      <c r="X123" s="11">
        <f>IF(OR(B123="",K123&lt;=0),"",IF(AND(L123="VOL-OK",W123="VOL-NORMAL",U123="2ND"),"OK","NG"))</f>
        <v/>
      </c>
      <c r="Y123" s="11">
        <f>IF(OR(B123="",K123&lt;=0),"",IF(AND(C123&gt;G123,D123&gt;H123),"UP",IF(AND(C123&lt;G123,D123&lt;H123),"DOWN","FLAT")))</f>
        <v/>
      </c>
    </row>
    <row r="124" ht="26" customHeight="1" s="1">
      <c r="A124" s="13">
        <f>IF('StockList_MS2'!A123="","",HYPERLINK("https://kabutan.jp/stock/?code="&amp;'StockList_MS2'!A123,'StockList_MS2'!A123))</f>
        <v/>
      </c>
      <c r="B124" s="14" t="n"/>
      <c r="C124" s="14" t="n"/>
      <c r="D124" s="14" t="n"/>
      <c r="E124" s="14" t="n"/>
      <c r="F124" s="15" t="n"/>
      <c r="G124" s="14" t="n"/>
      <c r="H124" s="14" t="n"/>
      <c r="I124" s="14" t="n"/>
      <c r="J124" s="16">
        <f>IF(B124="","",IF(B124&gt;I124,"BUY-DAY","SELL-DAY"))</f>
        <v/>
      </c>
      <c r="K124" s="17">
        <f>IF(B124="","",MAX(C124-D124,ABS(C124-I124),ABS(D124-I124)))</f>
        <v/>
      </c>
      <c r="L124" s="16">
        <f>IF(B124="","",IF(AND(F124&gt;0,F124&gt;(F124/3)*2.5),"VOL-OK","VOL-NG"))</f>
        <v/>
      </c>
      <c r="M124" s="16">
        <f>IF(B124="","",IF(B124&gt;G124,"ON","OFF"))</f>
        <v/>
      </c>
      <c r="N124" s="16">
        <f>IF(B124="","",IF(B124&lt;H124,"ON","OFF"))</f>
        <v/>
      </c>
      <c r="O124" s="16">
        <f>IF(OR(B124="",K124&lt;=0),"",IF(AND(J124="BUY-DAY",L124="VOL-OK",N124="ON",X124="OK",Y124&lt;&gt;"DOWN"),"BUY",IF(AND(J124="SELL-DAY",L124="VOL-OK",M124="ON",X124="OK",Y124&lt;&gt;"UP"),"SELL","")))</f>
        <v/>
      </c>
      <c r="P124" s="17">
        <f>IF(O124="","",B124)</f>
        <v/>
      </c>
      <c r="Q124" s="17">
        <f>IF(O124="","",IF(O124="BUY",B124-K124*1.5,B124+K124*1.5))</f>
        <v/>
      </c>
      <c r="R124" s="17">
        <f>IF(O124="","",IF(O124="BUY",B124+K124*1.5,B124-K124*1.5))</f>
        <v/>
      </c>
      <c r="S124" s="17">
        <f>IF(O124="","",IF(O124="BUY",B124+K124*2,B124-K124*2))</f>
        <v/>
      </c>
      <c r="T124" s="17">
        <f>IF(O124="","",IF(O124="BUY",B124+K124*3,B124-K124*3))</f>
        <v/>
      </c>
      <c r="U124" s="16">
        <f>IF(OR(B124="",K124&lt;=0),"",IF(AND(B124&gt;E124,ABS(B124-E124)&lt;K124*0.5),"2ND","1ST"))</f>
        <v/>
      </c>
      <c r="V124" s="16">
        <f>IF(OR(B124="",K124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4" s="16">
        <f>IF(OR(B124="",K124&lt;=0),"",IF(K124&gt;B124*0.05,"VOL-HIGH","VOL-NORMAL"))</f>
        <v/>
      </c>
      <c r="X124" s="16">
        <f>IF(OR(B124="",K124&lt;=0),"",IF(AND(L124="VOL-OK",W124="VOL-NORMAL",U124="2ND"),"OK","NG"))</f>
        <v/>
      </c>
      <c r="Y124" s="16">
        <f>IF(OR(B124="",K124&lt;=0),"",IF(AND(C124&gt;G124,D124&gt;H124),"UP",IF(AND(C124&lt;G124,D124&lt;H124),"DOWN","FLAT")))</f>
        <v/>
      </c>
    </row>
    <row r="125" ht="26" customHeight="1" s="1">
      <c r="A125" s="8">
        <f>IF('StockList_MS2'!A124="","",HYPERLINK("https://kabutan.jp/stock/?code="&amp;'StockList_MS2'!A124,'StockList_MS2'!A124))</f>
        <v/>
      </c>
      <c r="B125" s="9" t="n"/>
      <c r="C125" s="9" t="n"/>
      <c r="D125" s="9" t="n"/>
      <c r="E125" s="9" t="n"/>
      <c r="F125" s="10" t="n"/>
      <c r="G125" s="9" t="n"/>
      <c r="H125" s="9" t="n"/>
      <c r="I125" s="9" t="n"/>
      <c r="J125" s="11">
        <f>IF(B125="","",IF(B125&gt;I125,"BUY-DAY","SELL-DAY"))</f>
        <v/>
      </c>
      <c r="K125" s="12">
        <f>IF(B125="","",MAX(C125-D125,ABS(C125-I125),ABS(D125-I125)))</f>
        <v/>
      </c>
      <c r="L125" s="11">
        <f>IF(B125="","",IF(AND(F125&gt;0,F125&gt;(F125/3)*2.5),"VOL-OK","VOL-NG"))</f>
        <v/>
      </c>
      <c r="M125" s="11">
        <f>IF(B125="","",IF(B125&gt;G125,"ON","OFF"))</f>
        <v/>
      </c>
      <c r="N125" s="11">
        <f>IF(B125="","",IF(B125&lt;H125,"ON","OFF"))</f>
        <v/>
      </c>
      <c r="O125" s="11">
        <f>IF(OR(B125="",K125&lt;=0),"",IF(AND(J125="BUY-DAY",L125="VOL-OK",N125="ON",X125="OK",Y125&lt;&gt;"DOWN"),"BUY",IF(AND(J125="SELL-DAY",L125="VOL-OK",M125="ON",X125="OK",Y125&lt;&gt;"UP"),"SELL","")))</f>
        <v/>
      </c>
      <c r="P125" s="12">
        <f>IF(O125="","",B125)</f>
        <v/>
      </c>
      <c r="Q125" s="12">
        <f>IF(O125="","",IF(O125="BUY",B125-K125*1.5,B125+K125*1.5))</f>
        <v/>
      </c>
      <c r="R125" s="12">
        <f>IF(O125="","",IF(O125="BUY",B125+K125*1.5,B125-K125*1.5))</f>
        <v/>
      </c>
      <c r="S125" s="12">
        <f>IF(O125="","",IF(O125="BUY",B125+K125*2,B125-K125*2))</f>
        <v/>
      </c>
      <c r="T125" s="12">
        <f>IF(O125="","",IF(O125="BUY",B125+K125*3,B125-K125*3))</f>
        <v/>
      </c>
      <c r="U125" s="11">
        <f>IF(OR(B125="",K125&lt;=0),"",IF(AND(B125&gt;E125,ABS(B125-E125)&lt;K125*0.5),"2ND","1ST"))</f>
        <v/>
      </c>
      <c r="V125" s="11">
        <f>IF(OR(B125="",K125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5" s="11">
        <f>IF(OR(B125="",K125&lt;=0),"",IF(K125&gt;B125*0.05,"VOL-HIGH","VOL-NORMAL"))</f>
        <v/>
      </c>
      <c r="X125" s="11">
        <f>IF(OR(B125="",K125&lt;=0),"",IF(AND(L125="VOL-OK",W125="VOL-NORMAL",U125="2ND"),"OK","NG"))</f>
        <v/>
      </c>
      <c r="Y125" s="11">
        <f>IF(OR(B125="",K125&lt;=0),"",IF(AND(C125&gt;G125,D125&gt;H125),"UP",IF(AND(C125&lt;G125,D125&lt;H125),"DOWN","FLAT")))</f>
        <v/>
      </c>
    </row>
    <row r="126" ht="26" customHeight="1" s="1">
      <c r="A126" s="13">
        <f>IF('StockList_MS2'!A125="","",HYPERLINK("https://kabutan.jp/stock/?code="&amp;'StockList_MS2'!A125,'StockList_MS2'!A125))</f>
        <v/>
      </c>
      <c r="B126" s="14" t="n"/>
      <c r="C126" s="14" t="n"/>
      <c r="D126" s="14" t="n"/>
      <c r="E126" s="14" t="n"/>
      <c r="F126" s="15" t="n"/>
      <c r="G126" s="14" t="n"/>
      <c r="H126" s="14" t="n"/>
      <c r="I126" s="14" t="n"/>
      <c r="J126" s="16">
        <f>IF(B126="","",IF(B126&gt;I126,"BUY-DAY","SELL-DAY"))</f>
        <v/>
      </c>
      <c r="K126" s="17">
        <f>IF(B126="","",MAX(C126-D126,ABS(C126-I126),ABS(D126-I126)))</f>
        <v/>
      </c>
      <c r="L126" s="16">
        <f>IF(B126="","",IF(AND(F126&gt;0,F126&gt;(F126/3)*2.5),"VOL-OK","VOL-NG"))</f>
        <v/>
      </c>
      <c r="M126" s="16">
        <f>IF(B126="","",IF(B126&gt;G126,"ON","OFF"))</f>
        <v/>
      </c>
      <c r="N126" s="16">
        <f>IF(B126="","",IF(B126&lt;H126,"ON","OFF"))</f>
        <v/>
      </c>
      <c r="O126" s="16">
        <f>IF(OR(B126="",K126&lt;=0),"",IF(AND(J126="BUY-DAY",L126="VOL-OK",N126="ON",X126="OK",Y126&lt;&gt;"DOWN"),"BUY",IF(AND(J126="SELL-DAY",L126="VOL-OK",M126="ON",X126="OK",Y126&lt;&gt;"UP"),"SELL","")))</f>
        <v/>
      </c>
      <c r="P126" s="17">
        <f>IF(O126="","",B126)</f>
        <v/>
      </c>
      <c r="Q126" s="17">
        <f>IF(O126="","",IF(O126="BUY",B126-K126*1.5,B126+K126*1.5))</f>
        <v/>
      </c>
      <c r="R126" s="17">
        <f>IF(O126="","",IF(O126="BUY",B126+K126*1.5,B126-K126*1.5))</f>
        <v/>
      </c>
      <c r="S126" s="17">
        <f>IF(O126="","",IF(O126="BUY",B126+K126*2,B126-K126*2))</f>
        <v/>
      </c>
      <c r="T126" s="17">
        <f>IF(O126="","",IF(O126="BUY",B126+K126*3,B126-K126*3))</f>
        <v/>
      </c>
      <c r="U126" s="16">
        <f>IF(OR(B126="",K126&lt;=0),"",IF(AND(B126&gt;E126,ABS(B126-E126)&lt;K126*0.5),"2ND","1ST"))</f>
        <v/>
      </c>
      <c r="V126" s="16">
        <f>IF(OR(B126="",K126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6" s="16">
        <f>IF(OR(B126="",K126&lt;=0),"",IF(K126&gt;B126*0.05,"VOL-HIGH","VOL-NORMAL"))</f>
        <v/>
      </c>
      <c r="X126" s="16">
        <f>IF(OR(B126="",K126&lt;=0),"",IF(AND(L126="VOL-OK",W126="VOL-NORMAL",U126="2ND"),"OK","NG"))</f>
        <v/>
      </c>
      <c r="Y126" s="16">
        <f>IF(OR(B126="",K126&lt;=0),"",IF(AND(C126&gt;G126,D126&gt;H126),"UP",IF(AND(C126&lt;G126,D126&lt;H126),"DOWN","FLAT")))</f>
        <v/>
      </c>
    </row>
    <row r="127" ht="26" customHeight="1" s="1">
      <c r="A127" s="8">
        <f>IF('StockList_MS2'!A126="","",HYPERLINK("https://kabutan.jp/stock/?code="&amp;'StockList_MS2'!A126,'StockList_MS2'!A126))</f>
        <v/>
      </c>
      <c r="B127" s="9" t="n"/>
      <c r="C127" s="9" t="n"/>
      <c r="D127" s="9" t="n"/>
      <c r="E127" s="9" t="n"/>
      <c r="F127" s="10" t="n"/>
      <c r="G127" s="9" t="n"/>
      <c r="H127" s="9" t="n"/>
      <c r="I127" s="9" t="n"/>
      <c r="J127" s="11">
        <f>IF(B127="","",IF(B127&gt;I127,"BUY-DAY","SELL-DAY"))</f>
        <v/>
      </c>
      <c r="K127" s="12">
        <f>IF(B127="","",MAX(C127-D127,ABS(C127-I127),ABS(D127-I127)))</f>
        <v/>
      </c>
      <c r="L127" s="11">
        <f>IF(B127="","",IF(AND(F127&gt;0,F127&gt;(F127/3)*2.5),"VOL-OK","VOL-NG"))</f>
        <v/>
      </c>
      <c r="M127" s="11">
        <f>IF(B127="","",IF(B127&gt;G127,"ON","OFF"))</f>
        <v/>
      </c>
      <c r="N127" s="11">
        <f>IF(B127="","",IF(B127&lt;H127,"ON","OFF"))</f>
        <v/>
      </c>
      <c r="O127" s="11">
        <f>IF(OR(B127="",K127&lt;=0),"",IF(AND(J127="BUY-DAY",L127="VOL-OK",N127="ON",X127="OK",Y127&lt;&gt;"DOWN"),"BUY",IF(AND(J127="SELL-DAY",L127="VOL-OK",M127="ON",X127="OK",Y127&lt;&gt;"UP"),"SELL","")))</f>
        <v/>
      </c>
      <c r="P127" s="12">
        <f>IF(O127="","",B127)</f>
        <v/>
      </c>
      <c r="Q127" s="12">
        <f>IF(O127="","",IF(O127="BUY",B127-K127*1.5,B127+K127*1.5))</f>
        <v/>
      </c>
      <c r="R127" s="12">
        <f>IF(O127="","",IF(O127="BUY",B127+K127*1.5,B127-K127*1.5))</f>
        <v/>
      </c>
      <c r="S127" s="12">
        <f>IF(O127="","",IF(O127="BUY",B127+K127*2,B127-K127*2))</f>
        <v/>
      </c>
      <c r="T127" s="12">
        <f>IF(O127="","",IF(O127="BUY",B127+K127*3,B127-K127*3))</f>
        <v/>
      </c>
      <c r="U127" s="11">
        <f>IF(OR(B127="",K127&lt;=0),"",IF(AND(B127&gt;E127,ABS(B127-E127)&lt;K127*0.5),"2ND","1ST"))</f>
        <v/>
      </c>
      <c r="V127" s="11">
        <f>IF(OR(B127="",K127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7" s="11">
        <f>IF(OR(B127="",K127&lt;=0),"",IF(K127&gt;B127*0.05,"VOL-HIGH","VOL-NORMAL"))</f>
        <v/>
      </c>
      <c r="X127" s="11">
        <f>IF(OR(B127="",K127&lt;=0),"",IF(AND(L127="VOL-OK",W127="VOL-NORMAL",U127="2ND"),"OK","NG"))</f>
        <v/>
      </c>
      <c r="Y127" s="11">
        <f>IF(OR(B127="",K127&lt;=0),"",IF(AND(C127&gt;G127,D127&gt;H127),"UP",IF(AND(C127&lt;G127,D127&lt;H127),"DOWN","FLAT")))</f>
        <v/>
      </c>
    </row>
    <row r="128" ht="26" customHeight="1" s="1">
      <c r="A128" s="13">
        <f>IF('StockList_MS2'!A127="","",HYPERLINK("https://kabutan.jp/stock/?code="&amp;'StockList_MS2'!A127,'StockList_MS2'!A127))</f>
        <v/>
      </c>
      <c r="B128" s="14" t="n"/>
      <c r="C128" s="14" t="n"/>
      <c r="D128" s="14" t="n"/>
      <c r="E128" s="14" t="n"/>
      <c r="F128" s="15" t="n"/>
      <c r="G128" s="14" t="n"/>
      <c r="H128" s="14" t="n"/>
      <c r="I128" s="14" t="n"/>
      <c r="J128" s="16">
        <f>IF(B128="","",IF(B128&gt;I128,"BUY-DAY","SELL-DAY"))</f>
        <v/>
      </c>
      <c r="K128" s="17">
        <f>IF(B128="","",MAX(C128-D128,ABS(C128-I128),ABS(D128-I128)))</f>
        <v/>
      </c>
      <c r="L128" s="16">
        <f>IF(B128="","",IF(AND(F128&gt;0,F128&gt;(F128/3)*2.5),"VOL-OK","VOL-NG"))</f>
        <v/>
      </c>
      <c r="M128" s="16">
        <f>IF(B128="","",IF(B128&gt;G128,"ON","OFF"))</f>
        <v/>
      </c>
      <c r="N128" s="16">
        <f>IF(B128="","",IF(B128&lt;H128,"ON","OFF"))</f>
        <v/>
      </c>
      <c r="O128" s="16">
        <f>IF(OR(B128="",K128&lt;=0),"",IF(AND(J128="BUY-DAY",L128="VOL-OK",N128="ON",X128="OK",Y128&lt;&gt;"DOWN"),"BUY",IF(AND(J128="SELL-DAY",L128="VOL-OK",M128="ON",X128="OK",Y128&lt;&gt;"UP"),"SELL","")))</f>
        <v/>
      </c>
      <c r="P128" s="17">
        <f>IF(O128="","",B128)</f>
        <v/>
      </c>
      <c r="Q128" s="17">
        <f>IF(O128="","",IF(O128="BUY",B128-K128*1.5,B128+K128*1.5))</f>
        <v/>
      </c>
      <c r="R128" s="17">
        <f>IF(O128="","",IF(O128="BUY",B128+K128*1.5,B128-K128*1.5))</f>
        <v/>
      </c>
      <c r="S128" s="17">
        <f>IF(O128="","",IF(O128="BUY",B128+K128*2,B128-K128*2))</f>
        <v/>
      </c>
      <c r="T128" s="17">
        <f>IF(O128="","",IF(O128="BUY",B128+K128*3,B128-K128*3))</f>
        <v/>
      </c>
      <c r="U128" s="16">
        <f>IF(OR(B128="",K128&lt;=0),"",IF(AND(B128&gt;E128,ABS(B128-E128)&lt;K128*0.5),"2ND","1ST"))</f>
        <v/>
      </c>
      <c r="V128" s="16">
        <f>IF(OR(B128="",K128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8" s="16">
        <f>IF(OR(B128="",K128&lt;=0),"",IF(K128&gt;B128*0.05,"VOL-HIGH","VOL-NORMAL"))</f>
        <v/>
      </c>
      <c r="X128" s="16">
        <f>IF(OR(B128="",K128&lt;=0),"",IF(AND(L128="VOL-OK",W128="VOL-NORMAL",U128="2ND"),"OK","NG"))</f>
        <v/>
      </c>
      <c r="Y128" s="16">
        <f>IF(OR(B128="",K128&lt;=0),"",IF(AND(C128&gt;G128,D128&gt;H128),"UP",IF(AND(C128&lt;G128,D128&lt;H128),"DOWN","FLAT")))</f>
        <v/>
      </c>
    </row>
    <row r="129" ht="26" customHeight="1" s="1">
      <c r="A129" s="8">
        <f>IF('StockList_MS2'!A128="","",HYPERLINK("https://kabutan.jp/stock/?code="&amp;'StockList_MS2'!A128,'StockList_MS2'!A128))</f>
        <v/>
      </c>
      <c r="B129" s="9" t="n"/>
      <c r="C129" s="9" t="n"/>
      <c r="D129" s="9" t="n"/>
      <c r="E129" s="9" t="n"/>
      <c r="F129" s="10" t="n"/>
      <c r="G129" s="9" t="n"/>
      <c r="H129" s="9" t="n"/>
      <c r="I129" s="9" t="n"/>
      <c r="J129" s="11">
        <f>IF(B129="","",IF(B129&gt;I129,"BUY-DAY","SELL-DAY"))</f>
        <v/>
      </c>
      <c r="K129" s="12">
        <f>IF(B129="","",MAX(C129-D129,ABS(C129-I129),ABS(D129-I129)))</f>
        <v/>
      </c>
      <c r="L129" s="11">
        <f>IF(B129="","",IF(AND(F129&gt;0,F129&gt;(F129/3)*2.5),"VOL-OK","VOL-NG"))</f>
        <v/>
      </c>
      <c r="M129" s="11">
        <f>IF(B129="","",IF(B129&gt;G129,"ON","OFF"))</f>
        <v/>
      </c>
      <c r="N129" s="11">
        <f>IF(B129="","",IF(B129&lt;H129,"ON","OFF"))</f>
        <v/>
      </c>
      <c r="O129" s="11">
        <f>IF(OR(B129="",K129&lt;=0),"",IF(AND(J129="BUY-DAY",L129="VOL-OK",N129="ON",X129="OK",Y129&lt;&gt;"DOWN"),"BUY",IF(AND(J129="SELL-DAY",L129="VOL-OK",M129="ON",X129="OK",Y129&lt;&gt;"UP"),"SELL","")))</f>
        <v/>
      </c>
      <c r="P129" s="12">
        <f>IF(O129="","",B129)</f>
        <v/>
      </c>
      <c r="Q129" s="12">
        <f>IF(O129="","",IF(O129="BUY",B129-K129*1.5,B129+K129*1.5))</f>
        <v/>
      </c>
      <c r="R129" s="12">
        <f>IF(O129="","",IF(O129="BUY",B129+K129*1.5,B129-K129*1.5))</f>
        <v/>
      </c>
      <c r="S129" s="12">
        <f>IF(O129="","",IF(O129="BUY",B129+K129*2,B129-K129*2))</f>
        <v/>
      </c>
      <c r="T129" s="12">
        <f>IF(O129="","",IF(O129="BUY",B129+K129*3,B129-K129*3))</f>
        <v/>
      </c>
      <c r="U129" s="11">
        <f>IF(OR(B129="",K129&lt;=0),"",IF(AND(B129&gt;E129,ABS(B129-E129)&lt;K129*0.5),"2ND","1ST"))</f>
        <v/>
      </c>
      <c r="V129" s="11">
        <f>IF(OR(B129="",K129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9" s="11">
        <f>IF(OR(B129="",K129&lt;=0),"",IF(K129&gt;B129*0.05,"VOL-HIGH","VOL-NORMAL"))</f>
        <v/>
      </c>
      <c r="X129" s="11">
        <f>IF(OR(B129="",K129&lt;=0),"",IF(AND(L129="VOL-OK",W129="VOL-NORMAL",U129="2ND"),"OK","NG"))</f>
        <v/>
      </c>
      <c r="Y129" s="11">
        <f>IF(OR(B129="",K129&lt;=0),"",IF(AND(C129&gt;G129,D129&gt;H129),"UP",IF(AND(C129&lt;G129,D129&lt;H129),"DOWN","FLAT")))</f>
        <v/>
      </c>
    </row>
    <row r="130" ht="26" customHeight="1" s="1">
      <c r="A130" s="13">
        <f>IF('StockList_MS2'!A129="","",HYPERLINK("https://kabutan.jp/stock/?code="&amp;'StockList_MS2'!A129,'StockList_MS2'!A129))</f>
        <v/>
      </c>
      <c r="B130" s="14" t="n"/>
      <c r="C130" s="14" t="n"/>
      <c r="D130" s="14" t="n"/>
      <c r="E130" s="14" t="n"/>
      <c r="F130" s="15" t="n"/>
      <c r="G130" s="14" t="n"/>
      <c r="H130" s="14" t="n"/>
      <c r="I130" s="14" t="n"/>
      <c r="J130" s="16">
        <f>IF(B130="","",IF(B130&gt;I130,"BUY-DAY","SELL-DAY"))</f>
        <v/>
      </c>
      <c r="K130" s="17">
        <f>IF(B130="","",MAX(C130-D130,ABS(C130-I130),ABS(D130-I130)))</f>
        <v/>
      </c>
      <c r="L130" s="16">
        <f>IF(B130="","",IF(AND(F130&gt;0,F130&gt;(F130/3)*2.5),"VOL-OK","VOL-NG"))</f>
        <v/>
      </c>
      <c r="M130" s="16">
        <f>IF(B130="","",IF(B130&gt;G130,"ON","OFF"))</f>
        <v/>
      </c>
      <c r="N130" s="16">
        <f>IF(B130="","",IF(B130&lt;H130,"ON","OFF"))</f>
        <v/>
      </c>
      <c r="O130" s="16">
        <f>IF(OR(B130="",K130&lt;=0),"",IF(AND(J130="BUY-DAY",L130="VOL-OK",N130="ON",X130="OK",Y130&lt;&gt;"DOWN"),"BUY",IF(AND(J130="SELL-DAY",L130="VOL-OK",M130="ON",X130="OK",Y130&lt;&gt;"UP"),"SELL","")))</f>
        <v/>
      </c>
      <c r="P130" s="17">
        <f>IF(O130="","",B130)</f>
        <v/>
      </c>
      <c r="Q130" s="17">
        <f>IF(O130="","",IF(O130="BUY",B130-K130*1.5,B130+K130*1.5))</f>
        <v/>
      </c>
      <c r="R130" s="17">
        <f>IF(O130="","",IF(O130="BUY",B130+K130*1.5,B130-K130*1.5))</f>
        <v/>
      </c>
      <c r="S130" s="17">
        <f>IF(O130="","",IF(O130="BUY",B130+K130*2,B130-K130*2))</f>
        <v/>
      </c>
      <c r="T130" s="17">
        <f>IF(O130="","",IF(O130="BUY",B130+K130*3,B130-K130*3))</f>
        <v/>
      </c>
      <c r="U130" s="16">
        <f>IF(OR(B130="",K130&lt;=0),"",IF(AND(B130&gt;E130,ABS(B130-E130)&lt;K130*0.5),"2ND","1ST"))</f>
        <v/>
      </c>
      <c r="V130" s="16">
        <f>IF(OR(B130="",K130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0" s="16">
        <f>IF(OR(B130="",K130&lt;=0),"",IF(K130&gt;B130*0.05,"VOL-HIGH","VOL-NORMAL"))</f>
        <v/>
      </c>
      <c r="X130" s="16">
        <f>IF(OR(B130="",K130&lt;=0),"",IF(AND(L130="VOL-OK",W130="VOL-NORMAL",U130="2ND"),"OK","NG"))</f>
        <v/>
      </c>
      <c r="Y130" s="16">
        <f>IF(OR(B130="",K130&lt;=0),"",IF(AND(C130&gt;G130,D130&gt;H130),"UP",IF(AND(C130&lt;G130,D130&lt;H130),"DOWN","FLAT")))</f>
        <v/>
      </c>
    </row>
    <row r="131" ht="26" customHeight="1" s="1">
      <c r="A131" s="8">
        <f>IF('StockList_MS2'!A130="","",HYPERLINK("https://kabutan.jp/stock/?code="&amp;'StockList_MS2'!A130,'StockList_MS2'!A130))</f>
        <v/>
      </c>
      <c r="B131" s="9" t="n"/>
      <c r="C131" s="9" t="n"/>
      <c r="D131" s="9" t="n"/>
      <c r="E131" s="9" t="n"/>
      <c r="F131" s="10" t="n"/>
      <c r="G131" s="9" t="n"/>
      <c r="H131" s="9" t="n"/>
      <c r="I131" s="9" t="n"/>
      <c r="J131" s="11">
        <f>IF(B131="","",IF(B131&gt;I131,"BUY-DAY","SELL-DAY"))</f>
        <v/>
      </c>
      <c r="K131" s="12">
        <f>IF(B131="","",MAX(C131-D131,ABS(C131-I131),ABS(D131-I131)))</f>
        <v/>
      </c>
      <c r="L131" s="11">
        <f>IF(B131="","",IF(AND(F131&gt;0,F131&gt;(F131/3)*2.5),"VOL-OK","VOL-NG"))</f>
        <v/>
      </c>
      <c r="M131" s="11">
        <f>IF(B131="","",IF(B131&gt;G131,"ON","OFF"))</f>
        <v/>
      </c>
      <c r="N131" s="11">
        <f>IF(B131="","",IF(B131&lt;H131,"ON","OFF"))</f>
        <v/>
      </c>
      <c r="O131" s="11">
        <f>IF(OR(B131="",K131&lt;=0),"",IF(AND(J131="BUY-DAY",L131="VOL-OK",N131="ON",X131="OK",Y131&lt;&gt;"DOWN"),"BUY",IF(AND(J131="SELL-DAY",L131="VOL-OK",M131="ON",X131="OK",Y131&lt;&gt;"UP"),"SELL","")))</f>
        <v/>
      </c>
      <c r="P131" s="12">
        <f>IF(O131="","",B131)</f>
        <v/>
      </c>
      <c r="Q131" s="12">
        <f>IF(O131="","",IF(O131="BUY",B131-K131*1.5,B131+K131*1.5))</f>
        <v/>
      </c>
      <c r="R131" s="12">
        <f>IF(O131="","",IF(O131="BUY",B131+K131*1.5,B131-K131*1.5))</f>
        <v/>
      </c>
      <c r="S131" s="12">
        <f>IF(O131="","",IF(O131="BUY",B131+K131*2,B131-K131*2))</f>
        <v/>
      </c>
      <c r="T131" s="12">
        <f>IF(O131="","",IF(O131="BUY",B131+K131*3,B131-K131*3))</f>
        <v/>
      </c>
      <c r="U131" s="11">
        <f>IF(OR(B131="",K131&lt;=0),"",IF(AND(B131&gt;E131,ABS(B131-E131)&lt;K131*0.5),"2ND","1ST"))</f>
        <v/>
      </c>
      <c r="V131" s="11">
        <f>IF(OR(B131="",K131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1" s="11">
        <f>IF(OR(B131="",K131&lt;=0),"",IF(K131&gt;B131*0.05,"VOL-HIGH","VOL-NORMAL"))</f>
        <v/>
      </c>
      <c r="X131" s="11">
        <f>IF(OR(B131="",K131&lt;=0),"",IF(AND(L131="VOL-OK",W131="VOL-NORMAL",U131="2ND"),"OK","NG"))</f>
        <v/>
      </c>
      <c r="Y131" s="11">
        <f>IF(OR(B131="",K131&lt;=0),"",IF(AND(C131&gt;G131,D131&gt;H131),"UP",IF(AND(C131&lt;G131,D131&lt;H131),"DOWN","FLAT")))</f>
        <v/>
      </c>
    </row>
    <row r="132" ht="26" customHeight="1" s="1">
      <c r="A132" s="13">
        <f>IF('StockList_MS2'!A131="","",HYPERLINK("https://kabutan.jp/stock/?code="&amp;'StockList_MS2'!A131,'StockList_MS2'!A131))</f>
        <v/>
      </c>
      <c r="B132" s="14" t="n"/>
      <c r="C132" s="14" t="n"/>
      <c r="D132" s="14" t="n"/>
      <c r="E132" s="14" t="n"/>
      <c r="F132" s="15" t="n"/>
      <c r="G132" s="14" t="n"/>
      <c r="H132" s="14" t="n"/>
      <c r="I132" s="14" t="n"/>
      <c r="J132" s="16">
        <f>IF(B132="","",IF(B132&gt;I132,"BUY-DAY","SELL-DAY"))</f>
        <v/>
      </c>
      <c r="K132" s="17">
        <f>IF(B132="","",MAX(C132-D132,ABS(C132-I132),ABS(D132-I132)))</f>
        <v/>
      </c>
      <c r="L132" s="16">
        <f>IF(B132="","",IF(AND(F132&gt;0,F132&gt;(F132/3)*2.5),"VOL-OK","VOL-NG"))</f>
        <v/>
      </c>
      <c r="M132" s="16">
        <f>IF(B132="","",IF(B132&gt;G132,"ON","OFF"))</f>
        <v/>
      </c>
      <c r="N132" s="16">
        <f>IF(B132="","",IF(B132&lt;H132,"ON","OFF"))</f>
        <v/>
      </c>
      <c r="O132" s="16">
        <f>IF(OR(B132="",K132&lt;=0),"",IF(AND(J132="BUY-DAY",L132="VOL-OK",N132="ON",X132="OK",Y132&lt;&gt;"DOWN"),"BUY",IF(AND(J132="SELL-DAY",L132="VOL-OK",M132="ON",X132="OK",Y132&lt;&gt;"UP"),"SELL","")))</f>
        <v/>
      </c>
      <c r="P132" s="17">
        <f>IF(O132="","",B132)</f>
        <v/>
      </c>
      <c r="Q132" s="17">
        <f>IF(O132="","",IF(O132="BUY",B132-K132*1.5,B132+K132*1.5))</f>
        <v/>
      </c>
      <c r="R132" s="17">
        <f>IF(O132="","",IF(O132="BUY",B132+K132*1.5,B132-K132*1.5))</f>
        <v/>
      </c>
      <c r="S132" s="17">
        <f>IF(O132="","",IF(O132="BUY",B132+K132*2,B132-K132*2))</f>
        <v/>
      </c>
      <c r="T132" s="17">
        <f>IF(O132="","",IF(O132="BUY",B132+K132*3,B132-K132*3))</f>
        <v/>
      </c>
      <c r="U132" s="16">
        <f>IF(OR(B132="",K132&lt;=0),"",IF(AND(B132&gt;E132,ABS(B132-E132)&lt;K132*0.5),"2ND","1ST"))</f>
        <v/>
      </c>
      <c r="V132" s="16">
        <f>IF(OR(B132="",K132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2" s="16">
        <f>IF(OR(B132="",K132&lt;=0),"",IF(K132&gt;B132*0.05,"VOL-HIGH","VOL-NORMAL"))</f>
        <v/>
      </c>
      <c r="X132" s="16">
        <f>IF(OR(B132="",K132&lt;=0),"",IF(AND(L132="VOL-OK",W132="VOL-NORMAL",U132="2ND"),"OK","NG"))</f>
        <v/>
      </c>
      <c r="Y132" s="16">
        <f>IF(OR(B132="",K132&lt;=0),"",IF(AND(C132&gt;G132,D132&gt;H132),"UP",IF(AND(C132&lt;G132,D132&lt;H132),"DOWN","FLAT")))</f>
        <v/>
      </c>
    </row>
    <row r="133" ht="26" customHeight="1" s="1">
      <c r="A133" s="8">
        <f>IF('StockList_MS2'!A132="","",HYPERLINK("https://kabutan.jp/stock/?code="&amp;'StockList_MS2'!A132,'StockList_MS2'!A132))</f>
        <v/>
      </c>
      <c r="B133" s="9" t="n"/>
      <c r="C133" s="9" t="n"/>
      <c r="D133" s="9" t="n"/>
      <c r="E133" s="9" t="n"/>
      <c r="F133" s="10" t="n"/>
      <c r="G133" s="9" t="n"/>
      <c r="H133" s="9" t="n"/>
      <c r="I133" s="9" t="n"/>
      <c r="J133" s="11">
        <f>IF(B133="","",IF(B133&gt;I133,"BUY-DAY","SELL-DAY"))</f>
        <v/>
      </c>
      <c r="K133" s="12">
        <f>IF(B133="","",MAX(C133-D133,ABS(C133-I133),ABS(D133-I133)))</f>
        <v/>
      </c>
      <c r="L133" s="11">
        <f>IF(B133="","",IF(AND(F133&gt;0,F133&gt;(F133/3)*2.5),"VOL-OK","VOL-NG"))</f>
        <v/>
      </c>
      <c r="M133" s="11">
        <f>IF(B133="","",IF(B133&gt;G133,"ON","OFF"))</f>
        <v/>
      </c>
      <c r="N133" s="11">
        <f>IF(B133="","",IF(B133&lt;H133,"ON","OFF"))</f>
        <v/>
      </c>
      <c r="O133" s="11">
        <f>IF(OR(B133="",K133&lt;=0),"",IF(AND(J133="BUY-DAY",L133="VOL-OK",N133="ON",X133="OK",Y133&lt;&gt;"DOWN"),"BUY",IF(AND(J133="SELL-DAY",L133="VOL-OK",M133="ON",X133="OK",Y133&lt;&gt;"UP"),"SELL","")))</f>
        <v/>
      </c>
      <c r="P133" s="12">
        <f>IF(O133="","",B133)</f>
        <v/>
      </c>
      <c r="Q133" s="12">
        <f>IF(O133="","",IF(O133="BUY",B133-K133*1.5,B133+K133*1.5))</f>
        <v/>
      </c>
      <c r="R133" s="12">
        <f>IF(O133="","",IF(O133="BUY",B133+K133*1.5,B133-K133*1.5))</f>
        <v/>
      </c>
      <c r="S133" s="12">
        <f>IF(O133="","",IF(O133="BUY",B133+K133*2,B133-K133*2))</f>
        <v/>
      </c>
      <c r="T133" s="12">
        <f>IF(O133="","",IF(O133="BUY",B133+K133*3,B133-K133*3))</f>
        <v/>
      </c>
      <c r="U133" s="11">
        <f>IF(OR(B133="",K133&lt;=0),"",IF(AND(B133&gt;E133,ABS(B133-E133)&lt;K133*0.5),"2ND","1ST"))</f>
        <v/>
      </c>
      <c r="V133" s="11">
        <f>IF(OR(B133="",K133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3" s="11">
        <f>IF(OR(B133="",K133&lt;=0),"",IF(K133&gt;B133*0.05,"VOL-HIGH","VOL-NORMAL"))</f>
        <v/>
      </c>
      <c r="X133" s="11">
        <f>IF(OR(B133="",K133&lt;=0),"",IF(AND(L133="VOL-OK",W133="VOL-NORMAL",U133="2ND"),"OK","NG"))</f>
        <v/>
      </c>
      <c r="Y133" s="11">
        <f>IF(OR(B133="",K133&lt;=0),"",IF(AND(C133&gt;G133,D133&gt;H133),"UP",IF(AND(C133&lt;G133,D133&lt;H133),"DOWN","FLAT")))</f>
        <v/>
      </c>
    </row>
    <row r="134" ht="26" customHeight="1" s="1">
      <c r="A134" s="13">
        <f>IF('StockList_MS2'!A133="","",HYPERLINK("https://kabutan.jp/stock/?code="&amp;'StockList_MS2'!A133,'StockList_MS2'!A133))</f>
        <v/>
      </c>
      <c r="B134" s="14" t="n"/>
      <c r="C134" s="14" t="n"/>
      <c r="D134" s="14" t="n"/>
      <c r="E134" s="14" t="n"/>
      <c r="F134" s="15" t="n"/>
      <c r="G134" s="14" t="n"/>
      <c r="H134" s="14" t="n"/>
      <c r="I134" s="14" t="n"/>
      <c r="J134" s="16">
        <f>IF(B134="","",IF(B134&gt;I134,"BUY-DAY","SELL-DAY"))</f>
        <v/>
      </c>
      <c r="K134" s="17">
        <f>IF(B134="","",MAX(C134-D134,ABS(C134-I134),ABS(D134-I134)))</f>
        <v/>
      </c>
      <c r="L134" s="16">
        <f>IF(B134="","",IF(AND(F134&gt;0,F134&gt;(F134/3)*2.5),"VOL-OK","VOL-NG"))</f>
        <v/>
      </c>
      <c r="M134" s="16">
        <f>IF(B134="","",IF(B134&gt;G134,"ON","OFF"))</f>
        <v/>
      </c>
      <c r="N134" s="16">
        <f>IF(B134="","",IF(B134&lt;H134,"ON","OFF"))</f>
        <v/>
      </c>
      <c r="O134" s="16">
        <f>IF(OR(B134="",K134&lt;=0),"",IF(AND(J134="BUY-DAY",L134="VOL-OK",N134="ON",X134="OK",Y134&lt;&gt;"DOWN"),"BUY",IF(AND(J134="SELL-DAY",L134="VOL-OK",M134="ON",X134="OK",Y134&lt;&gt;"UP"),"SELL","")))</f>
        <v/>
      </c>
      <c r="P134" s="17">
        <f>IF(O134="","",B134)</f>
        <v/>
      </c>
      <c r="Q134" s="17">
        <f>IF(O134="","",IF(O134="BUY",B134-K134*1.5,B134+K134*1.5))</f>
        <v/>
      </c>
      <c r="R134" s="17">
        <f>IF(O134="","",IF(O134="BUY",B134+K134*1.5,B134-K134*1.5))</f>
        <v/>
      </c>
      <c r="S134" s="17">
        <f>IF(O134="","",IF(O134="BUY",B134+K134*2,B134-K134*2))</f>
        <v/>
      </c>
      <c r="T134" s="17">
        <f>IF(O134="","",IF(O134="BUY",B134+K134*3,B134-K134*3))</f>
        <v/>
      </c>
      <c r="U134" s="16">
        <f>IF(OR(B134="",K134&lt;=0),"",IF(AND(B134&gt;E134,ABS(B134-E134)&lt;K134*0.5),"2ND","1ST"))</f>
        <v/>
      </c>
      <c r="V134" s="16">
        <f>IF(OR(B134="",K134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4" s="16">
        <f>IF(OR(B134="",K134&lt;=0),"",IF(K134&gt;B134*0.05,"VOL-HIGH","VOL-NORMAL"))</f>
        <v/>
      </c>
      <c r="X134" s="16">
        <f>IF(OR(B134="",K134&lt;=0),"",IF(AND(L134="VOL-OK",W134="VOL-NORMAL",U134="2ND"),"OK","NG"))</f>
        <v/>
      </c>
      <c r="Y134" s="16">
        <f>IF(OR(B134="",K134&lt;=0),"",IF(AND(C134&gt;G134,D134&gt;H134),"UP",IF(AND(C134&lt;G134,D134&lt;H134),"DOWN","FLAT")))</f>
        <v/>
      </c>
    </row>
    <row r="135" ht="26" customHeight="1" s="1">
      <c r="A135" s="8">
        <f>IF('StockList_MS2'!A134="","",HYPERLINK("https://kabutan.jp/stock/?code="&amp;'StockList_MS2'!A134,'StockList_MS2'!A134))</f>
        <v/>
      </c>
      <c r="B135" s="9" t="n"/>
      <c r="C135" s="9" t="n"/>
      <c r="D135" s="9" t="n"/>
      <c r="E135" s="9" t="n"/>
      <c r="F135" s="10" t="n"/>
      <c r="G135" s="9" t="n"/>
      <c r="H135" s="9" t="n"/>
      <c r="I135" s="9" t="n"/>
      <c r="J135" s="11">
        <f>IF(B135="","",IF(B135&gt;I135,"BUY-DAY","SELL-DAY"))</f>
        <v/>
      </c>
      <c r="K135" s="12">
        <f>IF(B135="","",MAX(C135-D135,ABS(C135-I135),ABS(D135-I135)))</f>
        <v/>
      </c>
      <c r="L135" s="11">
        <f>IF(B135="","",IF(AND(F135&gt;0,F135&gt;(F135/3)*2.5),"VOL-OK","VOL-NG"))</f>
        <v/>
      </c>
      <c r="M135" s="11">
        <f>IF(B135="","",IF(B135&gt;G135,"ON","OFF"))</f>
        <v/>
      </c>
      <c r="N135" s="11">
        <f>IF(B135="","",IF(B135&lt;H135,"ON","OFF"))</f>
        <v/>
      </c>
      <c r="O135" s="11">
        <f>IF(OR(B135="",K135&lt;=0),"",IF(AND(J135="BUY-DAY",L135="VOL-OK",N135="ON",X135="OK",Y135&lt;&gt;"DOWN"),"BUY",IF(AND(J135="SELL-DAY",L135="VOL-OK",M135="ON",X135="OK",Y135&lt;&gt;"UP"),"SELL","")))</f>
        <v/>
      </c>
      <c r="P135" s="12">
        <f>IF(O135="","",B135)</f>
        <v/>
      </c>
      <c r="Q135" s="12">
        <f>IF(O135="","",IF(O135="BUY",B135-K135*1.5,B135+K135*1.5))</f>
        <v/>
      </c>
      <c r="R135" s="12">
        <f>IF(O135="","",IF(O135="BUY",B135+K135*1.5,B135-K135*1.5))</f>
        <v/>
      </c>
      <c r="S135" s="12">
        <f>IF(O135="","",IF(O135="BUY",B135+K135*2,B135-K135*2))</f>
        <v/>
      </c>
      <c r="T135" s="12">
        <f>IF(O135="","",IF(O135="BUY",B135+K135*3,B135-K135*3))</f>
        <v/>
      </c>
      <c r="U135" s="11">
        <f>IF(OR(B135="",K135&lt;=0),"",IF(AND(B135&gt;E135,ABS(B135-E135)&lt;K135*0.5),"2ND","1ST"))</f>
        <v/>
      </c>
      <c r="V135" s="11">
        <f>IF(OR(B135="",K135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5" s="11">
        <f>IF(OR(B135="",K135&lt;=0),"",IF(K135&gt;B135*0.05,"VOL-HIGH","VOL-NORMAL"))</f>
        <v/>
      </c>
      <c r="X135" s="11">
        <f>IF(OR(B135="",K135&lt;=0),"",IF(AND(L135="VOL-OK",W135="VOL-NORMAL",U135="2ND"),"OK","NG"))</f>
        <v/>
      </c>
      <c r="Y135" s="11">
        <f>IF(OR(B135="",K135&lt;=0),"",IF(AND(C135&gt;G135,D135&gt;H135),"UP",IF(AND(C135&lt;G135,D135&lt;H135),"DOWN","FLAT")))</f>
        <v/>
      </c>
    </row>
    <row r="136" ht="26" customHeight="1" s="1">
      <c r="A136" s="13">
        <f>IF('StockList_MS2'!A135="","",HYPERLINK("https://kabutan.jp/stock/?code="&amp;'StockList_MS2'!A135,'StockList_MS2'!A135))</f>
        <v/>
      </c>
      <c r="B136" s="14" t="n"/>
      <c r="C136" s="14" t="n"/>
      <c r="D136" s="14" t="n"/>
      <c r="E136" s="14" t="n"/>
      <c r="F136" s="15" t="n"/>
      <c r="G136" s="14" t="n"/>
      <c r="H136" s="14" t="n"/>
      <c r="I136" s="14" t="n"/>
      <c r="J136" s="16">
        <f>IF(B136="","",IF(B136&gt;I136,"BUY-DAY","SELL-DAY"))</f>
        <v/>
      </c>
      <c r="K136" s="17">
        <f>IF(B136="","",MAX(C136-D136,ABS(C136-I136),ABS(D136-I136)))</f>
        <v/>
      </c>
      <c r="L136" s="16">
        <f>IF(B136="","",IF(AND(F136&gt;0,F136&gt;(F136/3)*2.5),"VOL-OK","VOL-NG"))</f>
        <v/>
      </c>
      <c r="M136" s="16">
        <f>IF(B136="","",IF(B136&gt;G136,"ON","OFF"))</f>
        <v/>
      </c>
      <c r="N136" s="16">
        <f>IF(B136="","",IF(B136&lt;H136,"ON","OFF"))</f>
        <v/>
      </c>
      <c r="O136" s="16">
        <f>IF(OR(B136="",K136&lt;=0),"",IF(AND(J136="BUY-DAY",L136="VOL-OK",N136="ON",X136="OK",Y136&lt;&gt;"DOWN"),"BUY",IF(AND(J136="SELL-DAY",L136="VOL-OK",M136="ON",X136="OK",Y136&lt;&gt;"UP"),"SELL","")))</f>
        <v/>
      </c>
      <c r="P136" s="17">
        <f>IF(O136="","",B136)</f>
        <v/>
      </c>
      <c r="Q136" s="17">
        <f>IF(O136="","",IF(O136="BUY",B136-K136*1.5,B136+K136*1.5))</f>
        <v/>
      </c>
      <c r="R136" s="17">
        <f>IF(O136="","",IF(O136="BUY",B136+K136*1.5,B136-K136*1.5))</f>
        <v/>
      </c>
      <c r="S136" s="17">
        <f>IF(O136="","",IF(O136="BUY",B136+K136*2,B136-K136*2))</f>
        <v/>
      </c>
      <c r="T136" s="17">
        <f>IF(O136="","",IF(O136="BUY",B136+K136*3,B136-K136*3))</f>
        <v/>
      </c>
      <c r="U136" s="16">
        <f>IF(OR(B136="",K136&lt;=0),"",IF(AND(B136&gt;E136,ABS(B136-E136)&lt;K136*0.5),"2ND","1ST"))</f>
        <v/>
      </c>
      <c r="V136" s="16">
        <f>IF(OR(B136="",K136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6" s="16">
        <f>IF(OR(B136="",K136&lt;=0),"",IF(K136&gt;B136*0.05,"VOL-HIGH","VOL-NORMAL"))</f>
        <v/>
      </c>
      <c r="X136" s="16">
        <f>IF(OR(B136="",K136&lt;=0),"",IF(AND(L136="VOL-OK",W136="VOL-NORMAL",U136="2ND"),"OK","NG"))</f>
        <v/>
      </c>
      <c r="Y136" s="16">
        <f>IF(OR(B136="",K136&lt;=0),"",IF(AND(C136&gt;G136,D136&gt;H136),"UP",IF(AND(C136&lt;G136,D136&lt;H136),"DOWN","FLAT")))</f>
        <v/>
      </c>
    </row>
    <row r="137" ht="26" customHeight="1" s="1">
      <c r="A137" s="8">
        <f>IF('StockList_MS2'!A136="","",HYPERLINK("https://kabutan.jp/stock/?code="&amp;'StockList_MS2'!A136,'StockList_MS2'!A136))</f>
        <v/>
      </c>
      <c r="B137" s="9" t="n"/>
      <c r="C137" s="9" t="n"/>
      <c r="D137" s="9" t="n"/>
      <c r="E137" s="9" t="n"/>
      <c r="F137" s="10" t="n"/>
      <c r="G137" s="9" t="n"/>
      <c r="H137" s="9" t="n"/>
      <c r="I137" s="9" t="n"/>
      <c r="J137" s="11">
        <f>IF(B137="","",IF(B137&gt;I137,"BUY-DAY","SELL-DAY"))</f>
        <v/>
      </c>
      <c r="K137" s="12">
        <f>IF(B137="","",MAX(C137-D137,ABS(C137-I137),ABS(D137-I137)))</f>
        <v/>
      </c>
      <c r="L137" s="11">
        <f>IF(B137="","",IF(AND(F137&gt;0,F137&gt;(F137/3)*2.5),"VOL-OK","VOL-NG"))</f>
        <v/>
      </c>
      <c r="M137" s="11">
        <f>IF(B137="","",IF(B137&gt;G137,"ON","OFF"))</f>
        <v/>
      </c>
      <c r="N137" s="11">
        <f>IF(B137="","",IF(B137&lt;H137,"ON","OFF"))</f>
        <v/>
      </c>
      <c r="O137" s="11">
        <f>IF(OR(B137="",K137&lt;=0),"",IF(AND(J137="BUY-DAY",L137="VOL-OK",N137="ON",X137="OK",Y137&lt;&gt;"DOWN"),"BUY",IF(AND(J137="SELL-DAY",L137="VOL-OK",M137="ON",X137="OK",Y137&lt;&gt;"UP"),"SELL","")))</f>
        <v/>
      </c>
      <c r="P137" s="12">
        <f>IF(O137="","",B137)</f>
        <v/>
      </c>
      <c r="Q137" s="12">
        <f>IF(O137="","",IF(O137="BUY",B137-K137*1.5,B137+K137*1.5))</f>
        <v/>
      </c>
      <c r="R137" s="12">
        <f>IF(O137="","",IF(O137="BUY",B137+K137*1.5,B137-K137*1.5))</f>
        <v/>
      </c>
      <c r="S137" s="12">
        <f>IF(O137="","",IF(O137="BUY",B137+K137*2,B137-K137*2))</f>
        <v/>
      </c>
      <c r="T137" s="12">
        <f>IF(O137="","",IF(O137="BUY",B137+K137*3,B137-K137*3))</f>
        <v/>
      </c>
      <c r="U137" s="11">
        <f>IF(OR(B137="",K137&lt;=0),"",IF(AND(B137&gt;E137,ABS(B137-E137)&lt;K137*0.5),"2ND","1ST"))</f>
        <v/>
      </c>
      <c r="V137" s="11">
        <f>IF(OR(B137="",K137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7" s="11">
        <f>IF(OR(B137="",K137&lt;=0),"",IF(K137&gt;B137*0.05,"VOL-HIGH","VOL-NORMAL"))</f>
        <v/>
      </c>
      <c r="X137" s="11">
        <f>IF(OR(B137="",K137&lt;=0),"",IF(AND(L137="VOL-OK",W137="VOL-NORMAL",U137="2ND"),"OK","NG"))</f>
        <v/>
      </c>
      <c r="Y137" s="11">
        <f>IF(OR(B137="",K137&lt;=0),"",IF(AND(C137&gt;G137,D137&gt;H137),"UP",IF(AND(C137&lt;G137,D137&lt;H137),"DOWN","FLAT")))</f>
        <v/>
      </c>
    </row>
    <row r="138" ht="26" customHeight="1" s="1">
      <c r="A138" s="13">
        <f>IF('StockList_MS2'!A137="","",HYPERLINK("https://kabutan.jp/stock/?code="&amp;'StockList_MS2'!A137,'StockList_MS2'!A137))</f>
        <v/>
      </c>
      <c r="B138" s="14" t="n"/>
      <c r="C138" s="14" t="n"/>
      <c r="D138" s="14" t="n"/>
      <c r="E138" s="14" t="n"/>
      <c r="F138" s="15" t="n"/>
      <c r="G138" s="14" t="n"/>
      <c r="H138" s="14" t="n"/>
      <c r="I138" s="14" t="n"/>
      <c r="J138" s="16">
        <f>IF(B138="","",IF(B138&gt;I138,"BUY-DAY","SELL-DAY"))</f>
        <v/>
      </c>
      <c r="K138" s="17">
        <f>IF(B138="","",MAX(C138-D138,ABS(C138-I138),ABS(D138-I138)))</f>
        <v/>
      </c>
      <c r="L138" s="16">
        <f>IF(B138="","",IF(AND(F138&gt;0,F138&gt;(F138/3)*2.5),"VOL-OK","VOL-NG"))</f>
        <v/>
      </c>
      <c r="M138" s="16">
        <f>IF(B138="","",IF(B138&gt;G138,"ON","OFF"))</f>
        <v/>
      </c>
      <c r="N138" s="16">
        <f>IF(B138="","",IF(B138&lt;H138,"ON","OFF"))</f>
        <v/>
      </c>
      <c r="O138" s="16">
        <f>IF(OR(B138="",K138&lt;=0),"",IF(AND(J138="BUY-DAY",L138="VOL-OK",N138="ON",X138="OK",Y138&lt;&gt;"DOWN"),"BUY",IF(AND(J138="SELL-DAY",L138="VOL-OK",M138="ON",X138="OK",Y138&lt;&gt;"UP"),"SELL","")))</f>
        <v/>
      </c>
      <c r="P138" s="17">
        <f>IF(O138="","",B138)</f>
        <v/>
      </c>
      <c r="Q138" s="17">
        <f>IF(O138="","",IF(O138="BUY",B138-K138*1.5,B138+K138*1.5))</f>
        <v/>
      </c>
      <c r="R138" s="17">
        <f>IF(O138="","",IF(O138="BUY",B138+K138*1.5,B138-K138*1.5))</f>
        <v/>
      </c>
      <c r="S138" s="17">
        <f>IF(O138="","",IF(O138="BUY",B138+K138*2,B138-K138*2))</f>
        <v/>
      </c>
      <c r="T138" s="17">
        <f>IF(O138="","",IF(O138="BUY",B138+K138*3,B138-K138*3))</f>
        <v/>
      </c>
      <c r="U138" s="16">
        <f>IF(OR(B138="",K138&lt;=0),"",IF(AND(B138&gt;E138,ABS(B138-E138)&lt;K138*0.5),"2ND","1ST"))</f>
        <v/>
      </c>
      <c r="V138" s="16">
        <f>IF(OR(B138="",K138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8" s="16">
        <f>IF(OR(B138="",K138&lt;=0),"",IF(K138&gt;B138*0.05,"VOL-HIGH","VOL-NORMAL"))</f>
        <v/>
      </c>
      <c r="X138" s="16">
        <f>IF(OR(B138="",K138&lt;=0),"",IF(AND(L138="VOL-OK",W138="VOL-NORMAL",U138="2ND"),"OK","NG"))</f>
        <v/>
      </c>
      <c r="Y138" s="16">
        <f>IF(OR(B138="",K138&lt;=0),"",IF(AND(C138&gt;G138,D138&gt;H138),"UP",IF(AND(C138&lt;G138,D138&lt;H138),"DOWN","FLAT")))</f>
        <v/>
      </c>
    </row>
    <row r="139" ht="26" customHeight="1" s="1">
      <c r="A139" s="8">
        <f>IF('StockList_MS2'!A138="","",HYPERLINK("https://kabutan.jp/stock/?code="&amp;'StockList_MS2'!A138,'StockList_MS2'!A138))</f>
        <v/>
      </c>
      <c r="B139" s="9" t="n"/>
      <c r="C139" s="9" t="n"/>
      <c r="D139" s="9" t="n"/>
      <c r="E139" s="9" t="n"/>
      <c r="F139" s="10" t="n"/>
      <c r="G139" s="9" t="n"/>
      <c r="H139" s="9" t="n"/>
      <c r="I139" s="9" t="n"/>
      <c r="J139" s="11">
        <f>IF(B139="","",IF(B139&gt;I139,"BUY-DAY","SELL-DAY"))</f>
        <v/>
      </c>
      <c r="K139" s="12">
        <f>IF(B139="","",MAX(C139-D139,ABS(C139-I139),ABS(D139-I139)))</f>
        <v/>
      </c>
      <c r="L139" s="11">
        <f>IF(B139="","",IF(AND(F139&gt;0,F139&gt;(F139/3)*2.5),"VOL-OK","VOL-NG"))</f>
        <v/>
      </c>
      <c r="M139" s="11">
        <f>IF(B139="","",IF(B139&gt;G139,"ON","OFF"))</f>
        <v/>
      </c>
      <c r="N139" s="11">
        <f>IF(B139="","",IF(B139&lt;H139,"ON","OFF"))</f>
        <v/>
      </c>
      <c r="O139" s="11">
        <f>IF(OR(B139="",K139&lt;=0),"",IF(AND(J139="BUY-DAY",L139="VOL-OK",N139="ON",X139="OK",Y139&lt;&gt;"DOWN"),"BUY",IF(AND(J139="SELL-DAY",L139="VOL-OK",M139="ON",X139="OK",Y139&lt;&gt;"UP"),"SELL","")))</f>
        <v/>
      </c>
      <c r="P139" s="12">
        <f>IF(O139="","",B139)</f>
        <v/>
      </c>
      <c r="Q139" s="12">
        <f>IF(O139="","",IF(O139="BUY",B139-K139*1.5,B139+K139*1.5))</f>
        <v/>
      </c>
      <c r="R139" s="12">
        <f>IF(O139="","",IF(O139="BUY",B139+K139*1.5,B139-K139*1.5))</f>
        <v/>
      </c>
      <c r="S139" s="12">
        <f>IF(O139="","",IF(O139="BUY",B139+K139*2,B139-K139*2))</f>
        <v/>
      </c>
      <c r="T139" s="12">
        <f>IF(O139="","",IF(O139="BUY",B139+K139*3,B139-K139*3))</f>
        <v/>
      </c>
      <c r="U139" s="11">
        <f>IF(OR(B139="",K139&lt;=0),"",IF(AND(B139&gt;E139,ABS(B139-E139)&lt;K139*0.5),"2ND","1ST"))</f>
        <v/>
      </c>
      <c r="V139" s="11">
        <f>IF(OR(B139="",K139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9" s="11">
        <f>IF(OR(B139="",K139&lt;=0),"",IF(K139&gt;B139*0.05,"VOL-HIGH","VOL-NORMAL"))</f>
        <v/>
      </c>
      <c r="X139" s="11">
        <f>IF(OR(B139="",K139&lt;=0),"",IF(AND(L139="VOL-OK",W139="VOL-NORMAL",U139="2ND"),"OK","NG"))</f>
        <v/>
      </c>
      <c r="Y139" s="11">
        <f>IF(OR(B139="",K139&lt;=0),"",IF(AND(C139&gt;G139,D139&gt;H139),"UP",IF(AND(C139&lt;G139,D139&lt;H139),"DOWN","FLAT")))</f>
        <v/>
      </c>
    </row>
    <row r="140" ht="26" customHeight="1" s="1">
      <c r="A140" s="13">
        <f>IF('StockList_MS2'!A139="","",HYPERLINK("https://kabutan.jp/stock/?code="&amp;'StockList_MS2'!A139,'StockList_MS2'!A139))</f>
        <v/>
      </c>
      <c r="B140" s="14" t="n"/>
      <c r="C140" s="14" t="n"/>
      <c r="D140" s="14" t="n"/>
      <c r="E140" s="14" t="n"/>
      <c r="F140" s="15" t="n"/>
      <c r="G140" s="14" t="n"/>
      <c r="H140" s="14" t="n"/>
      <c r="I140" s="14" t="n"/>
      <c r="J140" s="16">
        <f>IF(B140="","",IF(B140&gt;I140,"BUY-DAY","SELL-DAY"))</f>
        <v/>
      </c>
      <c r="K140" s="17">
        <f>IF(B140="","",MAX(C140-D140,ABS(C140-I140),ABS(D140-I140)))</f>
        <v/>
      </c>
      <c r="L140" s="16">
        <f>IF(B140="","",IF(AND(F140&gt;0,F140&gt;(F140/3)*2.5),"VOL-OK","VOL-NG"))</f>
        <v/>
      </c>
      <c r="M140" s="16">
        <f>IF(B140="","",IF(B140&gt;G140,"ON","OFF"))</f>
        <v/>
      </c>
      <c r="N140" s="16">
        <f>IF(B140="","",IF(B140&lt;H140,"ON","OFF"))</f>
        <v/>
      </c>
      <c r="O140" s="16">
        <f>IF(OR(B140="",K140&lt;=0),"",IF(AND(J140="BUY-DAY",L140="VOL-OK",N140="ON",X140="OK",Y140&lt;&gt;"DOWN"),"BUY",IF(AND(J140="SELL-DAY",L140="VOL-OK",M140="ON",X140="OK",Y140&lt;&gt;"UP"),"SELL","")))</f>
        <v/>
      </c>
      <c r="P140" s="17">
        <f>IF(O140="","",B140)</f>
        <v/>
      </c>
      <c r="Q140" s="17">
        <f>IF(O140="","",IF(O140="BUY",B140-K140*1.5,B140+K140*1.5))</f>
        <v/>
      </c>
      <c r="R140" s="17">
        <f>IF(O140="","",IF(O140="BUY",B140+K140*1.5,B140-K140*1.5))</f>
        <v/>
      </c>
      <c r="S140" s="17">
        <f>IF(O140="","",IF(O140="BUY",B140+K140*2,B140-K140*2))</f>
        <v/>
      </c>
      <c r="T140" s="17">
        <f>IF(O140="","",IF(O140="BUY",B140+K140*3,B140-K140*3))</f>
        <v/>
      </c>
      <c r="U140" s="16">
        <f>IF(OR(B140="",K140&lt;=0),"",IF(AND(B140&gt;E140,ABS(B140-E140)&lt;K140*0.5),"2ND","1ST"))</f>
        <v/>
      </c>
      <c r="V140" s="16">
        <f>IF(OR(B140="",K140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0" s="16">
        <f>IF(OR(B140="",K140&lt;=0),"",IF(K140&gt;B140*0.05,"VOL-HIGH","VOL-NORMAL"))</f>
        <v/>
      </c>
      <c r="X140" s="16">
        <f>IF(OR(B140="",K140&lt;=0),"",IF(AND(L140="VOL-OK",W140="VOL-NORMAL",U140="2ND"),"OK","NG"))</f>
        <v/>
      </c>
      <c r="Y140" s="16">
        <f>IF(OR(B140="",K140&lt;=0),"",IF(AND(C140&gt;G140,D140&gt;H140),"UP",IF(AND(C140&lt;G140,D140&lt;H140),"DOWN","FLAT")))</f>
        <v/>
      </c>
    </row>
    <row r="141" ht="26" customHeight="1" s="1">
      <c r="A141" s="8">
        <f>IF('StockList_MS2'!A140="","",HYPERLINK("https://kabutan.jp/stock/?code="&amp;'StockList_MS2'!A140,'StockList_MS2'!A140))</f>
        <v/>
      </c>
      <c r="B141" s="9" t="n"/>
      <c r="C141" s="9" t="n"/>
      <c r="D141" s="9" t="n"/>
      <c r="E141" s="9" t="n"/>
      <c r="F141" s="10" t="n"/>
      <c r="G141" s="9" t="n"/>
      <c r="H141" s="9" t="n"/>
      <c r="I141" s="9" t="n"/>
      <c r="J141" s="11">
        <f>IF(B141="","",IF(B141&gt;I141,"BUY-DAY","SELL-DAY"))</f>
        <v/>
      </c>
      <c r="K141" s="12">
        <f>IF(B141="","",MAX(C141-D141,ABS(C141-I141),ABS(D141-I141)))</f>
        <v/>
      </c>
      <c r="L141" s="11">
        <f>IF(B141="","",IF(AND(F141&gt;0,F141&gt;(F141/3)*2.5),"VOL-OK","VOL-NG"))</f>
        <v/>
      </c>
      <c r="M141" s="11">
        <f>IF(B141="","",IF(B141&gt;G141,"ON","OFF"))</f>
        <v/>
      </c>
      <c r="N141" s="11">
        <f>IF(B141="","",IF(B141&lt;H141,"ON","OFF"))</f>
        <v/>
      </c>
      <c r="O141" s="11">
        <f>IF(OR(B141="",K141&lt;=0),"",IF(AND(J141="BUY-DAY",L141="VOL-OK",N141="ON",X141="OK",Y141&lt;&gt;"DOWN"),"BUY",IF(AND(J141="SELL-DAY",L141="VOL-OK",M141="ON",X141="OK",Y141&lt;&gt;"UP"),"SELL","")))</f>
        <v/>
      </c>
      <c r="P141" s="12">
        <f>IF(O141="","",B141)</f>
        <v/>
      </c>
      <c r="Q141" s="12">
        <f>IF(O141="","",IF(O141="BUY",B141-K141*1.5,B141+K141*1.5))</f>
        <v/>
      </c>
      <c r="R141" s="12">
        <f>IF(O141="","",IF(O141="BUY",B141+K141*1.5,B141-K141*1.5))</f>
        <v/>
      </c>
      <c r="S141" s="12">
        <f>IF(O141="","",IF(O141="BUY",B141+K141*2,B141-K141*2))</f>
        <v/>
      </c>
      <c r="T141" s="12">
        <f>IF(O141="","",IF(O141="BUY",B141+K141*3,B141-K141*3))</f>
        <v/>
      </c>
      <c r="U141" s="11">
        <f>IF(OR(B141="",K141&lt;=0),"",IF(AND(B141&gt;E141,ABS(B141-E141)&lt;K141*0.5),"2ND","1ST"))</f>
        <v/>
      </c>
      <c r="V141" s="11">
        <f>IF(OR(B141="",K141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1" s="11">
        <f>IF(OR(B141="",K141&lt;=0),"",IF(K141&gt;B141*0.05,"VOL-HIGH","VOL-NORMAL"))</f>
        <v/>
      </c>
      <c r="X141" s="11">
        <f>IF(OR(B141="",K141&lt;=0),"",IF(AND(L141="VOL-OK",W141="VOL-NORMAL",U141="2ND"),"OK","NG"))</f>
        <v/>
      </c>
      <c r="Y141" s="11">
        <f>IF(OR(B141="",K141&lt;=0),"",IF(AND(C141&gt;G141,D141&gt;H141),"UP",IF(AND(C141&lt;G141,D141&lt;H141),"DOWN","FLAT")))</f>
        <v/>
      </c>
    </row>
    <row r="142" ht="26" customHeight="1" s="1">
      <c r="A142" s="13">
        <f>IF('StockList_MS2'!A141="","",HYPERLINK("https://kabutan.jp/stock/?code="&amp;'StockList_MS2'!A141,'StockList_MS2'!A141))</f>
        <v/>
      </c>
      <c r="B142" s="14" t="n"/>
      <c r="C142" s="14" t="n"/>
      <c r="D142" s="14" t="n"/>
      <c r="E142" s="14" t="n"/>
      <c r="F142" s="15" t="n"/>
      <c r="G142" s="14" t="n"/>
      <c r="H142" s="14" t="n"/>
      <c r="I142" s="14" t="n"/>
      <c r="J142" s="16">
        <f>IF(B142="","",IF(B142&gt;I142,"BUY-DAY","SELL-DAY"))</f>
        <v/>
      </c>
      <c r="K142" s="17">
        <f>IF(B142="","",MAX(C142-D142,ABS(C142-I142),ABS(D142-I142)))</f>
        <v/>
      </c>
      <c r="L142" s="16">
        <f>IF(B142="","",IF(AND(F142&gt;0,F142&gt;(F142/3)*2.5),"VOL-OK","VOL-NG"))</f>
        <v/>
      </c>
      <c r="M142" s="16">
        <f>IF(B142="","",IF(B142&gt;G142,"ON","OFF"))</f>
        <v/>
      </c>
      <c r="N142" s="16">
        <f>IF(B142="","",IF(B142&lt;H142,"ON","OFF"))</f>
        <v/>
      </c>
      <c r="O142" s="16">
        <f>IF(OR(B142="",K142&lt;=0),"",IF(AND(J142="BUY-DAY",L142="VOL-OK",N142="ON",X142="OK",Y142&lt;&gt;"DOWN"),"BUY",IF(AND(J142="SELL-DAY",L142="VOL-OK",M142="ON",X142="OK",Y142&lt;&gt;"UP"),"SELL","")))</f>
        <v/>
      </c>
      <c r="P142" s="17">
        <f>IF(O142="","",B142)</f>
        <v/>
      </c>
      <c r="Q142" s="17">
        <f>IF(O142="","",IF(O142="BUY",B142-K142*1.5,B142+K142*1.5))</f>
        <v/>
      </c>
      <c r="R142" s="17">
        <f>IF(O142="","",IF(O142="BUY",B142+K142*1.5,B142-K142*1.5))</f>
        <v/>
      </c>
      <c r="S142" s="17">
        <f>IF(O142="","",IF(O142="BUY",B142+K142*2,B142-K142*2))</f>
        <v/>
      </c>
      <c r="T142" s="17">
        <f>IF(O142="","",IF(O142="BUY",B142+K142*3,B142-K142*3))</f>
        <v/>
      </c>
      <c r="U142" s="16">
        <f>IF(OR(B142="",K142&lt;=0),"",IF(AND(B142&gt;E142,ABS(B142-E142)&lt;K142*0.5),"2ND","1ST"))</f>
        <v/>
      </c>
      <c r="V142" s="16">
        <f>IF(OR(B142="",K142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2" s="16">
        <f>IF(OR(B142="",K142&lt;=0),"",IF(K142&gt;B142*0.05,"VOL-HIGH","VOL-NORMAL"))</f>
        <v/>
      </c>
      <c r="X142" s="16">
        <f>IF(OR(B142="",K142&lt;=0),"",IF(AND(L142="VOL-OK",W142="VOL-NORMAL",U142="2ND"),"OK","NG"))</f>
        <v/>
      </c>
      <c r="Y142" s="16">
        <f>IF(OR(B142="",K142&lt;=0),"",IF(AND(C142&gt;G142,D142&gt;H142),"UP",IF(AND(C142&lt;G142,D142&lt;H142),"DOWN","FLAT")))</f>
        <v/>
      </c>
    </row>
    <row r="143" ht="26" customHeight="1" s="1">
      <c r="A143" s="8">
        <f>IF('StockList_MS2'!A142="","",HYPERLINK("https://kabutan.jp/stock/?code="&amp;'StockList_MS2'!A142,'StockList_MS2'!A142))</f>
        <v/>
      </c>
      <c r="B143" s="9" t="n"/>
      <c r="C143" s="9" t="n"/>
      <c r="D143" s="9" t="n"/>
      <c r="E143" s="9" t="n"/>
      <c r="F143" s="10" t="n"/>
      <c r="G143" s="9" t="n"/>
      <c r="H143" s="9" t="n"/>
      <c r="I143" s="9" t="n"/>
      <c r="J143" s="11">
        <f>IF(B143="","",IF(B143&gt;I143,"BUY-DAY","SELL-DAY"))</f>
        <v/>
      </c>
      <c r="K143" s="12">
        <f>IF(B143="","",MAX(C143-D143,ABS(C143-I143),ABS(D143-I143)))</f>
        <v/>
      </c>
      <c r="L143" s="11">
        <f>IF(B143="","",IF(AND(F143&gt;0,F143&gt;(F143/3)*2.5),"VOL-OK","VOL-NG"))</f>
        <v/>
      </c>
      <c r="M143" s="11">
        <f>IF(B143="","",IF(B143&gt;G143,"ON","OFF"))</f>
        <v/>
      </c>
      <c r="N143" s="11">
        <f>IF(B143="","",IF(B143&lt;H143,"ON","OFF"))</f>
        <v/>
      </c>
      <c r="O143" s="11">
        <f>IF(OR(B143="",K143&lt;=0),"",IF(AND(J143="BUY-DAY",L143="VOL-OK",N143="ON",X143="OK",Y143&lt;&gt;"DOWN"),"BUY",IF(AND(J143="SELL-DAY",L143="VOL-OK",M143="ON",X143="OK",Y143&lt;&gt;"UP"),"SELL","")))</f>
        <v/>
      </c>
      <c r="P143" s="12">
        <f>IF(O143="","",B143)</f>
        <v/>
      </c>
      <c r="Q143" s="12">
        <f>IF(O143="","",IF(O143="BUY",B143-K143*1.5,B143+K143*1.5))</f>
        <v/>
      </c>
      <c r="R143" s="12">
        <f>IF(O143="","",IF(O143="BUY",B143+K143*1.5,B143-K143*1.5))</f>
        <v/>
      </c>
      <c r="S143" s="12">
        <f>IF(O143="","",IF(O143="BUY",B143+K143*2,B143-K143*2))</f>
        <v/>
      </c>
      <c r="T143" s="12">
        <f>IF(O143="","",IF(O143="BUY",B143+K143*3,B143-K143*3))</f>
        <v/>
      </c>
      <c r="U143" s="11">
        <f>IF(OR(B143="",K143&lt;=0),"",IF(AND(B143&gt;E143,ABS(B143-E143)&lt;K143*0.5),"2ND","1ST"))</f>
        <v/>
      </c>
      <c r="V143" s="11">
        <f>IF(OR(B143="",K143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3" s="11">
        <f>IF(OR(B143="",K143&lt;=0),"",IF(K143&gt;B143*0.05,"VOL-HIGH","VOL-NORMAL"))</f>
        <v/>
      </c>
      <c r="X143" s="11">
        <f>IF(OR(B143="",K143&lt;=0),"",IF(AND(L143="VOL-OK",W143="VOL-NORMAL",U143="2ND"),"OK","NG"))</f>
        <v/>
      </c>
      <c r="Y143" s="11">
        <f>IF(OR(B143="",K143&lt;=0),"",IF(AND(C143&gt;G143,D143&gt;H143),"UP",IF(AND(C143&lt;G143,D143&lt;H143),"DOWN","FLAT")))</f>
        <v/>
      </c>
    </row>
    <row r="144" ht="26" customHeight="1" s="1">
      <c r="A144" s="13">
        <f>IF('StockList_MS2'!A143="","",HYPERLINK("https://kabutan.jp/stock/?code="&amp;'StockList_MS2'!A143,'StockList_MS2'!A143))</f>
        <v/>
      </c>
      <c r="B144" s="14" t="n"/>
      <c r="C144" s="14" t="n"/>
      <c r="D144" s="14" t="n"/>
      <c r="E144" s="14" t="n"/>
      <c r="F144" s="15" t="n"/>
      <c r="G144" s="14" t="n"/>
      <c r="H144" s="14" t="n"/>
      <c r="I144" s="14" t="n"/>
      <c r="J144" s="16">
        <f>IF(B144="","",IF(B144&gt;I144,"BUY-DAY","SELL-DAY"))</f>
        <v/>
      </c>
      <c r="K144" s="17">
        <f>IF(B144="","",MAX(C144-D144,ABS(C144-I144),ABS(D144-I144)))</f>
        <v/>
      </c>
      <c r="L144" s="16">
        <f>IF(B144="","",IF(AND(F144&gt;0,F144&gt;(F144/3)*2.5),"VOL-OK","VOL-NG"))</f>
        <v/>
      </c>
      <c r="M144" s="16">
        <f>IF(B144="","",IF(B144&gt;G144,"ON","OFF"))</f>
        <v/>
      </c>
      <c r="N144" s="16">
        <f>IF(B144="","",IF(B144&lt;H144,"ON","OFF"))</f>
        <v/>
      </c>
      <c r="O144" s="16">
        <f>IF(OR(B144="",K144&lt;=0),"",IF(AND(J144="BUY-DAY",L144="VOL-OK",N144="ON",X144="OK",Y144&lt;&gt;"DOWN"),"BUY",IF(AND(J144="SELL-DAY",L144="VOL-OK",M144="ON",X144="OK",Y144&lt;&gt;"UP"),"SELL","")))</f>
        <v/>
      </c>
      <c r="P144" s="17">
        <f>IF(O144="","",B144)</f>
        <v/>
      </c>
      <c r="Q144" s="17">
        <f>IF(O144="","",IF(O144="BUY",B144-K144*1.5,B144+K144*1.5))</f>
        <v/>
      </c>
      <c r="R144" s="17">
        <f>IF(O144="","",IF(O144="BUY",B144+K144*1.5,B144-K144*1.5))</f>
        <v/>
      </c>
      <c r="S144" s="17">
        <f>IF(O144="","",IF(O144="BUY",B144+K144*2,B144-K144*2))</f>
        <v/>
      </c>
      <c r="T144" s="17">
        <f>IF(O144="","",IF(O144="BUY",B144+K144*3,B144-K144*3))</f>
        <v/>
      </c>
      <c r="U144" s="16">
        <f>IF(OR(B144="",K144&lt;=0),"",IF(AND(B144&gt;E144,ABS(B144-E144)&lt;K144*0.5),"2ND","1ST"))</f>
        <v/>
      </c>
      <c r="V144" s="16">
        <f>IF(OR(B144="",K144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4" s="16">
        <f>IF(OR(B144="",K144&lt;=0),"",IF(K144&gt;B144*0.05,"VOL-HIGH","VOL-NORMAL"))</f>
        <v/>
      </c>
      <c r="X144" s="16">
        <f>IF(OR(B144="",K144&lt;=0),"",IF(AND(L144="VOL-OK",W144="VOL-NORMAL",U144="2ND"),"OK","NG"))</f>
        <v/>
      </c>
      <c r="Y144" s="16">
        <f>IF(OR(B144="",K144&lt;=0),"",IF(AND(C144&gt;G144,D144&gt;H144),"UP",IF(AND(C144&lt;G144,D144&lt;H144),"DOWN","FLAT")))</f>
        <v/>
      </c>
    </row>
    <row r="145" ht="26" customHeight="1" s="1">
      <c r="A145" s="8">
        <f>IF('StockList_MS2'!A144="","",HYPERLINK("https://kabutan.jp/stock/?code="&amp;'StockList_MS2'!A144,'StockList_MS2'!A144))</f>
        <v/>
      </c>
      <c r="B145" s="9" t="n"/>
      <c r="C145" s="9" t="n"/>
      <c r="D145" s="9" t="n"/>
      <c r="E145" s="9" t="n"/>
      <c r="F145" s="10" t="n"/>
      <c r="G145" s="9" t="n"/>
      <c r="H145" s="9" t="n"/>
      <c r="I145" s="9" t="n"/>
      <c r="J145" s="11">
        <f>IF(B145="","",IF(B145&gt;I145,"BUY-DAY","SELL-DAY"))</f>
        <v/>
      </c>
      <c r="K145" s="12">
        <f>IF(B145="","",MAX(C145-D145,ABS(C145-I145),ABS(D145-I145)))</f>
        <v/>
      </c>
      <c r="L145" s="11">
        <f>IF(B145="","",IF(AND(F145&gt;0,F145&gt;(F145/3)*2.5),"VOL-OK","VOL-NG"))</f>
        <v/>
      </c>
      <c r="M145" s="11">
        <f>IF(B145="","",IF(B145&gt;G145,"ON","OFF"))</f>
        <v/>
      </c>
      <c r="N145" s="11">
        <f>IF(B145="","",IF(B145&lt;H145,"ON","OFF"))</f>
        <v/>
      </c>
      <c r="O145" s="11">
        <f>IF(OR(B145="",K145&lt;=0),"",IF(AND(J145="BUY-DAY",L145="VOL-OK",N145="ON",X145="OK",Y145&lt;&gt;"DOWN"),"BUY",IF(AND(J145="SELL-DAY",L145="VOL-OK",M145="ON",X145="OK",Y145&lt;&gt;"UP"),"SELL","")))</f>
        <v/>
      </c>
      <c r="P145" s="12">
        <f>IF(O145="","",B145)</f>
        <v/>
      </c>
      <c r="Q145" s="12">
        <f>IF(O145="","",IF(O145="BUY",B145-K145*1.5,B145+K145*1.5))</f>
        <v/>
      </c>
      <c r="R145" s="12">
        <f>IF(O145="","",IF(O145="BUY",B145+K145*1.5,B145-K145*1.5))</f>
        <v/>
      </c>
      <c r="S145" s="12">
        <f>IF(O145="","",IF(O145="BUY",B145+K145*2,B145-K145*2))</f>
        <v/>
      </c>
      <c r="T145" s="12">
        <f>IF(O145="","",IF(O145="BUY",B145+K145*3,B145-K145*3))</f>
        <v/>
      </c>
      <c r="U145" s="11">
        <f>IF(OR(B145="",K145&lt;=0),"",IF(AND(B145&gt;E145,ABS(B145-E145)&lt;K145*0.5),"2ND","1ST"))</f>
        <v/>
      </c>
      <c r="V145" s="11">
        <f>IF(OR(B145="",K145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5" s="11">
        <f>IF(OR(B145="",K145&lt;=0),"",IF(K145&gt;B145*0.05,"VOL-HIGH","VOL-NORMAL"))</f>
        <v/>
      </c>
      <c r="X145" s="11">
        <f>IF(OR(B145="",K145&lt;=0),"",IF(AND(L145="VOL-OK",W145="VOL-NORMAL",U145="2ND"),"OK","NG"))</f>
        <v/>
      </c>
      <c r="Y145" s="11">
        <f>IF(OR(B145="",K145&lt;=0),"",IF(AND(C145&gt;G145,D145&gt;H145),"UP",IF(AND(C145&lt;G145,D145&lt;H145),"DOWN","FLAT")))</f>
        <v/>
      </c>
    </row>
    <row r="146" ht="26" customHeight="1" s="1">
      <c r="A146" s="13">
        <f>IF('StockList_MS2'!A145="","",HYPERLINK("https://kabutan.jp/stock/?code="&amp;'StockList_MS2'!A145,'StockList_MS2'!A145))</f>
        <v/>
      </c>
      <c r="B146" s="14" t="n"/>
      <c r="C146" s="14" t="n"/>
      <c r="D146" s="14" t="n"/>
      <c r="E146" s="14" t="n"/>
      <c r="F146" s="15" t="n"/>
      <c r="G146" s="14" t="n"/>
      <c r="H146" s="14" t="n"/>
      <c r="I146" s="14" t="n"/>
      <c r="J146" s="16">
        <f>IF(B146="","",IF(B146&gt;I146,"BUY-DAY","SELL-DAY"))</f>
        <v/>
      </c>
      <c r="K146" s="17">
        <f>IF(B146="","",MAX(C146-D146,ABS(C146-I146),ABS(D146-I146)))</f>
        <v/>
      </c>
      <c r="L146" s="16">
        <f>IF(B146="","",IF(AND(F146&gt;0,F146&gt;(F146/3)*2.5),"VOL-OK","VOL-NG"))</f>
        <v/>
      </c>
      <c r="M146" s="16">
        <f>IF(B146="","",IF(B146&gt;G146,"ON","OFF"))</f>
        <v/>
      </c>
      <c r="N146" s="16">
        <f>IF(B146="","",IF(B146&lt;H146,"ON","OFF"))</f>
        <v/>
      </c>
      <c r="O146" s="16">
        <f>IF(OR(B146="",K146&lt;=0),"",IF(AND(J146="BUY-DAY",L146="VOL-OK",N146="ON",X146="OK",Y146&lt;&gt;"DOWN"),"BUY",IF(AND(J146="SELL-DAY",L146="VOL-OK",M146="ON",X146="OK",Y146&lt;&gt;"UP"),"SELL","")))</f>
        <v/>
      </c>
      <c r="P146" s="17">
        <f>IF(O146="","",B146)</f>
        <v/>
      </c>
      <c r="Q146" s="17">
        <f>IF(O146="","",IF(O146="BUY",B146-K146*1.5,B146+K146*1.5))</f>
        <v/>
      </c>
      <c r="R146" s="17">
        <f>IF(O146="","",IF(O146="BUY",B146+K146*1.5,B146-K146*1.5))</f>
        <v/>
      </c>
      <c r="S146" s="17">
        <f>IF(O146="","",IF(O146="BUY",B146+K146*2,B146-K146*2))</f>
        <v/>
      </c>
      <c r="T146" s="17">
        <f>IF(O146="","",IF(O146="BUY",B146+K146*3,B146-K146*3))</f>
        <v/>
      </c>
      <c r="U146" s="16">
        <f>IF(OR(B146="",K146&lt;=0),"",IF(AND(B146&gt;E146,ABS(B146-E146)&lt;K146*0.5),"2ND","1ST"))</f>
        <v/>
      </c>
      <c r="V146" s="16">
        <f>IF(OR(B146="",K146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6" s="16">
        <f>IF(OR(B146="",K146&lt;=0),"",IF(K146&gt;B146*0.05,"VOL-HIGH","VOL-NORMAL"))</f>
        <v/>
      </c>
      <c r="X146" s="16">
        <f>IF(OR(B146="",K146&lt;=0),"",IF(AND(L146="VOL-OK",W146="VOL-NORMAL",U146="2ND"),"OK","NG"))</f>
        <v/>
      </c>
      <c r="Y146" s="16">
        <f>IF(OR(B146="",K146&lt;=0),"",IF(AND(C146&gt;G146,D146&gt;H146),"UP",IF(AND(C146&lt;G146,D146&lt;H146),"DOWN","FLAT")))</f>
        <v/>
      </c>
    </row>
    <row r="147" ht="26" customHeight="1" s="1">
      <c r="A147" s="8">
        <f>IF('StockList_MS2'!A146="","",HYPERLINK("https://kabutan.jp/stock/?code="&amp;'StockList_MS2'!A146,'StockList_MS2'!A146))</f>
        <v/>
      </c>
      <c r="B147" s="9" t="n"/>
      <c r="C147" s="9" t="n"/>
      <c r="D147" s="9" t="n"/>
      <c r="E147" s="9" t="n"/>
      <c r="F147" s="10" t="n"/>
      <c r="G147" s="9" t="n"/>
      <c r="H147" s="9" t="n"/>
      <c r="I147" s="9" t="n"/>
      <c r="J147" s="11">
        <f>IF(B147="","",IF(B147&gt;I147,"BUY-DAY","SELL-DAY"))</f>
        <v/>
      </c>
      <c r="K147" s="12">
        <f>IF(B147="","",MAX(C147-D147,ABS(C147-I147),ABS(D147-I147)))</f>
        <v/>
      </c>
      <c r="L147" s="11">
        <f>IF(B147="","",IF(AND(F147&gt;0,F147&gt;(F147/3)*2.5),"VOL-OK","VOL-NG"))</f>
        <v/>
      </c>
      <c r="M147" s="11">
        <f>IF(B147="","",IF(B147&gt;G147,"ON","OFF"))</f>
        <v/>
      </c>
      <c r="N147" s="11">
        <f>IF(B147="","",IF(B147&lt;H147,"ON","OFF"))</f>
        <v/>
      </c>
      <c r="O147" s="11">
        <f>IF(OR(B147="",K147&lt;=0),"",IF(AND(J147="BUY-DAY",L147="VOL-OK",N147="ON",X147="OK",Y147&lt;&gt;"DOWN"),"BUY",IF(AND(J147="SELL-DAY",L147="VOL-OK",M147="ON",X147="OK",Y147&lt;&gt;"UP"),"SELL","")))</f>
        <v/>
      </c>
      <c r="P147" s="12">
        <f>IF(O147="","",B147)</f>
        <v/>
      </c>
      <c r="Q147" s="12">
        <f>IF(O147="","",IF(O147="BUY",B147-K147*1.5,B147+K147*1.5))</f>
        <v/>
      </c>
      <c r="R147" s="12">
        <f>IF(O147="","",IF(O147="BUY",B147+K147*1.5,B147-K147*1.5))</f>
        <v/>
      </c>
      <c r="S147" s="12">
        <f>IF(O147="","",IF(O147="BUY",B147+K147*2,B147-K147*2))</f>
        <v/>
      </c>
      <c r="T147" s="12">
        <f>IF(O147="","",IF(O147="BUY",B147+K147*3,B147-K147*3))</f>
        <v/>
      </c>
      <c r="U147" s="11">
        <f>IF(OR(B147="",K147&lt;=0),"",IF(AND(B147&gt;E147,ABS(B147-E147)&lt;K147*0.5),"2ND","1ST"))</f>
        <v/>
      </c>
      <c r="V147" s="11">
        <f>IF(OR(B147="",K147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7" s="11">
        <f>IF(OR(B147="",K147&lt;=0),"",IF(K147&gt;B147*0.05,"VOL-HIGH","VOL-NORMAL"))</f>
        <v/>
      </c>
      <c r="X147" s="11">
        <f>IF(OR(B147="",K147&lt;=0),"",IF(AND(L147="VOL-OK",W147="VOL-NORMAL",U147="2ND"),"OK","NG"))</f>
        <v/>
      </c>
      <c r="Y147" s="11">
        <f>IF(OR(B147="",K147&lt;=0),"",IF(AND(C147&gt;G147,D147&gt;H147),"UP",IF(AND(C147&lt;G147,D147&lt;H147),"DOWN","FLAT")))</f>
        <v/>
      </c>
    </row>
    <row r="148" ht="26" customHeight="1" s="1">
      <c r="A148" s="13">
        <f>IF('StockList_MS2'!A147="","",HYPERLINK("https://kabutan.jp/stock/?code="&amp;'StockList_MS2'!A147,'StockList_MS2'!A147))</f>
        <v/>
      </c>
      <c r="B148" s="14" t="n"/>
      <c r="C148" s="14" t="n"/>
      <c r="D148" s="14" t="n"/>
      <c r="E148" s="14" t="n"/>
      <c r="F148" s="15" t="n"/>
      <c r="G148" s="14" t="n"/>
      <c r="H148" s="14" t="n"/>
      <c r="I148" s="14" t="n"/>
      <c r="J148" s="16">
        <f>IF(B148="","",IF(B148&gt;I148,"BUY-DAY","SELL-DAY"))</f>
        <v/>
      </c>
      <c r="K148" s="17">
        <f>IF(B148="","",MAX(C148-D148,ABS(C148-I148),ABS(D148-I148)))</f>
        <v/>
      </c>
      <c r="L148" s="16">
        <f>IF(B148="","",IF(AND(F148&gt;0,F148&gt;(F148/3)*2.5),"VOL-OK","VOL-NG"))</f>
        <v/>
      </c>
      <c r="M148" s="16">
        <f>IF(B148="","",IF(B148&gt;G148,"ON","OFF"))</f>
        <v/>
      </c>
      <c r="N148" s="16">
        <f>IF(B148="","",IF(B148&lt;H148,"ON","OFF"))</f>
        <v/>
      </c>
      <c r="O148" s="16">
        <f>IF(OR(B148="",K148&lt;=0),"",IF(AND(J148="BUY-DAY",L148="VOL-OK",N148="ON",X148="OK",Y148&lt;&gt;"DOWN"),"BUY",IF(AND(J148="SELL-DAY",L148="VOL-OK",M148="ON",X148="OK",Y148&lt;&gt;"UP"),"SELL","")))</f>
        <v/>
      </c>
      <c r="P148" s="17">
        <f>IF(O148="","",B148)</f>
        <v/>
      </c>
      <c r="Q148" s="17">
        <f>IF(O148="","",IF(O148="BUY",B148-K148*1.5,B148+K148*1.5))</f>
        <v/>
      </c>
      <c r="R148" s="17">
        <f>IF(O148="","",IF(O148="BUY",B148+K148*1.5,B148-K148*1.5))</f>
        <v/>
      </c>
      <c r="S148" s="17">
        <f>IF(O148="","",IF(O148="BUY",B148+K148*2,B148-K148*2))</f>
        <v/>
      </c>
      <c r="T148" s="17">
        <f>IF(O148="","",IF(O148="BUY",B148+K148*3,B148-K148*3))</f>
        <v/>
      </c>
      <c r="U148" s="16">
        <f>IF(OR(B148="",K148&lt;=0),"",IF(AND(B148&gt;E148,ABS(B148-E148)&lt;K148*0.5),"2ND","1ST"))</f>
        <v/>
      </c>
      <c r="V148" s="16">
        <f>IF(OR(B148="",K148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8" s="16">
        <f>IF(OR(B148="",K148&lt;=0),"",IF(K148&gt;B148*0.05,"VOL-HIGH","VOL-NORMAL"))</f>
        <v/>
      </c>
      <c r="X148" s="16">
        <f>IF(OR(B148="",K148&lt;=0),"",IF(AND(L148="VOL-OK",W148="VOL-NORMAL",U148="2ND"),"OK","NG"))</f>
        <v/>
      </c>
      <c r="Y148" s="16">
        <f>IF(OR(B148="",K148&lt;=0),"",IF(AND(C148&gt;G148,D148&gt;H148),"UP",IF(AND(C148&lt;G148,D148&lt;H148),"DOWN","FLAT")))</f>
        <v/>
      </c>
    </row>
    <row r="149" ht="26" customHeight="1" s="1">
      <c r="A149" s="8">
        <f>IF('StockList_MS2'!A148="","",HYPERLINK("https://kabutan.jp/stock/?code="&amp;'StockList_MS2'!A148,'StockList_MS2'!A148))</f>
        <v/>
      </c>
      <c r="B149" s="9" t="n"/>
      <c r="C149" s="9" t="n"/>
      <c r="D149" s="9" t="n"/>
      <c r="E149" s="9" t="n"/>
      <c r="F149" s="10" t="n"/>
      <c r="G149" s="9" t="n"/>
      <c r="H149" s="9" t="n"/>
      <c r="I149" s="9" t="n"/>
      <c r="J149" s="11">
        <f>IF(B149="","",IF(B149&gt;I149,"BUY-DAY","SELL-DAY"))</f>
        <v/>
      </c>
      <c r="K149" s="12">
        <f>IF(B149="","",MAX(C149-D149,ABS(C149-I149),ABS(D149-I149)))</f>
        <v/>
      </c>
      <c r="L149" s="11">
        <f>IF(B149="","",IF(AND(F149&gt;0,F149&gt;(F149/3)*2.5),"VOL-OK","VOL-NG"))</f>
        <v/>
      </c>
      <c r="M149" s="11">
        <f>IF(B149="","",IF(B149&gt;G149,"ON","OFF"))</f>
        <v/>
      </c>
      <c r="N149" s="11">
        <f>IF(B149="","",IF(B149&lt;H149,"ON","OFF"))</f>
        <v/>
      </c>
      <c r="O149" s="11">
        <f>IF(OR(B149="",K149&lt;=0),"",IF(AND(J149="BUY-DAY",L149="VOL-OK",N149="ON",X149="OK",Y149&lt;&gt;"DOWN"),"BUY",IF(AND(J149="SELL-DAY",L149="VOL-OK",M149="ON",X149="OK",Y149&lt;&gt;"UP"),"SELL","")))</f>
        <v/>
      </c>
      <c r="P149" s="12">
        <f>IF(O149="","",B149)</f>
        <v/>
      </c>
      <c r="Q149" s="12">
        <f>IF(O149="","",IF(O149="BUY",B149-K149*1.5,B149+K149*1.5))</f>
        <v/>
      </c>
      <c r="R149" s="12">
        <f>IF(O149="","",IF(O149="BUY",B149+K149*1.5,B149-K149*1.5))</f>
        <v/>
      </c>
      <c r="S149" s="12">
        <f>IF(O149="","",IF(O149="BUY",B149+K149*2,B149-K149*2))</f>
        <v/>
      </c>
      <c r="T149" s="12">
        <f>IF(O149="","",IF(O149="BUY",B149+K149*3,B149-K149*3))</f>
        <v/>
      </c>
      <c r="U149" s="11">
        <f>IF(OR(B149="",K149&lt;=0),"",IF(AND(B149&gt;E149,ABS(B149-E149)&lt;K149*0.5),"2ND","1ST"))</f>
        <v/>
      </c>
      <c r="V149" s="11">
        <f>IF(OR(B149="",K149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9" s="11">
        <f>IF(OR(B149="",K149&lt;=0),"",IF(K149&gt;B149*0.05,"VOL-HIGH","VOL-NORMAL"))</f>
        <v/>
      </c>
      <c r="X149" s="11">
        <f>IF(OR(B149="",K149&lt;=0),"",IF(AND(L149="VOL-OK",W149="VOL-NORMAL",U149="2ND"),"OK","NG"))</f>
        <v/>
      </c>
      <c r="Y149" s="11">
        <f>IF(OR(B149="",K149&lt;=0),"",IF(AND(C149&gt;G149,D149&gt;H149),"UP",IF(AND(C149&lt;G149,D149&lt;H149),"DOWN","FLAT")))</f>
        <v/>
      </c>
    </row>
    <row r="150" ht="26" customHeight="1" s="1">
      <c r="A150" s="13">
        <f>IF('StockList_MS2'!A149="","",HYPERLINK("https://kabutan.jp/stock/?code="&amp;'StockList_MS2'!A149,'StockList_MS2'!A149))</f>
        <v/>
      </c>
      <c r="B150" s="14" t="n"/>
      <c r="C150" s="14" t="n"/>
      <c r="D150" s="14" t="n"/>
      <c r="E150" s="14" t="n"/>
      <c r="F150" s="15" t="n"/>
      <c r="G150" s="14" t="n"/>
      <c r="H150" s="14" t="n"/>
      <c r="I150" s="14" t="n"/>
      <c r="J150" s="16">
        <f>IF(B150="","",IF(B150&gt;I150,"BUY-DAY","SELL-DAY"))</f>
        <v/>
      </c>
      <c r="K150" s="17">
        <f>IF(B150="","",MAX(C150-D150,ABS(C150-I150),ABS(D150-I150)))</f>
        <v/>
      </c>
      <c r="L150" s="16">
        <f>IF(B150="","",IF(AND(F150&gt;0,F150&gt;(F150/3)*2.5),"VOL-OK","VOL-NG"))</f>
        <v/>
      </c>
      <c r="M150" s="16">
        <f>IF(B150="","",IF(B150&gt;G150,"ON","OFF"))</f>
        <v/>
      </c>
      <c r="N150" s="16">
        <f>IF(B150="","",IF(B150&lt;H150,"ON","OFF"))</f>
        <v/>
      </c>
      <c r="O150" s="16">
        <f>IF(OR(B150="",K150&lt;=0),"",IF(AND(J150="BUY-DAY",L150="VOL-OK",N150="ON",X150="OK",Y150&lt;&gt;"DOWN"),"BUY",IF(AND(J150="SELL-DAY",L150="VOL-OK",M150="ON",X150="OK",Y150&lt;&gt;"UP"),"SELL","")))</f>
        <v/>
      </c>
      <c r="P150" s="17">
        <f>IF(O150="","",B150)</f>
        <v/>
      </c>
      <c r="Q150" s="17">
        <f>IF(O150="","",IF(O150="BUY",B150-K150*1.5,B150+K150*1.5))</f>
        <v/>
      </c>
      <c r="R150" s="17">
        <f>IF(O150="","",IF(O150="BUY",B150+K150*1.5,B150-K150*1.5))</f>
        <v/>
      </c>
      <c r="S150" s="17">
        <f>IF(O150="","",IF(O150="BUY",B150+K150*2,B150-K150*2))</f>
        <v/>
      </c>
      <c r="T150" s="17">
        <f>IF(O150="","",IF(O150="BUY",B150+K150*3,B150-K150*3))</f>
        <v/>
      </c>
      <c r="U150" s="16">
        <f>IF(OR(B150="",K150&lt;=0),"",IF(AND(B150&gt;E150,ABS(B150-E150)&lt;K150*0.5),"2ND","1ST"))</f>
        <v/>
      </c>
      <c r="V150" s="16">
        <f>IF(OR(B150="",K150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0" s="16">
        <f>IF(OR(B150="",K150&lt;=0),"",IF(K150&gt;B150*0.05,"VOL-HIGH","VOL-NORMAL"))</f>
        <v/>
      </c>
      <c r="X150" s="16">
        <f>IF(OR(B150="",K150&lt;=0),"",IF(AND(L150="VOL-OK",W150="VOL-NORMAL",U150="2ND"),"OK","NG"))</f>
        <v/>
      </c>
      <c r="Y150" s="16">
        <f>IF(OR(B150="",K150&lt;=0),"",IF(AND(C150&gt;G150,D150&gt;H150),"UP",IF(AND(C150&lt;G150,D150&lt;H150),"DOWN","FLAT")))</f>
        <v/>
      </c>
    </row>
    <row r="151" ht="26" customHeight="1" s="1">
      <c r="A151" s="8">
        <f>IF('StockList_MS2'!A150="","",HYPERLINK("https://kabutan.jp/stock/?code="&amp;'StockList_MS2'!A150,'StockList_MS2'!A150))</f>
        <v/>
      </c>
      <c r="B151" s="9" t="n"/>
      <c r="C151" s="9" t="n"/>
      <c r="D151" s="9" t="n"/>
      <c r="E151" s="9" t="n"/>
      <c r="F151" s="10" t="n"/>
      <c r="G151" s="9" t="n"/>
      <c r="H151" s="9" t="n"/>
      <c r="I151" s="9" t="n"/>
      <c r="J151" s="11">
        <f>IF(B151="","",IF(B151&gt;I151,"BUY-DAY","SELL-DAY"))</f>
        <v/>
      </c>
      <c r="K151" s="12">
        <f>IF(B151="","",MAX(C151-D151,ABS(C151-I151),ABS(D151-I151)))</f>
        <v/>
      </c>
      <c r="L151" s="11">
        <f>IF(B151="","",IF(AND(F151&gt;0,F151&gt;(F151/3)*2.5),"VOL-OK","VOL-NG"))</f>
        <v/>
      </c>
      <c r="M151" s="11">
        <f>IF(B151="","",IF(B151&gt;G151,"ON","OFF"))</f>
        <v/>
      </c>
      <c r="N151" s="11">
        <f>IF(B151="","",IF(B151&lt;H151,"ON","OFF"))</f>
        <v/>
      </c>
      <c r="O151" s="11">
        <f>IF(OR(B151="",K151&lt;=0),"",IF(AND(J151="BUY-DAY",L151="VOL-OK",N151="ON",X151="OK",Y151&lt;&gt;"DOWN"),"BUY",IF(AND(J151="SELL-DAY",L151="VOL-OK",M151="ON",X151="OK",Y151&lt;&gt;"UP"),"SELL","")))</f>
        <v/>
      </c>
      <c r="P151" s="12">
        <f>IF(O151="","",B151)</f>
        <v/>
      </c>
      <c r="Q151" s="12">
        <f>IF(O151="","",IF(O151="BUY",B151-K151*1.5,B151+K151*1.5))</f>
        <v/>
      </c>
      <c r="R151" s="12">
        <f>IF(O151="","",IF(O151="BUY",B151+K151*1.5,B151-K151*1.5))</f>
        <v/>
      </c>
      <c r="S151" s="12">
        <f>IF(O151="","",IF(O151="BUY",B151+K151*2,B151-K151*2))</f>
        <v/>
      </c>
      <c r="T151" s="12">
        <f>IF(O151="","",IF(O151="BUY",B151+K151*3,B151-K151*3))</f>
        <v/>
      </c>
      <c r="U151" s="11">
        <f>IF(OR(B151="",K151&lt;=0),"",IF(AND(B151&gt;E151,ABS(B151-E151)&lt;K151*0.5),"2ND","1ST"))</f>
        <v/>
      </c>
      <c r="V151" s="11">
        <f>IF(OR(B151="",K151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1" s="11">
        <f>IF(OR(B151="",K151&lt;=0),"",IF(K151&gt;B151*0.05,"VOL-HIGH","VOL-NORMAL"))</f>
        <v/>
      </c>
      <c r="X151" s="11">
        <f>IF(OR(B151="",K151&lt;=0),"",IF(AND(L151="VOL-OK",W151="VOL-NORMAL",U151="2ND"),"OK","NG"))</f>
        <v/>
      </c>
      <c r="Y151" s="11">
        <f>IF(OR(B151="",K151&lt;=0),"",IF(AND(C151&gt;G151,D151&gt;H151),"UP",IF(AND(C151&lt;G151,D151&lt;H151),"DOWN","FLAT")))</f>
        <v/>
      </c>
    </row>
    <row r="152" ht="26" customHeight="1" s="1">
      <c r="A152" s="13">
        <f>IF('StockList_MS2'!A151="","",HYPERLINK("https://kabutan.jp/stock/?code="&amp;'StockList_MS2'!A151,'StockList_MS2'!A151))</f>
        <v/>
      </c>
      <c r="B152" s="14" t="n"/>
      <c r="C152" s="14" t="n"/>
      <c r="D152" s="14" t="n"/>
      <c r="E152" s="14" t="n"/>
      <c r="F152" s="15" t="n"/>
      <c r="G152" s="14" t="n"/>
      <c r="H152" s="14" t="n"/>
      <c r="I152" s="14" t="n"/>
      <c r="J152" s="16">
        <f>IF(B152="","",IF(B152&gt;I152,"BUY-DAY","SELL-DAY"))</f>
        <v/>
      </c>
      <c r="K152" s="17">
        <f>IF(B152="","",MAX(C152-D152,ABS(C152-I152),ABS(D152-I152)))</f>
        <v/>
      </c>
      <c r="L152" s="16">
        <f>IF(B152="","",IF(AND(F152&gt;0,F152&gt;(F152/3)*2.5),"VOL-OK","VOL-NG"))</f>
        <v/>
      </c>
      <c r="M152" s="16">
        <f>IF(B152="","",IF(B152&gt;G152,"ON","OFF"))</f>
        <v/>
      </c>
      <c r="N152" s="16">
        <f>IF(B152="","",IF(B152&lt;H152,"ON","OFF"))</f>
        <v/>
      </c>
      <c r="O152" s="16">
        <f>IF(OR(B152="",K152&lt;=0),"",IF(AND(J152="BUY-DAY",L152="VOL-OK",N152="ON",X152="OK",Y152&lt;&gt;"DOWN"),"BUY",IF(AND(J152="SELL-DAY",L152="VOL-OK",M152="ON",X152="OK",Y152&lt;&gt;"UP"),"SELL","")))</f>
        <v/>
      </c>
      <c r="P152" s="17">
        <f>IF(O152="","",B152)</f>
        <v/>
      </c>
      <c r="Q152" s="17">
        <f>IF(O152="","",IF(O152="BUY",B152-K152*1.5,B152+K152*1.5))</f>
        <v/>
      </c>
      <c r="R152" s="17">
        <f>IF(O152="","",IF(O152="BUY",B152+K152*1.5,B152-K152*1.5))</f>
        <v/>
      </c>
      <c r="S152" s="17">
        <f>IF(O152="","",IF(O152="BUY",B152+K152*2,B152-K152*2))</f>
        <v/>
      </c>
      <c r="T152" s="17">
        <f>IF(O152="","",IF(O152="BUY",B152+K152*3,B152-K152*3))</f>
        <v/>
      </c>
      <c r="U152" s="16">
        <f>IF(OR(B152="",K152&lt;=0),"",IF(AND(B152&gt;E152,ABS(B152-E152)&lt;K152*0.5),"2ND","1ST"))</f>
        <v/>
      </c>
      <c r="V152" s="16">
        <f>IF(OR(B152="",K152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2" s="16">
        <f>IF(OR(B152="",K152&lt;=0),"",IF(K152&gt;B152*0.05,"VOL-HIGH","VOL-NORMAL"))</f>
        <v/>
      </c>
      <c r="X152" s="16">
        <f>IF(OR(B152="",K152&lt;=0),"",IF(AND(L152="VOL-OK",W152="VOL-NORMAL",U152="2ND"),"OK","NG"))</f>
        <v/>
      </c>
      <c r="Y152" s="16">
        <f>IF(OR(B152="",K152&lt;=0),"",IF(AND(C152&gt;G152,D152&gt;H152),"UP",IF(AND(C152&lt;G152,D152&lt;H152),"DOWN","FLAT")))</f>
        <v/>
      </c>
    </row>
    <row r="153" ht="26" customHeight="1" s="1">
      <c r="A153" s="8">
        <f>IF('StockList_MS2'!A152="","",HYPERLINK("https://kabutan.jp/stock/?code="&amp;'StockList_MS2'!A152,'StockList_MS2'!A152))</f>
        <v/>
      </c>
      <c r="B153" s="9" t="n"/>
      <c r="C153" s="9" t="n"/>
      <c r="D153" s="9" t="n"/>
      <c r="E153" s="9" t="n"/>
      <c r="F153" s="10" t="n"/>
      <c r="G153" s="9" t="n"/>
      <c r="H153" s="9" t="n"/>
      <c r="I153" s="9" t="n"/>
      <c r="J153" s="11">
        <f>IF(B153="","",IF(B153&gt;I153,"BUY-DAY","SELL-DAY"))</f>
        <v/>
      </c>
      <c r="K153" s="12">
        <f>IF(B153="","",MAX(C153-D153,ABS(C153-I153),ABS(D153-I153)))</f>
        <v/>
      </c>
      <c r="L153" s="11">
        <f>IF(B153="","",IF(AND(F153&gt;0,F153&gt;(F153/3)*2.5),"VOL-OK","VOL-NG"))</f>
        <v/>
      </c>
      <c r="M153" s="11">
        <f>IF(B153="","",IF(B153&gt;G153,"ON","OFF"))</f>
        <v/>
      </c>
      <c r="N153" s="11">
        <f>IF(B153="","",IF(B153&lt;H153,"ON","OFF"))</f>
        <v/>
      </c>
      <c r="O153" s="11">
        <f>IF(OR(B153="",K153&lt;=0),"",IF(AND(J153="BUY-DAY",L153="VOL-OK",N153="ON",X153="OK",Y153&lt;&gt;"DOWN"),"BUY",IF(AND(J153="SELL-DAY",L153="VOL-OK",M153="ON",X153="OK",Y153&lt;&gt;"UP"),"SELL","")))</f>
        <v/>
      </c>
      <c r="P153" s="12">
        <f>IF(O153="","",B153)</f>
        <v/>
      </c>
      <c r="Q153" s="12">
        <f>IF(O153="","",IF(O153="BUY",B153-K153*1.5,B153+K153*1.5))</f>
        <v/>
      </c>
      <c r="R153" s="12">
        <f>IF(O153="","",IF(O153="BUY",B153+K153*1.5,B153-K153*1.5))</f>
        <v/>
      </c>
      <c r="S153" s="12">
        <f>IF(O153="","",IF(O153="BUY",B153+K153*2,B153-K153*2))</f>
        <v/>
      </c>
      <c r="T153" s="12">
        <f>IF(O153="","",IF(O153="BUY",B153+K153*3,B153-K153*3))</f>
        <v/>
      </c>
      <c r="U153" s="11">
        <f>IF(OR(B153="",K153&lt;=0),"",IF(AND(B153&gt;E153,ABS(B153-E153)&lt;K153*0.5),"2ND","1ST"))</f>
        <v/>
      </c>
      <c r="V153" s="11">
        <f>IF(OR(B153="",K153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3" s="11">
        <f>IF(OR(B153="",K153&lt;=0),"",IF(K153&gt;B153*0.05,"VOL-HIGH","VOL-NORMAL"))</f>
        <v/>
      </c>
      <c r="X153" s="11">
        <f>IF(OR(B153="",K153&lt;=0),"",IF(AND(L153="VOL-OK",W153="VOL-NORMAL",U153="2ND"),"OK","NG"))</f>
        <v/>
      </c>
      <c r="Y153" s="11">
        <f>IF(OR(B153="",K153&lt;=0),"",IF(AND(C153&gt;G153,D153&gt;H153),"UP",IF(AND(C153&lt;G153,D153&lt;H153),"DOWN","FLAT")))</f>
        <v/>
      </c>
    </row>
    <row r="154" ht="26" customHeight="1" s="1">
      <c r="A154" s="13">
        <f>IF('StockList_MS2'!A153="","",HYPERLINK("https://kabutan.jp/stock/?code="&amp;'StockList_MS2'!A153,'StockList_MS2'!A153))</f>
        <v/>
      </c>
      <c r="B154" s="14" t="n"/>
      <c r="C154" s="14" t="n"/>
      <c r="D154" s="14" t="n"/>
      <c r="E154" s="14" t="n"/>
      <c r="F154" s="15" t="n"/>
      <c r="G154" s="14" t="n"/>
      <c r="H154" s="14" t="n"/>
      <c r="I154" s="14" t="n"/>
      <c r="J154" s="16">
        <f>IF(B154="","",IF(B154&gt;I154,"BUY-DAY","SELL-DAY"))</f>
        <v/>
      </c>
      <c r="K154" s="17">
        <f>IF(B154="","",MAX(C154-D154,ABS(C154-I154),ABS(D154-I154)))</f>
        <v/>
      </c>
      <c r="L154" s="16">
        <f>IF(B154="","",IF(AND(F154&gt;0,F154&gt;(F154/3)*2.5),"VOL-OK","VOL-NG"))</f>
        <v/>
      </c>
      <c r="M154" s="16">
        <f>IF(B154="","",IF(B154&gt;G154,"ON","OFF"))</f>
        <v/>
      </c>
      <c r="N154" s="16">
        <f>IF(B154="","",IF(B154&lt;H154,"ON","OFF"))</f>
        <v/>
      </c>
      <c r="O154" s="16">
        <f>IF(OR(B154="",K154&lt;=0),"",IF(AND(J154="BUY-DAY",L154="VOL-OK",N154="ON",X154="OK",Y154&lt;&gt;"DOWN"),"BUY",IF(AND(J154="SELL-DAY",L154="VOL-OK",M154="ON",X154="OK",Y154&lt;&gt;"UP"),"SELL","")))</f>
        <v/>
      </c>
      <c r="P154" s="17">
        <f>IF(O154="","",B154)</f>
        <v/>
      </c>
      <c r="Q154" s="17">
        <f>IF(O154="","",IF(O154="BUY",B154-K154*1.5,B154+K154*1.5))</f>
        <v/>
      </c>
      <c r="R154" s="17">
        <f>IF(O154="","",IF(O154="BUY",B154+K154*1.5,B154-K154*1.5))</f>
        <v/>
      </c>
      <c r="S154" s="17">
        <f>IF(O154="","",IF(O154="BUY",B154+K154*2,B154-K154*2))</f>
        <v/>
      </c>
      <c r="T154" s="17">
        <f>IF(O154="","",IF(O154="BUY",B154+K154*3,B154-K154*3))</f>
        <v/>
      </c>
      <c r="U154" s="16">
        <f>IF(OR(B154="",K154&lt;=0),"",IF(AND(B154&gt;E154,ABS(B154-E154)&lt;K154*0.5),"2ND","1ST"))</f>
        <v/>
      </c>
      <c r="V154" s="16">
        <f>IF(OR(B154="",K154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4" s="16">
        <f>IF(OR(B154="",K154&lt;=0),"",IF(K154&gt;B154*0.05,"VOL-HIGH","VOL-NORMAL"))</f>
        <v/>
      </c>
      <c r="X154" s="16">
        <f>IF(OR(B154="",K154&lt;=0),"",IF(AND(L154="VOL-OK",W154="VOL-NORMAL",U154="2ND"),"OK","NG"))</f>
        <v/>
      </c>
      <c r="Y154" s="16">
        <f>IF(OR(B154="",K154&lt;=0),"",IF(AND(C154&gt;G154,D154&gt;H154),"UP",IF(AND(C154&lt;G154,D154&lt;H154),"DOWN","FLAT")))</f>
        <v/>
      </c>
    </row>
    <row r="155" ht="26" customHeight="1" s="1">
      <c r="A155" s="8">
        <f>IF('StockList_MS2'!A154="","",HYPERLINK("https://kabutan.jp/stock/?code="&amp;'StockList_MS2'!A154,'StockList_MS2'!A154))</f>
        <v/>
      </c>
      <c r="B155" s="9" t="n"/>
      <c r="C155" s="9" t="n"/>
      <c r="D155" s="9" t="n"/>
      <c r="E155" s="9" t="n"/>
      <c r="F155" s="10" t="n"/>
      <c r="G155" s="9" t="n"/>
      <c r="H155" s="9" t="n"/>
      <c r="I155" s="9" t="n"/>
      <c r="J155" s="11">
        <f>IF(B155="","",IF(B155&gt;I155,"BUY-DAY","SELL-DAY"))</f>
        <v/>
      </c>
      <c r="K155" s="12">
        <f>IF(B155="","",MAX(C155-D155,ABS(C155-I155),ABS(D155-I155)))</f>
        <v/>
      </c>
      <c r="L155" s="11">
        <f>IF(B155="","",IF(AND(F155&gt;0,F155&gt;(F155/3)*2.5),"VOL-OK","VOL-NG"))</f>
        <v/>
      </c>
      <c r="M155" s="11">
        <f>IF(B155="","",IF(B155&gt;G155,"ON","OFF"))</f>
        <v/>
      </c>
      <c r="N155" s="11">
        <f>IF(B155="","",IF(B155&lt;H155,"ON","OFF"))</f>
        <v/>
      </c>
      <c r="O155" s="11">
        <f>IF(OR(B155="",K155&lt;=0),"",IF(AND(J155="BUY-DAY",L155="VOL-OK",N155="ON",X155="OK",Y155&lt;&gt;"DOWN"),"BUY",IF(AND(J155="SELL-DAY",L155="VOL-OK",M155="ON",X155="OK",Y155&lt;&gt;"UP"),"SELL","")))</f>
        <v/>
      </c>
      <c r="P155" s="12">
        <f>IF(O155="","",B155)</f>
        <v/>
      </c>
      <c r="Q155" s="12">
        <f>IF(O155="","",IF(O155="BUY",B155-K155*1.5,B155+K155*1.5))</f>
        <v/>
      </c>
      <c r="R155" s="12">
        <f>IF(O155="","",IF(O155="BUY",B155+K155*1.5,B155-K155*1.5))</f>
        <v/>
      </c>
      <c r="S155" s="12">
        <f>IF(O155="","",IF(O155="BUY",B155+K155*2,B155-K155*2))</f>
        <v/>
      </c>
      <c r="T155" s="12">
        <f>IF(O155="","",IF(O155="BUY",B155+K155*3,B155-K155*3))</f>
        <v/>
      </c>
      <c r="U155" s="11">
        <f>IF(OR(B155="",K155&lt;=0),"",IF(AND(B155&gt;E155,ABS(B155-E155)&lt;K155*0.5),"2ND","1ST"))</f>
        <v/>
      </c>
      <c r="V155" s="11">
        <f>IF(OR(B155="",K155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5" s="11">
        <f>IF(OR(B155="",K155&lt;=0),"",IF(K155&gt;B155*0.05,"VOL-HIGH","VOL-NORMAL"))</f>
        <v/>
      </c>
      <c r="X155" s="11">
        <f>IF(OR(B155="",K155&lt;=0),"",IF(AND(L155="VOL-OK",W155="VOL-NORMAL",U155="2ND"),"OK","NG"))</f>
        <v/>
      </c>
      <c r="Y155" s="11">
        <f>IF(OR(B155="",K155&lt;=0),"",IF(AND(C155&gt;G155,D155&gt;H155),"UP",IF(AND(C155&lt;G155,D155&lt;H155),"DOWN","FLAT")))</f>
        <v/>
      </c>
    </row>
    <row r="156" ht="26" customHeight="1" s="1">
      <c r="A156" s="13">
        <f>IF('StockList_MS2'!A155="","",HYPERLINK("https://kabutan.jp/stock/?code="&amp;'StockList_MS2'!A155,'StockList_MS2'!A155))</f>
        <v/>
      </c>
      <c r="B156" s="14" t="n"/>
      <c r="C156" s="14" t="n"/>
      <c r="D156" s="14" t="n"/>
      <c r="E156" s="14" t="n"/>
      <c r="F156" s="15" t="n"/>
      <c r="G156" s="14" t="n"/>
      <c r="H156" s="14" t="n"/>
      <c r="I156" s="14" t="n"/>
      <c r="J156" s="16">
        <f>IF(B156="","",IF(B156&gt;I156,"BUY-DAY","SELL-DAY"))</f>
        <v/>
      </c>
      <c r="K156" s="17">
        <f>IF(B156="","",MAX(C156-D156,ABS(C156-I156),ABS(D156-I156)))</f>
        <v/>
      </c>
      <c r="L156" s="16">
        <f>IF(B156="","",IF(AND(F156&gt;0,F156&gt;(F156/3)*2.5),"VOL-OK","VOL-NG"))</f>
        <v/>
      </c>
      <c r="M156" s="16">
        <f>IF(B156="","",IF(B156&gt;G156,"ON","OFF"))</f>
        <v/>
      </c>
      <c r="N156" s="16">
        <f>IF(B156="","",IF(B156&lt;H156,"ON","OFF"))</f>
        <v/>
      </c>
      <c r="O156" s="16">
        <f>IF(OR(B156="",K156&lt;=0),"",IF(AND(J156="BUY-DAY",L156="VOL-OK",N156="ON",X156="OK",Y156&lt;&gt;"DOWN"),"BUY",IF(AND(J156="SELL-DAY",L156="VOL-OK",M156="ON",X156="OK",Y156&lt;&gt;"UP"),"SELL","")))</f>
        <v/>
      </c>
      <c r="P156" s="17">
        <f>IF(O156="","",B156)</f>
        <v/>
      </c>
      <c r="Q156" s="17">
        <f>IF(O156="","",IF(O156="BUY",B156-K156*1.5,B156+K156*1.5))</f>
        <v/>
      </c>
      <c r="R156" s="17">
        <f>IF(O156="","",IF(O156="BUY",B156+K156*1.5,B156-K156*1.5))</f>
        <v/>
      </c>
      <c r="S156" s="17">
        <f>IF(O156="","",IF(O156="BUY",B156+K156*2,B156-K156*2))</f>
        <v/>
      </c>
      <c r="T156" s="17">
        <f>IF(O156="","",IF(O156="BUY",B156+K156*3,B156-K156*3))</f>
        <v/>
      </c>
      <c r="U156" s="16">
        <f>IF(OR(B156="",K156&lt;=0),"",IF(AND(B156&gt;E156,ABS(B156-E156)&lt;K156*0.5),"2ND","1ST"))</f>
        <v/>
      </c>
      <c r="V156" s="16">
        <f>IF(OR(B156="",K156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6" s="16">
        <f>IF(OR(B156="",K156&lt;=0),"",IF(K156&gt;B156*0.05,"VOL-HIGH","VOL-NORMAL"))</f>
        <v/>
      </c>
      <c r="X156" s="16">
        <f>IF(OR(B156="",K156&lt;=0),"",IF(AND(L156="VOL-OK",W156="VOL-NORMAL",U156="2ND"),"OK","NG"))</f>
        <v/>
      </c>
      <c r="Y156" s="16">
        <f>IF(OR(B156="",K156&lt;=0),"",IF(AND(C156&gt;G156,D156&gt;H156),"UP",IF(AND(C156&lt;G156,D156&lt;H156),"DOWN","FLAT")))</f>
        <v/>
      </c>
    </row>
    <row r="157" ht="26" customHeight="1" s="1">
      <c r="A157" s="8">
        <f>IF('StockList_MS2'!A156="","",HYPERLINK("https://kabutan.jp/stock/?code="&amp;'StockList_MS2'!A156,'StockList_MS2'!A156))</f>
        <v/>
      </c>
      <c r="B157" s="9" t="n"/>
      <c r="C157" s="9" t="n"/>
      <c r="D157" s="9" t="n"/>
      <c r="E157" s="9" t="n"/>
      <c r="F157" s="10" t="n"/>
      <c r="G157" s="9" t="n"/>
      <c r="H157" s="9" t="n"/>
      <c r="I157" s="9" t="n"/>
      <c r="J157" s="11">
        <f>IF(B157="","",IF(B157&gt;I157,"BUY-DAY","SELL-DAY"))</f>
        <v/>
      </c>
      <c r="K157" s="12">
        <f>IF(B157="","",MAX(C157-D157,ABS(C157-I157),ABS(D157-I157)))</f>
        <v/>
      </c>
      <c r="L157" s="11">
        <f>IF(B157="","",IF(AND(F157&gt;0,F157&gt;(F157/3)*2.5),"VOL-OK","VOL-NG"))</f>
        <v/>
      </c>
      <c r="M157" s="11">
        <f>IF(B157="","",IF(B157&gt;G157,"ON","OFF"))</f>
        <v/>
      </c>
      <c r="N157" s="11">
        <f>IF(B157="","",IF(B157&lt;H157,"ON","OFF"))</f>
        <v/>
      </c>
      <c r="O157" s="11">
        <f>IF(OR(B157="",K157&lt;=0),"",IF(AND(J157="BUY-DAY",L157="VOL-OK",N157="ON",X157="OK",Y157&lt;&gt;"DOWN"),"BUY",IF(AND(J157="SELL-DAY",L157="VOL-OK",M157="ON",X157="OK",Y157&lt;&gt;"UP"),"SELL","")))</f>
        <v/>
      </c>
      <c r="P157" s="12">
        <f>IF(O157="","",B157)</f>
        <v/>
      </c>
      <c r="Q157" s="12">
        <f>IF(O157="","",IF(O157="BUY",B157-K157*1.5,B157+K157*1.5))</f>
        <v/>
      </c>
      <c r="R157" s="12">
        <f>IF(O157="","",IF(O157="BUY",B157+K157*1.5,B157-K157*1.5))</f>
        <v/>
      </c>
      <c r="S157" s="12">
        <f>IF(O157="","",IF(O157="BUY",B157+K157*2,B157-K157*2))</f>
        <v/>
      </c>
      <c r="T157" s="12">
        <f>IF(O157="","",IF(O157="BUY",B157+K157*3,B157-K157*3))</f>
        <v/>
      </c>
      <c r="U157" s="11">
        <f>IF(OR(B157="",K157&lt;=0),"",IF(AND(B157&gt;E157,ABS(B157-E157)&lt;K157*0.5),"2ND","1ST"))</f>
        <v/>
      </c>
      <c r="V157" s="11">
        <f>IF(OR(B157="",K157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7" s="11">
        <f>IF(OR(B157="",K157&lt;=0),"",IF(K157&gt;B157*0.05,"VOL-HIGH","VOL-NORMAL"))</f>
        <v/>
      </c>
      <c r="X157" s="11">
        <f>IF(OR(B157="",K157&lt;=0),"",IF(AND(L157="VOL-OK",W157="VOL-NORMAL",U157="2ND"),"OK","NG"))</f>
        <v/>
      </c>
      <c r="Y157" s="11">
        <f>IF(OR(B157="",K157&lt;=0),"",IF(AND(C157&gt;G157,D157&gt;H157),"UP",IF(AND(C157&lt;G157,D157&lt;H157),"DOWN","FLAT")))</f>
        <v/>
      </c>
    </row>
    <row r="158" ht="26" customHeight="1" s="1">
      <c r="A158" s="13">
        <f>IF('StockList_MS2'!A157="","",HYPERLINK("https://kabutan.jp/stock/?code="&amp;'StockList_MS2'!A157,'StockList_MS2'!A157))</f>
        <v/>
      </c>
      <c r="B158" s="14" t="n"/>
      <c r="C158" s="14" t="n"/>
      <c r="D158" s="14" t="n"/>
      <c r="E158" s="14" t="n"/>
      <c r="F158" s="15" t="n"/>
      <c r="G158" s="14" t="n"/>
      <c r="H158" s="14" t="n"/>
      <c r="I158" s="14" t="n"/>
      <c r="J158" s="16">
        <f>IF(B158="","",IF(B158&gt;I158,"BUY-DAY","SELL-DAY"))</f>
        <v/>
      </c>
      <c r="K158" s="17">
        <f>IF(B158="","",MAX(C158-D158,ABS(C158-I158),ABS(D158-I158)))</f>
        <v/>
      </c>
      <c r="L158" s="16">
        <f>IF(B158="","",IF(AND(F158&gt;0,F158&gt;(F158/3)*2.5),"VOL-OK","VOL-NG"))</f>
        <v/>
      </c>
      <c r="M158" s="16">
        <f>IF(B158="","",IF(B158&gt;G158,"ON","OFF"))</f>
        <v/>
      </c>
      <c r="N158" s="16">
        <f>IF(B158="","",IF(B158&lt;H158,"ON","OFF"))</f>
        <v/>
      </c>
      <c r="O158" s="16">
        <f>IF(OR(B158="",K158&lt;=0),"",IF(AND(J158="BUY-DAY",L158="VOL-OK",N158="ON",X158="OK",Y158&lt;&gt;"DOWN"),"BUY",IF(AND(J158="SELL-DAY",L158="VOL-OK",M158="ON",X158="OK",Y158&lt;&gt;"UP"),"SELL","")))</f>
        <v/>
      </c>
      <c r="P158" s="17">
        <f>IF(O158="","",B158)</f>
        <v/>
      </c>
      <c r="Q158" s="17">
        <f>IF(O158="","",IF(O158="BUY",B158-K158*1.5,B158+K158*1.5))</f>
        <v/>
      </c>
      <c r="R158" s="17">
        <f>IF(O158="","",IF(O158="BUY",B158+K158*1.5,B158-K158*1.5))</f>
        <v/>
      </c>
      <c r="S158" s="17">
        <f>IF(O158="","",IF(O158="BUY",B158+K158*2,B158-K158*2))</f>
        <v/>
      </c>
      <c r="T158" s="17">
        <f>IF(O158="","",IF(O158="BUY",B158+K158*3,B158-K158*3))</f>
        <v/>
      </c>
      <c r="U158" s="16">
        <f>IF(OR(B158="",K158&lt;=0),"",IF(AND(B158&gt;E158,ABS(B158-E158)&lt;K158*0.5),"2ND","1ST"))</f>
        <v/>
      </c>
      <c r="V158" s="16">
        <f>IF(OR(B158="",K158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8" s="16">
        <f>IF(OR(B158="",K158&lt;=0),"",IF(K158&gt;B158*0.05,"VOL-HIGH","VOL-NORMAL"))</f>
        <v/>
      </c>
      <c r="X158" s="16">
        <f>IF(OR(B158="",K158&lt;=0),"",IF(AND(L158="VOL-OK",W158="VOL-NORMAL",U158="2ND"),"OK","NG"))</f>
        <v/>
      </c>
      <c r="Y158" s="16">
        <f>IF(OR(B158="",K158&lt;=0),"",IF(AND(C158&gt;G158,D158&gt;H158),"UP",IF(AND(C158&lt;G158,D158&lt;H158),"DOWN","FLAT")))</f>
        <v/>
      </c>
    </row>
    <row r="159" ht="26" customHeight="1" s="1">
      <c r="A159" s="8">
        <f>IF('StockList_MS2'!A158="","",HYPERLINK("https://kabutan.jp/stock/?code="&amp;'StockList_MS2'!A158,'StockList_MS2'!A158))</f>
        <v/>
      </c>
      <c r="B159" s="9" t="n"/>
      <c r="C159" s="9" t="n"/>
      <c r="D159" s="9" t="n"/>
      <c r="E159" s="9" t="n"/>
      <c r="F159" s="10" t="n"/>
      <c r="G159" s="9" t="n"/>
      <c r="H159" s="9" t="n"/>
      <c r="I159" s="9" t="n"/>
      <c r="J159" s="11">
        <f>IF(B159="","",IF(B159&gt;I159,"BUY-DAY","SELL-DAY"))</f>
        <v/>
      </c>
      <c r="K159" s="12">
        <f>IF(B159="","",MAX(C159-D159,ABS(C159-I159),ABS(D159-I159)))</f>
        <v/>
      </c>
      <c r="L159" s="11">
        <f>IF(B159="","",IF(AND(F159&gt;0,F159&gt;(F159/3)*2.5),"VOL-OK","VOL-NG"))</f>
        <v/>
      </c>
      <c r="M159" s="11">
        <f>IF(B159="","",IF(B159&gt;G159,"ON","OFF"))</f>
        <v/>
      </c>
      <c r="N159" s="11">
        <f>IF(B159="","",IF(B159&lt;H159,"ON","OFF"))</f>
        <v/>
      </c>
      <c r="O159" s="11">
        <f>IF(OR(B159="",K159&lt;=0),"",IF(AND(J159="BUY-DAY",L159="VOL-OK",N159="ON",X159="OK",Y159&lt;&gt;"DOWN"),"BUY",IF(AND(J159="SELL-DAY",L159="VOL-OK",M159="ON",X159="OK",Y159&lt;&gt;"UP"),"SELL","")))</f>
        <v/>
      </c>
      <c r="P159" s="12">
        <f>IF(O159="","",B159)</f>
        <v/>
      </c>
      <c r="Q159" s="12">
        <f>IF(O159="","",IF(O159="BUY",B159-K159*1.5,B159+K159*1.5))</f>
        <v/>
      </c>
      <c r="R159" s="12">
        <f>IF(O159="","",IF(O159="BUY",B159+K159*1.5,B159-K159*1.5))</f>
        <v/>
      </c>
      <c r="S159" s="12">
        <f>IF(O159="","",IF(O159="BUY",B159+K159*2,B159-K159*2))</f>
        <v/>
      </c>
      <c r="T159" s="12">
        <f>IF(O159="","",IF(O159="BUY",B159+K159*3,B159-K159*3))</f>
        <v/>
      </c>
      <c r="U159" s="11">
        <f>IF(OR(B159="",K159&lt;=0),"",IF(AND(B159&gt;E159,ABS(B159-E159)&lt;K159*0.5),"2ND","1ST"))</f>
        <v/>
      </c>
      <c r="V159" s="11">
        <f>IF(OR(B159="",K159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9" s="11">
        <f>IF(OR(B159="",K159&lt;=0),"",IF(K159&gt;B159*0.05,"VOL-HIGH","VOL-NORMAL"))</f>
        <v/>
      </c>
      <c r="X159" s="11">
        <f>IF(OR(B159="",K159&lt;=0),"",IF(AND(L159="VOL-OK",W159="VOL-NORMAL",U159="2ND"),"OK","NG"))</f>
        <v/>
      </c>
      <c r="Y159" s="11">
        <f>IF(OR(B159="",K159&lt;=0),"",IF(AND(C159&gt;G159,D159&gt;H159),"UP",IF(AND(C159&lt;G159,D159&lt;H159),"DOWN","FLAT")))</f>
        <v/>
      </c>
    </row>
    <row r="160" ht="26" customHeight="1" s="1">
      <c r="A160" s="13">
        <f>IF('StockList_MS2'!A159="","",HYPERLINK("https://kabutan.jp/stock/?code="&amp;'StockList_MS2'!A159,'StockList_MS2'!A159))</f>
        <v/>
      </c>
      <c r="B160" s="14" t="n"/>
      <c r="C160" s="14" t="n"/>
      <c r="D160" s="14" t="n"/>
      <c r="E160" s="14" t="n"/>
      <c r="F160" s="15" t="n"/>
      <c r="G160" s="14" t="n"/>
      <c r="H160" s="14" t="n"/>
      <c r="I160" s="14" t="n"/>
      <c r="J160" s="16">
        <f>IF(B160="","",IF(B160&gt;I160,"BUY-DAY","SELL-DAY"))</f>
        <v/>
      </c>
      <c r="K160" s="17">
        <f>IF(B160="","",MAX(C160-D160,ABS(C160-I160),ABS(D160-I160)))</f>
        <v/>
      </c>
      <c r="L160" s="16">
        <f>IF(B160="","",IF(AND(F160&gt;0,F160&gt;(F160/3)*2.5),"VOL-OK","VOL-NG"))</f>
        <v/>
      </c>
      <c r="M160" s="16">
        <f>IF(B160="","",IF(B160&gt;G160,"ON","OFF"))</f>
        <v/>
      </c>
      <c r="N160" s="16">
        <f>IF(B160="","",IF(B160&lt;H160,"ON","OFF"))</f>
        <v/>
      </c>
      <c r="O160" s="16">
        <f>IF(OR(B160="",K160&lt;=0),"",IF(AND(J160="BUY-DAY",L160="VOL-OK",N160="ON",X160="OK",Y160&lt;&gt;"DOWN"),"BUY",IF(AND(J160="SELL-DAY",L160="VOL-OK",M160="ON",X160="OK",Y160&lt;&gt;"UP"),"SELL","")))</f>
        <v/>
      </c>
      <c r="P160" s="17">
        <f>IF(O160="","",B160)</f>
        <v/>
      </c>
      <c r="Q160" s="17">
        <f>IF(O160="","",IF(O160="BUY",B160-K160*1.5,B160+K160*1.5))</f>
        <v/>
      </c>
      <c r="R160" s="17">
        <f>IF(O160="","",IF(O160="BUY",B160+K160*1.5,B160-K160*1.5))</f>
        <v/>
      </c>
      <c r="S160" s="17">
        <f>IF(O160="","",IF(O160="BUY",B160+K160*2,B160-K160*2))</f>
        <v/>
      </c>
      <c r="T160" s="17">
        <f>IF(O160="","",IF(O160="BUY",B160+K160*3,B160-K160*3))</f>
        <v/>
      </c>
      <c r="U160" s="16">
        <f>IF(OR(B160="",K160&lt;=0),"",IF(AND(B160&gt;E160,ABS(B160-E160)&lt;K160*0.5),"2ND","1ST"))</f>
        <v/>
      </c>
      <c r="V160" s="16">
        <f>IF(OR(B160="",K160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0" s="16">
        <f>IF(OR(B160="",K160&lt;=0),"",IF(K160&gt;B160*0.05,"VOL-HIGH","VOL-NORMAL"))</f>
        <v/>
      </c>
      <c r="X160" s="16">
        <f>IF(OR(B160="",K160&lt;=0),"",IF(AND(L160="VOL-OK",W160="VOL-NORMAL",U160="2ND"),"OK","NG"))</f>
        <v/>
      </c>
      <c r="Y160" s="16">
        <f>IF(OR(B160="",K160&lt;=0),"",IF(AND(C160&gt;G160,D160&gt;H160),"UP",IF(AND(C160&lt;G160,D160&lt;H160),"DOWN","FLAT")))</f>
        <v/>
      </c>
    </row>
    <row r="161" ht="26" customHeight="1" s="1">
      <c r="A161" s="8">
        <f>IF('StockList_MS2'!A160="","",HYPERLINK("https://kabutan.jp/stock/?code="&amp;'StockList_MS2'!A160,'StockList_MS2'!A160))</f>
        <v/>
      </c>
      <c r="B161" s="9" t="n"/>
      <c r="C161" s="9" t="n"/>
      <c r="D161" s="9" t="n"/>
      <c r="E161" s="9" t="n"/>
      <c r="F161" s="10" t="n"/>
      <c r="G161" s="9" t="n"/>
      <c r="H161" s="9" t="n"/>
      <c r="I161" s="9" t="n"/>
      <c r="J161" s="11">
        <f>IF(B161="","",IF(B161&gt;I161,"BUY-DAY","SELL-DAY"))</f>
        <v/>
      </c>
      <c r="K161" s="12">
        <f>IF(B161="","",MAX(C161-D161,ABS(C161-I161),ABS(D161-I161)))</f>
        <v/>
      </c>
      <c r="L161" s="11">
        <f>IF(B161="","",IF(AND(F161&gt;0,F161&gt;(F161/3)*2.5),"VOL-OK","VOL-NG"))</f>
        <v/>
      </c>
      <c r="M161" s="11">
        <f>IF(B161="","",IF(B161&gt;G161,"ON","OFF"))</f>
        <v/>
      </c>
      <c r="N161" s="11">
        <f>IF(B161="","",IF(B161&lt;H161,"ON","OFF"))</f>
        <v/>
      </c>
      <c r="O161" s="11">
        <f>IF(OR(B161="",K161&lt;=0),"",IF(AND(J161="BUY-DAY",L161="VOL-OK",N161="ON",X161="OK",Y161&lt;&gt;"DOWN"),"BUY",IF(AND(J161="SELL-DAY",L161="VOL-OK",M161="ON",X161="OK",Y161&lt;&gt;"UP"),"SELL","")))</f>
        <v/>
      </c>
      <c r="P161" s="12">
        <f>IF(O161="","",B161)</f>
        <v/>
      </c>
      <c r="Q161" s="12">
        <f>IF(O161="","",IF(O161="BUY",B161-K161*1.5,B161+K161*1.5))</f>
        <v/>
      </c>
      <c r="R161" s="12">
        <f>IF(O161="","",IF(O161="BUY",B161+K161*1.5,B161-K161*1.5))</f>
        <v/>
      </c>
      <c r="S161" s="12">
        <f>IF(O161="","",IF(O161="BUY",B161+K161*2,B161-K161*2))</f>
        <v/>
      </c>
      <c r="T161" s="12">
        <f>IF(O161="","",IF(O161="BUY",B161+K161*3,B161-K161*3))</f>
        <v/>
      </c>
      <c r="U161" s="11">
        <f>IF(OR(B161="",K161&lt;=0),"",IF(AND(B161&gt;E161,ABS(B161-E161)&lt;K161*0.5),"2ND","1ST"))</f>
        <v/>
      </c>
      <c r="V161" s="11">
        <f>IF(OR(B161="",K161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1" s="11">
        <f>IF(OR(B161="",K161&lt;=0),"",IF(K161&gt;B161*0.05,"VOL-HIGH","VOL-NORMAL"))</f>
        <v/>
      </c>
      <c r="X161" s="11">
        <f>IF(OR(B161="",K161&lt;=0),"",IF(AND(L161="VOL-OK",W161="VOL-NORMAL",U161="2ND"),"OK","NG"))</f>
        <v/>
      </c>
      <c r="Y161" s="11">
        <f>IF(OR(B161="",K161&lt;=0),"",IF(AND(C161&gt;G161,D161&gt;H161),"UP",IF(AND(C161&lt;G161,D161&lt;H161),"DOWN","FLAT")))</f>
        <v/>
      </c>
    </row>
    <row r="162" ht="26" customHeight="1" s="1">
      <c r="A162" s="13">
        <f>IF('StockList_MS2'!A161="","",HYPERLINK("https://kabutan.jp/stock/?code="&amp;'StockList_MS2'!A161,'StockList_MS2'!A161))</f>
        <v/>
      </c>
      <c r="B162" s="14" t="n"/>
      <c r="C162" s="14" t="n"/>
      <c r="D162" s="14" t="n"/>
      <c r="E162" s="14" t="n"/>
      <c r="F162" s="15" t="n"/>
      <c r="G162" s="14" t="n"/>
      <c r="H162" s="14" t="n"/>
      <c r="I162" s="14" t="n"/>
      <c r="J162" s="16">
        <f>IF(B162="","",IF(B162&gt;I162,"BUY-DAY","SELL-DAY"))</f>
        <v/>
      </c>
      <c r="K162" s="17">
        <f>IF(B162="","",MAX(C162-D162,ABS(C162-I162),ABS(D162-I162)))</f>
        <v/>
      </c>
      <c r="L162" s="16">
        <f>IF(B162="","",IF(AND(F162&gt;0,F162&gt;(F162/3)*2.5),"VOL-OK","VOL-NG"))</f>
        <v/>
      </c>
      <c r="M162" s="16">
        <f>IF(B162="","",IF(B162&gt;G162,"ON","OFF"))</f>
        <v/>
      </c>
      <c r="N162" s="16">
        <f>IF(B162="","",IF(B162&lt;H162,"ON","OFF"))</f>
        <v/>
      </c>
      <c r="O162" s="16">
        <f>IF(OR(B162="",K162&lt;=0),"",IF(AND(J162="BUY-DAY",L162="VOL-OK",N162="ON",X162="OK",Y162&lt;&gt;"DOWN"),"BUY",IF(AND(J162="SELL-DAY",L162="VOL-OK",M162="ON",X162="OK",Y162&lt;&gt;"UP"),"SELL","")))</f>
        <v/>
      </c>
      <c r="P162" s="17">
        <f>IF(O162="","",B162)</f>
        <v/>
      </c>
      <c r="Q162" s="17">
        <f>IF(O162="","",IF(O162="BUY",B162-K162*1.5,B162+K162*1.5))</f>
        <v/>
      </c>
      <c r="R162" s="17">
        <f>IF(O162="","",IF(O162="BUY",B162+K162*1.5,B162-K162*1.5))</f>
        <v/>
      </c>
      <c r="S162" s="17">
        <f>IF(O162="","",IF(O162="BUY",B162+K162*2,B162-K162*2))</f>
        <v/>
      </c>
      <c r="T162" s="17">
        <f>IF(O162="","",IF(O162="BUY",B162+K162*3,B162-K162*3))</f>
        <v/>
      </c>
      <c r="U162" s="16">
        <f>IF(OR(B162="",K162&lt;=0),"",IF(AND(B162&gt;E162,ABS(B162-E162)&lt;K162*0.5),"2ND","1ST"))</f>
        <v/>
      </c>
      <c r="V162" s="16">
        <f>IF(OR(B162="",K162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2" s="16">
        <f>IF(OR(B162="",K162&lt;=0),"",IF(K162&gt;B162*0.05,"VOL-HIGH","VOL-NORMAL"))</f>
        <v/>
      </c>
      <c r="X162" s="16">
        <f>IF(OR(B162="",K162&lt;=0),"",IF(AND(L162="VOL-OK",W162="VOL-NORMAL",U162="2ND"),"OK","NG"))</f>
        <v/>
      </c>
      <c r="Y162" s="16">
        <f>IF(OR(B162="",K162&lt;=0),"",IF(AND(C162&gt;G162,D162&gt;H162),"UP",IF(AND(C162&lt;G162,D162&lt;H162),"DOWN","FLAT")))</f>
        <v/>
      </c>
    </row>
    <row r="163" ht="26" customHeight="1" s="1">
      <c r="A163" s="8">
        <f>IF('StockList_MS2'!A162="","",HYPERLINK("https://kabutan.jp/stock/?code="&amp;'StockList_MS2'!A162,'StockList_MS2'!A162))</f>
        <v/>
      </c>
      <c r="B163" s="9" t="n"/>
      <c r="C163" s="9" t="n"/>
      <c r="D163" s="9" t="n"/>
      <c r="E163" s="9" t="n"/>
      <c r="F163" s="10" t="n"/>
      <c r="G163" s="9" t="n"/>
      <c r="H163" s="9" t="n"/>
      <c r="I163" s="9" t="n"/>
      <c r="J163" s="11">
        <f>IF(B163="","",IF(B163&gt;I163,"BUY-DAY","SELL-DAY"))</f>
        <v/>
      </c>
      <c r="K163" s="12">
        <f>IF(B163="","",MAX(C163-D163,ABS(C163-I163),ABS(D163-I163)))</f>
        <v/>
      </c>
      <c r="L163" s="11">
        <f>IF(B163="","",IF(AND(F163&gt;0,F163&gt;(F163/3)*2.5),"VOL-OK","VOL-NG"))</f>
        <v/>
      </c>
      <c r="M163" s="11">
        <f>IF(B163="","",IF(B163&gt;G163,"ON","OFF"))</f>
        <v/>
      </c>
      <c r="N163" s="11">
        <f>IF(B163="","",IF(B163&lt;H163,"ON","OFF"))</f>
        <v/>
      </c>
      <c r="O163" s="11">
        <f>IF(OR(B163="",K163&lt;=0),"",IF(AND(J163="BUY-DAY",L163="VOL-OK",N163="ON",X163="OK",Y163&lt;&gt;"DOWN"),"BUY",IF(AND(J163="SELL-DAY",L163="VOL-OK",M163="ON",X163="OK",Y163&lt;&gt;"UP"),"SELL","")))</f>
        <v/>
      </c>
      <c r="P163" s="12">
        <f>IF(O163="","",B163)</f>
        <v/>
      </c>
      <c r="Q163" s="12">
        <f>IF(O163="","",IF(O163="BUY",B163-K163*1.5,B163+K163*1.5))</f>
        <v/>
      </c>
      <c r="R163" s="12">
        <f>IF(O163="","",IF(O163="BUY",B163+K163*1.5,B163-K163*1.5))</f>
        <v/>
      </c>
      <c r="S163" s="12">
        <f>IF(O163="","",IF(O163="BUY",B163+K163*2,B163-K163*2))</f>
        <v/>
      </c>
      <c r="T163" s="12">
        <f>IF(O163="","",IF(O163="BUY",B163+K163*3,B163-K163*3))</f>
        <v/>
      </c>
      <c r="U163" s="11">
        <f>IF(OR(B163="",K163&lt;=0),"",IF(AND(B163&gt;E163,ABS(B163-E163)&lt;K163*0.5),"2ND","1ST"))</f>
        <v/>
      </c>
      <c r="V163" s="11">
        <f>IF(OR(B163="",K163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3" s="11">
        <f>IF(OR(B163="",K163&lt;=0),"",IF(K163&gt;B163*0.05,"VOL-HIGH","VOL-NORMAL"))</f>
        <v/>
      </c>
      <c r="X163" s="11">
        <f>IF(OR(B163="",K163&lt;=0),"",IF(AND(L163="VOL-OK",W163="VOL-NORMAL",U163="2ND"),"OK","NG"))</f>
        <v/>
      </c>
      <c r="Y163" s="11">
        <f>IF(OR(B163="",K163&lt;=0),"",IF(AND(C163&gt;G163,D163&gt;H163),"UP",IF(AND(C163&lt;G163,D163&lt;H163),"DOWN","FLAT")))</f>
        <v/>
      </c>
    </row>
    <row r="164" ht="26" customHeight="1" s="1">
      <c r="A164" s="13">
        <f>IF('StockList_MS2'!A163="","",HYPERLINK("https://kabutan.jp/stock/?code="&amp;'StockList_MS2'!A163,'StockList_MS2'!A163))</f>
        <v/>
      </c>
      <c r="B164" s="14" t="n"/>
      <c r="C164" s="14" t="n"/>
      <c r="D164" s="14" t="n"/>
      <c r="E164" s="14" t="n"/>
      <c r="F164" s="15" t="n"/>
      <c r="G164" s="14" t="n"/>
      <c r="H164" s="14" t="n"/>
      <c r="I164" s="14" t="n"/>
      <c r="J164" s="16">
        <f>IF(B164="","",IF(B164&gt;I164,"BUY-DAY","SELL-DAY"))</f>
        <v/>
      </c>
      <c r="K164" s="17">
        <f>IF(B164="","",MAX(C164-D164,ABS(C164-I164),ABS(D164-I164)))</f>
        <v/>
      </c>
      <c r="L164" s="16">
        <f>IF(B164="","",IF(AND(F164&gt;0,F164&gt;(F164/3)*2.5),"VOL-OK","VOL-NG"))</f>
        <v/>
      </c>
      <c r="M164" s="16">
        <f>IF(B164="","",IF(B164&gt;G164,"ON","OFF"))</f>
        <v/>
      </c>
      <c r="N164" s="16">
        <f>IF(B164="","",IF(B164&lt;H164,"ON","OFF"))</f>
        <v/>
      </c>
      <c r="O164" s="16">
        <f>IF(OR(B164="",K164&lt;=0),"",IF(AND(J164="BUY-DAY",L164="VOL-OK",N164="ON",X164="OK",Y164&lt;&gt;"DOWN"),"BUY",IF(AND(J164="SELL-DAY",L164="VOL-OK",M164="ON",X164="OK",Y164&lt;&gt;"UP"),"SELL","")))</f>
        <v/>
      </c>
      <c r="P164" s="17">
        <f>IF(O164="","",B164)</f>
        <v/>
      </c>
      <c r="Q164" s="17">
        <f>IF(O164="","",IF(O164="BUY",B164-K164*1.5,B164+K164*1.5))</f>
        <v/>
      </c>
      <c r="R164" s="17">
        <f>IF(O164="","",IF(O164="BUY",B164+K164*1.5,B164-K164*1.5))</f>
        <v/>
      </c>
      <c r="S164" s="17">
        <f>IF(O164="","",IF(O164="BUY",B164+K164*2,B164-K164*2))</f>
        <v/>
      </c>
      <c r="T164" s="17">
        <f>IF(O164="","",IF(O164="BUY",B164+K164*3,B164-K164*3))</f>
        <v/>
      </c>
      <c r="U164" s="16">
        <f>IF(OR(B164="",K164&lt;=0),"",IF(AND(B164&gt;E164,ABS(B164-E164)&lt;K164*0.5),"2ND","1ST"))</f>
        <v/>
      </c>
      <c r="V164" s="16">
        <f>IF(OR(B164="",K164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4" s="16">
        <f>IF(OR(B164="",K164&lt;=0),"",IF(K164&gt;B164*0.05,"VOL-HIGH","VOL-NORMAL"))</f>
        <v/>
      </c>
      <c r="X164" s="16">
        <f>IF(OR(B164="",K164&lt;=0),"",IF(AND(L164="VOL-OK",W164="VOL-NORMAL",U164="2ND"),"OK","NG"))</f>
        <v/>
      </c>
      <c r="Y164" s="16">
        <f>IF(OR(B164="",K164&lt;=0),"",IF(AND(C164&gt;G164,D164&gt;H164),"UP",IF(AND(C164&lt;G164,D164&lt;H164),"DOWN","FLAT")))</f>
        <v/>
      </c>
    </row>
    <row r="165" ht="26" customHeight="1" s="1">
      <c r="A165" s="8">
        <f>IF('StockList_MS2'!A164="","",HYPERLINK("https://kabutan.jp/stock/?code="&amp;'StockList_MS2'!A164,'StockList_MS2'!A164))</f>
        <v/>
      </c>
      <c r="B165" s="9" t="n"/>
      <c r="C165" s="9" t="n"/>
      <c r="D165" s="9" t="n"/>
      <c r="E165" s="9" t="n"/>
      <c r="F165" s="10" t="n"/>
      <c r="G165" s="9" t="n"/>
      <c r="H165" s="9" t="n"/>
      <c r="I165" s="9" t="n"/>
      <c r="J165" s="11">
        <f>IF(B165="","",IF(B165&gt;I165,"BUY-DAY","SELL-DAY"))</f>
        <v/>
      </c>
      <c r="K165" s="12">
        <f>IF(B165="","",MAX(C165-D165,ABS(C165-I165),ABS(D165-I165)))</f>
        <v/>
      </c>
      <c r="L165" s="11">
        <f>IF(B165="","",IF(AND(F165&gt;0,F165&gt;(F165/3)*2.5),"VOL-OK","VOL-NG"))</f>
        <v/>
      </c>
      <c r="M165" s="11">
        <f>IF(B165="","",IF(B165&gt;G165,"ON","OFF"))</f>
        <v/>
      </c>
      <c r="N165" s="11">
        <f>IF(B165="","",IF(B165&lt;H165,"ON","OFF"))</f>
        <v/>
      </c>
      <c r="O165" s="11">
        <f>IF(OR(B165="",K165&lt;=0),"",IF(AND(J165="BUY-DAY",L165="VOL-OK",N165="ON",X165="OK",Y165&lt;&gt;"DOWN"),"BUY",IF(AND(J165="SELL-DAY",L165="VOL-OK",M165="ON",X165="OK",Y165&lt;&gt;"UP"),"SELL","")))</f>
        <v/>
      </c>
      <c r="P165" s="12">
        <f>IF(O165="","",B165)</f>
        <v/>
      </c>
      <c r="Q165" s="12">
        <f>IF(O165="","",IF(O165="BUY",B165-K165*1.5,B165+K165*1.5))</f>
        <v/>
      </c>
      <c r="R165" s="12">
        <f>IF(O165="","",IF(O165="BUY",B165+K165*1.5,B165-K165*1.5))</f>
        <v/>
      </c>
      <c r="S165" s="12">
        <f>IF(O165="","",IF(O165="BUY",B165+K165*2,B165-K165*2))</f>
        <v/>
      </c>
      <c r="T165" s="12">
        <f>IF(O165="","",IF(O165="BUY",B165+K165*3,B165-K165*3))</f>
        <v/>
      </c>
      <c r="U165" s="11">
        <f>IF(OR(B165="",K165&lt;=0),"",IF(AND(B165&gt;E165,ABS(B165-E165)&lt;K165*0.5),"2ND","1ST"))</f>
        <v/>
      </c>
      <c r="V165" s="11">
        <f>IF(OR(B165="",K165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5" s="11">
        <f>IF(OR(B165="",K165&lt;=0),"",IF(K165&gt;B165*0.05,"VOL-HIGH","VOL-NORMAL"))</f>
        <v/>
      </c>
      <c r="X165" s="11">
        <f>IF(OR(B165="",K165&lt;=0),"",IF(AND(L165="VOL-OK",W165="VOL-NORMAL",U165="2ND"),"OK","NG"))</f>
        <v/>
      </c>
      <c r="Y165" s="11">
        <f>IF(OR(B165="",K165&lt;=0),"",IF(AND(C165&gt;G165,D165&gt;H165),"UP",IF(AND(C165&lt;G165,D165&lt;H165),"DOWN","FLAT")))</f>
        <v/>
      </c>
    </row>
    <row r="166" ht="26" customHeight="1" s="1">
      <c r="A166" s="13">
        <f>IF('StockList_MS2'!A165="","",HYPERLINK("https://kabutan.jp/stock/?code="&amp;'StockList_MS2'!A165,'StockList_MS2'!A165))</f>
        <v/>
      </c>
      <c r="B166" s="14" t="n"/>
      <c r="C166" s="14" t="n"/>
      <c r="D166" s="14" t="n"/>
      <c r="E166" s="14" t="n"/>
      <c r="F166" s="15" t="n"/>
      <c r="G166" s="14" t="n"/>
      <c r="H166" s="14" t="n"/>
      <c r="I166" s="14" t="n"/>
      <c r="J166" s="16">
        <f>IF(B166="","",IF(B166&gt;I166,"BUY-DAY","SELL-DAY"))</f>
        <v/>
      </c>
      <c r="K166" s="17">
        <f>IF(B166="","",MAX(C166-D166,ABS(C166-I166),ABS(D166-I166)))</f>
        <v/>
      </c>
      <c r="L166" s="16">
        <f>IF(B166="","",IF(AND(F166&gt;0,F166&gt;(F166/3)*2.5),"VOL-OK","VOL-NG"))</f>
        <v/>
      </c>
      <c r="M166" s="16">
        <f>IF(B166="","",IF(B166&gt;G166,"ON","OFF"))</f>
        <v/>
      </c>
      <c r="N166" s="16">
        <f>IF(B166="","",IF(B166&lt;H166,"ON","OFF"))</f>
        <v/>
      </c>
      <c r="O166" s="16">
        <f>IF(OR(B166="",K166&lt;=0),"",IF(AND(J166="BUY-DAY",L166="VOL-OK",N166="ON",X166="OK",Y166&lt;&gt;"DOWN"),"BUY",IF(AND(J166="SELL-DAY",L166="VOL-OK",M166="ON",X166="OK",Y166&lt;&gt;"UP"),"SELL","")))</f>
        <v/>
      </c>
      <c r="P166" s="17">
        <f>IF(O166="","",B166)</f>
        <v/>
      </c>
      <c r="Q166" s="17">
        <f>IF(O166="","",IF(O166="BUY",B166-K166*1.5,B166+K166*1.5))</f>
        <v/>
      </c>
      <c r="R166" s="17">
        <f>IF(O166="","",IF(O166="BUY",B166+K166*1.5,B166-K166*1.5))</f>
        <v/>
      </c>
      <c r="S166" s="17">
        <f>IF(O166="","",IF(O166="BUY",B166+K166*2,B166-K166*2))</f>
        <v/>
      </c>
      <c r="T166" s="17">
        <f>IF(O166="","",IF(O166="BUY",B166+K166*3,B166-K166*3))</f>
        <v/>
      </c>
      <c r="U166" s="16">
        <f>IF(OR(B166="",K166&lt;=0),"",IF(AND(B166&gt;E166,ABS(B166-E166)&lt;K166*0.5),"2ND","1ST"))</f>
        <v/>
      </c>
      <c r="V166" s="16">
        <f>IF(OR(B166="",K166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6" s="16">
        <f>IF(OR(B166="",K166&lt;=0),"",IF(K166&gt;B166*0.05,"VOL-HIGH","VOL-NORMAL"))</f>
        <v/>
      </c>
      <c r="X166" s="16">
        <f>IF(OR(B166="",K166&lt;=0),"",IF(AND(L166="VOL-OK",W166="VOL-NORMAL",U166="2ND"),"OK","NG"))</f>
        <v/>
      </c>
      <c r="Y166" s="16">
        <f>IF(OR(B166="",K166&lt;=0),"",IF(AND(C166&gt;G166,D166&gt;H166),"UP",IF(AND(C166&lt;G166,D166&lt;H166),"DOWN","FLAT")))</f>
        <v/>
      </c>
    </row>
    <row r="167" ht="26" customHeight="1" s="1">
      <c r="A167" s="8">
        <f>IF('StockList_MS2'!A166="","",HYPERLINK("https://kabutan.jp/stock/?code="&amp;'StockList_MS2'!A166,'StockList_MS2'!A166))</f>
        <v/>
      </c>
      <c r="B167" s="9" t="n"/>
      <c r="C167" s="9" t="n"/>
      <c r="D167" s="9" t="n"/>
      <c r="E167" s="9" t="n"/>
      <c r="F167" s="10" t="n"/>
      <c r="G167" s="9" t="n"/>
      <c r="H167" s="9" t="n"/>
      <c r="I167" s="9" t="n"/>
      <c r="J167" s="11">
        <f>IF(B167="","",IF(B167&gt;I167,"BUY-DAY","SELL-DAY"))</f>
        <v/>
      </c>
      <c r="K167" s="12">
        <f>IF(B167="","",MAX(C167-D167,ABS(C167-I167),ABS(D167-I167)))</f>
        <v/>
      </c>
      <c r="L167" s="11">
        <f>IF(B167="","",IF(AND(F167&gt;0,F167&gt;(F167/3)*2.5),"VOL-OK","VOL-NG"))</f>
        <v/>
      </c>
      <c r="M167" s="11">
        <f>IF(B167="","",IF(B167&gt;G167,"ON","OFF"))</f>
        <v/>
      </c>
      <c r="N167" s="11">
        <f>IF(B167="","",IF(B167&lt;H167,"ON","OFF"))</f>
        <v/>
      </c>
      <c r="O167" s="11">
        <f>IF(OR(B167="",K167&lt;=0),"",IF(AND(J167="BUY-DAY",L167="VOL-OK",N167="ON",X167="OK",Y167&lt;&gt;"DOWN"),"BUY",IF(AND(J167="SELL-DAY",L167="VOL-OK",M167="ON",X167="OK",Y167&lt;&gt;"UP"),"SELL","")))</f>
        <v/>
      </c>
      <c r="P167" s="12">
        <f>IF(O167="","",B167)</f>
        <v/>
      </c>
      <c r="Q167" s="12">
        <f>IF(O167="","",IF(O167="BUY",B167-K167*1.5,B167+K167*1.5))</f>
        <v/>
      </c>
      <c r="R167" s="12">
        <f>IF(O167="","",IF(O167="BUY",B167+K167*1.5,B167-K167*1.5))</f>
        <v/>
      </c>
      <c r="S167" s="12">
        <f>IF(O167="","",IF(O167="BUY",B167+K167*2,B167-K167*2))</f>
        <v/>
      </c>
      <c r="T167" s="12">
        <f>IF(O167="","",IF(O167="BUY",B167+K167*3,B167-K167*3))</f>
        <v/>
      </c>
      <c r="U167" s="11">
        <f>IF(OR(B167="",K167&lt;=0),"",IF(AND(B167&gt;E167,ABS(B167-E167)&lt;K167*0.5),"2ND","1ST"))</f>
        <v/>
      </c>
      <c r="V167" s="11">
        <f>IF(OR(B167="",K167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7" s="11">
        <f>IF(OR(B167="",K167&lt;=0),"",IF(K167&gt;B167*0.05,"VOL-HIGH","VOL-NORMAL"))</f>
        <v/>
      </c>
      <c r="X167" s="11">
        <f>IF(OR(B167="",K167&lt;=0),"",IF(AND(L167="VOL-OK",W167="VOL-NORMAL",U167="2ND"),"OK","NG"))</f>
        <v/>
      </c>
      <c r="Y167" s="11">
        <f>IF(OR(B167="",K167&lt;=0),"",IF(AND(C167&gt;G167,D167&gt;H167),"UP",IF(AND(C167&lt;G167,D167&lt;H167),"DOWN","FLAT")))</f>
        <v/>
      </c>
    </row>
    <row r="168" ht="26" customHeight="1" s="1">
      <c r="A168" s="13">
        <f>IF('StockList_MS2'!A167="","",HYPERLINK("https://kabutan.jp/stock/?code="&amp;'StockList_MS2'!A167,'StockList_MS2'!A167))</f>
        <v/>
      </c>
      <c r="B168" s="14" t="n"/>
      <c r="C168" s="14" t="n"/>
      <c r="D168" s="14" t="n"/>
      <c r="E168" s="14" t="n"/>
      <c r="F168" s="15" t="n"/>
      <c r="G168" s="14" t="n"/>
      <c r="H168" s="14" t="n"/>
      <c r="I168" s="14" t="n"/>
      <c r="J168" s="16">
        <f>IF(B168="","",IF(B168&gt;I168,"BUY-DAY","SELL-DAY"))</f>
        <v/>
      </c>
      <c r="K168" s="17">
        <f>IF(B168="","",MAX(C168-D168,ABS(C168-I168),ABS(D168-I168)))</f>
        <v/>
      </c>
      <c r="L168" s="16">
        <f>IF(B168="","",IF(AND(F168&gt;0,F168&gt;(F168/3)*2.5),"VOL-OK","VOL-NG"))</f>
        <v/>
      </c>
      <c r="M168" s="16">
        <f>IF(B168="","",IF(B168&gt;G168,"ON","OFF"))</f>
        <v/>
      </c>
      <c r="N168" s="16">
        <f>IF(B168="","",IF(B168&lt;H168,"ON","OFF"))</f>
        <v/>
      </c>
      <c r="O168" s="16">
        <f>IF(OR(B168="",K168&lt;=0),"",IF(AND(J168="BUY-DAY",L168="VOL-OK",N168="ON",X168="OK",Y168&lt;&gt;"DOWN"),"BUY",IF(AND(J168="SELL-DAY",L168="VOL-OK",M168="ON",X168="OK",Y168&lt;&gt;"UP"),"SELL","")))</f>
        <v/>
      </c>
      <c r="P168" s="17">
        <f>IF(O168="","",B168)</f>
        <v/>
      </c>
      <c r="Q168" s="17">
        <f>IF(O168="","",IF(O168="BUY",B168-K168*1.5,B168+K168*1.5))</f>
        <v/>
      </c>
      <c r="R168" s="17">
        <f>IF(O168="","",IF(O168="BUY",B168+K168*1.5,B168-K168*1.5))</f>
        <v/>
      </c>
      <c r="S168" s="17">
        <f>IF(O168="","",IF(O168="BUY",B168+K168*2,B168-K168*2))</f>
        <v/>
      </c>
      <c r="T168" s="17">
        <f>IF(O168="","",IF(O168="BUY",B168+K168*3,B168-K168*3))</f>
        <v/>
      </c>
      <c r="U168" s="16">
        <f>IF(OR(B168="",K168&lt;=0),"",IF(AND(B168&gt;E168,ABS(B168-E168)&lt;K168*0.5),"2ND","1ST"))</f>
        <v/>
      </c>
      <c r="V168" s="16">
        <f>IF(OR(B168="",K168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8" s="16">
        <f>IF(OR(B168="",K168&lt;=0),"",IF(K168&gt;B168*0.05,"VOL-HIGH","VOL-NORMAL"))</f>
        <v/>
      </c>
      <c r="X168" s="16">
        <f>IF(OR(B168="",K168&lt;=0),"",IF(AND(L168="VOL-OK",W168="VOL-NORMAL",U168="2ND"),"OK","NG"))</f>
        <v/>
      </c>
      <c r="Y168" s="16">
        <f>IF(OR(B168="",K168&lt;=0),"",IF(AND(C168&gt;G168,D168&gt;H168),"UP",IF(AND(C168&lt;G168,D168&lt;H168),"DOWN","FLAT")))</f>
        <v/>
      </c>
    </row>
    <row r="169" ht="26" customHeight="1" s="1">
      <c r="A169" s="8">
        <f>IF('StockList_MS2'!A168="","",HYPERLINK("https://kabutan.jp/stock/?code="&amp;'StockList_MS2'!A168,'StockList_MS2'!A168))</f>
        <v/>
      </c>
      <c r="B169" s="9" t="n"/>
      <c r="C169" s="9" t="n"/>
      <c r="D169" s="9" t="n"/>
      <c r="E169" s="9" t="n"/>
      <c r="F169" s="10" t="n"/>
      <c r="G169" s="9" t="n"/>
      <c r="H169" s="9" t="n"/>
      <c r="I169" s="9" t="n"/>
      <c r="J169" s="11">
        <f>IF(B169="","",IF(B169&gt;I169,"BUY-DAY","SELL-DAY"))</f>
        <v/>
      </c>
      <c r="K169" s="12">
        <f>IF(B169="","",MAX(C169-D169,ABS(C169-I169),ABS(D169-I169)))</f>
        <v/>
      </c>
      <c r="L169" s="11">
        <f>IF(B169="","",IF(AND(F169&gt;0,F169&gt;(F169/3)*2.5),"VOL-OK","VOL-NG"))</f>
        <v/>
      </c>
      <c r="M169" s="11">
        <f>IF(B169="","",IF(B169&gt;G169,"ON","OFF"))</f>
        <v/>
      </c>
      <c r="N169" s="11">
        <f>IF(B169="","",IF(B169&lt;H169,"ON","OFF"))</f>
        <v/>
      </c>
      <c r="O169" s="11">
        <f>IF(OR(B169="",K169&lt;=0),"",IF(AND(J169="BUY-DAY",L169="VOL-OK",N169="ON",X169="OK",Y169&lt;&gt;"DOWN"),"BUY",IF(AND(J169="SELL-DAY",L169="VOL-OK",M169="ON",X169="OK",Y169&lt;&gt;"UP"),"SELL","")))</f>
        <v/>
      </c>
      <c r="P169" s="12">
        <f>IF(O169="","",B169)</f>
        <v/>
      </c>
      <c r="Q169" s="12">
        <f>IF(O169="","",IF(O169="BUY",B169-K169*1.5,B169+K169*1.5))</f>
        <v/>
      </c>
      <c r="R169" s="12">
        <f>IF(O169="","",IF(O169="BUY",B169+K169*1.5,B169-K169*1.5))</f>
        <v/>
      </c>
      <c r="S169" s="12">
        <f>IF(O169="","",IF(O169="BUY",B169+K169*2,B169-K169*2))</f>
        <v/>
      </c>
      <c r="T169" s="12">
        <f>IF(O169="","",IF(O169="BUY",B169+K169*3,B169-K169*3))</f>
        <v/>
      </c>
      <c r="U169" s="11">
        <f>IF(OR(B169="",K169&lt;=0),"",IF(AND(B169&gt;E169,ABS(B169-E169)&lt;K169*0.5),"2ND","1ST"))</f>
        <v/>
      </c>
      <c r="V169" s="11">
        <f>IF(OR(B169="",K169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9" s="11">
        <f>IF(OR(B169="",K169&lt;=0),"",IF(K169&gt;B169*0.05,"VOL-HIGH","VOL-NORMAL"))</f>
        <v/>
      </c>
      <c r="X169" s="11">
        <f>IF(OR(B169="",K169&lt;=0),"",IF(AND(L169="VOL-OK",W169="VOL-NORMAL",U169="2ND"),"OK","NG"))</f>
        <v/>
      </c>
      <c r="Y169" s="11">
        <f>IF(OR(B169="",K169&lt;=0),"",IF(AND(C169&gt;G169,D169&gt;H169),"UP",IF(AND(C169&lt;G169,D169&lt;H169),"DOWN","FLAT")))</f>
        <v/>
      </c>
    </row>
    <row r="170" ht="26" customHeight="1" s="1">
      <c r="A170" s="13">
        <f>IF('StockList_MS2'!A169="","",HYPERLINK("https://kabutan.jp/stock/?code="&amp;'StockList_MS2'!A169,'StockList_MS2'!A169))</f>
        <v/>
      </c>
      <c r="B170" s="14" t="n"/>
      <c r="C170" s="14" t="n"/>
      <c r="D170" s="14" t="n"/>
      <c r="E170" s="14" t="n"/>
      <c r="F170" s="15" t="n"/>
      <c r="G170" s="14" t="n"/>
      <c r="H170" s="14" t="n"/>
      <c r="I170" s="14" t="n"/>
      <c r="J170" s="16">
        <f>IF(B170="","",IF(B170&gt;I170,"BUY-DAY","SELL-DAY"))</f>
        <v/>
      </c>
      <c r="K170" s="17">
        <f>IF(B170="","",MAX(C170-D170,ABS(C170-I170),ABS(D170-I170)))</f>
        <v/>
      </c>
      <c r="L170" s="16">
        <f>IF(B170="","",IF(AND(F170&gt;0,F170&gt;(F170/3)*2.5),"VOL-OK","VOL-NG"))</f>
        <v/>
      </c>
      <c r="M170" s="16">
        <f>IF(B170="","",IF(B170&gt;G170,"ON","OFF"))</f>
        <v/>
      </c>
      <c r="N170" s="16">
        <f>IF(B170="","",IF(B170&lt;H170,"ON","OFF"))</f>
        <v/>
      </c>
      <c r="O170" s="16">
        <f>IF(OR(B170="",K170&lt;=0),"",IF(AND(J170="BUY-DAY",L170="VOL-OK",N170="ON",X170="OK",Y170&lt;&gt;"DOWN"),"BUY",IF(AND(J170="SELL-DAY",L170="VOL-OK",M170="ON",X170="OK",Y170&lt;&gt;"UP"),"SELL","")))</f>
        <v/>
      </c>
      <c r="P170" s="17">
        <f>IF(O170="","",B170)</f>
        <v/>
      </c>
      <c r="Q170" s="17">
        <f>IF(O170="","",IF(O170="BUY",B170-K170*1.5,B170+K170*1.5))</f>
        <v/>
      </c>
      <c r="R170" s="17">
        <f>IF(O170="","",IF(O170="BUY",B170+K170*1.5,B170-K170*1.5))</f>
        <v/>
      </c>
      <c r="S170" s="17">
        <f>IF(O170="","",IF(O170="BUY",B170+K170*2,B170-K170*2))</f>
        <v/>
      </c>
      <c r="T170" s="17">
        <f>IF(O170="","",IF(O170="BUY",B170+K170*3,B170-K170*3))</f>
        <v/>
      </c>
      <c r="U170" s="16">
        <f>IF(OR(B170="",K170&lt;=0),"",IF(AND(B170&gt;E170,ABS(B170-E170)&lt;K170*0.5),"2ND","1ST"))</f>
        <v/>
      </c>
      <c r="V170" s="16">
        <f>IF(OR(B170="",K170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0" s="16">
        <f>IF(OR(B170="",K170&lt;=0),"",IF(K170&gt;B170*0.05,"VOL-HIGH","VOL-NORMAL"))</f>
        <v/>
      </c>
      <c r="X170" s="16">
        <f>IF(OR(B170="",K170&lt;=0),"",IF(AND(L170="VOL-OK",W170="VOL-NORMAL",U170="2ND"),"OK","NG"))</f>
        <v/>
      </c>
      <c r="Y170" s="16">
        <f>IF(OR(B170="",K170&lt;=0),"",IF(AND(C170&gt;G170,D170&gt;H170),"UP",IF(AND(C170&lt;G170,D170&lt;H170),"DOWN","FLAT")))</f>
        <v/>
      </c>
    </row>
    <row r="171" ht="26" customHeight="1" s="1">
      <c r="A171" s="8">
        <f>IF('StockList_MS2'!A170="","",HYPERLINK("https://kabutan.jp/stock/?code="&amp;'StockList_MS2'!A170,'StockList_MS2'!A170))</f>
        <v/>
      </c>
      <c r="B171" s="9" t="n"/>
      <c r="C171" s="9" t="n"/>
      <c r="D171" s="9" t="n"/>
      <c r="E171" s="9" t="n"/>
      <c r="F171" s="10" t="n"/>
      <c r="G171" s="9" t="n"/>
      <c r="H171" s="9" t="n"/>
      <c r="I171" s="9" t="n"/>
      <c r="J171" s="11">
        <f>IF(B171="","",IF(B171&gt;I171,"BUY-DAY","SELL-DAY"))</f>
        <v/>
      </c>
      <c r="K171" s="12">
        <f>IF(B171="","",MAX(C171-D171,ABS(C171-I171),ABS(D171-I171)))</f>
        <v/>
      </c>
      <c r="L171" s="11">
        <f>IF(B171="","",IF(AND(F171&gt;0,F171&gt;(F171/3)*2.5),"VOL-OK","VOL-NG"))</f>
        <v/>
      </c>
      <c r="M171" s="11">
        <f>IF(B171="","",IF(B171&gt;G171,"ON","OFF"))</f>
        <v/>
      </c>
      <c r="N171" s="11">
        <f>IF(B171="","",IF(B171&lt;H171,"ON","OFF"))</f>
        <v/>
      </c>
      <c r="O171" s="11">
        <f>IF(OR(B171="",K171&lt;=0),"",IF(AND(J171="BUY-DAY",L171="VOL-OK",N171="ON",X171="OK",Y171&lt;&gt;"DOWN"),"BUY",IF(AND(J171="SELL-DAY",L171="VOL-OK",M171="ON",X171="OK",Y171&lt;&gt;"UP"),"SELL","")))</f>
        <v/>
      </c>
      <c r="P171" s="12">
        <f>IF(O171="","",B171)</f>
        <v/>
      </c>
      <c r="Q171" s="12">
        <f>IF(O171="","",IF(O171="BUY",B171-K171*1.5,B171+K171*1.5))</f>
        <v/>
      </c>
      <c r="R171" s="12">
        <f>IF(O171="","",IF(O171="BUY",B171+K171*1.5,B171-K171*1.5))</f>
        <v/>
      </c>
      <c r="S171" s="12">
        <f>IF(O171="","",IF(O171="BUY",B171+K171*2,B171-K171*2))</f>
        <v/>
      </c>
      <c r="T171" s="12">
        <f>IF(O171="","",IF(O171="BUY",B171+K171*3,B171-K171*3))</f>
        <v/>
      </c>
      <c r="U171" s="11">
        <f>IF(OR(B171="",K171&lt;=0),"",IF(AND(B171&gt;E171,ABS(B171-E171)&lt;K171*0.5),"2ND","1ST"))</f>
        <v/>
      </c>
      <c r="V171" s="11">
        <f>IF(OR(B171="",K171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1" s="11">
        <f>IF(OR(B171="",K171&lt;=0),"",IF(K171&gt;B171*0.05,"VOL-HIGH","VOL-NORMAL"))</f>
        <v/>
      </c>
      <c r="X171" s="11">
        <f>IF(OR(B171="",K171&lt;=0),"",IF(AND(L171="VOL-OK",W171="VOL-NORMAL",U171="2ND"),"OK","NG"))</f>
        <v/>
      </c>
      <c r="Y171" s="11">
        <f>IF(OR(B171="",K171&lt;=0),"",IF(AND(C171&gt;G171,D171&gt;H171),"UP",IF(AND(C171&lt;G171,D171&lt;H171),"DOWN","FLAT")))</f>
        <v/>
      </c>
    </row>
    <row r="172" ht="26" customHeight="1" s="1">
      <c r="A172" s="13">
        <f>IF('StockList_MS2'!A171="","",HYPERLINK("https://kabutan.jp/stock/?code="&amp;'StockList_MS2'!A171,'StockList_MS2'!A171))</f>
        <v/>
      </c>
      <c r="B172" s="14" t="n"/>
      <c r="C172" s="14" t="n"/>
      <c r="D172" s="14" t="n"/>
      <c r="E172" s="14" t="n"/>
      <c r="F172" s="15" t="n"/>
      <c r="G172" s="14" t="n"/>
      <c r="H172" s="14" t="n"/>
      <c r="I172" s="14" t="n"/>
      <c r="J172" s="16">
        <f>IF(B172="","",IF(B172&gt;I172,"BUY-DAY","SELL-DAY"))</f>
        <v/>
      </c>
      <c r="K172" s="17">
        <f>IF(B172="","",MAX(C172-D172,ABS(C172-I172),ABS(D172-I172)))</f>
        <v/>
      </c>
      <c r="L172" s="16">
        <f>IF(B172="","",IF(AND(F172&gt;0,F172&gt;(F172/3)*2.5),"VOL-OK","VOL-NG"))</f>
        <v/>
      </c>
      <c r="M172" s="16">
        <f>IF(B172="","",IF(B172&gt;G172,"ON","OFF"))</f>
        <v/>
      </c>
      <c r="N172" s="16">
        <f>IF(B172="","",IF(B172&lt;H172,"ON","OFF"))</f>
        <v/>
      </c>
      <c r="O172" s="16">
        <f>IF(OR(B172="",K172&lt;=0),"",IF(AND(J172="BUY-DAY",L172="VOL-OK",N172="ON",X172="OK",Y172&lt;&gt;"DOWN"),"BUY",IF(AND(J172="SELL-DAY",L172="VOL-OK",M172="ON",X172="OK",Y172&lt;&gt;"UP"),"SELL","")))</f>
        <v/>
      </c>
      <c r="P172" s="17">
        <f>IF(O172="","",B172)</f>
        <v/>
      </c>
      <c r="Q172" s="17">
        <f>IF(O172="","",IF(O172="BUY",B172-K172*1.5,B172+K172*1.5))</f>
        <v/>
      </c>
      <c r="R172" s="17">
        <f>IF(O172="","",IF(O172="BUY",B172+K172*1.5,B172-K172*1.5))</f>
        <v/>
      </c>
      <c r="S172" s="17">
        <f>IF(O172="","",IF(O172="BUY",B172+K172*2,B172-K172*2))</f>
        <v/>
      </c>
      <c r="T172" s="17">
        <f>IF(O172="","",IF(O172="BUY",B172+K172*3,B172-K172*3))</f>
        <v/>
      </c>
      <c r="U172" s="16">
        <f>IF(OR(B172="",K172&lt;=0),"",IF(AND(B172&gt;E172,ABS(B172-E172)&lt;K172*0.5),"2ND","1ST"))</f>
        <v/>
      </c>
      <c r="V172" s="16">
        <f>IF(OR(B172="",K172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2" s="16">
        <f>IF(OR(B172="",K172&lt;=0),"",IF(K172&gt;B172*0.05,"VOL-HIGH","VOL-NORMAL"))</f>
        <v/>
      </c>
      <c r="X172" s="16">
        <f>IF(OR(B172="",K172&lt;=0),"",IF(AND(L172="VOL-OK",W172="VOL-NORMAL",U172="2ND"),"OK","NG"))</f>
        <v/>
      </c>
      <c r="Y172" s="16">
        <f>IF(OR(B172="",K172&lt;=0),"",IF(AND(C172&gt;G172,D172&gt;H172),"UP",IF(AND(C172&lt;G172,D172&lt;H172),"DOWN","FLAT")))</f>
        <v/>
      </c>
    </row>
    <row r="173" ht="26" customHeight="1" s="1">
      <c r="A173" s="8">
        <f>IF('StockList_MS2'!A172="","",HYPERLINK("https://kabutan.jp/stock/?code="&amp;'StockList_MS2'!A172,'StockList_MS2'!A172))</f>
        <v/>
      </c>
      <c r="B173" s="9" t="n"/>
      <c r="C173" s="9" t="n"/>
      <c r="D173" s="9" t="n"/>
      <c r="E173" s="9" t="n"/>
      <c r="F173" s="10" t="n"/>
      <c r="G173" s="9" t="n"/>
      <c r="H173" s="9" t="n"/>
      <c r="I173" s="9" t="n"/>
      <c r="J173" s="11">
        <f>IF(B173="","",IF(B173&gt;I173,"BUY-DAY","SELL-DAY"))</f>
        <v/>
      </c>
      <c r="K173" s="12">
        <f>IF(B173="","",MAX(C173-D173,ABS(C173-I173),ABS(D173-I173)))</f>
        <v/>
      </c>
      <c r="L173" s="11">
        <f>IF(B173="","",IF(AND(F173&gt;0,F173&gt;(F173/3)*2.5),"VOL-OK","VOL-NG"))</f>
        <v/>
      </c>
      <c r="M173" s="11">
        <f>IF(B173="","",IF(B173&gt;G173,"ON","OFF"))</f>
        <v/>
      </c>
      <c r="N173" s="11">
        <f>IF(B173="","",IF(B173&lt;H173,"ON","OFF"))</f>
        <v/>
      </c>
      <c r="O173" s="11">
        <f>IF(OR(B173="",K173&lt;=0),"",IF(AND(J173="BUY-DAY",L173="VOL-OK",N173="ON",X173="OK",Y173&lt;&gt;"DOWN"),"BUY",IF(AND(J173="SELL-DAY",L173="VOL-OK",M173="ON",X173="OK",Y173&lt;&gt;"UP"),"SELL","")))</f>
        <v/>
      </c>
      <c r="P173" s="12">
        <f>IF(O173="","",B173)</f>
        <v/>
      </c>
      <c r="Q173" s="12">
        <f>IF(O173="","",IF(O173="BUY",B173-K173*1.5,B173+K173*1.5))</f>
        <v/>
      </c>
      <c r="R173" s="12">
        <f>IF(O173="","",IF(O173="BUY",B173+K173*1.5,B173-K173*1.5))</f>
        <v/>
      </c>
      <c r="S173" s="12">
        <f>IF(O173="","",IF(O173="BUY",B173+K173*2,B173-K173*2))</f>
        <v/>
      </c>
      <c r="T173" s="12">
        <f>IF(O173="","",IF(O173="BUY",B173+K173*3,B173-K173*3))</f>
        <v/>
      </c>
      <c r="U173" s="11">
        <f>IF(OR(B173="",K173&lt;=0),"",IF(AND(B173&gt;E173,ABS(B173-E173)&lt;K173*0.5),"2ND","1ST"))</f>
        <v/>
      </c>
      <c r="V173" s="11">
        <f>IF(OR(B173="",K173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3" s="11">
        <f>IF(OR(B173="",K173&lt;=0),"",IF(K173&gt;B173*0.05,"VOL-HIGH","VOL-NORMAL"))</f>
        <v/>
      </c>
      <c r="X173" s="11">
        <f>IF(OR(B173="",K173&lt;=0),"",IF(AND(L173="VOL-OK",W173="VOL-NORMAL",U173="2ND"),"OK","NG"))</f>
        <v/>
      </c>
      <c r="Y173" s="11">
        <f>IF(OR(B173="",K173&lt;=0),"",IF(AND(C173&gt;G173,D173&gt;H173),"UP",IF(AND(C173&lt;G173,D173&lt;H173),"DOWN","FLAT")))</f>
        <v/>
      </c>
    </row>
    <row r="174" ht="26" customHeight="1" s="1">
      <c r="A174" s="13">
        <f>IF('StockList_MS2'!A173="","",HYPERLINK("https://kabutan.jp/stock/?code="&amp;'StockList_MS2'!A173,'StockList_MS2'!A173))</f>
        <v/>
      </c>
      <c r="B174" s="14" t="n"/>
      <c r="C174" s="14" t="n"/>
      <c r="D174" s="14" t="n"/>
      <c r="E174" s="14" t="n"/>
      <c r="F174" s="15" t="n"/>
      <c r="G174" s="14" t="n"/>
      <c r="H174" s="14" t="n"/>
      <c r="I174" s="14" t="n"/>
      <c r="J174" s="16">
        <f>IF(B174="","",IF(B174&gt;I174,"BUY-DAY","SELL-DAY"))</f>
        <v/>
      </c>
      <c r="K174" s="17">
        <f>IF(B174="","",MAX(C174-D174,ABS(C174-I174),ABS(D174-I174)))</f>
        <v/>
      </c>
      <c r="L174" s="16">
        <f>IF(B174="","",IF(AND(F174&gt;0,F174&gt;(F174/3)*2.5),"VOL-OK","VOL-NG"))</f>
        <v/>
      </c>
      <c r="M174" s="16">
        <f>IF(B174="","",IF(B174&gt;G174,"ON","OFF"))</f>
        <v/>
      </c>
      <c r="N174" s="16">
        <f>IF(B174="","",IF(B174&lt;H174,"ON","OFF"))</f>
        <v/>
      </c>
      <c r="O174" s="16">
        <f>IF(OR(B174="",K174&lt;=0),"",IF(AND(J174="BUY-DAY",L174="VOL-OK",N174="ON",X174="OK",Y174&lt;&gt;"DOWN"),"BUY",IF(AND(J174="SELL-DAY",L174="VOL-OK",M174="ON",X174="OK",Y174&lt;&gt;"UP"),"SELL","")))</f>
        <v/>
      </c>
      <c r="P174" s="17">
        <f>IF(O174="","",B174)</f>
        <v/>
      </c>
      <c r="Q174" s="17">
        <f>IF(O174="","",IF(O174="BUY",B174-K174*1.5,B174+K174*1.5))</f>
        <v/>
      </c>
      <c r="R174" s="17">
        <f>IF(O174="","",IF(O174="BUY",B174+K174*1.5,B174-K174*1.5))</f>
        <v/>
      </c>
      <c r="S174" s="17">
        <f>IF(O174="","",IF(O174="BUY",B174+K174*2,B174-K174*2))</f>
        <v/>
      </c>
      <c r="T174" s="17">
        <f>IF(O174="","",IF(O174="BUY",B174+K174*3,B174-K174*3))</f>
        <v/>
      </c>
      <c r="U174" s="16">
        <f>IF(OR(B174="",K174&lt;=0),"",IF(AND(B174&gt;E174,ABS(B174-E174)&lt;K174*0.5),"2ND","1ST"))</f>
        <v/>
      </c>
      <c r="V174" s="16">
        <f>IF(OR(B174="",K174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4" s="16">
        <f>IF(OR(B174="",K174&lt;=0),"",IF(K174&gt;B174*0.05,"VOL-HIGH","VOL-NORMAL"))</f>
        <v/>
      </c>
      <c r="X174" s="16">
        <f>IF(OR(B174="",K174&lt;=0),"",IF(AND(L174="VOL-OK",W174="VOL-NORMAL",U174="2ND"),"OK","NG"))</f>
        <v/>
      </c>
      <c r="Y174" s="16">
        <f>IF(OR(B174="",K174&lt;=0),"",IF(AND(C174&gt;G174,D174&gt;H174),"UP",IF(AND(C174&lt;G174,D174&lt;H174),"DOWN","FLAT")))</f>
        <v/>
      </c>
    </row>
    <row r="175" ht="26" customHeight="1" s="1">
      <c r="A175" s="8">
        <f>IF('StockList_MS2'!A174="","",HYPERLINK("https://kabutan.jp/stock/?code="&amp;'StockList_MS2'!A174,'StockList_MS2'!A174))</f>
        <v/>
      </c>
      <c r="B175" s="9" t="n"/>
      <c r="C175" s="9" t="n"/>
      <c r="D175" s="9" t="n"/>
      <c r="E175" s="9" t="n"/>
      <c r="F175" s="10" t="n"/>
      <c r="G175" s="9" t="n"/>
      <c r="H175" s="9" t="n"/>
      <c r="I175" s="9" t="n"/>
      <c r="J175" s="11">
        <f>IF(B175="","",IF(B175&gt;I175,"BUY-DAY","SELL-DAY"))</f>
        <v/>
      </c>
      <c r="K175" s="12">
        <f>IF(B175="","",MAX(C175-D175,ABS(C175-I175),ABS(D175-I175)))</f>
        <v/>
      </c>
      <c r="L175" s="11">
        <f>IF(B175="","",IF(AND(F175&gt;0,F175&gt;(F175/3)*2.5),"VOL-OK","VOL-NG"))</f>
        <v/>
      </c>
      <c r="M175" s="11">
        <f>IF(B175="","",IF(B175&gt;G175,"ON","OFF"))</f>
        <v/>
      </c>
      <c r="N175" s="11">
        <f>IF(B175="","",IF(B175&lt;H175,"ON","OFF"))</f>
        <v/>
      </c>
      <c r="O175" s="11">
        <f>IF(OR(B175="",K175&lt;=0),"",IF(AND(J175="BUY-DAY",L175="VOL-OK",N175="ON",X175="OK",Y175&lt;&gt;"DOWN"),"BUY",IF(AND(J175="SELL-DAY",L175="VOL-OK",M175="ON",X175="OK",Y175&lt;&gt;"UP"),"SELL","")))</f>
        <v/>
      </c>
      <c r="P175" s="12">
        <f>IF(O175="","",B175)</f>
        <v/>
      </c>
      <c r="Q175" s="12">
        <f>IF(O175="","",IF(O175="BUY",B175-K175*1.5,B175+K175*1.5))</f>
        <v/>
      </c>
      <c r="R175" s="12">
        <f>IF(O175="","",IF(O175="BUY",B175+K175*1.5,B175-K175*1.5))</f>
        <v/>
      </c>
      <c r="S175" s="12">
        <f>IF(O175="","",IF(O175="BUY",B175+K175*2,B175-K175*2))</f>
        <v/>
      </c>
      <c r="T175" s="12">
        <f>IF(O175="","",IF(O175="BUY",B175+K175*3,B175-K175*3))</f>
        <v/>
      </c>
      <c r="U175" s="11">
        <f>IF(OR(B175="",K175&lt;=0),"",IF(AND(B175&gt;E175,ABS(B175-E175)&lt;K175*0.5),"2ND","1ST"))</f>
        <v/>
      </c>
      <c r="V175" s="11">
        <f>IF(OR(B175="",K175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5" s="11">
        <f>IF(OR(B175="",K175&lt;=0),"",IF(K175&gt;B175*0.05,"VOL-HIGH","VOL-NORMAL"))</f>
        <v/>
      </c>
      <c r="X175" s="11">
        <f>IF(OR(B175="",K175&lt;=0),"",IF(AND(L175="VOL-OK",W175="VOL-NORMAL",U175="2ND"),"OK","NG"))</f>
        <v/>
      </c>
      <c r="Y175" s="11">
        <f>IF(OR(B175="",K175&lt;=0),"",IF(AND(C175&gt;G175,D175&gt;H175),"UP",IF(AND(C175&lt;G175,D175&lt;H175),"DOWN","FLAT")))</f>
        <v/>
      </c>
    </row>
    <row r="176" ht="26" customHeight="1" s="1">
      <c r="A176" s="13">
        <f>IF('StockList_MS2'!A175="","",HYPERLINK("https://kabutan.jp/stock/?code="&amp;'StockList_MS2'!A175,'StockList_MS2'!A175))</f>
        <v/>
      </c>
      <c r="B176" s="14" t="n"/>
      <c r="C176" s="14" t="n"/>
      <c r="D176" s="14" t="n"/>
      <c r="E176" s="14" t="n"/>
      <c r="F176" s="15" t="n"/>
      <c r="G176" s="14" t="n"/>
      <c r="H176" s="14" t="n"/>
      <c r="I176" s="14" t="n"/>
      <c r="J176" s="16">
        <f>IF(B176="","",IF(B176&gt;I176,"BUY-DAY","SELL-DAY"))</f>
        <v/>
      </c>
      <c r="K176" s="17">
        <f>IF(B176="","",MAX(C176-D176,ABS(C176-I176),ABS(D176-I176)))</f>
        <v/>
      </c>
      <c r="L176" s="16">
        <f>IF(B176="","",IF(AND(F176&gt;0,F176&gt;(F176/3)*2.5),"VOL-OK","VOL-NG"))</f>
        <v/>
      </c>
      <c r="M176" s="16">
        <f>IF(B176="","",IF(B176&gt;G176,"ON","OFF"))</f>
        <v/>
      </c>
      <c r="N176" s="16">
        <f>IF(B176="","",IF(B176&lt;H176,"ON","OFF"))</f>
        <v/>
      </c>
      <c r="O176" s="16">
        <f>IF(OR(B176="",K176&lt;=0),"",IF(AND(J176="BUY-DAY",L176="VOL-OK",N176="ON",X176="OK",Y176&lt;&gt;"DOWN"),"BUY",IF(AND(J176="SELL-DAY",L176="VOL-OK",M176="ON",X176="OK",Y176&lt;&gt;"UP"),"SELL","")))</f>
        <v/>
      </c>
      <c r="P176" s="17">
        <f>IF(O176="","",B176)</f>
        <v/>
      </c>
      <c r="Q176" s="17">
        <f>IF(O176="","",IF(O176="BUY",B176-K176*1.5,B176+K176*1.5))</f>
        <v/>
      </c>
      <c r="R176" s="17">
        <f>IF(O176="","",IF(O176="BUY",B176+K176*1.5,B176-K176*1.5))</f>
        <v/>
      </c>
      <c r="S176" s="17">
        <f>IF(O176="","",IF(O176="BUY",B176+K176*2,B176-K176*2))</f>
        <v/>
      </c>
      <c r="T176" s="17">
        <f>IF(O176="","",IF(O176="BUY",B176+K176*3,B176-K176*3))</f>
        <v/>
      </c>
      <c r="U176" s="16">
        <f>IF(OR(B176="",K176&lt;=0),"",IF(AND(B176&gt;E176,ABS(B176-E176)&lt;K176*0.5),"2ND","1ST"))</f>
        <v/>
      </c>
      <c r="V176" s="16">
        <f>IF(OR(B176="",K176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6" s="16">
        <f>IF(OR(B176="",K176&lt;=0),"",IF(K176&gt;B176*0.05,"VOL-HIGH","VOL-NORMAL"))</f>
        <v/>
      </c>
      <c r="X176" s="16">
        <f>IF(OR(B176="",K176&lt;=0),"",IF(AND(L176="VOL-OK",W176="VOL-NORMAL",U176="2ND"),"OK","NG"))</f>
        <v/>
      </c>
      <c r="Y176" s="16">
        <f>IF(OR(B176="",K176&lt;=0),"",IF(AND(C176&gt;G176,D176&gt;H176),"UP",IF(AND(C176&lt;G176,D176&lt;H176),"DOWN","FLAT")))</f>
        <v/>
      </c>
    </row>
    <row r="177" ht="26" customHeight="1" s="1">
      <c r="A177" s="8">
        <f>IF('StockList_MS2'!A176="","",HYPERLINK("https://kabutan.jp/stock/?code="&amp;'StockList_MS2'!A176,'StockList_MS2'!A176))</f>
        <v/>
      </c>
      <c r="B177" s="9" t="n"/>
      <c r="C177" s="9" t="n"/>
      <c r="D177" s="9" t="n"/>
      <c r="E177" s="9" t="n"/>
      <c r="F177" s="10" t="n"/>
      <c r="G177" s="9" t="n"/>
      <c r="H177" s="9" t="n"/>
      <c r="I177" s="9" t="n"/>
      <c r="J177" s="11">
        <f>IF(B177="","",IF(B177&gt;I177,"BUY-DAY","SELL-DAY"))</f>
        <v/>
      </c>
      <c r="K177" s="12">
        <f>IF(B177="","",MAX(C177-D177,ABS(C177-I177),ABS(D177-I177)))</f>
        <v/>
      </c>
      <c r="L177" s="11">
        <f>IF(B177="","",IF(AND(F177&gt;0,F177&gt;(F177/3)*2.5),"VOL-OK","VOL-NG"))</f>
        <v/>
      </c>
      <c r="M177" s="11">
        <f>IF(B177="","",IF(B177&gt;G177,"ON","OFF"))</f>
        <v/>
      </c>
      <c r="N177" s="11">
        <f>IF(B177="","",IF(B177&lt;H177,"ON","OFF"))</f>
        <v/>
      </c>
      <c r="O177" s="11">
        <f>IF(OR(B177="",K177&lt;=0),"",IF(AND(J177="BUY-DAY",L177="VOL-OK",N177="ON",X177="OK",Y177&lt;&gt;"DOWN"),"BUY",IF(AND(J177="SELL-DAY",L177="VOL-OK",M177="ON",X177="OK",Y177&lt;&gt;"UP"),"SELL","")))</f>
        <v/>
      </c>
      <c r="P177" s="12">
        <f>IF(O177="","",B177)</f>
        <v/>
      </c>
      <c r="Q177" s="12">
        <f>IF(O177="","",IF(O177="BUY",B177-K177*1.5,B177+K177*1.5))</f>
        <v/>
      </c>
      <c r="R177" s="12">
        <f>IF(O177="","",IF(O177="BUY",B177+K177*1.5,B177-K177*1.5))</f>
        <v/>
      </c>
      <c r="S177" s="12">
        <f>IF(O177="","",IF(O177="BUY",B177+K177*2,B177-K177*2))</f>
        <v/>
      </c>
      <c r="T177" s="12">
        <f>IF(O177="","",IF(O177="BUY",B177+K177*3,B177-K177*3))</f>
        <v/>
      </c>
      <c r="U177" s="11">
        <f>IF(OR(B177="",K177&lt;=0),"",IF(AND(B177&gt;E177,ABS(B177-E177)&lt;K177*0.5),"2ND","1ST"))</f>
        <v/>
      </c>
      <c r="V177" s="11">
        <f>IF(OR(B177="",K177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7" s="11">
        <f>IF(OR(B177="",K177&lt;=0),"",IF(K177&gt;B177*0.05,"VOL-HIGH","VOL-NORMAL"))</f>
        <v/>
      </c>
      <c r="X177" s="11">
        <f>IF(OR(B177="",K177&lt;=0),"",IF(AND(L177="VOL-OK",W177="VOL-NORMAL",U177="2ND"),"OK","NG"))</f>
        <v/>
      </c>
      <c r="Y177" s="11">
        <f>IF(OR(B177="",K177&lt;=0),"",IF(AND(C177&gt;G177,D177&gt;H177),"UP",IF(AND(C177&lt;G177,D177&lt;H177),"DOWN","FLAT")))</f>
        <v/>
      </c>
    </row>
    <row r="178" ht="26" customHeight="1" s="1">
      <c r="A178" s="13">
        <f>IF('StockList_MS2'!A177="","",HYPERLINK("https://kabutan.jp/stock/?code="&amp;'StockList_MS2'!A177,'StockList_MS2'!A177))</f>
        <v/>
      </c>
      <c r="B178" s="14" t="n"/>
      <c r="C178" s="14" t="n"/>
      <c r="D178" s="14" t="n"/>
      <c r="E178" s="14" t="n"/>
      <c r="F178" s="15" t="n"/>
      <c r="G178" s="14" t="n"/>
      <c r="H178" s="14" t="n"/>
      <c r="I178" s="14" t="n"/>
      <c r="J178" s="16">
        <f>IF(B178="","",IF(B178&gt;I178,"BUY-DAY","SELL-DAY"))</f>
        <v/>
      </c>
      <c r="K178" s="17">
        <f>IF(B178="","",MAX(C178-D178,ABS(C178-I178),ABS(D178-I178)))</f>
        <v/>
      </c>
      <c r="L178" s="16">
        <f>IF(B178="","",IF(AND(F178&gt;0,F178&gt;(F178/3)*2.5),"VOL-OK","VOL-NG"))</f>
        <v/>
      </c>
      <c r="M178" s="16">
        <f>IF(B178="","",IF(B178&gt;G178,"ON","OFF"))</f>
        <v/>
      </c>
      <c r="N178" s="16">
        <f>IF(B178="","",IF(B178&lt;H178,"ON","OFF"))</f>
        <v/>
      </c>
      <c r="O178" s="16">
        <f>IF(OR(B178="",K178&lt;=0),"",IF(AND(J178="BUY-DAY",L178="VOL-OK",N178="ON",X178="OK",Y178&lt;&gt;"DOWN"),"BUY",IF(AND(J178="SELL-DAY",L178="VOL-OK",M178="ON",X178="OK",Y178&lt;&gt;"UP"),"SELL","")))</f>
        <v/>
      </c>
      <c r="P178" s="17">
        <f>IF(O178="","",B178)</f>
        <v/>
      </c>
      <c r="Q178" s="17">
        <f>IF(O178="","",IF(O178="BUY",B178-K178*1.5,B178+K178*1.5))</f>
        <v/>
      </c>
      <c r="R178" s="17">
        <f>IF(O178="","",IF(O178="BUY",B178+K178*1.5,B178-K178*1.5))</f>
        <v/>
      </c>
      <c r="S178" s="17">
        <f>IF(O178="","",IF(O178="BUY",B178+K178*2,B178-K178*2))</f>
        <v/>
      </c>
      <c r="T178" s="17">
        <f>IF(O178="","",IF(O178="BUY",B178+K178*3,B178-K178*3))</f>
        <v/>
      </c>
      <c r="U178" s="16">
        <f>IF(OR(B178="",K178&lt;=0),"",IF(AND(B178&gt;E178,ABS(B178-E178)&lt;K178*0.5),"2ND","1ST"))</f>
        <v/>
      </c>
      <c r="V178" s="16">
        <f>IF(OR(B178="",K178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8" s="16">
        <f>IF(OR(B178="",K178&lt;=0),"",IF(K178&gt;B178*0.05,"VOL-HIGH","VOL-NORMAL"))</f>
        <v/>
      </c>
      <c r="X178" s="16">
        <f>IF(OR(B178="",K178&lt;=0),"",IF(AND(L178="VOL-OK",W178="VOL-NORMAL",U178="2ND"),"OK","NG"))</f>
        <v/>
      </c>
      <c r="Y178" s="16">
        <f>IF(OR(B178="",K178&lt;=0),"",IF(AND(C178&gt;G178,D178&gt;H178),"UP",IF(AND(C178&lt;G178,D178&lt;H178),"DOWN","FLAT")))</f>
        <v/>
      </c>
    </row>
    <row r="179" ht="26" customHeight="1" s="1">
      <c r="A179" s="8">
        <f>IF('StockList_MS2'!A178="","",HYPERLINK("https://kabutan.jp/stock/?code="&amp;'StockList_MS2'!A178,'StockList_MS2'!A178))</f>
        <v/>
      </c>
      <c r="B179" s="9" t="n"/>
      <c r="C179" s="9" t="n"/>
      <c r="D179" s="9" t="n"/>
      <c r="E179" s="9" t="n"/>
      <c r="F179" s="10" t="n"/>
      <c r="G179" s="9" t="n"/>
      <c r="H179" s="9" t="n"/>
      <c r="I179" s="9" t="n"/>
      <c r="J179" s="11">
        <f>IF(B179="","",IF(B179&gt;I179,"BUY-DAY","SELL-DAY"))</f>
        <v/>
      </c>
      <c r="K179" s="12">
        <f>IF(B179="","",MAX(C179-D179,ABS(C179-I179),ABS(D179-I179)))</f>
        <v/>
      </c>
      <c r="L179" s="11">
        <f>IF(B179="","",IF(AND(F179&gt;0,F179&gt;(F179/3)*2.5),"VOL-OK","VOL-NG"))</f>
        <v/>
      </c>
      <c r="M179" s="11">
        <f>IF(B179="","",IF(B179&gt;G179,"ON","OFF"))</f>
        <v/>
      </c>
      <c r="N179" s="11">
        <f>IF(B179="","",IF(B179&lt;H179,"ON","OFF"))</f>
        <v/>
      </c>
      <c r="O179" s="11">
        <f>IF(OR(B179="",K179&lt;=0),"",IF(AND(J179="BUY-DAY",L179="VOL-OK",N179="ON",X179="OK",Y179&lt;&gt;"DOWN"),"BUY",IF(AND(J179="SELL-DAY",L179="VOL-OK",M179="ON",X179="OK",Y179&lt;&gt;"UP"),"SELL","")))</f>
        <v/>
      </c>
      <c r="P179" s="12">
        <f>IF(O179="","",B179)</f>
        <v/>
      </c>
      <c r="Q179" s="12">
        <f>IF(O179="","",IF(O179="BUY",B179-K179*1.5,B179+K179*1.5))</f>
        <v/>
      </c>
      <c r="R179" s="12">
        <f>IF(O179="","",IF(O179="BUY",B179+K179*1.5,B179-K179*1.5))</f>
        <v/>
      </c>
      <c r="S179" s="12">
        <f>IF(O179="","",IF(O179="BUY",B179+K179*2,B179-K179*2))</f>
        <v/>
      </c>
      <c r="T179" s="12">
        <f>IF(O179="","",IF(O179="BUY",B179+K179*3,B179-K179*3))</f>
        <v/>
      </c>
      <c r="U179" s="11">
        <f>IF(OR(B179="",K179&lt;=0),"",IF(AND(B179&gt;E179,ABS(B179-E179)&lt;K179*0.5),"2ND","1ST"))</f>
        <v/>
      </c>
      <c r="V179" s="11">
        <f>IF(OR(B179="",K179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9" s="11">
        <f>IF(OR(B179="",K179&lt;=0),"",IF(K179&gt;B179*0.05,"VOL-HIGH","VOL-NORMAL"))</f>
        <v/>
      </c>
      <c r="X179" s="11">
        <f>IF(OR(B179="",K179&lt;=0),"",IF(AND(L179="VOL-OK",W179="VOL-NORMAL",U179="2ND"),"OK","NG"))</f>
        <v/>
      </c>
      <c r="Y179" s="11">
        <f>IF(OR(B179="",K179&lt;=0),"",IF(AND(C179&gt;G179,D179&gt;H179),"UP",IF(AND(C179&lt;G179,D179&lt;H179),"DOWN","FLAT")))</f>
        <v/>
      </c>
    </row>
    <row r="180" ht="26" customHeight="1" s="1">
      <c r="A180" s="13">
        <f>IF('StockList_MS2'!A179="","",HYPERLINK("https://kabutan.jp/stock/?code="&amp;'StockList_MS2'!A179,'StockList_MS2'!A179))</f>
        <v/>
      </c>
      <c r="B180" s="14" t="n"/>
      <c r="C180" s="14" t="n"/>
      <c r="D180" s="14" t="n"/>
      <c r="E180" s="14" t="n"/>
      <c r="F180" s="15" t="n"/>
      <c r="G180" s="14" t="n"/>
      <c r="H180" s="14" t="n"/>
      <c r="I180" s="14" t="n"/>
      <c r="J180" s="16">
        <f>IF(B180="","",IF(B180&gt;I180,"BUY-DAY","SELL-DAY"))</f>
        <v/>
      </c>
      <c r="K180" s="17">
        <f>IF(B180="","",MAX(C180-D180,ABS(C180-I180),ABS(D180-I180)))</f>
        <v/>
      </c>
      <c r="L180" s="16">
        <f>IF(B180="","",IF(AND(F180&gt;0,F180&gt;(F180/3)*2.5),"VOL-OK","VOL-NG"))</f>
        <v/>
      </c>
      <c r="M180" s="16">
        <f>IF(B180="","",IF(B180&gt;G180,"ON","OFF"))</f>
        <v/>
      </c>
      <c r="N180" s="16">
        <f>IF(B180="","",IF(B180&lt;H180,"ON","OFF"))</f>
        <v/>
      </c>
      <c r="O180" s="16">
        <f>IF(OR(B180="",K180&lt;=0),"",IF(AND(J180="BUY-DAY",L180="VOL-OK",N180="ON",X180="OK",Y180&lt;&gt;"DOWN"),"BUY",IF(AND(J180="SELL-DAY",L180="VOL-OK",M180="ON",X180="OK",Y180&lt;&gt;"UP"),"SELL","")))</f>
        <v/>
      </c>
      <c r="P180" s="17">
        <f>IF(O180="","",B180)</f>
        <v/>
      </c>
      <c r="Q180" s="17">
        <f>IF(O180="","",IF(O180="BUY",B180-K180*1.5,B180+K180*1.5))</f>
        <v/>
      </c>
      <c r="R180" s="17">
        <f>IF(O180="","",IF(O180="BUY",B180+K180*1.5,B180-K180*1.5))</f>
        <v/>
      </c>
      <c r="S180" s="17">
        <f>IF(O180="","",IF(O180="BUY",B180+K180*2,B180-K180*2))</f>
        <v/>
      </c>
      <c r="T180" s="17">
        <f>IF(O180="","",IF(O180="BUY",B180+K180*3,B180-K180*3))</f>
        <v/>
      </c>
      <c r="U180" s="16">
        <f>IF(OR(B180="",K180&lt;=0),"",IF(AND(B180&gt;E180,ABS(B180-E180)&lt;K180*0.5),"2ND","1ST"))</f>
        <v/>
      </c>
      <c r="V180" s="16">
        <f>IF(OR(B180="",K180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0" s="16">
        <f>IF(OR(B180="",K180&lt;=0),"",IF(K180&gt;B180*0.05,"VOL-HIGH","VOL-NORMAL"))</f>
        <v/>
      </c>
      <c r="X180" s="16">
        <f>IF(OR(B180="",K180&lt;=0),"",IF(AND(L180="VOL-OK",W180="VOL-NORMAL",U180="2ND"),"OK","NG"))</f>
        <v/>
      </c>
      <c r="Y180" s="16">
        <f>IF(OR(B180="",K180&lt;=0),"",IF(AND(C180&gt;G180,D180&gt;H180),"UP",IF(AND(C180&lt;G180,D180&lt;H180),"DOWN","FLAT")))</f>
        <v/>
      </c>
    </row>
    <row r="181" ht="26" customHeight="1" s="1">
      <c r="A181" s="8">
        <f>IF('StockList_MS2'!A180="","",HYPERLINK("https://kabutan.jp/stock/?code="&amp;'StockList_MS2'!A180,'StockList_MS2'!A180))</f>
        <v/>
      </c>
      <c r="B181" s="9" t="n"/>
      <c r="C181" s="9" t="n"/>
      <c r="D181" s="9" t="n"/>
      <c r="E181" s="9" t="n"/>
      <c r="F181" s="10" t="n"/>
      <c r="G181" s="9" t="n"/>
      <c r="H181" s="9" t="n"/>
      <c r="I181" s="9" t="n"/>
      <c r="J181" s="11">
        <f>IF(B181="","",IF(B181&gt;I181,"BUY-DAY","SELL-DAY"))</f>
        <v/>
      </c>
      <c r="K181" s="12">
        <f>IF(B181="","",MAX(C181-D181,ABS(C181-I181),ABS(D181-I181)))</f>
        <v/>
      </c>
      <c r="L181" s="11">
        <f>IF(B181="","",IF(AND(F181&gt;0,F181&gt;(F181/3)*2.5),"VOL-OK","VOL-NG"))</f>
        <v/>
      </c>
      <c r="M181" s="11">
        <f>IF(B181="","",IF(B181&gt;G181,"ON","OFF"))</f>
        <v/>
      </c>
      <c r="N181" s="11">
        <f>IF(B181="","",IF(B181&lt;H181,"ON","OFF"))</f>
        <v/>
      </c>
      <c r="O181" s="11">
        <f>IF(OR(B181="",K181&lt;=0),"",IF(AND(J181="BUY-DAY",L181="VOL-OK",N181="ON",X181="OK",Y181&lt;&gt;"DOWN"),"BUY",IF(AND(J181="SELL-DAY",L181="VOL-OK",M181="ON",X181="OK",Y181&lt;&gt;"UP"),"SELL","")))</f>
        <v/>
      </c>
      <c r="P181" s="12">
        <f>IF(O181="","",B181)</f>
        <v/>
      </c>
      <c r="Q181" s="12">
        <f>IF(O181="","",IF(O181="BUY",B181-K181*1.5,B181+K181*1.5))</f>
        <v/>
      </c>
      <c r="R181" s="12">
        <f>IF(O181="","",IF(O181="BUY",B181+K181*1.5,B181-K181*1.5))</f>
        <v/>
      </c>
      <c r="S181" s="12">
        <f>IF(O181="","",IF(O181="BUY",B181+K181*2,B181-K181*2))</f>
        <v/>
      </c>
      <c r="T181" s="12">
        <f>IF(O181="","",IF(O181="BUY",B181+K181*3,B181-K181*3))</f>
        <v/>
      </c>
      <c r="U181" s="11">
        <f>IF(OR(B181="",K181&lt;=0),"",IF(AND(B181&gt;E181,ABS(B181-E181)&lt;K181*0.5),"2ND","1ST"))</f>
        <v/>
      </c>
      <c r="V181" s="11">
        <f>IF(OR(B181="",K181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1" s="11">
        <f>IF(OR(B181="",K181&lt;=0),"",IF(K181&gt;B181*0.05,"VOL-HIGH","VOL-NORMAL"))</f>
        <v/>
      </c>
      <c r="X181" s="11">
        <f>IF(OR(B181="",K181&lt;=0),"",IF(AND(L181="VOL-OK",W181="VOL-NORMAL",U181="2ND"),"OK","NG"))</f>
        <v/>
      </c>
      <c r="Y181" s="11">
        <f>IF(OR(B181="",K181&lt;=0),"",IF(AND(C181&gt;G181,D181&gt;H181),"UP",IF(AND(C181&lt;G181,D181&lt;H181),"DOWN","FLAT")))</f>
        <v/>
      </c>
    </row>
    <row r="182" ht="26" customHeight="1" s="1">
      <c r="A182" s="13">
        <f>IF('StockList_MS2'!A181="","",HYPERLINK("https://kabutan.jp/stock/?code="&amp;'StockList_MS2'!A181,'StockList_MS2'!A181))</f>
        <v/>
      </c>
      <c r="B182" s="14" t="n"/>
      <c r="C182" s="14" t="n"/>
      <c r="D182" s="14" t="n"/>
      <c r="E182" s="14" t="n"/>
      <c r="F182" s="15" t="n"/>
      <c r="G182" s="14" t="n"/>
      <c r="H182" s="14" t="n"/>
      <c r="I182" s="14" t="n"/>
      <c r="J182" s="16">
        <f>IF(B182="","",IF(B182&gt;I182,"BUY-DAY","SELL-DAY"))</f>
        <v/>
      </c>
      <c r="K182" s="17">
        <f>IF(B182="","",MAX(C182-D182,ABS(C182-I182),ABS(D182-I182)))</f>
        <v/>
      </c>
      <c r="L182" s="16">
        <f>IF(B182="","",IF(AND(F182&gt;0,F182&gt;(F182/3)*2.5),"VOL-OK","VOL-NG"))</f>
        <v/>
      </c>
      <c r="M182" s="16">
        <f>IF(B182="","",IF(B182&gt;G182,"ON","OFF"))</f>
        <v/>
      </c>
      <c r="N182" s="16">
        <f>IF(B182="","",IF(B182&lt;H182,"ON","OFF"))</f>
        <v/>
      </c>
      <c r="O182" s="16">
        <f>IF(OR(B182="",K182&lt;=0),"",IF(AND(J182="BUY-DAY",L182="VOL-OK",N182="ON",X182="OK",Y182&lt;&gt;"DOWN"),"BUY",IF(AND(J182="SELL-DAY",L182="VOL-OK",M182="ON",X182="OK",Y182&lt;&gt;"UP"),"SELL","")))</f>
        <v/>
      </c>
      <c r="P182" s="17">
        <f>IF(O182="","",B182)</f>
        <v/>
      </c>
      <c r="Q182" s="17">
        <f>IF(O182="","",IF(O182="BUY",B182-K182*1.5,B182+K182*1.5))</f>
        <v/>
      </c>
      <c r="R182" s="17">
        <f>IF(O182="","",IF(O182="BUY",B182+K182*1.5,B182-K182*1.5))</f>
        <v/>
      </c>
      <c r="S182" s="17">
        <f>IF(O182="","",IF(O182="BUY",B182+K182*2,B182-K182*2))</f>
        <v/>
      </c>
      <c r="T182" s="17">
        <f>IF(O182="","",IF(O182="BUY",B182+K182*3,B182-K182*3))</f>
        <v/>
      </c>
      <c r="U182" s="16">
        <f>IF(OR(B182="",K182&lt;=0),"",IF(AND(B182&gt;E182,ABS(B182-E182)&lt;K182*0.5),"2ND","1ST"))</f>
        <v/>
      </c>
      <c r="V182" s="16">
        <f>IF(OR(B182="",K182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2" s="16">
        <f>IF(OR(B182="",K182&lt;=0),"",IF(K182&gt;B182*0.05,"VOL-HIGH","VOL-NORMAL"))</f>
        <v/>
      </c>
      <c r="X182" s="16">
        <f>IF(OR(B182="",K182&lt;=0),"",IF(AND(L182="VOL-OK",W182="VOL-NORMAL",U182="2ND"),"OK","NG"))</f>
        <v/>
      </c>
      <c r="Y182" s="16">
        <f>IF(OR(B182="",K182&lt;=0),"",IF(AND(C182&gt;G182,D182&gt;H182),"UP",IF(AND(C182&lt;G182,D182&lt;H182),"DOWN","FLAT")))</f>
        <v/>
      </c>
    </row>
    <row r="183" ht="26" customHeight="1" s="1">
      <c r="A183" s="8">
        <f>IF('StockList_MS2'!A182="","",HYPERLINK("https://kabutan.jp/stock/?code="&amp;'StockList_MS2'!A182,'StockList_MS2'!A182))</f>
        <v/>
      </c>
      <c r="B183" s="9" t="n"/>
      <c r="C183" s="9" t="n"/>
      <c r="D183" s="9" t="n"/>
      <c r="E183" s="9" t="n"/>
      <c r="F183" s="10" t="n"/>
      <c r="G183" s="9" t="n"/>
      <c r="H183" s="9" t="n"/>
      <c r="I183" s="9" t="n"/>
      <c r="J183" s="11">
        <f>IF(B183="","",IF(B183&gt;I183,"BUY-DAY","SELL-DAY"))</f>
        <v/>
      </c>
      <c r="K183" s="12">
        <f>IF(B183="","",MAX(C183-D183,ABS(C183-I183),ABS(D183-I183)))</f>
        <v/>
      </c>
      <c r="L183" s="11">
        <f>IF(B183="","",IF(AND(F183&gt;0,F183&gt;(F183/3)*2.5),"VOL-OK","VOL-NG"))</f>
        <v/>
      </c>
      <c r="M183" s="11">
        <f>IF(B183="","",IF(B183&gt;G183,"ON","OFF"))</f>
        <v/>
      </c>
      <c r="N183" s="11">
        <f>IF(B183="","",IF(B183&lt;H183,"ON","OFF"))</f>
        <v/>
      </c>
      <c r="O183" s="11">
        <f>IF(OR(B183="",K183&lt;=0),"",IF(AND(J183="BUY-DAY",L183="VOL-OK",N183="ON",X183="OK",Y183&lt;&gt;"DOWN"),"BUY",IF(AND(J183="SELL-DAY",L183="VOL-OK",M183="ON",X183="OK",Y183&lt;&gt;"UP"),"SELL","")))</f>
        <v/>
      </c>
      <c r="P183" s="12">
        <f>IF(O183="","",B183)</f>
        <v/>
      </c>
      <c r="Q183" s="12">
        <f>IF(O183="","",IF(O183="BUY",B183-K183*1.5,B183+K183*1.5))</f>
        <v/>
      </c>
      <c r="R183" s="12">
        <f>IF(O183="","",IF(O183="BUY",B183+K183*1.5,B183-K183*1.5))</f>
        <v/>
      </c>
      <c r="S183" s="12">
        <f>IF(O183="","",IF(O183="BUY",B183+K183*2,B183-K183*2))</f>
        <v/>
      </c>
      <c r="T183" s="12">
        <f>IF(O183="","",IF(O183="BUY",B183+K183*3,B183-K183*3))</f>
        <v/>
      </c>
      <c r="U183" s="11">
        <f>IF(OR(B183="",K183&lt;=0),"",IF(AND(B183&gt;E183,ABS(B183-E183)&lt;K183*0.5),"2ND","1ST"))</f>
        <v/>
      </c>
      <c r="V183" s="11">
        <f>IF(OR(B183="",K183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3" s="11">
        <f>IF(OR(B183="",K183&lt;=0),"",IF(K183&gt;B183*0.05,"VOL-HIGH","VOL-NORMAL"))</f>
        <v/>
      </c>
      <c r="X183" s="11">
        <f>IF(OR(B183="",K183&lt;=0),"",IF(AND(L183="VOL-OK",W183="VOL-NORMAL",U183="2ND"),"OK","NG"))</f>
        <v/>
      </c>
      <c r="Y183" s="11">
        <f>IF(OR(B183="",K183&lt;=0),"",IF(AND(C183&gt;G183,D183&gt;H183),"UP",IF(AND(C183&lt;G183,D183&lt;H183),"DOWN","FLAT")))</f>
        <v/>
      </c>
    </row>
    <row r="184" ht="26" customHeight="1" s="1">
      <c r="A184" s="13">
        <f>IF('StockList_MS2'!A183="","",HYPERLINK("https://kabutan.jp/stock/?code="&amp;'StockList_MS2'!A183,'StockList_MS2'!A183))</f>
        <v/>
      </c>
      <c r="B184" s="14" t="n"/>
      <c r="C184" s="14" t="n"/>
      <c r="D184" s="14" t="n"/>
      <c r="E184" s="14" t="n"/>
      <c r="F184" s="15" t="n"/>
      <c r="G184" s="14" t="n"/>
      <c r="H184" s="14" t="n"/>
      <c r="I184" s="14" t="n"/>
      <c r="J184" s="16">
        <f>IF(B184="","",IF(B184&gt;I184,"BUY-DAY","SELL-DAY"))</f>
        <v/>
      </c>
      <c r="K184" s="17">
        <f>IF(B184="","",MAX(C184-D184,ABS(C184-I184),ABS(D184-I184)))</f>
        <v/>
      </c>
      <c r="L184" s="16">
        <f>IF(B184="","",IF(AND(F184&gt;0,F184&gt;(F184/3)*2.5),"VOL-OK","VOL-NG"))</f>
        <v/>
      </c>
      <c r="M184" s="16">
        <f>IF(B184="","",IF(B184&gt;G184,"ON","OFF"))</f>
        <v/>
      </c>
      <c r="N184" s="16">
        <f>IF(B184="","",IF(B184&lt;H184,"ON","OFF"))</f>
        <v/>
      </c>
      <c r="O184" s="16">
        <f>IF(OR(B184="",K184&lt;=0),"",IF(AND(J184="BUY-DAY",L184="VOL-OK",N184="ON",X184="OK",Y184&lt;&gt;"DOWN"),"BUY",IF(AND(J184="SELL-DAY",L184="VOL-OK",M184="ON",X184="OK",Y184&lt;&gt;"UP"),"SELL","")))</f>
        <v/>
      </c>
      <c r="P184" s="17">
        <f>IF(O184="","",B184)</f>
        <v/>
      </c>
      <c r="Q184" s="17">
        <f>IF(O184="","",IF(O184="BUY",B184-K184*1.5,B184+K184*1.5))</f>
        <v/>
      </c>
      <c r="R184" s="17">
        <f>IF(O184="","",IF(O184="BUY",B184+K184*1.5,B184-K184*1.5))</f>
        <v/>
      </c>
      <c r="S184" s="17">
        <f>IF(O184="","",IF(O184="BUY",B184+K184*2,B184-K184*2))</f>
        <v/>
      </c>
      <c r="T184" s="17">
        <f>IF(O184="","",IF(O184="BUY",B184+K184*3,B184-K184*3))</f>
        <v/>
      </c>
      <c r="U184" s="16">
        <f>IF(OR(B184="",K184&lt;=0),"",IF(AND(B184&gt;E184,ABS(B184-E184)&lt;K184*0.5),"2ND","1ST"))</f>
        <v/>
      </c>
      <c r="V184" s="16">
        <f>IF(OR(B184="",K184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4" s="16">
        <f>IF(OR(B184="",K184&lt;=0),"",IF(K184&gt;B184*0.05,"VOL-HIGH","VOL-NORMAL"))</f>
        <v/>
      </c>
      <c r="X184" s="16">
        <f>IF(OR(B184="",K184&lt;=0),"",IF(AND(L184="VOL-OK",W184="VOL-NORMAL",U184="2ND"),"OK","NG"))</f>
        <v/>
      </c>
      <c r="Y184" s="16">
        <f>IF(OR(B184="",K184&lt;=0),"",IF(AND(C184&gt;G184,D184&gt;H184),"UP",IF(AND(C184&lt;G184,D184&lt;H184),"DOWN","FLAT")))</f>
        <v/>
      </c>
    </row>
    <row r="185" ht="26" customHeight="1" s="1">
      <c r="A185" s="8">
        <f>IF('StockList_MS2'!A184="","",HYPERLINK("https://kabutan.jp/stock/?code="&amp;'StockList_MS2'!A184,'StockList_MS2'!A184))</f>
        <v/>
      </c>
      <c r="B185" s="9" t="n"/>
      <c r="C185" s="9" t="n"/>
      <c r="D185" s="9" t="n"/>
      <c r="E185" s="9" t="n"/>
      <c r="F185" s="10" t="n"/>
      <c r="G185" s="9" t="n"/>
      <c r="H185" s="9" t="n"/>
      <c r="I185" s="9" t="n"/>
      <c r="J185" s="11">
        <f>IF(B185="","",IF(B185&gt;I185,"BUY-DAY","SELL-DAY"))</f>
        <v/>
      </c>
      <c r="K185" s="12">
        <f>IF(B185="","",MAX(C185-D185,ABS(C185-I185),ABS(D185-I185)))</f>
        <v/>
      </c>
      <c r="L185" s="11">
        <f>IF(B185="","",IF(AND(F185&gt;0,F185&gt;(F185/3)*2.5),"VOL-OK","VOL-NG"))</f>
        <v/>
      </c>
      <c r="M185" s="11">
        <f>IF(B185="","",IF(B185&gt;G185,"ON","OFF"))</f>
        <v/>
      </c>
      <c r="N185" s="11">
        <f>IF(B185="","",IF(B185&lt;H185,"ON","OFF"))</f>
        <v/>
      </c>
      <c r="O185" s="11">
        <f>IF(OR(B185="",K185&lt;=0),"",IF(AND(J185="BUY-DAY",L185="VOL-OK",N185="ON",X185="OK",Y185&lt;&gt;"DOWN"),"BUY",IF(AND(J185="SELL-DAY",L185="VOL-OK",M185="ON",X185="OK",Y185&lt;&gt;"UP"),"SELL","")))</f>
        <v/>
      </c>
      <c r="P185" s="12">
        <f>IF(O185="","",B185)</f>
        <v/>
      </c>
      <c r="Q185" s="12">
        <f>IF(O185="","",IF(O185="BUY",B185-K185*1.5,B185+K185*1.5))</f>
        <v/>
      </c>
      <c r="R185" s="12">
        <f>IF(O185="","",IF(O185="BUY",B185+K185*1.5,B185-K185*1.5))</f>
        <v/>
      </c>
      <c r="S185" s="12">
        <f>IF(O185="","",IF(O185="BUY",B185+K185*2,B185-K185*2))</f>
        <v/>
      </c>
      <c r="T185" s="12">
        <f>IF(O185="","",IF(O185="BUY",B185+K185*3,B185-K185*3))</f>
        <v/>
      </c>
      <c r="U185" s="11">
        <f>IF(OR(B185="",K185&lt;=0),"",IF(AND(B185&gt;E185,ABS(B185-E185)&lt;K185*0.5),"2ND","1ST"))</f>
        <v/>
      </c>
      <c r="V185" s="11">
        <f>IF(OR(B185="",K185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5" s="11">
        <f>IF(OR(B185="",K185&lt;=0),"",IF(K185&gt;B185*0.05,"VOL-HIGH","VOL-NORMAL"))</f>
        <v/>
      </c>
      <c r="X185" s="11">
        <f>IF(OR(B185="",K185&lt;=0),"",IF(AND(L185="VOL-OK",W185="VOL-NORMAL",U185="2ND"),"OK","NG"))</f>
        <v/>
      </c>
      <c r="Y185" s="11">
        <f>IF(OR(B185="",K185&lt;=0),"",IF(AND(C185&gt;G185,D185&gt;H185),"UP",IF(AND(C185&lt;G185,D185&lt;H185),"DOWN","FLAT")))</f>
        <v/>
      </c>
    </row>
    <row r="186" ht="26" customHeight="1" s="1">
      <c r="A186" s="13">
        <f>IF('StockList_MS2'!A185="","",HYPERLINK("https://kabutan.jp/stock/?code="&amp;'StockList_MS2'!A185,'StockList_MS2'!A185))</f>
        <v/>
      </c>
      <c r="B186" s="14" t="n"/>
      <c r="C186" s="14" t="n"/>
      <c r="D186" s="14" t="n"/>
      <c r="E186" s="14" t="n"/>
      <c r="F186" s="15" t="n"/>
      <c r="G186" s="14" t="n"/>
      <c r="H186" s="14" t="n"/>
      <c r="I186" s="14" t="n"/>
      <c r="J186" s="16">
        <f>IF(B186="","",IF(B186&gt;I186,"BUY-DAY","SELL-DAY"))</f>
        <v/>
      </c>
      <c r="K186" s="17">
        <f>IF(B186="","",MAX(C186-D186,ABS(C186-I186),ABS(D186-I186)))</f>
        <v/>
      </c>
      <c r="L186" s="16">
        <f>IF(B186="","",IF(AND(F186&gt;0,F186&gt;(F186/3)*2.5),"VOL-OK","VOL-NG"))</f>
        <v/>
      </c>
      <c r="M186" s="16">
        <f>IF(B186="","",IF(B186&gt;G186,"ON","OFF"))</f>
        <v/>
      </c>
      <c r="N186" s="16">
        <f>IF(B186="","",IF(B186&lt;H186,"ON","OFF"))</f>
        <v/>
      </c>
      <c r="O186" s="16">
        <f>IF(OR(B186="",K186&lt;=0),"",IF(AND(J186="BUY-DAY",L186="VOL-OK",N186="ON",X186="OK",Y186&lt;&gt;"DOWN"),"BUY",IF(AND(J186="SELL-DAY",L186="VOL-OK",M186="ON",X186="OK",Y186&lt;&gt;"UP"),"SELL","")))</f>
        <v/>
      </c>
      <c r="P186" s="17">
        <f>IF(O186="","",B186)</f>
        <v/>
      </c>
      <c r="Q186" s="17">
        <f>IF(O186="","",IF(O186="BUY",B186-K186*1.5,B186+K186*1.5))</f>
        <v/>
      </c>
      <c r="R186" s="17">
        <f>IF(O186="","",IF(O186="BUY",B186+K186*1.5,B186-K186*1.5))</f>
        <v/>
      </c>
      <c r="S186" s="17">
        <f>IF(O186="","",IF(O186="BUY",B186+K186*2,B186-K186*2))</f>
        <v/>
      </c>
      <c r="T186" s="17">
        <f>IF(O186="","",IF(O186="BUY",B186+K186*3,B186-K186*3))</f>
        <v/>
      </c>
      <c r="U186" s="16">
        <f>IF(OR(B186="",K186&lt;=0),"",IF(AND(B186&gt;E186,ABS(B186-E186)&lt;K186*0.5),"2ND","1ST"))</f>
        <v/>
      </c>
      <c r="V186" s="16">
        <f>IF(OR(B186="",K186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6" s="16">
        <f>IF(OR(B186="",K186&lt;=0),"",IF(K186&gt;B186*0.05,"VOL-HIGH","VOL-NORMAL"))</f>
        <v/>
      </c>
      <c r="X186" s="16">
        <f>IF(OR(B186="",K186&lt;=0),"",IF(AND(L186="VOL-OK",W186="VOL-NORMAL",U186="2ND"),"OK","NG"))</f>
        <v/>
      </c>
      <c r="Y186" s="16">
        <f>IF(OR(B186="",K186&lt;=0),"",IF(AND(C186&gt;G186,D186&gt;H186),"UP",IF(AND(C186&lt;G186,D186&lt;H186),"DOWN","FLAT")))</f>
        <v/>
      </c>
    </row>
    <row r="187" ht="26" customHeight="1" s="1">
      <c r="A187" s="8">
        <f>IF('StockList_MS2'!A186="","",HYPERLINK("https://kabutan.jp/stock/?code="&amp;'StockList_MS2'!A186,'StockList_MS2'!A186))</f>
        <v/>
      </c>
      <c r="B187" s="9" t="n"/>
      <c r="C187" s="9" t="n"/>
      <c r="D187" s="9" t="n"/>
      <c r="E187" s="9" t="n"/>
      <c r="F187" s="10" t="n"/>
      <c r="G187" s="9" t="n"/>
      <c r="H187" s="9" t="n"/>
      <c r="I187" s="9" t="n"/>
      <c r="J187" s="11">
        <f>IF(B187="","",IF(B187&gt;I187,"BUY-DAY","SELL-DAY"))</f>
        <v/>
      </c>
      <c r="K187" s="12">
        <f>IF(B187="","",MAX(C187-D187,ABS(C187-I187),ABS(D187-I187)))</f>
        <v/>
      </c>
      <c r="L187" s="11">
        <f>IF(B187="","",IF(AND(F187&gt;0,F187&gt;(F187/3)*2.5),"VOL-OK","VOL-NG"))</f>
        <v/>
      </c>
      <c r="M187" s="11">
        <f>IF(B187="","",IF(B187&gt;G187,"ON","OFF"))</f>
        <v/>
      </c>
      <c r="N187" s="11">
        <f>IF(B187="","",IF(B187&lt;H187,"ON","OFF"))</f>
        <v/>
      </c>
      <c r="O187" s="11">
        <f>IF(OR(B187="",K187&lt;=0),"",IF(AND(J187="BUY-DAY",L187="VOL-OK",N187="ON",X187="OK",Y187&lt;&gt;"DOWN"),"BUY",IF(AND(J187="SELL-DAY",L187="VOL-OK",M187="ON",X187="OK",Y187&lt;&gt;"UP"),"SELL","")))</f>
        <v/>
      </c>
      <c r="P187" s="12">
        <f>IF(O187="","",B187)</f>
        <v/>
      </c>
      <c r="Q187" s="12">
        <f>IF(O187="","",IF(O187="BUY",B187-K187*1.5,B187+K187*1.5))</f>
        <v/>
      </c>
      <c r="R187" s="12">
        <f>IF(O187="","",IF(O187="BUY",B187+K187*1.5,B187-K187*1.5))</f>
        <v/>
      </c>
      <c r="S187" s="12">
        <f>IF(O187="","",IF(O187="BUY",B187+K187*2,B187-K187*2))</f>
        <v/>
      </c>
      <c r="T187" s="12">
        <f>IF(O187="","",IF(O187="BUY",B187+K187*3,B187-K187*3))</f>
        <v/>
      </c>
      <c r="U187" s="11">
        <f>IF(OR(B187="",K187&lt;=0),"",IF(AND(B187&gt;E187,ABS(B187-E187)&lt;K187*0.5),"2ND","1ST"))</f>
        <v/>
      </c>
      <c r="V187" s="11">
        <f>IF(OR(B187="",K187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7" s="11">
        <f>IF(OR(B187="",K187&lt;=0),"",IF(K187&gt;B187*0.05,"VOL-HIGH","VOL-NORMAL"))</f>
        <v/>
      </c>
      <c r="X187" s="11">
        <f>IF(OR(B187="",K187&lt;=0),"",IF(AND(L187="VOL-OK",W187="VOL-NORMAL",U187="2ND"),"OK","NG"))</f>
        <v/>
      </c>
      <c r="Y187" s="11">
        <f>IF(OR(B187="",K187&lt;=0),"",IF(AND(C187&gt;G187,D187&gt;H187),"UP",IF(AND(C187&lt;G187,D187&lt;H187),"DOWN","FLAT")))</f>
        <v/>
      </c>
    </row>
    <row r="188" ht="26" customHeight="1" s="1">
      <c r="A188" s="13">
        <f>IF('StockList_MS2'!A187="","",HYPERLINK("https://kabutan.jp/stock/?code="&amp;'StockList_MS2'!A187,'StockList_MS2'!A187))</f>
        <v/>
      </c>
      <c r="B188" s="14" t="n"/>
      <c r="C188" s="14" t="n"/>
      <c r="D188" s="14" t="n"/>
      <c r="E188" s="14" t="n"/>
      <c r="F188" s="15" t="n"/>
      <c r="G188" s="14" t="n"/>
      <c r="H188" s="14" t="n"/>
      <c r="I188" s="14" t="n"/>
      <c r="J188" s="16">
        <f>IF(B188="","",IF(B188&gt;I188,"BUY-DAY","SELL-DAY"))</f>
        <v/>
      </c>
      <c r="K188" s="17">
        <f>IF(B188="","",MAX(C188-D188,ABS(C188-I188),ABS(D188-I188)))</f>
        <v/>
      </c>
      <c r="L188" s="16">
        <f>IF(B188="","",IF(AND(F188&gt;0,F188&gt;(F188/3)*2.5),"VOL-OK","VOL-NG"))</f>
        <v/>
      </c>
      <c r="M188" s="16">
        <f>IF(B188="","",IF(B188&gt;G188,"ON","OFF"))</f>
        <v/>
      </c>
      <c r="N188" s="16">
        <f>IF(B188="","",IF(B188&lt;H188,"ON","OFF"))</f>
        <v/>
      </c>
      <c r="O188" s="16">
        <f>IF(OR(B188="",K188&lt;=0),"",IF(AND(J188="BUY-DAY",L188="VOL-OK",N188="ON",X188="OK",Y188&lt;&gt;"DOWN"),"BUY",IF(AND(J188="SELL-DAY",L188="VOL-OK",M188="ON",X188="OK",Y188&lt;&gt;"UP"),"SELL","")))</f>
        <v/>
      </c>
      <c r="P188" s="17">
        <f>IF(O188="","",B188)</f>
        <v/>
      </c>
      <c r="Q188" s="17">
        <f>IF(O188="","",IF(O188="BUY",B188-K188*1.5,B188+K188*1.5))</f>
        <v/>
      </c>
      <c r="R188" s="17">
        <f>IF(O188="","",IF(O188="BUY",B188+K188*1.5,B188-K188*1.5))</f>
        <v/>
      </c>
      <c r="S188" s="17">
        <f>IF(O188="","",IF(O188="BUY",B188+K188*2,B188-K188*2))</f>
        <v/>
      </c>
      <c r="T188" s="17">
        <f>IF(O188="","",IF(O188="BUY",B188+K188*3,B188-K188*3))</f>
        <v/>
      </c>
      <c r="U188" s="16">
        <f>IF(OR(B188="",K188&lt;=0),"",IF(AND(B188&gt;E188,ABS(B188-E188)&lt;K188*0.5),"2ND","1ST"))</f>
        <v/>
      </c>
      <c r="V188" s="16">
        <f>IF(OR(B188="",K188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8" s="16">
        <f>IF(OR(B188="",K188&lt;=0),"",IF(K188&gt;B188*0.05,"VOL-HIGH","VOL-NORMAL"))</f>
        <v/>
      </c>
      <c r="X188" s="16">
        <f>IF(OR(B188="",K188&lt;=0),"",IF(AND(L188="VOL-OK",W188="VOL-NORMAL",U188="2ND"),"OK","NG"))</f>
        <v/>
      </c>
      <c r="Y188" s="16">
        <f>IF(OR(B188="",K188&lt;=0),"",IF(AND(C188&gt;G188,D188&gt;H188),"UP",IF(AND(C188&lt;G188,D188&lt;H188),"DOWN","FLAT")))</f>
        <v/>
      </c>
    </row>
    <row r="189" ht="26" customHeight="1" s="1">
      <c r="A189" s="8">
        <f>IF('StockList_MS2'!A188="","",HYPERLINK("https://kabutan.jp/stock/?code="&amp;'StockList_MS2'!A188,'StockList_MS2'!A188))</f>
        <v/>
      </c>
      <c r="B189" s="9" t="n"/>
      <c r="C189" s="9" t="n"/>
      <c r="D189" s="9" t="n"/>
      <c r="E189" s="9" t="n"/>
      <c r="F189" s="10" t="n"/>
      <c r="G189" s="9" t="n"/>
      <c r="H189" s="9" t="n"/>
      <c r="I189" s="9" t="n"/>
      <c r="J189" s="11">
        <f>IF(B189="","",IF(B189&gt;I189,"BUY-DAY","SELL-DAY"))</f>
        <v/>
      </c>
      <c r="K189" s="12">
        <f>IF(B189="","",MAX(C189-D189,ABS(C189-I189),ABS(D189-I189)))</f>
        <v/>
      </c>
      <c r="L189" s="11">
        <f>IF(B189="","",IF(AND(F189&gt;0,F189&gt;(F189/3)*2.5),"VOL-OK","VOL-NG"))</f>
        <v/>
      </c>
      <c r="M189" s="11">
        <f>IF(B189="","",IF(B189&gt;G189,"ON","OFF"))</f>
        <v/>
      </c>
      <c r="N189" s="11">
        <f>IF(B189="","",IF(B189&lt;H189,"ON","OFF"))</f>
        <v/>
      </c>
      <c r="O189" s="11">
        <f>IF(OR(B189="",K189&lt;=0),"",IF(AND(J189="BUY-DAY",L189="VOL-OK",N189="ON",X189="OK",Y189&lt;&gt;"DOWN"),"BUY",IF(AND(J189="SELL-DAY",L189="VOL-OK",M189="ON",X189="OK",Y189&lt;&gt;"UP"),"SELL","")))</f>
        <v/>
      </c>
      <c r="P189" s="12">
        <f>IF(O189="","",B189)</f>
        <v/>
      </c>
      <c r="Q189" s="12">
        <f>IF(O189="","",IF(O189="BUY",B189-K189*1.5,B189+K189*1.5))</f>
        <v/>
      </c>
      <c r="R189" s="12">
        <f>IF(O189="","",IF(O189="BUY",B189+K189*1.5,B189-K189*1.5))</f>
        <v/>
      </c>
      <c r="S189" s="12">
        <f>IF(O189="","",IF(O189="BUY",B189+K189*2,B189-K189*2))</f>
        <v/>
      </c>
      <c r="T189" s="12">
        <f>IF(O189="","",IF(O189="BUY",B189+K189*3,B189-K189*3))</f>
        <v/>
      </c>
      <c r="U189" s="11">
        <f>IF(OR(B189="",K189&lt;=0),"",IF(AND(B189&gt;E189,ABS(B189-E189)&lt;K189*0.5),"2ND","1ST"))</f>
        <v/>
      </c>
      <c r="V189" s="11">
        <f>IF(OR(B189="",K189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9" s="11">
        <f>IF(OR(B189="",K189&lt;=0),"",IF(K189&gt;B189*0.05,"VOL-HIGH","VOL-NORMAL"))</f>
        <v/>
      </c>
      <c r="X189" s="11">
        <f>IF(OR(B189="",K189&lt;=0),"",IF(AND(L189="VOL-OK",W189="VOL-NORMAL",U189="2ND"),"OK","NG"))</f>
        <v/>
      </c>
      <c r="Y189" s="11">
        <f>IF(OR(B189="",K189&lt;=0),"",IF(AND(C189&gt;G189,D189&gt;H189),"UP",IF(AND(C189&lt;G189,D189&lt;H189),"DOWN","FLAT")))</f>
        <v/>
      </c>
    </row>
    <row r="190" ht="26" customHeight="1" s="1">
      <c r="A190" s="13">
        <f>IF('StockList_MS2'!A189="","",HYPERLINK("https://kabutan.jp/stock/?code="&amp;'StockList_MS2'!A189,'StockList_MS2'!A189))</f>
        <v/>
      </c>
      <c r="B190" s="14" t="n"/>
      <c r="C190" s="14" t="n"/>
      <c r="D190" s="14" t="n"/>
      <c r="E190" s="14" t="n"/>
      <c r="F190" s="15" t="n"/>
      <c r="G190" s="14" t="n"/>
      <c r="H190" s="14" t="n"/>
      <c r="I190" s="14" t="n"/>
      <c r="J190" s="16">
        <f>IF(B190="","",IF(B190&gt;I190,"BUY-DAY","SELL-DAY"))</f>
        <v/>
      </c>
      <c r="K190" s="17">
        <f>IF(B190="","",MAX(C190-D190,ABS(C190-I190),ABS(D190-I190)))</f>
        <v/>
      </c>
      <c r="L190" s="16">
        <f>IF(B190="","",IF(AND(F190&gt;0,F190&gt;(F190/3)*2.5),"VOL-OK","VOL-NG"))</f>
        <v/>
      </c>
      <c r="M190" s="16">
        <f>IF(B190="","",IF(B190&gt;G190,"ON","OFF"))</f>
        <v/>
      </c>
      <c r="N190" s="16">
        <f>IF(B190="","",IF(B190&lt;H190,"ON","OFF"))</f>
        <v/>
      </c>
      <c r="O190" s="16">
        <f>IF(OR(B190="",K190&lt;=0),"",IF(AND(J190="BUY-DAY",L190="VOL-OK",N190="ON",X190="OK",Y190&lt;&gt;"DOWN"),"BUY",IF(AND(J190="SELL-DAY",L190="VOL-OK",M190="ON",X190="OK",Y190&lt;&gt;"UP"),"SELL","")))</f>
        <v/>
      </c>
      <c r="P190" s="17">
        <f>IF(O190="","",B190)</f>
        <v/>
      </c>
      <c r="Q190" s="17">
        <f>IF(O190="","",IF(O190="BUY",B190-K190*1.5,B190+K190*1.5))</f>
        <v/>
      </c>
      <c r="R190" s="17">
        <f>IF(O190="","",IF(O190="BUY",B190+K190*1.5,B190-K190*1.5))</f>
        <v/>
      </c>
      <c r="S190" s="17">
        <f>IF(O190="","",IF(O190="BUY",B190+K190*2,B190-K190*2))</f>
        <v/>
      </c>
      <c r="T190" s="17">
        <f>IF(O190="","",IF(O190="BUY",B190+K190*3,B190-K190*3))</f>
        <v/>
      </c>
      <c r="U190" s="16">
        <f>IF(OR(B190="",K190&lt;=0),"",IF(AND(B190&gt;E190,ABS(B190-E190)&lt;K190*0.5),"2ND","1ST"))</f>
        <v/>
      </c>
      <c r="V190" s="16">
        <f>IF(OR(B190="",K190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0" s="16">
        <f>IF(OR(B190="",K190&lt;=0),"",IF(K190&gt;B190*0.05,"VOL-HIGH","VOL-NORMAL"))</f>
        <v/>
      </c>
      <c r="X190" s="16">
        <f>IF(OR(B190="",K190&lt;=0),"",IF(AND(L190="VOL-OK",W190="VOL-NORMAL",U190="2ND"),"OK","NG"))</f>
        <v/>
      </c>
      <c r="Y190" s="16">
        <f>IF(OR(B190="",K190&lt;=0),"",IF(AND(C190&gt;G190,D190&gt;H190),"UP",IF(AND(C190&lt;G190,D190&lt;H190),"DOWN","FLAT")))</f>
        <v/>
      </c>
    </row>
    <row r="191" ht="26" customHeight="1" s="1">
      <c r="A191" s="8">
        <f>IF('StockList_MS2'!A190="","",HYPERLINK("https://kabutan.jp/stock/?code="&amp;'StockList_MS2'!A190,'StockList_MS2'!A190))</f>
        <v/>
      </c>
      <c r="B191" s="9" t="n"/>
      <c r="C191" s="9" t="n"/>
      <c r="D191" s="9" t="n"/>
      <c r="E191" s="9" t="n"/>
      <c r="F191" s="10" t="n"/>
      <c r="G191" s="9" t="n"/>
      <c r="H191" s="9" t="n"/>
      <c r="I191" s="9" t="n"/>
      <c r="J191" s="11">
        <f>IF(B191="","",IF(B191&gt;I191,"BUY-DAY","SELL-DAY"))</f>
        <v/>
      </c>
      <c r="K191" s="12">
        <f>IF(B191="","",MAX(C191-D191,ABS(C191-I191),ABS(D191-I191)))</f>
        <v/>
      </c>
      <c r="L191" s="11">
        <f>IF(B191="","",IF(AND(F191&gt;0,F191&gt;(F191/3)*2.5),"VOL-OK","VOL-NG"))</f>
        <v/>
      </c>
      <c r="M191" s="11">
        <f>IF(B191="","",IF(B191&gt;G191,"ON","OFF"))</f>
        <v/>
      </c>
      <c r="N191" s="11">
        <f>IF(B191="","",IF(B191&lt;H191,"ON","OFF"))</f>
        <v/>
      </c>
      <c r="O191" s="11">
        <f>IF(OR(B191="",K191&lt;=0),"",IF(AND(J191="BUY-DAY",L191="VOL-OK",N191="ON",X191="OK",Y191&lt;&gt;"DOWN"),"BUY",IF(AND(J191="SELL-DAY",L191="VOL-OK",M191="ON",X191="OK",Y191&lt;&gt;"UP"),"SELL","")))</f>
        <v/>
      </c>
      <c r="P191" s="12">
        <f>IF(O191="","",B191)</f>
        <v/>
      </c>
      <c r="Q191" s="12">
        <f>IF(O191="","",IF(O191="BUY",B191-K191*1.5,B191+K191*1.5))</f>
        <v/>
      </c>
      <c r="R191" s="12">
        <f>IF(O191="","",IF(O191="BUY",B191+K191*1.5,B191-K191*1.5))</f>
        <v/>
      </c>
      <c r="S191" s="12">
        <f>IF(O191="","",IF(O191="BUY",B191+K191*2,B191-K191*2))</f>
        <v/>
      </c>
      <c r="T191" s="12">
        <f>IF(O191="","",IF(O191="BUY",B191+K191*3,B191-K191*3))</f>
        <v/>
      </c>
      <c r="U191" s="11">
        <f>IF(OR(B191="",K191&lt;=0),"",IF(AND(B191&gt;E191,ABS(B191-E191)&lt;K191*0.5),"2ND","1ST"))</f>
        <v/>
      </c>
      <c r="V191" s="11">
        <f>IF(OR(B191="",K191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1" s="11">
        <f>IF(OR(B191="",K191&lt;=0),"",IF(K191&gt;B191*0.05,"VOL-HIGH","VOL-NORMAL"))</f>
        <v/>
      </c>
      <c r="X191" s="11">
        <f>IF(OR(B191="",K191&lt;=0),"",IF(AND(L191="VOL-OK",W191="VOL-NORMAL",U191="2ND"),"OK","NG"))</f>
        <v/>
      </c>
      <c r="Y191" s="11">
        <f>IF(OR(B191="",K191&lt;=0),"",IF(AND(C191&gt;G191,D191&gt;H191),"UP",IF(AND(C191&lt;G191,D191&lt;H191),"DOWN","FLAT")))</f>
        <v/>
      </c>
    </row>
    <row r="192" ht="26" customHeight="1" s="1">
      <c r="A192" s="13">
        <f>IF('StockList_MS2'!A191="","",HYPERLINK("https://kabutan.jp/stock/?code="&amp;'StockList_MS2'!A191,'StockList_MS2'!A191))</f>
        <v/>
      </c>
      <c r="B192" s="14" t="n"/>
      <c r="C192" s="14" t="n"/>
      <c r="D192" s="14" t="n"/>
      <c r="E192" s="14" t="n"/>
      <c r="F192" s="15" t="n"/>
      <c r="G192" s="14" t="n"/>
      <c r="H192" s="14" t="n"/>
      <c r="I192" s="14" t="n"/>
      <c r="J192" s="16">
        <f>IF(B192="","",IF(B192&gt;I192,"BUY-DAY","SELL-DAY"))</f>
        <v/>
      </c>
      <c r="K192" s="17">
        <f>IF(B192="","",MAX(C192-D192,ABS(C192-I192),ABS(D192-I192)))</f>
        <v/>
      </c>
      <c r="L192" s="16">
        <f>IF(B192="","",IF(AND(F192&gt;0,F192&gt;(F192/3)*2.5),"VOL-OK","VOL-NG"))</f>
        <v/>
      </c>
      <c r="M192" s="16">
        <f>IF(B192="","",IF(B192&gt;G192,"ON","OFF"))</f>
        <v/>
      </c>
      <c r="N192" s="16">
        <f>IF(B192="","",IF(B192&lt;H192,"ON","OFF"))</f>
        <v/>
      </c>
      <c r="O192" s="16">
        <f>IF(OR(B192="",K192&lt;=0),"",IF(AND(J192="BUY-DAY",L192="VOL-OK",N192="ON",X192="OK",Y192&lt;&gt;"DOWN"),"BUY",IF(AND(J192="SELL-DAY",L192="VOL-OK",M192="ON",X192="OK",Y192&lt;&gt;"UP"),"SELL","")))</f>
        <v/>
      </c>
      <c r="P192" s="17">
        <f>IF(O192="","",B192)</f>
        <v/>
      </c>
      <c r="Q192" s="17">
        <f>IF(O192="","",IF(O192="BUY",B192-K192*1.5,B192+K192*1.5))</f>
        <v/>
      </c>
      <c r="R192" s="17">
        <f>IF(O192="","",IF(O192="BUY",B192+K192*1.5,B192-K192*1.5))</f>
        <v/>
      </c>
      <c r="S192" s="17">
        <f>IF(O192="","",IF(O192="BUY",B192+K192*2,B192-K192*2))</f>
        <v/>
      </c>
      <c r="T192" s="17">
        <f>IF(O192="","",IF(O192="BUY",B192+K192*3,B192-K192*3))</f>
        <v/>
      </c>
      <c r="U192" s="16">
        <f>IF(OR(B192="",K192&lt;=0),"",IF(AND(B192&gt;E192,ABS(B192-E192)&lt;K192*0.5),"2ND","1ST"))</f>
        <v/>
      </c>
      <c r="V192" s="16">
        <f>IF(OR(B192="",K192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2" s="16">
        <f>IF(OR(B192="",K192&lt;=0),"",IF(K192&gt;B192*0.05,"VOL-HIGH","VOL-NORMAL"))</f>
        <v/>
      </c>
      <c r="X192" s="16">
        <f>IF(OR(B192="",K192&lt;=0),"",IF(AND(L192="VOL-OK",W192="VOL-NORMAL",U192="2ND"),"OK","NG"))</f>
        <v/>
      </c>
      <c r="Y192" s="16">
        <f>IF(OR(B192="",K192&lt;=0),"",IF(AND(C192&gt;G192,D192&gt;H192),"UP",IF(AND(C192&lt;G192,D192&lt;H192),"DOWN","FLAT")))</f>
        <v/>
      </c>
    </row>
    <row r="193" ht="26" customHeight="1" s="1">
      <c r="A193" s="8">
        <f>IF('StockList_MS2'!A192="","",HYPERLINK("https://kabutan.jp/stock/?code="&amp;'StockList_MS2'!A192,'StockList_MS2'!A192))</f>
        <v/>
      </c>
      <c r="B193" s="9" t="n"/>
      <c r="C193" s="9" t="n"/>
      <c r="D193" s="9" t="n"/>
      <c r="E193" s="9" t="n"/>
      <c r="F193" s="10" t="n"/>
      <c r="G193" s="9" t="n"/>
      <c r="H193" s="9" t="n"/>
      <c r="I193" s="9" t="n"/>
      <c r="J193" s="11">
        <f>IF(B193="","",IF(B193&gt;I193,"BUY-DAY","SELL-DAY"))</f>
        <v/>
      </c>
      <c r="K193" s="12">
        <f>IF(B193="","",MAX(C193-D193,ABS(C193-I193),ABS(D193-I193)))</f>
        <v/>
      </c>
      <c r="L193" s="11">
        <f>IF(B193="","",IF(AND(F193&gt;0,F193&gt;(F193/3)*2.5),"VOL-OK","VOL-NG"))</f>
        <v/>
      </c>
      <c r="M193" s="11">
        <f>IF(B193="","",IF(B193&gt;G193,"ON","OFF"))</f>
        <v/>
      </c>
      <c r="N193" s="11">
        <f>IF(B193="","",IF(B193&lt;H193,"ON","OFF"))</f>
        <v/>
      </c>
      <c r="O193" s="11">
        <f>IF(OR(B193="",K193&lt;=0),"",IF(AND(J193="BUY-DAY",L193="VOL-OK",N193="ON",X193="OK",Y193&lt;&gt;"DOWN"),"BUY",IF(AND(J193="SELL-DAY",L193="VOL-OK",M193="ON",X193="OK",Y193&lt;&gt;"UP"),"SELL","")))</f>
        <v/>
      </c>
      <c r="P193" s="12">
        <f>IF(O193="","",B193)</f>
        <v/>
      </c>
      <c r="Q193" s="12">
        <f>IF(O193="","",IF(O193="BUY",B193-K193*1.5,B193+K193*1.5))</f>
        <v/>
      </c>
      <c r="R193" s="12">
        <f>IF(O193="","",IF(O193="BUY",B193+K193*1.5,B193-K193*1.5))</f>
        <v/>
      </c>
      <c r="S193" s="12">
        <f>IF(O193="","",IF(O193="BUY",B193+K193*2,B193-K193*2))</f>
        <v/>
      </c>
      <c r="T193" s="12">
        <f>IF(O193="","",IF(O193="BUY",B193+K193*3,B193-K193*3))</f>
        <v/>
      </c>
      <c r="U193" s="11">
        <f>IF(OR(B193="",K193&lt;=0),"",IF(AND(B193&gt;E193,ABS(B193-E193)&lt;K193*0.5),"2ND","1ST"))</f>
        <v/>
      </c>
      <c r="V193" s="11">
        <f>IF(OR(B193="",K193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3" s="11">
        <f>IF(OR(B193="",K193&lt;=0),"",IF(K193&gt;B193*0.05,"VOL-HIGH","VOL-NORMAL"))</f>
        <v/>
      </c>
      <c r="X193" s="11">
        <f>IF(OR(B193="",K193&lt;=0),"",IF(AND(L193="VOL-OK",W193="VOL-NORMAL",U193="2ND"),"OK","NG"))</f>
        <v/>
      </c>
      <c r="Y193" s="11">
        <f>IF(OR(B193="",K193&lt;=0),"",IF(AND(C193&gt;G193,D193&gt;H193),"UP",IF(AND(C193&lt;G193,D193&lt;H193),"DOWN","FLAT")))</f>
        <v/>
      </c>
    </row>
    <row r="194" ht="26" customHeight="1" s="1">
      <c r="A194" s="13">
        <f>IF('StockList_MS2'!A193="","",HYPERLINK("https://kabutan.jp/stock/?code="&amp;'StockList_MS2'!A193,'StockList_MS2'!A193))</f>
        <v/>
      </c>
      <c r="B194" s="14" t="n"/>
      <c r="C194" s="14" t="n"/>
      <c r="D194" s="14" t="n"/>
      <c r="E194" s="14" t="n"/>
      <c r="F194" s="15" t="n"/>
      <c r="G194" s="14" t="n"/>
      <c r="H194" s="14" t="n"/>
      <c r="I194" s="14" t="n"/>
      <c r="J194" s="16">
        <f>IF(B194="","",IF(B194&gt;I194,"BUY-DAY","SELL-DAY"))</f>
        <v/>
      </c>
      <c r="K194" s="17">
        <f>IF(B194="","",MAX(C194-D194,ABS(C194-I194),ABS(D194-I194)))</f>
        <v/>
      </c>
      <c r="L194" s="16">
        <f>IF(B194="","",IF(AND(F194&gt;0,F194&gt;(F194/3)*2.5),"VOL-OK","VOL-NG"))</f>
        <v/>
      </c>
      <c r="M194" s="16">
        <f>IF(B194="","",IF(B194&gt;G194,"ON","OFF"))</f>
        <v/>
      </c>
      <c r="N194" s="16">
        <f>IF(B194="","",IF(B194&lt;H194,"ON","OFF"))</f>
        <v/>
      </c>
      <c r="O194" s="16">
        <f>IF(OR(B194="",K194&lt;=0),"",IF(AND(J194="BUY-DAY",L194="VOL-OK",N194="ON",X194="OK",Y194&lt;&gt;"DOWN"),"BUY",IF(AND(J194="SELL-DAY",L194="VOL-OK",M194="ON",X194="OK",Y194&lt;&gt;"UP"),"SELL","")))</f>
        <v/>
      </c>
      <c r="P194" s="17">
        <f>IF(O194="","",B194)</f>
        <v/>
      </c>
      <c r="Q194" s="17">
        <f>IF(O194="","",IF(O194="BUY",B194-K194*1.5,B194+K194*1.5))</f>
        <v/>
      </c>
      <c r="R194" s="17">
        <f>IF(O194="","",IF(O194="BUY",B194+K194*1.5,B194-K194*1.5))</f>
        <v/>
      </c>
      <c r="S194" s="17">
        <f>IF(O194="","",IF(O194="BUY",B194+K194*2,B194-K194*2))</f>
        <v/>
      </c>
      <c r="T194" s="17">
        <f>IF(O194="","",IF(O194="BUY",B194+K194*3,B194-K194*3))</f>
        <v/>
      </c>
      <c r="U194" s="16">
        <f>IF(OR(B194="",K194&lt;=0),"",IF(AND(B194&gt;E194,ABS(B194-E194)&lt;K194*0.5),"2ND","1ST"))</f>
        <v/>
      </c>
      <c r="V194" s="16">
        <f>IF(OR(B194="",K194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4" s="16">
        <f>IF(OR(B194="",K194&lt;=0),"",IF(K194&gt;B194*0.05,"VOL-HIGH","VOL-NORMAL"))</f>
        <v/>
      </c>
      <c r="X194" s="16">
        <f>IF(OR(B194="",K194&lt;=0),"",IF(AND(L194="VOL-OK",W194="VOL-NORMAL",U194="2ND"),"OK","NG"))</f>
        <v/>
      </c>
      <c r="Y194" s="16">
        <f>IF(OR(B194="",K194&lt;=0),"",IF(AND(C194&gt;G194,D194&gt;H194),"UP",IF(AND(C194&lt;G194,D194&lt;H194),"DOWN","FLAT")))</f>
        <v/>
      </c>
    </row>
    <row r="195" ht="26" customHeight="1" s="1">
      <c r="A195" s="8">
        <f>IF('StockList_MS2'!A194="","",HYPERLINK("https://kabutan.jp/stock/?code="&amp;'StockList_MS2'!A194,'StockList_MS2'!A194))</f>
        <v/>
      </c>
      <c r="B195" s="9" t="n"/>
      <c r="C195" s="9" t="n"/>
      <c r="D195" s="9" t="n"/>
      <c r="E195" s="9" t="n"/>
      <c r="F195" s="10" t="n"/>
      <c r="G195" s="9" t="n"/>
      <c r="H195" s="9" t="n"/>
      <c r="I195" s="9" t="n"/>
      <c r="J195" s="11">
        <f>IF(B195="","",IF(B195&gt;I195,"BUY-DAY","SELL-DAY"))</f>
        <v/>
      </c>
      <c r="K195" s="12">
        <f>IF(B195="","",MAX(C195-D195,ABS(C195-I195),ABS(D195-I195)))</f>
        <v/>
      </c>
      <c r="L195" s="11">
        <f>IF(B195="","",IF(AND(F195&gt;0,F195&gt;(F195/3)*2.5),"VOL-OK","VOL-NG"))</f>
        <v/>
      </c>
      <c r="M195" s="11">
        <f>IF(B195="","",IF(B195&gt;G195,"ON","OFF"))</f>
        <v/>
      </c>
      <c r="N195" s="11">
        <f>IF(B195="","",IF(B195&lt;H195,"ON","OFF"))</f>
        <v/>
      </c>
      <c r="O195" s="11">
        <f>IF(OR(B195="",K195&lt;=0),"",IF(AND(J195="BUY-DAY",L195="VOL-OK",N195="ON",X195="OK",Y195&lt;&gt;"DOWN"),"BUY",IF(AND(J195="SELL-DAY",L195="VOL-OK",M195="ON",X195="OK",Y195&lt;&gt;"UP"),"SELL","")))</f>
        <v/>
      </c>
      <c r="P195" s="12">
        <f>IF(O195="","",B195)</f>
        <v/>
      </c>
      <c r="Q195" s="12">
        <f>IF(O195="","",IF(O195="BUY",B195-K195*1.5,B195+K195*1.5))</f>
        <v/>
      </c>
      <c r="R195" s="12">
        <f>IF(O195="","",IF(O195="BUY",B195+K195*1.5,B195-K195*1.5))</f>
        <v/>
      </c>
      <c r="S195" s="12">
        <f>IF(O195="","",IF(O195="BUY",B195+K195*2,B195-K195*2))</f>
        <v/>
      </c>
      <c r="T195" s="12">
        <f>IF(O195="","",IF(O195="BUY",B195+K195*3,B195-K195*3))</f>
        <v/>
      </c>
      <c r="U195" s="11">
        <f>IF(OR(B195="",K195&lt;=0),"",IF(AND(B195&gt;E195,ABS(B195-E195)&lt;K195*0.5),"2ND","1ST"))</f>
        <v/>
      </c>
      <c r="V195" s="11">
        <f>IF(OR(B195="",K195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5" s="11">
        <f>IF(OR(B195="",K195&lt;=0),"",IF(K195&gt;B195*0.05,"VOL-HIGH","VOL-NORMAL"))</f>
        <v/>
      </c>
      <c r="X195" s="11">
        <f>IF(OR(B195="",K195&lt;=0),"",IF(AND(L195="VOL-OK",W195="VOL-NORMAL",U195="2ND"),"OK","NG"))</f>
        <v/>
      </c>
      <c r="Y195" s="11">
        <f>IF(OR(B195="",K195&lt;=0),"",IF(AND(C195&gt;G195,D195&gt;H195),"UP",IF(AND(C195&lt;G195,D195&lt;H195),"DOWN","FLAT")))</f>
        <v/>
      </c>
    </row>
    <row r="196" ht="26" customHeight="1" s="1">
      <c r="A196" s="13">
        <f>IF('StockList_MS2'!A195="","",HYPERLINK("https://kabutan.jp/stock/?code="&amp;'StockList_MS2'!A195,'StockList_MS2'!A195))</f>
        <v/>
      </c>
      <c r="B196" s="14" t="n"/>
      <c r="C196" s="14" t="n"/>
      <c r="D196" s="14" t="n"/>
      <c r="E196" s="14" t="n"/>
      <c r="F196" s="15" t="n"/>
      <c r="G196" s="14" t="n"/>
      <c r="H196" s="14" t="n"/>
      <c r="I196" s="14" t="n"/>
      <c r="J196" s="16">
        <f>IF(B196="","",IF(B196&gt;I196,"BUY-DAY","SELL-DAY"))</f>
        <v/>
      </c>
      <c r="K196" s="17">
        <f>IF(B196="","",MAX(C196-D196,ABS(C196-I196),ABS(D196-I196)))</f>
        <v/>
      </c>
      <c r="L196" s="16">
        <f>IF(B196="","",IF(AND(F196&gt;0,F196&gt;(F196/3)*2.5),"VOL-OK","VOL-NG"))</f>
        <v/>
      </c>
      <c r="M196" s="16">
        <f>IF(B196="","",IF(B196&gt;G196,"ON","OFF"))</f>
        <v/>
      </c>
      <c r="N196" s="16">
        <f>IF(B196="","",IF(B196&lt;H196,"ON","OFF"))</f>
        <v/>
      </c>
      <c r="O196" s="16">
        <f>IF(OR(B196="",K196&lt;=0),"",IF(AND(J196="BUY-DAY",L196="VOL-OK",N196="ON",X196="OK",Y196&lt;&gt;"DOWN"),"BUY",IF(AND(J196="SELL-DAY",L196="VOL-OK",M196="ON",X196="OK",Y196&lt;&gt;"UP"),"SELL","")))</f>
        <v/>
      </c>
      <c r="P196" s="17">
        <f>IF(O196="","",B196)</f>
        <v/>
      </c>
      <c r="Q196" s="17">
        <f>IF(O196="","",IF(O196="BUY",B196-K196*1.5,B196+K196*1.5))</f>
        <v/>
      </c>
      <c r="R196" s="17">
        <f>IF(O196="","",IF(O196="BUY",B196+K196*1.5,B196-K196*1.5))</f>
        <v/>
      </c>
      <c r="S196" s="17">
        <f>IF(O196="","",IF(O196="BUY",B196+K196*2,B196-K196*2))</f>
        <v/>
      </c>
      <c r="T196" s="17">
        <f>IF(O196="","",IF(O196="BUY",B196+K196*3,B196-K196*3))</f>
        <v/>
      </c>
      <c r="U196" s="16">
        <f>IF(OR(B196="",K196&lt;=0),"",IF(AND(B196&gt;E196,ABS(B196-E196)&lt;K196*0.5),"2ND","1ST"))</f>
        <v/>
      </c>
      <c r="V196" s="16">
        <f>IF(OR(B196="",K196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6" s="16">
        <f>IF(OR(B196="",K196&lt;=0),"",IF(K196&gt;B196*0.05,"VOL-HIGH","VOL-NORMAL"))</f>
        <v/>
      </c>
      <c r="X196" s="16">
        <f>IF(OR(B196="",K196&lt;=0),"",IF(AND(L196="VOL-OK",W196="VOL-NORMAL",U196="2ND"),"OK","NG"))</f>
        <v/>
      </c>
      <c r="Y196" s="16">
        <f>IF(OR(B196="",K196&lt;=0),"",IF(AND(C196&gt;G196,D196&gt;H196),"UP",IF(AND(C196&lt;G196,D196&lt;H196),"DOWN","FLAT")))</f>
        <v/>
      </c>
    </row>
    <row r="197" ht="26" customHeight="1" s="1">
      <c r="A197" s="8">
        <f>IF('StockList_MS2'!A196="","",HYPERLINK("https://kabutan.jp/stock/?code="&amp;'StockList_MS2'!A196,'StockList_MS2'!A196))</f>
        <v/>
      </c>
      <c r="B197" s="9" t="n"/>
      <c r="C197" s="9" t="n"/>
      <c r="D197" s="9" t="n"/>
      <c r="E197" s="9" t="n"/>
      <c r="F197" s="10" t="n"/>
      <c r="G197" s="9" t="n"/>
      <c r="H197" s="9" t="n"/>
      <c r="I197" s="9" t="n"/>
      <c r="J197" s="11">
        <f>IF(B197="","",IF(B197&gt;I197,"BUY-DAY","SELL-DAY"))</f>
        <v/>
      </c>
      <c r="K197" s="12">
        <f>IF(B197="","",MAX(C197-D197,ABS(C197-I197),ABS(D197-I197)))</f>
        <v/>
      </c>
      <c r="L197" s="11">
        <f>IF(B197="","",IF(AND(F197&gt;0,F197&gt;(F197/3)*2.5),"VOL-OK","VOL-NG"))</f>
        <v/>
      </c>
      <c r="M197" s="11">
        <f>IF(B197="","",IF(B197&gt;G197,"ON","OFF"))</f>
        <v/>
      </c>
      <c r="N197" s="11">
        <f>IF(B197="","",IF(B197&lt;H197,"ON","OFF"))</f>
        <v/>
      </c>
      <c r="O197" s="11">
        <f>IF(OR(B197="",K197&lt;=0),"",IF(AND(J197="BUY-DAY",L197="VOL-OK",N197="ON",X197="OK",Y197&lt;&gt;"DOWN"),"BUY",IF(AND(J197="SELL-DAY",L197="VOL-OK",M197="ON",X197="OK",Y197&lt;&gt;"UP"),"SELL","")))</f>
        <v/>
      </c>
      <c r="P197" s="12">
        <f>IF(O197="","",B197)</f>
        <v/>
      </c>
      <c r="Q197" s="12">
        <f>IF(O197="","",IF(O197="BUY",B197-K197*1.5,B197+K197*1.5))</f>
        <v/>
      </c>
      <c r="R197" s="12">
        <f>IF(O197="","",IF(O197="BUY",B197+K197*1.5,B197-K197*1.5))</f>
        <v/>
      </c>
      <c r="S197" s="12">
        <f>IF(O197="","",IF(O197="BUY",B197+K197*2,B197-K197*2))</f>
        <v/>
      </c>
      <c r="T197" s="12">
        <f>IF(O197="","",IF(O197="BUY",B197+K197*3,B197-K197*3))</f>
        <v/>
      </c>
      <c r="U197" s="11">
        <f>IF(OR(B197="",K197&lt;=0),"",IF(AND(B197&gt;E197,ABS(B197-E197)&lt;K197*0.5),"2ND","1ST"))</f>
        <v/>
      </c>
      <c r="V197" s="11">
        <f>IF(OR(B197="",K197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7" s="11">
        <f>IF(OR(B197="",K197&lt;=0),"",IF(K197&gt;B197*0.05,"VOL-HIGH","VOL-NORMAL"))</f>
        <v/>
      </c>
      <c r="X197" s="11">
        <f>IF(OR(B197="",K197&lt;=0),"",IF(AND(L197="VOL-OK",W197="VOL-NORMAL",U197="2ND"),"OK","NG"))</f>
        <v/>
      </c>
      <c r="Y197" s="11">
        <f>IF(OR(B197="",K197&lt;=0),"",IF(AND(C197&gt;G197,D197&gt;H197),"UP",IF(AND(C197&lt;G197,D197&lt;H197),"DOWN","FLAT")))</f>
        <v/>
      </c>
    </row>
    <row r="198" ht="26" customHeight="1" s="1">
      <c r="A198" s="13">
        <f>IF('StockList_MS2'!A197="","",HYPERLINK("https://kabutan.jp/stock/?code="&amp;'StockList_MS2'!A197,'StockList_MS2'!A197))</f>
        <v/>
      </c>
      <c r="B198" s="14" t="n"/>
      <c r="C198" s="14" t="n"/>
      <c r="D198" s="14" t="n"/>
      <c r="E198" s="14" t="n"/>
      <c r="F198" s="15" t="n"/>
      <c r="G198" s="14" t="n"/>
      <c r="H198" s="14" t="n"/>
      <c r="I198" s="14" t="n"/>
      <c r="J198" s="16">
        <f>IF(B198="","",IF(B198&gt;I198,"BUY-DAY","SELL-DAY"))</f>
        <v/>
      </c>
      <c r="K198" s="17">
        <f>IF(B198="","",MAX(C198-D198,ABS(C198-I198),ABS(D198-I198)))</f>
        <v/>
      </c>
      <c r="L198" s="16">
        <f>IF(B198="","",IF(AND(F198&gt;0,F198&gt;(F198/3)*2.5),"VOL-OK","VOL-NG"))</f>
        <v/>
      </c>
      <c r="M198" s="16">
        <f>IF(B198="","",IF(B198&gt;G198,"ON","OFF"))</f>
        <v/>
      </c>
      <c r="N198" s="16">
        <f>IF(B198="","",IF(B198&lt;H198,"ON","OFF"))</f>
        <v/>
      </c>
      <c r="O198" s="16">
        <f>IF(OR(B198="",K198&lt;=0),"",IF(AND(J198="BUY-DAY",L198="VOL-OK",N198="ON",X198="OK",Y198&lt;&gt;"DOWN"),"BUY",IF(AND(J198="SELL-DAY",L198="VOL-OK",M198="ON",X198="OK",Y198&lt;&gt;"UP"),"SELL","")))</f>
        <v/>
      </c>
      <c r="P198" s="17">
        <f>IF(O198="","",B198)</f>
        <v/>
      </c>
      <c r="Q198" s="17">
        <f>IF(O198="","",IF(O198="BUY",B198-K198*1.5,B198+K198*1.5))</f>
        <v/>
      </c>
      <c r="R198" s="17">
        <f>IF(O198="","",IF(O198="BUY",B198+K198*1.5,B198-K198*1.5))</f>
        <v/>
      </c>
      <c r="S198" s="17">
        <f>IF(O198="","",IF(O198="BUY",B198+K198*2,B198-K198*2))</f>
        <v/>
      </c>
      <c r="T198" s="17">
        <f>IF(O198="","",IF(O198="BUY",B198+K198*3,B198-K198*3))</f>
        <v/>
      </c>
      <c r="U198" s="16">
        <f>IF(OR(B198="",K198&lt;=0),"",IF(AND(B198&gt;E198,ABS(B198-E198)&lt;K198*0.5),"2ND","1ST"))</f>
        <v/>
      </c>
      <c r="V198" s="16">
        <f>IF(OR(B198="",K198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8" s="16">
        <f>IF(OR(B198="",K198&lt;=0),"",IF(K198&gt;B198*0.05,"VOL-HIGH","VOL-NORMAL"))</f>
        <v/>
      </c>
      <c r="X198" s="16">
        <f>IF(OR(B198="",K198&lt;=0),"",IF(AND(L198="VOL-OK",W198="VOL-NORMAL",U198="2ND"),"OK","NG"))</f>
        <v/>
      </c>
      <c r="Y198" s="16">
        <f>IF(OR(B198="",K198&lt;=0),"",IF(AND(C198&gt;G198,D198&gt;H198),"UP",IF(AND(C198&lt;G198,D198&lt;H198),"DOWN","FLAT")))</f>
        <v/>
      </c>
    </row>
    <row r="199" ht="26" customHeight="1" s="1">
      <c r="A199" s="8">
        <f>IF('StockList_MS2'!A198="","",HYPERLINK("https://kabutan.jp/stock/?code="&amp;'StockList_MS2'!A198,'StockList_MS2'!A198))</f>
        <v/>
      </c>
      <c r="B199" s="9" t="n"/>
      <c r="C199" s="9" t="n"/>
      <c r="D199" s="9" t="n"/>
      <c r="E199" s="9" t="n"/>
      <c r="F199" s="10" t="n"/>
      <c r="G199" s="9" t="n"/>
      <c r="H199" s="9" t="n"/>
      <c r="I199" s="9" t="n"/>
      <c r="J199" s="11">
        <f>IF(B199="","",IF(B199&gt;I199,"BUY-DAY","SELL-DAY"))</f>
        <v/>
      </c>
      <c r="K199" s="12">
        <f>IF(B199="","",MAX(C199-D199,ABS(C199-I199),ABS(D199-I199)))</f>
        <v/>
      </c>
      <c r="L199" s="11">
        <f>IF(B199="","",IF(AND(F199&gt;0,F199&gt;(F199/3)*2.5),"VOL-OK","VOL-NG"))</f>
        <v/>
      </c>
      <c r="M199" s="11">
        <f>IF(B199="","",IF(B199&gt;G199,"ON","OFF"))</f>
        <v/>
      </c>
      <c r="N199" s="11">
        <f>IF(B199="","",IF(B199&lt;H199,"ON","OFF"))</f>
        <v/>
      </c>
      <c r="O199" s="11">
        <f>IF(OR(B199="",K199&lt;=0),"",IF(AND(J199="BUY-DAY",L199="VOL-OK",N199="ON",X199="OK",Y199&lt;&gt;"DOWN"),"BUY",IF(AND(J199="SELL-DAY",L199="VOL-OK",M199="ON",X199="OK",Y199&lt;&gt;"UP"),"SELL","")))</f>
        <v/>
      </c>
      <c r="P199" s="12">
        <f>IF(O199="","",B199)</f>
        <v/>
      </c>
      <c r="Q199" s="12">
        <f>IF(O199="","",IF(O199="BUY",B199-K199*1.5,B199+K199*1.5))</f>
        <v/>
      </c>
      <c r="R199" s="12">
        <f>IF(O199="","",IF(O199="BUY",B199+K199*1.5,B199-K199*1.5))</f>
        <v/>
      </c>
      <c r="S199" s="12">
        <f>IF(O199="","",IF(O199="BUY",B199+K199*2,B199-K199*2))</f>
        <v/>
      </c>
      <c r="T199" s="12">
        <f>IF(O199="","",IF(O199="BUY",B199+K199*3,B199-K199*3))</f>
        <v/>
      </c>
      <c r="U199" s="11">
        <f>IF(OR(B199="",K199&lt;=0),"",IF(AND(B199&gt;E199,ABS(B199-E199)&lt;K199*0.5),"2ND","1ST"))</f>
        <v/>
      </c>
      <c r="V199" s="11">
        <f>IF(OR(B199="",K199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9" s="11">
        <f>IF(OR(B199="",K199&lt;=0),"",IF(K199&gt;B199*0.05,"VOL-HIGH","VOL-NORMAL"))</f>
        <v/>
      </c>
      <c r="X199" s="11">
        <f>IF(OR(B199="",K199&lt;=0),"",IF(AND(L199="VOL-OK",W199="VOL-NORMAL",U199="2ND"),"OK","NG"))</f>
        <v/>
      </c>
      <c r="Y199" s="11">
        <f>IF(OR(B199="",K199&lt;=0),"",IF(AND(C199&gt;G199,D199&gt;H199),"UP",IF(AND(C199&lt;G199,D199&lt;H199),"DOWN","FLAT")))</f>
        <v/>
      </c>
    </row>
    <row r="200" ht="26" customHeight="1" s="1">
      <c r="A200" s="13">
        <f>IF('StockList_MS2'!A199="","",HYPERLINK("https://kabutan.jp/stock/?code="&amp;'StockList_MS2'!A199,'StockList_MS2'!A199))</f>
        <v/>
      </c>
      <c r="B200" s="14" t="n"/>
      <c r="C200" s="14" t="n"/>
      <c r="D200" s="14" t="n"/>
      <c r="E200" s="14" t="n"/>
      <c r="F200" s="15" t="n"/>
      <c r="G200" s="14" t="n"/>
      <c r="H200" s="14" t="n"/>
      <c r="I200" s="14" t="n"/>
      <c r="J200" s="16">
        <f>IF(B200="","",IF(B200&gt;I200,"BUY-DAY","SELL-DAY"))</f>
        <v/>
      </c>
      <c r="K200" s="17">
        <f>IF(B200="","",MAX(C200-D200,ABS(C200-I200),ABS(D200-I200)))</f>
        <v/>
      </c>
      <c r="L200" s="16">
        <f>IF(B200="","",IF(AND(F200&gt;0,F200&gt;(F200/3)*2.5),"VOL-OK","VOL-NG"))</f>
        <v/>
      </c>
      <c r="M200" s="16">
        <f>IF(B200="","",IF(B200&gt;G200,"ON","OFF"))</f>
        <v/>
      </c>
      <c r="N200" s="16">
        <f>IF(B200="","",IF(B200&lt;H200,"ON","OFF"))</f>
        <v/>
      </c>
      <c r="O200" s="16">
        <f>IF(OR(B200="",K200&lt;=0),"",IF(AND(J200="BUY-DAY",L200="VOL-OK",N200="ON",X200="OK",Y200&lt;&gt;"DOWN"),"BUY",IF(AND(J200="SELL-DAY",L200="VOL-OK",M200="ON",X200="OK",Y200&lt;&gt;"UP"),"SELL","")))</f>
        <v/>
      </c>
      <c r="P200" s="17">
        <f>IF(O200="","",B200)</f>
        <v/>
      </c>
      <c r="Q200" s="17">
        <f>IF(O200="","",IF(O200="BUY",B200-K200*1.5,B200+K200*1.5))</f>
        <v/>
      </c>
      <c r="R200" s="17">
        <f>IF(O200="","",IF(O200="BUY",B200+K200*1.5,B200-K200*1.5))</f>
        <v/>
      </c>
      <c r="S200" s="17">
        <f>IF(O200="","",IF(O200="BUY",B200+K200*2,B200-K200*2))</f>
        <v/>
      </c>
      <c r="T200" s="17">
        <f>IF(O200="","",IF(O200="BUY",B200+K200*3,B200-K200*3))</f>
        <v/>
      </c>
      <c r="U200" s="16">
        <f>IF(OR(B200="",K200&lt;=0),"",IF(AND(B200&gt;E200,ABS(B200-E200)&lt;K200*0.5),"2ND","1ST"))</f>
        <v/>
      </c>
      <c r="V200" s="16">
        <f>IF(OR(B200="",K200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0" s="16">
        <f>IF(OR(B200="",K200&lt;=0),"",IF(K200&gt;B200*0.05,"VOL-HIGH","VOL-NORMAL"))</f>
        <v/>
      </c>
      <c r="X200" s="16">
        <f>IF(OR(B200="",K200&lt;=0),"",IF(AND(L200="VOL-OK",W200="VOL-NORMAL",U200="2ND"),"OK","NG"))</f>
        <v/>
      </c>
      <c r="Y200" s="16">
        <f>IF(OR(B200="",K200&lt;=0),"",IF(AND(C200&gt;G200,D200&gt;H200),"UP",IF(AND(C200&lt;G200,D200&lt;H200),"DOWN","FLAT")))</f>
        <v/>
      </c>
    </row>
    <row r="201" ht="26" customHeight="1" s="1">
      <c r="A201" s="8">
        <f>IF('StockList_MS2'!A200="","",HYPERLINK("https://kabutan.jp/stock/?code="&amp;'StockList_MS2'!A200,'StockList_MS2'!A200))</f>
        <v/>
      </c>
      <c r="B201" s="9" t="n"/>
      <c r="C201" s="9" t="n"/>
      <c r="D201" s="9" t="n"/>
      <c r="E201" s="9" t="n"/>
      <c r="F201" s="10" t="n"/>
      <c r="G201" s="9" t="n"/>
      <c r="H201" s="9" t="n"/>
      <c r="I201" s="9" t="n"/>
      <c r="J201" s="11">
        <f>IF(B201="","",IF(B201&gt;I201,"BUY-DAY","SELL-DAY"))</f>
        <v/>
      </c>
      <c r="K201" s="12">
        <f>IF(B201="","",MAX(C201-D201,ABS(C201-I201),ABS(D201-I201)))</f>
        <v/>
      </c>
      <c r="L201" s="11">
        <f>IF(B201="","",IF(AND(F201&gt;0,F201&gt;(F201/3)*2.5),"VOL-OK","VOL-NG"))</f>
        <v/>
      </c>
      <c r="M201" s="11">
        <f>IF(B201="","",IF(B201&gt;G201,"ON","OFF"))</f>
        <v/>
      </c>
      <c r="N201" s="11">
        <f>IF(B201="","",IF(B201&lt;H201,"ON","OFF"))</f>
        <v/>
      </c>
      <c r="O201" s="11">
        <f>IF(OR(B201="",K201&lt;=0),"",IF(AND(J201="BUY-DAY",L201="VOL-OK",N201="ON",X201="OK",Y201&lt;&gt;"DOWN"),"BUY",IF(AND(J201="SELL-DAY",L201="VOL-OK",M201="ON",X201="OK",Y201&lt;&gt;"UP"),"SELL","")))</f>
        <v/>
      </c>
      <c r="P201" s="12">
        <f>IF(O201="","",B201)</f>
        <v/>
      </c>
      <c r="Q201" s="12">
        <f>IF(O201="","",IF(O201="BUY",B201-K201*1.5,B201+K201*1.5))</f>
        <v/>
      </c>
      <c r="R201" s="12">
        <f>IF(O201="","",IF(O201="BUY",B201+K201*1.5,B201-K201*1.5))</f>
        <v/>
      </c>
      <c r="S201" s="12">
        <f>IF(O201="","",IF(O201="BUY",B201+K201*2,B201-K201*2))</f>
        <v/>
      </c>
      <c r="T201" s="12">
        <f>IF(O201="","",IF(O201="BUY",B201+K201*3,B201-K201*3))</f>
        <v/>
      </c>
      <c r="U201" s="11">
        <f>IF(OR(B201="",K201&lt;=0),"",IF(AND(B201&gt;E201,ABS(B201-E201)&lt;K201*0.5),"2ND","1ST"))</f>
        <v/>
      </c>
      <c r="V201" s="11">
        <f>IF(OR(B201="",K201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1" s="11">
        <f>IF(OR(B201="",K201&lt;=0),"",IF(K201&gt;B201*0.05,"VOL-HIGH","VOL-NORMAL"))</f>
        <v/>
      </c>
      <c r="X201" s="11">
        <f>IF(OR(B201="",K201&lt;=0),"",IF(AND(L201="VOL-OK",W201="VOL-NORMAL",U201="2ND"),"OK","NG"))</f>
        <v/>
      </c>
      <c r="Y201" s="11">
        <f>IF(OR(B201="",K201&lt;=0),"",IF(AND(C201&gt;G201,D201&gt;H201),"UP",IF(AND(C201&lt;G201,D201&lt;H201),"DOWN","FLAT")))</f>
        <v/>
      </c>
    </row>
    <row r="202" ht="26" customHeight="1" s="1">
      <c r="A202" s="13">
        <f>IF('StockList_MS2'!A201="","",HYPERLINK("https://kabutan.jp/stock/?code="&amp;'StockList_MS2'!A201,'StockList_MS2'!A201))</f>
        <v/>
      </c>
      <c r="B202" s="14" t="n"/>
      <c r="C202" s="14" t="n"/>
      <c r="D202" s="14" t="n"/>
      <c r="E202" s="14" t="n"/>
      <c r="F202" s="15" t="n"/>
      <c r="G202" s="14" t="n"/>
      <c r="H202" s="14" t="n"/>
      <c r="I202" s="14" t="n"/>
      <c r="J202" s="16">
        <f>IF(B202="","",IF(B202&gt;I202,"BUY-DAY","SELL-DAY"))</f>
        <v/>
      </c>
      <c r="K202" s="17">
        <f>IF(B202="","",MAX(C202-D202,ABS(C202-I202),ABS(D202-I202)))</f>
        <v/>
      </c>
      <c r="L202" s="16">
        <f>IF(B202="","",IF(AND(F202&gt;0,F202&gt;(F202/3)*2.5),"VOL-OK","VOL-NG"))</f>
        <v/>
      </c>
      <c r="M202" s="16">
        <f>IF(B202="","",IF(B202&gt;G202,"ON","OFF"))</f>
        <v/>
      </c>
      <c r="N202" s="16">
        <f>IF(B202="","",IF(B202&lt;H202,"ON","OFF"))</f>
        <v/>
      </c>
      <c r="O202" s="16">
        <f>IF(OR(B202="",K202&lt;=0),"",IF(AND(J202="BUY-DAY",L202="VOL-OK",N202="ON",X202="OK",Y202&lt;&gt;"DOWN"),"BUY",IF(AND(J202="SELL-DAY",L202="VOL-OK",M202="ON",X202="OK",Y202&lt;&gt;"UP"),"SELL","")))</f>
        <v/>
      </c>
      <c r="P202" s="17">
        <f>IF(O202="","",B202)</f>
        <v/>
      </c>
      <c r="Q202" s="17">
        <f>IF(O202="","",IF(O202="BUY",B202-K202*1.5,B202+K202*1.5))</f>
        <v/>
      </c>
      <c r="R202" s="17">
        <f>IF(O202="","",IF(O202="BUY",B202+K202*1.5,B202-K202*1.5))</f>
        <v/>
      </c>
      <c r="S202" s="17">
        <f>IF(O202="","",IF(O202="BUY",B202+K202*2,B202-K202*2))</f>
        <v/>
      </c>
      <c r="T202" s="17">
        <f>IF(O202="","",IF(O202="BUY",B202+K202*3,B202-K202*3))</f>
        <v/>
      </c>
      <c r="U202" s="16">
        <f>IF(OR(B202="",K202&lt;=0),"",IF(AND(B202&gt;E202,ABS(B202-E202)&lt;K202*0.5),"2ND","1ST"))</f>
        <v/>
      </c>
      <c r="V202" s="16">
        <f>IF(OR(B202="",K202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2" s="16">
        <f>IF(OR(B202="",K202&lt;=0),"",IF(K202&gt;B202*0.05,"VOL-HIGH","VOL-NORMAL"))</f>
        <v/>
      </c>
      <c r="X202" s="16">
        <f>IF(OR(B202="",K202&lt;=0),"",IF(AND(L202="VOL-OK",W202="VOL-NORMAL",U202="2ND"),"OK","NG"))</f>
        <v/>
      </c>
      <c r="Y202" s="16">
        <f>IF(OR(B202="",K202&lt;=0),"",IF(AND(C202&gt;G202,D202&gt;H202),"UP",IF(AND(C202&lt;G202,D202&lt;H202),"DOWN","FLAT")))</f>
        <v/>
      </c>
    </row>
    <row r="203" ht="26" customHeight="1" s="1">
      <c r="A203" s="8">
        <f>IF('StockList_MS2'!A202="","",HYPERLINK("https://kabutan.jp/stock/?code="&amp;'StockList_MS2'!A202,'StockList_MS2'!A202))</f>
        <v/>
      </c>
      <c r="B203" s="9" t="n"/>
      <c r="C203" s="9" t="n"/>
      <c r="D203" s="9" t="n"/>
      <c r="E203" s="9" t="n"/>
      <c r="F203" s="10" t="n"/>
      <c r="G203" s="9" t="n"/>
      <c r="H203" s="9" t="n"/>
      <c r="I203" s="9" t="n"/>
      <c r="J203" s="11">
        <f>IF(B203="","",IF(B203&gt;I203,"BUY-DAY","SELL-DAY"))</f>
        <v/>
      </c>
      <c r="K203" s="12">
        <f>IF(B203="","",MAX(C203-D203,ABS(C203-I203),ABS(D203-I203)))</f>
        <v/>
      </c>
      <c r="L203" s="11">
        <f>IF(B203="","",IF(AND(F203&gt;0,F203&gt;(F203/3)*2.5),"VOL-OK","VOL-NG"))</f>
        <v/>
      </c>
      <c r="M203" s="11">
        <f>IF(B203="","",IF(B203&gt;G203,"ON","OFF"))</f>
        <v/>
      </c>
      <c r="N203" s="11">
        <f>IF(B203="","",IF(B203&lt;H203,"ON","OFF"))</f>
        <v/>
      </c>
      <c r="O203" s="11">
        <f>IF(OR(B203="",K203&lt;=0),"",IF(AND(J203="BUY-DAY",L203="VOL-OK",N203="ON",X203="OK",Y203&lt;&gt;"DOWN"),"BUY",IF(AND(J203="SELL-DAY",L203="VOL-OK",M203="ON",X203="OK",Y203&lt;&gt;"UP"),"SELL","")))</f>
        <v/>
      </c>
      <c r="P203" s="12">
        <f>IF(O203="","",B203)</f>
        <v/>
      </c>
      <c r="Q203" s="12">
        <f>IF(O203="","",IF(O203="BUY",B203-K203*1.5,B203+K203*1.5))</f>
        <v/>
      </c>
      <c r="R203" s="12">
        <f>IF(O203="","",IF(O203="BUY",B203+K203*1.5,B203-K203*1.5))</f>
        <v/>
      </c>
      <c r="S203" s="12">
        <f>IF(O203="","",IF(O203="BUY",B203+K203*2,B203-K203*2))</f>
        <v/>
      </c>
      <c r="T203" s="12">
        <f>IF(O203="","",IF(O203="BUY",B203+K203*3,B203-K203*3))</f>
        <v/>
      </c>
      <c r="U203" s="11">
        <f>IF(OR(B203="",K203&lt;=0),"",IF(AND(B203&gt;E203,ABS(B203-E203)&lt;K203*0.5),"2ND","1ST"))</f>
        <v/>
      </c>
      <c r="V203" s="11">
        <f>IF(OR(B203="",K203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3" s="11">
        <f>IF(OR(B203="",K203&lt;=0),"",IF(K203&gt;B203*0.05,"VOL-HIGH","VOL-NORMAL"))</f>
        <v/>
      </c>
      <c r="X203" s="11">
        <f>IF(OR(B203="",K203&lt;=0),"",IF(AND(L203="VOL-OK",W203="VOL-NORMAL",U203="2ND"),"OK","NG"))</f>
        <v/>
      </c>
      <c r="Y203" s="11">
        <f>IF(OR(B203="",K203&lt;=0),"",IF(AND(C203&gt;G203,D203&gt;H203),"UP",IF(AND(C203&lt;G203,D203&lt;H203),"DOWN","FLAT")))</f>
        <v/>
      </c>
    </row>
    <row r="204" ht="26" customHeight="1" s="1">
      <c r="A204" s="13">
        <f>IF('StockList_MS2'!A203="","",HYPERLINK("https://kabutan.jp/stock/?code="&amp;'StockList_MS2'!A203,'StockList_MS2'!A203))</f>
        <v/>
      </c>
      <c r="B204" s="14" t="n"/>
      <c r="C204" s="14" t="n"/>
      <c r="D204" s="14" t="n"/>
      <c r="E204" s="14" t="n"/>
      <c r="F204" s="15" t="n"/>
      <c r="G204" s="14" t="n"/>
      <c r="H204" s="14" t="n"/>
      <c r="I204" s="14" t="n"/>
      <c r="J204" s="16">
        <f>IF(B204="","",IF(B204&gt;I204,"BUY-DAY","SELL-DAY"))</f>
        <v/>
      </c>
      <c r="K204" s="17">
        <f>IF(B204="","",MAX(C204-D204,ABS(C204-I204),ABS(D204-I204)))</f>
        <v/>
      </c>
      <c r="L204" s="16">
        <f>IF(B204="","",IF(AND(F204&gt;0,F204&gt;(F204/3)*2.5),"VOL-OK","VOL-NG"))</f>
        <v/>
      </c>
      <c r="M204" s="16">
        <f>IF(B204="","",IF(B204&gt;G204,"ON","OFF"))</f>
        <v/>
      </c>
      <c r="N204" s="16">
        <f>IF(B204="","",IF(B204&lt;H204,"ON","OFF"))</f>
        <v/>
      </c>
      <c r="O204" s="16">
        <f>IF(OR(B204="",K204&lt;=0),"",IF(AND(J204="BUY-DAY",L204="VOL-OK",N204="ON",X204="OK",Y204&lt;&gt;"DOWN"),"BUY",IF(AND(J204="SELL-DAY",L204="VOL-OK",M204="ON",X204="OK",Y204&lt;&gt;"UP"),"SELL","")))</f>
        <v/>
      </c>
      <c r="P204" s="17">
        <f>IF(O204="","",B204)</f>
        <v/>
      </c>
      <c r="Q204" s="17">
        <f>IF(O204="","",IF(O204="BUY",B204-K204*1.5,B204+K204*1.5))</f>
        <v/>
      </c>
      <c r="R204" s="17">
        <f>IF(O204="","",IF(O204="BUY",B204+K204*1.5,B204-K204*1.5))</f>
        <v/>
      </c>
      <c r="S204" s="17">
        <f>IF(O204="","",IF(O204="BUY",B204+K204*2,B204-K204*2))</f>
        <v/>
      </c>
      <c r="T204" s="17">
        <f>IF(O204="","",IF(O204="BUY",B204+K204*3,B204-K204*3))</f>
        <v/>
      </c>
      <c r="U204" s="16">
        <f>IF(OR(B204="",K204&lt;=0),"",IF(AND(B204&gt;E204,ABS(B204-E204)&lt;K204*0.5),"2ND","1ST"))</f>
        <v/>
      </c>
      <c r="V204" s="16">
        <f>IF(OR(B204="",K204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4" s="16">
        <f>IF(OR(B204="",K204&lt;=0),"",IF(K204&gt;B204*0.05,"VOL-HIGH","VOL-NORMAL"))</f>
        <v/>
      </c>
      <c r="X204" s="16">
        <f>IF(OR(B204="",K204&lt;=0),"",IF(AND(L204="VOL-OK",W204="VOL-NORMAL",U204="2ND"),"OK","NG"))</f>
        <v/>
      </c>
      <c r="Y204" s="16">
        <f>IF(OR(B204="",K204&lt;=0),"",IF(AND(C204&gt;G204,D204&gt;H204),"UP",IF(AND(C204&lt;G204,D204&lt;H204),"DOWN","FLAT")))</f>
        <v/>
      </c>
    </row>
    <row r="205" ht="26" customHeight="1" s="1">
      <c r="A205" s="8">
        <f>IF('StockList_MS2'!A204="","",HYPERLINK("https://kabutan.jp/stock/?code="&amp;'StockList_MS2'!A204,'StockList_MS2'!A204))</f>
        <v/>
      </c>
      <c r="B205" s="9" t="n"/>
      <c r="C205" s="9" t="n"/>
      <c r="D205" s="9" t="n"/>
      <c r="E205" s="9" t="n"/>
      <c r="F205" s="10" t="n"/>
      <c r="G205" s="9" t="n"/>
      <c r="H205" s="9" t="n"/>
      <c r="I205" s="9" t="n"/>
      <c r="J205" s="11">
        <f>IF(B205="","",IF(B205&gt;I205,"BUY-DAY","SELL-DAY"))</f>
        <v/>
      </c>
      <c r="K205" s="12">
        <f>IF(B205="","",MAX(C205-D205,ABS(C205-I205),ABS(D205-I205)))</f>
        <v/>
      </c>
      <c r="L205" s="11">
        <f>IF(B205="","",IF(AND(F205&gt;0,F205&gt;(F205/3)*2.5),"VOL-OK","VOL-NG"))</f>
        <v/>
      </c>
      <c r="M205" s="11">
        <f>IF(B205="","",IF(B205&gt;G205,"ON","OFF"))</f>
        <v/>
      </c>
      <c r="N205" s="11">
        <f>IF(B205="","",IF(B205&lt;H205,"ON","OFF"))</f>
        <v/>
      </c>
      <c r="O205" s="11">
        <f>IF(OR(B205="",K205&lt;=0),"",IF(AND(J205="BUY-DAY",L205="VOL-OK",N205="ON",X205="OK",Y205&lt;&gt;"DOWN"),"BUY",IF(AND(J205="SELL-DAY",L205="VOL-OK",M205="ON",X205="OK",Y205&lt;&gt;"UP"),"SELL","")))</f>
        <v/>
      </c>
      <c r="P205" s="12">
        <f>IF(O205="","",B205)</f>
        <v/>
      </c>
      <c r="Q205" s="12">
        <f>IF(O205="","",IF(O205="BUY",B205-K205*1.5,B205+K205*1.5))</f>
        <v/>
      </c>
      <c r="R205" s="12">
        <f>IF(O205="","",IF(O205="BUY",B205+K205*1.5,B205-K205*1.5))</f>
        <v/>
      </c>
      <c r="S205" s="12">
        <f>IF(O205="","",IF(O205="BUY",B205+K205*2,B205-K205*2))</f>
        <v/>
      </c>
      <c r="T205" s="12">
        <f>IF(O205="","",IF(O205="BUY",B205+K205*3,B205-K205*3))</f>
        <v/>
      </c>
      <c r="U205" s="11">
        <f>IF(OR(B205="",K205&lt;=0),"",IF(AND(B205&gt;E205,ABS(B205-E205)&lt;K205*0.5),"2ND","1ST"))</f>
        <v/>
      </c>
      <c r="V205" s="11">
        <f>IF(OR(B205="",K205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5" s="11">
        <f>IF(OR(B205="",K205&lt;=0),"",IF(K205&gt;B205*0.05,"VOL-HIGH","VOL-NORMAL"))</f>
        <v/>
      </c>
      <c r="X205" s="11">
        <f>IF(OR(B205="",K205&lt;=0),"",IF(AND(L205="VOL-OK",W205="VOL-NORMAL",U205="2ND"),"OK","NG"))</f>
        <v/>
      </c>
      <c r="Y205" s="11">
        <f>IF(OR(B205="",K205&lt;=0),"",IF(AND(C205&gt;G205,D205&gt;H205),"UP",IF(AND(C205&lt;G205,D205&lt;H205),"DOWN","FLAT")))</f>
        <v/>
      </c>
    </row>
    <row r="206" ht="26" customHeight="1" s="1">
      <c r="A206" s="13">
        <f>IF('StockList_MS2'!A205="","",HYPERLINK("https://kabutan.jp/stock/?code="&amp;'StockList_MS2'!A205,'StockList_MS2'!A205))</f>
        <v/>
      </c>
      <c r="B206" s="14" t="n"/>
      <c r="C206" s="14" t="n"/>
      <c r="D206" s="14" t="n"/>
      <c r="E206" s="14" t="n"/>
      <c r="F206" s="15" t="n"/>
      <c r="G206" s="14" t="n"/>
      <c r="H206" s="14" t="n"/>
      <c r="I206" s="14" t="n"/>
      <c r="J206" s="16">
        <f>IF(B206="","",IF(B206&gt;I206,"BUY-DAY","SELL-DAY"))</f>
        <v/>
      </c>
      <c r="K206" s="17">
        <f>IF(B206="","",MAX(C206-D206,ABS(C206-I206),ABS(D206-I206)))</f>
        <v/>
      </c>
      <c r="L206" s="16">
        <f>IF(B206="","",IF(AND(F206&gt;0,F206&gt;(F206/3)*2.5),"VOL-OK","VOL-NG"))</f>
        <v/>
      </c>
      <c r="M206" s="16">
        <f>IF(B206="","",IF(B206&gt;G206,"ON","OFF"))</f>
        <v/>
      </c>
      <c r="N206" s="16">
        <f>IF(B206="","",IF(B206&lt;H206,"ON","OFF"))</f>
        <v/>
      </c>
      <c r="O206" s="16">
        <f>IF(OR(B206="",K206&lt;=0),"",IF(AND(J206="BUY-DAY",L206="VOL-OK",N206="ON",X206="OK",Y206&lt;&gt;"DOWN"),"BUY",IF(AND(J206="SELL-DAY",L206="VOL-OK",M206="ON",X206="OK",Y206&lt;&gt;"UP"),"SELL","")))</f>
        <v/>
      </c>
      <c r="P206" s="17">
        <f>IF(O206="","",B206)</f>
        <v/>
      </c>
      <c r="Q206" s="17">
        <f>IF(O206="","",IF(O206="BUY",B206-K206*1.5,B206+K206*1.5))</f>
        <v/>
      </c>
      <c r="R206" s="17">
        <f>IF(O206="","",IF(O206="BUY",B206+K206*1.5,B206-K206*1.5))</f>
        <v/>
      </c>
      <c r="S206" s="17">
        <f>IF(O206="","",IF(O206="BUY",B206+K206*2,B206-K206*2))</f>
        <v/>
      </c>
      <c r="T206" s="17">
        <f>IF(O206="","",IF(O206="BUY",B206+K206*3,B206-K206*3))</f>
        <v/>
      </c>
      <c r="U206" s="16">
        <f>IF(OR(B206="",K206&lt;=0),"",IF(AND(B206&gt;E206,ABS(B206-E206)&lt;K206*0.5),"2ND","1ST"))</f>
        <v/>
      </c>
      <c r="V206" s="16">
        <f>IF(OR(B206="",K206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6" s="16">
        <f>IF(OR(B206="",K206&lt;=0),"",IF(K206&gt;B206*0.05,"VOL-HIGH","VOL-NORMAL"))</f>
        <v/>
      </c>
      <c r="X206" s="16">
        <f>IF(OR(B206="",K206&lt;=0),"",IF(AND(L206="VOL-OK",W206="VOL-NORMAL",U206="2ND"),"OK","NG"))</f>
        <v/>
      </c>
      <c r="Y206" s="16">
        <f>IF(OR(B206="",K206&lt;=0),"",IF(AND(C206&gt;G206,D206&gt;H206),"UP",IF(AND(C206&lt;G206,D206&lt;H206),"DOWN","FLAT")))</f>
        <v/>
      </c>
    </row>
    <row r="207" ht="26" customHeight="1" s="1">
      <c r="A207" s="8">
        <f>IF('StockList_MS2'!A206="","",HYPERLINK("https://kabutan.jp/stock/?code="&amp;'StockList_MS2'!A206,'StockList_MS2'!A206))</f>
        <v/>
      </c>
      <c r="B207" s="9" t="n"/>
      <c r="C207" s="9" t="n"/>
      <c r="D207" s="9" t="n"/>
      <c r="E207" s="9" t="n"/>
      <c r="F207" s="10" t="n"/>
      <c r="G207" s="9" t="n"/>
      <c r="H207" s="9" t="n"/>
      <c r="I207" s="9" t="n"/>
      <c r="J207" s="11">
        <f>IF(B207="","",IF(B207&gt;I207,"BUY-DAY","SELL-DAY"))</f>
        <v/>
      </c>
      <c r="K207" s="12">
        <f>IF(B207="","",MAX(C207-D207,ABS(C207-I207),ABS(D207-I207)))</f>
        <v/>
      </c>
      <c r="L207" s="11">
        <f>IF(B207="","",IF(AND(F207&gt;0,F207&gt;(F207/3)*2.5),"VOL-OK","VOL-NG"))</f>
        <v/>
      </c>
      <c r="M207" s="11">
        <f>IF(B207="","",IF(B207&gt;G207,"ON","OFF"))</f>
        <v/>
      </c>
      <c r="N207" s="11">
        <f>IF(B207="","",IF(B207&lt;H207,"ON","OFF"))</f>
        <v/>
      </c>
      <c r="O207" s="11">
        <f>IF(OR(B207="",K207&lt;=0),"",IF(AND(J207="BUY-DAY",L207="VOL-OK",N207="ON",X207="OK",Y207&lt;&gt;"DOWN"),"BUY",IF(AND(J207="SELL-DAY",L207="VOL-OK",M207="ON",X207="OK",Y207&lt;&gt;"UP"),"SELL","")))</f>
        <v/>
      </c>
      <c r="P207" s="12">
        <f>IF(O207="","",B207)</f>
        <v/>
      </c>
      <c r="Q207" s="12">
        <f>IF(O207="","",IF(O207="BUY",B207-K207*1.5,B207+K207*1.5))</f>
        <v/>
      </c>
      <c r="R207" s="12">
        <f>IF(O207="","",IF(O207="BUY",B207+K207*1.5,B207-K207*1.5))</f>
        <v/>
      </c>
      <c r="S207" s="12">
        <f>IF(O207="","",IF(O207="BUY",B207+K207*2,B207-K207*2))</f>
        <v/>
      </c>
      <c r="T207" s="12">
        <f>IF(O207="","",IF(O207="BUY",B207+K207*3,B207-K207*3))</f>
        <v/>
      </c>
      <c r="U207" s="11">
        <f>IF(OR(B207="",K207&lt;=0),"",IF(AND(B207&gt;E207,ABS(B207-E207)&lt;K207*0.5),"2ND","1ST"))</f>
        <v/>
      </c>
      <c r="V207" s="11">
        <f>IF(OR(B207="",K207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7" s="11">
        <f>IF(OR(B207="",K207&lt;=0),"",IF(K207&gt;B207*0.05,"VOL-HIGH","VOL-NORMAL"))</f>
        <v/>
      </c>
      <c r="X207" s="11">
        <f>IF(OR(B207="",K207&lt;=0),"",IF(AND(L207="VOL-OK",W207="VOL-NORMAL",U207="2ND"),"OK","NG"))</f>
        <v/>
      </c>
      <c r="Y207" s="11">
        <f>IF(OR(B207="",K207&lt;=0),"",IF(AND(C207&gt;G207,D207&gt;H207),"UP",IF(AND(C207&lt;G207,D207&lt;H207),"DOWN","FLAT")))</f>
        <v/>
      </c>
    </row>
    <row r="208" ht="26" customHeight="1" s="1">
      <c r="A208" s="13">
        <f>IF('StockList_MS2'!A207="","",HYPERLINK("https://kabutan.jp/stock/?code="&amp;'StockList_MS2'!A207,'StockList_MS2'!A207))</f>
        <v/>
      </c>
      <c r="B208" s="14" t="n"/>
      <c r="C208" s="14" t="n"/>
      <c r="D208" s="14" t="n"/>
      <c r="E208" s="14" t="n"/>
      <c r="F208" s="15" t="n"/>
      <c r="G208" s="14" t="n"/>
      <c r="H208" s="14" t="n"/>
      <c r="I208" s="14" t="n"/>
      <c r="J208" s="16">
        <f>IF(B208="","",IF(B208&gt;I208,"BUY-DAY","SELL-DAY"))</f>
        <v/>
      </c>
      <c r="K208" s="17">
        <f>IF(B208="","",MAX(C208-D208,ABS(C208-I208),ABS(D208-I208)))</f>
        <v/>
      </c>
      <c r="L208" s="16">
        <f>IF(B208="","",IF(AND(F208&gt;0,F208&gt;(F208/3)*2.5),"VOL-OK","VOL-NG"))</f>
        <v/>
      </c>
      <c r="M208" s="16">
        <f>IF(B208="","",IF(B208&gt;G208,"ON","OFF"))</f>
        <v/>
      </c>
      <c r="N208" s="16">
        <f>IF(B208="","",IF(B208&lt;H208,"ON","OFF"))</f>
        <v/>
      </c>
      <c r="O208" s="16">
        <f>IF(OR(B208="",K208&lt;=0),"",IF(AND(J208="BUY-DAY",L208="VOL-OK",N208="ON",X208="OK",Y208&lt;&gt;"DOWN"),"BUY",IF(AND(J208="SELL-DAY",L208="VOL-OK",M208="ON",X208="OK",Y208&lt;&gt;"UP"),"SELL","")))</f>
        <v/>
      </c>
      <c r="P208" s="17">
        <f>IF(O208="","",B208)</f>
        <v/>
      </c>
      <c r="Q208" s="17">
        <f>IF(O208="","",IF(O208="BUY",B208-K208*1.5,B208+K208*1.5))</f>
        <v/>
      </c>
      <c r="R208" s="17">
        <f>IF(O208="","",IF(O208="BUY",B208+K208*1.5,B208-K208*1.5))</f>
        <v/>
      </c>
      <c r="S208" s="17">
        <f>IF(O208="","",IF(O208="BUY",B208+K208*2,B208-K208*2))</f>
        <v/>
      </c>
      <c r="T208" s="17">
        <f>IF(O208="","",IF(O208="BUY",B208+K208*3,B208-K208*3))</f>
        <v/>
      </c>
      <c r="U208" s="16">
        <f>IF(OR(B208="",K208&lt;=0),"",IF(AND(B208&gt;E208,ABS(B208-E208)&lt;K208*0.5),"2ND","1ST"))</f>
        <v/>
      </c>
      <c r="V208" s="16">
        <f>IF(OR(B208="",K208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8" s="16">
        <f>IF(OR(B208="",K208&lt;=0),"",IF(K208&gt;B208*0.05,"VOL-HIGH","VOL-NORMAL"))</f>
        <v/>
      </c>
      <c r="X208" s="16">
        <f>IF(OR(B208="",K208&lt;=0),"",IF(AND(L208="VOL-OK",W208="VOL-NORMAL",U208="2ND"),"OK","NG"))</f>
        <v/>
      </c>
      <c r="Y208" s="16">
        <f>IF(OR(B208="",K208&lt;=0),"",IF(AND(C208&gt;G208,D208&gt;H208),"UP",IF(AND(C208&lt;G208,D208&lt;H208),"DOWN","FLAT")))</f>
        <v/>
      </c>
    </row>
    <row r="209" ht="26" customHeight="1" s="1">
      <c r="A209" s="8">
        <f>IF('StockList_MS2'!A208="","",HYPERLINK("https://kabutan.jp/stock/?code="&amp;'StockList_MS2'!A208,'StockList_MS2'!A208))</f>
        <v/>
      </c>
      <c r="B209" s="9" t="n"/>
      <c r="C209" s="9" t="n"/>
      <c r="D209" s="9" t="n"/>
      <c r="E209" s="9" t="n"/>
      <c r="F209" s="10" t="n"/>
      <c r="G209" s="9" t="n"/>
      <c r="H209" s="9" t="n"/>
      <c r="I209" s="9" t="n"/>
      <c r="J209" s="11">
        <f>IF(B209="","",IF(B209&gt;I209,"BUY-DAY","SELL-DAY"))</f>
        <v/>
      </c>
      <c r="K209" s="12">
        <f>IF(B209="","",MAX(C209-D209,ABS(C209-I209),ABS(D209-I209)))</f>
        <v/>
      </c>
      <c r="L209" s="11">
        <f>IF(B209="","",IF(AND(F209&gt;0,F209&gt;(F209/3)*2.5),"VOL-OK","VOL-NG"))</f>
        <v/>
      </c>
      <c r="M209" s="11">
        <f>IF(B209="","",IF(B209&gt;G209,"ON","OFF"))</f>
        <v/>
      </c>
      <c r="N209" s="11">
        <f>IF(B209="","",IF(B209&lt;H209,"ON","OFF"))</f>
        <v/>
      </c>
      <c r="O209" s="11">
        <f>IF(OR(B209="",K209&lt;=0),"",IF(AND(J209="BUY-DAY",L209="VOL-OK",N209="ON",X209="OK",Y209&lt;&gt;"DOWN"),"BUY",IF(AND(J209="SELL-DAY",L209="VOL-OK",M209="ON",X209="OK",Y209&lt;&gt;"UP"),"SELL","")))</f>
        <v/>
      </c>
      <c r="P209" s="12">
        <f>IF(O209="","",B209)</f>
        <v/>
      </c>
      <c r="Q209" s="12">
        <f>IF(O209="","",IF(O209="BUY",B209-K209*1.5,B209+K209*1.5))</f>
        <v/>
      </c>
      <c r="R209" s="12">
        <f>IF(O209="","",IF(O209="BUY",B209+K209*1.5,B209-K209*1.5))</f>
        <v/>
      </c>
      <c r="S209" s="12">
        <f>IF(O209="","",IF(O209="BUY",B209+K209*2,B209-K209*2))</f>
        <v/>
      </c>
      <c r="T209" s="12">
        <f>IF(O209="","",IF(O209="BUY",B209+K209*3,B209-K209*3))</f>
        <v/>
      </c>
      <c r="U209" s="11">
        <f>IF(OR(B209="",K209&lt;=0),"",IF(AND(B209&gt;E209,ABS(B209-E209)&lt;K209*0.5),"2ND","1ST"))</f>
        <v/>
      </c>
      <c r="V209" s="11">
        <f>IF(OR(B209="",K209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9" s="11">
        <f>IF(OR(B209="",K209&lt;=0),"",IF(K209&gt;B209*0.05,"VOL-HIGH","VOL-NORMAL"))</f>
        <v/>
      </c>
      <c r="X209" s="11">
        <f>IF(OR(B209="",K209&lt;=0),"",IF(AND(L209="VOL-OK",W209="VOL-NORMAL",U209="2ND"),"OK","NG"))</f>
        <v/>
      </c>
      <c r="Y209" s="11">
        <f>IF(OR(B209="",K209&lt;=0),"",IF(AND(C209&gt;G209,D209&gt;H209),"UP",IF(AND(C209&lt;G209,D209&lt;H209),"DOWN","FLAT")))</f>
        <v/>
      </c>
    </row>
    <row r="210" ht="26" customHeight="1" s="1">
      <c r="A210" s="13">
        <f>IF('StockList_MS2'!A209="","",HYPERLINK("https://kabutan.jp/stock/?code="&amp;'StockList_MS2'!A209,'StockList_MS2'!A209))</f>
        <v/>
      </c>
      <c r="B210" s="14" t="n"/>
      <c r="C210" s="14" t="n"/>
      <c r="D210" s="14" t="n"/>
      <c r="E210" s="14" t="n"/>
      <c r="F210" s="15" t="n"/>
      <c r="G210" s="14" t="n"/>
      <c r="H210" s="14" t="n"/>
      <c r="I210" s="14" t="n"/>
      <c r="J210" s="16">
        <f>IF(B210="","",IF(B210&gt;I210,"BUY-DAY","SELL-DAY"))</f>
        <v/>
      </c>
      <c r="K210" s="17">
        <f>IF(B210="","",MAX(C210-D210,ABS(C210-I210),ABS(D210-I210)))</f>
        <v/>
      </c>
      <c r="L210" s="16">
        <f>IF(B210="","",IF(AND(F210&gt;0,F210&gt;(F210/3)*2.5),"VOL-OK","VOL-NG"))</f>
        <v/>
      </c>
      <c r="M210" s="16">
        <f>IF(B210="","",IF(B210&gt;G210,"ON","OFF"))</f>
        <v/>
      </c>
      <c r="N210" s="16">
        <f>IF(B210="","",IF(B210&lt;H210,"ON","OFF"))</f>
        <v/>
      </c>
      <c r="O210" s="16">
        <f>IF(OR(B210="",K210&lt;=0),"",IF(AND(J210="BUY-DAY",L210="VOL-OK",N210="ON",X210="OK",Y210&lt;&gt;"DOWN"),"BUY",IF(AND(J210="SELL-DAY",L210="VOL-OK",M210="ON",X210="OK",Y210&lt;&gt;"UP"),"SELL","")))</f>
        <v/>
      </c>
      <c r="P210" s="17">
        <f>IF(O210="","",B210)</f>
        <v/>
      </c>
      <c r="Q210" s="17">
        <f>IF(O210="","",IF(O210="BUY",B210-K210*1.5,B210+K210*1.5))</f>
        <v/>
      </c>
      <c r="R210" s="17">
        <f>IF(O210="","",IF(O210="BUY",B210+K210*1.5,B210-K210*1.5))</f>
        <v/>
      </c>
      <c r="S210" s="17">
        <f>IF(O210="","",IF(O210="BUY",B210+K210*2,B210-K210*2))</f>
        <v/>
      </c>
      <c r="T210" s="17">
        <f>IF(O210="","",IF(O210="BUY",B210+K210*3,B210-K210*3))</f>
        <v/>
      </c>
      <c r="U210" s="16">
        <f>IF(OR(B210="",K210&lt;=0),"",IF(AND(B210&gt;E210,ABS(B210-E210)&lt;K210*0.5),"2ND","1ST"))</f>
        <v/>
      </c>
      <c r="V210" s="16">
        <f>IF(OR(B210="",K210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0" s="16">
        <f>IF(OR(B210="",K210&lt;=0),"",IF(K210&gt;B210*0.05,"VOL-HIGH","VOL-NORMAL"))</f>
        <v/>
      </c>
      <c r="X210" s="16">
        <f>IF(OR(B210="",K210&lt;=0),"",IF(AND(L210="VOL-OK",W210="VOL-NORMAL",U210="2ND"),"OK","NG"))</f>
        <v/>
      </c>
      <c r="Y210" s="16">
        <f>IF(OR(B210="",K210&lt;=0),"",IF(AND(C210&gt;G210,D210&gt;H210),"UP",IF(AND(C210&lt;G210,D210&lt;H210),"DOWN","FLAT")))</f>
        <v/>
      </c>
    </row>
    <row r="211" ht="26" customHeight="1" s="1">
      <c r="A211" s="8">
        <f>IF('StockList_MS2'!A210="","",HYPERLINK("https://kabutan.jp/stock/?code="&amp;'StockList_MS2'!A210,'StockList_MS2'!A210))</f>
        <v/>
      </c>
      <c r="B211" s="9" t="n"/>
      <c r="C211" s="9" t="n"/>
      <c r="D211" s="9" t="n"/>
      <c r="E211" s="9" t="n"/>
      <c r="F211" s="10" t="n"/>
      <c r="G211" s="9" t="n"/>
      <c r="H211" s="9" t="n"/>
      <c r="I211" s="9" t="n"/>
      <c r="J211" s="11">
        <f>IF(B211="","",IF(B211&gt;I211,"BUY-DAY","SELL-DAY"))</f>
        <v/>
      </c>
      <c r="K211" s="12">
        <f>IF(B211="","",MAX(C211-D211,ABS(C211-I211),ABS(D211-I211)))</f>
        <v/>
      </c>
      <c r="L211" s="11">
        <f>IF(B211="","",IF(AND(F211&gt;0,F211&gt;(F211/3)*2.5),"VOL-OK","VOL-NG"))</f>
        <v/>
      </c>
      <c r="M211" s="11">
        <f>IF(B211="","",IF(B211&gt;G211,"ON","OFF"))</f>
        <v/>
      </c>
      <c r="N211" s="11">
        <f>IF(B211="","",IF(B211&lt;H211,"ON","OFF"))</f>
        <v/>
      </c>
      <c r="O211" s="11">
        <f>IF(OR(B211="",K211&lt;=0),"",IF(AND(J211="BUY-DAY",L211="VOL-OK",N211="ON",X211="OK",Y211&lt;&gt;"DOWN"),"BUY",IF(AND(J211="SELL-DAY",L211="VOL-OK",M211="ON",X211="OK",Y211&lt;&gt;"UP"),"SELL","")))</f>
        <v/>
      </c>
      <c r="P211" s="12">
        <f>IF(O211="","",B211)</f>
        <v/>
      </c>
      <c r="Q211" s="12">
        <f>IF(O211="","",IF(O211="BUY",B211-K211*1.5,B211+K211*1.5))</f>
        <v/>
      </c>
      <c r="R211" s="12">
        <f>IF(O211="","",IF(O211="BUY",B211+K211*1.5,B211-K211*1.5))</f>
        <v/>
      </c>
      <c r="S211" s="12">
        <f>IF(O211="","",IF(O211="BUY",B211+K211*2,B211-K211*2))</f>
        <v/>
      </c>
      <c r="T211" s="12">
        <f>IF(O211="","",IF(O211="BUY",B211+K211*3,B211-K211*3))</f>
        <v/>
      </c>
      <c r="U211" s="11">
        <f>IF(OR(B211="",K211&lt;=0),"",IF(AND(B211&gt;E211,ABS(B211-E211)&lt;K211*0.5),"2ND","1ST"))</f>
        <v/>
      </c>
      <c r="V211" s="11">
        <f>IF(OR(B211="",K211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1" s="11">
        <f>IF(OR(B211="",K211&lt;=0),"",IF(K211&gt;B211*0.05,"VOL-HIGH","VOL-NORMAL"))</f>
        <v/>
      </c>
      <c r="X211" s="11">
        <f>IF(OR(B211="",K211&lt;=0),"",IF(AND(L211="VOL-OK",W211="VOL-NORMAL",U211="2ND"),"OK","NG"))</f>
        <v/>
      </c>
      <c r="Y211" s="11">
        <f>IF(OR(B211="",K211&lt;=0),"",IF(AND(C211&gt;G211,D211&gt;H211),"UP",IF(AND(C211&lt;G211,D211&lt;H211),"DOWN","FLAT")))</f>
        <v/>
      </c>
    </row>
    <row r="212" ht="26" customHeight="1" s="1">
      <c r="A212" s="13">
        <f>IF('StockList_MS2'!A211="","",HYPERLINK("https://kabutan.jp/stock/?code="&amp;'StockList_MS2'!A211,'StockList_MS2'!A211))</f>
        <v/>
      </c>
      <c r="B212" s="14" t="n"/>
      <c r="C212" s="14" t="n"/>
      <c r="D212" s="14" t="n"/>
      <c r="E212" s="14" t="n"/>
      <c r="F212" s="15" t="n"/>
      <c r="G212" s="14" t="n"/>
      <c r="H212" s="14" t="n"/>
      <c r="I212" s="14" t="n"/>
      <c r="J212" s="16">
        <f>IF(B212="","",IF(B212&gt;I212,"BUY-DAY","SELL-DAY"))</f>
        <v/>
      </c>
      <c r="K212" s="17">
        <f>IF(B212="","",MAX(C212-D212,ABS(C212-I212),ABS(D212-I212)))</f>
        <v/>
      </c>
      <c r="L212" s="16">
        <f>IF(B212="","",IF(AND(F212&gt;0,F212&gt;(F212/3)*2.5),"VOL-OK","VOL-NG"))</f>
        <v/>
      </c>
      <c r="M212" s="16">
        <f>IF(B212="","",IF(B212&gt;G212,"ON","OFF"))</f>
        <v/>
      </c>
      <c r="N212" s="16">
        <f>IF(B212="","",IF(B212&lt;H212,"ON","OFF"))</f>
        <v/>
      </c>
      <c r="O212" s="16">
        <f>IF(OR(B212="",K212&lt;=0),"",IF(AND(J212="BUY-DAY",L212="VOL-OK",N212="ON",X212="OK",Y212&lt;&gt;"DOWN"),"BUY",IF(AND(J212="SELL-DAY",L212="VOL-OK",M212="ON",X212="OK",Y212&lt;&gt;"UP"),"SELL","")))</f>
        <v/>
      </c>
      <c r="P212" s="17">
        <f>IF(O212="","",B212)</f>
        <v/>
      </c>
      <c r="Q212" s="17">
        <f>IF(O212="","",IF(O212="BUY",B212-K212*1.5,B212+K212*1.5))</f>
        <v/>
      </c>
      <c r="R212" s="17">
        <f>IF(O212="","",IF(O212="BUY",B212+K212*1.5,B212-K212*1.5))</f>
        <v/>
      </c>
      <c r="S212" s="17">
        <f>IF(O212="","",IF(O212="BUY",B212+K212*2,B212-K212*2))</f>
        <v/>
      </c>
      <c r="T212" s="17">
        <f>IF(O212="","",IF(O212="BUY",B212+K212*3,B212-K212*3))</f>
        <v/>
      </c>
      <c r="U212" s="16">
        <f>IF(OR(B212="",K212&lt;=0),"",IF(AND(B212&gt;E212,ABS(B212-E212)&lt;K212*0.5),"2ND","1ST"))</f>
        <v/>
      </c>
      <c r="V212" s="16">
        <f>IF(OR(B212="",K212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2" s="16">
        <f>IF(OR(B212="",K212&lt;=0),"",IF(K212&gt;B212*0.05,"VOL-HIGH","VOL-NORMAL"))</f>
        <v/>
      </c>
      <c r="X212" s="16">
        <f>IF(OR(B212="",K212&lt;=0),"",IF(AND(L212="VOL-OK",W212="VOL-NORMAL",U212="2ND"),"OK","NG"))</f>
        <v/>
      </c>
      <c r="Y212" s="16">
        <f>IF(OR(B212="",K212&lt;=0),"",IF(AND(C212&gt;G212,D212&gt;H212),"UP",IF(AND(C212&lt;G212,D212&lt;H212),"DOWN","FLAT")))</f>
        <v/>
      </c>
    </row>
    <row r="213" ht="26" customHeight="1" s="1">
      <c r="A213" s="8">
        <f>IF('StockList_MS2'!A212="","",HYPERLINK("https://kabutan.jp/stock/?code="&amp;'StockList_MS2'!A212,'StockList_MS2'!A212))</f>
        <v/>
      </c>
      <c r="B213" s="9" t="n"/>
      <c r="C213" s="9" t="n"/>
      <c r="D213" s="9" t="n"/>
      <c r="E213" s="9" t="n"/>
      <c r="F213" s="10" t="n"/>
      <c r="G213" s="9" t="n"/>
      <c r="H213" s="9" t="n"/>
      <c r="I213" s="9" t="n"/>
      <c r="J213" s="11">
        <f>IF(B213="","",IF(B213&gt;I213,"BUY-DAY","SELL-DAY"))</f>
        <v/>
      </c>
      <c r="K213" s="12">
        <f>IF(B213="","",MAX(C213-D213,ABS(C213-I213),ABS(D213-I213)))</f>
        <v/>
      </c>
      <c r="L213" s="11">
        <f>IF(B213="","",IF(AND(F213&gt;0,F213&gt;(F213/3)*2.5),"VOL-OK","VOL-NG"))</f>
        <v/>
      </c>
      <c r="M213" s="11">
        <f>IF(B213="","",IF(B213&gt;G213,"ON","OFF"))</f>
        <v/>
      </c>
      <c r="N213" s="11">
        <f>IF(B213="","",IF(B213&lt;H213,"ON","OFF"))</f>
        <v/>
      </c>
      <c r="O213" s="11">
        <f>IF(OR(B213="",K213&lt;=0),"",IF(AND(J213="BUY-DAY",L213="VOL-OK",N213="ON",X213="OK",Y213&lt;&gt;"DOWN"),"BUY",IF(AND(J213="SELL-DAY",L213="VOL-OK",M213="ON",X213="OK",Y213&lt;&gt;"UP"),"SELL","")))</f>
        <v/>
      </c>
      <c r="P213" s="12">
        <f>IF(O213="","",B213)</f>
        <v/>
      </c>
      <c r="Q213" s="12">
        <f>IF(O213="","",IF(O213="BUY",B213-K213*1.5,B213+K213*1.5))</f>
        <v/>
      </c>
      <c r="R213" s="12">
        <f>IF(O213="","",IF(O213="BUY",B213+K213*1.5,B213-K213*1.5))</f>
        <v/>
      </c>
      <c r="S213" s="12">
        <f>IF(O213="","",IF(O213="BUY",B213+K213*2,B213-K213*2))</f>
        <v/>
      </c>
      <c r="T213" s="12">
        <f>IF(O213="","",IF(O213="BUY",B213+K213*3,B213-K213*3))</f>
        <v/>
      </c>
      <c r="U213" s="11">
        <f>IF(OR(B213="",K213&lt;=0),"",IF(AND(B213&gt;E213,ABS(B213-E213)&lt;K213*0.5),"2ND","1ST"))</f>
        <v/>
      </c>
      <c r="V213" s="11">
        <f>IF(OR(B213="",K213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3" s="11">
        <f>IF(OR(B213="",K213&lt;=0),"",IF(K213&gt;B213*0.05,"VOL-HIGH","VOL-NORMAL"))</f>
        <v/>
      </c>
      <c r="X213" s="11">
        <f>IF(OR(B213="",K213&lt;=0),"",IF(AND(L213="VOL-OK",W213="VOL-NORMAL",U213="2ND"),"OK","NG"))</f>
        <v/>
      </c>
      <c r="Y213" s="11">
        <f>IF(OR(B213="",K213&lt;=0),"",IF(AND(C213&gt;G213,D213&gt;H213),"UP",IF(AND(C213&lt;G213,D213&lt;H213),"DOWN","FLAT")))</f>
        <v/>
      </c>
    </row>
    <row r="214" ht="26" customHeight="1" s="1">
      <c r="A214" s="13">
        <f>IF('StockList_MS2'!A213="","",HYPERLINK("https://kabutan.jp/stock/?code="&amp;'StockList_MS2'!A213,'StockList_MS2'!A213))</f>
        <v/>
      </c>
      <c r="B214" s="14" t="n"/>
      <c r="C214" s="14" t="n"/>
      <c r="D214" s="14" t="n"/>
      <c r="E214" s="14" t="n"/>
      <c r="F214" s="15" t="n"/>
      <c r="G214" s="14" t="n"/>
      <c r="H214" s="14" t="n"/>
      <c r="I214" s="14" t="n"/>
      <c r="J214" s="16">
        <f>IF(B214="","",IF(B214&gt;I214,"BUY-DAY","SELL-DAY"))</f>
        <v/>
      </c>
      <c r="K214" s="17">
        <f>IF(B214="","",MAX(C214-D214,ABS(C214-I214),ABS(D214-I214)))</f>
        <v/>
      </c>
      <c r="L214" s="16">
        <f>IF(B214="","",IF(AND(F214&gt;0,F214&gt;(F214/3)*2.5),"VOL-OK","VOL-NG"))</f>
        <v/>
      </c>
      <c r="M214" s="16">
        <f>IF(B214="","",IF(B214&gt;G214,"ON","OFF"))</f>
        <v/>
      </c>
      <c r="N214" s="16">
        <f>IF(B214="","",IF(B214&lt;H214,"ON","OFF"))</f>
        <v/>
      </c>
      <c r="O214" s="16">
        <f>IF(OR(B214="",K214&lt;=0),"",IF(AND(J214="BUY-DAY",L214="VOL-OK",N214="ON",X214="OK",Y214&lt;&gt;"DOWN"),"BUY",IF(AND(J214="SELL-DAY",L214="VOL-OK",M214="ON",X214="OK",Y214&lt;&gt;"UP"),"SELL","")))</f>
        <v/>
      </c>
      <c r="P214" s="17">
        <f>IF(O214="","",B214)</f>
        <v/>
      </c>
      <c r="Q214" s="17">
        <f>IF(O214="","",IF(O214="BUY",B214-K214*1.5,B214+K214*1.5))</f>
        <v/>
      </c>
      <c r="R214" s="17">
        <f>IF(O214="","",IF(O214="BUY",B214+K214*1.5,B214-K214*1.5))</f>
        <v/>
      </c>
      <c r="S214" s="17">
        <f>IF(O214="","",IF(O214="BUY",B214+K214*2,B214-K214*2))</f>
        <v/>
      </c>
      <c r="T214" s="17">
        <f>IF(O214="","",IF(O214="BUY",B214+K214*3,B214-K214*3))</f>
        <v/>
      </c>
      <c r="U214" s="16">
        <f>IF(OR(B214="",K214&lt;=0),"",IF(AND(B214&gt;E214,ABS(B214-E214)&lt;K214*0.5),"2ND","1ST"))</f>
        <v/>
      </c>
      <c r="V214" s="16">
        <f>IF(OR(B214="",K214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4" s="16">
        <f>IF(OR(B214="",K214&lt;=0),"",IF(K214&gt;B214*0.05,"VOL-HIGH","VOL-NORMAL"))</f>
        <v/>
      </c>
      <c r="X214" s="16">
        <f>IF(OR(B214="",K214&lt;=0),"",IF(AND(L214="VOL-OK",W214="VOL-NORMAL",U214="2ND"),"OK","NG"))</f>
        <v/>
      </c>
      <c r="Y214" s="16">
        <f>IF(OR(B214="",K214&lt;=0),"",IF(AND(C214&gt;G214,D214&gt;H214),"UP",IF(AND(C214&lt;G214,D214&lt;H214),"DOWN","FLAT")))</f>
        <v/>
      </c>
    </row>
    <row r="215" ht="26" customHeight="1" s="1">
      <c r="A215" s="8">
        <f>IF('StockList_MS2'!A214="","",HYPERLINK("https://kabutan.jp/stock/?code="&amp;'StockList_MS2'!A214,'StockList_MS2'!A214))</f>
        <v/>
      </c>
      <c r="B215" s="9" t="n"/>
      <c r="C215" s="9" t="n"/>
      <c r="D215" s="9" t="n"/>
      <c r="E215" s="9" t="n"/>
      <c r="F215" s="10" t="n"/>
      <c r="G215" s="9" t="n"/>
      <c r="H215" s="9" t="n"/>
      <c r="I215" s="9" t="n"/>
      <c r="J215" s="11">
        <f>IF(B215="","",IF(B215&gt;I215,"BUY-DAY","SELL-DAY"))</f>
        <v/>
      </c>
      <c r="K215" s="12">
        <f>IF(B215="","",MAX(C215-D215,ABS(C215-I215),ABS(D215-I215)))</f>
        <v/>
      </c>
      <c r="L215" s="11">
        <f>IF(B215="","",IF(AND(F215&gt;0,F215&gt;(F215/3)*2.5),"VOL-OK","VOL-NG"))</f>
        <v/>
      </c>
      <c r="M215" s="11">
        <f>IF(B215="","",IF(B215&gt;G215,"ON","OFF"))</f>
        <v/>
      </c>
      <c r="N215" s="11">
        <f>IF(B215="","",IF(B215&lt;H215,"ON","OFF"))</f>
        <v/>
      </c>
      <c r="O215" s="11">
        <f>IF(OR(B215="",K215&lt;=0),"",IF(AND(J215="BUY-DAY",L215="VOL-OK",N215="ON",X215="OK",Y215&lt;&gt;"DOWN"),"BUY",IF(AND(J215="SELL-DAY",L215="VOL-OK",M215="ON",X215="OK",Y215&lt;&gt;"UP"),"SELL","")))</f>
        <v/>
      </c>
      <c r="P215" s="12">
        <f>IF(O215="","",B215)</f>
        <v/>
      </c>
      <c r="Q215" s="12">
        <f>IF(O215="","",IF(O215="BUY",B215-K215*1.5,B215+K215*1.5))</f>
        <v/>
      </c>
      <c r="R215" s="12">
        <f>IF(O215="","",IF(O215="BUY",B215+K215*1.5,B215-K215*1.5))</f>
        <v/>
      </c>
      <c r="S215" s="12">
        <f>IF(O215="","",IF(O215="BUY",B215+K215*2,B215-K215*2))</f>
        <v/>
      </c>
      <c r="T215" s="12">
        <f>IF(O215="","",IF(O215="BUY",B215+K215*3,B215-K215*3))</f>
        <v/>
      </c>
      <c r="U215" s="11">
        <f>IF(OR(B215="",K215&lt;=0),"",IF(AND(B215&gt;E215,ABS(B215-E215)&lt;K215*0.5),"2ND","1ST"))</f>
        <v/>
      </c>
      <c r="V215" s="11">
        <f>IF(OR(B215="",K215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5" s="11">
        <f>IF(OR(B215="",K215&lt;=0),"",IF(K215&gt;B215*0.05,"VOL-HIGH","VOL-NORMAL"))</f>
        <v/>
      </c>
      <c r="X215" s="11">
        <f>IF(OR(B215="",K215&lt;=0),"",IF(AND(L215="VOL-OK",W215="VOL-NORMAL",U215="2ND"),"OK","NG"))</f>
        <v/>
      </c>
      <c r="Y215" s="11">
        <f>IF(OR(B215="",K215&lt;=0),"",IF(AND(C215&gt;G215,D215&gt;H215),"UP",IF(AND(C215&lt;G215,D215&lt;H215),"DOWN","FLAT")))</f>
        <v/>
      </c>
    </row>
    <row r="216" ht="26" customHeight="1" s="1">
      <c r="A216" s="13">
        <f>IF('StockList_MS2'!A215="","",HYPERLINK("https://kabutan.jp/stock/?code="&amp;'StockList_MS2'!A215,'StockList_MS2'!A215))</f>
        <v/>
      </c>
      <c r="B216" s="14" t="n"/>
      <c r="C216" s="14" t="n"/>
      <c r="D216" s="14" t="n"/>
      <c r="E216" s="14" t="n"/>
      <c r="F216" s="15" t="n"/>
      <c r="G216" s="14" t="n"/>
      <c r="H216" s="14" t="n"/>
      <c r="I216" s="14" t="n"/>
      <c r="J216" s="16">
        <f>IF(B216="","",IF(B216&gt;I216,"BUY-DAY","SELL-DAY"))</f>
        <v/>
      </c>
      <c r="K216" s="17">
        <f>IF(B216="","",MAX(C216-D216,ABS(C216-I216),ABS(D216-I216)))</f>
        <v/>
      </c>
      <c r="L216" s="16">
        <f>IF(B216="","",IF(AND(F216&gt;0,F216&gt;(F216/3)*2.5),"VOL-OK","VOL-NG"))</f>
        <v/>
      </c>
      <c r="M216" s="16">
        <f>IF(B216="","",IF(B216&gt;G216,"ON","OFF"))</f>
        <v/>
      </c>
      <c r="N216" s="16">
        <f>IF(B216="","",IF(B216&lt;H216,"ON","OFF"))</f>
        <v/>
      </c>
      <c r="O216" s="16">
        <f>IF(OR(B216="",K216&lt;=0),"",IF(AND(J216="BUY-DAY",L216="VOL-OK",N216="ON",X216="OK",Y216&lt;&gt;"DOWN"),"BUY",IF(AND(J216="SELL-DAY",L216="VOL-OK",M216="ON",X216="OK",Y216&lt;&gt;"UP"),"SELL","")))</f>
        <v/>
      </c>
      <c r="P216" s="17">
        <f>IF(O216="","",B216)</f>
        <v/>
      </c>
      <c r="Q216" s="17">
        <f>IF(O216="","",IF(O216="BUY",B216-K216*1.5,B216+K216*1.5))</f>
        <v/>
      </c>
      <c r="R216" s="17">
        <f>IF(O216="","",IF(O216="BUY",B216+K216*1.5,B216-K216*1.5))</f>
        <v/>
      </c>
      <c r="S216" s="17">
        <f>IF(O216="","",IF(O216="BUY",B216+K216*2,B216-K216*2))</f>
        <v/>
      </c>
      <c r="T216" s="17">
        <f>IF(O216="","",IF(O216="BUY",B216+K216*3,B216-K216*3))</f>
        <v/>
      </c>
      <c r="U216" s="16">
        <f>IF(OR(B216="",K216&lt;=0),"",IF(AND(B216&gt;E216,ABS(B216-E216)&lt;K216*0.5),"2ND","1ST"))</f>
        <v/>
      </c>
      <c r="V216" s="16">
        <f>IF(OR(B216="",K216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6" s="16">
        <f>IF(OR(B216="",K216&lt;=0),"",IF(K216&gt;B216*0.05,"VOL-HIGH","VOL-NORMAL"))</f>
        <v/>
      </c>
      <c r="X216" s="16">
        <f>IF(OR(B216="",K216&lt;=0),"",IF(AND(L216="VOL-OK",W216="VOL-NORMAL",U216="2ND"),"OK","NG"))</f>
        <v/>
      </c>
      <c r="Y216" s="16">
        <f>IF(OR(B216="",K216&lt;=0),"",IF(AND(C216&gt;G216,D216&gt;H216),"UP",IF(AND(C216&lt;G216,D216&lt;H216),"DOWN","FLAT")))</f>
        <v/>
      </c>
    </row>
    <row r="217" ht="26" customHeight="1" s="1">
      <c r="A217" s="8">
        <f>IF('StockList_MS2'!A216="","",HYPERLINK("https://kabutan.jp/stock/?code="&amp;'StockList_MS2'!A216,'StockList_MS2'!A216))</f>
        <v/>
      </c>
      <c r="B217" s="9" t="n"/>
      <c r="C217" s="9" t="n"/>
      <c r="D217" s="9" t="n"/>
      <c r="E217" s="9" t="n"/>
      <c r="F217" s="10" t="n"/>
      <c r="G217" s="9" t="n"/>
      <c r="H217" s="9" t="n"/>
      <c r="I217" s="9" t="n"/>
      <c r="J217" s="11">
        <f>IF(B217="","",IF(B217&gt;I217,"BUY-DAY","SELL-DAY"))</f>
        <v/>
      </c>
      <c r="K217" s="12">
        <f>IF(B217="","",MAX(C217-D217,ABS(C217-I217),ABS(D217-I217)))</f>
        <v/>
      </c>
      <c r="L217" s="11">
        <f>IF(B217="","",IF(AND(F217&gt;0,F217&gt;(F217/3)*2.5),"VOL-OK","VOL-NG"))</f>
        <v/>
      </c>
      <c r="M217" s="11">
        <f>IF(B217="","",IF(B217&gt;G217,"ON","OFF"))</f>
        <v/>
      </c>
      <c r="N217" s="11">
        <f>IF(B217="","",IF(B217&lt;H217,"ON","OFF"))</f>
        <v/>
      </c>
      <c r="O217" s="11">
        <f>IF(OR(B217="",K217&lt;=0),"",IF(AND(J217="BUY-DAY",L217="VOL-OK",N217="ON",X217="OK",Y217&lt;&gt;"DOWN"),"BUY",IF(AND(J217="SELL-DAY",L217="VOL-OK",M217="ON",X217="OK",Y217&lt;&gt;"UP"),"SELL","")))</f>
        <v/>
      </c>
      <c r="P217" s="12">
        <f>IF(O217="","",B217)</f>
        <v/>
      </c>
      <c r="Q217" s="12">
        <f>IF(O217="","",IF(O217="BUY",B217-K217*1.5,B217+K217*1.5))</f>
        <v/>
      </c>
      <c r="R217" s="12">
        <f>IF(O217="","",IF(O217="BUY",B217+K217*1.5,B217-K217*1.5))</f>
        <v/>
      </c>
      <c r="S217" s="12">
        <f>IF(O217="","",IF(O217="BUY",B217+K217*2,B217-K217*2))</f>
        <v/>
      </c>
      <c r="T217" s="12">
        <f>IF(O217="","",IF(O217="BUY",B217+K217*3,B217-K217*3))</f>
        <v/>
      </c>
      <c r="U217" s="11">
        <f>IF(OR(B217="",K217&lt;=0),"",IF(AND(B217&gt;E217,ABS(B217-E217)&lt;K217*0.5),"2ND","1ST"))</f>
        <v/>
      </c>
      <c r="V217" s="11">
        <f>IF(OR(B217="",K217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7" s="11">
        <f>IF(OR(B217="",K217&lt;=0),"",IF(K217&gt;B217*0.05,"VOL-HIGH","VOL-NORMAL"))</f>
        <v/>
      </c>
      <c r="X217" s="11">
        <f>IF(OR(B217="",K217&lt;=0),"",IF(AND(L217="VOL-OK",W217="VOL-NORMAL",U217="2ND"),"OK","NG"))</f>
        <v/>
      </c>
      <c r="Y217" s="11">
        <f>IF(OR(B217="",K217&lt;=0),"",IF(AND(C217&gt;G217,D217&gt;H217),"UP",IF(AND(C217&lt;G217,D217&lt;H217),"DOWN","FLAT")))</f>
        <v/>
      </c>
    </row>
    <row r="218" ht="26" customHeight="1" s="1">
      <c r="A218" s="13">
        <f>IF('StockList_MS2'!A217="","",HYPERLINK("https://kabutan.jp/stock/?code="&amp;'StockList_MS2'!A217,'StockList_MS2'!A217))</f>
        <v/>
      </c>
      <c r="B218" s="14" t="n"/>
      <c r="C218" s="14" t="n"/>
      <c r="D218" s="14" t="n"/>
      <c r="E218" s="14" t="n"/>
      <c r="F218" s="15" t="n"/>
      <c r="G218" s="14" t="n"/>
      <c r="H218" s="14" t="n"/>
      <c r="I218" s="14" t="n"/>
      <c r="J218" s="16">
        <f>IF(B218="","",IF(B218&gt;I218,"BUY-DAY","SELL-DAY"))</f>
        <v/>
      </c>
      <c r="K218" s="17">
        <f>IF(B218="","",MAX(C218-D218,ABS(C218-I218),ABS(D218-I218)))</f>
        <v/>
      </c>
      <c r="L218" s="16">
        <f>IF(B218="","",IF(AND(F218&gt;0,F218&gt;(F218/3)*2.5),"VOL-OK","VOL-NG"))</f>
        <v/>
      </c>
      <c r="M218" s="16">
        <f>IF(B218="","",IF(B218&gt;G218,"ON","OFF"))</f>
        <v/>
      </c>
      <c r="N218" s="16">
        <f>IF(B218="","",IF(B218&lt;H218,"ON","OFF"))</f>
        <v/>
      </c>
      <c r="O218" s="16">
        <f>IF(OR(B218="",K218&lt;=0),"",IF(AND(J218="BUY-DAY",L218="VOL-OK",N218="ON",X218="OK",Y218&lt;&gt;"DOWN"),"BUY",IF(AND(J218="SELL-DAY",L218="VOL-OK",M218="ON",X218="OK",Y218&lt;&gt;"UP"),"SELL","")))</f>
        <v/>
      </c>
      <c r="P218" s="17">
        <f>IF(O218="","",B218)</f>
        <v/>
      </c>
      <c r="Q218" s="17">
        <f>IF(O218="","",IF(O218="BUY",B218-K218*1.5,B218+K218*1.5))</f>
        <v/>
      </c>
      <c r="R218" s="17">
        <f>IF(O218="","",IF(O218="BUY",B218+K218*1.5,B218-K218*1.5))</f>
        <v/>
      </c>
      <c r="S218" s="17">
        <f>IF(O218="","",IF(O218="BUY",B218+K218*2,B218-K218*2))</f>
        <v/>
      </c>
      <c r="T218" s="17">
        <f>IF(O218="","",IF(O218="BUY",B218+K218*3,B218-K218*3))</f>
        <v/>
      </c>
      <c r="U218" s="16">
        <f>IF(OR(B218="",K218&lt;=0),"",IF(AND(B218&gt;E218,ABS(B218-E218)&lt;K218*0.5),"2ND","1ST"))</f>
        <v/>
      </c>
      <c r="V218" s="16">
        <f>IF(OR(B218="",K218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8" s="16">
        <f>IF(OR(B218="",K218&lt;=0),"",IF(K218&gt;B218*0.05,"VOL-HIGH","VOL-NORMAL"))</f>
        <v/>
      </c>
      <c r="X218" s="16">
        <f>IF(OR(B218="",K218&lt;=0),"",IF(AND(L218="VOL-OK",W218="VOL-NORMAL",U218="2ND"),"OK","NG"))</f>
        <v/>
      </c>
      <c r="Y218" s="16">
        <f>IF(OR(B218="",K218&lt;=0),"",IF(AND(C218&gt;G218,D218&gt;H218),"UP",IF(AND(C218&lt;G218,D218&lt;H218),"DOWN","FLAT")))</f>
        <v/>
      </c>
    </row>
    <row r="219" ht="26" customHeight="1" s="1">
      <c r="A219" s="8">
        <f>IF('StockList_MS2'!A218="","",HYPERLINK("https://kabutan.jp/stock/?code="&amp;'StockList_MS2'!A218,'StockList_MS2'!A218))</f>
        <v/>
      </c>
      <c r="B219" s="9" t="n"/>
      <c r="C219" s="9" t="n"/>
      <c r="D219" s="9" t="n"/>
      <c r="E219" s="9" t="n"/>
      <c r="F219" s="10" t="n"/>
      <c r="G219" s="9" t="n"/>
      <c r="H219" s="9" t="n"/>
      <c r="I219" s="9" t="n"/>
      <c r="J219" s="11">
        <f>IF(B219="","",IF(B219&gt;I219,"BUY-DAY","SELL-DAY"))</f>
        <v/>
      </c>
      <c r="K219" s="12">
        <f>IF(B219="","",MAX(C219-D219,ABS(C219-I219),ABS(D219-I219)))</f>
        <v/>
      </c>
      <c r="L219" s="11">
        <f>IF(B219="","",IF(AND(F219&gt;0,F219&gt;(F219/3)*2.5),"VOL-OK","VOL-NG"))</f>
        <v/>
      </c>
      <c r="M219" s="11">
        <f>IF(B219="","",IF(B219&gt;G219,"ON","OFF"))</f>
        <v/>
      </c>
      <c r="N219" s="11">
        <f>IF(B219="","",IF(B219&lt;H219,"ON","OFF"))</f>
        <v/>
      </c>
      <c r="O219" s="11">
        <f>IF(OR(B219="",K219&lt;=0),"",IF(AND(J219="BUY-DAY",L219="VOL-OK",N219="ON",X219="OK",Y219&lt;&gt;"DOWN"),"BUY",IF(AND(J219="SELL-DAY",L219="VOL-OK",M219="ON",X219="OK",Y219&lt;&gt;"UP"),"SELL","")))</f>
        <v/>
      </c>
      <c r="P219" s="12">
        <f>IF(O219="","",B219)</f>
        <v/>
      </c>
      <c r="Q219" s="12">
        <f>IF(O219="","",IF(O219="BUY",B219-K219*1.5,B219+K219*1.5))</f>
        <v/>
      </c>
      <c r="R219" s="12">
        <f>IF(O219="","",IF(O219="BUY",B219+K219*1.5,B219-K219*1.5))</f>
        <v/>
      </c>
      <c r="S219" s="12">
        <f>IF(O219="","",IF(O219="BUY",B219+K219*2,B219-K219*2))</f>
        <v/>
      </c>
      <c r="T219" s="12">
        <f>IF(O219="","",IF(O219="BUY",B219+K219*3,B219-K219*3))</f>
        <v/>
      </c>
      <c r="U219" s="11">
        <f>IF(OR(B219="",K219&lt;=0),"",IF(AND(B219&gt;E219,ABS(B219-E219)&lt;K219*0.5),"2ND","1ST"))</f>
        <v/>
      </c>
      <c r="V219" s="11">
        <f>IF(OR(B219="",K219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9" s="11">
        <f>IF(OR(B219="",K219&lt;=0),"",IF(K219&gt;B219*0.05,"VOL-HIGH","VOL-NORMAL"))</f>
        <v/>
      </c>
      <c r="X219" s="11">
        <f>IF(OR(B219="",K219&lt;=0),"",IF(AND(L219="VOL-OK",W219="VOL-NORMAL",U219="2ND"),"OK","NG"))</f>
        <v/>
      </c>
      <c r="Y219" s="11">
        <f>IF(OR(B219="",K219&lt;=0),"",IF(AND(C219&gt;G219,D219&gt;H219),"UP",IF(AND(C219&lt;G219,D219&lt;H219),"DOWN","FLAT")))</f>
        <v/>
      </c>
    </row>
    <row r="220" ht="26" customHeight="1" s="1">
      <c r="A220" s="13">
        <f>IF('StockList_MS2'!A219="","",HYPERLINK("https://kabutan.jp/stock/?code="&amp;'StockList_MS2'!A219,'StockList_MS2'!A219))</f>
        <v/>
      </c>
      <c r="B220" s="14" t="n"/>
      <c r="C220" s="14" t="n"/>
      <c r="D220" s="14" t="n"/>
      <c r="E220" s="14" t="n"/>
      <c r="F220" s="15" t="n"/>
      <c r="G220" s="14" t="n"/>
      <c r="H220" s="14" t="n"/>
      <c r="I220" s="14" t="n"/>
      <c r="J220" s="16">
        <f>IF(B220="","",IF(B220&gt;I220,"BUY-DAY","SELL-DAY"))</f>
        <v/>
      </c>
      <c r="K220" s="17">
        <f>IF(B220="","",MAX(C220-D220,ABS(C220-I220),ABS(D220-I220)))</f>
        <v/>
      </c>
      <c r="L220" s="16">
        <f>IF(B220="","",IF(AND(F220&gt;0,F220&gt;(F220/3)*2.5),"VOL-OK","VOL-NG"))</f>
        <v/>
      </c>
      <c r="M220" s="16">
        <f>IF(B220="","",IF(B220&gt;G220,"ON","OFF"))</f>
        <v/>
      </c>
      <c r="N220" s="16">
        <f>IF(B220="","",IF(B220&lt;H220,"ON","OFF"))</f>
        <v/>
      </c>
      <c r="O220" s="16">
        <f>IF(OR(B220="",K220&lt;=0),"",IF(AND(J220="BUY-DAY",L220="VOL-OK",N220="ON",X220="OK",Y220&lt;&gt;"DOWN"),"BUY",IF(AND(J220="SELL-DAY",L220="VOL-OK",M220="ON",X220="OK",Y220&lt;&gt;"UP"),"SELL","")))</f>
        <v/>
      </c>
      <c r="P220" s="17">
        <f>IF(O220="","",B220)</f>
        <v/>
      </c>
      <c r="Q220" s="17">
        <f>IF(O220="","",IF(O220="BUY",B220-K220*1.5,B220+K220*1.5))</f>
        <v/>
      </c>
      <c r="R220" s="17">
        <f>IF(O220="","",IF(O220="BUY",B220+K220*1.5,B220-K220*1.5))</f>
        <v/>
      </c>
      <c r="S220" s="17">
        <f>IF(O220="","",IF(O220="BUY",B220+K220*2,B220-K220*2))</f>
        <v/>
      </c>
      <c r="T220" s="17">
        <f>IF(O220="","",IF(O220="BUY",B220+K220*3,B220-K220*3))</f>
        <v/>
      </c>
      <c r="U220" s="16">
        <f>IF(OR(B220="",K220&lt;=0),"",IF(AND(B220&gt;E220,ABS(B220-E220)&lt;K220*0.5),"2ND","1ST"))</f>
        <v/>
      </c>
      <c r="V220" s="16">
        <f>IF(OR(B220="",K220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0" s="16">
        <f>IF(OR(B220="",K220&lt;=0),"",IF(K220&gt;B220*0.05,"VOL-HIGH","VOL-NORMAL"))</f>
        <v/>
      </c>
      <c r="X220" s="16">
        <f>IF(OR(B220="",K220&lt;=0),"",IF(AND(L220="VOL-OK",W220="VOL-NORMAL",U220="2ND"),"OK","NG"))</f>
        <v/>
      </c>
      <c r="Y220" s="16">
        <f>IF(OR(B220="",K220&lt;=0),"",IF(AND(C220&gt;G220,D220&gt;H220),"UP",IF(AND(C220&lt;G220,D220&lt;H220),"DOWN","FLAT")))</f>
        <v/>
      </c>
    </row>
    <row r="221" ht="26" customHeight="1" s="1">
      <c r="A221" s="8">
        <f>IF('StockList_MS2'!A220="","",HYPERLINK("https://kabutan.jp/stock/?code="&amp;'StockList_MS2'!A220,'StockList_MS2'!A220))</f>
        <v/>
      </c>
      <c r="B221" s="9" t="n"/>
      <c r="C221" s="9" t="n"/>
      <c r="D221" s="9" t="n"/>
      <c r="E221" s="9" t="n"/>
      <c r="F221" s="10" t="n"/>
      <c r="G221" s="9" t="n"/>
      <c r="H221" s="9" t="n"/>
      <c r="I221" s="9" t="n"/>
      <c r="J221" s="11">
        <f>IF(B221="","",IF(B221&gt;I221,"BUY-DAY","SELL-DAY"))</f>
        <v/>
      </c>
      <c r="K221" s="12">
        <f>IF(B221="","",MAX(C221-D221,ABS(C221-I221),ABS(D221-I221)))</f>
        <v/>
      </c>
      <c r="L221" s="11">
        <f>IF(B221="","",IF(AND(F221&gt;0,F221&gt;(F221/3)*2.5),"VOL-OK","VOL-NG"))</f>
        <v/>
      </c>
      <c r="M221" s="11">
        <f>IF(B221="","",IF(B221&gt;G221,"ON","OFF"))</f>
        <v/>
      </c>
      <c r="N221" s="11">
        <f>IF(B221="","",IF(B221&lt;H221,"ON","OFF"))</f>
        <v/>
      </c>
      <c r="O221" s="11">
        <f>IF(OR(B221="",K221&lt;=0),"",IF(AND(J221="BUY-DAY",L221="VOL-OK",N221="ON",X221="OK",Y221&lt;&gt;"DOWN"),"BUY",IF(AND(J221="SELL-DAY",L221="VOL-OK",M221="ON",X221="OK",Y221&lt;&gt;"UP"),"SELL","")))</f>
        <v/>
      </c>
      <c r="P221" s="12">
        <f>IF(O221="","",B221)</f>
        <v/>
      </c>
      <c r="Q221" s="12">
        <f>IF(O221="","",IF(O221="BUY",B221-K221*1.5,B221+K221*1.5))</f>
        <v/>
      </c>
      <c r="R221" s="12">
        <f>IF(O221="","",IF(O221="BUY",B221+K221*1.5,B221-K221*1.5))</f>
        <v/>
      </c>
      <c r="S221" s="12">
        <f>IF(O221="","",IF(O221="BUY",B221+K221*2,B221-K221*2))</f>
        <v/>
      </c>
      <c r="T221" s="12">
        <f>IF(O221="","",IF(O221="BUY",B221+K221*3,B221-K221*3))</f>
        <v/>
      </c>
      <c r="U221" s="11">
        <f>IF(OR(B221="",K221&lt;=0),"",IF(AND(B221&gt;E221,ABS(B221-E221)&lt;K221*0.5),"2ND","1ST"))</f>
        <v/>
      </c>
      <c r="V221" s="11">
        <f>IF(OR(B221="",K221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1" s="11">
        <f>IF(OR(B221="",K221&lt;=0),"",IF(K221&gt;B221*0.05,"VOL-HIGH","VOL-NORMAL"))</f>
        <v/>
      </c>
      <c r="X221" s="11">
        <f>IF(OR(B221="",K221&lt;=0),"",IF(AND(L221="VOL-OK",W221="VOL-NORMAL",U221="2ND"),"OK","NG"))</f>
        <v/>
      </c>
      <c r="Y221" s="11">
        <f>IF(OR(B221="",K221&lt;=0),"",IF(AND(C221&gt;G221,D221&gt;H221),"UP",IF(AND(C221&lt;G221,D221&lt;H221),"DOWN","FLAT")))</f>
        <v/>
      </c>
    </row>
    <row r="222" ht="26" customHeight="1" s="1">
      <c r="A222" s="13">
        <f>IF('StockList_MS2'!A221="","",HYPERLINK("https://kabutan.jp/stock/?code="&amp;'StockList_MS2'!A221,'StockList_MS2'!A221))</f>
        <v/>
      </c>
      <c r="B222" s="14" t="n"/>
      <c r="C222" s="14" t="n"/>
      <c r="D222" s="14" t="n"/>
      <c r="E222" s="14" t="n"/>
      <c r="F222" s="15" t="n"/>
      <c r="G222" s="14" t="n"/>
      <c r="H222" s="14" t="n"/>
      <c r="I222" s="14" t="n"/>
      <c r="J222" s="16">
        <f>IF(B222="","",IF(B222&gt;I222,"BUY-DAY","SELL-DAY"))</f>
        <v/>
      </c>
      <c r="K222" s="17">
        <f>IF(B222="","",MAX(C222-D222,ABS(C222-I222),ABS(D222-I222)))</f>
        <v/>
      </c>
      <c r="L222" s="16">
        <f>IF(B222="","",IF(AND(F222&gt;0,F222&gt;(F222/3)*2.5),"VOL-OK","VOL-NG"))</f>
        <v/>
      </c>
      <c r="M222" s="16">
        <f>IF(B222="","",IF(B222&gt;G222,"ON","OFF"))</f>
        <v/>
      </c>
      <c r="N222" s="16">
        <f>IF(B222="","",IF(B222&lt;H222,"ON","OFF"))</f>
        <v/>
      </c>
      <c r="O222" s="16">
        <f>IF(OR(B222="",K222&lt;=0),"",IF(AND(J222="BUY-DAY",L222="VOL-OK",N222="ON",X222="OK",Y222&lt;&gt;"DOWN"),"BUY",IF(AND(J222="SELL-DAY",L222="VOL-OK",M222="ON",X222="OK",Y222&lt;&gt;"UP"),"SELL","")))</f>
        <v/>
      </c>
      <c r="P222" s="17">
        <f>IF(O222="","",B222)</f>
        <v/>
      </c>
      <c r="Q222" s="17">
        <f>IF(O222="","",IF(O222="BUY",B222-K222*1.5,B222+K222*1.5))</f>
        <v/>
      </c>
      <c r="R222" s="17">
        <f>IF(O222="","",IF(O222="BUY",B222+K222*1.5,B222-K222*1.5))</f>
        <v/>
      </c>
      <c r="S222" s="17">
        <f>IF(O222="","",IF(O222="BUY",B222+K222*2,B222-K222*2))</f>
        <v/>
      </c>
      <c r="T222" s="17">
        <f>IF(O222="","",IF(O222="BUY",B222+K222*3,B222-K222*3))</f>
        <v/>
      </c>
      <c r="U222" s="16">
        <f>IF(OR(B222="",K222&lt;=0),"",IF(AND(B222&gt;E222,ABS(B222-E222)&lt;K222*0.5),"2ND","1ST"))</f>
        <v/>
      </c>
      <c r="V222" s="16">
        <f>IF(OR(B222="",K222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2" s="16">
        <f>IF(OR(B222="",K222&lt;=0),"",IF(K222&gt;B222*0.05,"VOL-HIGH","VOL-NORMAL"))</f>
        <v/>
      </c>
      <c r="X222" s="16">
        <f>IF(OR(B222="",K222&lt;=0),"",IF(AND(L222="VOL-OK",W222="VOL-NORMAL",U222="2ND"),"OK","NG"))</f>
        <v/>
      </c>
      <c r="Y222" s="16">
        <f>IF(OR(B222="",K222&lt;=0),"",IF(AND(C222&gt;G222,D222&gt;H222),"UP",IF(AND(C222&lt;G222,D222&lt;H222),"DOWN","FLAT")))</f>
        <v/>
      </c>
    </row>
    <row r="223" ht="26" customHeight="1" s="1">
      <c r="A223" s="8">
        <f>IF('StockList_MS2'!A222="","",HYPERLINK("https://kabutan.jp/stock/?code="&amp;'StockList_MS2'!A222,'StockList_MS2'!A222))</f>
        <v/>
      </c>
      <c r="B223" s="9" t="n"/>
      <c r="C223" s="9" t="n"/>
      <c r="D223" s="9" t="n"/>
      <c r="E223" s="9" t="n"/>
      <c r="F223" s="10" t="n"/>
      <c r="G223" s="9" t="n"/>
      <c r="H223" s="9" t="n"/>
      <c r="I223" s="9" t="n"/>
      <c r="J223" s="11">
        <f>IF(B223="","",IF(B223&gt;I223,"BUY-DAY","SELL-DAY"))</f>
        <v/>
      </c>
      <c r="K223" s="12">
        <f>IF(B223="","",MAX(C223-D223,ABS(C223-I223),ABS(D223-I223)))</f>
        <v/>
      </c>
      <c r="L223" s="11">
        <f>IF(B223="","",IF(AND(F223&gt;0,F223&gt;(F223/3)*2.5),"VOL-OK","VOL-NG"))</f>
        <v/>
      </c>
      <c r="M223" s="11">
        <f>IF(B223="","",IF(B223&gt;G223,"ON","OFF"))</f>
        <v/>
      </c>
      <c r="N223" s="11">
        <f>IF(B223="","",IF(B223&lt;H223,"ON","OFF"))</f>
        <v/>
      </c>
      <c r="O223" s="11">
        <f>IF(OR(B223="",K223&lt;=0),"",IF(AND(J223="BUY-DAY",L223="VOL-OK",N223="ON",X223="OK",Y223&lt;&gt;"DOWN"),"BUY",IF(AND(J223="SELL-DAY",L223="VOL-OK",M223="ON",X223="OK",Y223&lt;&gt;"UP"),"SELL","")))</f>
        <v/>
      </c>
      <c r="P223" s="12">
        <f>IF(O223="","",B223)</f>
        <v/>
      </c>
      <c r="Q223" s="12">
        <f>IF(O223="","",IF(O223="BUY",B223-K223*1.5,B223+K223*1.5))</f>
        <v/>
      </c>
      <c r="R223" s="12">
        <f>IF(O223="","",IF(O223="BUY",B223+K223*1.5,B223-K223*1.5))</f>
        <v/>
      </c>
      <c r="S223" s="12">
        <f>IF(O223="","",IF(O223="BUY",B223+K223*2,B223-K223*2))</f>
        <v/>
      </c>
      <c r="T223" s="12">
        <f>IF(O223="","",IF(O223="BUY",B223+K223*3,B223-K223*3))</f>
        <v/>
      </c>
      <c r="U223" s="11">
        <f>IF(OR(B223="",K223&lt;=0),"",IF(AND(B223&gt;E223,ABS(B223-E223)&lt;K223*0.5),"2ND","1ST"))</f>
        <v/>
      </c>
      <c r="V223" s="11">
        <f>IF(OR(B223="",K223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3" s="11">
        <f>IF(OR(B223="",K223&lt;=0),"",IF(K223&gt;B223*0.05,"VOL-HIGH","VOL-NORMAL"))</f>
        <v/>
      </c>
      <c r="X223" s="11">
        <f>IF(OR(B223="",K223&lt;=0),"",IF(AND(L223="VOL-OK",W223="VOL-NORMAL",U223="2ND"),"OK","NG"))</f>
        <v/>
      </c>
      <c r="Y223" s="11">
        <f>IF(OR(B223="",K223&lt;=0),"",IF(AND(C223&gt;G223,D223&gt;H223),"UP",IF(AND(C223&lt;G223,D223&lt;H223),"DOWN","FLAT")))</f>
        <v/>
      </c>
    </row>
    <row r="224" ht="26" customHeight="1" s="1">
      <c r="A224" s="13">
        <f>IF('StockList_MS2'!A223="","",HYPERLINK("https://kabutan.jp/stock/?code="&amp;'StockList_MS2'!A223,'StockList_MS2'!A223))</f>
        <v/>
      </c>
      <c r="B224" s="14" t="n"/>
      <c r="C224" s="14" t="n"/>
      <c r="D224" s="14" t="n"/>
      <c r="E224" s="14" t="n"/>
      <c r="F224" s="15" t="n"/>
      <c r="G224" s="14" t="n"/>
      <c r="H224" s="14" t="n"/>
      <c r="I224" s="14" t="n"/>
      <c r="J224" s="16">
        <f>IF(B224="","",IF(B224&gt;I224,"BUY-DAY","SELL-DAY"))</f>
        <v/>
      </c>
      <c r="K224" s="17">
        <f>IF(B224="","",MAX(C224-D224,ABS(C224-I224),ABS(D224-I224)))</f>
        <v/>
      </c>
      <c r="L224" s="16">
        <f>IF(B224="","",IF(AND(F224&gt;0,F224&gt;(F224/3)*2.5),"VOL-OK","VOL-NG"))</f>
        <v/>
      </c>
      <c r="M224" s="16">
        <f>IF(B224="","",IF(B224&gt;G224,"ON","OFF"))</f>
        <v/>
      </c>
      <c r="N224" s="16">
        <f>IF(B224="","",IF(B224&lt;H224,"ON","OFF"))</f>
        <v/>
      </c>
      <c r="O224" s="16">
        <f>IF(OR(B224="",K224&lt;=0),"",IF(AND(J224="BUY-DAY",L224="VOL-OK",N224="ON",X224="OK",Y224&lt;&gt;"DOWN"),"BUY",IF(AND(J224="SELL-DAY",L224="VOL-OK",M224="ON",X224="OK",Y224&lt;&gt;"UP"),"SELL","")))</f>
        <v/>
      </c>
      <c r="P224" s="17">
        <f>IF(O224="","",B224)</f>
        <v/>
      </c>
      <c r="Q224" s="17">
        <f>IF(O224="","",IF(O224="BUY",B224-K224*1.5,B224+K224*1.5))</f>
        <v/>
      </c>
      <c r="R224" s="17">
        <f>IF(O224="","",IF(O224="BUY",B224+K224*1.5,B224-K224*1.5))</f>
        <v/>
      </c>
      <c r="S224" s="17">
        <f>IF(O224="","",IF(O224="BUY",B224+K224*2,B224-K224*2))</f>
        <v/>
      </c>
      <c r="T224" s="17">
        <f>IF(O224="","",IF(O224="BUY",B224+K224*3,B224-K224*3))</f>
        <v/>
      </c>
      <c r="U224" s="16">
        <f>IF(OR(B224="",K224&lt;=0),"",IF(AND(B224&gt;E224,ABS(B224-E224)&lt;K224*0.5),"2ND","1ST"))</f>
        <v/>
      </c>
      <c r="V224" s="16">
        <f>IF(OR(B224="",K224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4" s="16">
        <f>IF(OR(B224="",K224&lt;=0),"",IF(K224&gt;B224*0.05,"VOL-HIGH","VOL-NORMAL"))</f>
        <v/>
      </c>
      <c r="X224" s="16">
        <f>IF(OR(B224="",K224&lt;=0),"",IF(AND(L224="VOL-OK",W224="VOL-NORMAL",U224="2ND"),"OK","NG"))</f>
        <v/>
      </c>
      <c r="Y224" s="16">
        <f>IF(OR(B224="",K224&lt;=0),"",IF(AND(C224&gt;G224,D224&gt;H224),"UP",IF(AND(C224&lt;G224,D224&lt;H224),"DOWN","FLAT")))</f>
        <v/>
      </c>
    </row>
    <row r="225" ht="26" customHeight="1" s="1">
      <c r="A225" s="8">
        <f>IF('StockList_MS2'!A224="","",HYPERLINK("https://kabutan.jp/stock/?code="&amp;'StockList_MS2'!A224,'StockList_MS2'!A224))</f>
        <v/>
      </c>
      <c r="B225" s="9" t="n"/>
      <c r="C225" s="9" t="n"/>
      <c r="D225" s="9" t="n"/>
      <c r="E225" s="9" t="n"/>
      <c r="F225" s="10" t="n"/>
      <c r="G225" s="9" t="n"/>
      <c r="H225" s="9" t="n"/>
      <c r="I225" s="9" t="n"/>
      <c r="J225" s="11">
        <f>IF(B225="","",IF(B225&gt;I225,"BUY-DAY","SELL-DAY"))</f>
        <v/>
      </c>
      <c r="K225" s="12">
        <f>IF(B225="","",MAX(C225-D225,ABS(C225-I225),ABS(D225-I225)))</f>
        <v/>
      </c>
      <c r="L225" s="11">
        <f>IF(B225="","",IF(AND(F225&gt;0,F225&gt;(F225/3)*2.5),"VOL-OK","VOL-NG"))</f>
        <v/>
      </c>
      <c r="M225" s="11">
        <f>IF(B225="","",IF(B225&gt;G225,"ON","OFF"))</f>
        <v/>
      </c>
      <c r="N225" s="11">
        <f>IF(B225="","",IF(B225&lt;H225,"ON","OFF"))</f>
        <v/>
      </c>
      <c r="O225" s="11">
        <f>IF(OR(B225="",K225&lt;=0),"",IF(AND(J225="BUY-DAY",L225="VOL-OK",N225="ON",X225="OK",Y225&lt;&gt;"DOWN"),"BUY",IF(AND(J225="SELL-DAY",L225="VOL-OK",M225="ON",X225="OK",Y225&lt;&gt;"UP"),"SELL","")))</f>
        <v/>
      </c>
      <c r="P225" s="12">
        <f>IF(O225="","",B225)</f>
        <v/>
      </c>
      <c r="Q225" s="12">
        <f>IF(O225="","",IF(O225="BUY",B225-K225*1.5,B225+K225*1.5))</f>
        <v/>
      </c>
      <c r="R225" s="12">
        <f>IF(O225="","",IF(O225="BUY",B225+K225*1.5,B225-K225*1.5))</f>
        <v/>
      </c>
      <c r="S225" s="12">
        <f>IF(O225="","",IF(O225="BUY",B225+K225*2,B225-K225*2))</f>
        <v/>
      </c>
      <c r="T225" s="12">
        <f>IF(O225="","",IF(O225="BUY",B225+K225*3,B225-K225*3))</f>
        <v/>
      </c>
      <c r="U225" s="11">
        <f>IF(OR(B225="",K225&lt;=0),"",IF(AND(B225&gt;E225,ABS(B225-E225)&lt;K225*0.5),"2ND","1ST"))</f>
        <v/>
      </c>
      <c r="V225" s="11">
        <f>IF(OR(B225="",K225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5" s="11">
        <f>IF(OR(B225="",K225&lt;=0),"",IF(K225&gt;B225*0.05,"VOL-HIGH","VOL-NORMAL"))</f>
        <v/>
      </c>
      <c r="X225" s="11">
        <f>IF(OR(B225="",K225&lt;=0),"",IF(AND(L225="VOL-OK",W225="VOL-NORMAL",U225="2ND"),"OK","NG"))</f>
        <v/>
      </c>
      <c r="Y225" s="11">
        <f>IF(OR(B225="",K225&lt;=0),"",IF(AND(C225&gt;G225,D225&gt;H225),"UP",IF(AND(C225&lt;G225,D225&lt;H225),"DOWN","FLAT")))</f>
        <v/>
      </c>
    </row>
    <row r="226" ht="26" customHeight="1" s="1">
      <c r="A226" s="13">
        <f>IF('StockList_MS2'!A225="","",HYPERLINK("https://kabutan.jp/stock/?code="&amp;'StockList_MS2'!A225,'StockList_MS2'!A225))</f>
        <v/>
      </c>
      <c r="B226" s="14" t="n"/>
      <c r="C226" s="14" t="n"/>
      <c r="D226" s="14" t="n"/>
      <c r="E226" s="14" t="n"/>
      <c r="F226" s="15" t="n"/>
      <c r="G226" s="14" t="n"/>
      <c r="H226" s="14" t="n"/>
      <c r="I226" s="14" t="n"/>
      <c r="J226" s="16">
        <f>IF(B226="","",IF(B226&gt;I226,"BUY-DAY","SELL-DAY"))</f>
        <v/>
      </c>
      <c r="K226" s="17">
        <f>IF(B226="","",MAX(C226-D226,ABS(C226-I226),ABS(D226-I226)))</f>
        <v/>
      </c>
      <c r="L226" s="16">
        <f>IF(B226="","",IF(AND(F226&gt;0,F226&gt;(F226/3)*2.5),"VOL-OK","VOL-NG"))</f>
        <v/>
      </c>
      <c r="M226" s="16">
        <f>IF(B226="","",IF(B226&gt;G226,"ON","OFF"))</f>
        <v/>
      </c>
      <c r="N226" s="16">
        <f>IF(B226="","",IF(B226&lt;H226,"ON","OFF"))</f>
        <v/>
      </c>
      <c r="O226" s="16">
        <f>IF(OR(B226="",K226&lt;=0),"",IF(AND(J226="BUY-DAY",L226="VOL-OK",N226="ON",X226="OK",Y226&lt;&gt;"DOWN"),"BUY",IF(AND(J226="SELL-DAY",L226="VOL-OK",M226="ON",X226="OK",Y226&lt;&gt;"UP"),"SELL","")))</f>
        <v/>
      </c>
      <c r="P226" s="17">
        <f>IF(O226="","",B226)</f>
        <v/>
      </c>
      <c r="Q226" s="17">
        <f>IF(O226="","",IF(O226="BUY",B226-K226*1.5,B226+K226*1.5))</f>
        <v/>
      </c>
      <c r="R226" s="17">
        <f>IF(O226="","",IF(O226="BUY",B226+K226*1.5,B226-K226*1.5))</f>
        <v/>
      </c>
      <c r="S226" s="17">
        <f>IF(O226="","",IF(O226="BUY",B226+K226*2,B226-K226*2))</f>
        <v/>
      </c>
      <c r="T226" s="17">
        <f>IF(O226="","",IF(O226="BUY",B226+K226*3,B226-K226*3))</f>
        <v/>
      </c>
      <c r="U226" s="16">
        <f>IF(OR(B226="",K226&lt;=0),"",IF(AND(B226&gt;E226,ABS(B226-E226)&lt;K226*0.5),"2ND","1ST"))</f>
        <v/>
      </c>
      <c r="V226" s="16">
        <f>IF(OR(B226="",K226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6" s="16">
        <f>IF(OR(B226="",K226&lt;=0),"",IF(K226&gt;B226*0.05,"VOL-HIGH","VOL-NORMAL"))</f>
        <v/>
      </c>
      <c r="X226" s="16">
        <f>IF(OR(B226="",K226&lt;=0),"",IF(AND(L226="VOL-OK",W226="VOL-NORMAL",U226="2ND"),"OK","NG"))</f>
        <v/>
      </c>
      <c r="Y226" s="16">
        <f>IF(OR(B226="",K226&lt;=0),"",IF(AND(C226&gt;G226,D226&gt;H226),"UP",IF(AND(C226&lt;G226,D226&lt;H226),"DOWN","FLAT")))</f>
        <v/>
      </c>
    </row>
    <row r="227" ht="26" customHeight="1" s="1">
      <c r="A227" s="8">
        <f>IF('StockList_MS2'!A226="","",HYPERLINK("https://kabutan.jp/stock/?code="&amp;'StockList_MS2'!A226,'StockList_MS2'!A226))</f>
        <v/>
      </c>
      <c r="B227" s="9" t="n"/>
      <c r="C227" s="9" t="n"/>
      <c r="D227" s="9" t="n"/>
      <c r="E227" s="9" t="n"/>
      <c r="F227" s="10" t="n"/>
      <c r="G227" s="9" t="n"/>
      <c r="H227" s="9" t="n"/>
      <c r="I227" s="9" t="n"/>
      <c r="J227" s="11">
        <f>IF(B227="","",IF(B227&gt;I227,"BUY-DAY","SELL-DAY"))</f>
        <v/>
      </c>
      <c r="K227" s="12">
        <f>IF(B227="","",MAX(C227-D227,ABS(C227-I227),ABS(D227-I227)))</f>
        <v/>
      </c>
      <c r="L227" s="11">
        <f>IF(B227="","",IF(AND(F227&gt;0,F227&gt;(F227/3)*2.5),"VOL-OK","VOL-NG"))</f>
        <v/>
      </c>
      <c r="M227" s="11">
        <f>IF(B227="","",IF(B227&gt;G227,"ON","OFF"))</f>
        <v/>
      </c>
      <c r="N227" s="11">
        <f>IF(B227="","",IF(B227&lt;H227,"ON","OFF"))</f>
        <v/>
      </c>
      <c r="O227" s="11">
        <f>IF(OR(B227="",K227&lt;=0),"",IF(AND(J227="BUY-DAY",L227="VOL-OK",N227="ON",X227="OK",Y227&lt;&gt;"DOWN"),"BUY",IF(AND(J227="SELL-DAY",L227="VOL-OK",M227="ON",X227="OK",Y227&lt;&gt;"UP"),"SELL","")))</f>
        <v/>
      </c>
      <c r="P227" s="12">
        <f>IF(O227="","",B227)</f>
        <v/>
      </c>
      <c r="Q227" s="12">
        <f>IF(O227="","",IF(O227="BUY",B227-K227*1.5,B227+K227*1.5))</f>
        <v/>
      </c>
      <c r="R227" s="12">
        <f>IF(O227="","",IF(O227="BUY",B227+K227*1.5,B227-K227*1.5))</f>
        <v/>
      </c>
      <c r="S227" s="12">
        <f>IF(O227="","",IF(O227="BUY",B227+K227*2,B227-K227*2))</f>
        <v/>
      </c>
      <c r="T227" s="12">
        <f>IF(O227="","",IF(O227="BUY",B227+K227*3,B227-K227*3))</f>
        <v/>
      </c>
      <c r="U227" s="11">
        <f>IF(OR(B227="",K227&lt;=0),"",IF(AND(B227&gt;E227,ABS(B227-E227)&lt;K227*0.5),"2ND","1ST"))</f>
        <v/>
      </c>
      <c r="V227" s="11">
        <f>IF(OR(B227="",K227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7" s="11">
        <f>IF(OR(B227="",K227&lt;=0),"",IF(K227&gt;B227*0.05,"VOL-HIGH","VOL-NORMAL"))</f>
        <v/>
      </c>
      <c r="X227" s="11">
        <f>IF(OR(B227="",K227&lt;=0),"",IF(AND(L227="VOL-OK",W227="VOL-NORMAL",U227="2ND"),"OK","NG"))</f>
        <v/>
      </c>
      <c r="Y227" s="11">
        <f>IF(OR(B227="",K227&lt;=0),"",IF(AND(C227&gt;G227,D227&gt;H227),"UP",IF(AND(C227&lt;G227,D227&lt;H227),"DOWN","FLAT")))</f>
        <v/>
      </c>
    </row>
    <row r="228" ht="26" customHeight="1" s="1">
      <c r="A228" s="13">
        <f>IF('StockList_MS2'!A227="","",HYPERLINK("https://kabutan.jp/stock/?code="&amp;'StockList_MS2'!A227,'StockList_MS2'!A227))</f>
        <v/>
      </c>
      <c r="B228" s="14" t="n"/>
      <c r="C228" s="14" t="n"/>
      <c r="D228" s="14" t="n"/>
      <c r="E228" s="14" t="n"/>
      <c r="F228" s="15" t="n"/>
      <c r="G228" s="14" t="n"/>
      <c r="H228" s="14" t="n"/>
      <c r="I228" s="14" t="n"/>
      <c r="J228" s="16">
        <f>IF(B228="","",IF(B228&gt;I228,"BUY-DAY","SELL-DAY"))</f>
        <v/>
      </c>
      <c r="K228" s="17">
        <f>IF(B228="","",MAX(C228-D228,ABS(C228-I228),ABS(D228-I228)))</f>
        <v/>
      </c>
      <c r="L228" s="16">
        <f>IF(B228="","",IF(AND(F228&gt;0,F228&gt;(F228/3)*2.5),"VOL-OK","VOL-NG"))</f>
        <v/>
      </c>
      <c r="M228" s="16">
        <f>IF(B228="","",IF(B228&gt;G228,"ON","OFF"))</f>
        <v/>
      </c>
      <c r="N228" s="16">
        <f>IF(B228="","",IF(B228&lt;H228,"ON","OFF"))</f>
        <v/>
      </c>
      <c r="O228" s="16">
        <f>IF(OR(B228="",K228&lt;=0),"",IF(AND(J228="BUY-DAY",L228="VOL-OK",N228="ON",X228="OK",Y228&lt;&gt;"DOWN"),"BUY",IF(AND(J228="SELL-DAY",L228="VOL-OK",M228="ON",X228="OK",Y228&lt;&gt;"UP"),"SELL","")))</f>
        <v/>
      </c>
      <c r="P228" s="17">
        <f>IF(O228="","",B228)</f>
        <v/>
      </c>
      <c r="Q228" s="17">
        <f>IF(O228="","",IF(O228="BUY",B228-K228*1.5,B228+K228*1.5))</f>
        <v/>
      </c>
      <c r="R228" s="17">
        <f>IF(O228="","",IF(O228="BUY",B228+K228*1.5,B228-K228*1.5))</f>
        <v/>
      </c>
      <c r="S228" s="17">
        <f>IF(O228="","",IF(O228="BUY",B228+K228*2,B228-K228*2))</f>
        <v/>
      </c>
      <c r="T228" s="17">
        <f>IF(O228="","",IF(O228="BUY",B228+K228*3,B228-K228*3))</f>
        <v/>
      </c>
      <c r="U228" s="16">
        <f>IF(OR(B228="",K228&lt;=0),"",IF(AND(B228&gt;E228,ABS(B228-E228)&lt;K228*0.5),"2ND","1ST"))</f>
        <v/>
      </c>
      <c r="V228" s="16">
        <f>IF(OR(B228="",K228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8" s="16">
        <f>IF(OR(B228="",K228&lt;=0),"",IF(K228&gt;B228*0.05,"VOL-HIGH","VOL-NORMAL"))</f>
        <v/>
      </c>
      <c r="X228" s="16">
        <f>IF(OR(B228="",K228&lt;=0),"",IF(AND(L228="VOL-OK",W228="VOL-NORMAL",U228="2ND"),"OK","NG"))</f>
        <v/>
      </c>
      <c r="Y228" s="16">
        <f>IF(OR(B228="",K228&lt;=0),"",IF(AND(C228&gt;G228,D228&gt;H228),"UP",IF(AND(C228&lt;G228,D228&lt;H228),"DOWN","FLAT")))</f>
        <v/>
      </c>
    </row>
    <row r="229" ht="26" customHeight="1" s="1">
      <c r="A229" s="8">
        <f>IF('StockList_MS2'!A228="","",HYPERLINK("https://kabutan.jp/stock/?code="&amp;'StockList_MS2'!A228,'StockList_MS2'!A228))</f>
        <v/>
      </c>
      <c r="B229" s="9" t="n"/>
      <c r="C229" s="9" t="n"/>
      <c r="D229" s="9" t="n"/>
      <c r="E229" s="9" t="n"/>
      <c r="F229" s="10" t="n"/>
      <c r="G229" s="9" t="n"/>
      <c r="H229" s="9" t="n"/>
      <c r="I229" s="9" t="n"/>
      <c r="J229" s="11">
        <f>IF(B229="","",IF(B229&gt;I229,"BUY-DAY","SELL-DAY"))</f>
        <v/>
      </c>
      <c r="K229" s="12">
        <f>IF(B229="","",MAX(C229-D229,ABS(C229-I229),ABS(D229-I229)))</f>
        <v/>
      </c>
      <c r="L229" s="11">
        <f>IF(B229="","",IF(AND(F229&gt;0,F229&gt;(F229/3)*2.5),"VOL-OK","VOL-NG"))</f>
        <v/>
      </c>
      <c r="M229" s="11">
        <f>IF(B229="","",IF(B229&gt;G229,"ON","OFF"))</f>
        <v/>
      </c>
      <c r="N229" s="11">
        <f>IF(B229="","",IF(B229&lt;H229,"ON","OFF"))</f>
        <v/>
      </c>
      <c r="O229" s="11">
        <f>IF(OR(B229="",K229&lt;=0),"",IF(AND(J229="BUY-DAY",L229="VOL-OK",N229="ON",X229="OK",Y229&lt;&gt;"DOWN"),"BUY",IF(AND(J229="SELL-DAY",L229="VOL-OK",M229="ON",X229="OK",Y229&lt;&gt;"UP"),"SELL","")))</f>
        <v/>
      </c>
      <c r="P229" s="12">
        <f>IF(O229="","",B229)</f>
        <v/>
      </c>
      <c r="Q229" s="12">
        <f>IF(O229="","",IF(O229="BUY",B229-K229*1.5,B229+K229*1.5))</f>
        <v/>
      </c>
      <c r="R229" s="12">
        <f>IF(O229="","",IF(O229="BUY",B229+K229*1.5,B229-K229*1.5))</f>
        <v/>
      </c>
      <c r="S229" s="12">
        <f>IF(O229="","",IF(O229="BUY",B229+K229*2,B229-K229*2))</f>
        <v/>
      </c>
      <c r="T229" s="12">
        <f>IF(O229="","",IF(O229="BUY",B229+K229*3,B229-K229*3))</f>
        <v/>
      </c>
      <c r="U229" s="11">
        <f>IF(OR(B229="",K229&lt;=0),"",IF(AND(B229&gt;E229,ABS(B229-E229)&lt;K229*0.5),"2ND","1ST"))</f>
        <v/>
      </c>
      <c r="V229" s="11">
        <f>IF(OR(B229="",K229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9" s="11">
        <f>IF(OR(B229="",K229&lt;=0),"",IF(K229&gt;B229*0.05,"VOL-HIGH","VOL-NORMAL"))</f>
        <v/>
      </c>
      <c r="X229" s="11">
        <f>IF(OR(B229="",K229&lt;=0),"",IF(AND(L229="VOL-OK",W229="VOL-NORMAL",U229="2ND"),"OK","NG"))</f>
        <v/>
      </c>
      <c r="Y229" s="11">
        <f>IF(OR(B229="",K229&lt;=0),"",IF(AND(C229&gt;G229,D229&gt;H229),"UP",IF(AND(C229&lt;G229,D229&lt;H229),"DOWN","FLAT")))</f>
        <v/>
      </c>
    </row>
    <row r="230" ht="26" customHeight="1" s="1">
      <c r="A230" s="13">
        <f>IF('StockList_MS2'!A229="","",HYPERLINK("https://kabutan.jp/stock/?code="&amp;'StockList_MS2'!A229,'StockList_MS2'!A229))</f>
        <v/>
      </c>
      <c r="B230" s="14" t="n"/>
      <c r="C230" s="14" t="n"/>
      <c r="D230" s="14" t="n"/>
      <c r="E230" s="14" t="n"/>
      <c r="F230" s="15" t="n"/>
      <c r="G230" s="14" t="n"/>
      <c r="H230" s="14" t="n"/>
      <c r="I230" s="14" t="n"/>
      <c r="J230" s="16">
        <f>IF(B230="","",IF(B230&gt;I230,"BUY-DAY","SELL-DAY"))</f>
        <v/>
      </c>
      <c r="K230" s="17">
        <f>IF(B230="","",MAX(C230-D230,ABS(C230-I230),ABS(D230-I230)))</f>
        <v/>
      </c>
      <c r="L230" s="16">
        <f>IF(B230="","",IF(AND(F230&gt;0,F230&gt;(F230/3)*2.5),"VOL-OK","VOL-NG"))</f>
        <v/>
      </c>
      <c r="M230" s="16">
        <f>IF(B230="","",IF(B230&gt;G230,"ON","OFF"))</f>
        <v/>
      </c>
      <c r="N230" s="16">
        <f>IF(B230="","",IF(B230&lt;H230,"ON","OFF"))</f>
        <v/>
      </c>
      <c r="O230" s="16">
        <f>IF(OR(B230="",K230&lt;=0),"",IF(AND(J230="BUY-DAY",L230="VOL-OK",N230="ON",X230="OK",Y230&lt;&gt;"DOWN"),"BUY",IF(AND(J230="SELL-DAY",L230="VOL-OK",M230="ON",X230="OK",Y230&lt;&gt;"UP"),"SELL","")))</f>
        <v/>
      </c>
      <c r="P230" s="17">
        <f>IF(O230="","",B230)</f>
        <v/>
      </c>
      <c r="Q230" s="17">
        <f>IF(O230="","",IF(O230="BUY",B230-K230*1.5,B230+K230*1.5))</f>
        <v/>
      </c>
      <c r="R230" s="17">
        <f>IF(O230="","",IF(O230="BUY",B230+K230*1.5,B230-K230*1.5))</f>
        <v/>
      </c>
      <c r="S230" s="17">
        <f>IF(O230="","",IF(O230="BUY",B230+K230*2,B230-K230*2))</f>
        <v/>
      </c>
      <c r="T230" s="17">
        <f>IF(O230="","",IF(O230="BUY",B230+K230*3,B230-K230*3))</f>
        <v/>
      </c>
      <c r="U230" s="16">
        <f>IF(OR(B230="",K230&lt;=0),"",IF(AND(B230&gt;E230,ABS(B230-E230)&lt;K230*0.5),"2ND","1ST"))</f>
        <v/>
      </c>
      <c r="V230" s="16">
        <f>IF(OR(B230="",K230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0" s="16">
        <f>IF(OR(B230="",K230&lt;=0),"",IF(K230&gt;B230*0.05,"VOL-HIGH","VOL-NORMAL"))</f>
        <v/>
      </c>
      <c r="X230" s="16">
        <f>IF(OR(B230="",K230&lt;=0),"",IF(AND(L230="VOL-OK",W230="VOL-NORMAL",U230="2ND"),"OK","NG"))</f>
        <v/>
      </c>
      <c r="Y230" s="16">
        <f>IF(OR(B230="",K230&lt;=0),"",IF(AND(C230&gt;G230,D230&gt;H230),"UP",IF(AND(C230&lt;G230,D230&lt;H230),"DOWN","FLAT")))</f>
        <v/>
      </c>
    </row>
    <row r="231" ht="26" customHeight="1" s="1">
      <c r="A231" s="8">
        <f>IF('StockList_MS2'!A230="","",HYPERLINK("https://kabutan.jp/stock/?code="&amp;'StockList_MS2'!A230,'StockList_MS2'!A230))</f>
        <v/>
      </c>
      <c r="B231" s="9" t="n"/>
      <c r="C231" s="9" t="n"/>
      <c r="D231" s="9" t="n"/>
      <c r="E231" s="9" t="n"/>
      <c r="F231" s="10" t="n"/>
      <c r="G231" s="9" t="n"/>
      <c r="H231" s="9" t="n"/>
      <c r="I231" s="9" t="n"/>
      <c r="J231" s="11">
        <f>IF(B231="","",IF(B231&gt;I231,"BUY-DAY","SELL-DAY"))</f>
        <v/>
      </c>
      <c r="K231" s="12">
        <f>IF(B231="","",MAX(C231-D231,ABS(C231-I231),ABS(D231-I231)))</f>
        <v/>
      </c>
      <c r="L231" s="11">
        <f>IF(B231="","",IF(AND(F231&gt;0,F231&gt;(F231/3)*2.5),"VOL-OK","VOL-NG"))</f>
        <v/>
      </c>
      <c r="M231" s="11">
        <f>IF(B231="","",IF(B231&gt;G231,"ON","OFF"))</f>
        <v/>
      </c>
      <c r="N231" s="11">
        <f>IF(B231="","",IF(B231&lt;H231,"ON","OFF"))</f>
        <v/>
      </c>
      <c r="O231" s="11">
        <f>IF(OR(B231="",K231&lt;=0),"",IF(AND(J231="BUY-DAY",L231="VOL-OK",N231="ON",X231="OK",Y231&lt;&gt;"DOWN"),"BUY",IF(AND(J231="SELL-DAY",L231="VOL-OK",M231="ON",X231="OK",Y231&lt;&gt;"UP"),"SELL","")))</f>
        <v/>
      </c>
      <c r="P231" s="12">
        <f>IF(O231="","",B231)</f>
        <v/>
      </c>
      <c r="Q231" s="12">
        <f>IF(O231="","",IF(O231="BUY",B231-K231*1.5,B231+K231*1.5))</f>
        <v/>
      </c>
      <c r="R231" s="12">
        <f>IF(O231="","",IF(O231="BUY",B231+K231*1.5,B231-K231*1.5))</f>
        <v/>
      </c>
      <c r="S231" s="12">
        <f>IF(O231="","",IF(O231="BUY",B231+K231*2,B231-K231*2))</f>
        <v/>
      </c>
      <c r="T231" s="12">
        <f>IF(O231="","",IF(O231="BUY",B231+K231*3,B231-K231*3))</f>
        <v/>
      </c>
      <c r="U231" s="11">
        <f>IF(OR(B231="",K231&lt;=0),"",IF(AND(B231&gt;E231,ABS(B231-E231)&lt;K231*0.5),"2ND","1ST"))</f>
        <v/>
      </c>
      <c r="V231" s="11">
        <f>IF(OR(B231="",K231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1" s="11">
        <f>IF(OR(B231="",K231&lt;=0),"",IF(K231&gt;B231*0.05,"VOL-HIGH","VOL-NORMAL"))</f>
        <v/>
      </c>
      <c r="X231" s="11">
        <f>IF(OR(B231="",K231&lt;=0),"",IF(AND(L231="VOL-OK",W231="VOL-NORMAL",U231="2ND"),"OK","NG"))</f>
        <v/>
      </c>
      <c r="Y231" s="11">
        <f>IF(OR(B231="",K231&lt;=0),"",IF(AND(C231&gt;G231,D231&gt;H231),"UP",IF(AND(C231&lt;G231,D231&lt;H231),"DOWN","FLAT")))</f>
        <v/>
      </c>
    </row>
    <row r="232" ht="26" customHeight="1" s="1">
      <c r="A232" s="13">
        <f>IF('StockList_MS2'!A231="","",HYPERLINK("https://kabutan.jp/stock/?code="&amp;'StockList_MS2'!A231,'StockList_MS2'!A231))</f>
        <v/>
      </c>
      <c r="B232" s="14" t="n"/>
      <c r="C232" s="14" t="n"/>
      <c r="D232" s="14" t="n"/>
      <c r="E232" s="14" t="n"/>
      <c r="F232" s="15" t="n"/>
      <c r="G232" s="14" t="n"/>
      <c r="H232" s="14" t="n"/>
      <c r="I232" s="14" t="n"/>
      <c r="J232" s="16">
        <f>IF(B232="","",IF(B232&gt;I232,"BUY-DAY","SELL-DAY"))</f>
        <v/>
      </c>
      <c r="K232" s="17">
        <f>IF(B232="","",MAX(C232-D232,ABS(C232-I232),ABS(D232-I232)))</f>
        <v/>
      </c>
      <c r="L232" s="16">
        <f>IF(B232="","",IF(AND(F232&gt;0,F232&gt;(F232/3)*2.5),"VOL-OK","VOL-NG"))</f>
        <v/>
      </c>
      <c r="M232" s="16">
        <f>IF(B232="","",IF(B232&gt;G232,"ON","OFF"))</f>
        <v/>
      </c>
      <c r="N232" s="16">
        <f>IF(B232="","",IF(B232&lt;H232,"ON","OFF"))</f>
        <v/>
      </c>
      <c r="O232" s="16">
        <f>IF(OR(B232="",K232&lt;=0),"",IF(AND(J232="BUY-DAY",L232="VOL-OK",N232="ON",X232="OK",Y232&lt;&gt;"DOWN"),"BUY",IF(AND(J232="SELL-DAY",L232="VOL-OK",M232="ON",X232="OK",Y232&lt;&gt;"UP"),"SELL","")))</f>
        <v/>
      </c>
      <c r="P232" s="17">
        <f>IF(O232="","",B232)</f>
        <v/>
      </c>
      <c r="Q232" s="17">
        <f>IF(O232="","",IF(O232="BUY",B232-K232*1.5,B232+K232*1.5))</f>
        <v/>
      </c>
      <c r="R232" s="17">
        <f>IF(O232="","",IF(O232="BUY",B232+K232*1.5,B232-K232*1.5))</f>
        <v/>
      </c>
      <c r="S232" s="17">
        <f>IF(O232="","",IF(O232="BUY",B232+K232*2,B232-K232*2))</f>
        <v/>
      </c>
      <c r="T232" s="17">
        <f>IF(O232="","",IF(O232="BUY",B232+K232*3,B232-K232*3))</f>
        <v/>
      </c>
      <c r="U232" s="16">
        <f>IF(OR(B232="",K232&lt;=0),"",IF(AND(B232&gt;E232,ABS(B232-E232)&lt;K232*0.5),"2ND","1ST"))</f>
        <v/>
      </c>
      <c r="V232" s="16">
        <f>IF(OR(B232="",K232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2" s="16">
        <f>IF(OR(B232="",K232&lt;=0),"",IF(K232&gt;B232*0.05,"VOL-HIGH","VOL-NORMAL"))</f>
        <v/>
      </c>
      <c r="X232" s="16">
        <f>IF(OR(B232="",K232&lt;=0),"",IF(AND(L232="VOL-OK",W232="VOL-NORMAL",U232="2ND"),"OK","NG"))</f>
        <v/>
      </c>
      <c r="Y232" s="16">
        <f>IF(OR(B232="",K232&lt;=0),"",IF(AND(C232&gt;G232,D232&gt;H232),"UP",IF(AND(C232&lt;G232,D232&lt;H232),"DOWN","FLAT")))</f>
        <v/>
      </c>
    </row>
    <row r="233" ht="26" customHeight="1" s="1">
      <c r="A233" s="8">
        <f>IF('StockList_MS2'!A232="","",HYPERLINK("https://kabutan.jp/stock/?code="&amp;'StockList_MS2'!A232,'StockList_MS2'!A232))</f>
        <v/>
      </c>
      <c r="B233" s="9" t="n"/>
      <c r="C233" s="9" t="n"/>
      <c r="D233" s="9" t="n"/>
      <c r="E233" s="9" t="n"/>
      <c r="F233" s="10" t="n"/>
      <c r="G233" s="9" t="n"/>
      <c r="H233" s="9" t="n"/>
      <c r="I233" s="9" t="n"/>
      <c r="J233" s="11">
        <f>IF(B233="","",IF(B233&gt;I233,"BUY-DAY","SELL-DAY"))</f>
        <v/>
      </c>
      <c r="K233" s="12">
        <f>IF(B233="","",MAX(C233-D233,ABS(C233-I233),ABS(D233-I233)))</f>
        <v/>
      </c>
      <c r="L233" s="11">
        <f>IF(B233="","",IF(AND(F233&gt;0,F233&gt;(F233/3)*2.5),"VOL-OK","VOL-NG"))</f>
        <v/>
      </c>
      <c r="M233" s="11">
        <f>IF(B233="","",IF(B233&gt;G233,"ON","OFF"))</f>
        <v/>
      </c>
      <c r="N233" s="11">
        <f>IF(B233="","",IF(B233&lt;H233,"ON","OFF"))</f>
        <v/>
      </c>
      <c r="O233" s="11">
        <f>IF(OR(B233="",K233&lt;=0),"",IF(AND(J233="BUY-DAY",L233="VOL-OK",N233="ON",X233="OK",Y233&lt;&gt;"DOWN"),"BUY",IF(AND(J233="SELL-DAY",L233="VOL-OK",M233="ON",X233="OK",Y233&lt;&gt;"UP"),"SELL","")))</f>
        <v/>
      </c>
      <c r="P233" s="12">
        <f>IF(O233="","",B233)</f>
        <v/>
      </c>
      <c r="Q233" s="12">
        <f>IF(O233="","",IF(O233="BUY",B233-K233*1.5,B233+K233*1.5))</f>
        <v/>
      </c>
      <c r="R233" s="12">
        <f>IF(O233="","",IF(O233="BUY",B233+K233*1.5,B233-K233*1.5))</f>
        <v/>
      </c>
      <c r="S233" s="12">
        <f>IF(O233="","",IF(O233="BUY",B233+K233*2,B233-K233*2))</f>
        <v/>
      </c>
      <c r="T233" s="12">
        <f>IF(O233="","",IF(O233="BUY",B233+K233*3,B233-K233*3))</f>
        <v/>
      </c>
      <c r="U233" s="11">
        <f>IF(OR(B233="",K233&lt;=0),"",IF(AND(B233&gt;E233,ABS(B233-E233)&lt;K233*0.5),"2ND","1ST"))</f>
        <v/>
      </c>
      <c r="V233" s="11">
        <f>IF(OR(B233="",K233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3" s="11">
        <f>IF(OR(B233="",K233&lt;=0),"",IF(K233&gt;B233*0.05,"VOL-HIGH","VOL-NORMAL"))</f>
        <v/>
      </c>
      <c r="X233" s="11">
        <f>IF(OR(B233="",K233&lt;=0),"",IF(AND(L233="VOL-OK",W233="VOL-NORMAL",U233="2ND"),"OK","NG"))</f>
        <v/>
      </c>
      <c r="Y233" s="11">
        <f>IF(OR(B233="",K233&lt;=0),"",IF(AND(C233&gt;G233,D233&gt;H233),"UP",IF(AND(C233&lt;G233,D233&lt;H233),"DOWN","FLAT")))</f>
        <v/>
      </c>
    </row>
    <row r="234" ht="26" customHeight="1" s="1">
      <c r="A234" s="13">
        <f>IF('StockList_MS2'!A233="","",HYPERLINK("https://kabutan.jp/stock/?code="&amp;'StockList_MS2'!A233,'StockList_MS2'!A233))</f>
        <v/>
      </c>
      <c r="B234" s="14" t="n"/>
      <c r="C234" s="14" t="n"/>
      <c r="D234" s="14" t="n"/>
      <c r="E234" s="14" t="n"/>
      <c r="F234" s="15" t="n"/>
      <c r="G234" s="14" t="n"/>
      <c r="H234" s="14" t="n"/>
      <c r="I234" s="14" t="n"/>
      <c r="J234" s="16">
        <f>IF(B234="","",IF(B234&gt;I234,"BUY-DAY","SELL-DAY"))</f>
        <v/>
      </c>
      <c r="K234" s="17">
        <f>IF(B234="","",MAX(C234-D234,ABS(C234-I234),ABS(D234-I234)))</f>
        <v/>
      </c>
      <c r="L234" s="16">
        <f>IF(B234="","",IF(AND(F234&gt;0,F234&gt;(F234/3)*2.5),"VOL-OK","VOL-NG"))</f>
        <v/>
      </c>
      <c r="M234" s="16">
        <f>IF(B234="","",IF(B234&gt;G234,"ON","OFF"))</f>
        <v/>
      </c>
      <c r="N234" s="16">
        <f>IF(B234="","",IF(B234&lt;H234,"ON","OFF"))</f>
        <v/>
      </c>
      <c r="O234" s="16">
        <f>IF(OR(B234="",K234&lt;=0),"",IF(AND(J234="BUY-DAY",L234="VOL-OK",N234="ON",X234="OK",Y234&lt;&gt;"DOWN"),"BUY",IF(AND(J234="SELL-DAY",L234="VOL-OK",M234="ON",X234="OK",Y234&lt;&gt;"UP"),"SELL","")))</f>
        <v/>
      </c>
      <c r="P234" s="17">
        <f>IF(O234="","",B234)</f>
        <v/>
      </c>
      <c r="Q234" s="17">
        <f>IF(O234="","",IF(O234="BUY",B234-K234*1.5,B234+K234*1.5))</f>
        <v/>
      </c>
      <c r="R234" s="17">
        <f>IF(O234="","",IF(O234="BUY",B234+K234*1.5,B234-K234*1.5))</f>
        <v/>
      </c>
      <c r="S234" s="17">
        <f>IF(O234="","",IF(O234="BUY",B234+K234*2,B234-K234*2))</f>
        <v/>
      </c>
      <c r="T234" s="17">
        <f>IF(O234="","",IF(O234="BUY",B234+K234*3,B234-K234*3))</f>
        <v/>
      </c>
      <c r="U234" s="16">
        <f>IF(OR(B234="",K234&lt;=0),"",IF(AND(B234&gt;E234,ABS(B234-E234)&lt;K234*0.5),"2ND","1ST"))</f>
        <v/>
      </c>
      <c r="V234" s="16">
        <f>IF(OR(B234="",K234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4" s="16">
        <f>IF(OR(B234="",K234&lt;=0),"",IF(K234&gt;B234*0.05,"VOL-HIGH","VOL-NORMAL"))</f>
        <v/>
      </c>
      <c r="X234" s="16">
        <f>IF(OR(B234="",K234&lt;=0),"",IF(AND(L234="VOL-OK",W234="VOL-NORMAL",U234="2ND"),"OK","NG"))</f>
        <v/>
      </c>
      <c r="Y234" s="16">
        <f>IF(OR(B234="",K234&lt;=0),"",IF(AND(C234&gt;G234,D234&gt;H234),"UP",IF(AND(C234&lt;G234,D234&lt;H234),"DOWN","FLAT")))</f>
        <v/>
      </c>
    </row>
    <row r="235" ht="26" customHeight="1" s="1">
      <c r="A235" s="8">
        <f>IF('StockList_MS2'!A234="","",HYPERLINK("https://kabutan.jp/stock/?code="&amp;'StockList_MS2'!A234,'StockList_MS2'!A234))</f>
        <v/>
      </c>
      <c r="B235" s="9" t="n"/>
      <c r="C235" s="9" t="n"/>
      <c r="D235" s="9" t="n"/>
      <c r="E235" s="9" t="n"/>
      <c r="F235" s="10" t="n"/>
      <c r="G235" s="9" t="n"/>
      <c r="H235" s="9" t="n"/>
      <c r="I235" s="9" t="n"/>
      <c r="J235" s="11">
        <f>IF(B235="","",IF(B235&gt;I235,"BUY-DAY","SELL-DAY"))</f>
        <v/>
      </c>
      <c r="K235" s="12">
        <f>IF(B235="","",MAX(C235-D235,ABS(C235-I235),ABS(D235-I235)))</f>
        <v/>
      </c>
      <c r="L235" s="11">
        <f>IF(B235="","",IF(AND(F235&gt;0,F235&gt;(F235/3)*2.5),"VOL-OK","VOL-NG"))</f>
        <v/>
      </c>
      <c r="M235" s="11">
        <f>IF(B235="","",IF(B235&gt;G235,"ON","OFF"))</f>
        <v/>
      </c>
      <c r="N235" s="11">
        <f>IF(B235="","",IF(B235&lt;H235,"ON","OFF"))</f>
        <v/>
      </c>
      <c r="O235" s="11">
        <f>IF(OR(B235="",K235&lt;=0),"",IF(AND(J235="BUY-DAY",L235="VOL-OK",N235="ON",X235="OK",Y235&lt;&gt;"DOWN"),"BUY",IF(AND(J235="SELL-DAY",L235="VOL-OK",M235="ON",X235="OK",Y235&lt;&gt;"UP"),"SELL","")))</f>
        <v/>
      </c>
      <c r="P235" s="12">
        <f>IF(O235="","",B235)</f>
        <v/>
      </c>
      <c r="Q235" s="12">
        <f>IF(O235="","",IF(O235="BUY",B235-K235*1.5,B235+K235*1.5))</f>
        <v/>
      </c>
      <c r="R235" s="12">
        <f>IF(O235="","",IF(O235="BUY",B235+K235*1.5,B235-K235*1.5))</f>
        <v/>
      </c>
      <c r="S235" s="12">
        <f>IF(O235="","",IF(O235="BUY",B235+K235*2,B235-K235*2))</f>
        <v/>
      </c>
      <c r="T235" s="12">
        <f>IF(O235="","",IF(O235="BUY",B235+K235*3,B235-K235*3))</f>
        <v/>
      </c>
      <c r="U235" s="11">
        <f>IF(OR(B235="",K235&lt;=0),"",IF(AND(B235&gt;E235,ABS(B235-E235)&lt;K235*0.5),"2ND","1ST"))</f>
        <v/>
      </c>
      <c r="V235" s="11">
        <f>IF(OR(B235="",K235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5" s="11">
        <f>IF(OR(B235="",K235&lt;=0),"",IF(K235&gt;B235*0.05,"VOL-HIGH","VOL-NORMAL"))</f>
        <v/>
      </c>
      <c r="X235" s="11">
        <f>IF(OR(B235="",K235&lt;=0),"",IF(AND(L235="VOL-OK",W235="VOL-NORMAL",U235="2ND"),"OK","NG"))</f>
        <v/>
      </c>
      <c r="Y235" s="11">
        <f>IF(OR(B235="",K235&lt;=0),"",IF(AND(C235&gt;G235,D235&gt;H235),"UP",IF(AND(C235&lt;G235,D235&lt;H235),"DOWN","FLAT")))</f>
        <v/>
      </c>
    </row>
    <row r="236" ht="26" customHeight="1" s="1">
      <c r="A236" s="13">
        <f>IF('StockList_MS2'!A235="","",HYPERLINK("https://kabutan.jp/stock/?code="&amp;'StockList_MS2'!A235,'StockList_MS2'!A235))</f>
        <v/>
      </c>
      <c r="B236" s="14" t="n"/>
      <c r="C236" s="14" t="n"/>
      <c r="D236" s="14" t="n"/>
      <c r="E236" s="14" t="n"/>
      <c r="F236" s="15" t="n"/>
      <c r="G236" s="14" t="n"/>
      <c r="H236" s="14" t="n"/>
      <c r="I236" s="14" t="n"/>
      <c r="J236" s="16">
        <f>IF(B236="","",IF(B236&gt;I236,"BUY-DAY","SELL-DAY"))</f>
        <v/>
      </c>
      <c r="K236" s="17">
        <f>IF(B236="","",MAX(C236-D236,ABS(C236-I236),ABS(D236-I236)))</f>
        <v/>
      </c>
      <c r="L236" s="16">
        <f>IF(B236="","",IF(AND(F236&gt;0,F236&gt;(F236/3)*2.5),"VOL-OK","VOL-NG"))</f>
        <v/>
      </c>
      <c r="M236" s="16">
        <f>IF(B236="","",IF(B236&gt;G236,"ON","OFF"))</f>
        <v/>
      </c>
      <c r="N236" s="16">
        <f>IF(B236="","",IF(B236&lt;H236,"ON","OFF"))</f>
        <v/>
      </c>
      <c r="O236" s="16">
        <f>IF(OR(B236="",K236&lt;=0),"",IF(AND(J236="BUY-DAY",L236="VOL-OK",N236="ON",X236="OK",Y236&lt;&gt;"DOWN"),"BUY",IF(AND(J236="SELL-DAY",L236="VOL-OK",M236="ON",X236="OK",Y236&lt;&gt;"UP"),"SELL","")))</f>
        <v/>
      </c>
      <c r="P236" s="17">
        <f>IF(O236="","",B236)</f>
        <v/>
      </c>
      <c r="Q236" s="17">
        <f>IF(O236="","",IF(O236="BUY",B236-K236*1.5,B236+K236*1.5))</f>
        <v/>
      </c>
      <c r="R236" s="17">
        <f>IF(O236="","",IF(O236="BUY",B236+K236*1.5,B236-K236*1.5))</f>
        <v/>
      </c>
      <c r="S236" s="17">
        <f>IF(O236="","",IF(O236="BUY",B236+K236*2,B236-K236*2))</f>
        <v/>
      </c>
      <c r="T236" s="17">
        <f>IF(O236="","",IF(O236="BUY",B236+K236*3,B236-K236*3))</f>
        <v/>
      </c>
      <c r="U236" s="16">
        <f>IF(OR(B236="",K236&lt;=0),"",IF(AND(B236&gt;E236,ABS(B236-E236)&lt;K236*0.5),"2ND","1ST"))</f>
        <v/>
      </c>
      <c r="V236" s="16">
        <f>IF(OR(B236="",K236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6" s="16">
        <f>IF(OR(B236="",K236&lt;=0),"",IF(K236&gt;B236*0.05,"VOL-HIGH","VOL-NORMAL"))</f>
        <v/>
      </c>
      <c r="X236" s="16">
        <f>IF(OR(B236="",K236&lt;=0),"",IF(AND(L236="VOL-OK",W236="VOL-NORMAL",U236="2ND"),"OK","NG"))</f>
        <v/>
      </c>
      <c r="Y236" s="16">
        <f>IF(OR(B236="",K236&lt;=0),"",IF(AND(C236&gt;G236,D236&gt;H236),"UP",IF(AND(C236&lt;G236,D236&lt;H236),"DOWN","FLAT")))</f>
        <v/>
      </c>
    </row>
    <row r="237" ht="26" customHeight="1" s="1">
      <c r="A237" s="8">
        <f>IF('StockList_MS2'!A236="","",HYPERLINK("https://kabutan.jp/stock/?code="&amp;'StockList_MS2'!A236,'StockList_MS2'!A236))</f>
        <v/>
      </c>
      <c r="B237" s="9" t="n"/>
      <c r="C237" s="9" t="n"/>
      <c r="D237" s="9" t="n"/>
      <c r="E237" s="9" t="n"/>
      <c r="F237" s="10" t="n"/>
      <c r="G237" s="9" t="n"/>
      <c r="H237" s="9" t="n"/>
      <c r="I237" s="9" t="n"/>
      <c r="J237" s="11">
        <f>IF(B237="","",IF(B237&gt;I237,"BUY-DAY","SELL-DAY"))</f>
        <v/>
      </c>
      <c r="K237" s="12">
        <f>IF(B237="","",MAX(C237-D237,ABS(C237-I237),ABS(D237-I237)))</f>
        <v/>
      </c>
      <c r="L237" s="11">
        <f>IF(B237="","",IF(AND(F237&gt;0,F237&gt;(F237/3)*2.5),"VOL-OK","VOL-NG"))</f>
        <v/>
      </c>
      <c r="M237" s="11">
        <f>IF(B237="","",IF(B237&gt;G237,"ON","OFF"))</f>
        <v/>
      </c>
      <c r="N237" s="11">
        <f>IF(B237="","",IF(B237&lt;H237,"ON","OFF"))</f>
        <v/>
      </c>
      <c r="O237" s="11">
        <f>IF(OR(B237="",K237&lt;=0),"",IF(AND(J237="BUY-DAY",L237="VOL-OK",N237="ON",X237="OK",Y237&lt;&gt;"DOWN"),"BUY",IF(AND(J237="SELL-DAY",L237="VOL-OK",M237="ON",X237="OK",Y237&lt;&gt;"UP"),"SELL","")))</f>
        <v/>
      </c>
      <c r="P237" s="12">
        <f>IF(O237="","",B237)</f>
        <v/>
      </c>
      <c r="Q237" s="12">
        <f>IF(O237="","",IF(O237="BUY",B237-K237*1.5,B237+K237*1.5))</f>
        <v/>
      </c>
      <c r="R237" s="12">
        <f>IF(O237="","",IF(O237="BUY",B237+K237*1.5,B237-K237*1.5))</f>
        <v/>
      </c>
      <c r="S237" s="12">
        <f>IF(O237="","",IF(O237="BUY",B237+K237*2,B237-K237*2))</f>
        <v/>
      </c>
      <c r="T237" s="12">
        <f>IF(O237="","",IF(O237="BUY",B237+K237*3,B237-K237*3))</f>
        <v/>
      </c>
      <c r="U237" s="11">
        <f>IF(OR(B237="",K237&lt;=0),"",IF(AND(B237&gt;E237,ABS(B237-E237)&lt;K237*0.5),"2ND","1ST"))</f>
        <v/>
      </c>
      <c r="V237" s="11">
        <f>IF(OR(B237="",K237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7" s="11">
        <f>IF(OR(B237="",K237&lt;=0),"",IF(K237&gt;B237*0.05,"VOL-HIGH","VOL-NORMAL"))</f>
        <v/>
      </c>
      <c r="X237" s="11">
        <f>IF(OR(B237="",K237&lt;=0),"",IF(AND(L237="VOL-OK",W237="VOL-NORMAL",U237="2ND"),"OK","NG"))</f>
        <v/>
      </c>
      <c r="Y237" s="11">
        <f>IF(OR(B237="",K237&lt;=0),"",IF(AND(C237&gt;G237,D237&gt;H237),"UP",IF(AND(C237&lt;G237,D237&lt;H237),"DOWN","FLAT")))</f>
        <v/>
      </c>
    </row>
    <row r="238" ht="26" customHeight="1" s="1">
      <c r="A238" s="13">
        <f>IF('StockList_MS2'!A237="","",HYPERLINK("https://kabutan.jp/stock/?code="&amp;'StockList_MS2'!A237,'StockList_MS2'!A237))</f>
        <v/>
      </c>
      <c r="B238" s="14" t="n"/>
      <c r="C238" s="14" t="n"/>
      <c r="D238" s="14" t="n"/>
      <c r="E238" s="14" t="n"/>
      <c r="F238" s="15" t="n"/>
      <c r="G238" s="14" t="n"/>
      <c r="H238" s="14" t="n"/>
      <c r="I238" s="14" t="n"/>
      <c r="J238" s="16">
        <f>IF(B238="","",IF(B238&gt;I238,"BUY-DAY","SELL-DAY"))</f>
        <v/>
      </c>
      <c r="K238" s="17">
        <f>IF(B238="","",MAX(C238-D238,ABS(C238-I238),ABS(D238-I238)))</f>
        <v/>
      </c>
      <c r="L238" s="16">
        <f>IF(B238="","",IF(AND(F238&gt;0,F238&gt;(F238/3)*2.5),"VOL-OK","VOL-NG"))</f>
        <v/>
      </c>
      <c r="M238" s="16">
        <f>IF(B238="","",IF(B238&gt;G238,"ON","OFF"))</f>
        <v/>
      </c>
      <c r="N238" s="16">
        <f>IF(B238="","",IF(B238&lt;H238,"ON","OFF"))</f>
        <v/>
      </c>
      <c r="O238" s="16">
        <f>IF(OR(B238="",K238&lt;=0),"",IF(AND(J238="BUY-DAY",L238="VOL-OK",N238="ON",X238="OK",Y238&lt;&gt;"DOWN"),"BUY",IF(AND(J238="SELL-DAY",L238="VOL-OK",M238="ON",X238="OK",Y238&lt;&gt;"UP"),"SELL","")))</f>
        <v/>
      </c>
      <c r="P238" s="17">
        <f>IF(O238="","",B238)</f>
        <v/>
      </c>
      <c r="Q238" s="17">
        <f>IF(O238="","",IF(O238="BUY",B238-K238*1.5,B238+K238*1.5))</f>
        <v/>
      </c>
      <c r="R238" s="17">
        <f>IF(O238="","",IF(O238="BUY",B238+K238*1.5,B238-K238*1.5))</f>
        <v/>
      </c>
      <c r="S238" s="17">
        <f>IF(O238="","",IF(O238="BUY",B238+K238*2,B238-K238*2))</f>
        <v/>
      </c>
      <c r="T238" s="17">
        <f>IF(O238="","",IF(O238="BUY",B238+K238*3,B238-K238*3))</f>
        <v/>
      </c>
      <c r="U238" s="16">
        <f>IF(OR(B238="",K238&lt;=0),"",IF(AND(B238&gt;E238,ABS(B238-E238)&lt;K238*0.5),"2ND","1ST"))</f>
        <v/>
      </c>
      <c r="V238" s="16">
        <f>IF(OR(B238="",K238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8" s="16">
        <f>IF(OR(B238="",K238&lt;=0),"",IF(K238&gt;B238*0.05,"VOL-HIGH","VOL-NORMAL"))</f>
        <v/>
      </c>
      <c r="X238" s="16">
        <f>IF(OR(B238="",K238&lt;=0),"",IF(AND(L238="VOL-OK",W238="VOL-NORMAL",U238="2ND"),"OK","NG"))</f>
        <v/>
      </c>
      <c r="Y238" s="16">
        <f>IF(OR(B238="",K238&lt;=0),"",IF(AND(C238&gt;G238,D238&gt;H238),"UP",IF(AND(C238&lt;G238,D238&lt;H238),"DOWN","FLAT")))</f>
        <v/>
      </c>
    </row>
    <row r="239" ht="26" customHeight="1" s="1">
      <c r="A239" s="8">
        <f>IF('StockList_MS2'!A238="","",HYPERLINK("https://kabutan.jp/stock/?code="&amp;'StockList_MS2'!A238,'StockList_MS2'!A238))</f>
        <v/>
      </c>
      <c r="B239" s="9" t="n"/>
      <c r="C239" s="9" t="n"/>
      <c r="D239" s="9" t="n"/>
      <c r="E239" s="9" t="n"/>
      <c r="F239" s="10" t="n"/>
      <c r="G239" s="9" t="n"/>
      <c r="H239" s="9" t="n"/>
      <c r="I239" s="9" t="n"/>
      <c r="J239" s="11">
        <f>IF(B239="","",IF(B239&gt;I239,"BUY-DAY","SELL-DAY"))</f>
        <v/>
      </c>
      <c r="K239" s="12">
        <f>IF(B239="","",MAX(C239-D239,ABS(C239-I239),ABS(D239-I239)))</f>
        <v/>
      </c>
      <c r="L239" s="11">
        <f>IF(B239="","",IF(AND(F239&gt;0,F239&gt;(F239/3)*2.5),"VOL-OK","VOL-NG"))</f>
        <v/>
      </c>
      <c r="M239" s="11">
        <f>IF(B239="","",IF(B239&gt;G239,"ON","OFF"))</f>
        <v/>
      </c>
      <c r="N239" s="11">
        <f>IF(B239="","",IF(B239&lt;H239,"ON","OFF"))</f>
        <v/>
      </c>
      <c r="O239" s="11">
        <f>IF(OR(B239="",K239&lt;=0),"",IF(AND(J239="BUY-DAY",L239="VOL-OK",N239="ON",X239="OK",Y239&lt;&gt;"DOWN"),"BUY",IF(AND(J239="SELL-DAY",L239="VOL-OK",M239="ON",X239="OK",Y239&lt;&gt;"UP"),"SELL","")))</f>
        <v/>
      </c>
      <c r="P239" s="12">
        <f>IF(O239="","",B239)</f>
        <v/>
      </c>
      <c r="Q239" s="12">
        <f>IF(O239="","",IF(O239="BUY",B239-K239*1.5,B239+K239*1.5))</f>
        <v/>
      </c>
      <c r="R239" s="12">
        <f>IF(O239="","",IF(O239="BUY",B239+K239*1.5,B239-K239*1.5))</f>
        <v/>
      </c>
      <c r="S239" s="12">
        <f>IF(O239="","",IF(O239="BUY",B239+K239*2,B239-K239*2))</f>
        <v/>
      </c>
      <c r="T239" s="12">
        <f>IF(O239="","",IF(O239="BUY",B239+K239*3,B239-K239*3))</f>
        <v/>
      </c>
      <c r="U239" s="11">
        <f>IF(OR(B239="",K239&lt;=0),"",IF(AND(B239&gt;E239,ABS(B239-E239)&lt;K239*0.5),"2ND","1ST"))</f>
        <v/>
      </c>
      <c r="V239" s="11">
        <f>IF(OR(B239="",K239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9" s="11">
        <f>IF(OR(B239="",K239&lt;=0),"",IF(K239&gt;B239*0.05,"VOL-HIGH","VOL-NORMAL"))</f>
        <v/>
      </c>
      <c r="X239" s="11">
        <f>IF(OR(B239="",K239&lt;=0),"",IF(AND(L239="VOL-OK",W239="VOL-NORMAL",U239="2ND"),"OK","NG"))</f>
        <v/>
      </c>
      <c r="Y239" s="11">
        <f>IF(OR(B239="",K239&lt;=0),"",IF(AND(C239&gt;G239,D239&gt;H239),"UP",IF(AND(C239&lt;G239,D239&lt;H239),"DOWN","FLAT")))</f>
        <v/>
      </c>
    </row>
    <row r="240" ht="26" customHeight="1" s="1">
      <c r="A240" s="13">
        <f>IF('StockList_MS2'!A239="","",HYPERLINK("https://kabutan.jp/stock/?code="&amp;'StockList_MS2'!A239,'StockList_MS2'!A239))</f>
        <v/>
      </c>
      <c r="B240" s="14" t="n"/>
      <c r="C240" s="14" t="n"/>
      <c r="D240" s="14" t="n"/>
      <c r="E240" s="14" t="n"/>
      <c r="F240" s="15" t="n"/>
      <c r="G240" s="14" t="n"/>
      <c r="H240" s="14" t="n"/>
      <c r="I240" s="14" t="n"/>
      <c r="J240" s="16">
        <f>IF(B240="","",IF(B240&gt;I240,"BUY-DAY","SELL-DAY"))</f>
        <v/>
      </c>
      <c r="K240" s="17">
        <f>IF(B240="","",MAX(C240-D240,ABS(C240-I240),ABS(D240-I240)))</f>
        <v/>
      </c>
      <c r="L240" s="16">
        <f>IF(B240="","",IF(AND(F240&gt;0,F240&gt;(F240/3)*2.5),"VOL-OK","VOL-NG"))</f>
        <v/>
      </c>
      <c r="M240" s="16">
        <f>IF(B240="","",IF(B240&gt;G240,"ON","OFF"))</f>
        <v/>
      </c>
      <c r="N240" s="16">
        <f>IF(B240="","",IF(B240&lt;H240,"ON","OFF"))</f>
        <v/>
      </c>
      <c r="O240" s="16">
        <f>IF(OR(B240="",K240&lt;=0),"",IF(AND(J240="BUY-DAY",L240="VOL-OK",N240="ON",X240="OK",Y240&lt;&gt;"DOWN"),"BUY",IF(AND(J240="SELL-DAY",L240="VOL-OK",M240="ON",X240="OK",Y240&lt;&gt;"UP"),"SELL","")))</f>
        <v/>
      </c>
      <c r="P240" s="17">
        <f>IF(O240="","",B240)</f>
        <v/>
      </c>
      <c r="Q240" s="17">
        <f>IF(O240="","",IF(O240="BUY",B240-K240*1.5,B240+K240*1.5))</f>
        <v/>
      </c>
      <c r="R240" s="17">
        <f>IF(O240="","",IF(O240="BUY",B240+K240*1.5,B240-K240*1.5))</f>
        <v/>
      </c>
      <c r="S240" s="17">
        <f>IF(O240="","",IF(O240="BUY",B240+K240*2,B240-K240*2))</f>
        <v/>
      </c>
      <c r="T240" s="17">
        <f>IF(O240="","",IF(O240="BUY",B240+K240*3,B240-K240*3))</f>
        <v/>
      </c>
      <c r="U240" s="16">
        <f>IF(OR(B240="",K240&lt;=0),"",IF(AND(B240&gt;E240,ABS(B240-E240)&lt;K240*0.5),"2ND","1ST"))</f>
        <v/>
      </c>
      <c r="V240" s="16">
        <f>IF(OR(B240="",K240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0" s="16">
        <f>IF(OR(B240="",K240&lt;=0),"",IF(K240&gt;B240*0.05,"VOL-HIGH","VOL-NORMAL"))</f>
        <v/>
      </c>
      <c r="X240" s="16">
        <f>IF(OR(B240="",K240&lt;=0),"",IF(AND(L240="VOL-OK",W240="VOL-NORMAL",U240="2ND"),"OK","NG"))</f>
        <v/>
      </c>
      <c r="Y240" s="16">
        <f>IF(OR(B240="",K240&lt;=0),"",IF(AND(C240&gt;G240,D240&gt;H240),"UP",IF(AND(C240&lt;G240,D240&lt;H240),"DOWN","FLAT")))</f>
        <v/>
      </c>
    </row>
    <row r="241" ht="26" customHeight="1" s="1">
      <c r="A241" s="8">
        <f>IF('StockList_MS2'!A240="","",HYPERLINK("https://kabutan.jp/stock/?code="&amp;'StockList_MS2'!A240,'StockList_MS2'!A240))</f>
        <v/>
      </c>
      <c r="B241" s="9" t="n"/>
      <c r="C241" s="9" t="n"/>
      <c r="D241" s="9" t="n"/>
      <c r="E241" s="9" t="n"/>
      <c r="F241" s="10" t="n"/>
      <c r="G241" s="9" t="n"/>
      <c r="H241" s="9" t="n"/>
      <c r="I241" s="9" t="n"/>
      <c r="J241" s="11">
        <f>IF(B241="","",IF(B241&gt;I241,"BUY-DAY","SELL-DAY"))</f>
        <v/>
      </c>
      <c r="K241" s="12">
        <f>IF(B241="","",MAX(C241-D241,ABS(C241-I241),ABS(D241-I241)))</f>
        <v/>
      </c>
      <c r="L241" s="11">
        <f>IF(B241="","",IF(AND(F241&gt;0,F241&gt;(F241/3)*2.5),"VOL-OK","VOL-NG"))</f>
        <v/>
      </c>
      <c r="M241" s="11">
        <f>IF(B241="","",IF(B241&gt;G241,"ON","OFF"))</f>
        <v/>
      </c>
      <c r="N241" s="11">
        <f>IF(B241="","",IF(B241&lt;H241,"ON","OFF"))</f>
        <v/>
      </c>
      <c r="O241" s="11">
        <f>IF(OR(B241="",K241&lt;=0),"",IF(AND(J241="BUY-DAY",L241="VOL-OK",N241="ON",X241="OK",Y241&lt;&gt;"DOWN"),"BUY",IF(AND(J241="SELL-DAY",L241="VOL-OK",M241="ON",X241="OK",Y241&lt;&gt;"UP"),"SELL","")))</f>
        <v/>
      </c>
      <c r="P241" s="12">
        <f>IF(O241="","",B241)</f>
        <v/>
      </c>
      <c r="Q241" s="12">
        <f>IF(O241="","",IF(O241="BUY",B241-K241*1.5,B241+K241*1.5))</f>
        <v/>
      </c>
      <c r="R241" s="12">
        <f>IF(O241="","",IF(O241="BUY",B241+K241*1.5,B241-K241*1.5))</f>
        <v/>
      </c>
      <c r="S241" s="12">
        <f>IF(O241="","",IF(O241="BUY",B241+K241*2,B241-K241*2))</f>
        <v/>
      </c>
      <c r="T241" s="12">
        <f>IF(O241="","",IF(O241="BUY",B241+K241*3,B241-K241*3))</f>
        <v/>
      </c>
      <c r="U241" s="11">
        <f>IF(OR(B241="",K241&lt;=0),"",IF(AND(B241&gt;E241,ABS(B241-E241)&lt;K241*0.5),"2ND","1ST"))</f>
        <v/>
      </c>
      <c r="V241" s="11">
        <f>IF(OR(B241="",K241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1" s="11">
        <f>IF(OR(B241="",K241&lt;=0),"",IF(K241&gt;B241*0.05,"VOL-HIGH","VOL-NORMAL"))</f>
        <v/>
      </c>
      <c r="X241" s="11">
        <f>IF(OR(B241="",K241&lt;=0),"",IF(AND(L241="VOL-OK",W241="VOL-NORMAL",U241="2ND"),"OK","NG"))</f>
        <v/>
      </c>
      <c r="Y241" s="11">
        <f>IF(OR(B241="",K241&lt;=0),"",IF(AND(C241&gt;G241,D241&gt;H241),"UP",IF(AND(C241&lt;G241,D241&lt;H241),"DOWN","FLAT")))</f>
        <v/>
      </c>
    </row>
    <row r="242" ht="26" customHeight="1" s="1">
      <c r="A242" s="13">
        <f>IF('StockList_MS2'!A241="","",HYPERLINK("https://kabutan.jp/stock/?code="&amp;'StockList_MS2'!A241,'StockList_MS2'!A241))</f>
        <v/>
      </c>
      <c r="B242" s="14" t="n"/>
      <c r="C242" s="14" t="n"/>
      <c r="D242" s="14" t="n"/>
      <c r="E242" s="14" t="n"/>
      <c r="F242" s="15" t="n"/>
      <c r="G242" s="14" t="n"/>
      <c r="H242" s="14" t="n"/>
      <c r="I242" s="14" t="n"/>
      <c r="J242" s="16">
        <f>IF(B242="","",IF(B242&gt;I242,"BUY-DAY","SELL-DAY"))</f>
        <v/>
      </c>
      <c r="K242" s="17">
        <f>IF(B242="","",MAX(C242-D242,ABS(C242-I242),ABS(D242-I242)))</f>
        <v/>
      </c>
      <c r="L242" s="16">
        <f>IF(B242="","",IF(AND(F242&gt;0,F242&gt;(F242/3)*2.5),"VOL-OK","VOL-NG"))</f>
        <v/>
      </c>
      <c r="M242" s="16">
        <f>IF(B242="","",IF(B242&gt;G242,"ON","OFF"))</f>
        <v/>
      </c>
      <c r="N242" s="16">
        <f>IF(B242="","",IF(B242&lt;H242,"ON","OFF"))</f>
        <v/>
      </c>
      <c r="O242" s="16">
        <f>IF(OR(B242="",K242&lt;=0),"",IF(AND(J242="BUY-DAY",L242="VOL-OK",N242="ON",X242="OK",Y242&lt;&gt;"DOWN"),"BUY",IF(AND(J242="SELL-DAY",L242="VOL-OK",M242="ON",X242="OK",Y242&lt;&gt;"UP"),"SELL","")))</f>
        <v/>
      </c>
      <c r="P242" s="17">
        <f>IF(O242="","",B242)</f>
        <v/>
      </c>
      <c r="Q242" s="17">
        <f>IF(O242="","",IF(O242="BUY",B242-K242*1.5,B242+K242*1.5))</f>
        <v/>
      </c>
      <c r="R242" s="17">
        <f>IF(O242="","",IF(O242="BUY",B242+K242*1.5,B242-K242*1.5))</f>
        <v/>
      </c>
      <c r="S242" s="17">
        <f>IF(O242="","",IF(O242="BUY",B242+K242*2,B242-K242*2))</f>
        <v/>
      </c>
      <c r="T242" s="17">
        <f>IF(O242="","",IF(O242="BUY",B242+K242*3,B242-K242*3))</f>
        <v/>
      </c>
      <c r="U242" s="16">
        <f>IF(OR(B242="",K242&lt;=0),"",IF(AND(B242&gt;E242,ABS(B242-E242)&lt;K242*0.5),"2ND","1ST"))</f>
        <v/>
      </c>
      <c r="V242" s="16">
        <f>IF(OR(B242="",K242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2" s="16">
        <f>IF(OR(B242="",K242&lt;=0),"",IF(K242&gt;B242*0.05,"VOL-HIGH","VOL-NORMAL"))</f>
        <v/>
      </c>
      <c r="X242" s="16">
        <f>IF(OR(B242="",K242&lt;=0),"",IF(AND(L242="VOL-OK",W242="VOL-NORMAL",U242="2ND"),"OK","NG"))</f>
        <v/>
      </c>
      <c r="Y242" s="16">
        <f>IF(OR(B242="",K242&lt;=0),"",IF(AND(C242&gt;G242,D242&gt;H242),"UP",IF(AND(C242&lt;G242,D242&lt;H242),"DOWN","FLAT")))</f>
        <v/>
      </c>
    </row>
    <row r="243" ht="26" customHeight="1" s="1">
      <c r="A243" s="8">
        <f>IF('StockList_MS2'!A242="","",HYPERLINK("https://kabutan.jp/stock/?code="&amp;'StockList_MS2'!A242,'StockList_MS2'!A242))</f>
        <v/>
      </c>
      <c r="B243" s="9" t="n"/>
      <c r="C243" s="9" t="n"/>
      <c r="D243" s="9" t="n"/>
      <c r="E243" s="9" t="n"/>
      <c r="F243" s="10" t="n"/>
      <c r="G243" s="9" t="n"/>
      <c r="H243" s="9" t="n"/>
      <c r="I243" s="9" t="n"/>
      <c r="J243" s="11">
        <f>IF(B243="","",IF(B243&gt;I243,"BUY-DAY","SELL-DAY"))</f>
        <v/>
      </c>
      <c r="K243" s="12">
        <f>IF(B243="","",MAX(C243-D243,ABS(C243-I243),ABS(D243-I243)))</f>
        <v/>
      </c>
      <c r="L243" s="11">
        <f>IF(B243="","",IF(AND(F243&gt;0,F243&gt;(F243/3)*2.5),"VOL-OK","VOL-NG"))</f>
        <v/>
      </c>
      <c r="M243" s="11">
        <f>IF(B243="","",IF(B243&gt;G243,"ON","OFF"))</f>
        <v/>
      </c>
      <c r="N243" s="11">
        <f>IF(B243="","",IF(B243&lt;H243,"ON","OFF"))</f>
        <v/>
      </c>
      <c r="O243" s="11">
        <f>IF(OR(B243="",K243&lt;=0),"",IF(AND(J243="BUY-DAY",L243="VOL-OK",N243="ON",X243="OK",Y243&lt;&gt;"DOWN"),"BUY",IF(AND(J243="SELL-DAY",L243="VOL-OK",M243="ON",X243="OK",Y243&lt;&gt;"UP"),"SELL","")))</f>
        <v/>
      </c>
      <c r="P243" s="12">
        <f>IF(O243="","",B243)</f>
        <v/>
      </c>
      <c r="Q243" s="12">
        <f>IF(O243="","",IF(O243="BUY",B243-K243*1.5,B243+K243*1.5))</f>
        <v/>
      </c>
      <c r="R243" s="12">
        <f>IF(O243="","",IF(O243="BUY",B243+K243*1.5,B243-K243*1.5))</f>
        <v/>
      </c>
      <c r="S243" s="12">
        <f>IF(O243="","",IF(O243="BUY",B243+K243*2,B243-K243*2))</f>
        <v/>
      </c>
      <c r="T243" s="12">
        <f>IF(O243="","",IF(O243="BUY",B243+K243*3,B243-K243*3))</f>
        <v/>
      </c>
      <c r="U243" s="11">
        <f>IF(OR(B243="",K243&lt;=0),"",IF(AND(B243&gt;E243,ABS(B243-E243)&lt;K243*0.5),"2ND","1ST"))</f>
        <v/>
      </c>
      <c r="V243" s="11">
        <f>IF(OR(B243="",K243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3" s="11">
        <f>IF(OR(B243="",K243&lt;=0),"",IF(K243&gt;B243*0.05,"VOL-HIGH","VOL-NORMAL"))</f>
        <v/>
      </c>
      <c r="X243" s="11">
        <f>IF(OR(B243="",K243&lt;=0),"",IF(AND(L243="VOL-OK",W243="VOL-NORMAL",U243="2ND"),"OK","NG"))</f>
        <v/>
      </c>
      <c r="Y243" s="11">
        <f>IF(OR(B243="",K243&lt;=0),"",IF(AND(C243&gt;G243,D243&gt;H243),"UP",IF(AND(C243&lt;G243,D243&lt;H243),"DOWN","FLAT")))</f>
        <v/>
      </c>
    </row>
    <row r="244" ht="26" customHeight="1" s="1">
      <c r="A244" s="13">
        <f>IF('StockList_MS2'!A243="","",HYPERLINK("https://kabutan.jp/stock/?code="&amp;'StockList_MS2'!A243,'StockList_MS2'!A243))</f>
        <v/>
      </c>
      <c r="B244" s="14" t="n"/>
      <c r="C244" s="14" t="n"/>
      <c r="D244" s="14" t="n"/>
      <c r="E244" s="14" t="n"/>
      <c r="F244" s="15" t="n"/>
      <c r="G244" s="14" t="n"/>
      <c r="H244" s="14" t="n"/>
      <c r="I244" s="14" t="n"/>
      <c r="J244" s="16">
        <f>IF(B244="","",IF(B244&gt;I244,"BUY-DAY","SELL-DAY"))</f>
        <v/>
      </c>
      <c r="K244" s="17">
        <f>IF(B244="","",MAX(C244-D244,ABS(C244-I244),ABS(D244-I244)))</f>
        <v/>
      </c>
      <c r="L244" s="16">
        <f>IF(B244="","",IF(AND(F244&gt;0,F244&gt;(F244/3)*2.5),"VOL-OK","VOL-NG"))</f>
        <v/>
      </c>
      <c r="M244" s="16">
        <f>IF(B244="","",IF(B244&gt;G244,"ON","OFF"))</f>
        <v/>
      </c>
      <c r="N244" s="16">
        <f>IF(B244="","",IF(B244&lt;H244,"ON","OFF"))</f>
        <v/>
      </c>
      <c r="O244" s="16">
        <f>IF(OR(B244="",K244&lt;=0),"",IF(AND(J244="BUY-DAY",L244="VOL-OK",N244="ON",X244="OK",Y244&lt;&gt;"DOWN"),"BUY",IF(AND(J244="SELL-DAY",L244="VOL-OK",M244="ON",X244="OK",Y244&lt;&gt;"UP"),"SELL","")))</f>
        <v/>
      </c>
      <c r="P244" s="17">
        <f>IF(O244="","",B244)</f>
        <v/>
      </c>
      <c r="Q244" s="17">
        <f>IF(O244="","",IF(O244="BUY",B244-K244*1.5,B244+K244*1.5))</f>
        <v/>
      </c>
      <c r="R244" s="17">
        <f>IF(O244="","",IF(O244="BUY",B244+K244*1.5,B244-K244*1.5))</f>
        <v/>
      </c>
      <c r="S244" s="17">
        <f>IF(O244="","",IF(O244="BUY",B244+K244*2,B244-K244*2))</f>
        <v/>
      </c>
      <c r="T244" s="17">
        <f>IF(O244="","",IF(O244="BUY",B244+K244*3,B244-K244*3))</f>
        <v/>
      </c>
      <c r="U244" s="16">
        <f>IF(OR(B244="",K244&lt;=0),"",IF(AND(B244&gt;E244,ABS(B244-E244)&lt;K244*0.5),"2ND","1ST"))</f>
        <v/>
      </c>
      <c r="V244" s="16">
        <f>IF(OR(B244="",K244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4" s="16">
        <f>IF(OR(B244="",K244&lt;=0),"",IF(K244&gt;B244*0.05,"VOL-HIGH","VOL-NORMAL"))</f>
        <v/>
      </c>
      <c r="X244" s="16">
        <f>IF(OR(B244="",K244&lt;=0),"",IF(AND(L244="VOL-OK",W244="VOL-NORMAL",U244="2ND"),"OK","NG"))</f>
        <v/>
      </c>
      <c r="Y244" s="16">
        <f>IF(OR(B244="",K244&lt;=0),"",IF(AND(C244&gt;G244,D244&gt;H244),"UP",IF(AND(C244&lt;G244,D244&lt;H244),"DOWN","FLAT")))</f>
        <v/>
      </c>
    </row>
    <row r="245" ht="26" customHeight="1" s="1">
      <c r="A245" s="8">
        <f>IF('StockList_MS2'!A244="","",HYPERLINK("https://kabutan.jp/stock/?code="&amp;'StockList_MS2'!A244,'StockList_MS2'!A244))</f>
        <v/>
      </c>
      <c r="B245" s="9" t="n"/>
      <c r="C245" s="9" t="n"/>
      <c r="D245" s="9" t="n"/>
      <c r="E245" s="9" t="n"/>
      <c r="F245" s="10" t="n"/>
      <c r="G245" s="9" t="n"/>
      <c r="H245" s="9" t="n"/>
      <c r="I245" s="9" t="n"/>
      <c r="J245" s="11">
        <f>IF(B245="","",IF(B245&gt;I245,"BUY-DAY","SELL-DAY"))</f>
        <v/>
      </c>
      <c r="K245" s="12">
        <f>IF(B245="","",MAX(C245-D245,ABS(C245-I245),ABS(D245-I245)))</f>
        <v/>
      </c>
      <c r="L245" s="11">
        <f>IF(B245="","",IF(AND(F245&gt;0,F245&gt;(F245/3)*2.5),"VOL-OK","VOL-NG"))</f>
        <v/>
      </c>
      <c r="M245" s="11">
        <f>IF(B245="","",IF(B245&gt;G245,"ON","OFF"))</f>
        <v/>
      </c>
      <c r="N245" s="11">
        <f>IF(B245="","",IF(B245&lt;H245,"ON","OFF"))</f>
        <v/>
      </c>
      <c r="O245" s="11">
        <f>IF(OR(B245="",K245&lt;=0),"",IF(AND(J245="BUY-DAY",L245="VOL-OK",N245="ON",X245="OK",Y245&lt;&gt;"DOWN"),"BUY",IF(AND(J245="SELL-DAY",L245="VOL-OK",M245="ON",X245="OK",Y245&lt;&gt;"UP"),"SELL","")))</f>
        <v/>
      </c>
      <c r="P245" s="12">
        <f>IF(O245="","",B245)</f>
        <v/>
      </c>
      <c r="Q245" s="12">
        <f>IF(O245="","",IF(O245="BUY",B245-K245*1.5,B245+K245*1.5))</f>
        <v/>
      </c>
      <c r="R245" s="12">
        <f>IF(O245="","",IF(O245="BUY",B245+K245*1.5,B245-K245*1.5))</f>
        <v/>
      </c>
      <c r="S245" s="12">
        <f>IF(O245="","",IF(O245="BUY",B245+K245*2,B245-K245*2))</f>
        <v/>
      </c>
      <c r="T245" s="12">
        <f>IF(O245="","",IF(O245="BUY",B245+K245*3,B245-K245*3))</f>
        <v/>
      </c>
      <c r="U245" s="11">
        <f>IF(OR(B245="",K245&lt;=0),"",IF(AND(B245&gt;E245,ABS(B245-E245)&lt;K245*0.5),"2ND","1ST"))</f>
        <v/>
      </c>
      <c r="V245" s="11">
        <f>IF(OR(B245="",K245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5" s="11">
        <f>IF(OR(B245="",K245&lt;=0),"",IF(K245&gt;B245*0.05,"VOL-HIGH","VOL-NORMAL"))</f>
        <v/>
      </c>
      <c r="X245" s="11">
        <f>IF(OR(B245="",K245&lt;=0),"",IF(AND(L245="VOL-OK",W245="VOL-NORMAL",U245="2ND"),"OK","NG"))</f>
        <v/>
      </c>
      <c r="Y245" s="11">
        <f>IF(OR(B245="",K245&lt;=0),"",IF(AND(C245&gt;G245,D245&gt;H245),"UP",IF(AND(C245&lt;G245,D245&lt;H245),"DOWN","FLAT")))</f>
        <v/>
      </c>
    </row>
    <row r="246" ht="26" customHeight="1" s="1">
      <c r="A246" s="13">
        <f>IF('StockList_MS2'!A245="","",HYPERLINK("https://kabutan.jp/stock/?code="&amp;'StockList_MS2'!A245,'StockList_MS2'!A245))</f>
        <v/>
      </c>
      <c r="B246" s="14" t="n"/>
      <c r="C246" s="14" t="n"/>
      <c r="D246" s="14" t="n"/>
      <c r="E246" s="14" t="n"/>
      <c r="F246" s="15" t="n"/>
      <c r="G246" s="14" t="n"/>
      <c r="H246" s="14" t="n"/>
      <c r="I246" s="14" t="n"/>
      <c r="J246" s="16">
        <f>IF(B246="","",IF(B246&gt;I246,"BUY-DAY","SELL-DAY"))</f>
        <v/>
      </c>
      <c r="K246" s="17">
        <f>IF(B246="","",MAX(C246-D246,ABS(C246-I246),ABS(D246-I246)))</f>
        <v/>
      </c>
      <c r="L246" s="16">
        <f>IF(B246="","",IF(AND(F246&gt;0,F246&gt;(F246/3)*2.5),"VOL-OK","VOL-NG"))</f>
        <v/>
      </c>
      <c r="M246" s="16">
        <f>IF(B246="","",IF(B246&gt;G246,"ON","OFF"))</f>
        <v/>
      </c>
      <c r="N246" s="16">
        <f>IF(B246="","",IF(B246&lt;H246,"ON","OFF"))</f>
        <v/>
      </c>
      <c r="O246" s="16">
        <f>IF(OR(B246="",K246&lt;=0),"",IF(AND(J246="BUY-DAY",L246="VOL-OK",N246="ON",X246="OK",Y246&lt;&gt;"DOWN"),"BUY",IF(AND(J246="SELL-DAY",L246="VOL-OK",M246="ON",X246="OK",Y246&lt;&gt;"UP"),"SELL","")))</f>
        <v/>
      </c>
      <c r="P246" s="17">
        <f>IF(O246="","",B246)</f>
        <v/>
      </c>
      <c r="Q246" s="17">
        <f>IF(O246="","",IF(O246="BUY",B246-K246*1.5,B246+K246*1.5))</f>
        <v/>
      </c>
      <c r="R246" s="17">
        <f>IF(O246="","",IF(O246="BUY",B246+K246*1.5,B246-K246*1.5))</f>
        <v/>
      </c>
      <c r="S246" s="17">
        <f>IF(O246="","",IF(O246="BUY",B246+K246*2,B246-K246*2))</f>
        <v/>
      </c>
      <c r="T246" s="17">
        <f>IF(O246="","",IF(O246="BUY",B246+K246*3,B246-K246*3))</f>
        <v/>
      </c>
      <c r="U246" s="16">
        <f>IF(OR(B246="",K246&lt;=0),"",IF(AND(B246&gt;E246,ABS(B246-E246)&lt;K246*0.5),"2ND","1ST"))</f>
        <v/>
      </c>
      <c r="V246" s="16">
        <f>IF(OR(B246="",K246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6" s="16">
        <f>IF(OR(B246="",K246&lt;=0),"",IF(K246&gt;B246*0.05,"VOL-HIGH","VOL-NORMAL"))</f>
        <v/>
      </c>
      <c r="X246" s="16">
        <f>IF(OR(B246="",K246&lt;=0),"",IF(AND(L246="VOL-OK",W246="VOL-NORMAL",U246="2ND"),"OK","NG"))</f>
        <v/>
      </c>
      <c r="Y246" s="16">
        <f>IF(OR(B246="",K246&lt;=0),"",IF(AND(C246&gt;G246,D246&gt;H246),"UP",IF(AND(C246&lt;G246,D246&lt;H246),"DOWN","FLAT")))</f>
        <v/>
      </c>
    </row>
    <row r="247" ht="26" customHeight="1" s="1">
      <c r="A247" s="8">
        <f>IF('StockList_MS2'!A246="","",HYPERLINK("https://kabutan.jp/stock/?code="&amp;'StockList_MS2'!A246,'StockList_MS2'!A246))</f>
        <v/>
      </c>
      <c r="B247" s="9" t="n"/>
      <c r="C247" s="9" t="n"/>
      <c r="D247" s="9" t="n"/>
      <c r="E247" s="9" t="n"/>
      <c r="F247" s="10" t="n"/>
      <c r="G247" s="9" t="n"/>
      <c r="H247" s="9" t="n"/>
      <c r="I247" s="9" t="n"/>
      <c r="J247" s="11">
        <f>IF(B247="","",IF(B247&gt;I247,"BUY-DAY","SELL-DAY"))</f>
        <v/>
      </c>
      <c r="K247" s="12">
        <f>IF(B247="","",MAX(C247-D247,ABS(C247-I247),ABS(D247-I247)))</f>
        <v/>
      </c>
      <c r="L247" s="11">
        <f>IF(B247="","",IF(AND(F247&gt;0,F247&gt;(F247/3)*2.5),"VOL-OK","VOL-NG"))</f>
        <v/>
      </c>
      <c r="M247" s="11">
        <f>IF(B247="","",IF(B247&gt;G247,"ON","OFF"))</f>
        <v/>
      </c>
      <c r="N247" s="11">
        <f>IF(B247="","",IF(B247&lt;H247,"ON","OFF"))</f>
        <v/>
      </c>
      <c r="O247" s="11">
        <f>IF(OR(B247="",K247&lt;=0),"",IF(AND(J247="BUY-DAY",L247="VOL-OK",N247="ON",X247="OK",Y247&lt;&gt;"DOWN"),"BUY",IF(AND(J247="SELL-DAY",L247="VOL-OK",M247="ON",X247="OK",Y247&lt;&gt;"UP"),"SELL","")))</f>
        <v/>
      </c>
      <c r="P247" s="12">
        <f>IF(O247="","",B247)</f>
        <v/>
      </c>
      <c r="Q247" s="12">
        <f>IF(O247="","",IF(O247="BUY",B247-K247*1.5,B247+K247*1.5))</f>
        <v/>
      </c>
      <c r="R247" s="12">
        <f>IF(O247="","",IF(O247="BUY",B247+K247*1.5,B247-K247*1.5))</f>
        <v/>
      </c>
      <c r="S247" s="12">
        <f>IF(O247="","",IF(O247="BUY",B247+K247*2,B247-K247*2))</f>
        <v/>
      </c>
      <c r="T247" s="12">
        <f>IF(O247="","",IF(O247="BUY",B247+K247*3,B247-K247*3))</f>
        <v/>
      </c>
      <c r="U247" s="11">
        <f>IF(OR(B247="",K247&lt;=0),"",IF(AND(B247&gt;E247,ABS(B247-E247)&lt;K247*0.5),"2ND","1ST"))</f>
        <v/>
      </c>
      <c r="V247" s="11">
        <f>IF(OR(B247="",K247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7" s="11">
        <f>IF(OR(B247="",K247&lt;=0),"",IF(K247&gt;B247*0.05,"VOL-HIGH","VOL-NORMAL"))</f>
        <v/>
      </c>
      <c r="X247" s="11">
        <f>IF(OR(B247="",K247&lt;=0),"",IF(AND(L247="VOL-OK",W247="VOL-NORMAL",U247="2ND"),"OK","NG"))</f>
        <v/>
      </c>
      <c r="Y247" s="11">
        <f>IF(OR(B247="",K247&lt;=0),"",IF(AND(C247&gt;G247,D247&gt;H247),"UP",IF(AND(C247&lt;G247,D247&lt;H247),"DOWN","FLAT")))</f>
        <v/>
      </c>
    </row>
    <row r="248" ht="26" customHeight="1" s="1">
      <c r="A248" s="13">
        <f>IF('StockList_MS2'!A247="","",HYPERLINK("https://kabutan.jp/stock/?code="&amp;'StockList_MS2'!A247,'StockList_MS2'!A247))</f>
        <v/>
      </c>
      <c r="B248" s="14" t="n"/>
      <c r="C248" s="14" t="n"/>
      <c r="D248" s="14" t="n"/>
      <c r="E248" s="14" t="n"/>
      <c r="F248" s="15" t="n"/>
      <c r="G248" s="14" t="n"/>
      <c r="H248" s="14" t="n"/>
      <c r="I248" s="14" t="n"/>
      <c r="J248" s="16">
        <f>IF(B248="","",IF(B248&gt;I248,"BUY-DAY","SELL-DAY"))</f>
        <v/>
      </c>
      <c r="K248" s="17">
        <f>IF(B248="","",MAX(C248-D248,ABS(C248-I248),ABS(D248-I248)))</f>
        <v/>
      </c>
      <c r="L248" s="16">
        <f>IF(B248="","",IF(AND(F248&gt;0,F248&gt;(F248/3)*2.5),"VOL-OK","VOL-NG"))</f>
        <v/>
      </c>
      <c r="M248" s="16">
        <f>IF(B248="","",IF(B248&gt;G248,"ON","OFF"))</f>
        <v/>
      </c>
      <c r="N248" s="16">
        <f>IF(B248="","",IF(B248&lt;H248,"ON","OFF"))</f>
        <v/>
      </c>
      <c r="O248" s="16">
        <f>IF(OR(B248="",K248&lt;=0),"",IF(AND(J248="BUY-DAY",L248="VOL-OK",N248="ON",X248="OK",Y248&lt;&gt;"DOWN"),"BUY",IF(AND(J248="SELL-DAY",L248="VOL-OK",M248="ON",X248="OK",Y248&lt;&gt;"UP"),"SELL","")))</f>
        <v/>
      </c>
      <c r="P248" s="17">
        <f>IF(O248="","",B248)</f>
        <v/>
      </c>
      <c r="Q248" s="17">
        <f>IF(O248="","",IF(O248="BUY",B248-K248*1.5,B248+K248*1.5))</f>
        <v/>
      </c>
      <c r="R248" s="17">
        <f>IF(O248="","",IF(O248="BUY",B248+K248*1.5,B248-K248*1.5))</f>
        <v/>
      </c>
      <c r="S248" s="17">
        <f>IF(O248="","",IF(O248="BUY",B248+K248*2,B248-K248*2))</f>
        <v/>
      </c>
      <c r="T248" s="17">
        <f>IF(O248="","",IF(O248="BUY",B248+K248*3,B248-K248*3))</f>
        <v/>
      </c>
      <c r="U248" s="16">
        <f>IF(OR(B248="",K248&lt;=0),"",IF(AND(B248&gt;E248,ABS(B248-E248)&lt;K248*0.5),"2ND","1ST"))</f>
        <v/>
      </c>
      <c r="V248" s="16">
        <f>IF(OR(B248="",K248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8" s="16">
        <f>IF(OR(B248="",K248&lt;=0),"",IF(K248&gt;B248*0.05,"VOL-HIGH","VOL-NORMAL"))</f>
        <v/>
      </c>
      <c r="X248" s="16">
        <f>IF(OR(B248="",K248&lt;=0),"",IF(AND(L248="VOL-OK",W248="VOL-NORMAL",U248="2ND"),"OK","NG"))</f>
        <v/>
      </c>
      <c r="Y248" s="16">
        <f>IF(OR(B248="",K248&lt;=0),"",IF(AND(C248&gt;G248,D248&gt;H248),"UP",IF(AND(C248&lt;G248,D248&lt;H248),"DOWN","FLAT")))</f>
        <v/>
      </c>
    </row>
    <row r="249" ht="26" customHeight="1" s="1">
      <c r="A249" s="8">
        <f>IF('StockList_MS2'!A248="","",HYPERLINK("https://kabutan.jp/stock/?code="&amp;'StockList_MS2'!A248,'StockList_MS2'!A248))</f>
        <v/>
      </c>
      <c r="B249" s="9" t="n"/>
      <c r="C249" s="9" t="n"/>
      <c r="D249" s="9" t="n"/>
      <c r="E249" s="9" t="n"/>
      <c r="F249" s="10" t="n"/>
      <c r="G249" s="9" t="n"/>
      <c r="H249" s="9" t="n"/>
      <c r="I249" s="9" t="n"/>
      <c r="J249" s="11">
        <f>IF(B249="","",IF(B249&gt;I249,"BUY-DAY","SELL-DAY"))</f>
        <v/>
      </c>
      <c r="K249" s="12">
        <f>IF(B249="","",MAX(C249-D249,ABS(C249-I249),ABS(D249-I249)))</f>
        <v/>
      </c>
      <c r="L249" s="11">
        <f>IF(B249="","",IF(AND(F249&gt;0,F249&gt;(F249/3)*2.5),"VOL-OK","VOL-NG"))</f>
        <v/>
      </c>
      <c r="M249" s="11">
        <f>IF(B249="","",IF(B249&gt;G249,"ON","OFF"))</f>
        <v/>
      </c>
      <c r="N249" s="11">
        <f>IF(B249="","",IF(B249&lt;H249,"ON","OFF"))</f>
        <v/>
      </c>
      <c r="O249" s="11">
        <f>IF(OR(B249="",K249&lt;=0),"",IF(AND(J249="BUY-DAY",L249="VOL-OK",N249="ON",X249="OK",Y249&lt;&gt;"DOWN"),"BUY",IF(AND(J249="SELL-DAY",L249="VOL-OK",M249="ON",X249="OK",Y249&lt;&gt;"UP"),"SELL","")))</f>
        <v/>
      </c>
      <c r="P249" s="12">
        <f>IF(O249="","",B249)</f>
        <v/>
      </c>
      <c r="Q249" s="12">
        <f>IF(O249="","",IF(O249="BUY",B249-K249*1.5,B249+K249*1.5))</f>
        <v/>
      </c>
      <c r="R249" s="12">
        <f>IF(O249="","",IF(O249="BUY",B249+K249*1.5,B249-K249*1.5))</f>
        <v/>
      </c>
      <c r="S249" s="12">
        <f>IF(O249="","",IF(O249="BUY",B249+K249*2,B249-K249*2))</f>
        <v/>
      </c>
      <c r="T249" s="12">
        <f>IF(O249="","",IF(O249="BUY",B249+K249*3,B249-K249*3))</f>
        <v/>
      </c>
      <c r="U249" s="11">
        <f>IF(OR(B249="",K249&lt;=0),"",IF(AND(B249&gt;E249,ABS(B249-E249)&lt;K249*0.5),"2ND","1ST"))</f>
        <v/>
      </c>
      <c r="V249" s="11">
        <f>IF(OR(B249="",K249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9" s="11">
        <f>IF(OR(B249="",K249&lt;=0),"",IF(K249&gt;B249*0.05,"VOL-HIGH","VOL-NORMAL"))</f>
        <v/>
      </c>
      <c r="X249" s="11">
        <f>IF(OR(B249="",K249&lt;=0),"",IF(AND(L249="VOL-OK",W249="VOL-NORMAL",U249="2ND"),"OK","NG"))</f>
        <v/>
      </c>
      <c r="Y249" s="11">
        <f>IF(OR(B249="",K249&lt;=0),"",IF(AND(C249&gt;G249,D249&gt;H249),"UP",IF(AND(C249&lt;G249,D249&lt;H249),"DOWN","FLAT")))</f>
        <v/>
      </c>
    </row>
    <row r="250" ht="26" customHeight="1" s="1">
      <c r="A250" s="13">
        <f>IF('StockList_MS2'!A249="","",HYPERLINK("https://kabutan.jp/stock/?code="&amp;'StockList_MS2'!A249,'StockList_MS2'!A249))</f>
        <v/>
      </c>
      <c r="B250" s="14" t="n"/>
      <c r="C250" s="14" t="n"/>
      <c r="D250" s="14" t="n"/>
      <c r="E250" s="14" t="n"/>
      <c r="F250" s="15" t="n"/>
      <c r="G250" s="14" t="n"/>
      <c r="H250" s="14" t="n"/>
      <c r="I250" s="14" t="n"/>
      <c r="J250" s="16">
        <f>IF(B250="","",IF(B250&gt;I250,"BUY-DAY","SELL-DAY"))</f>
        <v/>
      </c>
      <c r="K250" s="17">
        <f>IF(B250="","",MAX(C250-D250,ABS(C250-I250),ABS(D250-I250)))</f>
        <v/>
      </c>
      <c r="L250" s="16">
        <f>IF(B250="","",IF(AND(F250&gt;0,F250&gt;(F250/3)*2.5),"VOL-OK","VOL-NG"))</f>
        <v/>
      </c>
      <c r="M250" s="16">
        <f>IF(B250="","",IF(B250&gt;G250,"ON","OFF"))</f>
        <v/>
      </c>
      <c r="N250" s="16">
        <f>IF(B250="","",IF(B250&lt;H250,"ON","OFF"))</f>
        <v/>
      </c>
      <c r="O250" s="16">
        <f>IF(OR(B250="",K250&lt;=0),"",IF(AND(J250="BUY-DAY",L250="VOL-OK",N250="ON",X250="OK",Y250&lt;&gt;"DOWN"),"BUY",IF(AND(J250="SELL-DAY",L250="VOL-OK",M250="ON",X250="OK",Y250&lt;&gt;"UP"),"SELL","")))</f>
        <v/>
      </c>
      <c r="P250" s="17">
        <f>IF(O250="","",B250)</f>
        <v/>
      </c>
      <c r="Q250" s="17">
        <f>IF(O250="","",IF(O250="BUY",B250-K250*1.5,B250+K250*1.5))</f>
        <v/>
      </c>
      <c r="R250" s="17">
        <f>IF(O250="","",IF(O250="BUY",B250+K250*1.5,B250-K250*1.5))</f>
        <v/>
      </c>
      <c r="S250" s="17">
        <f>IF(O250="","",IF(O250="BUY",B250+K250*2,B250-K250*2))</f>
        <v/>
      </c>
      <c r="T250" s="17">
        <f>IF(O250="","",IF(O250="BUY",B250+K250*3,B250-K250*3))</f>
        <v/>
      </c>
      <c r="U250" s="16">
        <f>IF(OR(B250="",K250&lt;=0),"",IF(AND(B250&gt;E250,ABS(B250-E250)&lt;K250*0.5),"2ND","1ST"))</f>
        <v/>
      </c>
      <c r="V250" s="16">
        <f>IF(OR(B250="",K250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0" s="16">
        <f>IF(OR(B250="",K250&lt;=0),"",IF(K250&gt;B250*0.05,"VOL-HIGH","VOL-NORMAL"))</f>
        <v/>
      </c>
      <c r="X250" s="16">
        <f>IF(OR(B250="",K250&lt;=0),"",IF(AND(L250="VOL-OK",W250="VOL-NORMAL",U250="2ND"),"OK","NG"))</f>
        <v/>
      </c>
      <c r="Y250" s="16">
        <f>IF(OR(B250="",K250&lt;=0),"",IF(AND(C250&gt;G250,D250&gt;H250),"UP",IF(AND(C250&lt;G250,D250&lt;H250),"DOWN","FLAT")))</f>
        <v/>
      </c>
    </row>
    <row r="251" ht="26" customHeight="1" s="1">
      <c r="A251" s="8">
        <f>IF('StockList_MS2'!A250="","",HYPERLINK("https://kabutan.jp/stock/?code="&amp;'StockList_MS2'!A250,'StockList_MS2'!A250))</f>
        <v/>
      </c>
      <c r="B251" s="9" t="n"/>
      <c r="C251" s="9" t="n"/>
      <c r="D251" s="9" t="n"/>
      <c r="E251" s="9" t="n"/>
      <c r="F251" s="10" t="n"/>
      <c r="G251" s="9" t="n"/>
      <c r="H251" s="9" t="n"/>
      <c r="I251" s="9" t="n"/>
      <c r="J251" s="11">
        <f>IF(B251="","",IF(B251&gt;I251,"BUY-DAY","SELL-DAY"))</f>
        <v/>
      </c>
      <c r="K251" s="12">
        <f>IF(B251="","",MAX(C251-D251,ABS(C251-I251),ABS(D251-I251)))</f>
        <v/>
      </c>
      <c r="L251" s="11">
        <f>IF(B251="","",IF(AND(F251&gt;0,F251&gt;(F251/3)*2.5),"VOL-OK","VOL-NG"))</f>
        <v/>
      </c>
      <c r="M251" s="11">
        <f>IF(B251="","",IF(B251&gt;G251,"ON","OFF"))</f>
        <v/>
      </c>
      <c r="N251" s="11">
        <f>IF(B251="","",IF(B251&lt;H251,"ON","OFF"))</f>
        <v/>
      </c>
      <c r="O251" s="11">
        <f>IF(OR(B251="",K251&lt;=0),"",IF(AND(J251="BUY-DAY",L251="VOL-OK",N251="ON",X251="OK",Y251&lt;&gt;"DOWN"),"BUY",IF(AND(J251="SELL-DAY",L251="VOL-OK",M251="ON",X251="OK",Y251&lt;&gt;"UP"),"SELL","")))</f>
        <v/>
      </c>
      <c r="P251" s="12">
        <f>IF(O251="","",B251)</f>
        <v/>
      </c>
      <c r="Q251" s="12">
        <f>IF(O251="","",IF(O251="BUY",B251-K251*1.5,B251+K251*1.5))</f>
        <v/>
      </c>
      <c r="R251" s="12">
        <f>IF(O251="","",IF(O251="BUY",B251+K251*1.5,B251-K251*1.5))</f>
        <v/>
      </c>
      <c r="S251" s="12">
        <f>IF(O251="","",IF(O251="BUY",B251+K251*2,B251-K251*2))</f>
        <v/>
      </c>
      <c r="T251" s="12">
        <f>IF(O251="","",IF(O251="BUY",B251+K251*3,B251-K251*3))</f>
        <v/>
      </c>
      <c r="U251" s="11">
        <f>IF(OR(B251="",K251&lt;=0),"",IF(AND(B251&gt;E251,ABS(B251-E251)&lt;K251*0.5),"2ND","1ST"))</f>
        <v/>
      </c>
      <c r="V251" s="11">
        <f>IF(OR(B251="",K251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1" s="11">
        <f>IF(OR(B251="",K251&lt;=0),"",IF(K251&gt;B251*0.05,"VOL-HIGH","VOL-NORMAL"))</f>
        <v/>
      </c>
      <c r="X251" s="11">
        <f>IF(OR(B251="",K251&lt;=0),"",IF(AND(L251="VOL-OK",W251="VOL-NORMAL",U251="2ND"),"OK","NG"))</f>
        <v/>
      </c>
      <c r="Y251" s="11">
        <f>IF(OR(B251="",K251&lt;=0),"",IF(AND(C251&gt;G251,D251&gt;H251),"UP",IF(AND(C251&lt;G251,D251&lt;H251),"DOWN","FLAT")))</f>
        <v/>
      </c>
    </row>
    <row r="252" ht="26" customHeight="1" s="1">
      <c r="A252" s="13">
        <f>IF('StockList_MS2'!A251="","",HYPERLINK("https://kabutan.jp/stock/?code="&amp;'StockList_MS2'!A251,'StockList_MS2'!A251))</f>
        <v/>
      </c>
      <c r="B252" s="14" t="n"/>
      <c r="C252" s="14" t="n"/>
      <c r="D252" s="14" t="n"/>
      <c r="E252" s="14" t="n"/>
      <c r="F252" s="15" t="n"/>
      <c r="G252" s="14" t="n"/>
      <c r="H252" s="14" t="n"/>
      <c r="I252" s="14" t="n"/>
      <c r="J252" s="16">
        <f>IF(B252="","",IF(B252&gt;I252,"BUY-DAY","SELL-DAY"))</f>
        <v/>
      </c>
      <c r="K252" s="17">
        <f>IF(B252="","",MAX(C252-D252,ABS(C252-I252),ABS(D252-I252)))</f>
        <v/>
      </c>
      <c r="L252" s="16">
        <f>IF(B252="","",IF(AND(F252&gt;0,F252&gt;(F252/3)*2.5),"VOL-OK","VOL-NG"))</f>
        <v/>
      </c>
      <c r="M252" s="16">
        <f>IF(B252="","",IF(B252&gt;G252,"ON","OFF"))</f>
        <v/>
      </c>
      <c r="N252" s="16">
        <f>IF(B252="","",IF(B252&lt;H252,"ON","OFF"))</f>
        <v/>
      </c>
      <c r="O252" s="16">
        <f>IF(OR(B252="",K252&lt;=0),"",IF(AND(J252="BUY-DAY",L252="VOL-OK",N252="ON",X252="OK",Y252&lt;&gt;"DOWN"),"BUY",IF(AND(J252="SELL-DAY",L252="VOL-OK",M252="ON",X252="OK",Y252&lt;&gt;"UP"),"SELL","")))</f>
        <v/>
      </c>
      <c r="P252" s="17">
        <f>IF(O252="","",B252)</f>
        <v/>
      </c>
      <c r="Q252" s="17">
        <f>IF(O252="","",IF(O252="BUY",B252-K252*1.5,B252+K252*1.5))</f>
        <v/>
      </c>
      <c r="R252" s="17">
        <f>IF(O252="","",IF(O252="BUY",B252+K252*1.5,B252-K252*1.5))</f>
        <v/>
      </c>
      <c r="S252" s="17">
        <f>IF(O252="","",IF(O252="BUY",B252+K252*2,B252-K252*2))</f>
        <v/>
      </c>
      <c r="T252" s="17">
        <f>IF(O252="","",IF(O252="BUY",B252+K252*3,B252-K252*3))</f>
        <v/>
      </c>
      <c r="U252" s="16">
        <f>IF(OR(B252="",K252&lt;=0),"",IF(AND(B252&gt;E252,ABS(B252-E252)&lt;K252*0.5),"2ND","1ST"))</f>
        <v/>
      </c>
      <c r="V252" s="16">
        <f>IF(OR(B252="",K252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2" s="16">
        <f>IF(OR(B252="",K252&lt;=0),"",IF(K252&gt;B252*0.05,"VOL-HIGH","VOL-NORMAL"))</f>
        <v/>
      </c>
      <c r="X252" s="16">
        <f>IF(OR(B252="",K252&lt;=0),"",IF(AND(L252="VOL-OK",W252="VOL-NORMAL",U252="2ND"),"OK","NG"))</f>
        <v/>
      </c>
      <c r="Y252" s="16">
        <f>IF(OR(B252="",K252&lt;=0),"",IF(AND(C252&gt;G252,D252&gt;H252),"UP",IF(AND(C252&lt;G252,D252&lt;H252),"DOWN","FLAT")))</f>
        <v/>
      </c>
    </row>
    <row r="253" ht="26" customHeight="1" s="1">
      <c r="A253" s="8">
        <f>IF('StockList_MS2'!A252="","",HYPERLINK("https://kabutan.jp/stock/?code="&amp;'StockList_MS2'!A252,'StockList_MS2'!A252))</f>
        <v/>
      </c>
      <c r="B253" s="9" t="n"/>
      <c r="C253" s="9" t="n"/>
      <c r="D253" s="9" t="n"/>
      <c r="E253" s="9" t="n"/>
      <c r="F253" s="10" t="n"/>
      <c r="G253" s="9" t="n"/>
      <c r="H253" s="9" t="n"/>
      <c r="I253" s="9" t="n"/>
      <c r="J253" s="11">
        <f>IF(B253="","",IF(B253&gt;I253,"BUY-DAY","SELL-DAY"))</f>
        <v/>
      </c>
      <c r="K253" s="12">
        <f>IF(B253="","",MAX(C253-D253,ABS(C253-I253),ABS(D253-I253)))</f>
        <v/>
      </c>
      <c r="L253" s="11">
        <f>IF(B253="","",IF(AND(F253&gt;0,F253&gt;(F253/3)*2.5),"VOL-OK","VOL-NG"))</f>
        <v/>
      </c>
      <c r="M253" s="11">
        <f>IF(B253="","",IF(B253&gt;G253,"ON","OFF"))</f>
        <v/>
      </c>
      <c r="N253" s="11">
        <f>IF(B253="","",IF(B253&lt;H253,"ON","OFF"))</f>
        <v/>
      </c>
      <c r="O253" s="11">
        <f>IF(OR(B253="",K253&lt;=0),"",IF(AND(J253="BUY-DAY",L253="VOL-OK",N253="ON",X253="OK",Y253&lt;&gt;"DOWN"),"BUY",IF(AND(J253="SELL-DAY",L253="VOL-OK",M253="ON",X253="OK",Y253&lt;&gt;"UP"),"SELL","")))</f>
        <v/>
      </c>
      <c r="P253" s="12">
        <f>IF(O253="","",B253)</f>
        <v/>
      </c>
      <c r="Q253" s="12">
        <f>IF(O253="","",IF(O253="BUY",B253-K253*1.5,B253+K253*1.5))</f>
        <v/>
      </c>
      <c r="R253" s="12">
        <f>IF(O253="","",IF(O253="BUY",B253+K253*1.5,B253-K253*1.5))</f>
        <v/>
      </c>
      <c r="S253" s="12">
        <f>IF(O253="","",IF(O253="BUY",B253+K253*2,B253-K253*2))</f>
        <v/>
      </c>
      <c r="T253" s="12">
        <f>IF(O253="","",IF(O253="BUY",B253+K253*3,B253-K253*3))</f>
        <v/>
      </c>
      <c r="U253" s="11">
        <f>IF(OR(B253="",K253&lt;=0),"",IF(AND(B253&gt;E253,ABS(B253-E253)&lt;K253*0.5),"2ND","1ST"))</f>
        <v/>
      </c>
      <c r="V253" s="11">
        <f>IF(OR(B253="",K253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3" s="11">
        <f>IF(OR(B253="",K253&lt;=0),"",IF(K253&gt;B253*0.05,"VOL-HIGH","VOL-NORMAL"))</f>
        <v/>
      </c>
      <c r="X253" s="11">
        <f>IF(OR(B253="",K253&lt;=0),"",IF(AND(L253="VOL-OK",W253="VOL-NORMAL",U253="2ND"),"OK","NG"))</f>
        <v/>
      </c>
      <c r="Y253" s="11">
        <f>IF(OR(B253="",K253&lt;=0),"",IF(AND(C253&gt;G253,D253&gt;H253),"UP",IF(AND(C253&lt;G253,D253&lt;H253),"DOWN","FLAT")))</f>
        <v/>
      </c>
    </row>
    <row r="254" ht="26" customHeight="1" s="1">
      <c r="A254" s="13">
        <f>IF('StockList_MS2'!A253="","",HYPERLINK("https://kabutan.jp/stock/?code="&amp;'StockList_MS2'!A253,'StockList_MS2'!A253))</f>
        <v/>
      </c>
      <c r="B254" s="14" t="n"/>
      <c r="C254" s="14" t="n"/>
      <c r="D254" s="14" t="n"/>
      <c r="E254" s="14" t="n"/>
      <c r="F254" s="15" t="n"/>
      <c r="G254" s="14" t="n"/>
      <c r="H254" s="14" t="n"/>
      <c r="I254" s="14" t="n"/>
      <c r="J254" s="16">
        <f>IF(B254="","",IF(B254&gt;I254,"BUY-DAY","SELL-DAY"))</f>
        <v/>
      </c>
      <c r="K254" s="17">
        <f>IF(B254="","",MAX(C254-D254,ABS(C254-I254),ABS(D254-I254)))</f>
        <v/>
      </c>
      <c r="L254" s="16">
        <f>IF(B254="","",IF(AND(F254&gt;0,F254&gt;(F254/3)*2.5),"VOL-OK","VOL-NG"))</f>
        <v/>
      </c>
      <c r="M254" s="16">
        <f>IF(B254="","",IF(B254&gt;G254,"ON","OFF"))</f>
        <v/>
      </c>
      <c r="N254" s="16">
        <f>IF(B254="","",IF(B254&lt;H254,"ON","OFF"))</f>
        <v/>
      </c>
      <c r="O254" s="16">
        <f>IF(OR(B254="",K254&lt;=0),"",IF(AND(J254="BUY-DAY",L254="VOL-OK",N254="ON",X254="OK",Y254&lt;&gt;"DOWN"),"BUY",IF(AND(J254="SELL-DAY",L254="VOL-OK",M254="ON",X254="OK",Y254&lt;&gt;"UP"),"SELL","")))</f>
        <v/>
      </c>
      <c r="P254" s="17">
        <f>IF(O254="","",B254)</f>
        <v/>
      </c>
      <c r="Q254" s="17">
        <f>IF(O254="","",IF(O254="BUY",B254-K254*1.5,B254+K254*1.5))</f>
        <v/>
      </c>
      <c r="R254" s="17">
        <f>IF(O254="","",IF(O254="BUY",B254+K254*1.5,B254-K254*1.5))</f>
        <v/>
      </c>
      <c r="S254" s="17">
        <f>IF(O254="","",IF(O254="BUY",B254+K254*2,B254-K254*2))</f>
        <v/>
      </c>
      <c r="T254" s="17">
        <f>IF(O254="","",IF(O254="BUY",B254+K254*3,B254-K254*3))</f>
        <v/>
      </c>
      <c r="U254" s="16">
        <f>IF(OR(B254="",K254&lt;=0),"",IF(AND(B254&gt;E254,ABS(B254-E254)&lt;K254*0.5),"2ND","1ST"))</f>
        <v/>
      </c>
      <c r="V254" s="16">
        <f>IF(OR(B254="",K254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4" s="16">
        <f>IF(OR(B254="",K254&lt;=0),"",IF(K254&gt;B254*0.05,"VOL-HIGH","VOL-NORMAL"))</f>
        <v/>
      </c>
      <c r="X254" s="16">
        <f>IF(OR(B254="",K254&lt;=0),"",IF(AND(L254="VOL-OK",W254="VOL-NORMAL",U254="2ND"),"OK","NG"))</f>
        <v/>
      </c>
      <c r="Y254" s="16">
        <f>IF(OR(B254="",K254&lt;=0),"",IF(AND(C254&gt;G254,D254&gt;H254),"UP",IF(AND(C254&lt;G254,D254&lt;H254),"DOWN","FLAT")))</f>
        <v/>
      </c>
    </row>
    <row r="255" ht="26" customHeight="1" s="1">
      <c r="A255" s="8">
        <f>IF('StockList_MS2'!A254="","",HYPERLINK("https://kabutan.jp/stock/?code="&amp;'StockList_MS2'!A254,'StockList_MS2'!A254))</f>
        <v/>
      </c>
      <c r="B255" s="9" t="n"/>
      <c r="C255" s="9" t="n"/>
      <c r="D255" s="9" t="n"/>
      <c r="E255" s="9" t="n"/>
      <c r="F255" s="10" t="n"/>
      <c r="G255" s="9" t="n"/>
      <c r="H255" s="9" t="n"/>
      <c r="I255" s="9" t="n"/>
      <c r="J255" s="11">
        <f>IF(B255="","",IF(B255&gt;I255,"BUY-DAY","SELL-DAY"))</f>
        <v/>
      </c>
      <c r="K255" s="12">
        <f>IF(B255="","",MAX(C255-D255,ABS(C255-I255),ABS(D255-I255)))</f>
        <v/>
      </c>
      <c r="L255" s="11">
        <f>IF(B255="","",IF(AND(F255&gt;0,F255&gt;(F255/3)*2.5),"VOL-OK","VOL-NG"))</f>
        <v/>
      </c>
      <c r="M255" s="11">
        <f>IF(B255="","",IF(B255&gt;G255,"ON","OFF"))</f>
        <v/>
      </c>
      <c r="N255" s="11">
        <f>IF(B255="","",IF(B255&lt;H255,"ON","OFF"))</f>
        <v/>
      </c>
      <c r="O255" s="11">
        <f>IF(OR(B255="",K255&lt;=0),"",IF(AND(J255="BUY-DAY",L255="VOL-OK",N255="ON",X255="OK",Y255&lt;&gt;"DOWN"),"BUY",IF(AND(J255="SELL-DAY",L255="VOL-OK",M255="ON",X255="OK",Y255&lt;&gt;"UP"),"SELL","")))</f>
        <v/>
      </c>
      <c r="P255" s="12">
        <f>IF(O255="","",B255)</f>
        <v/>
      </c>
      <c r="Q255" s="12">
        <f>IF(O255="","",IF(O255="BUY",B255-K255*1.5,B255+K255*1.5))</f>
        <v/>
      </c>
      <c r="R255" s="12">
        <f>IF(O255="","",IF(O255="BUY",B255+K255*1.5,B255-K255*1.5))</f>
        <v/>
      </c>
      <c r="S255" s="12">
        <f>IF(O255="","",IF(O255="BUY",B255+K255*2,B255-K255*2))</f>
        <v/>
      </c>
      <c r="T255" s="12">
        <f>IF(O255="","",IF(O255="BUY",B255+K255*3,B255-K255*3))</f>
        <v/>
      </c>
      <c r="U255" s="11">
        <f>IF(OR(B255="",K255&lt;=0),"",IF(AND(B255&gt;E255,ABS(B255-E255)&lt;K255*0.5),"2ND","1ST"))</f>
        <v/>
      </c>
      <c r="V255" s="11">
        <f>IF(OR(B255="",K255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5" s="11">
        <f>IF(OR(B255="",K255&lt;=0),"",IF(K255&gt;B255*0.05,"VOL-HIGH","VOL-NORMAL"))</f>
        <v/>
      </c>
      <c r="X255" s="11">
        <f>IF(OR(B255="",K255&lt;=0),"",IF(AND(L255="VOL-OK",W255="VOL-NORMAL",U255="2ND"),"OK","NG"))</f>
        <v/>
      </c>
      <c r="Y255" s="11">
        <f>IF(OR(B255="",K255&lt;=0),"",IF(AND(C255&gt;G255,D255&gt;H255),"UP",IF(AND(C255&lt;G255,D255&lt;H255),"DOWN","FLAT")))</f>
        <v/>
      </c>
    </row>
    <row r="256" ht="26" customHeight="1" s="1">
      <c r="A256" s="13">
        <f>IF('StockList_MS2'!A255="","",HYPERLINK("https://kabutan.jp/stock/?code="&amp;'StockList_MS2'!A255,'StockList_MS2'!A255))</f>
        <v/>
      </c>
      <c r="B256" s="14" t="n"/>
      <c r="C256" s="14" t="n"/>
      <c r="D256" s="14" t="n"/>
      <c r="E256" s="14" t="n"/>
      <c r="F256" s="15" t="n"/>
      <c r="G256" s="14" t="n"/>
      <c r="H256" s="14" t="n"/>
      <c r="I256" s="14" t="n"/>
      <c r="J256" s="16">
        <f>IF(B256="","",IF(B256&gt;I256,"BUY-DAY","SELL-DAY"))</f>
        <v/>
      </c>
      <c r="K256" s="17">
        <f>IF(B256="","",MAX(C256-D256,ABS(C256-I256),ABS(D256-I256)))</f>
        <v/>
      </c>
      <c r="L256" s="16">
        <f>IF(B256="","",IF(AND(F256&gt;0,F256&gt;(F256/3)*2.5),"VOL-OK","VOL-NG"))</f>
        <v/>
      </c>
      <c r="M256" s="16">
        <f>IF(B256="","",IF(B256&gt;G256,"ON","OFF"))</f>
        <v/>
      </c>
      <c r="N256" s="16">
        <f>IF(B256="","",IF(B256&lt;H256,"ON","OFF"))</f>
        <v/>
      </c>
      <c r="O256" s="16">
        <f>IF(OR(B256="",K256&lt;=0),"",IF(AND(J256="BUY-DAY",L256="VOL-OK",N256="ON",X256="OK",Y256&lt;&gt;"DOWN"),"BUY",IF(AND(J256="SELL-DAY",L256="VOL-OK",M256="ON",X256="OK",Y256&lt;&gt;"UP"),"SELL","")))</f>
        <v/>
      </c>
      <c r="P256" s="17">
        <f>IF(O256="","",B256)</f>
        <v/>
      </c>
      <c r="Q256" s="17">
        <f>IF(O256="","",IF(O256="BUY",B256-K256*1.5,B256+K256*1.5))</f>
        <v/>
      </c>
      <c r="R256" s="17">
        <f>IF(O256="","",IF(O256="BUY",B256+K256*1.5,B256-K256*1.5))</f>
        <v/>
      </c>
      <c r="S256" s="17">
        <f>IF(O256="","",IF(O256="BUY",B256+K256*2,B256-K256*2))</f>
        <v/>
      </c>
      <c r="T256" s="17">
        <f>IF(O256="","",IF(O256="BUY",B256+K256*3,B256-K256*3))</f>
        <v/>
      </c>
      <c r="U256" s="16">
        <f>IF(OR(B256="",K256&lt;=0),"",IF(AND(B256&gt;E256,ABS(B256-E256)&lt;K256*0.5),"2ND","1ST"))</f>
        <v/>
      </c>
      <c r="V256" s="16">
        <f>IF(OR(B256="",K256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6" s="16">
        <f>IF(OR(B256="",K256&lt;=0),"",IF(K256&gt;B256*0.05,"VOL-HIGH","VOL-NORMAL"))</f>
        <v/>
      </c>
      <c r="X256" s="16">
        <f>IF(OR(B256="",K256&lt;=0),"",IF(AND(L256="VOL-OK",W256="VOL-NORMAL",U256="2ND"),"OK","NG"))</f>
        <v/>
      </c>
      <c r="Y256" s="16">
        <f>IF(OR(B256="",K256&lt;=0),"",IF(AND(C256&gt;G256,D256&gt;H256),"UP",IF(AND(C256&lt;G256,D256&lt;H256),"DOWN","FLAT")))</f>
        <v/>
      </c>
    </row>
    <row r="257" ht="26" customHeight="1" s="1">
      <c r="A257" s="8">
        <f>IF('StockList_MS2'!A256="","",HYPERLINK("https://kabutan.jp/stock/?code="&amp;'StockList_MS2'!A256,'StockList_MS2'!A256))</f>
        <v/>
      </c>
      <c r="B257" s="9" t="n"/>
      <c r="C257" s="9" t="n"/>
      <c r="D257" s="9" t="n"/>
      <c r="E257" s="9" t="n"/>
      <c r="F257" s="10" t="n"/>
      <c r="G257" s="9" t="n"/>
      <c r="H257" s="9" t="n"/>
      <c r="I257" s="9" t="n"/>
      <c r="J257" s="11">
        <f>IF(B257="","",IF(B257&gt;I257,"BUY-DAY","SELL-DAY"))</f>
        <v/>
      </c>
      <c r="K257" s="12">
        <f>IF(B257="","",MAX(C257-D257,ABS(C257-I257),ABS(D257-I257)))</f>
        <v/>
      </c>
      <c r="L257" s="11">
        <f>IF(B257="","",IF(AND(F257&gt;0,F257&gt;(F257/3)*2.5),"VOL-OK","VOL-NG"))</f>
        <v/>
      </c>
      <c r="M257" s="11">
        <f>IF(B257="","",IF(B257&gt;G257,"ON","OFF"))</f>
        <v/>
      </c>
      <c r="N257" s="11">
        <f>IF(B257="","",IF(B257&lt;H257,"ON","OFF"))</f>
        <v/>
      </c>
      <c r="O257" s="11">
        <f>IF(OR(B257="",K257&lt;=0),"",IF(AND(J257="BUY-DAY",L257="VOL-OK",N257="ON",X257="OK",Y257&lt;&gt;"DOWN"),"BUY",IF(AND(J257="SELL-DAY",L257="VOL-OK",M257="ON",X257="OK",Y257&lt;&gt;"UP"),"SELL","")))</f>
        <v/>
      </c>
      <c r="P257" s="12">
        <f>IF(O257="","",B257)</f>
        <v/>
      </c>
      <c r="Q257" s="12">
        <f>IF(O257="","",IF(O257="BUY",B257-K257*1.5,B257+K257*1.5))</f>
        <v/>
      </c>
      <c r="R257" s="12">
        <f>IF(O257="","",IF(O257="BUY",B257+K257*1.5,B257-K257*1.5))</f>
        <v/>
      </c>
      <c r="S257" s="12">
        <f>IF(O257="","",IF(O257="BUY",B257+K257*2,B257-K257*2))</f>
        <v/>
      </c>
      <c r="T257" s="12">
        <f>IF(O257="","",IF(O257="BUY",B257+K257*3,B257-K257*3))</f>
        <v/>
      </c>
      <c r="U257" s="11">
        <f>IF(OR(B257="",K257&lt;=0),"",IF(AND(B257&gt;E257,ABS(B257-E257)&lt;K257*0.5),"2ND","1ST"))</f>
        <v/>
      </c>
      <c r="V257" s="11">
        <f>IF(OR(B257="",K257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7" s="11">
        <f>IF(OR(B257="",K257&lt;=0),"",IF(K257&gt;B257*0.05,"VOL-HIGH","VOL-NORMAL"))</f>
        <v/>
      </c>
      <c r="X257" s="11">
        <f>IF(OR(B257="",K257&lt;=0),"",IF(AND(L257="VOL-OK",W257="VOL-NORMAL",U257="2ND"),"OK","NG"))</f>
        <v/>
      </c>
      <c r="Y257" s="11">
        <f>IF(OR(B257="",K257&lt;=0),"",IF(AND(C257&gt;G257,D257&gt;H257),"UP",IF(AND(C257&lt;G257,D257&lt;H257),"DOWN","FLAT")))</f>
        <v/>
      </c>
    </row>
    <row r="258" ht="26" customHeight="1" s="1">
      <c r="A258" s="13">
        <f>IF('StockList_MS2'!A257="","",HYPERLINK("https://kabutan.jp/stock/?code="&amp;'StockList_MS2'!A257,'StockList_MS2'!A257))</f>
        <v/>
      </c>
      <c r="B258" s="14" t="n"/>
      <c r="C258" s="14" t="n"/>
      <c r="D258" s="14" t="n"/>
      <c r="E258" s="14" t="n"/>
      <c r="F258" s="15" t="n"/>
      <c r="G258" s="14" t="n"/>
      <c r="H258" s="14" t="n"/>
      <c r="I258" s="14" t="n"/>
      <c r="J258" s="16">
        <f>IF(B258="","",IF(B258&gt;I258,"BUY-DAY","SELL-DAY"))</f>
        <v/>
      </c>
      <c r="K258" s="17">
        <f>IF(B258="","",MAX(C258-D258,ABS(C258-I258),ABS(D258-I258)))</f>
        <v/>
      </c>
      <c r="L258" s="16">
        <f>IF(B258="","",IF(AND(F258&gt;0,F258&gt;(F258/3)*2.5),"VOL-OK","VOL-NG"))</f>
        <v/>
      </c>
      <c r="M258" s="16">
        <f>IF(B258="","",IF(B258&gt;G258,"ON","OFF"))</f>
        <v/>
      </c>
      <c r="N258" s="16">
        <f>IF(B258="","",IF(B258&lt;H258,"ON","OFF"))</f>
        <v/>
      </c>
      <c r="O258" s="16">
        <f>IF(OR(B258="",K258&lt;=0),"",IF(AND(J258="BUY-DAY",L258="VOL-OK",N258="ON",X258="OK",Y258&lt;&gt;"DOWN"),"BUY",IF(AND(J258="SELL-DAY",L258="VOL-OK",M258="ON",X258="OK",Y258&lt;&gt;"UP"),"SELL","")))</f>
        <v/>
      </c>
      <c r="P258" s="17">
        <f>IF(O258="","",B258)</f>
        <v/>
      </c>
      <c r="Q258" s="17">
        <f>IF(O258="","",IF(O258="BUY",B258-K258*1.5,B258+K258*1.5))</f>
        <v/>
      </c>
      <c r="R258" s="17">
        <f>IF(O258="","",IF(O258="BUY",B258+K258*1.5,B258-K258*1.5))</f>
        <v/>
      </c>
      <c r="S258" s="17">
        <f>IF(O258="","",IF(O258="BUY",B258+K258*2,B258-K258*2))</f>
        <v/>
      </c>
      <c r="T258" s="17">
        <f>IF(O258="","",IF(O258="BUY",B258+K258*3,B258-K258*3))</f>
        <v/>
      </c>
      <c r="U258" s="16">
        <f>IF(OR(B258="",K258&lt;=0),"",IF(AND(B258&gt;E258,ABS(B258-E258)&lt;K258*0.5),"2ND","1ST"))</f>
        <v/>
      </c>
      <c r="V258" s="16">
        <f>IF(OR(B258="",K258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8" s="16">
        <f>IF(OR(B258="",K258&lt;=0),"",IF(K258&gt;B258*0.05,"VOL-HIGH","VOL-NORMAL"))</f>
        <v/>
      </c>
      <c r="X258" s="16">
        <f>IF(OR(B258="",K258&lt;=0),"",IF(AND(L258="VOL-OK",W258="VOL-NORMAL",U258="2ND"),"OK","NG"))</f>
        <v/>
      </c>
      <c r="Y258" s="16">
        <f>IF(OR(B258="",K258&lt;=0),"",IF(AND(C258&gt;G258,D258&gt;H258),"UP",IF(AND(C258&lt;G258,D258&lt;H258),"DOWN","FLAT")))</f>
        <v/>
      </c>
    </row>
    <row r="259" ht="26" customHeight="1" s="1">
      <c r="A259" s="8">
        <f>IF('StockList_MS2'!A258="","",HYPERLINK("https://kabutan.jp/stock/?code="&amp;'StockList_MS2'!A258,'StockList_MS2'!A258))</f>
        <v/>
      </c>
      <c r="B259" s="9" t="n"/>
      <c r="C259" s="9" t="n"/>
      <c r="D259" s="9" t="n"/>
      <c r="E259" s="9" t="n"/>
      <c r="F259" s="10" t="n"/>
      <c r="G259" s="9" t="n"/>
      <c r="H259" s="9" t="n"/>
      <c r="I259" s="9" t="n"/>
      <c r="J259" s="11">
        <f>IF(B259="","",IF(B259&gt;I259,"BUY-DAY","SELL-DAY"))</f>
        <v/>
      </c>
      <c r="K259" s="12">
        <f>IF(B259="","",MAX(C259-D259,ABS(C259-I259),ABS(D259-I259)))</f>
        <v/>
      </c>
      <c r="L259" s="11">
        <f>IF(B259="","",IF(AND(F259&gt;0,F259&gt;(F259/3)*2.5),"VOL-OK","VOL-NG"))</f>
        <v/>
      </c>
      <c r="M259" s="11">
        <f>IF(B259="","",IF(B259&gt;G259,"ON","OFF"))</f>
        <v/>
      </c>
      <c r="N259" s="11">
        <f>IF(B259="","",IF(B259&lt;H259,"ON","OFF"))</f>
        <v/>
      </c>
      <c r="O259" s="11">
        <f>IF(OR(B259="",K259&lt;=0),"",IF(AND(J259="BUY-DAY",L259="VOL-OK",N259="ON",X259="OK",Y259&lt;&gt;"DOWN"),"BUY",IF(AND(J259="SELL-DAY",L259="VOL-OK",M259="ON",X259="OK",Y259&lt;&gt;"UP"),"SELL","")))</f>
        <v/>
      </c>
      <c r="P259" s="12">
        <f>IF(O259="","",B259)</f>
        <v/>
      </c>
      <c r="Q259" s="12">
        <f>IF(O259="","",IF(O259="BUY",B259-K259*1.5,B259+K259*1.5))</f>
        <v/>
      </c>
      <c r="R259" s="12">
        <f>IF(O259="","",IF(O259="BUY",B259+K259*1.5,B259-K259*1.5))</f>
        <v/>
      </c>
      <c r="S259" s="12">
        <f>IF(O259="","",IF(O259="BUY",B259+K259*2,B259-K259*2))</f>
        <v/>
      </c>
      <c r="T259" s="12">
        <f>IF(O259="","",IF(O259="BUY",B259+K259*3,B259-K259*3))</f>
        <v/>
      </c>
      <c r="U259" s="11">
        <f>IF(OR(B259="",K259&lt;=0),"",IF(AND(B259&gt;E259,ABS(B259-E259)&lt;K259*0.5),"2ND","1ST"))</f>
        <v/>
      </c>
      <c r="V259" s="11">
        <f>IF(OR(B259="",K259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9" s="11">
        <f>IF(OR(B259="",K259&lt;=0),"",IF(K259&gt;B259*0.05,"VOL-HIGH","VOL-NORMAL"))</f>
        <v/>
      </c>
      <c r="X259" s="11">
        <f>IF(OR(B259="",K259&lt;=0),"",IF(AND(L259="VOL-OK",W259="VOL-NORMAL",U259="2ND"),"OK","NG"))</f>
        <v/>
      </c>
      <c r="Y259" s="11">
        <f>IF(OR(B259="",K259&lt;=0),"",IF(AND(C259&gt;G259,D259&gt;H259),"UP",IF(AND(C259&lt;G259,D259&lt;H259),"DOWN","FLAT")))</f>
        <v/>
      </c>
    </row>
    <row r="260" ht="26" customHeight="1" s="1">
      <c r="A260" s="13">
        <f>IF('StockList_MS2'!A259="","",HYPERLINK("https://kabutan.jp/stock/?code="&amp;'StockList_MS2'!A259,'StockList_MS2'!A259))</f>
        <v/>
      </c>
      <c r="B260" s="14" t="n"/>
      <c r="C260" s="14" t="n"/>
      <c r="D260" s="14" t="n"/>
      <c r="E260" s="14" t="n"/>
      <c r="F260" s="15" t="n"/>
      <c r="G260" s="14" t="n"/>
      <c r="H260" s="14" t="n"/>
      <c r="I260" s="14" t="n"/>
      <c r="J260" s="16">
        <f>IF(B260="","",IF(B260&gt;I260,"BUY-DAY","SELL-DAY"))</f>
        <v/>
      </c>
      <c r="K260" s="17">
        <f>IF(B260="","",MAX(C260-D260,ABS(C260-I260),ABS(D260-I260)))</f>
        <v/>
      </c>
      <c r="L260" s="16">
        <f>IF(B260="","",IF(AND(F260&gt;0,F260&gt;(F260/3)*2.5),"VOL-OK","VOL-NG"))</f>
        <v/>
      </c>
      <c r="M260" s="16">
        <f>IF(B260="","",IF(B260&gt;G260,"ON","OFF"))</f>
        <v/>
      </c>
      <c r="N260" s="16">
        <f>IF(B260="","",IF(B260&lt;H260,"ON","OFF"))</f>
        <v/>
      </c>
      <c r="O260" s="16">
        <f>IF(OR(B260="",K260&lt;=0),"",IF(AND(J260="BUY-DAY",L260="VOL-OK",N260="ON",X260="OK",Y260&lt;&gt;"DOWN"),"BUY",IF(AND(J260="SELL-DAY",L260="VOL-OK",M260="ON",X260="OK",Y260&lt;&gt;"UP"),"SELL","")))</f>
        <v/>
      </c>
      <c r="P260" s="17">
        <f>IF(O260="","",B260)</f>
        <v/>
      </c>
      <c r="Q260" s="17">
        <f>IF(O260="","",IF(O260="BUY",B260-K260*1.5,B260+K260*1.5))</f>
        <v/>
      </c>
      <c r="R260" s="17">
        <f>IF(O260="","",IF(O260="BUY",B260+K260*1.5,B260-K260*1.5))</f>
        <v/>
      </c>
      <c r="S260" s="17">
        <f>IF(O260="","",IF(O260="BUY",B260+K260*2,B260-K260*2))</f>
        <v/>
      </c>
      <c r="T260" s="17">
        <f>IF(O260="","",IF(O260="BUY",B260+K260*3,B260-K260*3))</f>
        <v/>
      </c>
      <c r="U260" s="16">
        <f>IF(OR(B260="",K260&lt;=0),"",IF(AND(B260&gt;E260,ABS(B260-E260)&lt;K260*0.5),"2ND","1ST"))</f>
        <v/>
      </c>
      <c r="V260" s="16">
        <f>IF(OR(B260="",K260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0" s="16">
        <f>IF(OR(B260="",K260&lt;=0),"",IF(K260&gt;B260*0.05,"VOL-HIGH","VOL-NORMAL"))</f>
        <v/>
      </c>
      <c r="X260" s="16">
        <f>IF(OR(B260="",K260&lt;=0),"",IF(AND(L260="VOL-OK",W260="VOL-NORMAL",U260="2ND"),"OK","NG"))</f>
        <v/>
      </c>
      <c r="Y260" s="16">
        <f>IF(OR(B260="",K260&lt;=0),"",IF(AND(C260&gt;G260,D260&gt;H260),"UP",IF(AND(C260&lt;G260,D260&lt;H260),"DOWN","FLAT")))</f>
        <v/>
      </c>
    </row>
    <row r="261" ht="26" customHeight="1" s="1">
      <c r="A261" s="8">
        <f>IF('StockList_MS2'!A260="","",HYPERLINK("https://kabutan.jp/stock/?code="&amp;'StockList_MS2'!A260,'StockList_MS2'!A260))</f>
        <v/>
      </c>
      <c r="B261" s="9" t="n"/>
      <c r="C261" s="9" t="n"/>
      <c r="D261" s="9" t="n"/>
      <c r="E261" s="9" t="n"/>
      <c r="F261" s="10" t="n"/>
      <c r="G261" s="9" t="n"/>
      <c r="H261" s="9" t="n"/>
      <c r="I261" s="9" t="n"/>
      <c r="J261" s="11">
        <f>IF(B261="","",IF(B261&gt;I261,"BUY-DAY","SELL-DAY"))</f>
        <v/>
      </c>
      <c r="K261" s="12">
        <f>IF(B261="","",MAX(C261-D261,ABS(C261-I261),ABS(D261-I261)))</f>
        <v/>
      </c>
      <c r="L261" s="11">
        <f>IF(B261="","",IF(AND(F261&gt;0,F261&gt;(F261/3)*2.5),"VOL-OK","VOL-NG"))</f>
        <v/>
      </c>
      <c r="M261" s="11">
        <f>IF(B261="","",IF(B261&gt;G261,"ON","OFF"))</f>
        <v/>
      </c>
      <c r="N261" s="11">
        <f>IF(B261="","",IF(B261&lt;H261,"ON","OFF"))</f>
        <v/>
      </c>
      <c r="O261" s="11">
        <f>IF(OR(B261="",K261&lt;=0),"",IF(AND(J261="BUY-DAY",L261="VOL-OK",N261="ON",X261="OK",Y261&lt;&gt;"DOWN"),"BUY",IF(AND(J261="SELL-DAY",L261="VOL-OK",M261="ON",X261="OK",Y261&lt;&gt;"UP"),"SELL","")))</f>
        <v/>
      </c>
      <c r="P261" s="12">
        <f>IF(O261="","",B261)</f>
        <v/>
      </c>
      <c r="Q261" s="12">
        <f>IF(O261="","",IF(O261="BUY",B261-K261*1.5,B261+K261*1.5))</f>
        <v/>
      </c>
      <c r="R261" s="12">
        <f>IF(O261="","",IF(O261="BUY",B261+K261*1.5,B261-K261*1.5))</f>
        <v/>
      </c>
      <c r="S261" s="12">
        <f>IF(O261="","",IF(O261="BUY",B261+K261*2,B261-K261*2))</f>
        <v/>
      </c>
      <c r="T261" s="12">
        <f>IF(O261="","",IF(O261="BUY",B261+K261*3,B261-K261*3))</f>
        <v/>
      </c>
      <c r="U261" s="11">
        <f>IF(OR(B261="",K261&lt;=0),"",IF(AND(B261&gt;E261,ABS(B261-E261)&lt;K261*0.5),"2ND","1ST"))</f>
        <v/>
      </c>
      <c r="V261" s="11">
        <f>IF(OR(B261="",K261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1" s="11">
        <f>IF(OR(B261="",K261&lt;=0),"",IF(K261&gt;B261*0.05,"VOL-HIGH","VOL-NORMAL"))</f>
        <v/>
      </c>
      <c r="X261" s="11">
        <f>IF(OR(B261="",K261&lt;=0),"",IF(AND(L261="VOL-OK",W261="VOL-NORMAL",U261="2ND"),"OK","NG"))</f>
        <v/>
      </c>
      <c r="Y261" s="11">
        <f>IF(OR(B261="",K261&lt;=0),"",IF(AND(C261&gt;G261,D261&gt;H261),"UP",IF(AND(C261&lt;G261,D261&lt;H261),"DOWN","FLAT")))</f>
        <v/>
      </c>
    </row>
    <row r="262" ht="26" customHeight="1" s="1">
      <c r="A262" s="13">
        <f>IF('StockList_MS2'!A261="","",HYPERLINK("https://kabutan.jp/stock/?code="&amp;'StockList_MS2'!A261,'StockList_MS2'!A261))</f>
        <v/>
      </c>
      <c r="B262" s="14" t="n"/>
      <c r="C262" s="14" t="n"/>
      <c r="D262" s="14" t="n"/>
      <c r="E262" s="14" t="n"/>
      <c r="F262" s="15" t="n"/>
      <c r="G262" s="14" t="n"/>
      <c r="H262" s="14" t="n"/>
      <c r="I262" s="14" t="n"/>
      <c r="J262" s="16">
        <f>IF(B262="","",IF(B262&gt;I262,"BUY-DAY","SELL-DAY"))</f>
        <v/>
      </c>
      <c r="K262" s="17">
        <f>IF(B262="","",MAX(C262-D262,ABS(C262-I262),ABS(D262-I262)))</f>
        <v/>
      </c>
      <c r="L262" s="16">
        <f>IF(B262="","",IF(AND(F262&gt;0,F262&gt;(F262/3)*2.5),"VOL-OK","VOL-NG"))</f>
        <v/>
      </c>
      <c r="M262" s="16">
        <f>IF(B262="","",IF(B262&gt;G262,"ON","OFF"))</f>
        <v/>
      </c>
      <c r="N262" s="16">
        <f>IF(B262="","",IF(B262&lt;H262,"ON","OFF"))</f>
        <v/>
      </c>
      <c r="O262" s="16">
        <f>IF(OR(B262="",K262&lt;=0),"",IF(AND(J262="BUY-DAY",L262="VOL-OK",N262="ON",X262="OK",Y262&lt;&gt;"DOWN"),"BUY",IF(AND(J262="SELL-DAY",L262="VOL-OK",M262="ON",X262="OK",Y262&lt;&gt;"UP"),"SELL","")))</f>
        <v/>
      </c>
      <c r="P262" s="17">
        <f>IF(O262="","",B262)</f>
        <v/>
      </c>
      <c r="Q262" s="17">
        <f>IF(O262="","",IF(O262="BUY",B262-K262*1.5,B262+K262*1.5))</f>
        <v/>
      </c>
      <c r="R262" s="17">
        <f>IF(O262="","",IF(O262="BUY",B262+K262*1.5,B262-K262*1.5))</f>
        <v/>
      </c>
      <c r="S262" s="17">
        <f>IF(O262="","",IF(O262="BUY",B262+K262*2,B262-K262*2))</f>
        <v/>
      </c>
      <c r="T262" s="17">
        <f>IF(O262="","",IF(O262="BUY",B262+K262*3,B262-K262*3))</f>
        <v/>
      </c>
      <c r="U262" s="16">
        <f>IF(OR(B262="",K262&lt;=0),"",IF(AND(B262&gt;E262,ABS(B262-E262)&lt;K262*0.5),"2ND","1ST"))</f>
        <v/>
      </c>
      <c r="V262" s="16">
        <f>IF(OR(B262="",K262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2" s="16">
        <f>IF(OR(B262="",K262&lt;=0),"",IF(K262&gt;B262*0.05,"VOL-HIGH","VOL-NORMAL"))</f>
        <v/>
      </c>
      <c r="X262" s="16">
        <f>IF(OR(B262="",K262&lt;=0),"",IF(AND(L262="VOL-OK",W262="VOL-NORMAL",U262="2ND"),"OK","NG"))</f>
        <v/>
      </c>
      <c r="Y262" s="16">
        <f>IF(OR(B262="",K262&lt;=0),"",IF(AND(C262&gt;G262,D262&gt;H262),"UP",IF(AND(C262&lt;G262,D262&lt;H262),"DOWN","FLAT")))</f>
        <v/>
      </c>
    </row>
    <row r="263" ht="26" customHeight="1" s="1">
      <c r="A263" s="8">
        <f>IF('StockList_MS2'!A262="","",HYPERLINK("https://kabutan.jp/stock/?code="&amp;'StockList_MS2'!A262,'StockList_MS2'!A262))</f>
        <v/>
      </c>
      <c r="B263" s="9" t="n"/>
      <c r="C263" s="9" t="n"/>
      <c r="D263" s="9" t="n"/>
      <c r="E263" s="9" t="n"/>
      <c r="F263" s="10" t="n"/>
      <c r="G263" s="9" t="n"/>
      <c r="H263" s="9" t="n"/>
      <c r="I263" s="9" t="n"/>
      <c r="J263" s="11">
        <f>IF(B263="","",IF(B263&gt;I263,"BUY-DAY","SELL-DAY"))</f>
        <v/>
      </c>
      <c r="K263" s="12">
        <f>IF(B263="","",MAX(C263-D263,ABS(C263-I263),ABS(D263-I263)))</f>
        <v/>
      </c>
      <c r="L263" s="11">
        <f>IF(B263="","",IF(AND(F263&gt;0,F263&gt;(F263/3)*2.5),"VOL-OK","VOL-NG"))</f>
        <v/>
      </c>
      <c r="M263" s="11">
        <f>IF(B263="","",IF(B263&gt;G263,"ON","OFF"))</f>
        <v/>
      </c>
      <c r="N263" s="11">
        <f>IF(B263="","",IF(B263&lt;H263,"ON","OFF"))</f>
        <v/>
      </c>
      <c r="O263" s="11">
        <f>IF(OR(B263="",K263&lt;=0),"",IF(AND(J263="BUY-DAY",L263="VOL-OK",N263="ON",X263="OK",Y263&lt;&gt;"DOWN"),"BUY",IF(AND(J263="SELL-DAY",L263="VOL-OK",M263="ON",X263="OK",Y263&lt;&gt;"UP"),"SELL","")))</f>
        <v/>
      </c>
      <c r="P263" s="12">
        <f>IF(O263="","",B263)</f>
        <v/>
      </c>
      <c r="Q263" s="12">
        <f>IF(O263="","",IF(O263="BUY",B263-K263*1.5,B263+K263*1.5))</f>
        <v/>
      </c>
      <c r="R263" s="12">
        <f>IF(O263="","",IF(O263="BUY",B263+K263*1.5,B263-K263*1.5))</f>
        <v/>
      </c>
      <c r="S263" s="12">
        <f>IF(O263="","",IF(O263="BUY",B263+K263*2,B263-K263*2))</f>
        <v/>
      </c>
      <c r="T263" s="12">
        <f>IF(O263="","",IF(O263="BUY",B263+K263*3,B263-K263*3))</f>
        <v/>
      </c>
      <c r="U263" s="11">
        <f>IF(OR(B263="",K263&lt;=0),"",IF(AND(B263&gt;E263,ABS(B263-E263)&lt;K263*0.5),"2ND","1ST"))</f>
        <v/>
      </c>
      <c r="V263" s="11">
        <f>IF(OR(B263="",K263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3" s="11">
        <f>IF(OR(B263="",K263&lt;=0),"",IF(K263&gt;B263*0.05,"VOL-HIGH","VOL-NORMAL"))</f>
        <v/>
      </c>
      <c r="X263" s="11">
        <f>IF(OR(B263="",K263&lt;=0),"",IF(AND(L263="VOL-OK",W263="VOL-NORMAL",U263="2ND"),"OK","NG"))</f>
        <v/>
      </c>
      <c r="Y263" s="11">
        <f>IF(OR(B263="",K263&lt;=0),"",IF(AND(C263&gt;G263,D263&gt;H263),"UP",IF(AND(C263&lt;G263,D263&lt;H263),"DOWN","FLAT")))</f>
        <v/>
      </c>
    </row>
    <row r="264" ht="26" customHeight="1" s="1">
      <c r="A264" s="13">
        <f>IF('StockList_MS2'!A263="","",HYPERLINK("https://kabutan.jp/stock/?code="&amp;'StockList_MS2'!A263,'StockList_MS2'!A263))</f>
        <v/>
      </c>
      <c r="B264" s="14" t="n"/>
      <c r="C264" s="14" t="n"/>
      <c r="D264" s="14" t="n"/>
      <c r="E264" s="14" t="n"/>
      <c r="F264" s="15" t="n"/>
      <c r="G264" s="14" t="n"/>
      <c r="H264" s="14" t="n"/>
      <c r="I264" s="14" t="n"/>
      <c r="J264" s="16">
        <f>IF(B264="","",IF(B264&gt;I264,"BUY-DAY","SELL-DAY"))</f>
        <v/>
      </c>
      <c r="K264" s="17">
        <f>IF(B264="","",MAX(C264-D264,ABS(C264-I264),ABS(D264-I264)))</f>
        <v/>
      </c>
      <c r="L264" s="16">
        <f>IF(B264="","",IF(AND(F264&gt;0,F264&gt;(F264/3)*2.5),"VOL-OK","VOL-NG"))</f>
        <v/>
      </c>
      <c r="M264" s="16">
        <f>IF(B264="","",IF(B264&gt;G264,"ON","OFF"))</f>
        <v/>
      </c>
      <c r="N264" s="16">
        <f>IF(B264="","",IF(B264&lt;H264,"ON","OFF"))</f>
        <v/>
      </c>
      <c r="O264" s="16">
        <f>IF(OR(B264="",K264&lt;=0),"",IF(AND(J264="BUY-DAY",L264="VOL-OK",N264="ON",X264="OK",Y264&lt;&gt;"DOWN"),"BUY",IF(AND(J264="SELL-DAY",L264="VOL-OK",M264="ON",X264="OK",Y264&lt;&gt;"UP"),"SELL","")))</f>
        <v/>
      </c>
      <c r="P264" s="17">
        <f>IF(O264="","",B264)</f>
        <v/>
      </c>
      <c r="Q264" s="17">
        <f>IF(O264="","",IF(O264="BUY",B264-K264*1.5,B264+K264*1.5))</f>
        <v/>
      </c>
      <c r="R264" s="17">
        <f>IF(O264="","",IF(O264="BUY",B264+K264*1.5,B264-K264*1.5))</f>
        <v/>
      </c>
      <c r="S264" s="17">
        <f>IF(O264="","",IF(O264="BUY",B264+K264*2,B264-K264*2))</f>
        <v/>
      </c>
      <c r="T264" s="17">
        <f>IF(O264="","",IF(O264="BUY",B264+K264*3,B264-K264*3))</f>
        <v/>
      </c>
      <c r="U264" s="16">
        <f>IF(OR(B264="",K264&lt;=0),"",IF(AND(B264&gt;E264,ABS(B264-E264)&lt;K264*0.5),"2ND","1ST"))</f>
        <v/>
      </c>
      <c r="V264" s="16">
        <f>IF(OR(B264="",K264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4" s="16">
        <f>IF(OR(B264="",K264&lt;=0),"",IF(K264&gt;B264*0.05,"VOL-HIGH","VOL-NORMAL"))</f>
        <v/>
      </c>
      <c r="X264" s="16">
        <f>IF(OR(B264="",K264&lt;=0),"",IF(AND(L264="VOL-OK",W264="VOL-NORMAL",U264="2ND"),"OK","NG"))</f>
        <v/>
      </c>
      <c r="Y264" s="16">
        <f>IF(OR(B264="",K264&lt;=0),"",IF(AND(C264&gt;G264,D264&gt;H264),"UP",IF(AND(C264&lt;G264,D264&lt;H264),"DOWN","FLAT")))</f>
        <v/>
      </c>
    </row>
    <row r="265" ht="26" customHeight="1" s="1">
      <c r="A265" s="8">
        <f>IF('StockList_MS2'!A264="","",HYPERLINK("https://kabutan.jp/stock/?code="&amp;'StockList_MS2'!A264,'StockList_MS2'!A264))</f>
        <v/>
      </c>
      <c r="B265" s="9" t="n"/>
      <c r="C265" s="9" t="n"/>
      <c r="D265" s="9" t="n"/>
      <c r="E265" s="9" t="n"/>
      <c r="F265" s="10" t="n"/>
      <c r="G265" s="9" t="n"/>
      <c r="H265" s="9" t="n"/>
      <c r="I265" s="9" t="n"/>
      <c r="J265" s="11">
        <f>IF(B265="","",IF(B265&gt;I265,"BUY-DAY","SELL-DAY"))</f>
        <v/>
      </c>
      <c r="K265" s="12">
        <f>IF(B265="","",MAX(C265-D265,ABS(C265-I265),ABS(D265-I265)))</f>
        <v/>
      </c>
      <c r="L265" s="11">
        <f>IF(B265="","",IF(AND(F265&gt;0,F265&gt;(F265/3)*2.5),"VOL-OK","VOL-NG"))</f>
        <v/>
      </c>
      <c r="M265" s="11">
        <f>IF(B265="","",IF(B265&gt;G265,"ON","OFF"))</f>
        <v/>
      </c>
      <c r="N265" s="11">
        <f>IF(B265="","",IF(B265&lt;H265,"ON","OFF"))</f>
        <v/>
      </c>
      <c r="O265" s="11">
        <f>IF(OR(B265="",K265&lt;=0),"",IF(AND(J265="BUY-DAY",L265="VOL-OK",N265="ON",X265="OK",Y265&lt;&gt;"DOWN"),"BUY",IF(AND(J265="SELL-DAY",L265="VOL-OK",M265="ON",X265="OK",Y265&lt;&gt;"UP"),"SELL","")))</f>
        <v/>
      </c>
      <c r="P265" s="12">
        <f>IF(O265="","",B265)</f>
        <v/>
      </c>
      <c r="Q265" s="12">
        <f>IF(O265="","",IF(O265="BUY",B265-K265*1.5,B265+K265*1.5))</f>
        <v/>
      </c>
      <c r="R265" s="12">
        <f>IF(O265="","",IF(O265="BUY",B265+K265*1.5,B265-K265*1.5))</f>
        <v/>
      </c>
      <c r="S265" s="12">
        <f>IF(O265="","",IF(O265="BUY",B265+K265*2,B265-K265*2))</f>
        <v/>
      </c>
      <c r="T265" s="12">
        <f>IF(O265="","",IF(O265="BUY",B265+K265*3,B265-K265*3))</f>
        <v/>
      </c>
      <c r="U265" s="11">
        <f>IF(OR(B265="",K265&lt;=0),"",IF(AND(B265&gt;E265,ABS(B265-E265)&lt;K265*0.5),"2ND","1ST"))</f>
        <v/>
      </c>
      <c r="V265" s="11">
        <f>IF(OR(B265="",K265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5" s="11">
        <f>IF(OR(B265="",K265&lt;=0),"",IF(K265&gt;B265*0.05,"VOL-HIGH","VOL-NORMAL"))</f>
        <v/>
      </c>
      <c r="X265" s="11">
        <f>IF(OR(B265="",K265&lt;=0),"",IF(AND(L265="VOL-OK",W265="VOL-NORMAL",U265="2ND"),"OK","NG"))</f>
        <v/>
      </c>
      <c r="Y265" s="11">
        <f>IF(OR(B265="",K265&lt;=0),"",IF(AND(C265&gt;G265,D265&gt;H265),"UP",IF(AND(C265&lt;G265,D265&lt;H265),"DOWN","FLAT")))</f>
        <v/>
      </c>
    </row>
    <row r="266" ht="26" customHeight="1" s="1">
      <c r="A266" s="13">
        <f>IF('StockList_MS2'!A265="","",HYPERLINK("https://kabutan.jp/stock/?code="&amp;'StockList_MS2'!A265,'StockList_MS2'!A265))</f>
        <v/>
      </c>
      <c r="B266" s="14" t="n"/>
      <c r="C266" s="14" t="n"/>
      <c r="D266" s="14" t="n"/>
      <c r="E266" s="14" t="n"/>
      <c r="F266" s="15" t="n"/>
      <c r="G266" s="14" t="n"/>
      <c r="H266" s="14" t="n"/>
      <c r="I266" s="14" t="n"/>
      <c r="J266" s="16">
        <f>IF(B266="","",IF(B266&gt;I266,"BUY-DAY","SELL-DAY"))</f>
        <v/>
      </c>
      <c r="K266" s="17">
        <f>IF(B266="","",MAX(C266-D266,ABS(C266-I266),ABS(D266-I266)))</f>
        <v/>
      </c>
      <c r="L266" s="16">
        <f>IF(B266="","",IF(AND(F266&gt;0,F266&gt;(F266/3)*2.5),"VOL-OK","VOL-NG"))</f>
        <v/>
      </c>
      <c r="M266" s="16">
        <f>IF(B266="","",IF(B266&gt;G266,"ON","OFF"))</f>
        <v/>
      </c>
      <c r="N266" s="16">
        <f>IF(B266="","",IF(B266&lt;H266,"ON","OFF"))</f>
        <v/>
      </c>
      <c r="O266" s="16">
        <f>IF(OR(B266="",K266&lt;=0),"",IF(AND(J266="BUY-DAY",L266="VOL-OK",N266="ON",X266="OK",Y266&lt;&gt;"DOWN"),"BUY",IF(AND(J266="SELL-DAY",L266="VOL-OK",M266="ON",X266="OK",Y266&lt;&gt;"UP"),"SELL","")))</f>
        <v/>
      </c>
      <c r="P266" s="17">
        <f>IF(O266="","",B266)</f>
        <v/>
      </c>
      <c r="Q266" s="17">
        <f>IF(O266="","",IF(O266="BUY",B266-K266*1.5,B266+K266*1.5))</f>
        <v/>
      </c>
      <c r="R266" s="17">
        <f>IF(O266="","",IF(O266="BUY",B266+K266*1.5,B266-K266*1.5))</f>
        <v/>
      </c>
      <c r="S266" s="17">
        <f>IF(O266="","",IF(O266="BUY",B266+K266*2,B266-K266*2))</f>
        <v/>
      </c>
      <c r="T266" s="17">
        <f>IF(O266="","",IF(O266="BUY",B266+K266*3,B266-K266*3))</f>
        <v/>
      </c>
      <c r="U266" s="16">
        <f>IF(OR(B266="",K266&lt;=0),"",IF(AND(B266&gt;E266,ABS(B266-E266)&lt;K266*0.5),"2ND","1ST"))</f>
        <v/>
      </c>
      <c r="V266" s="16">
        <f>IF(OR(B266="",K266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6" s="16">
        <f>IF(OR(B266="",K266&lt;=0),"",IF(K266&gt;B266*0.05,"VOL-HIGH","VOL-NORMAL"))</f>
        <v/>
      </c>
      <c r="X266" s="16">
        <f>IF(OR(B266="",K266&lt;=0),"",IF(AND(L266="VOL-OK",W266="VOL-NORMAL",U266="2ND"),"OK","NG"))</f>
        <v/>
      </c>
      <c r="Y266" s="16">
        <f>IF(OR(B266="",K266&lt;=0),"",IF(AND(C266&gt;G266,D266&gt;H266),"UP",IF(AND(C266&lt;G266,D266&lt;H266),"DOWN","FLAT")))</f>
        <v/>
      </c>
    </row>
    <row r="267" ht="26" customHeight="1" s="1">
      <c r="A267" s="8">
        <f>IF('StockList_MS2'!A266="","",HYPERLINK("https://kabutan.jp/stock/?code="&amp;'StockList_MS2'!A266,'StockList_MS2'!A266))</f>
        <v/>
      </c>
      <c r="B267" s="9" t="n"/>
      <c r="C267" s="9" t="n"/>
      <c r="D267" s="9" t="n"/>
      <c r="E267" s="9" t="n"/>
      <c r="F267" s="10" t="n"/>
      <c r="G267" s="9" t="n"/>
      <c r="H267" s="9" t="n"/>
      <c r="I267" s="9" t="n"/>
      <c r="J267" s="11">
        <f>IF(B267="","",IF(B267&gt;I267,"BUY-DAY","SELL-DAY"))</f>
        <v/>
      </c>
      <c r="K267" s="12">
        <f>IF(B267="","",MAX(C267-D267,ABS(C267-I267),ABS(D267-I267)))</f>
        <v/>
      </c>
      <c r="L267" s="11">
        <f>IF(B267="","",IF(AND(F267&gt;0,F267&gt;(F267/3)*2.5),"VOL-OK","VOL-NG"))</f>
        <v/>
      </c>
      <c r="M267" s="11">
        <f>IF(B267="","",IF(B267&gt;G267,"ON","OFF"))</f>
        <v/>
      </c>
      <c r="N267" s="11">
        <f>IF(B267="","",IF(B267&lt;H267,"ON","OFF"))</f>
        <v/>
      </c>
      <c r="O267" s="11">
        <f>IF(OR(B267="",K267&lt;=0),"",IF(AND(J267="BUY-DAY",L267="VOL-OK",N267="ON",X267="OK",Y267&lt;&gt;"DOWN"),"BUY",IF(AND(J267="SELL-DAY",L267="VOL-OK",M267="ON",X267="OK",Y267&lt;&gt;"UP"),"SELL","")))</f>
        <v/>
      </c>
      <c r="P267" s="12">
        <f>IF(O267="","",B267)</f>
        <v/>
      </c>
      <c r="Q267" s="12">
        <f>IF(O267="","",IF(O267="BUY",B267-K267*1.5,B267+K267*1.5))</f>
        <v/>
      </c>
      <c r="R267" s="12">
        <f>IF(O267="","",IF(O267="BUY",B267+K267*1.5,B267-K267*1.5))</f>
        <v/>
      </c>
      <c r="S267" s="12">
        <f>IF(O267="","",IF(O267="BUY",B267+K267*2,B267-K267*2))</f>
        <v/>
      </c>
      <c r="T267" s="12">
        <f>IF(O267="","",IF(O267="BUY",B267+K267*3,B267-K267*3))</f>
        <v/>
      </c>
      <c r="U267" s="11">
        <f>IF(OR(B267="",K267&lt;=0),"",IF(AND(B267&gt;E267,ABS(B267-E267)&lt;K267*0.5),"2ND","1ST"))</f>
        <v/>
      </c>
      <c r="V267" s="11">
        <f>IF(OR(B267="",K267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7" s="11">
        <f>IF(OR(B267="",K267&lt;=0),"",IF(K267&gt;B267*0.05,"VOL-HIGH","VOL-NORMAL"))</f>
        <v/>
      </c>
      <c r="X267" s="11">
        <f>IF(OR(B267="",K267&lt;=0),"",IF(AND(L267="VOL-OK",W267="VOL-NORMAL",U267="2ND"),"OK","NG"))</f>
        <v/>
      </c>
      <c r="Y267" s="11">
        <f>IF(OR(B267="",K267&lt;=0),"",IF(AND(C267&gt;G267,D267&gt;H267),"UP",IF(AND(C267&lt;G267,D267&lt;H267),"DOWN","FLAT")))</f>
        <v/>
      </c>
    </row>
    <row r="268" ht="26" customHeight="1" s="1">
      <c r="A268" s="13">
        <f>IF('StockList_MS2'!A267="","",HYPERLINK("https://kabutan.jp/stock/?code="&amp;'StockList_MS2'!A267,'StockList_MS2'!A267))</f>
        <v/>
      </c>
      <c r="B268" s="14" t="n"/>
      <c r="C268" s="14" t="n"/>
      <c r="D268" s="14" t="n"/>
      <c r="E268" s="14" t="n"/>
      <c r="F268" s="15" t="n"/>
      <c r="G268" s="14" t="n"/>
      <c r="H268" s="14" t="n"/>
      <c r="I268" s="14" t="n"/>
      <c r="J268" s="16">
        <f>IF(B268="","",IF(B268&gt;I268,"BUY-DAY","SELL-DAY"))</f>
        <v/>
      </c>
      <c r="K268" s="17">
        <f>IF(B268="","",MAX(C268-D268,ABS(C268-I268),ABS(D268-I268)))</f>
        <v/>
      </c>
      <c r="L268" s="16">
        <f>IF(B268="","",IF(AND(F268&gt;0,F268&gt;(F268/3)*2.5),"VOL-OK","VOL-NG"))</f>
        <v/>
      </c>
      <c r="M268" s="16">
        <f>IF(B268="","",IF(B268&gt;G268,"ON","OFF"))</f>
        <v/>
      </c>
      <c r="N268" s="16">
        <f>IF(B268="","",IF(B268&lt;H268,"ON","OFF"))</f>
        <v/>
      </c>
      <c r="O268" s="16">
        <f>IF(OR(B268="",K268&lt;=0),"",IF(AND(J268="BUY-DAY",L268="VOL-OK",N268="ON",X268="OK",Y268&lt;&gt;"DOWN"),"BUY",IF(AND(J268="SELL-DAY",L268="VOL-OK",M268="ON",X268="OK",Y268&lt;&gt;"UP"),"SELL","")))</f>
        <v/>
      </c>
      <c r="P268" s="17">
        <f>IF(O268="","",B268)</f>
        <v/>
      </c>
      <c r="Q268" s="17">
        <f>IF(O268="","",IF(O268="BUY",B268-K268*1.5,B268+K268*1.5))</f>
        <v/>
      </c>
      <c r="R268" s="17">
        <f>IF(O268="","",IF(O268="BUY",B268+K268*1.5,B268-K268*1.5))</f>
        <v/>
      </c>
      <c r="S268" s="17">
        <f>IF(O268="","",IF(O268="BUY",B268+K268*2,B268-K268*2))</f>
        <v/>
      </c>
      <c r="T268" s="17">
        <f>IF(O268="","",IF(O268="BUY",B268+K268*3,B268-K268*3))</f>
        <v/>
      </c>
      <c r="U268" s="16">
        <f>IF(OR(B268="",K268&lt;=0),"",IF(AND(B268&gt;E268,ABS(B268-E268)&lt;K268*0.5),"2ND","1ST"))</f>
        <v/>
      </c>
      <c r="V268" s="16">
        <f>IF(OR(B268="",K268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8" s="16">
        <f>IF(OR(B268="",K268&lt;=0),"",IF(K268&gt;B268*0.05,"VOL-HIGH","VOL-NORMAL"))</f>
        <v/>
      </c>
      <c r="X268" s="16">
        <f>IF(OR(B268="",K268&lt;=0),"",IF(AND(L268="VOL-OK",W268="VOL-NORMAL",U268="2ND"),"OK","NG"))</f>
        <v/>
      </c>
      <c r="Y268" s="16">
        <f>IF(OR(B268="",K268&lt;=0),"",IF(AND(C268&gt;G268,D268&gt;H268),"UP",IF(AND(C268&lt;G268,D268&lt;H268),"DOWN","FLAT")))</f>
        <v/>
      </c>
    </row>
    <row r="269" ht="26" customHeight="1" s="1">
      <c r="A269" s="8">
        <f>IF('StockList_MS2'!A268="","",HYPERLINK("https://kabutan.jp/stock/?code="&amp;'StockList_MS2'!A268,'StockList_MS2'!A268))</f>
        <v/>
      </c>
      <c r="B269" s="9" t="n"/>
      <c r="C269" s="9" t="n"/>
      <c r="D269" s="9" t="n"/>
      <c r="E269" s="9" t="n"/>
      <c r="F269" s="10" t="n"/>
      <c r="G269" s="9" t="n"/>
      <c r="H269" s="9" t="n"/>
      <c r="I269" s="9" t="n"/>
      <c r="J269" s="11">
        <f>IF(B269="","",IF(B269&gt;I269,"BUY-DAY","SELL-DAY"))</f>
        <v/>
      </c>
      <c r="K269" s="12">
        <f>IF(B269="","",MAX(C269-D269,ABS(C269-I269),ABS(D269-I269)))</f>
        <v/>
      </c>
      <c r="L269" s="11">
        <f>IF(B269="","",IF(AND(F269&gt;0,F269&gt;(F269/3)*2.5),"VOL-OK","VOL-NG"))</f>
        <v/>
      </c>
      <c r="M269" s="11">
        <f>IF(B269="","",IF(B269&gt;G269,"ON","OFF"))</f>
        <v/>
      </c>
      <c r="N269" s="11">
        <f>IF(B269="","",IF(B269&lt;H269,"ON","OFF"))</f>
        <v/>
      </c>
      <c r="O269" s="11">
        <f>IF(OR(B269="",K269&lt;=0),"",IF(AND(J269="BUY-DAY",L269="VOL-OK",N269="ON",X269="OK",Y269&lt;&gt;"DOWN"),"BUY",IF(AND(J269="SELL-DAY",L269="VOL-OK",M269="ON",X269="OK",Y269&lt;&gt;"UP"),"SELL","")))</f>
        <v/>
      </c>
      <c r="P269" s="12">
        <f>IF(O269="","",B269)</f>
        <v/>
      </c>
      <c r="Q269" s="12">
        <f>IF(O269="","",IF(O269="BUY",B269-K269*1.5,B269+K269*1.5))</f>
        <v/>
      </c>
      <c r="R269" s="12">
        <f>IF(O269="","",IF(O269="BUY",B269+K269*1.5,B269-K269*1.5))</f>
        <v/>
      </c>
      <c r="S269" s="12">
        <f>IF(O269="","",IF(O269="BUY",B269+K269*2,B269-K269*2))</f>
        <v/>
      </c>
      <c r="T269" s="12">
        <f>IF(O269="","",IF(O269="BUY",B269+K269*3,B269-K269*3))</f>
        <v/>
      </c>
      <c r="U269" s="11">
        <f>IF(OR(B269="",K269&lt;=0),"",IF(AND(B269&gt;E269,ABS(B269-E269)&lt;K269*0.5),"2ND","1ST"))</f>
        <v/>
      </c>
      <c r="V269" s="11">
        <f>IF(OR(B269="",K269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9" s="11">
        <f>IF(OR(B269="",K269&lt;=0),"",IF(K269&gt;B269*0.05,"VOL-HIGH","VOL-NORMAL"))</f>
        <v/>
      </c>
      <c r="X269" s="11">
        <f>IF(OR(B269="",K269&lt;=0),"",IF(AND(L269="VOL-OK",W269="VOL-NORMAL",U269="2ND"),"OK","NG"))</f>
        <v/>
      </c>
      <c r="Y269" s="11">
        <f>IF(OR(B269="",K269&lt;=0),"",IF(AND(C269&gt;G269,D269&gt;H269),"UP",IF(AND(C269&lt;G269,D269&lt;H269),"DOWN","FLAT")))</f>
        <v/>
      </c>
    </row>
    <row r="270" ht="26" customHeight="1" s="1">
      <c r="A270" s="13">
        <f>IF('StockList_MS2'!A269="","",HYPERLINK("https://kabutan.jp/stock/?code="&amp;'StockList_MS2'!A269,'StockList_MS2'!A269))</f>
        <v/>
      </c>
      <c r="B270" s="14" t="n"/>
      <c r="C270" s="14" t="n"/>
      <c r="D270" s="14" t="n"/>
      <c r="E270" s="14" t="n"/>
      <c r="F270" s="15" t="n"/>
      <c r="G270" s="14" t="n"/>
      <c r="H270" s="14" t="n"/>
      <c r="I270" s="14" t="n"/>
      <c r="J270" s="16">
        <f>IF(B270="","",IF(B270&gt;I270,"BUY-DAY","SELL-DAY"))</f>
        <v/>
      </c>
      <c r="K270" s="17">
        <f>IF(B270="","",MAX(C270-D270,ABS(C270-I270),ABS(D270-I270)))</f>
        <v/>
      </c>
      <c r="L270" s="16">
        <f>IF(B270="","",IF(AND(F270&gt;0,F270&gt;(F270/3)*2.5),"VOL-OK","VOL-NG"))</f>
        <v/>
      </c>
      <c r="M270" s="16">
        <f>IF(B270="","",IF(B270&gt;G270,"ON","OFF"))</f>
        <v/>
      </c>
      <c r="N270" s="16">
        <f>IF(B270="","",IF(B270&lt;H270,"ON","OFF"))</f>
        <v/>
      </c>
      <c r="O270" s="16">
        <f>IF(OR(B270="",K270&lt;=0),"",IF(AND(J270="BUY-DAY",L270="VOL-OK",N270="ON",X270="OK",Y270&lt;&gt;"DOWN"),"BUY",IF(AND(J270="SELL-DAY",L270="VOL-OK",M270="ON",X270="OK",Y270&lt;&gt;"UP"),"SELL","")))</f>
        <v/>
      </c>
      <c r="P270" s="17">
        <f>IF(O270="","",B270)</f>
        <v/>
      </c>
      <c r="Q270" s="17">
        <f>IF(O270="","",IF(O270="BUY",B270-K270*1.5,B270+K270*1.5))</f>
        <v/>
      </c>
      <c r="R270" s="17">
        <f>IF(O270="","",IF(O270="BUY",B270+K270*1.5,B270-K270*1.5))</f>
        <v/>
      </c>
      <c r="S270" s="17">
        <f>IF(O270="","",IF(O270="BUY",B270+K270*2,B270-K270*2))</f>
        <v/>
      </c>
      <c r="T270" s="17">
        <f>IF(O270="","",IF(O270="BUY",B270+K270*3,B270-K270*3))</f>
        <v/>
      </c>
      <c r="U270" s="16">
        <f>IF(OR(B270="",K270&lt;=0),"",IF(AND(B270&gt;E270,ABS(B270-E270)&lt;K270*0.5),"2ND","1ST"))</f>
        <v/>
      </c>
      <c r="V270" s="16">
        <f>IF(OR(B270="",K270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0" s="16">
        <f>IF(OR(B270="",K270&lt;=0),"",IF(K270&gt;B270*0.05,"VOL-HIGH","VOL-NORMAL"))</f>
        <v/>
      </c>
      <c r="X270" s="16">
        <f>IF(OR(B270="",K270&lt;=0),"",IF(AND(L270="VOL-OK",W270="VOL-NORMAL",U270="2ND"),"OK","NG"))</f>
        <v/>
      </c>
      <c r="Y270" s="16">
        <f>IF(OR(B270="",K270&lt;=0),"",IF(AND(C270&gt;G270,D270&gt;H270),"UP",IF(AND(C270&lt;G270,D270&lt;H270),"DOWN","FLAT")))</f>
        <v/>
      </c>
    </row>
    <row r="271" ht="26" customHeight="1" s="1">
      <c r="A271" s="8">
        <f>IF('StockList_MS2'!A270="","",HYPERLINK("https://kabutan.jp/stock/?code="&amp;'StockList_MS2'!A270,'StockList_MS2'!A270))</f>
        <v/>
      </c>
      <c r="B271" s="9" t="n"/>
      <c r="C271" s="9" t="n"/>
      <c r="D271" s="9" t="n"/>
      <c r="E271" s="9" t="n"/>
      <c r="F271" s="10" t="n"/>
      <c r="G271" s="9" t="n"/>
      <c r="H271" s="9" t="n"/>
      <c r="I271" s="9" t="n"/>
      <c r="J271" s="11">
        <f>IF(B271="","",IF(B271&gt;I271,"BUY-DAY","SELL-DAY"))</f>
        <v/>
      </c>
      <c r="K271" s="12">
        <f>IF(B271="","",MAX(C271-D271,ABS(C271-I271),ABS(D271-I271)))</f>
        <v/>
      </c>
      <c r="L271" s="11">
        <f>IF(B271="","",IF(AND(F271&gt;0,F271&gt;(F271/3)*2.5),"VOL-OK","VOL-NG"))</f>
        <v/>
      </c>
      <c r="M271" s="11">
        <f>IF(B271="","",IF(B271&gt;G271,"ON","OFF"))</f>
        <v/>
      </c>
      <c r="N271" s="11">
        <f>IF(B271="","",IF(B271&lt;H271,"ON","OFF"))</f>
        <v/>
      </c>
      <c r="O271" s="11">
        <f>IF(OR(B271="",K271&lt;=0),"",IF(AND(J271="BUY-DAY",L271="VOL-OK",N271="ON",X271="OK",Y271&lt;&gt;"DOWN"),"BUY",IF(AND(J271="SELL-DAY",L271="VOL-OK",M271="ON",X271="OK",Y271&lt;&gt;"UP"),"SELL","")))</f>
        <v/>
      </c>
      <c r="P271" s="12">
        <f>IF(O271="","",B271)</f>
        <v/>
      </c>
      <c r="Q271" s="12">
        <f>IF(O271="","",IF(O271="BUY",B271-K271*1.5,B271+K271*1.5))</f>
        <v/>
      </c>
      <c r="R271" s="12">
        <f>IF(O271="","",IF(O271="BUY",B271+K271*1.5,B271-K271*1.5))</f>
        <v/>
      </c>
      <c r="S271" s="12">
        <f>IF(O271="","",IF(O271="BUY",B271+K271*2,B271-K271*2))</f>
        <v/>
      </c>
      <c r="T271" s="12">
        <f>IF(O271="","",IF(O271="BUY",B271+K271*3,B271-K271*3))</f>
        <v/>
      </c>
      <c r="U271" s="11">
        <f>IF(OR(B271="",K271&lt;=0),"",IF(AND(B271&gt;E271,ABS(B271-E271)&lt;K271*0.5),"2ND","1ST"))</f>
        <v/>
      </c>
      <c r="V271" s="11">
        <f>IF(OR(B271="",K271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1" s="11">
        <f>IF(OR(B271="",K271&lt;=0),"",IF(K271&gt;B271*0.05,"VOL-HIGH","VOL-NORMAL"))</f>
        <v/>
      </c>
      <c r="X271" s="11">
        <f>IF(OR(B271="",K271&lt;=0),"",IF(AND(L271="VOL-OK",W271="VOL-NORMAL",U271="2ND"),"OK","NG"))</f>
        <v/>
      </c>
      <c r="Y271" s="11">
        <f>IF(OR(B271="",K271&lt;=0),"",IF(AND(C271&gt;G271,D271&gt;H271),"UP",IF(AND(C271&lt;G271,D271&lt;H271),"DOWN","FLAT")))</f>
        <v/>
      </c>
    </row>
    <row r="272" ht="26" customHeight="1" s="1">
      <c r="A272" s="13">
        <f>IF('StockList_MS2'!A271="","",HYPERLINK("https://kabutan.jp/stock/?code="&amp;'StockList_MS2'!A271,'StockList_MS2'!A271))</f>
        <v/>
      </c>
      <c r="B272" s="14" t="n"/>
      <c r="C272" s="14" t="n"/>
      <c r="D272" s="14" t="n"/>
      <c r="E272" s="14" t="n"/>
      <c r="F272" s="15" t="n"/>
      <c r="G272" s="14" t="n"/>
      <c r="H272" s="14" t="n"/>
      <c r="I272" s="14" t="n"/>
      <c r="J272" s="16">
        <f>IF(B272="","",IF(B272&gt;I272,"BUY-DAY","SELL-DAY"))</f>
        <v/>
      </c>
      <c r="K272" s="17">
        <f>IF(B272="","",MAX(C272-D272,ABS(C272-I272),ABS(D272-I272)))</f>
        <v/>
      </c>
      <c r="L272" s="16">
        <f>IF(B272="","",IF(AND(F272&gt;0,F272&gt;(F272/3)*2.5),"VOL-OK","VOL-NG"))</f>
        <v/>
      </c>
      <c r="M272" s="16">
        <f>IF(B272="","",IF(B272&gt;G272,"ON","OFF"))</f>
        <v/>
      </c>
      <c r="N272" s="16">
        <f>IF(B272="","",IF(B272&lt;H272,"ON","OFF"))</f>
        <v/>
      </c>
      <c r="O272" s="16">
        <f>IF(OR(B272="",K272&lt;=0),"",IF(AND(J272="BUY-DAY",L272="VOL-OK",N272="ON",X272="OK",Y272&lt;&gt;"DOWN"),"BUY",IF(AND(J272="SELL-DAY",L272="VOL-OK",M272="ON",X272="OK",Y272&lt;&gt;"UP"),"SELL","")))</f>
        <v/>
      </c>
      <c r="P272" s="17">
        <f>IF(O272="","",B272)</f>
        <v/>
      </c>
      <c r="Q272" s="17">
        <f>IF(O272="","",IF(O272="BUY",B272-K272*1.5,B272+K272*1.5))</f>
        <v/>
      </c>
      <c r="R272" s="17">
        <f>IF(O272="","",IF(O272="BUY",B272+K272*1.5,B272-K272*1.5))</f>
        <v/>
      </c>
      <c r="S272" s="17">
        <f>IF(O272="","",IF(O272="BUY",B272+K272*2,B272-K272*2))</f>
        <v/>
      </c>
      <c r="T272" s="17">
        <f>IF(O272="","",IF(O272="BUY",B272+K272*3,B272-K272*3))</f>
        <v/>
      </c>
      <c r="U272" s="16">
        <f>IF(OR(B272="",K272&lt;=0),"",IF(AND(B272&gt;E272,ABS(B272-E272)&lt;K272*0.5),"2ND","1ST"))</f>
        <v/>
      </c>
      <c r="V272" s="16">
        <f>IF(OR(B272="",K272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2" s="16">
        <f>IF(OR(B272="",K272&lt;=0),"",IF(K272&gt;B272*0.05,"VOL-HIGH","VOL-NORMAL"))</f>
        <v/>
      </c>
      <c r="X272" s="16">
        <f>IF(OR(B272="",K272&lt;=0),"",IF(AND(L272="VOL-OK",W272="VOL-NORMAL",U272="2ND"),"OK","NG"))</f>
        <v/>
      </c>
      <c r="Y272" s="16">
        <f>IF(OR(B272="",K272&lt;=0),"",IF(AND(C272&gt;G272,D272&gt;H272),"UP",IF(AND(C272&lt;G272,D272&lt;H272),"DOWN","FLAT")))</f>
        <v/>
      </c>
    </row>
    <row r="273" ht="26" customHeight="1" s="1">
      <c r="A273" s="8">
        <f>IF('StockList_MS2'!A272="","",HYPERLINK("https://kabutan.jp/stock/?code="&amp;'StockList_MS2'!A272,'StockList_MS2'!A272))</f>
        <v/>
      </c>
      <c r="B273" s="9" t="n"/>
      <c r="C273" s="9" t="n"/>
      <c r="D273" s="9" t="n"/>
      <c r="E273" s="9" t="n"/>
      <c r="F273" s="10" t="n"/>
      <c r="G273" s="9" t="n"/>
      <c r="H273" s="9" t="n"/>
      <c r="I273" s="9" t="n"/>
      <c r="J273" s="11">
        <f>IF(B273="","",IF(B273&gt;I273,"BUY-DAY","SELL-DAY"))</f>
        <v/>
      </c>
      <c r="K273" s="12">
        <f>IF(B273="","",MAX(C273-D273,ABS(C273-I273),ABS(D273-I273)))</f>
        <v/>
      </c>
      <c r="L273" s="11">
        <f>IF(B273="","",IF(AND(F273&gt;0,F273&gt;(F273/3)*2.5),"VOL-OK","VOL-NG"))</f>
        <v/>
      </c>
      <c r="M273" s="11">
        <f>IF(B273="","",IF(B273&gt;G273,"ON","OFF"))</f>
        <v/>
      </c>
      <c r="N273" s="11">
        <f>IF(B273="","",IF(B273&lt;H273,"ON","OFF"))</f>
        <v/>
      </c>
      <c r="O273" s="11">
        <f>IF(OR(B273="",K273&lt;=0),"",IF(AND(J273="BUY-DAY",L273="VOL-OK",N273="ON",X273="OK",Y273&lt;&gt;"DOWN"),"BUY",IF(AND(J273="SELL-DAY",L273="VOL-OK",M273="ON",X273="OK",Y273&lt;&gt;"UP"),"SELL","")))</f>
        <v/>
      </c>
      <c r="P273" s="12">
        <f>IF(O273="","",B273)</f>
        <v/>
      </c>
      <c r="Q273" s="12">
        <f>IF(O273="","",IF(O273="BUY",B273-K273*1.5,B273+K273*1.5))</f>
        <v/>
      </c>
      <c r="R273" s="12">
        <f>IF(O273="","",IF(O273="BUY",B273+K273*1.5,B273-K273*1.5))</f>
        <v/>
      </c>
      <c r="S273" s="12">
        <f>IF(O273="","",IF(O273="BUY",B273+K273*2,B273-K273*2))</f>
        <v/>
      </c>
      <c r="T273" s="12">
        <f>IF(O273="","",IF(O273="BUY",B273+K273*3,B273-K273*3))</f>
        <v/>
      </c>
      <c r="U273" s="11">
        <f>IF(OR(B273="",K273&lt;=0),"",IF(AND(B273&gt;E273,ABS(B273-E273)&lt;K273*0.5),"2ND","1ST"))</f>
        <v/>
      </c>
      <c r="V273" s="11">
        <f>IF(OR(B273="",K273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3" s="11">
        <f>IF(OR(B273="",K273&lt;=0),"",IF(K273&gt;B273*0.05,"VOL-HIGH","VOL-NORMAL"))</f>
        <v/>
      </c>
      <c r="X273" s="11">
        <f>IF(OR(B273="",K273&lt;=0),"",IF(AND(L273="VOL-OK",W273="VOL-NORMAL",U273="2ND"),"OK","NG"))</f>
        <v/>
      </c>
      <c r="Y273" s="11">
        <f>IF(OR(B273="",K273&lt;=0),"",IF(AND(C273&gt;G273,D273&gt;H273),"UP",IF(AND(C273&lt;G273,D273&lt;H273),"DOWN","FLAT")))</f>
        <v/>
      </c>
    </row>
    <row r="274" ht="26" customHeight="1" s="1">
      <c r="A274" s="13">
        <f>IF('StockList_MS2'!A273="","",HYPERLINK("https://kabutan.jp/stock/?code="&amp;'StockList_MS2'!A273,'StockList_MS2'!A273))</f>
        <v/>
      </c>
      <c r="B274" s="14" t="n"/>
      <c r="C274" s="14" t="n"/>
      <c r="D274" s="14" t="n"/>
      <c r="E274" s="14" t="n"/>
      <c r="F274" s="15" t="n"/>
      <c r="G274" s="14" t="n"/>
      <c r="H274" s="14" t="n"/>
      <c r="I274" s="14" t="n"/>
      <c r="J274" s="16">
        <f>IF(B274="","",IF(B274&gt;I274,"BUY-DAY","SELL-DAY"))</f>
        <v/>
      </c>
      <c r="K274" s="17">
        <f>IF(B274="","",MAX(C274-D274,ABS(C274-I274),ABS(D274-I274)))</f>
        <v/>
      </c>
      <c r="L274" s="16">
        <f>IF(B274="","",IF(AND(F274&gt;0,F274&gt;(F274/3)*2.5),"VOL-OK","VOL-NG"))</f>
        <v/>
      </c>
      <c r="M274" s="16">
        <f>IF(B274="","",IF(B274&gt;G274,"ON","OFF"))</f>
        <v/>
      </c>
      <c r="N274" s="16">
        <f>IF(B274="","",IF(B274&lt;H274,"ON","OFF"))</f>
        <v/>
      </c>
      <c r="O274" s="16">
        <f>IF(OR(B274="",K274&lt;=0),"",IF(AND(J274="BUY-DAY",L274="VOL-OK",N274="ON",X274="OK",Y274&lt;&gt;"DOWN"),"BUY",IF(AND(J274="SELL-DAY",L274="VOL-OK",M274="ON",X274="OK",Y274&lt;&gt;"UP"),"SELL","")))</f>
        <v/>
      </c>
      <c r="P274" s="17">
        <f>IF(O274="","",B274)</f>
        <v/>
      </c>
      <c r="Q274" s="17">
        <f>IF(O274="","",IF(O274="BUY",B274-K274*1.5,B274+K274*1.5))</f>
        <v/>
      </c>
      <c r="R274" s="17">
        <f>IF(O274="","",IF(O274="BUY",B274+K274*1.5,B274-K274*1.5))</f>
        <v/>
      </c>
      <c r="S274" s="17">
        <f>IF(O274="","",IF(O274="BUY",B274+K274*2,B274-K274*2))</f>
        <v/>
      </c>
      <c r="T274" s="17">
        <f>IF(O274="","",IF(O274="BUY",B274+K274*3,B274-K274*3))</f>
        <v/>
      </c>
      <c r="U274" s="16">
        <f>IF(OR(B274="",K274&lt;=0),"",IF(AND(B274&gt;E274,ABS(B274-E274)&lt;K274*0.5),"2ND","1ST"))</f>
        <v/>
      </c>
      <c r="V274" s="16">
        <f>IF(OR(B274="",K274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4" s="16">
        <f>IF(OR(B274="",K274&lt;=0),"",IF(K274&gt;B274*0.05,"VOL-HIGH","VOL-NORMAL"))</f>
        <v/>
      </c>
      <c r="X274" s="16">
        <f>IF(OR(B274="",K274&lt;=0),"",IF(AND(L274="VOL-OK",W274="VOL-NORMAL",U274="2ND"),"OK","NG"))</f>
        <v/>
      </c>
      <c r="Y274" s="16">
        <f>IF(OR(B274="",K274&lt;=0),"",IF(AND(C274&gt;G274,D274&gt;H274),"UP",IF(AND(C274&lt;G274,D274&lt;H274),"DOWN","FLAT")))</f>
        <v/>
      </c>
    </row>
    <row r="275" ht="26" customHeight="1" s="1">
      <c r="A275" s="8">
        <f>IF('StockList_MS2'!A274="","",HYPERLINK("https://kabutan.jp/stock/?code="&amp;'StockList_MS2'!A274,'StockList_MS2'!A274))</f>
        <v/>
      </c>
      <c r="B275" s="9" t="n"/>
      <c r="C275" s="9" t="n"/>
      <c r="D275" s="9" t="n"/>
      <c r="E275" s="9" t="n"/>
      <c r="F275" s="10" t="n"/>
      <c r="G275" s="9" t="n"/>
      <c r="H275" s="9" t="n"/>
      <c r="I275" s="9" t="n"/>
      <c r="J275" s="11">
        <f>IF(B275="","",IF(B275&gt;I275,"BUY-DAY","SELL-DAY"))</f>
        <v/>
      </c>
      <c r="K275" s="12">
        <f>IF(B275="","",MAX(C275-D275,ABS(C275-I275),ABS(D275-I275)))</f>
        <v/>
      </c>
      <c r="L275" s="11">
        <f>IF(B275="","",IF(AND(F275&gt;0,F275&gt;(F275/3)*2.5),"VOL-OK","VOL-NG"))</f>
        <v/>
      </c>
      <c r="M275" s="11">
        <f>IF(B275="","",IF(B275&gt;G275,"ON","OFF"))</f>
        <v/>
      </c>
      <c r="N275" s="11">
        <f>IF(B275="","",IF(B275&lt;H275,"ON","OFF"))</f>
        <v/>
      </c>
      <c r="O275" s="11">
        <f>IF(OR(B275="",K275&lt;=0),"",IF(AND(J275="BUY-DAY",L275="VOL-OK",N275="ON",X275="OK",Y275&lt;&gt;"DOWN"),"BUY",IF(AND(J275="SELL-DAY",L275="VOL-OK",M275="ON",X275="OK",Y275&lt;&gt;"UP"),"SELL","")))</f>
        <v/>
      </c>
      <c r="P275" s="12">
        <f>IF(O275="","",B275)</f>
        <v/>
      </c>
      <c r="Q275" s="12">
        <f>IF(O275="","",IF(O275="BUY",B275-K275*1.5,B275+K275*1.5))</f>
        <v/>
      </c>
      <c r="R275" s="12">
        <f>IF(O275="","",IF(O275="BUY",B275+K275*1.5,B275-K275*1.5))</f>
        <v/>
      </c>
      <c r="S275" s="12">
        <f>IF(O275="","",IF(O275="BUY",B275+K275*2,B275-K275*2))</f>
        <v/>
      </c>
      <c r="T275" s="12">
        <f>IF(O275="","",IF(O275="BUY",B275+K275*3,B275-K275*3))</f>
        <v/>
      </c>
      <c r="U275" s="11">
        <f>IF(OR(B275="",K275&lt;=0),"",IF(AND(B275&gt;E275,ABS(B275-E275)&lt;K275*0.5),"2ND","1ST"))</f>
        <v/>
      </c>
      <c r="V275" s="11">
        <f>IF(OR(B275="",K275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5" s="11">
        <f>IF(OR(B275="",K275&lt;=0),"",IF(K275&gt;B275*0.05,"VOL-HIGH","VOL-NORMAL"))</f>
        <v/>
      </c>
      <c r="X275" s="11">
        <f>IF(OR(B275="",K275&lt;=0),"",IF(AND(L275="VOL-OK",W275="VOL-NORMAL",U275="2ND"),"OK","NG"))</f>
        <v/>
      </c>
      <c r="Y275" s="11">
        <f>IF(OR(B275="",K275&lt;=0),"",IF(AND(C275&gt;G275,D275&gt;H275),"UP",IF(AND(C275&lt;G275,D275&lt;H275),"DOWN","FLAT")))</f>
        <v/>
      </c>
    </row>
    <row r="276" ht="26" customHeight="1" s="1">
      <c r="A276" s="13">
        <f>IF('StockList_MS2'!A275="","",HYPERLINK("https://kabutan.jp/stock/?code="&amp;'StockList_MS2'!A275,'StockList_MS2'!A275))</f>
        <v/>
      </c>
      <c r="B276" s="14" t="n"/>
      <c r="C276" s="14" t="n"/>
      <c r="D276" s="14" t="n"/>
      <c r="E276" s="14" t="n"/>
      <c r="F276" s="15" t="n"/>
      <c r="G276" s="14" t="n"/>
      <c r="H276" s="14" t="n"/>
      <c r="I276" s="14" t="n"/>
      <c r="J276" s="16">
        <f>IF(B276="","",IF(B276&gt;I276,"BUY-DAY","SELL-DAY"))</f>
        <v/>
      </c>
      <c r="K276" s="17">
        <f>IF(B276="","",MAX(C276-D276,ABS(C276-I276),ABS(D276-I276)))</f>
        <v/>
      </c>
      <c r="L276" s="16">
        <f>IF(B276="","",IF(AND(F276&gt;0,F276&gt;(F276/3)*2.5),"VOL-OK","VOL-NG"))</f>
        <v/>
      </c>
      <c r="M276" s="16">
        <f>IF(B276="","",IF(B276&gt;G276,"ON","OFF"))</f>
        <v/>
      </c>
      <c r="N276" s="16">
        <f>IF(B276="","",IF(B276&lt;H276,"ON","OFF"))</f>
        <v/>
      </c>
      <c r="O276" s="16">
        <f>IF(OR(B276="",K276&lt;=0),"",IF(AND(J276="BUY-DAY",L276="VOL-OK",N276="ON",X276="OK",Y276&lt;&gt;"DOWN"),"BUY",IF(AND(J276="SELL-DAY",L276="VOL-OK",M276="ON",X276="OK",Y276&lt;&gt;"UP"),"SELL","")))</f>
        <v/>
      </c>
      <c r="P276" s="17">
        <f>IF(O276="","",B276)</f>
        <v/>
      </c>
      <c r="Q276" s="17">
        <f>IF(O276="","",IF(O276="BUY",B276-K276*1.5,B276+K276*1.5))</f>
        <v/>
      </c>
      <c r="R276" s="17">
        <f>IF(O276="","",IF(O276="BUY",B276+K276*1.5,B276-K276*1.5))</f>
        <v/>
      </c>
      <c r="S276" s="17">
        <f>IF(O276="","",IF(O276="BUY",B276+K276*2,B276-K276*2))</f>
        <v/>
      </c>
      <c r="T276" s="17">
        <f>IF(O276="","",IF(O276="BUY",B276+K276*3,B276-K276*3))</f>
        <v/>
      </c>
      <c r="U276" s="16">
        <f>IF(OR(B276="",K276&lt;=0),"",IF(AND(B276&gt;E276,ABS(B276-E276)&lt;K276*0.5),"2ND","1ST"))</f>
        <v/>
      </c>
      <c r="V276" s="16">
        <f>IF(OR(B276="",K276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6" s="16">
        <f>IF(OR(B276="",K276&lt;=0),"",IF(K276&gt;B276*0.05,"VOL-HIGH","VOL-NORMAL"))</f>
        <v/>
      </c>
      <c r="X276" s="16">
        <f>IF(OR(B276="",K276&lt;=0),"",IF(AND(L276="VOL-OK",W276="VOL-NORMAL",U276="2ND"),"OK","NG"))</f>
        <v/>
      </c>
      <c r="Y276" s="16">
        <f>IF(OR(B276="",K276&lt;=0),"",IF(AND(C276&gt;G276,D276&gt;H276),"UP",IF(AND(C276&lt;G276,D276&lt;H276),"DOWN","FLAT")))</f>
        <v/>
      </c>
    </row>
    <row r="277" ht="26" customHeight="1" s="1">
      <c r="A277" s="8">
        <f>IF('StockList_MS2'!A276="","",HYPERLINK("https://kabutan.jp/stock/?code="&amp;'StockList_MS2'!A276,'StockList_MS2'!A276))</f>
        <v/>
      </c>
      <c r="B277" s="9" t="n"/>
      <c r="C277" s="9" t="n"/>
      <c r="D277" s="9" t="n"/>
      <c r="E277" s="9" t="n"/>
      <c r="F277" s="10" t="n"/>
      <c r="G277" s="9" t="n"/>
      <c r="H277" s="9" t="n"/>
      <c r="I277" s="9" t="n"/>
      <c r="J277" s="11">
        <f>IF(B277="","",IF(B277&gt;I277,"BUY-DAY","SELL-DAY"))</f>
        <v/>
      </c>
      <c r="K277" s="12">
        <f>IF(B277="","",MAX(C277-D277,ABS(C277-I277),ABS(D277-I277)))</f>
        <v/>
      </c>
      <c r="L277" s="11">
        <f>IF(B277="","",IF(AND(F277&gt;0,F277&gt;(F277/3)*2.5),"VOL-OK","VOL-NG"))</f>
        <v/>
      </c>
      <c r="M277" s="11">
        <f>IF(B277="","",IF(B277&gt;G277,"ON","OFF"))</f>
        <v/>
      </c>
      <c r="N277" s="11">
        <f>IF(B277="","",IF(B277&lt;H277,"ON","OFF"))</f>
        <v/>
      </c>
      <c r="O277" s="11">
        <f>IF(OR(B277="",K277&lt;=0),"",IF(AND(J277="BUY-DAY",L277="VOL-OK",N277="ON",X277="OK",Y277&lt;&gt;"DOWN"),"BUY",IF(AND(J277="SELL-DAY",L277="VOL-OK",M277="ON",X277="OK",Y277&lt;&gt;"UP"),"SELL","")))</f>
        <v/>
      </c>
      <c r="P277" s="12">
        <f>IF(O277="","",B277)</f>
        <v/>
      </c>
      <c r="Q277" s="12">
        <f>IF(O277="","",IF(O277="BUY",B277-K277*1.5,B277+K277*1.5))</f>
        <v/>
      </c>
      <c r="R277" s="12">
        <f>IF(O277="","",IF(O277="BUY",B277+K277*1.5,B277-K277*1.5))</f>
        <v/>
      </c>
      <c r="S277" s="12">
        <f>IF(O277="","",IF(O277="BUY",B277+K277*2,B277-K277*2))</f>
        <v/>
      </c>
      <c r="T277" s="12">
        <f>IF(O277="","",IF(O277="BUY",B277+K277*3,B277-K277*3))</f>
        <v/>
      </c>
      <c r="U277" s="11">
        <f>IF(OR(B277="",K277&lt;=0),"",IF(AND(B277&gt;E277,ABS(B277-E277)&lt;K277*0.5),"2ND","1ST"))</f>
        <v/>
      </c>
      <c r="V277" s="11">
        <f>IF(OR(B277="",K277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7" s="11">
        <f>IF(OR(B277="",K277&lt;=0),"",IF(K277&gt;B277*0.05,"VOL-HIGH","VOL-NORMAL"))</f>
        <v/>
      </c>
      <c r="X277" s="11">
        <f>IF(OR(B277="",K277&lt;=0),"",IF(AND(L277="VOL-OK",W277="VOL-NORMAL",U277="2ND"),"OK","NG"))</f>
        <v/>
      </c>
      <c r="Y277" s="11">
        <f>IF(OR(B277="",K277&lt;=0),"",IF(AND(C277&gt;G277,D277&gt;H277),"UP",IF(AND(C277&lt;G277,D277&lt;H277),"DOWN","FLAT")))</f>
        <v/>
      </c>
    </row>
    <row r="278" ht="26" customHeight="1" s="1">
      <c r="A278" s="13">
        <f>IF('StockList_MS2'!A277="","",HYPERLINK("https://kabutan.jp/stock/?code="&amp;'StockList_MS2'!A277,'StockList_MS2'!A277))</f>
        <v/>
      </c>
      <c r="B278" s="14" t="n"/>
      <c r="C278" s="14" t="n"/>
      <c r="D278" s="14" t="n"/>
      <c r="E278" s="14" t="n"/>
      <c r="F278" s="15" t="n"/>
      <c r="G278" s="14" t="n"/>
      <c r="H278" s="14" t="n"/>
      <c r="I278" s="14" t="n"/>
      <c r="J278" s="16">
        <f>IF(B278="","",IF(B278&gt;I278,"BUY-DAY","SELL-DAY"))</f>
        <v/>
      </c>
      <c r="K278" s="17">
        <f>IF(B278="","",MAX(C278-D278,ABS(C278-I278),ABS(D278-I278)))</f>
        <v/>
      </c>
      <c r="L278" s="16">
        <f>IF(B278="","",IF(AND(F278&gt;0,F278&gt;(F278/3)*2.5),"VOL-OK","VOL-NG"))</f>
        <v/>
      </c>
      <c r="M278" s="16">
        <f>IF(B278="","",IF(B278&gt;G278,"ON","OFF"))</f>
        <v/>
      </c>
      <c r="N278" s="16">
        <f>IF(B278="","",IF(B278&lt;H278,"ON","OFF"))</f>
        <v/>
      </c>
      <c r="O278" s="16">
        <f>IF(OR(B278="",K278&lt;=0),"",IF(AND(J278="BUY-DAY",L278="VOL-OK",N278="ON",X278="OK",Y278&lt;&gt;"DOWN"),"BUY",IF(AND(J278="SELL-DAY",L278="VOL-OK",M278="ON",X278="OK",Y278&lt;&gt;"UP"),"SELL","")))</f>
        <v/>
      </c>
      <c r="P278" s="17">
        <f>IF(O278="","",B278)</f>
        <v/>
      </c>
      <c r="Q278" s="17">
        <f>IF(O278="","",IF(O278="BUY",B278-K278*1.5,B278+K278*1.5))</f>
        <v/>
      </c>
      <c r="R278" s="17">
        <f>IF(O278="","",IF(O278="BUY",B278+K278*1.5,B278-K278*1.5))</f>
        <v/>
      </c>
      <c r="S278" s="17">
        <f>IF(O278="","",IF(O278="BUY",B278+K278*2,B278-K278*2))</f>
        <v/>
      </c>
      <c r="T278" s="17">
        <f>IF(O278="","",IF(O278="BUY",B278+K278*3,B278-K278*3))</f>
        <v/>
      </c>
      <c r="U278" s="16">
        <f>IF(OR(B278="",K278&lt;=0),"",IF(AND(B278&gt;E278,ABS(B278-E278)&lt;K278*0.5),"2ND","1ST"))</f>
        <v/>
      </c>
      <c r="V278" s="16">
        <f>IF(OR(B278="",K278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8" s="16">
        <f>IF(OR(B278="",K278&lt;=0),"",IF(K278&gt;B278*0.05,"VOL-HIGH","VOL-NORMAL"))</f>
        <v/>
      </c>
      <c r="X278" s="16">
        <f>IF(OR(B278="",K278&lt;=0),"",IF(AND(L278="VOL-OK",W278="VOL-NORMAL",U278="2ND"),"OK","NG"))</f>
        <v/>
      </c>
      <c r="Y278" s="16">
        <f>IF(OR(B278="",K278&lt;=0),"",IF(AND(C278&gt;G278,D278&gt;H278),"UP",IF(AND(C278&lt;G278,D278&lt;H278),"DOWN","FLAT")))</f>
        <v/>
      </c>
    </row>
    <row r="279" ht="26" customHeight="1" s="1">
      <c r="A279" s="8">
        <f>IF('StockList_MS2'!A278="","",HYPERLINK("https://kabutan.jp/stock/?code="&amp;'StockList_MS2'!A278,'StockList_MS2'!A278))</f>
        <v/>
      </c>
      <c r="B279" s="9" t="n"/>
      <c r="C279" s="9" t="n"/>
      <c r="D279" s="9" t="n"/>
      <c r="E279" s="9" t="n"/>
      <c r="F279" s="10" t="n"/>
      <c r="G279" s="9" t="n"/>
      <c r="H279" s="9" t="n"/>
      <c r="I279" s="9" t="n"/>
      <c r="J279" s="11">
        <f>IF(B279="","",IF(B279&gt;I279,"BUY-DAY","SELL-DAY"))</f>
        <v/>
      </c>
      <c r="K279" s="12">
        <f>IF(B279="","",MAX(C279-D279,ABS(C279-I279),ABS(D279-I279)))</f>
        <v/>
      </c>
      <c r="L279" s="11">
        <f>IF(B279="","",IF(AND(F279&gt;0,F279&gt;(F279/3)*2.5),"VOL-OK","VOL-NG"))</f>
        <v/>
      </c>
      <c r="M279" s="11">
        <f>IF(B279="","",IF(B279&gt;G279,"ON","OFF"))</f>
        <v/>
      </c>
      <c r="N279" s="11">
        <f>IF(B279="","",IF(B279&lt;H279,"ON","OFF"))</f>
        <v/>
      </c>
      <c r="O279" s="11">
        <f>IF(OR(B279="",K279&lt;=0),"",IF(AND(J279="BUY-DAY",L279="VOL-OK",N279="ON",X279="OK",Y279&lt;&gt;"DOWN"),"BUY",IF(AND(J279="SELL-DAY",L279="VOL-OK",M279="ON",X279="OK",Y279&lt;&gt;"UP"),"SELL","")))</f>
        <v/>
      </c>
      <c r="P279" s="12">
        <f>IF(O279="","",B279)</f>
        <v/>
      </c>
      <c r="Q279" s="12">
        <f>IF(O279="","",IF(O279="BUY",B279-K279*1.5,B279+K279*1.5))</f>
        <v/>
      </c>
      <c r="R279" s="12">
        <f>IF(O279="","",IF(O279="BUY",B279+K279*1.5,B279-K279*1.5))</f>
        <v/>
      </c>
      <c r="S279" s="12">
        <f>IF(O279="","",IF(O279="BUY",B279+K279*2,B279-K279*2))</f>
        <v/>
      </c>
      <c r="T279" s="12">
        <f>IF(O279="","",IF(O279="BUY",B279+K279*3,B279-K279*3))</f>
        <v/>
      </c>
      <c r="U279" s="11">
        <f>IF(OR(B279="",K279&lt;=0),"",IF(AND(B279&gt;E279,ABS(B279-E279)&lt;K279*0.5),"2ND","1ST"))</f>
        <v/>
      </c>
      <c r="V279" s="11">
        <f>IF(OR(B279="",K279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9" s="11">
        <f>IF(OR(B279="",K279&lt;=0),"",IF(K279&gt;B279*0.05,"VOL-HIGH","VOL-NORMAL"))</f>
        <v/>
      </c>
      <c r="X279" s="11">
        <f>IF(OR(B279="",K279&lt;=0),"",IF(AND(L279="VOL-OK",W279="VOL-NORMAL",U279="2ND"),"OK","NG"))</f>
        <v/>
      </c>
      <c r="Y279" s="11">
        <f>IF(OR(B279="",K279&lt;=0),"",IF(AND(C279&gt;G279,D279&gt;H279),"UP",IF(AND(C279&lt;G279,D279&lt;H279),"DOWN","FLAT")))</f>
        <v/>
      </c>
    </row>
    <row r="280" ht="26" customHeight="1" s="1">
      <c r="A280" s="13">
        <f>IF('StockList_MS2'!A279="","",HYPERLINK("https://kabutan.jp/stock/?code="&amp;'StockList_MS2'!A279,'StockList_MS2'!A279))</f>
        <v/>
      </c>
      <c r="B280" s="14" t="n"/>
      <c r="C280" s="14" t="n"/>
      <c r="D280" s="14" t="n"/>
      <c r="E280" s="14" t="n"/>
      <c r="F280" s="15" t="n"/>
      <c r="G280" s="14" t="n"/>
      <c r="H280" s="14" t="n"/>
      <c r="I280" s="14" t="n"/>
      <c r="J280" s="16">
        <f>IF(B280="","",IF(B280&gt;I280,"BUY-DAY","SELL-DAY"))</f>
        <v/>
      </c>
      <c r="K280" s="17">
        <f>IF(B280="","",MAX(C280-D280,ABS(C280-I280),ABS(D280-I280)))</f>
        <v/>
      </c>
      <c r="L280" s="16">
        <f>IF(B280="","",IF(AND(F280&gt;0,F280&gt;(F280/3)*2.5),"VOL-OK","VOL-NG"))</f>
        <v/>
      </c>
      <c r="M280" s="16">
        <f>IF(B280="","",IF(B280&gt;G280,"ON","OFF"))</f>
        <v/>
      </c>
      <c r="N280" s="16">
        <f>IF(B280="","",IF(B280&lt;H280,"ON","OFF"))</f>
        <v/>
      </c>
      <c r="O280" s="16">
        <f>IF(OR(B280="",K280&lt;=0),"",IF(AND(J280="BUY-DAY",L280="VOL-OK",N280="ON",X280="OK",Y280&lt;&gt;"DOWN"),"BUY",IF(AND(J280="SELL-DAY",L280="VOL-OK",M280="ON",X280="OK",Y280&lt;&gt;"UP"),"SELL","")))</f>
        <v/>
      </c>
      <c r="P280" s="17">
        <f>IF(O280="","",B280)</f>
        <v/>
      </c>
      <c r="Q280" s="17">
        <f>IF(O280="","",IF(O280="BUY",B280-K280*1.5,B280+K280*1.5))</f>
        <v/>
      </c>
      <c r="R280" s="17">
        <f>IF(O280="","",IF(O280="BUY",B280+K280*1.5,B280-K280*1.5))</f>
        <v/>
      </c>
      <c r="S280" s="17">
        <f>IF(O280="","",IF(O280="BUY",B280+K280*2,B280-K280*2))</f>
        <v/>
      </c>
      <c r="T280" s="17">
        <f>IF(O280="","",IF(O280="BUY",B280+K280*3,B280-K280*3))</f>
        <v/>
      </c>
      <c r="U280" s="16">
        <f>IF(OR(B280="",K280&lt;=0),"",IF(AND(B280&gt;E280,ABS(B280-E280)&lt;K280*0.5),"2ND","1ST"))</f>
        <v/>
      </c>
      <c r="V280" s="16">
        <f>IF(OR(B280="",K280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0" s="16">
        <f>IF(OR(B280="",K280&lt;=0),"",IF(K280&gt;B280*0.05,"VOL-HIGH","VOL-NORMAL"))</f>
        <v/>
      </c>
      <c r="X280" s="16">
        <f>IF(OR(B280="",K280&lt;=0),"",IF(AND(L280="VOL-OK",W280="VOL-NORMAL",U280="2ND"),"OK","NG"))</f>
        <v/>
      </c>
      <c r="Y280" s="16">
        <f>IF(OR(B280="",K280&lt;=0),"",IF(AND(C280&gt;G280,D280&gt;H280),"UP",IF(AND(C280&lt;G280,D280&lt;H280),"DOWN","FLAT")))</f>
        <v/>
      </c>
    </row>
    <row r="281" ht="26" customHeight="1" s="1">
      <c r="A281" s="8">
        <f>IF('StockList_MS2'!A280="","",HYPERLINK("https://kabutan.jp/stock/?code="&amp;'StockList_MS2'!A280,'StockList_MS2'!A280))</f>
        <v/>
      </c>
      <c r="B281" s="9" t="n"/>
      <c r="C281" s="9" t="n"/>
      <c r="D281" s="9" t="n"/>
      <c r="E281" s="9" t="n"/>
      <c r="F281" s="10" t="n"/>
      <c r="G281" s="9" t="n"/>
      <c r="H281" s="9" t="n"/>
      <c r="I281" s="9" t="n"/>
      <c r="J281" s="11">
        <f>IF(B281="","",IF(B281&gt;I281,"BUY-DAY","SELL-DAY"))</f>
        <v/>
      </c>
      <c r="K281" s="12">
        <f>IF(B281="","",MAX(C281-D281,ABS(C281-I281),ABS(D281-I281)))</f>
        <v/>
      </c>
      <c r="L281" s="11">
        <f>IF(B281="","",IF(AND(F281&gt;0,F281&gt;(F281/3)*2.5),"VOL-OK","VOL-NG"))</f>
        <v/>
      </c>
      <c r="M281" s="11">
        <f>IF(B281="","",IF(B281&gt;G281,"ON","OFF"))</f>
        <v/>
      </c>
      <c r="N281" s="11">
        <f>IF(B281="","",IF(B281&lt;H281,"ON","OFF"))</f>
        <v/>
      </c>
      <c r="O281" s="11">
        <f>IF(OR(B281="",K281&lt;=0),"",IF(AND(J281="BUY-DAY",L281="VOL-OK",N281="ON",X281="OK",Y281&lt;&gt;"DOWN"),"BUY",IF(AND(J281="SELL-DAY",L281="VOL-OK",M281="ON",X281="OK",Y281&lt;&gt;"UP"),"SELL","")))</f>
        <v/>
      </c>
      <c r="P281" s="12">
        <f>IF(O281="","",B281)</f>
        <v/>
      </c>
      <c r="Q281" s="12">
        <f>IF(O281="","",IF(O281="BUY",B281-K281*1.5,B281+K281*1.5))</f>
        <v/>
      </c>
      <c r="R281" s="12">
        <f>IF(O281="","",IF(O281="BUY",B281+K281*1.5,B281-K281*1.5))</f>
        <v/>
      </c>
      <c r="S281" s="12">
        <f>IF(O281="","",IF(O281="BUY",B281+K281*2,B281-K281*2))</f>
        <v/>
      </c>
      <c r="T281" s="12">
        <f>IF(O281="","",IF(O281="BUY",B281+K281*3,B281-K281*3))</f>
        <v/>
      </c>
      <c r="U281" s="11">
        <f>IF(OR(B281="",K281&lt;=0),"",IF(AND(B281&gt;E281,ABS(B281-E281)&lt;K281*0.5),"2ND","1ST"))</f>
        <v/>
      </c>
      <c r="V281" s="11">
        <f>IF(OR(B281="",K281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1" s="11">
        <f>IF(OR(B281="",K281&lt;=0),"",IF(K281&gt;B281*0.05,"VOL-HIGH","VOL-NORMAL"))</f>
        <v/>
      </c>
      <c r="X281" s="11">
        <f>IF(OR(B281="",K281&lt;=0),"",IF(AND(L281="VOL-OK",W281="VOL-NORMAL",U281="2ND"),"OK","NG"))</f>
        <v/>
      </c>
      <c r="Y281" s="11">
        <f>IF(OR(B281="",K281&lt;=0),"",IF(AND(C281&gt;G281,D281&gt;H281),"UP",IF(AND(C281&lt;G281,D281&lt;H281),"DOWN","FLAT")))</f>
        <v/>
      </c>
    </row>
    <row r="282" ht="26" customHeight="1" s="1">
      <c r="A282" s="13">
        <f>IF('StockList_MS2'!A281="","",HYPERLINK("https://kabutan.jp/stock/?code="&amp;'StockList_MS2'!A281,'StockList_MS2'!A281))</f>
        <v/>
      </c>
      <c r="B282" s="14" t="n"/>
      <c r="C282" s="14" t="n"/>
      <c r="D282" s="14" t="n"/>
      <c r="E282" s="14" t="n"/>
      <c r="F282" s="15" t="n"/>
      <c r="G282" s="14" t="n"/>
      <c r="H282" s="14" t="n"/>
      <c r="I282" s="14" t="n"/>
      <c r="J282" s="16">
        <f>IF(B282="","",IF(B282&gt;I282,"BUY-DAY","SELL-DAY"))</f>
        <v/>
      </c>
      <c r="K282" s="17">
        <f>IF(B282="","",MAX(C282-D282,ABS(C282-I282),ABS(D282-I282)))</f>
        <v/>
      </c>
      <c r="L282" s="16">
        <f>IF(B282="","",IF(AND(F282&gt;0,F282&gt;(F282/3)*2.5),"VOL-OK","VOL-NG"))</f>
        <v/>
      </c>
      <c r="M282" s="16">
        <f>IF(B282="","",IF(B282&gt;G282,"ON","OFF"))</f>
        <v/>
      </c>
      <c r="N282" s="16">
        <f>IF(B282="","",IF(B282&lt;H282,"ON","OFF"))</f>
        <v/>
      </c>
      <c r="O282" s="16">
        <f>IF(OR(B282="",K282&lt;=0),"",IF(AND(J282="BUY-DAY",L282="VOL-OK",N282="ON",X282="OK",Y282&lt;&gt;"DOWN"),"BUY",IF(AND(J282="SELL-DAY",L282="VOL-OK",M282="ON",X282="OK",Y282&lt;&gt;"UP"),"SELL","")))</f>
        <v/>
      </c>
      <c r="P282" s="17">
        <f>IF(O282="","",B282)</f>
        <v/>
      </c>
      <c r="Q282" s="17">
        <f>IF(O282="","",IF(O282="BUY",B282-K282*1.5,B282+K282*1.5))</f>
        <v/>
      </c>
      <c r="R282" s="17">
        <f>IF(O282="","",IF(O282="BUY",B282+K282*1.5,B282-K282*1.5))</f>
        <v/>
      </c>
      <c r="S282" s="17">
        <f>IF(O282="","",IF(O282="BUY",B282+K282*2,B282-K282*2))</f>
        <v/>
      </c>
      <c r="T282" s="17">
        <f>IF(O282="","",IF(O282="BUY",B282+K282*3,B282-K282*3))</f>
        <v/>
      </c>
      <c r="U282" s="16">
        <f>IF(OR(B282="",K282&lt;=0),"",IF(AND(B282&gt;E282,ABS(B282-E282)&lt;K282*0.5),"2ND","1ST"))</f>
        <v/>
      </c>
      <c r="V282" s="16">
        <f>IF(OR(B282="",K282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2" s="16">
        <f>IF(OR(B282="",K282&lt;=0),"",IF(K282&gt;B282*0.05,"VOL-HIGH","VOL-NORMAL"))</f>
        <v/>
      </c>
      <c r="X282" s="16">
        <f>IF(OR(B282="",K282&lt;=0),"",IF(AND(L282="VOL-OK",W282="VOL-NORMAL",U282="2ND"),"OK","NG"))</f>
        <v/>
      </c>
      <c r="Y282" s="16">
        <f>IF(OR(B282="",K282&lt;=0),"",IF(AND(C282&gt;G282,D282&gt;H282),"UP",IF(AND(C282&lt;G282,D282&lt;H282),"DOWN","FLAT")))</f>
        <v/>
      </c>
    </row>
    <row r="283" ht="26" customHeight="1" s="1">
      <c r="A283" s="8">
        <f>IF('StockList_MS2'!A282="","",HYPERLINK("https://kabutan.jp/stock/?code="&amp;'StockList_MS2'!A282,'StockList_MS2'!A282))</f>
        <v/>
      </c>
      <c r="B283" s="9" t="n"/>
      <c r="C283" s="9" t="n"/>
      <c r="D283" s="9" t="n"/>
      <c r="E283" s="9" t="n"/>
      <c r="F283" s="10" t="n"/>
      <c r="G283" s="9" t="n"/>
      <c r="H283" s="9" t="n"/>
      <c r="I283" s="9" t="n"/>
      <c r="J283" s="11">
        <f>IF(B283="","",IF(B283&gt;I283,"BUY-DAY","SELL-DAY"))</f>
        <v/>
      </c>
      <c r="K283" s="12">
        <f>IF(B283="","",MAX(C283-D283,ABS(C283-I283),ABS(D283-I283)))</f>
        <v/>
      </c>
      <c r="L283" s="11">
        <f>IF(B283="","",IF(AND(F283&gt;0,F283&gt;(F283/3)*2.5),"VOL-OK","VOL-NG"))</f>
        <v/>
      </c>
      <c r="M283" s="11">
        <f>IF(B283="","",IF(B283&gt;G283,"ON","OFF"))</f>
        <v/>
      </c>
      <c r="N283" s="11">
        <f>IF(B283="","",IF(B283&lt;H283,"ON","OFF"))</f>
        <v/>
      </c>
      <c r="O283" s="11">
        <f>IF(OR(B283="",K283&lt;=0),"",IF(AND(J283="BUY-DAY",L283="VOL-OK",N283="ON",X283="OK",Y283&lt;&gt;"DOWN"),"BUY",IF(AND(J283="SELL-DAY",L283="VOL-OK",M283="ON",X283="OK",Y283&lt;&gt;"UP"),"SELL","")))</f>
        <v/>
      </c>
      <c r="P283" s="12">
        <f>IF(O283="","",B283)</f>
        <v/>
      </c>
      <c r="Q283" s="12">
        <f>IF(O283="","",IF(O283="BUY",B283-K283*1.5,B283+K283*1.5))</f>
        <v/>
      </c>
      <c r="R283" s="12">
        <f>IF(O283="","",IF(O283="BUY",B283+K283*1.5,B283-K283*1.5))</f>
        <v/>
      </c>
      <c r="S283" s="12">
        <f>IF(O283="","",IF(O283="BUY",B283+K283*2,B283-K283*2))</f>
        <v/>
      </c>
      <c r="T283" s="12">
        <f>IF(O283="","",IF(O283="BUY",B283+K283*3,B283-K283*3))</f>
        <v/>
      </c>
      <c r="U283" s="11">
        <f>IF(OR(B283="",K283&lt;=0),"",IF(AND(B283&gt;E283,ABS(B283-E283)&lt;K283*0.5),"2ND","1ST"))</f>
        <v/>
      </c>
      <c r="V283" s="11">
        <f>IF(OR(B283="",K283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3" s="11">
        <f>IF(OR(B283="",K283&lt;=0),"",IF(K283&gt;B283*0.05,"VOL-HIGH","VOL-NORMAL"))</f>
        <v/>
      </c>
      <c r="X283" s="11">
        <f>IF(OR(B283="",K283&lt;=0),"",IF(AND(L283="VOL-OK",W283="VOL-NORMAL",U283="2ND"),"OK","NG"))</f>
        <v/>
      </c>
      <c r="Y283" s="11">
        <f>IF(OR(B283="",K283&lt;=0),"",IF(AND(C283&gt;G283,D283&gt;H283),"UP",IF(AND(C283&lt;G283,D283&lt;H283),"DOWN","FLAT")))</f>
        <v/>
      </c>
    </row>
    <row r="284" ht="26" customHeight="1" s="1">
      <c r="A284" s="13">
        <f>IF('StockList_MS2'!A283="","",HYPERLINK("https://kabutan.jp/stock/?code="&amp;'StockList_MS2'!A283,'StockList_MS2'!A283))</f>
        <v/>
      </c>
      <c r="B284" s="14" t="n"/>
      <c r="C284" s="14" t="n"/>
      <c r="D284" s="14" t="n"/>
      <c r="E284" s="14" t="n"/>
      <c r="F284" s="15" t="n"/>
      <c r="G284" s="14" t="n"/>
      <c r="H284" s="14" t="n"/>
      <c r="I284" s="14" t="n"/>
      <c r="J284" s="16">
        <f>IF(B284="","",IF(B284&gt;I284,"BUY-DAY","SELL-DAY"))</f>
        <v/>
      </c>
      <c r="K284" s="17">
        <f>IF(B284="","",MAX(C284-D284,ABS(C284-I284),ABS(D284-I284)))</f>
        <v/>
      </c>
      <c r="L284" s="16">
        <f>IF(B284="","",IF(AND(F284&gt;0,F284&gt;(F284/3)*2.5),"VOL-OK","VOL-NG"))</f>
        <v/>
      </c>
      <c r="M284" s="16">
        <f>IF(B284="","",IF(B284&gt;G284,"ON","OFF"))</f>
        <v/>
      </c>
      <c r="N284" s="16">
        <f>IF(B284="","",IF(B284&lt;H284,"ON","OFF"))</f>
        <v/>
      </c>
      <c r="O284" s="16">
        <f>IF(OR(B284="",K284&lt;=0),"",IF(AND(J284="BUY-DAY",L284="VOL-OK",N284="ON",X284="OK",Y284&lt;&gt;"DOWN"),"BUY",IF(AND(J284="SELL-DAY",L284="VOL-OK",M284="ON",X284="OK",Y284&lt;&gt;"UP"),"SELL","")))</f>
        <v/>
      </c>
      <c r="P284" s="17">
        <f>IF(O284="","",B284)</f>
        <v/>
      </c>
      <c r="Q284" s="17">
        <f>IF(O284="","",IF(O284="BUY",B284-K284*1.5,B284+K284*1.5))</f>
        <v/>
      </c>
      <c r="R284" s="17">
        <f>IF(O284="","",IF(O284="BUY",B284+K284*1.5,B284-K284*1.5))</f>
        <v/>
      </c>
      <c r="S284" s="17">
        <f>IF(O284="","",IF(O284="BUY",B284+K284*2,B284-K284*2))</f>
        <v/>
      </c>
      <c r="T284" s="17">
        <f>IF(O284="","",IF(O284="BUY",B284+K284*3,B284-K284*3))</f>
        <v/>
      </c>
      <c r="U284" s="16">
        <f>IF(OR(B284="",K284&lt;=0),"",IF(AND(B284&gt;E284,ABS(B284-E284)&lt;K284*0.5),"2ND","1ST"))</f>
        <v/>
      </c>
      <c r="V284" s="16">
        <f>IF(OR(B284="",K284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4" s="16">
        <f>IF(OR(B284="",K284&lt;=0),"",IF(K284&gt;B284*0.05,"VOL-HIGH","VOL-NORMAL"))</f>
        <v/>
      </c>
      <c r="X284" s="16">
        <f>IF(OR(B284="",K284&lt;=0),"",IF(AND(L284="VOL-OK",W284="VOL-NORMAL",U284="2ND"),"OK","NG"))</f>
        <v/>
      </c>
      <c r="Y284" s="16">
        <f>IF(OR(B284="",K284&lt;=0),"",IF(AND(C284&gt;G284,D284&gt;H284),"UP",IF(AND(C284&lt;G284,D284&lt;H284),"DOWN","FLAT")))</f>
        <v/>
      </c>
    </row>
    <row r="285" ht="26" customHeight="1" s="1">
      <c r="A285" s="8">
        <f>IF('StockList_MS2'!A284="","",HYPERLINK("https://kabutan.jp/stock/?code="&amp;'StockList_MS2'!A284,'StockList_MS2'!A284))</f>
        <v/>
      </c>
      <c r="B285" s="9" t="n"/>
      <c r="C285" s="9" t="n"/>
      <c r="D285" s="9" t="n"/>
      <c r="E285" s="9" t="n"/>
      <c r="F285" s="10" t="n"/>
      <c r="G285" s="9" t="n"/>
      <c r="H285" s="9" t="n"/>
      <c r="I285" s="9" t="n"/>
      <c r="J285" s="11">
        <f>IF(B285="","",IF(B285&gt;I285,"BUY-DAY","SELL-DAY"))</f>
        <v/>
      </c>
      <c r="K285" s="12">
        <f>IF(B285="","",MAX(C285-D285,ABS(C285-I285),ABS(D285-I285)))</f>
        <v/>
      </c>
      <c r="L285" s="11">
        <f>IF(B285="","",IF(AND(F285&gt;0,F285&gt;(F285/3)*2.5),"VOL-OK","VOL-NG"))</f>
        <v/>
      </c>
      <c r="M285" s="11">
        <f>IF(B285="","",IF(B285&gt;G285,"ON","OFF"))</f>
        <v/>
      </c>
      <c r="N285" s="11">
        <f>IF(B285="","",IF(B285&lt;H285,"ON","OFF"))</f>
        <v/>
      </c>
      <c r="O285" s="11">
        <f>IF(OR(B285="",K285&lt;=0),"",IF(AND(J285="BUY-DAY",L285="VOL-OK",N285="ON",X285="OK",Y285&lt;&gt;"DOWN"),"BUY",IF(AND(J285="SELL-DAY",L285="VOL-OK",M285="ON",X285="OK",Y285&lt;&gt;"UP"),"SELL","")))</f>
        <v/>
      </c>
      <c r="P285" s="12">
        <f>IF(O285="","",B285)</f>
        <v/>
      </c>
      <c r="Q285" s="12">
        <f>IF(O285="","",IF(O285="BUY",B285-K285*1.5,B285+K285*1.5))</f>
        <v/>
      </c>
      <c r="R285" s="12">
        <f>IF(O285="","",IF(O285="BUY",B285+K285*1.5,B285-K285*1.5))</f>
        <v/>
      </c>
      <c r="S285" s="12">
        <f>IF(O285="","",IF(O285="BUY",B285+K285*2,B285-K285*2))</f>
        <v/>
      </c>
      <c r="T285" s="12">
        <f>IF(O285="","",IF(O285="BUY",B285+K285*3,B285-K285*3))</f>
        <v/>
      </c>
      <c r="U285" s="11">
        <f>IF(OR(B285="",K285&lt;=0),"",IF(AND(B285&gt;E285,ABS(B285-E285)&lt;K285*0.5),"2ND","1ST"))</f>
        <v/>
      </c>
      <c r="V285" s="11">
        <f>IF(OR(B285="",K285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5" s="11">
        <f>IF(OR(B285="",K285&lt;=0),"",IF(K285&gt;B285*0.05,"VOL-HIGH","VOL-NORMAL"))</f>
        <v/>
      </c>
      <c r="X285" s="11">
        <f>IF(OR(B285="",K285&lt;=0),"",IF(AND(L285="VOL-OK",W285="VOL-NORMAL",U285="2ND"),"OK","NG"))</f>
        <v/>
      </c>
      <c r="Y285" s="11">
        <f>IF(OR(B285="",K285&lt;=0),"",IF(AND(C285&gt;G285,D285&gt;H285),"UP",IF(AND(C285&lt;G285,D285&lt;H285),"DOWN","FLAT")))</f>
        <v/>
      </c>
    </row>
    <row r="286" ht="26" customHeight="1" s="1">
      <c r="A286" s="13">
        <f>IF('StockList_MS2'!A285="","",HYPERLINK("https://kabutan.jp/stock/?code="&amp;'StockList_MS2'!A285,'StockList_MS2'!A285))</f>
        <v/>
      </c>
      <c r="B286" s="14" t="n"/>
      <c r="C286" s="14" t="n"/>
      <c r="D286" s="14" t="n"/>
      <c r="E286" s="14" t="n"/>
      <c r="F286" s="15" t="n"/>
      <c r="G286" s="14" t="n"/>
      <c r="H286" s="14" t="n"/>
      <c r="I286" s="14" t="n"/>
      <c r="J286" s="16">
        <f>IF(B286="","",IF(B286&gt;I286,"BUY-DAY","SELL-DAY"))</f>
        <v/>
      </c>
      <c r="K286" s="17">
        <f>IF(B286="","",MAX(C286-D286,ABS(C286-I286),ABS(D286-I286)))</f>
        <v/>
      </c>
      <c r="L286" s="16">
        <f>IF(B286="","",IF(AND(F286&gt;0,F286&gt;(F286/3)*2.5),"VOL-OK","VOL-NG"))</f>
        <v/>
      </c>
      <c r="M286" s="16">
        <f>IF(B286="","",IF(B286&gt;G286,"ON","OFF"))</f>
        <v/>
      </c>
      <c r="N286" s="16">
        <f>IF(B286="","",IF(B286&lt;H286,"ON","OFF"))</f>
        <v/>
      </c>
      <c r="O286" s="16">
        <f>IF(OR(B286="",K286&lt;=0),"",IF(AND(J286="BUY-DAY",L286="VOL-OK",N286="ON",X286="OK",Y286&lt;&gt;"DOWN"),"BUY",IF(AND(J286="SELL-DAY",L286="VOL-OK",M286="ON",X286="OK",Y286&lt;&gt;"UP"),"SELL","")))</f>
        <v/>
      </c>
      <c r="P286" s="17">
        <f>IF(O286="","",B286)</f>
        <v/>
      </c>
      <c r="Q286" s="17">
        <f>IF(O286="","",IF(O286="BUY",B286-K286*1.5,B286+K286*1.5))</f>
        <v/>
      </c>
      <c r="R286" s="17">
        <f>IF(O286="","",IF(O286="BUY",B286+K286*1.5,B286-K286*1.5))</f>
        <v/>
      </c>
      <c r="S286" s="17">
        <f>IF(O286="","",IF(O286="BUY",B286+K286*2,B286-K286*2))</f>
        <v/>
      </c>
      <c r="T286" s="17">
        <f>IF(O286="","",IF(O286="BUY",B286+K286*3,B286-K286*3))</f>
        <v/>
      </c>
      <c r="U286" s="16">
        <f>IF(OR(B286="",K286&lt;=0),"",IF(AND(B286&gt;E286,ABS(B286-E286)&lt;K286*0.5),"2ND","1ST"))</f>
        <v/>
      </c>
      <c r="V286" s="16">
        <f>IF(OR(B286="",K286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6" s="16">
        <f>IF(OR(B286="",K286&lt;=0),"",IF(K286&gt;B286*0.05,"VOL-HIGH","VOL-NORMAL"))</f>
        <v/>
      </c>
      <c r="X286" s="16">
        <f>IF(OR(B286="",K286&lt;=0),"",IF(AND(L286="VOL-OK",W286="VOL-NORMAL",U286="2ND"),"OK","NG"))</f>
        <v/>
      </c>
      <c r="Y286" s="16">
        <f>IF(OR(B286="",K286&lt;=0),"",IF(AND(C286&gt;G286,D286&gt;H286),"UP",IF(AND(C286&lt;G286,D286&lt;H286),"DOWN","FLAT")))</f>
        <v/>
      </c>
    </row>
    <row r="287" ht="26" customHeight="1" s="1">
      <c r="A287" s="8">
        <f>IF('StockList_MS2'!A286="","",HYPERLINK("https://kabutan.jp/stock/?code="&amp;'StockList_MS2'!A286,'StockList_MS2'!A286))</f>
        <v/>
      </c>
      <c r="B287" s="9" t="n"/>
      <c r="C287" s="9" t="n"/>
      <c r="D287" s="9" t="n"/>
      <c r="E287" s="9" t="n"/>
      <c r="F287" s="10" t="n"/>
      <c r="G287" s="9" t="n"/>
      <c r="H287" s="9" t="n"/>
      <c r="I287" s="9" t="n"/>
      <c r="J287" s="11">
        <f>IF(B287="","",IF(B287&gt;I287,"BUY-DAY","SELL-DAY"))</f>
        <v/>
      </c>
      <c r="K287" s="12">
        <f>IF(B287="","",MAX(C287-D287,ABS(C287-I287),ABS(D287-I287)))</f>
        <v/>
      </c>
      <c r="L287" s="11">
        <f>IF(B287="","",IF(AND(F287&gt;0,F287&gt;(F287/3)*2.5),"VOL-OK","VOL-NG"))</f>
        <v/>
      </c>
      <c r="M287" s="11">
        <f>IF(B287="","",IF(B287&gt;G287,"ON","OFF"))</f>
        <v/>
      </c>
      <c r="N287" s="11">
        <f>IF(B287="","",IF(B287&lt;H287,"ON","OFF"))</f>
        <v/>
      </c>
      <c r="O287" s="11">
        <f>IF(OR(B287="",K287&lt;=0),"",IF(AND(J287="BUY-DAY",L287="VOL-OK",N287="ON",X287="OK",Y287&lt;&gt;"DOWN"),"BUY",IF(AND(J287="SELL-DAY",L287="VOL-OK",M287="ON",X287="OK",Y287&lt;&gt;"UP"),"SELL","")))</f>
        <v/>
      </c>
      <c r="P287" s="12">
        <f>IF(O287="","",B287)</f>
        <v/>
      </c>
      <c r="Q287" s="12">
        <f>IF(O287="","",IF(O287="BUY",B287-K287*1.5,B287+K287*1.5))</f>
        <v/>
      </c>
      <c r="R287" s="12">
        <f>IF(O287="","",IF(O287="BUY",B287+K287*1.5,B287-K287*1.5))</f>
        <v/>
      </c>
      <c r="S287" s="12">
        <f>IF(O287="","",IF(O287="BUY",B287+K287*2,B287-K287*2))</f>
        <v/>
      </c>
      <c r="T287" s="12">
        <f>IF(O287="","",IF(O287="BUY",B287+K287*3,B287-K287*3))</f>
        <v/>
      </c>
      <c r="U287" s="11">
        <f>IF(OR(B287="",K287&lt;=0),"",IF(AND(B287&gt;E287,ABS(B287-E287)&lt;K287*0.5),"2ND","1ST"))</f>
        <v/>
      </c>
      <c r="V287" s="11">
        <f>IF(OR(B287="",K287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7" s="11">
        <f>IF(OR(B287="",K287&lt;=0),"",IF(K287&gt;B287*0.05,"VOL-HIGH","VOL-NORMAL"))</f>
        <v/>
      </c>
      <c r="X287" s="11">
        <f>IF(OR(B287="",K287&lt;=0),"",IF(AND(L287="VOL-OK",W287="VOL-NORMAL",U287="2ND"),"OK","NG"))</f>
        <v/>
      </c>
      <c r="Y287" s="11">
        <f>IF(OR(B287="",K287&lt;=0),"",IF(AND(C287&gt;G287,D287&gt;H287),"UP",IF(AND(C287&lt;G287,D287&lt;H287),"DOWN","FLAT")))</f>
        <v/>
      </c>
    </row>
    <row r="288" ht="26" customHeight="1" s="1">
      <c r="A288" s="13">
        <f>IF('StockList_MS2'!A287="","",HYPERLINK("https://kabutan.jp/stock/?code="&amp;'StockList_MS2'!A287,'StockList_MS2'!A287))</f>
        <v/>
      </c>
      <c r="B288" s="14" t="n"/>
      <c r="C288" s="14" t="n"/>
      <c r="D288" s="14" t="n"/>
      <c r="E288" s="14" t="n"/>
      <c r="F288" s="15" t="n"/>
      <c r="G288" s="14" t="n"/>
      <c r="H288" s="14" t="n"/>
      <c r="I288" s="14" t="n"/>
      <c r="J288" s="16">
        <f>IF(B288="","",IF(B288&gt;I288,"BUY-DAY","SELL-DAY"))</f>
        <v/>
      </c>
      <c r="K288" s="17">
        <f>IF(B288="","",MAX(C288-D288,ABS(C288-I288),ABS(D288-I288)))</f>
        <v/>
      </c>
      <c r="L288" s="16">
        <f>IF(B288="","",IF(AND(F288&gt;0,F288&gt;(F288/3)*2.5),"VOL-OK","VOL-NG"))</f>
        <v/>
      </c>
      <c r="M288" s="16">
        <f>IF(B288="","",IF(B288&gt;G288,"ON","OFF"))</f>
        <v/>
      </c>
      <c r="N288" s="16">
        <f>IF(B288="","",IF(B288&lt;H288,"ON","OFF"))</f>
        <v/>
      </c>
      <c r="O288" s="16">
        <f>IF(OR(B288="",K288&lt;=0),"",IF(AND(J288="BUY-DAY",L288="VOL-OK",N288="ON",X288="OK",Y288&lt;&gt;"DOWN"),"BUY",IF(AND(J288="SELL-DAY",L288="VOL-OK",M288="ON",X288="OK",Y288&lt;&gt;"UP"),"SELL","")))</f>
        <v/>
      </c>
      <c r="P288" s="17">
        <f>IF(O288="","",B288)</f>
        <v/>
      </c>
      <c r="Q288" s="17">
        <f>IF(O288="","",IF(O288="BUY",B288-K288*1.5,B288+K288*1.5))</f>
        <v/>
      </c>
      <c r="R288" s="17">
        <f>IF(O288="","",IF(O288="BUY",B288+K288*1.5,B288-K288*1.5))</f>
        <v/>
      </c>
      <c r="S288" s="17">
        <f>IF(O288="","",IF(O288="BUY",B288+K288*2,B288-K288*2))</f>
        <v/>
      </c>
      <c r="T288" s="17">
        <f>IF(O288="","",IF(O288="BUY",B288+K288*3,B288-K288*3))</f>
        <v/>
      </c>
      <c r="U288" s="16">
        <f>IF(OR(B288="",K288&lt;=0),"",IF(AND(B288&gt;E288,ABS(B288-E288)&lt;K288*0.5),"2ND","1ST"))</f>
        <v/>
      </c>
      <c r="V288" s="16">
        <f>IF(OR(B288="",K288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8" s="16">
        <f>IF(OR(B288="",K288&lt;=0),"",IF(K288&gt;B288*0.05,"VOL-HIGH","VOL-NORMAL"))</f>
        <v/>
      </c>
      <c r="X288" s="16">
        <f>IF(OR(B288="",K288&lt;=0),"",IF(AND(L288="VOL-OK",W288="VOL-NORMAL",U288="2ND"),"OK","NG"))</f>
        <v/>
      </c>
      <c r="Y288" s="16">
        <f>IF(OR(B288="",K288&lt;=0),"",IF(AND(C288&gt;G288,D288&gt;H288),"UP",IF(AND(C288&lt;G288,D288&lt;H288),"DOWN","FLAT")))</f>
        <v/>
      </c>
    </row>
    <row r="289" ht="26" customHeight="1" s="1">
      <c r="A289" s="8">
        <f>IF('StockList_MS2'!A288="","",HYPERLINK("https://kabutan.jp/stock/?code="&amp;'StockList_MS2'!A288,'StockList_MS2'!A288))</f>
        <v/>
      </c>
      <c r="B289" s="9" t="n"/>
      <c r="C289" s="9" t="n"/>
      <c r="D289" s="9" t="n"/>
      <c r="E289" s="9" t="n"/>
      <c r="F289" s="10" t="n"/>
      <c r="G289" s="9" t="n"/>
      <c r="H289" s="9" t="n"/>
      <c r="I289" s="9" t="n"/>
      <c r="J289" s="11">
        <f>IF(B289="","",IF(B289&gt;I289,"BUY-DAY","SELL-DAY"))</f>
        <v/>
      </c>
      <c r="K289" s="12">
        <f>IF(B289="","",MAX(C289-D289,ABS(C289-I289),ABS(D289-I289)))</f>
        <v/>
      </c>
      <c r="L289" s="11">
        <f>IF(B289="","",IF(AND(F289&gt;0,F289&gt;(F289/3)*2.5),"VOL-OK","VOL-NG"))</f>
        <v/>
      </c>
      <c r="M289" s="11">
        <f>IF(B289="","",IF(B289&gt;G289,"ON","OFF"))</f>
        <v/>
      </c>
      <c r="N289" s="11">
        <f>IF(B289="","",IF(B289&lt;H289,"ON","OFF"))</f>
        <v/>
      </c>
      <c r="O289" s="11">
        <f>IF(OR(B289="",K289&lt;=0),"",IF(AND(J289="BUY-DAY",L289="VOL-OK",N289="ON",X289="OK",Y289&lt;&gt;"DOWN"),"BUY",IF(AND(J289="SELL-DAY",L289="VOL-OK",M289="ON",X289="OK",Y289&lt;&gt;"UP"),"SELL","")))</f>
        <v/>
      </c>
      <c r="P289" s="12">
        <f>IF(O289="","",B289)</f>
        <v/>
      </c>
      <c r="Q289" s="12">
        <f>IF(O289="","",IF(O289="BUY",B289-K289*1.5,B289+K289*1.5))</f>
        <v/>
      </c>
      <c r="R289" s="12">
        <f>IF(O289="","",IF(O289="BUY",B289+K289*1.5,B289-K289*1.5))</f>
        <v/>
      </c>
      <c r="S289" s="12">
        <f>IF(O289="","",IF(O289="BUY",B289+K289*2,B289-K289*2))</f>
        <v/>
      </c>
      <c r="T289" s="12">
        <f>IF(O289="","",IF(O289="BUY",B289+K289*3,B289-K289*3))</f>
        <v/>
      </c>
      <c r="U289" s="11">
        <f>IF(OR(B289="",K289&lt;=0),"",IF(AND(B289&gt;E289,ABS(B289-E289)&lt;K289*0.5),"2ND","1ST"))</f>
        <v/>
      </c>
      <c r="V289" s="11">
        <f>IF(OR(B289="",K289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9" s="11">
        <f>IF(OR(B289="",K289&lt;=0),"",IF(K289&gt;B289*0.05,"VOL-HIGH","VOL-NORMAL"))</f>
        <v/>
      </c>
      <c r="X289" s="11">
        <f>IF(OR(B289="",K289&lt;=0),"",IF(AND(L289="VOL-OK",W289="VOL-NORMAL",U289="2ND"),"OK","NG"))</f>
        <v/>
      </c>
      <c r="Y289" s="11">
        <f>IF(OR(B289="",K289&lt;=0),"",IF(AND(C289&gt;G289,D289&gt;H289),"UP",IF(AND(C289&lt;G289,D289&lt;H289),"DOWN","FLAT")))</f>
        <v/>
      </c>
    </row>
    <row r="290" ht="26" customHeight="1" s="1">
      <c r="A290" s="13">
        <f>IF('StockList_MS2'!A289="","",HYPERLINK("https://kabutan.jp/stock/?code="&amp;'StockList_MS2'!A289,'StockList_MS2'!A289))</f>
        <v/>
      </c>
      <c r="B290" s="14" t="n"/>
      <c r="C290" s="14" t="n"/>
      <c r="D290" s="14" t="n"/>
      <c r="E290" s="14" t="n"/>
      <c r="F290" s="15" t="n"/>
      <c r="G290" s="14" t="n"/>
      <c r="H290" s="14" t="n"/>
      <c r="I290" s="14" t="n"/>
      <c r="J290" s="16">
        <f>IF(B290="","",IF(B290&gt;I290,"BUY-DAY","SELL-DAY"))</f>
        <v/>
      </c>
      <c r="K290" s="17">
        <f>IF(B290="","",MAX(C290-D290,ABS(C290-I290),ABS(D290-I290)))</f>
        <v/>
      </c>
      <c r="L290" s="16">
        <f>IF(B290="","",IF(AND(F290&gt;0,F290&gt;(F290/3)*2.5),"VOL-OK","VOL-NG"))</f>
        <v/>
      </c>
      <c r="M290" s="16">
        <f>IF(B290="","",IF(B290&gt;G290,"ON","OFF"))</f>
        <v/>
      </c>
      <c r="N290" s="16">
        <f>IF(B290="","",IF(B290&lt;H290,"ON","OFF"))</f>
        <v/>
      </c>
      <c r="O290" s="16">
        <f>IF(OR(B290="",K290&lt;=0),"",IF(AND(J290="BUY-DAY",L290="VOL-OK",N290="ON",X290="OK",Y290&lt;&gt;"DOWN"),"BUY",IF(AND(J290="SELL-DAY",L290="VOL-OK",M290="ON",X290="OK",Y290&lt;&gt;"UP"),"SELL","")))</f>
        <v/>
      </c>
      <c r="P290" s="17">
        <f>IF(O290="","",B290)</f>
        <v/>
      </c>
      <c r="Q290" s="17">
        <f>IF(O290="","",IF(O290="BUY",B290-K290*1.5,B290+K290*1.5))</f>
        <v/>
      </c>
      <c r="R290" s="17">
        <f>IF(O290="","",IF(O290="BUY",B290+K290*1.5,B290-K290*1.5))</f>
        <v/>
      </c>
      <c r="S290" s="17">
        <f>IF(O290="","",IF(O290="BUY",B290+K290*2,B290-K290*2))</f>
        <v/>
      </c>
      <c r="T290" s="17">
        <f>IF(O290="","",IF(O290="BUY",B290+K290*3,B290-K290*3))</f>
        <v/>
      </c>
      <c r="U290" s="16">
        <f>IF(OR(B290="",K290&lt;=0),"",IF(AND(B290&gt;E290,ABS(B290-E290)&lt;K290*0.5),"2ND","1ST"))</f>
        <v/>
      </c>
      <c r="V290" s="16">
        <f>IF(OR(B290="",K290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0" s="16">
        <f>IF(OR(B290="",K290&lt;=0),"",IF(K290&gt;B290*0.05,"VOL-HIGH","VOL-NORMAL"))</f>
        <v/>
      </c>
      <c r="X290" s="16">
        <f>IF(OR(B290="",K290&lt;=0),"",IF(AND(L290="VOL-OK",W290="VOL-NORMAL",U290="2ND"),"OK","NG"))</f>
        <v/>
      </c>
      <c r="Y290" s="16">
        <f>IF(OR(B290="",K290&lt;=0),"",IF(AND(C290&gt;G290,D290&gt;H290),"UP",IF(AND(C290&lt;G290,D290&lt;H290),"DOWN","FLAT")))</f>
        <v/>
      </c>
    </row>
    <row r="291" ht="26" customHeight="1" s="1">
      <c r="A291" s="8">
        <f>IF('StockList_MS2'!A290="","",HYPERLINK("https://kabutan.jp/stock/?code="&amp;'StockList_MS2'!A290,'StockList_MS2'!A290))</f>
        <v/>
      </c>
      <c r="B291" s="9" t="n"/>
      <c r="C291" s="9" t="n"/>
      <c r="D291" s="9" t="n"/>
      <c r="E291" s="9" t="n"/>
      <c r="F291" s="10" t="n"/>
      <c r="G291" s="9" t="n"/>
      <c r="H291" s="9" t="n"/>
      <c r="I291" s="9" t="n"/>
      <c r="J291" s="11">
        <f>IF(B291="","",IF(B291&gt;I291,"BUY-DAY","SELL-DAY"))</f>
        <v/>
      </c>
      <c r="K291" s="12">
        <f>IF(B291="","",MAX(C291-D291,ABS(C291-I291),ABS(D291-I291)))</f>
        <v/>
      </c>
      <c r="L291" s="11">
        <f>IF(B291="","",IF(AND(F291&gt;0,F291&gt;(F291/3)*2.5),"VOL-OK","VOL-NG"))</f>
        <v/>
      </c>
      <c r="M291" s="11">
        <f>IF(B291="","",IF(B291&gt;G291,"ON","OFF"))</f>
        <v/>
      </c>
      <c r="N291" s="11">
        <f>IF(B291="","",IF(B291&lt;H291,"ON","OFF"))</f>
        <v/>
      </c>
      <c r="O291" s="11">
        <f>IF(OR(B291="",K291&lt;=0),"",IF(AND(J291="BUY-DAY",L291="VOL-OK",N291="ON",X291="OK",Y291&lt;&gt;"DOWN"),"BUY",IF(AND(J291="SELL-DAY",L291="VOL-OK",M291="ON",X291="OK",Y291&lt;&gt;"UP"),"SELL","")))</f>
        <v/>
      </c>
      <c r="P291" s="12">
        <f>IF(O291="","",B291)</f>
        <v/>
      </c>
      <c r="Q291" s="12">
        <f>IF(O291="","",IF(O291="BUY",B291-K291*1.5,B291+K291*1.5))</f>
        <v/>
      </c>
      <c r="R291" s="12">
        <f>IF(O291="","",IF(O291="BUY",B291+K291*1.5,B291-K291*1.5))</f>
        <v/>
      </c>
      <c r="S291" s="12">
        <f>IF(O291="","",IF(O291="BUY",B291+K291*2,B291-K291*2))</f>
        <v/>
      </c>
      <c r="T291" s="12">
        <f>IF(O291="","",IF(O291="BUY",B291+K291*3,B291-K291*3))</f>
        <v/>
      </c>
      <c r="U291" s="11">
        <f>IF(OR(B291="",K291&lt;=0),"",IF(AND(B291&gt;E291,ABS(B291-E291)&lt;K291*0.5),"2ND","1ST"))</f>
        <v/>
      </c>
      <c r="V291" s="11">
        <f>IF(OR(B291="",K291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1" s="11">
        <f>IF(OR(B291="",K291&lt;=0),"",IF(K291&gt;B291*0.05,"VOL-HIGH","VOL-NORMAL"))</f>
        <v/>
      </c>
      <c r="X291" s="11">
        <f>IF(OR(B291="",K291&lt;=0),"",IF(AND(L291="VOL-OK",W291="VOL-NORMAL",U291="2ND"),"OK","NG"))</f>
        <v/>
      </c>
      <c r="Y291" s="11">
        <f>IF(OR(B291="",K291&lt;=0),"",IF(AND(C291&gt;G291,D291&gt;H291),"UP",IF(AND(C291&lt;G291,D291&lt;H291),"DOWN","FLAT")))</f>
        <v/>
      </c>
    </row>
    <row r="292" ht="26" customHeight="1" s="1">
      <c r="A292" s="13">
        <f>IF('StockList_MS2'!A291="","",HYPERLINK("https://kabutan.jp/stock/?code="&amp;'StockList_MS2'!A291,'StockList_MS2'!A291))</f>
        <v/>
      </c>
      <c r="B292" s="14" t="n"/>
      <c r="C292" s="14" t="n"/>
      <c r="D292" s="14" t="n"/>
      <c r="E292" s="14" t="n"/>
      <c r="F292" s="15" t="n"/>
      <c r="G292" s="14" t="n"/>
      <c r="H292" s="14" t="n"/>
      <c r="I292" s="14" t="n"/>
      <c r="J292" s="16">
        <f>IF(B292="","",IF(B292&gt;I292,"BUY-DAY","SELL-DAY"))</f>
        <v/>
      </c>
      <c r="K292" s="17">
        <f>IF(B292="","",MAX(C292-D292,ABS(C292-I292),ABS(D292-I292)))</f>
        <v/>
      </c>
      <c r="L292" s="16">
        <f>IF(B292="","",IF(AND(F292&gt;0,F292&gt;(F292/3)*2.5),"VOL-OK","VOL-NG"))</f>
        <v/>
      </c>
      <c r="M292" s="16">
        <f>IF(B292="","",IF(B292&gt;G292,"ON","OFF"))</f>
        <v/>
      </c>
      <c r="N292" s="16">
        <f>IF(B292="","",IF(B292&lt;H292,"ON","OFF"))</f>
        <v/>
      </c>
      <c r="O292" s="16">
        <f>IF(OR(B292="",K292&lt;=0),"",IF(AND(J292="BUY-DAY",L292="VOL-OK",N292="ON",X292="OK",Y292&lt;&gt;"DOWN"),"BUY",IF(AND(J292="SELL-DAY",L292="VOL-OK",M292="ON",X292="OK",Y292&lt;&gt;"UP"),"SELL","")))</f>
        <v/>
      </c>
      <c r="P292" s="17">
        <f>IF(O292="","",B292)</f>
        <v/>
      </c>
      <c r="Q292" s="17">
        <f>IF(O292="","",IF(O292="BUY",B292-K292*1.5,B292+K292*1.5))</f>
        <v/>
      </c>
      <c r="R292" s="17">
        <f>IF(O292="","",IF(O292="BUY",B292+K292*1.5,B292-K292*1.5))</f>
        <v/>
      </c>
      <c r="S292" s="17">
        <f>IF(O292="","",IF(O292="BUY",B292+K292*2,B292-K292*2))</f>
        <v/>
      </c>
      <c r="T292" s="17">
        <f>IF(O292="","",IF(O292="BUY",B292+K292*3,B292-K292*3))</f>
        <v/>
      </c>
      <c r="U292" s="16">
        <f>IF(OR(B292="",K292&lt;=0),"",IF(AND(B292&gt;E292,ABS(B292-E292)&lt;K292*0.5),"2ND","1ST"))</f>
        <v/>
      </c>
      <c r="V292" s="16">
        <f>IF(OR(B292="",K292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2" s="16">
        <f>IF(OR(B292="",K292&lt;=0),"",IF(K292&gt;B292*0.05,"VOL-HIGH","VOL-NORMAL"))</f>
        <v/>
      </c>
      <c r="X292" s="16">
        <f>IF(OR(B292="",K292&lt;=0),"",IF(AND(L292="VOL-OK",W292="VOL-NORMAL",U292="2ND"),"OK","NG"))</f>
        <v/>
      </c>
      <c r="Y292" s="16">
        <f>IF(OR(B292="",K292&lt;=0),"",IF(AND(C292&gt;G292,D292&gt;H292),"UP",IF(AND(C292&lt;G292,D292&lt;H292),"DOWN","FLAT")))</f>
        <v/>
      </c>
    </row>
    <row r="293" ht="26" customHeight="1" s="1">
      <c r="A293" s="8">
        <f>IF('StockList_MS2'!A292="","",HYPERLINK("https://kabutan.jp/stock/?code="&amp;'StockList_MS2'!A292,'StockList_MS2'!A292))</f>
        <v/>
      </c>
      <c r="B293" s="9" t="n"/>
      <c r="C293" s="9" t="n"/>
      <c r="D293" s="9" t="n"/>
      <c r="E293" s="9" t="n"/>
      <c r="F293" s="10" t="n"/>
      <c r="G293" s="9" t="n"/>
      <c r="H293" s="9" t="n"/>
      <c r="I293" s="9" t="n"/>
      <c r="J293" s="11">
        <f>IF(B293="","",IF(B293&gt;I293,"BUY-DAY","SELL-DAY"))</f>
        <v/>
      </c>
      <c r="K293" s="12">
        <f>IF(B293="","",MAX(C293-D293,ABS(C293-I293),ABS(D293-I293)))</f>
        <v/>
      </c>
      <c r="L293" s="11">
        <f>IF(B293="","",IF(AND(F293&gt;0,F293&gt;(F293/3)*2.5),"VOL-OK","VOL-NG"))</f>
        <v/>
      </c>
      <c r="M293" s="11">
        <f>IF(B293="","",IF(B293&gt;G293,"ON","OFF"))</f>
        <v/>
      </c>
      <c r="N293" s="11">
        <f>IF(B293="","",IF(B293&lt;H293,"ON","OFF"))</f>
        <v/>
      </c>
      <c r="O293" s="11">
        <f>IF(OR(B293="",K293&lt;=0),"",IF(AND(J293="BUY-DAY",L293="VOL-OK",N293="ON",X293="OK",Y293&lt;&gt;"DOWN"),"BUY",IF(AND(J293="SELL-DAY",L293="VOL-OK",M293="ON",X293="OK",Y293&lt;&gt;"UP"),"SELL","")))</f>
        <v/>
      </c>
      <c r="P293" s="12">
        <f>IF(O293="","",B293)</f>
        <v/>
      </c>
      <c r="Q293" s="12">
        <f>IF(O293="","",IF(O293="BUY",B293-K293*1.5,B293+K293*1.5))</f>
        <v/>
      </c>
      <c r="R293" s="12">
        <f>IF(O293="","",IF(O293="BUY",B293+K293*1.5,B293-K293*1.5))</f>
        <v/>
      </c>
      <c r="S293" s="12">
        <f>IF(O293="","",IF(O293="BUY",B293+K293*2,B293-K293*2))</f>
        <v/>
      </c>
      <c r="T293" s="12">
        <f>IF(O293="","",IF(O293="BUY",B293+K293*3,B293-K293*3))</f>
        <v/>
      </c>
      <c r="U293" s="11">
        <f>IF(OR(B293="",K293&lt;=0),"",IF(AND(B293&gt;E293,ABS(B293-E293)&lt;K293*0.5),"2ND","1ST"))</f>
        <v/>
      </c>
      <c r="V293" s="11">
        <f>IF(OR(B293="",K293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3" s="11">
        <f>IF(OR(B293="",K293&lt;=0),"",IF(K293&gt;B293*0.05,"VOL-HIGH","VOL-NORMAL"))</f>
        <v/>
      </c>
      <c r="X293" s="11">
        <f>IF(OR(B293="",K293&lt;=0),"",IF(AND(L293="VOL-OK",W293="VOL-NORMAL",U293="2ND"),"OK","NG"))</f>
        <v/>
      </c>
      <c r="Y293" s="11">
        <f>IF(OR(B293="",K293&lt;=0),"",IF(AND(C293&gt;G293,D293&gt;H293),"UP",IF(AND(C293&lt;G293,D293&lt;H293),"DOWN","FLAT")))</f>
        <v/>
      </c>
    </row>
    <row r="294" ht="26" customHeight="1" s="1">
      <c r="A294" s="13">
        <f>IF('StockList_MS2'!A293="","",HYPERLINK("https://kabutan.jp/stock/?code="&amp;'StockList_MS2'!A293,'StockList_MS2'!A293))</f>
        <v/>
      </c>
      <c r="B294" s="14" t="n"/>
      <c r="C294" s="14" t="n"/>
      <c r="D294" s="14" t="n"/>
      <c r="E294" s="14" t="n"/>
      <c r="F294" s="15" t="n"/>
      <c r="G294" s="14" t="n"/>
      <c r="H294" s="14" t="n"/>
      <c r="I294" s="14" t="n"/>
      <c r="J294" s="16">
        <f>IF(B294="","",IF(B294&gt;I294,"BUY-DAY","SELL-DAY"))</f>
        <v/>
      </c>
      <c r="K294" s="17">
        <f>IF(B294="","",MAX(C294-D294,ABS(C294-I294),ABS(D294-I294)))</f>
        <v/>
      </c>
      <c r="L294" s="16">
        <f>IF(B294="","",IF(AND(F294&gt;0,F294&gt;(F294/3)*2.5),"VOL-OK","VOL-NG"))</f>
        <v/>
      </c>
      <c r="M294" s="16">
        <f>IF(B294="","",IF(B294&gt;G294,"ON","OFF"))</f>
        <v/>
      </c>
      <c r="N294" s="16">
        <f>IF(B294="","",IF(B294&lt;H294,"ON","OFF"))</f>
        <v/>
      </c>
      <c r="O294" s="16">
        <f>IF(OR(B294="",K294&lt;=0),"",IF(AND(J294="BUY-DAY",L294="VOL-OK",N294="ON",X294="OK",Y294&lt;&gt;"DOWN"),"BUY",IF(AND(J294="SELL-DAY",L294="VOL-OK",M294="ON",X294="OK",Y294&lt;&gt;"UP"),"SELL","")))</f>
        <v/>
      </c>
      <c r="P294" s="17">
        <f>IF(O294="","",B294)</f>
        <v/>
      </c>
      <c r="Q294" s="17">
        <f>IF(O294="","",IF(O294="BUY",B294-K294*1.5,B294+K294*1.5))</f>
        <v/>
      </c>
      <c r="R294" s="17">
        <f>IF(O294="","",IF(O294="BUY",B294+K294*1.5,B294-K294*1.5))</f>
        <v/>
      </c>
      <c r="S294" s="17">
        <f>IF(O294="","",IF(O294="BUY",B294+K294*2,B294-K294*2))</f>
        <v/>
      </c>
      <c r="T294" s="17">
        <f>IF(O294="","",IF(O294="BUY",B294+K294*3,B294-K294*3))</f>
        <v/>
      </c>
      <c r="U294" s="16">
        <f>IF(OR(B294="",K294&lt;=0),"",IF(AND(B294&gt;E294,ABS(B294-E294)&lt;K294*0.5),"2ND","1ST"))</f>
        <v/>
      </c>
      <c r="V294" s="16">
        <f>IF(OR(B294="",K294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4" s="16">
        <f>IF(OR(B294="",K294&lt;=0),"",IF(K294&gt;B294*0.05,"VOL-HIGH","VOL-NORMAL"))</f>
        <v/>
      </c>
      <c r="X294" s="16">
        <f>IF(OR(B294="",K294&lt;=0),"",IF(AND(L294="VOL-OK",W294="VOL-NORMAL",U294="2ND"),"OK","NG"))</f>
        <v/>
      </c>
      <c r="Y294" s="16">
        <f>IF(OR(B294="",K294&lt;=0),"",IF(AND(C294&gt;G294,D294&gt;H294),"UP",IF(AND(C294&lt;G294,D294&lt;H294),"DOWN","FLAT")))</f>
        <v/>
      </c>
    </row>
    <row r="295" ht="26" customHeight="1" s="1">
      <c r="A295" s="8">
        <f>IF('StockList_MS2'!A294="","",HYPERLINK("https://kabutan.jp/stock/?code="&amp;'StockList_MS2'!A294,'StockList_MS2'!A294))</f>
        <v/>
      </c>
      <c r="B295" s="9" t="n"/>
      <c r="C295" s="9" t="n"/>
      <c r="D295" s="9" t="n"/>
      <c r="E295" s="9" t="n"/>
      <c r="F295" s="10" t="n"/>
      <c r="G295" s="9" t="n"/>
      <c r="H295" s="9" t="n"/>
      <c r="I295" s="9" t="n"/>
      <c r="J295" s="11">
        <f>IF(B295="","",IF(B295&gt;I295,"BUY-DAY","SELL-DAY"))</f>
        <v/>
      </c>
      <c r="K295" s="12">
        <f>IF(B295="","",MAX(C295-D295,ABS(C295-I295),ABS(D295-I295)))</f>
        <v/>
      </c>
      <c r="L295" s="11">
        <f>IF(B295="","",IF(AND(F295&gt;0,F295&gt;(F295/3)*2.5),"VOL-OK","VOL-NG"))</f>
        <v/>
      </c>
      <c r="M295" s="11">
        <f>IF(B295="","",IF(B295&gt;G295,"ON","OFF"))</f>
        <v/>
      </c>
      <c r="N295" s="11">
        <f>IF(B295="","",IF(B295&lt;H295,"ON","OFF"))</f>
        <v/>
      </c>
      <c r="O295" s="11">
        <f>IF(OR(B295="",K295&lt;=0),"",IF(AND(J295="BUY-DAY",L295="VOL-OK",N295="ON",X295="OK",Y295&lt;&gt;"DOWN"),"BUY",IF(AND(J295="SELL-DAY",L295="VOL-OK",M295="ON",X295="OK",Y295&lt;&gt;"UP"),"SELL","")))</f>
        <v/>
      </c>
      <c r="P295" s="12">
        <f>IF(O295="","",B295)</f>
        <v/>
      </c>
      <c r="Q295" s="12">
        <f>IF(O295="","",IF(O295="BUY",B295-K295*1.5,B295+K295*1.5))</f>
        <v/>
      </c>
      <c r="R295" s="12">
        <f>IF(O295="","",IF(O295="BUY",B295+K295*1.5,B295-K295*1.5))</f>
        <v/>
      </c>
      <c r="S295" s="12">
        <f>IF(O295="","",IF(O295="BUY",B295+K295*2,B295-K295*2))</f>
        <v/>
      </c>
      <c r="T295" s="12">
        <f>IF(O295="","",IF(O295="BUY",B295+K295*3,B295-K295*3))</f>
        <v/>
      </c>
      <c r="U295" s="11">
        <f>IF(OR(B295="",K295&lt;=0),"",IF(AND(B295&gt;E295,ABS(B295-E295)&lt;K295*0.5),"2ND","1ST"))</f>
        <v/>
      </c>
      <c r="V295" s="11">
        <f>IF(OR(B295="",K295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5" s="11">
        <f>IF(OR(B295="",K295&lt;=0),"",IF(K295&gt;B295*0.05,"VOL-HIGH","VOL-NORMAL"))</f>
        <v/>
      </c>
      <c r="X295" s="11">
        <f>IF(OR(B295="",K295&lt;=0),"",IF(AND(L295="VOL-OK",W295="VOL-NORMAL",U295="2ND"),"OK","NG"))</f>
        <v/>
      </c>
      <c r="Y295" s="11">
        <f>IF(OR(B295="",K295&lt;=0),"",IF(AND(C295&gt;G295,D295&gt;H295),"UP",IF(AND(C295&lt;G295,D295&lt;H295),"DOWN","FLAT")))</f>
        <v/>
      </c>
    </row>
    <row r="296" ht="26" customHeight="1" s="1">
      <c r="A296" s="13">
        <f>IF('StockList_MS2'!A295="","",HYPERLINK("https://kabutan.jp/stock/?code="&amp;'StockList_MS2'!A295,'StockList_MS2'!A295))</f>
        <v/>
      </c>
      <c r="B296" s="14" t="n"/>
      <c r="C296" s="14" t="n"/>
      <c r="D296" s="14" t="n"/>
      <c r="E296" s="14" t="n"/>
      <c r="F296" s="15" t="n"/>
      <c r="G296" s="14" t="n"/>
      <c r="H296" s="14" t="n"/>
      <c r="I296" s="14" t="n"/>
      <c r="J296" s="16">
        <f>IF(B296="","",IF(B296&gt;I296,"BUY-DAY","SELL-DAY"))</f>
        <v/>
      </c>
      <c r="K296" s="17">
        <f>IF(B296="","",MAX(C296-D296,ABS(C296-I296),ABS(D296-I296)))</f>
        <v/>
      </c>
      <c r="L296" s="16">
        <f>IF(B296="","",IF(AND(F296&gt;0,F296&gt;(F296/3)*2.5),"VOL-OK","VOL-NG"))</f>
        <v/>
      </c>
      <c r="M296" s="16">
        <f>IF(B296="","",IF(B296&gt;G296,"ON","OFF"))</f>
        <v/>
      </c>
      <c r="N296" s="16">
        <f>IF(B296="","",IF(B296&lt;H296,"ON","OFF"))</f>
        <v/>
      </c>
      <c r="O296" s="16">
        <f>IF(OR(B296="",K296&lt;=0),"",IF(AND(J296="BUY-DAY",L296="VOL-OK",N296="ON",X296="OK",Y296&lt;&gt;"DOWN"),"BUY",IF(AND(J296="SELL-DAY",L296="VOL-OK",M296="ON",X296="OK",Y296&lt;&gt;"UP"),"SELL","")))</f>
        <v/>
      </c>
      <c r="P296" s="17">
        <f>IF(O296="","",B296)</f>
        <v/>
      </c>
      <c r="Q296" s="17">
        <f>IF(O296="","",IF(O296="BUY",B296-K296*1.5,B296+K296*1.5))</f>
        <v/>
      </c>
      <c r="R296" s="17">
        <f>IF(O296="","",IF(O296="BUY",B296+K296*1.5,B296-K296*1.5))</f>
        <v/>
      </c>
      <c r="S296" s="17">
        <f>IF(O296="","",IF(O296="BUY",B296+K296*2,B296-K296*2))</f>
        <v/>
      </c>
      <c r="T296" s="17">
        <f>IF(O296="","",IF(O296="BUY",B296+K296*3,B296-K296*3))</f>
        <v/>
      </c>
      <c r="U296" s="16">
        <f>IF(OR(B296="",K296&lt;=0),"",IF(AND(B296&gt;E296,ABS(B296-E296)&lt;K296*0.5),"2ND","1ST"))</f>
        <v/>
      </c>
      <c r="V296" s="16">
        <f>IF(OR(B296="",K296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6" s="16">
        <f>IF(OR(B296="",K296&lt;=0),"",IF(K296&gt;B296*0.05,"VOL-HIGH","VOL-NORMAL"))</f>
        <v/>
      </c>
      <c r="X296" s="16">
        <f>IF(OR(B296="",K296&lt;=0),"",IF(AND(L296="VOL-OK",W296="VOL-NORMAL",U296="2ND"),"OK","NG"))</f>
        <v/>
      </c>
      <c r="Y296" s="16">
        <f>IF(OR(B296="",K296&lt;=0),"",IF(AND(C296&gt;G296,D296&gt;H296),"UP",IF(AND(C296&lt;G296,D296&lt;H296),"DOWN","FLAT")))</f>
        <v/>
      </c>
    </row>
    <row r="297" ht="26" customHeight="1" s="1">
      <c r="A297" s="8">
        <f>IF('StockList_MS2'!A296="","",HYPERLINK("https://kabutan.jp/stock/?code="&amp;'StockList_MS2'!A296,'StockList_MS2'!A296))</f>
        <v/>
      </c>
      <c r="B297" s="9" t="n"/>
      <c r="C297" s="9" t="n"/>
      <c r="D297" s="9" t="n"/>
      <c r="E297" s="9" t="n"/>
      <c r="F297" s="10" t="n"/>
      <c r="G297" s="9" t="n"/>
      <c r="H297" s="9" t="n"/>
      <c r="I297" s="9" t="n"/>
      <c r="J297" s="11">
        <f>IF(B297="","",IF(B297&gt;I297,"BUY-DAY","SELL-DAY"))</f>
        <v/>
      </c>
      <c r="K297" s="12">
        <f>IF(B297="","",MAX(C297-D297,ABS(C297-I297),ABS(D297-I297)))</f>
        <v/>
      </c>
      <c r="L297" s="11">
        <f>IF(B297="","",IF(AND(F297&gt;0,F297&gt;(F297/3)*2.5),"VOL-OK","VOL-NG"))</f>
        <v/>
      </c>
      <c r="M297" s="11">
        <f>IF(B297="","",IF(B297&gt;G297,"ON","OFF"))</f>
        <v/>
      </c>
      <c r="N297" s="11">
        <f>IF(B297="","",IF(B297&lt;H297,"ON","OFF"))</f>
        <v/>
      </c>
      <c r="O297" s="11">
        <f>IF(OR(B297="",K297&lt;=0),"",IF(AND(J297="BUY-DAY",L297="VOL-OK",N297="ON",X297="OK",Y297&lt;&gt;"DOWN"),"BUY",IF(AND(J297="SELL-DAY",L297="VOL-OK",M297="ON",X297="OK",Y297&lt;&gt;"UP"),"SELL","")))</f>
        <v/>
      </c>
      <c r="P297" s="12">
        <f>IF(O297="","",B297)</f>
        <v/>
      </c>
      <c r="Q297" s="12">
        <f>IF(O297="","",IF(O297="BUY",B297-K297*1.5,B297+K297*1.5))</f>
        <v/>
      </c>
      <c r="R297" s="12">
        <f>IF(O297="","",IF(O297="BUY",B297+K297*1.5,B297-K297*1.5))</f>
        <v/>
      </c>
      <c r="S297" s="12">
        <f>IF(O297="","",IF(O297="BUY",B297+K297*2,B297-K297*2))</f>
        <v/>
      </c>
      <c r="T297" s="12">
        <f>IF(O297="","",IF(O297="BUY",B297+K297*3,B297-K297*3))</f>
        <v/>
      </c>
      <c r="U297" s="11">
        <f>IF(OR(B297="",K297&lt;=0),"",IF(AND(B297&gt;E297,ABS(B297-E297)&lt;K297*0.5),"2ND","1ST"))</f>
        <v/>
      </c>
      <c r="V297" s="11">
        <f>IF(OR(B297="",K297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7" s="11">
        <f>IF(OR(B297="",K297&lt;=0),"",IF(K297&gt;B297*0.05,"VOL-HIGH","VOL-NORMAL"))</f>
        <v/>
      </c>
      <c r="X297" s="11">
        <f>IF(OR(B297="",K297&lt;=0),"",IF(AND(L297="VOL-OK",W297="VOL-NORMAL",U297="2ND"),"OK","NG"))</f>
        <v/>
      </c>
      <c r="Y297" s="11">
        <f>IF(OR(B297="",K297&lt;=0),"",IF(AND(C297&gt;G297,D297&gt;H297),"UP",IF(AND(C297&lt;G297,D297&lt;H297),"DOWN","FLAT")))</f>
        <v/>
      </c>
    </row>
    <row r="298" ht="26" customHeight="1" s="1">
      <c r="A298" s="13">
        <f>IF('StockList_MS2'!A297="","",HYPERLINK("https://kabutan.jp/stock/?code="&amp;'StockList_MS2'!A297,'StockList_MS2'!A297))</f>
        <v/>
      </c>
      <c r="B298" s="14" t="n"/>
      <c r="C298" s="14" t="n"/>
      <c r="D298" s="14" t="n"/>
      <c r="E298" s="14" t="n"/>
      <c r="F298" s="15" t="n"/>
      <c r="G298" s="14" t="n"/>
      <c r="H298" s="14" t="n"/>
      <c r="I298" s="14" t="n"/>
      <c r="J298" s="16">
        <f>IF(B298="","",IF(B298&gt;I298,"BUY-DAY","SELL-DAY"))</f>
        <v/>
      </c>
      <c r="K298" s="17">
        <f>IF(B298="","",MAX(C298-D298,ABS(C298-I298),ABS(D298-I298)))</f>
        <v/>
      </c>
      <c r="L298" s="16">
        <f>IF(B298="","",IF(AND(F298&gt;0,F298&gt;(F298/3)*2.5),"VOL-OK","VOL-NG"))</f>
        <v/>
      </c>
      <c r="M298" s="16">
        <f>IF(B298="","",IF(B298&gt;G298,"ON","OFF"))</f>
        <v/>
      </c>
      <c r="N298" s="16">
        <f>IF(B298="","",IF(B298&lt;H298,"ON","OFF"))</f>
        <v/>
      </c>
      <c r="O298" s="16">
        <f>IF(OR(B298="",K298&lt;=0),"",IF(AND(J298="BUY-DAY",L298="VOL-OK",N298="ON",X298="OK",Y298&lt;&gt;"DOWN"),"BUY",IF(AND(J298="SELL-DAY",L298="VOL-OK",M298="ON",X298="OK",Y298&lt;&gt;"UP"),"SELL","")))</f>
        <v/>
      </c>
      <c r="P298" s="17">
        <f>IF(O298="","",B298)</f>
        <v/>
      </c>
      <c r="Q298" s="17">
        <f>IF(O298="","",IF(O298="BUY",B298-K298*1.5,B298+K298*1.5))</f>
        <v/>
      </c>
      <c r="R298" s="17">
        <f>IF(O298="","",IF(O298="BUY",B298+K298*1.5,B298-K298*1.5))</f>
        <v/>
      </c>
      <c r="S298" s="17">
        <f>IF(O298="","",IF(O298="BUY",B298+K298*2,B298-K298*2))</f>
        <v/>
      </c>
      <c r="T298" s="17">
        <f>IF(O298="","",IF(O298="BUY",B298+K298*3,B298-K298*3))</f>
        <v/>
      </c>
      <c r="U298" s="16">
        <f>IF(OR(B298="",K298&lt;=0),"",IF(AND(B298&gt;E298,ABS(B298-E298)&lt;K298*0.5),"2ND","1ST"))</f>
        <v/>
      </c>
      <c r="V298" s="16">
        <f>IF(OR(B298="",K298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8" s="16">
        <f>IF(OR(B298="",K298&lt;=0),"",IF(K298&gt;B298*0.05,"VOL-HIGH","VOL-NORMAL"))</f>
        <v/>
      </c>
      <c r="X298" s="16">
        <f>IF(OR(B298="",K298&lt;=0),"",IF(AND(L298="VOL-OK",W298="VOL-NORMAL",U298="2ND"),"OK","NG"))</f>
        <v/>
      </c>
      <c r="Y298" s="16">
        <f>IF(OR(B298="",K298&lt;=0),"",IF(AND(C298&gt;G298,D298&gt;H298),"UP",IF(AND(C298&lt;G298,D298&lt;H298),"DOWN","FLAT")))</f>
        <v/>
      </c>
    </row>
    <row r="299" ht="26" customHeight="1" s="1">
      <c r="A299" s="8">
        <f>IF('StockList_MS2'!A298="","",HYPERLINK("https://kabutan.jp/stock/?code="&amp;'StockList_MS2'!A298,'StockList_MS2'!A298))</f>
        <v/>
      </c>
      <c r="B299" s="9" t="n"/>
      <c r="C299" s="9" t="n"/>
      <c r="D299" s="9" t="n"/>
      <c r="E299" s="9" t="n"/>
      <c r="F299" s="10" t="n"/>
      <c r="G299" s="9" t="n"/>
      <c r="H299" s="9" t="n"/>
      <c r="I299" s="9" t="n"/>
      <c r="J299" s="11">
        <f>IF(B299="","",IF(B299&gt;I299,"BUY-DAY","SELL-DAY"))</f>
        <v/>
      </c>
      <c r="K299" s="12">
        <f>IF(B299="","",MAX(C299-D299,ABS(C299-I299),ABS(D299-I299)))</f>
        <v/>
      </c>
      <c r="L299" s="11">
        <f>IF(B299="","",IF(AND(F299&gt;0,F299&gt;(F299/3)*2.5),"VOL-OK","VOL-NG"))</f>
        <v/>
      </c>
      <c r="M299" s="11">
        <f>IF(B299="","",IF(B299&gt;G299,"ON","OFF"))</f>
        <v/>
      </c>
      <c r="N299" s="11">
        <f>IF(B299="","",IF(B299&lt;H299,"ON","OFF"))</f>
        <v/>
      </c>
      <c r="O299" s="11">
        <f>IF(OR(B299="",K299&lt;=0),"",IF(AND(J299="BUY-DAY",L299="VOL-OK",N299="ON",X299="OK",Y299&lt;&gt;"DOWN"),"BUY",IF(AND(J299="SELL-DAY",L299="VOL-OK",M299="ON",X299="OK",Y299&lt;&gt;"UP"),"SELL","")))</f>
        <v/>
      </c>
      <c r="P299" s="12">
        <f>IF(O299="","",B299)</f>
        <v/>
      </c>
      <c r="Q299" s="12">
        <f>IF(O299="","",IF(O299="BUY",B299-K299*1.5,B299+K299*1.5))</f>
        <v/>
      </c>
      <c r="R299" s="12">
        <f>IF(O299="","",IF(O299="BUY",B299+K299*1.5,B299-K299*1.5))</f>
        <v/>
      </c>
      <c r="S299" s="12">
        <f>IF(O299="","",IF(O299="BUY",B299+K299*2,B299-K299*2))</f>
        <v/>
      </c>
      <c r="T299" s="12">
        <f>IF(O299="","",IF(O299="BUY",B299+K299*3,B299-K299*3))</f>
        <v/>
      </c>
      <c r="U299" s="11">
        <f>IF(OR(B299="",K299&lt;=0),"",IF(AND(B299&gt;E299,ABS(B299-E299)&lt;K299*0.5),"2ND","1ST"))</f>
        <v/>
      </c>
      <c r="V299" s="11">
        <f>IF(OR(B299="",K299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9" s="11">
        <f>IF(OR(B299="",K299&lt;=0),"",IF(K299&gt;B299*0.05,"VOL-HIGH","VOL-NORMAL"))</f>
        <v/>
      </c>
      <c r="X299" s="11">
        <f>IF(OR(B299="",K299&lt;=0),"",IF(AND(L299="VOL-OK",W299="VOL-NORMAL",U299="2ND"),"OK","NG"))</f>
        <v/>
      </c>
      <c r="Y299" s="11">
        <f>IF(OR(B299="",K299&lt;=0),"",IF(AND(C299&gt;G299,D299&gt;H299),"UP",IF(AND(C299&lt;G299,D299&lt;H299),"DOWN","FLAT")))</f>
        <v/>
      </c>
    </row>
    <row r="300" ht="26" customHeight="1" s="1">
      <c r="A300" s="13">
        <f>IF('StockList_MS2'!A299="","",HYPERLINK("https://kabutan.jp/stock/?code="&amp;'StockList_MS2'!A299,'StockList_MS2'!A299))</f>
        <v/>
      </c>
      <c r="B300" s="14" t="n"/>
      <c r="C300" s="14" t="n"/>
      <c r="D300" s="14" t="n"/>
      <c r="E300" s="14" t="n"/>
      <c r="F300" s="15" t="n"/>
      <c r="G300" s="14" t="n"/>
      <c r="H300" s="14" t="n"/>
      <c r="I300" s="14" t="n"/>
      <c r="J300" s="16">
        <f>IF(B300="","",IF(B300&gt;I300,"BUY-DAY","SELL-DAY"))</f>
        <v/>
      </c>
      <c r="K300" s="17">
        <f>IF(B300="","",MAX(C300-D300,ABS(C300-I300),ABS(D300-I300)))</f>
        <v/>
      </c>
      <c r="L300" s="16">
        <f>IF(B300="","",IF(AND(F300&gt;0,F300&gt;(F300/3)*2.5),"VOL-OK","VOL-NG"))</f>
        <v/>
      </c>
      <c r="M300" s="16">
        <f>IF(B300="","",IF(B300&gt;G300,"ON","OFF"))</f>
        <v/>
      </c>
      <c r="N300" s="16">
        <f>IF(B300="","",IF(B300&lt;H300,"ON","OFF"))</f>
        <v/>
      </c>
      <c r="O300" s="16">
        <f>IF(OR(B300="",K300&lt;=0),"",IF(AND(J300="BUY-DAY",L300="VOL-OK",N300="ON",X300="OK",Y300&lt;&gt;"DOWN"),"BUY",IF(AND(J300="SELL-DAY",L300="VOL-OK",M300="ON",X300="OK",Y300&lt;&gt;"UP"),"SELL","")))</f>
        <v/>
      </c>
      <c r="P300" s="17">
        <f>IF(O300="","",B300)</f>
        <v/>
      </c>
      <c r="Q300" s="17">
        <f>IF(O300="","",IF(O300="BUY",B300-K300*1.5,B300+K300*1.5))</f>
        <v/>
      </c>
      <c r="R300" s="17">
        <f>IF(O300="","",IF(O300="BUY",B300+K300*1.5,B300-K300*1.5))</f>
        <v/>
      </c>
      <c r="S300" s="17">
        <f>IF(O300="","",IF(O300="BUY",B300+K300*2,B300-K300*2))</f>
        <v/>
      </c>
      <c r="T300" s="17">
        <f>IF(O300="","",IF(O300="BUY",B300+K300*3,B300-K300*3))</f>
        <v/>
      </c>
      <c r="U300" s="16">
        <f>IF(OR(B300="",K300&lt;=0),"",IF(AND(B300&gt;E300,ABS(B300-E300)&lt;K300*0.5),"2ND","1ST"))</f>
        <v/>
      </c>
      <c r="V300" s="16">
        <f>IF(OR(B300="",K300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0" s="16">
        <f>IF(OR(B300="",K300&lt;=0),"",IF(K300&gt;B300*0.05,"VOL-HIGH","VOL-NORMAL"))</f>
        <v/>
      </c>
      <c r="X300" s="16">
        <f>IF(OR(B300="",K300&lt;=0),"",IF(AND(L300="VOL-OK",W300="VOL-NORMAL",U300="2ND"),"OK","NG"))</f>
        <v/>
      </c>
      <c r="Y300" s="16">
        <f>IF(OR(B300="",K300&lt;=0),"",IF(AND(C300&gt;G300,D300&gt;H300),"UP",IF(AND(C300&lt;G300,D300&lt;H300),"DOWN","FLAT")))</f>
        <v/>
      </c>
    </row>
    <row r="301" ht="26" customHeight="1" s="1">
      <c r="A301" s="8">
        <f>IF('StockList_MS2'!A300="","",HYPERLINK("https://kabutan.jp/stock/?code="&amp;'StockList_MS2'!A300,'StockList_MS2'!A300))</f>
        <v/>
      </c>
      <c r="B301" s="9" t="n"/>
      <c r="C301" s="9" t="n"/>
      <c r="D301" s="9" t="n"/>
      <c r="E301" s="9" t="n"/>
      <c r="F301" s="10" t="n"/>
      <c r="G301" s="9" t="n"/>
      <c r="H301" s="9" t="n"/>
      <c r="I301" s="9" t="n"/>
      <c r="J301" s="11">
        <f>IF(B301="","",IF(B301&gt;I301,"BUY-DAY","SELL-DAY"))</f>
        <v/>
      </c>
      <c r="K301" s="12">
        <f>IF(B301="","",MAX(C301-D301,ABS(C301-I301),ABS(D301-I301)))</f>
        <v/>
      </c>
      <c r="L301" s="11">
        <f>IF(B301="","",IF(AND(F301&gt;0,F301&gt;(F301/3)*2.5),"VOL-OK","VOL-NG"))</f>
        <v/>
      </c>
      <c r="M301" s="11">
        <f>IF(B301="","",IF(B301&gt;G301,"ON","OFF"))</f>
        <v/>
      </c>
      <c r="N301" s="11">
        <f>IF(B301="","",IF(B301&lt;H301,"ON","OFF"))</f>
        <v/>
      </c>
      <c r="O301" s="11">
        <f>IF(OR(B301="",K301&lt;=0),"",IF(AND(J301="BUY-DAY",L301="VOL-OK",N301="ON",X301="OK",Y301&lt;&gt;"DOWN"),"BUY",IF(AND(J301="SELL-DAY",L301="VOL-OK",M301="ON",X301="OK",Y301&lt;&gt;"UP"),"SELL","")))</f>
        <v/>
      </c>
      <c r="P301" s="12">
        <f>IF(O301="","",B301)</f>
        <v/>
      </c>
      <c r="Q301" s="12">
        <f>IF(O301="","",IF(O301="BUY",B301-K301*1.5,B301+K301*1.5))</f>
        <v/>
      </c>
      <c r="R301" s="12">
        <f>IF(O301="","",IF(O301="BUY",B301+K301*1.5,B301-K301*1.5))</f>
        <v/>
      </c>
      <c r="S301" s="12">
        <f>IF(O301="","",IF(O301="BUY",B301+K301*2,B301-K301*2))</f>
        <v/>
      </c>
      <c r="T301" s="12">
        <f>IF(O301="","",IF(O301="BUY",B301+K301*3,B301-K301*3))</f>
        <v/>
      </c>
      <c r="U301" s="11">
        <f>IF(OR(B301="",K301&lt;=0),"",IF(AND(B301&gt;E301,ABS(B301-E301)&lt;K301*0.5),"2ND","1ST"))</f>
        <v/>
      </c>
      <c r="V301" s="11">
        <f>IF(OR(B301="",K301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1" s="11">
        <f>IF(OR(B301="",K301&lt;=0),"",IF(K301&gt;B301*0.05,"VOL-HIGH","VOL-NORMAL"))</f>
        <v/>
      </c>
      <c r="X301" s="11">
        <f>IF(OR(B301="",K301&lt;=0),"",IF(AND(L301="VOL-OK",W301="VOL-NORMAL",U301="2ND"),"OK","NG"))</f>
        <v/>
      </c>
      <c r="Y301" s="11">
        <f>IF(OR(B301="",K301&lt;=0),"",IF(AND(C301&gt;G301,D301&gt;H301),"UP",IF(AND(C301&lt;G301,D301&lt;H301),"DOWN","FLAT")))</f>
        <v/>
      </c>
    </row>
    <row r="302" ht="26" customHeight="1" s="1">
      <c r="A302" s="13">
        <f>IF('StockList_MS2'!A301="","",HYPERLINK("https://kabutan.jp/stock/?code="&amp;'StockList_MS2'!A301,'StockList_MS2'!A301))</f>
        <v/>
      </c>
      <c r="B302" s="14" t="n"/>
      <c r="C302" s="14" t="n"/>
      <c r="D302" s="14" t="n"/>
      <c r="E302" s="14" t="n"/>
      <c r="F302" s="15" t="n"/>
      <c r="G302" s="14" t="n"/>
      <c r="H302" s="14" t="n"/>
      <c r="I302" s="14" t="n"/>
      <c r="J302" s="16">
        <f>IF(B302="","",IF(B302&gt;I302,"BUY-DAY","SELL-DAY"))</f>
        <v/>
      </c>
      <c r="K302" s="17">
        <f>IF(B302="","",MAX(C302-D302,ABS(C302-I302),ABS(D302-I302)))</f>
        <v/>
      </c>
      <c r="L302" s="16">
        <f>IF(B302="","",IF(AND(F302&gt;0,F302&gt;(F302/3)*2.5),"VOL-OK","VOL-NG"))</f>
        <v/>
      </c>
      <c r="M302" s="16">
        <f>IF(B302="","",IF(B302&gt;G302,"ON","OFF"))</f>
        <v/>
      </c>
      <c r="N302" s="16">
        <f>IF(B302="","",IF(B302&lt;H302,"ON","OFF"))</f>
        <v/>
      </c>
      <c r="O302" s="16">
        <f>IF(OR(B302="",K302&lt;=0),"",IF(AND(J302="BUY-DAY",L302="VOL-OK",N302="ON",X302="OK",Y302&lt;&gt;"DOWN"),"BUY",IF(AND(J302="SELL-DAY",L302="VOL-OK",M302="ON",X302="OK",Y302&lt;&gt;"UP"),"SELL","")))</f>
        <v/>
      </c>
      <c r="P302" s="17">
        <f>IF(O302="","",B302)</f>
        <v/>
      </c>
      <c r="Q302" s="17">
        <f>IF(O302="","",IF(O302="BUY",B302-K302*1.5,B302+K302*1.5))</f>
        <v/>
      </c>
      <c r="R302" s="17">
        <f>IF(O302="","",IF(O302="BUY",B302+K302*1.5,B302-K302*1.5))</f>
        <v/>
      </c>
      <c r="S302" s="17">
        <f>IF(O302="","",IF(O302="BUY",B302+K302*2,B302-K302*2))</f>
        <v/>
      </c>
      <c r="T302" s="17">
        <f>IF(O302="","",IF(O302="BUY",B302+K302*3,B302-K302*3))</f>
        <v/>
      </c>
      <c r="U302" s="16">
        <f>IF(OR(B302="",K302&lt;=0),"",IF(AND(B302&gt;E302,ABS(B302-E302)&lt;K302*0.5),"2ND","1ST"))</f>
        <v/>
      </c>
      <c r="V302" s="16">
        <f>IF(OR(B302="",K302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2" s="16">
        <f>IF(OR(B302="",K302&lt;=0),"",IF(K302&gt;B302*0.05,"VOL-HIGH","VOL-NORMAL"))</f>
        <v/>
      </c>
      <c r="X302" s="16">
        <f>IF(OR(B302="",K302&lt;=0),"",IF(AND(L302="VOL-OK",W302="VOL-NORMAL",U302="2ND"),"OK","NG"))</f>
        <v/>
      </c>
      <c r="Y302" s="16">
        <f>IF(OR(B302="",K302&lt;=0),"",IF(AND(C302&gt;G302,D302&gt;H302),"UP",IF(AND(C302&lt;G302,D302&lt;H302),"DOWN","FLAT")))</f>
        <v/>
      </c>
    </row>
    <row r="303" ht="26" customHeight="1" s="1">
      <c r="A303" s="8">
        <f>IF('StockList_MS2'!A302="","",HYPERLINK("https://kabutan.jp/stock/?code="&amp;'StockList_MS2'!A302,'StockList_MS2'!A302))</f>
        <v/>
      </c>
      <c r="B303" s="9" t="n"/>
      <c r="C303" s="9" t="n"/>
      <c r="D303" s="9" t="n"/>
      <c r="E303" s="9" t="n"/>
      <c r="F303" s="10" t="n"/>
      <c r="G303" s="9" t="n"/>
      <c r="H303" s="9" t="n"/>
      <c r="I303" s="9" t="n"/>
      <c r="J303" s="11">
        <f>IF(B303="","",IF(B303&gt;I303,"BUY-DAY","SELL-DAY"))</f>
        <v/>
      </c>
      <c r="K303" s="12">
        <f>IF(B303="","",MAX(C303-D303,ABS(C303-I303),ABS(D303-I303)))</f>
        <v/>
      </c>
      <c r="L303" s="11">
        <f>IF(B303="","",IF(AND(F303&gt;0,F303&gt;(F303/3)*2.5),"VOL-OK","VOL-NG"))</f>
        <v/>
      </c>
      <c r="M303" s="11">
        <f>IF(B303="","",IF(B303&gt;G303,"ON","OFF"))</f>
        <v/>
      </c>
      <c r="N303" s="11">
        <f>IF(B303="","",IF(B303&lt;H303,"ON","OFF"))</f>
        <v/>
      </c>
      <c r="O303" s="11">
        <f>IF(OR(B303="",K303&lt;=0),"",IF(AND(J303="BUY-DAY",L303="VOL-OK",N303="ON",X303="OK",Y303&lt;&gt;"DOWN"),"BUY",IF(AND(J303="SELL-DAY",L303="VOL-OK",M303="ON",X303="OK",Y303&lt;&gt;"UP"),"SELL","")))</f>
        <v/>
      </c>
      <c r="P303" s="12">
        <f>IF(O303="","",B303)</f>
        <v/>
      </c>
      <c r="Q303" s="12">
        <f>IF(O303="","",IF(O303="BUY",B303-K303*1.5,B303+K303*1.5))</f>
        <v/>
      </c>
      <c r="R303" s="12">
        <f>IF(O303="","",IF(O303="BUY",B303+K303*1.5,B303-K303*1.5))</f>
        <v/>
      </c>
      <c r="S303" s="12">
        <f>IF(O303="","",IF(O303="BUY",B303+K303*2,B303-K303*2))</f>
        <v/>
      </c>
      <c r="T303" s="12">
        <f>IF(O303="","",IF(O303="BUY",B303+K303*3,B303-K303*3))</f>
        <v/>
      </c>
      <c r="U303" s="11">
        <f>IF(OR(B303="",K303&lt;=0),"",IF(AND(B303&gt;E303,ABS(B303-E303)&lt;K303*0.5),"2ND","1ST"))</f>
        <v/>
      </c>
      <c r="V303" s="11">
        <f>IF(OR(B303="",K303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3" s="11">
        <f>IF(OR(B303="",K303&lt;=0),"",IF(K303&gt;B303*0.05,"VOL-HIGH","VOL-NORMAL"))</f>
        <v/>
      </c>
      <c r="X303" s="11">
        <f>IF(OR(B303="",K303&lt;=0),"",IF(AND(L303="VOL-OK",W303="VOL-NORMAL",U303="2ND"),"OK","NG"))</f>
        <v/>
      </c>
      <c r="Y303" s="11">
        <f>IF(OR(B303="",K303&lt;=0),"",IF(AND(C303&gt;G303,D303&gt;H303),"UP",IF(AND(C303&lt;G303,D303&lt;H303),"DOWN","FLAT")))</f>
        <v/>
      </c>
    </row>
    <row r="304" ht="26" customHeight="1" s="1">
      <c r="A304" s="13">
        <f>IF('StockList_MS2'!A303="","",HYPERLINK("https://kabutan.jp/stock/?code="&amp;'StockList_MS2'!A303,'StockList_MS2'!A303))</f>
        <v/>
      </c>
      <c r="B304" s="14" t="n"/>
      <c r="C304" s="14" t="n"/>
      <c r="D304" s="14" t="n"/>
      <c r="E304" s="14" t="n"/>
      <c r="F304" s="15" t="n"/>
      <c r="G304" s="14" t="n"/>
      <c r="H304" s="14" t="n"/>
      <c r="I304" s="14" t="n"/>
      <c r="J304" s="16">
        <f>IF(B304="","",IF(B304&gt;I304,"BUY-DAY","SELL-DAY"))</f>
        <v/>
      </c>
      <c r="K304" s="17">
        <f>IF(B304="","",MAX(C304-D304,ABS(C304-I304),ABS(D304-I304)))</f>
        <v/>
      </c>
      <c r="L304" s="16">
        <f>IF(B304="","",IF(AND(F304&gt;0,F304&gt;(F304/3)*2.5),"VOL-OK","VOL-NG"))</f>
        <v/>
      </c>
      <c r="M304" s="16">
        <f>IF(B304="","",IF(B304&gt;G304,"ON","OFF"))</f>
        <v/>
      </c>
      <c r="N304" s="16">
        <f>IF(B304="","",IF(B304&lt;H304,"ON","OFF"))</f>
        <v/>
      </c>
      <c r="O304" s="16">
        <f>IF(OR(B304="",K304&lt;=0),"",IF(AND(J304="BUY-DAY",L304="VOL-OK",N304="ON",X304="OK",Y304&lt;&gt;"DOWN"),"BUY",IF(AND(J304="SELL-DAY",L304="VOL-OK",M304="ON",X304="OK",Y304&lt;&gt;"UP"),"SELL","")))</f>
        <v/>
      </c>
      <c r="P304" s="17">
        <f>IF(O304="","",B304)</f>
        <v/>
      </c>
      <c r="Q304" s="17">
        <f>IF(O304="","",IF(O304="BUY",B304-K304*1.5,B304+K304*1.5))</f>
        <v/>
      </c>
      <c r="R304" s="17">
        <f>IF(O304="","",IF(O304="BUY",B304+K304*1.5,B304-K304*1.5))</f>
        <v/>
      </c>
      <c r="S304" s="17">
        <f>IF(O304="","",IF(O304="BUY",B304+K304*2,B304-K304*2))</f>
        <v/>
      </c>
      <c r="T304" s="17">
        <f>IF(O304="","",IF(O304="BUY",B304+K304*3,B304-K304*3))</f>
        <v/>
      </c>
      <c r="U304" s="16">
        <f>IF(OR(B304="",K304&lt;=0),"",IF(AND(B304&gt;E304,ABS(B304-E304)&lt;K304*0.5),"2ND","1ST"))</f>
        <v/>
      </c>
      <c r="V304" s="16">
        <f>IF(OR(B304="",K304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4" s="16">
        <f>IF(OR(B304="",K304&lt;=0),"",IF(K304&gt;B304*0.05,"VOL-HIGH","VOL-NORMAL"))</f>
        <v/>
      </c>
      <c r="X304" s="16">
        <f>IF(OR(B304="",K304&lt;=0),"",IF(AND(L304="VOL-OK",W304="VOL-NORMAL",U304="2ND"),"OK","NG"))</f>
        <v/>
      </c>
      <c r="Y304" s="16">
        <f>IF(OR(B304="",K304&lt;=0),"",IF(AND(C304&gt;G304,D304&gt;H304),"UP",IF(AND(C304&lt;G304,D304&lt;H304),"DOWN","FLAT")))</f>
        <v/>
      </c>
    </row>
    <row r="305" ht="26" customHeight="1" s="1">
      <c r="A305" s="8">
        <f>IF('StockList_MS2'!A304="","",HYPERLINK("https://kabutan.jp/stock/?code="&amp;'StockList_MS2'!A304,'StockList_MS2'!A304))</f>
        <v/>
      </c>
      <c r="B305" s="9" t="n"/>
      <c r="C305" s="9" t="n"/>
      <c r="D305" s="9" t="n"/>
      <c r="E305" s="9" t="n"/>
      <c r="F305" s="10" t="n"/>
      <c r="G305" s="9" t="n"/>
      <c r="H305" s="9" t="n"/>
      <c r="I305" s="9" t="n"/>
      <c r="J305" s="11">
        <f>IF(B305="","",IF(B305&gt;I305,"BUY-DAY","SELL-DAY"))</f>
        <v/>
      </c>
      <c r="K305" s="12">
        <f>IF(B305="","",MAX(C305-D305,ABS(C305-I305),ABS(D305-I305)))</f>
        <v/>
      </c>
      <c r="L305" s="11">
        <f>IF(B305="","",IF(AND(F305&gt;0,F305&gt;(F305/3)*2.5),"VOL-OK","VOL-NG"))</f>
        <v/>
      </c>
      <c r="M305" s="11">
        <f>IF(B305="","",IF(B305&gt;G305,"ON","OFF"))</f>
        <v/>
      </c>
      <c r="N305" s="11">
        <f>IF(B305="","",IF(B305&lt;H305,"ON","OFF"))</f>
        <v/>
      </c>
      <c r="O305" s="11">
        <f>IF(OR(B305="",K305&lt;=0),"",IF(AND(J305="BUY-DAY",L305="VOL-OK",N305="ON",X305="OK",Y305&lt;&gt;"DOWN"),"BUY",IF(AND(J305="SELL-DAY",L305="VOL-OK",M305="ON",X305="OK",Y305&lt;&gt;"UP"),"SELL","")))</f>
        <v/>
      </c>
      <c r="P305" s="12">
        <f>IF(O305="","",B305)</f>
        <v/>
      </c>
      <c r="Q305" s="12">
        <f>IF(O305="","",IF(O305="BUY",B305-K305*1.5,B305+K305*1.5))</f>
        <v/>
      </c>
      <c r="R305" s="12">
        <f>IF(O305="","",IF(O305="BUY",B305+K305*1.5,B305-K305*1.5))</f>
        <v/>
      </c>
      <c r="S305" s="12">
        <f>IF(O305="","",IF(O305="BUY",B305+K305*2,B305-K305*2))</f>
        <v/>
      </c>
      <c r="T305" s="12">
        <f>IF(O305="","",IF(O305="BUY",B305+K305*3,B305-K305*3))</f>
        <v/>
      </c>
      <c r="U305" s="11">
        <f>IF(OR(B305="",K305&lt;=0),"",IF(AND(B305&gt;E305,ABS(B305-E305)&lt;K305*0.5),"2ND","1ST"))</f>
        <v/>
      </c>
      <c r="V305" s="11">
        <f>IF(OR(B305="",K305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5" s="11">
        <f>IF(OR(B305="",K305&lt;=0),"",IF(K305&gt;B305*0.05,"VOL-HIGH","VOL-NORMAL"))</f>
        <v/>
      </c>
      <c r="X305" s="11">
        <f>IF(OR(B305="",K305&lt;=0),"",IF(AND(L305="VOL-OK",W305="VOL-NORMAL",U305="2ND"),"OK","NG"))</f>
        <v/>
      </c>
      <c r="Y305" s="11">
        <f>IF(OR(B305="",K305&lt;=0),"",IF(AND(C305&gt;G305,D305&gt;H305),"UP",IF(AND(C305&lt;G305,D305&lt;H305),"DOWN","FLAT")))</f>
        <v/>
      </c>
    </row>
    <row r="306" ht="26" customHeight="1" s="1">
      <c r="A306" s="13">
        <f>IF('StockList_MS2'!A305="","",HYPERLINK("https://kabutan.jp/stock/?code="&amp;'StockList_MS2'!A305,'StockList_MS2'!A305))</f>
        <v/>
      </c>
      <c r="B306" s="14" t="n"/>
      <c r="C306" s="14" t="n"/>
      <c r="D306" s="14" t="n"/>
      <c r="E306" s="14" t="n"/>
      <c r="F306" s="15" t="n"/>
      <c r="G306" s="14" t="n"/>
      <c r="H306" s="14" t="n"/>
      <c r="I306" s="14" t="n"/>
      <c r="J306" s="16">
        <f>IF(B306="","",IF(B306&gt;I306,"BUY-DAY","SELL-DAY"))</f>
        <v/>
      </c>
      <c r="K306" s="17">
        <f>IF(B306="","",MAX(C306-D306,ABS(C306-I306),ABS(D306-I306)))</f>
        <v/>
      </c>
      <c r="L306" s="16">
        <f>IF(B306="","",IF(AND(F306&gt;0,F306&gt;(F306/3)*2.5),"VOL-OK","VOL-NG"))</f>
        <v/>
      </c>
      <c r="M306" s="16">
        <f>IF(B306="","",IF(B306&gt;G306,"ON","OFF"))</f>
        <v/>
      </c>
      <c r="N306" s="16">
        <f>IF(B306="","",IF(B306&lt;H306,"ON","OFF"))</f>
        <v/>
      </c>
      <c r="O306" s="16">
        <f>IF(OR(B306="",K306&lt;=0),"",IF(AND(J306="BUY-DAY",L306="VOL-OK",N306="ON",X306="OK",Y306&lt;&gt;"DOWN"),"BUY",IF(AND(J306="SELL-DAY",L306="VOL-OK",M306="ON",X306="OK",Y306&lt;&gt;"UP"),"SELL","")))</f>
        <v/>
      </c>
      <c r="P306" s="17">
        <f>IF(O306="","",B306)</f>
        <v/>
      </c>
      <c r="Q306" s="17">
        <f>IF(O306="","",IF(O306="BUY",B306-K306*1.5,B306+K306*1.5))</f>
        <v/>
      </c>
      <c r="R306" s="17">
        <f>IF(O306="","",IF(O306="BUY",B306+K306*1.5,B306-K306*1.5))</f>
        <v/>
      </c>
      <c r="S306" s="17">
        <f>IF(O306="","",IF(O306="BUY",B306+K306*2,B306-K306*2))</f>
        <v/>
      </c>
      <c r="T306" s="17">
        <f>IF(O306="","",IF(O306="BUY",B306+K306*3,B306-K306*3))</f>
        <v/>
      </c>
      <c r="U306" s="16">
        <f>IF(OR(B306="",K306&lt;=0),"",IF(AND(B306&gt;E306,ABS(B306-E306)&lt;K306*0.5),"2ND","1ST"))</f>
        <v/>
      </c>
      <c r="V306" s="16">
        <f>IF(OR(B306="",K306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6" s="16">
        <f>IF(OR(B306="",K306&lt;=0),"",IF(K306&gt;B306*0.05,"VOL-HIGH","VOL-NORMAL"))</f>
        <v/>
      </c>
      <c r="X306" s="16">
        <f>IF(OR(B306="",K306&lt;=0),"",IF(AND(L306="VOL-OK",W306="VOL-NORMAL",U306="2ND"),"OK","NG"))</f>
        <v/>
      </c>
      <c r="Y306" s="16">
        <f>IF(OR(B306="",K306&lt;=0),"",IF(AND(C306&gt;G306,D306&gt;H306),"UP",IF(AND(C306&lt;G306,D306&lt;H306),"DOWN","FLAT")))</f>
        <v/>
      </c>
    </row>
    <row r="307" ht="26" customHeight="1" s="1">
      <c r="A307" s="8">
        <f>IF('StockList_MS2'!A306="","",HYPERLINK("https://kabutan.jp/stock/?code="&amp;'StockList_MS2'!A306,'StockList_MS2'!A306))</f>
        <v/>
      </c>
      <c r="B307" s="9" t="n"/>
      <c r="C307" s="9" t="n"/>
      <c r="D307" s="9" t="n"/>
      <c r="E307" s="9" t="n"/>
      <c r="F307" s="10" t="n"/>
      <c r="G307" s="9" t="n"/>
      <c r="H307" s="9" t="n"/>
      <c r="I307" s="9" t="n"/>
      <c r="J307" s="11">
        <f>IF(B307="","",IF(B307&gt;I307,"BUY-DAY","SELL-DAY"))</f>
        <v/>
      </c>
      <c r="K307" s="12">
        <f>IF(B307="","",MAX(C307-D307,ABS(C307-I307),ABS(D307-I307)))</f>
        <v/>
      </c>
      <c r="L307" s="11">
        <f>IF(B307="","",IF(AND(F307&gt;0,F307&gt;(F307/3)*2.5),"VOL-OK","VOL-NG"))</f>
        <v/>
      </c>
      <c r="M307" s="11">
        <f>IF(B307="","",IF(B307&gt;G307,"ON","OFF"))</f>
        <v/>
      </c>
      <c r="N307" s="11">
        <f>IF(B307="","",IF(B307&lt;H307,"ON","OFF"))</f>
        <v/>
      </c>
      <c r="O307" s="11">
        <f>IF(OR(B307="",K307&lt;=0),"",IF(AND(J307="BUY-DAY",L307="VOL-OK",N307="ON",X307="OK",Y307&lt;&gt;"DOWN"),"BUY",IF(AND(J307="SELL-DAY",L307="VOL-OK",M307="ON",X307="OK",Y307&lt;&gt;"UP"),"SELL","")))</f>
        <v/>
      </c>
      <c r="P307" s="12">
        <f>IF(O307="","",B307)</f>
        <v/>
      </c>
      <c r="Q307" s="12">
        <f>IF(O307="","",IF(O307="BUY",B307-K307*1.5,B307+K307*1.5))</f>
        <v/>
      </c>
      <c r="R307" s="12">
        <f>IF(O307="","",IF(O307="BUY",B307+K307*1.5,B307-K307*1.5))</f>
        <v/>
      </c>
      <c r="S307" s="12">
        <f>IF(O307="","",IF(O307="BUY",B307+K307*2,B307-K307*2))</f>
        <v/>
      </c>
      <c r="T307" s="12">
        <f>IF(O307="","",IF(O307="BUY",B307+K307*3,B307-K307*3))</f>
        <v/>
      </c>
      <c r="U307" s="11">
        <f>IF(OR(B307="",K307&lt;=0),"",IF(AND(B307&gt;E307,ABS(B307-E307)&lt;K307*0.5),"2ND","1ST"))</f>
        <v/>
      </c>
      <c r="V307" s="11">
        <f>IF(OR(B307="",K307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7" s="11">
        <f>IF(OR(B307="",K307&lt;=0),"",IF(K307&gt;B307*0.05,"VOL-HIGH","VOL-NORMAL"))</f>
        <v/>
      </c>
      <c r="X307" s="11">
        <f>IF(OR(B307="",K307&lt;=0),"",IF(AND(L307="VOL-OK",W307="VOL-NORMAL",U307="2ND"),"OK","NG"))</f>
        <v/>
      </c>
      <c r="Y307" s="11">
        <f>IF(OR(B307="",K307&lt;=0),"",IF(AND(C307&gt;G307,D307&gt;H307),"UP",IF(AND(C307&lt;G307,D307&lt;H307),"DOWN","FLAT")))</f>
        <v/>
      </c>
    </row>
    <row r="308" ht="26" customHeight="1" s="1">
      <c r="A308" s="13">
        <f>IF('StockList_MS2'!A307="","",HYPERLINK("https://kabutan.jp/stock/?code="&amp;'StockList_MS2'!A307,'StockList_MS2'!A307))</f>
        <v/>
      </c>
      <c r="B308" s="14" t="n"/>
      <c r="C308" s="14" t="n"/>
      <c r="D308" s="14" t="n"/>
      <c r="E308" s="14" t="n"/>
      <c r="F308" s="15" t="n"/>
      <c r="G308" s="14" t="n"/>
      <c r="H308" s="14" t="n"/>
      <c r="I308" s="14" t="n"/>
      <c r="J308" s="16">
        <f>IF(B308="","",IF(B308&gt;I308,"BUY-DAY","SELL-DAY"))</f>
        <v/>
      </c>
      <c r="K308" s="17">
        <f>IF(B308="","",MAX(C308-D308,ABS(C308-I308),ABS(D308-I308)))</f>
        <v/>
      </c>
      <c r="L308" s="16">
        <f>IF(B308="","",IF(AND(F308&gt;0,F308&gt;(F308/3)*2.5),"VOL-OK","VOL-NG"))</f>
        <v/>
      </c>
      <c r="M308" s="16">
        <f>IF(B308="","",IF(B308&gt;G308,"ON","OFF"))</f>
        <v/>
      </c>
      <c r="N308" s="16">
        <f>IF(B308="","",IF(B308&lt;H308,"ON","OFF"))</f>
        <v/>
      </c>
      <c r="O308" s="16">
        <f>IF(OR(B308="",K308&lt;=0),"",IF(AND(J308="BUY-DAY",L308="VOL-OK",N308="ON",X308="OK",Y308&lt;&gt;"DOWN"),"BUY",IF(AND(J308="SELL-DAY",L308="VOL-OK",M308="ON",X308="OK",Y308&lt;&gt;"UP"),"SELL","")))</f>
        <v/>
      </c>
      <c r="P308" s="17">
        <f>IF(O308="","",B308)</f>
        <v/>
      </c>
      <c r="Q308" s="17">
        <f>IF(O308="","",IF(O308="BUY",B308-K308*1.5,B308+K308*1.5))</f>
        <v/>
      </c>
      <c r="R308" s="17">
        <f>IF(O308="","",IF(O308="BUY",B308+K308*1.5,B308-K308*1.5))</f>
        <v/>
      </c>
      <c r="S308" s="17">
        <f>IF(O308="","",IF(O308="BUY",B308+K308*2,B308-K308*2))</f>
        <v/>
      </c>
      <c r="T308" s="17">
        <f>IF(O308="","",IF(O308="BUY",B308+K308*3,B308-K308*3))</f>
        <v/>
      </c>
      <c r="U308" s="16">
        <f>IF(OR(B308="",K308&lt;=0),"",IF(AND(B308&gt;E308,ABS(B308-E308)&lt;K308*0.5),"2ND","1ST"))</f>
        <v/>
      </c>
      <c r="V308" s="16">
        <f>IF(OR(B308="",K308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8" s="16">
        <f>IF(OR(B308="",K308&lt;=0),"",IF(K308&gt;B308*0.05,"VOL-HIGH","VOL-NORMAL"))</f>
        <v/>
      </c>
      <c r="X308" s="16">
        <f>IF(OR(B308="",K308&lt;=0),"",IF(AND(L308="VOL-OK",W308="VOL-NORMAL",U308="2ND"),"OK","NG"))</f>
        <v/>
      </c>
      <c r="Y308" s="16">
        <f>IF(OR(B308="",K308&lt;=0),"",IF(AND(C308&gt;G308,D308&gt;H308),"UP",IF(AND(C308&lt;G308,D308&lt;H308),"DOWN","FLAT")))</f>
        <v/>
      </c>
    </row>
    <row r="309" ht="26" customHeight="1" s="1">
      <c r="A309" s="8">
        <f>IF('StockList_MS2'!A308="","",HYPERLINK("https://kabutan.jp/stock/?code="&amp;'StockList_MS2'!A308,'StockList_MS2'!A308))</f>
        <v/>
      </c>
      <c r="B309" s="9" t="n"/>
      <c r="C309" s="9" t="n"/>
      <c r="D309" s="9" t="n"/>
      <c r="E309" s="9" t="n"/>
      <c r="F309" s="10" t="n"/>
      <c r="G309" s="9" t="n"/>
      <c r="H309" s="9" t="n"/>
      <c r="I309" s="9" t="n"/>
      <c r="J309" s="11">
        <f>IF(B309="","",IF(B309&gt;I309,"BUY-DAY","SELL-DAY"))</f>
        <v/>
      </c>
      <c r="K309" s="12">
        <f>IF(B309="","",MAX(C309-D309,ABS(C309-I309),ABS(D309-I309)))</f>
        <v/>
      </c>
      <c r="L309" s="11">
        <f>IF(B309="","",IF(AND(F309&gt;0,F309&gt;(F309/3)*2.5),"VOL-OK","VOL-NG"))</f>
        <v/>
      </c>
      <c r="M309" s="11">
        <f>IF(B309="","",IF(B309&gt;G309,"ON","OFF"))</f>
        <v/>
      </c>
      <c r="N309" s="11">
        <f>IF(B309="","",IF(B309&lt;H309,"ON","OFF"))</f>
        <v/>
      </c>
      <c r="O309" s="11">
        <f>IF(OR(B309="",K309&lt;=0),"",IF(AND(J309="BUY-DAY",L309="VOL-OK",N309="ON",X309="OK",Y309&lt;&gt;"DOWN"),"BUY",IF(AND(J309="SELL-DAY",L309="VOL-OK",M309="ON",X309="OK",Y309&lt;&gt;"UP"),"SELL","")))</f>
        <v/>
      </c>
      <c r="P309" s="12">
        <f>IF(O309="","",B309)</f>
        <v/>
      </c>
      <c r="Q309" s="12">
        <f>IF(O309="","",IF(O309="BUY",B309-K309*1.5,B309+K309*1.5))</f>
        <v/>
      </c>
      <c r="R309" s="12">
        <f>IF(O309="","",IF(O309="BUY",B309+K309*1.5,B309-K309*1.5))</f>
        <v/>
      </c>
      <c r="S309" s="12">
        <f>IF(O309="","",IF(O309="BUY",B309+K309*2,B309-K309*2))</f>
        <v/>
      </c>
      <c r="T309" s="12">
        <f>IF(O309="","",IF(O309="BUY",B309+K309*3,B309-K309*3))</f>
        <v/>
      </c>
      <c r="U309" s="11">
        <f>IF(OR(B309="",K309&lt;=0),"",IF(AND(B309&gt;E309,ABS(B309-E309)&lt;K309*0.5),"2ND","1ST"))</f>
        <v/>
      </c>
      <c r="V309" s="11">
        <f>IF(OR(B309="",K309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9" s="11">
        <f>IF(OR(B309="",K309&lt;=0),"",IF(K309&gt;B309*0.05,"VOL-HIGH","VOL-NORMAL"))</f>
        <v/>
      </c>
      <c r="X309" s="11">
        <f>IF(OR(B309="",K309&lt;=0),"",IF(AND(L309="VOL-OK",W309="VOL-NORMAL",U309="2ND"),"OK","NG"))</f>
        <v/>
      </c>
      <c r="Y309" s="11">
        <f>IF(OR(B309="",K309&lt;=0),"",IF(AND(C309&gt;G309,D309&gt;H309),"UP",IF(AND(C309&lt;G309,D309&lt;H309),"DOWN","FLAT")))</f>
        <v/>
      </c>
    </row>
    <row r="310" ht="26" customHeight="1" s="1">
      <c r="A310" s="13">
        <f>IF('StockList_MS2'!A309="","",HYPERLINK("https://kabutan.jp/stock/?code="&amp;'StockList_MS2'!A309,'StockList_MS2'!A309))</f>
        <v/>
      </c>
      <c r="B310" s="14" t="n"/>
      <c r="C310" s="14" t="n"/>
      <c r="D310" s="14" t="n"/>
      <c r="E310" s="14" t="n"/>
      <c r="F310" s="15" t="n"/>
      <c r="G310" s="14" t="n"/>
      <c r="H310" s="14" t="n"/>
      <c r="I310" s="14" t="n"/>
      <c r="J310" s="16">
        <f>IF(B310="","",IF(B310&gt;I310,"BUY-DAY","SELL-DAY"))</f>
        <v/>
      </c>
      <c r="K310" s="17">
        <f>IF(B310="","",MAX(C310-D310,ABS(C310-I310),ABS(D310-I310)))</f>
        <v/>
      </c>
      <c r="L310" s="16">
        <f>IF(B310="","",IF(AND(F310&gt;0,F310&gt;(F310/3)*2.5),"VOL-OK","VOL-NG"))</f>
        <v/>
      </c>
      <c r="M310" s="16">
        <f>IF(B310="","",IF(B310&gt;G310,"ON","OFF"))</f>
        <v/>
      </c>
      <c r="N310" s="16">
        <f>IF(B310="","",IF(B310&lt;H310,"ON","OFF"))</f>
        <v/>
      </c>
      <c r="O310" s="16">
        <f>IF(OR(B310="",K310&lt;=0),"",IF(AND(J310="BUY-DAY",L310="VOL-OK",N310="ON",X310="OK",Y310&lt;&gt;"DOWN"),"BUY",IF(AND(J310="SELL-DAY",L310="VOL-OK",M310="ON",X310="OK",Y310&lt;&gt;"UP"),"SELL","")))</f>
        <v/>
      </c>
      <c r="P310" s="17">
        <f>IF(O310="","",B310)</f>
        <v/>
      </c>
      <c r="Q310" s="17">
        <f>IF(O310="","",IF(O310="BUY",B310-K310*1.5,B310+K310*1.5))</f>
        <v/>
      </c>
      <c r="R310" s="17">
        <f>IF(O310="","",IF(O310="BUY",B310+K310*1.5,B310-K310*1.5))</f>
        <v/>
      </c>
      <c r="S310" s="17">
        <f>IF(O310="","",IF(O310="BUY",B310+K310*2,B310-K310*2))</f>
        <v/>
      </c>
      <c r="T310" s="17">
        <f>IF(O310="","",IF(O310="BUY",B310+K310*3,B310-K310*3))</f>
        <v/>
      </c>
      <c r="U310" s="16">
        <f>IF(OR(B310="",K310&lt;=0),"",IF(AND(B310&gt;E310,ABS(B310-E310)&lt;K310*0.5),"2ND","1ST"))</f>
        <v/>
      </c>
      <c r="V310" s="16">
        <f>IF(OR(B310="",K310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0" s="16">
        <f>IF(OR(B310="",K310&lt;=0),"",IF(K310&gt;B310*0.05,"VOL-HIGH","VOL-NORMAL"))</f>
        <v/>
      </c>
      <c r="X310" s="16">
        <f>IF(OR(B310="",K310&lt;=0),"",IF(AND(L310="VOL-OK",W310="VOL-NORMAL",U310="2ND"),"OK","NG"))</f>
        <v/>
      </c>
      <c r="Y310" s="16">
        <f>IF(OR(B310="",K310&lt;=0),"",IF(AND(C310&gt;G310,D310&gt;H310),"UP",IF(AND(C310&lt;G310,D310&lt;H310),"DOWN","FLAT")))</f>
        <v/>
      </c>
    </row>
    <row r="311" ht="26" customHeight="1" s="1">
      <c r="A311" s="8">
        <f>IF('StockList_MS2'!A310="","",HYPERLINK("https://kabutan.jp/stock/?code="&amp;'StockList_MS2'!A310,'StockList_MS2'!A310))</f>
        <v/>
      </c>
      <c r="B311" s="9" t="n"/>
      <c r="C311" s="9" t="n"/>
      <c r="D311" s="9" t="n"/>
      <c r="E311" s="9" t="n"/>
      <c r="F311" s="10" t="n"/>
      <c r="G311" s="9" t="n"/>
      <c r="H311" s="9" t="n"/>
      <c r="I311" s="9" t="n"/>
      <c r="J311" s="11">
        <f>IF(B311="","",IF(B311&gt;I311,"BUY-DAY","SELL-DAY"))</f>
        <v/>
      </c>
      <c r="K311" s="12">
        <f>IF(B311="","",MAX(C311-D311,ABS(C311-I311),ABS(D311-I311)))</f>
        <v/>
      </c>
      <c r="L311" s="11">
        <f>IF(B311="","",IF(AND(F311&gt;0,F311&gt;(F311/3)*2.5),"VOL-OK","VOL-NG"))</f>
        <v/>
      </c>
      <c r="M311" s="11">
        <f>IF(B311="","",IF(B311&gt;G311,"ON","OFF"))</f>
        <v/>
      </c>
      <c r="N311" s="11">
        <f>IF(B311="","",IF(B311&lt;H311,"ON","OFF"))</f>
        <v/>
      </c>
      <c r="O311" s="11">
        <f>IF(OR(B311="",K311&lt;=0),"",IF(AND(J311="BUY-DAY",L311="VOL-OK",N311="ON",X311="OK",Y311&lt;&gt;"DOWN"),"BUY",IF(AND(J311="SELL-DAY",L311="VOL-OK",M311="ON",X311="OK",Y311&lt;&gt;"UP"),"SELL","")))</f>
        <v/>
      </c>
      <c r="P311" s="12">
        <f>IF(O311="","",B311)</f>
        <v/>
      </c>
      <c r="Q311" s="12">
        <f>IF(O311="","",IF(O311="BUY",B311-K311*1.5,B311+K311*1.5))</f>
        <v/>
      </c>
      <c r="R311" s="12">
        <f>IF(O311="","",IF(O311="BUY",B311+K311*1.5,B311-K311*1.5))</f>
        <v/>
      </c>
      <c r="S311" s="12">
        <f>IF(O311="","",IF(O311="BUY",B311+K311*2,B311-K311*2))</f>
        <v/>
      </c>
      <c r="T311" s="12">
        <f>IF(O311="","",IF(O311="BUY",B311+K311*3,B311-K311*3))</f>
        <v/>
      </c>
      <c r="U311" s="11">
        <f>IF(OR(B311="",K311&lt;=0),"",IF(AND(B311&gt;E311,ABS(B311-E311)&lt;K311*0.5),"2ND","1ST"))</f>
        <v/>
      </c>
      <c r="V311" s="11">
        <f>IF(OR(B311="",K311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1" s="11">
        <f>IF(OR(B311="",K311&lt;=0),"",IF(K311&gt;B311*0.05,"VOL-HIGH","VOL-NORMAL"))</f>
        <v/>
      </c>
      <c r="X311" s="11">
        <f>IF(OR(B311="",K311&lt;=0),"",IF(AND(L311="VOL-OK",W311="VOL-NORMAL",U311="2ND"),"OK","NG"))</f>
        <v/>
      </c>
      <c r="Y311" s="11">
        <f>IF(OR(B311="",K311&lt;=0),"",IF(AND(C311&gt;G311,D311&gt;H311),"UP",IF(AND(C311&lt;G311,D311&lt;H311),"DOWN","FLAT")))</f>
        <v/>
      </c>
    </row>
    <row r="312" ht="26" customHeight="1" s="1">
      <c r="A312" s="13">
        <f>IF('StockList_MS2'!A311="","",HYPERLINK("https://kabutan.jp/stock/?code="&amp;'StockList_MS2'!A311,'StockList_MS2'!A311))</f>
        <v/>
      </c>
      <c r="B312" s="14" t="n"/>
      <c r="C312" s="14" t="n"/>
      <c r="D312" s="14" t="n"/>
      <c r="E312" s="14" t="n"/>
      <c r="F312" s="15" t="n"/>
      <c r="G312" s="14" t="n"/>
      <c r="H312" s="14" t="n"/>
      <c r="I312" s="14" t="n"/>
      <c r="J312" s="16">
        <f>IF(B312="","",IF(B312&gt;I312,"BUY-DAY","SELL-DAY"))</f>
        <v/>
      </c>
      <c r="K312" s="17">
        <f>IF(B312="","",MAX(C312-D312,ABS(C312-I312),ABS(D312-I312)))</f>
        <v/>
      </c>
      <c r="L312" s="16">
        <f>IF(B312="","",IF(AND(F312&gt;0,F312&gt;(F312/3)*2.5),"VOL-OK","VOL-NG"))</f>
        <v/>
      </c>
      <c r="M312" s="16">
        <f>IF(B312="","",IF(B312&gt;G312,"ON","OFF"))</f>
        <v/>
      </c>
      <c r="N312" s="16">
        <f>IF(B312="","",IF(B312&lt;H312,"ON","OFF"))</f>
        <v/>
      </c>
      <c r="O312" s="16">
        <f>IF(OR(B312="",K312&lt;=0),"",IF(AND(J312="BUY-DAY",L312="VOL-OK",N312="ON",X312="OK",Y312&lt;&gt;"DOWN"),"BUY",IF(AND(J312="SELL-DAY",L312="VOL-OK",M312="ON",X312="OK",Y312&lt;&gt;"UP"),"SELL","")))</f>
        <v/>
      </c>
      <c r="P312" s="17">
        <f>IF(O312="","",B312)</f>
        <v/>
      </c>
      <c r="Q312" s="17">
        <f>IF(O312="","",IF(O312="BUY",B312-K312*1.5,B312+K312*1.5))</f>
        <v/>
      </c>
      <c r="R312" s="17">
        <f>IF(O312="","",IF(O312="BUY",B312+K312*1.5,B312-K312*1.5))</f>
        <v/>
      </c>
      <c r="S312" s="17">
        <f>IF(O312="","",IF(O312="BUY",B312+K312*2,B312-K312*2))</f>
        <v/>
      </c>
      <c r="T312" s="17">
        <f>IF(O312="","",IF(O312="BUY",B312+K312*3,B312-K312*3))</f>
        <v/>
      </c>
      <c r="U312" s="16">
        <f>IF(OR(B312="",K312&lt;=0),"",IF(AND(B312&gt;E312,ABS(B312-E312)&lt;K312*0.5),"2ND","1ST"))</f>
        <v/>
      </c>
      <c r="V312" s="16">
        <f>IF(OR(B312="",K312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2" s="16">
        <f>IF(OR(B312="",K312&lt;=0),"",IF(K312&gt;B312*0.05,"VOL-HIGH","VOL-NORMAL"))</f>
        <v/>
      </c>
      <c r="X312" s="16">
        <f>IF(OR(B312="",K312&lt;=0),"",IF(AND(L312="VOL-OK",W312="VOL-NORMAL",U312="2ND"),"OK","NG"))</f>
        <v/>
      </c>
      <c r="Y312" s="16">
        <f>IF(OR(B312="",K312&lt;=0),"",IF(AND(C312&gt;G312,D312&gt;H312),"UP",IF(AND(C312&lt;G312,D312&lt;H312),"DOWN","FLAT")))</f>
        <v/>
      </c>
    </row>
    <row r="313" ht="26" customHeight="1" s="1">
      <c r="A313" s="8">
        <f>IF('StockList_MS2'!A312="","",HYPERLINK("https://kabutan.jp/stock/?code="&amp;'StockList_MS2'!A312,'StockList_MS2'!A312))</f>
        <v/>
      </c>
      <c r="B313" s="9" t="n"/>
      <c r="C313" s="9" t="n"/>
      <c r="D313" s="9" t="n"/>
      <c r="E313" s="9" t="n"/>
      <c r="F313" s="10" t="n"/>
      <c r="G313" s="9" t="n"/>
      <c r="H313" s="9" t="n"/>
      <c r="I313" s="9" t="n"/>
      <c r="J313" s="11">
        <f>IF(B313="","",IF(B313&gt;I313,"BUY-DAY","SELL-DAY"))</f>
        <v/>
      </c>
      <c r="K313" s="12">
        <f>IF(B313="","",MAX(C313-D313,ABS(C313-I313),ABS(D313-I313)))</f>
        <v/>
      </c>
      <c r="L313" s="11">
        <f>IF(B313="","",IF(AND(F313&gt;0,F313&gt;(F313/3)*2.5),"VOL-OK","VOL-NG"))</f>
        <v/>
      </c>
      <c r="M313" s="11">
        <f>IF(B313="","",IF(B313&gt;G313,"ON","OFF"))</f>
        <v/>
      </c>
      <c r="N313" s="11">
        <f>IF(B313="","",IF(B313&lt;H313,"ON","OFF"))</f>
        <v/>
      </c>
      <c r="O313" s="11">
        <f>IF(OR(B313="",K313&lt;=0),"",IF(AND(J313="BUY-DAY",L313="VOL-OK",N313="ON",X313="OK",Y313&lt;&gt;"DOWN"),"BUY",IF(AND(J313="SELL-DAY",L313="VOL-OK",M313="ON",X313="OK",Y313&lt;&gt;"UP"),"SELL","")))</f>
        <v/>
      </c>
      <c r="P313" s="12">
        <f>IF(O313="","",B313)</f>
        <v/>
      </c>
      <c r="Q313" s="12">
        <f>IF(O313="","",IF(O313="BUY",B313-K313*1.5,B313+K313*1.5))</f>
        <v/>
      </c>
      <c r="R313" s="12">
        <f>IF(O313="","",IF(O313="BUY",B313+K313*1.5,B313-K313*1.5))</f>
        <v/>
      </c>
      <c r="S313" s="12">
        <f>IF(O313="","",IF(O313="BUY",B313+K313*2,B313-K313*2))</f>
        <v/>
      </c>
      <c r="T313" s="12">
        <f>IF(O313="","",IF(O313="BUY",B313+K313*3,B313-K313*3))</f>
        <v/>
      </c>
      <c r="U313" s="11">
        <f>IF(OR(B313="",K313&lt;=0),"",IF(AND(B313&gt;E313,ABS(B313-E313)&lt;K313*0.5),"2ND","1ST"))</f>
        <v/>
      </c>
      <c r="V313" s="11">
        <f>IF(OR(B313="",K313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3" s="11">
        <f>IF(OR(B313="",K313&lt;=0),"",IF(K313&gt;B313*0.05,"VOL-HIGH","VOL-NORMAL"))</f>
        <v/>
      </c>
      <c r="X313" s="11">
        <f>IF(OR(B313="",K313&lt;=0),"",IF(AND(L313="VOL-OK",W313="VOL-NORMAL",U313="2ND"),"OK","NG"))</f>
        <v/>
      </c>
      <c r="Y313" s="11">
        <f>IF(OR(B313="",K313&lt;=0),"",IF(AND(C313&gt;G313,D313&gt;H313),"UP",IF(AND(C313&lt;G313,D313&lt;H313),"DOWN","FLAT")))</f>
        <v/>
      </c>
    </row>
    <row r="314" ht="26" customHeight="1" s="1">
      <c r="A314" s="13">
        <f>IF('StockList_MS2'!A313="","",HYPERLINK("https://kabutan.jp/stock/?code="&amp;'StockList_MS2'!A313,'StockList_MS2'!A313))</f>
        <v/>
      </c>
      <c r="B314" s="14" t="n"/>
      <c r="C314" s="14" t="n"/>
      <c r="D314" s="14" t="n"/>
      <c r="E314" s="14" t="n"/>
      <c r="F314" s="15" t="n"/>
      <c r="G314" s="14" t="n"/>
      <c r="H314" s="14" t="n"/>
      <c r="I314" s="14" t="n"/>
      <c r="J314" s="16">
        <f>IF(B314="","",IF(B314&gt;I314,"BUY-DAY","SELL-DAY"))</f>
        <v/>
      </c>
      <c r="K314" s="17">
        <f>IF(B314="","",MAX(C314-D314,ABS(C314-I314),ABS(D314-I314)))</f>
        <v/>
      </c>
      <c r="L314" s="16">
        <f>IF(B314="","",IF(AND(F314&gt;0,F314&gt;(F314/3)*2.5),"VOL-OK","VOL-NG"))</f>
        <v/>
      </c>
      <c r="M314" s="16">
        <f>IF(B314="","",IF(B314&gt;G314,"ON","OFF"))</f>
        <v/>
      </c>
      <c r="N314" s="16">
        <f>IF(B314="","",IF(B314&lt;H314,"ON","OFF"))</f>
        <v/>
      </c>
      <c r="O314" s="16">
        <f>IF(OR(B314="",K314&lt;=0),"",IF(AND(J314="BUY-DAY",L314="VOL-OK",N314="ON",X314="OK",Y314&lt;&gt;"DOWN"),"BUY",IF(AND(J314="SELL-DAY",L314="VOL-OK",M314="ON",X314="OK",Y314&lt;&gt;"UP"),"SELL","")))</f>
        <v/>
      </c>
      <c r="P314" s="17">
        <f>IF(O314="","",B314)</f>
        <v/>
      </c>
      <c r="Q314" s="17">
        <f>IF(O314="","",IF(O314="BUY",B314-K314*1.5,B314+K314*1.5))</f>
        <v/>
      </c>
      <c r="R314" s="17">
        <f>IF(O314="","",IF(O314="BUY",B314+K314*1.5,B314-K314*1.5))</f>
        <v/>
      </c>
      <c r="S314" s="17">
        <f>IF(O314="","",IF(O314="BUY",B314+K314*2,B314-K314*2))</f>
        <v/>
      </c>
      <c r="T314" s="17">
        <f>IF(O314="","",IF(O314="BUY",B314+K314*3,B314-K314*3))</f>
        <v/>
      </c>
      <c r="U314" s="16">
        <f>IF(OR(B314="",K314&lt;=0),"",IF(AND(B314&gt;E314,ABS(B314-E314)&lt;K314*0.5),"2ND","1ST"))</f>
        <v/>
      </c>
      <c r="V314" s="16">
        <f>IF(OR(B314="",K314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4" s="16">
        <f>IF(OR(B314="",K314&lt;=0),"",IF(K314&gt;B314*0.05,"VOL-HIGH","VOL-NORMAL"))</f>
        <v/>
      </c>
      <c r="X314" s="16">
        <f>IF(OR(B314="",K314&lt;=0),"",IF(AND(L314="VOL-OK",W314="VOL-NORMAL",U314="2ND"),"OK","NG"))</f>
        <v/>
      </c>
      <c r="Y314" s="16">
        <f>IF(OR(B314="",K314&lt;=0),"",IF(AND(C314&gt;G314,D314&gt;H314),"UP",IF(AND(C314&lt;G314,D314&lt;H314),"DOWN","FLAT")))</f>
        <v/>
      </c>
    </row>
    <row r="315" ht="26" customHeight="1" s="1">
      <c r="A315" s="8">
        <f>IF('StockList_MS2'!A314="","",HYPERLINK("https://kabutan.jp/stock/?code="&amp;'StockList_MS2'!A314,'StockList_MS2'!A314))</f>
        <v/>
      </c>
      <c r="B315" s="9" t="n"/>
      <c r="C315" s="9" t="n"/>
      <c r="D315" s="9" t="n"/>
      <c r="E315" s="9" t="n"/>
      <c r="F315" s="10" t="n"/>
      <c r="G315" s="9" t="n"/>
      <c r="H315" s="9" t="n"/>
      <c r="I315" s="9" t="n"/>
      <c r="J315" s="11">
        <f>IF(B315="","",IF(B315&gt;I315,"BUY-DAY","SELL-DAY"))</f>
        <v/>
      </c>
      <c r="K315" s="12">
        <f>IF(B315="","",MAX(C315-D315,ABS(C315-I315),ABS(D315-I315)))</f>
        <v/>
      </c>
      <c r="L315" s="11">
        <f>IF(B315="","",IF(AND(F315&gt;0,F315&gt;(F315/3)*2.5),"VOL-OK","VOL-NG"))</f>
        <v/>
      </c>
      <c r="M315" s="11">
        <f>IF(B315="","",IF(B315&gt;G315,"ON","OFF"))</f>
        <v/>
      </c>
      <c r="N315" s="11">
        <f>IF(B315="","",IF(B315&lt;H315,"ON","OFF"))</f>
        <v/>
      </c>
      <c r="O315" s="11">
        <f>IF(OR(B315="",K315&lt;=0),"",IF(AND(J315="BUY-DAY",L315="VOL-OK",N315="ON",X315="OK",Y315&lt;&gt;"DOWN"),"BUY",IF(AND(J315="SELL-DAY",L315="VOL-OK",M315="ON",X315="OK",Y315&lt;&gt;"UP"),"SELL","")))</f>
        <v/>
      </c>
      <c r="P315" s="12">
        <f>IF(O315="","",B315)</f>
        <v/>
      </c>
      <c r="Q315" s="12">
        <f>IF(O315="","",IF(O315="BUY",B315-K315*1.5,B315+K315*1.5))</f>
        <v/>
      </c>
      <c r="R315" s="12">
        <f>IF(O315="","",IF(O315="BUY",B315+K315*1.5,B315-K315*1.5))</f>
        <v/>
      </c>
      <c r="S315" s="12">
        <f>IF(O315="","",IF(O315="BUY",B315+K315*2,B315-K315*2))</f>
        <v/>
      </c>
      <c r="T315" s="12">
        <f>IF(O315="","",IF(O315="BUY",B315+K315*3,B315-K315*3))</f>
        <v/>
      </c>
      <c r="U315" s="11">
        <f>IF(OR(B315="",K315&lt;=0),"",IF(AND(B315&gt;E315,ABS(B315-E315)&lt;K315*0.5),"2ND","1ST"))</f>
        <v/>
      </c>
      <c r="V315" s="11">
        <f>IF(OR(B315="",K315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5" s="11">
        <f>IF(OR(B315="",K315&lt;=0),"",IF(K315&gt;B315*0.05,"VOL-HIGH","VOL-NORMAL"))</f>
        <v/>
      </c>
      <c r="X315" s="11">
        <f>IF(OR(B315="",K315&lt;=0),"",IF(AND(L315="VOL-OK",W315="VOL-NORMAL",U315="2ND"),"OK","NG"))</f>
        <v/>
      </c>
      <c r="Y315" s="11">
        <f>IF(OR(B315="",K315&lt;=0),"",IF(AND(C315&gt;G315,D315&gt;H315),"UP",IF(AND(C315&lt;G315,D315&lt;H315),"DOWN","FLAT")))</f>
        <v/>
      </c>
    </row>
    <row r="316" ht="26" customHeight="1" s="1">
      <c r="A316" s="13">
        <f>IF('StockList_MS2'!A315="","",HYPERLINK("https://kabutan.jp/stock/?code="&amp;'StockList_MS2'!A315,'StockList_MS2'!A315))</f>
        <v/>
      </c>
      <c r="B316" s="14" t="n"/>
      <c r="C316" s="14" t="n"/>
      <c r="D316" s="14" t="n"/>
      <c r="E316" s="14" t="n"/>
      <c r="F316" s="15" t="n"/>
      <c r="G316" s="14" t="n"/>
      <c r="H316" s="14" t="n"/>
      <c r="I316" s="14" t="n"/>
      <c r="J316" s="16">
        <f>IF(B316="","",IF(B316&gt;I316,"BUY-DAY","SELL-DAY"))</f>
        <v/>
      </c>
      <c r="K316" s="17">
        <f>IF(B316="","",MAX(C316-D316,ABS(C316-I316),ABS(D316-I316)))</f>
        <v/>
      </c>
      <c r="L316" s="16">
        <f>IF(B316="","",IF(AND(F316&gt;0,F316&gt;(F316/3)*2.5),"VOL-OK","VOL-NG"))</f>
        <v/>
      </c>
      <c r="M316" s="16">
        <f>IF(B316="","",IF(B316&gt;G316,"ON","OFF"))</f>
        <v/>
      </c>
      <c r="N316" s="16">
        <f>IF(B316="","",IF(B316&lt;H316,"ON","OFF"))</f>
        <v/>
      </c>
      <c r="O316" s="16">
        <f>IF(OR(B316="",K316&lt;=0),"",IF(AND(J316="BUY-DAY",L316="VOL-OK",N316="ON",X316="OK",Y316&lt;&gt;"DOWN"),"BUY",IF(AND(J316="SELL-DAY",L316="VOL-OK",M316="ON",X316="OK",Y316&lt;&gt;"UP"),"SELL","")))</f>
        <v/>
      </c>
      <c r="P316" s="17">
        <f>IF(O316="","",B316)</f>
        <v/>
      </c>
      <c r="Q316" s="17">
        <f>IF(O316="","",IF(O316="BUY",B316-K316*1.5,B316+K316*1.5))</f>
        <v/>
      </c>
      <c r="R316" s="17">
        <f>IF(O316="","",IF(O316="BUY",B316+K316*1.5,B316-K316*1.5))</f>
        <v/>
      </c>
      <c r="S316" s="17">
        <f>IF(O316="","",IF(O316="BUY",B316+K316*2,B316-K316*2))</f>
        <v/>
      </c>
      <c r="T316" s="17">
        <f>IF(O316="","",IF(O316="BUY",B316+K316*3,B316-K316*3))</f>
        <v/>
      </c>
      <c r="U316" s="16">
        <f>IF(OR(B316="",K316&lt;=0),"",IF(AND(B316&gt;E316,ABS(B316-E316)&lt;K316*0.5),"2ND","1ST"))</f>
        <v/>
      </c>
      <c r="V316" s="16">
        <f>IF(OR(B316="",K316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6" s="16">
        <f>IF(OR(B316="",K316&lt;=0),"",IF(K316&gt;B316*0.05,"VOL-HIGH","VOL-NORMAL"))</f>
        <v/>
      </c>
      <c r="X316" s="16">
        <f>IF(OR(B316="",K316&lt;=0),"",IF(AND(L316="VOL-OK",W316="VOL-NORMAL",U316="2ND"),"OK","NG"))</f>
        <v/>
      </c>
      <c r="Y316" s="16">
        <f>IF(OR(B316="",K316&lt;=0),"",IF(AND(C316&gt;G316,D316&gt;H316),"UP",IF(AND(C316&lt;G316,D316&lt;H316),"DOWN","FLAT")))</f>
        <v/>
      </c>
    </row>
    <row r="317" ht="26" customHeight="1" s="1">
      <c r="A317" s="8">
        <f>IF('StockList_MS2'!A316="","",HYPERLINK("https://kabutan.jp/stock/?code="&amp;'StockList_MS2'!A316,'StockList_MS2'!A316))</f>
        <v/>
      </c>
      <c r="B317" s="9" t="n"/>
      <c r="C317" s="9" t="n"/>
      <c r="D317" s="9" t="n"/>
      <c r="E317" s="9" t="n"/>
      <c r="F317" s="10" t="n"/>
      <c r="G317" s="9" t="n"/>
      <c r="H317" s="9" t="n"/>
      <c r="I317" s="9" t="n"/>
      <c r="J317" s="11">
        <f>IF(B317="","",IF(B317&gt;I317,"BUY-DAY","SELL-DAY"))</f>
        <v/>
      </c>
      <c r="K317" s="12">
        <f>IF(B317="","",MAX(C317-D317,ABS(C317-I317),ABS(D317-I317)))</f>
        <v/>
      </c>
      <c r="L317" s="11">
        <f>IF(B317="","",IF(AND(F317&gt;0,F317&gt;(F317/3)*2.5),"VOL-OK","VOL-NG"))</f>
        <v/>
      </c>
      <c r="M317" s="11">
        <f>IF(B317="","",IF(B317&gt;G317,"ON","OFF"))</f>
        <v/>
      </c>
      <c r="N317" s="11">
        <f>IF(B317="","",IF(B317&lt;H317,"ON","OFF"))</f>
        <v/>
      </c>
      <c r="O317" s="11">
        <f>IF(OR(B317="",K317&lt;=0),"",IF(AND(J317="BUY-DAY",L317="VOL-OK",N317="ON",X317="OK",Y317&lt;&gt;"DOWN"),"BUY",IF(AND(J317="SELL-DAY",L317="VOL-OK",M317="ON",X317="OK",Y317&lt;&gt;"UP"),"SELL","")))</f>
        <v/>
      </c>
      <c r="P317" s="12">
        <f>IF(O317="","",B317)</f>
        <v/>
      </c>
      <c r="Q317" s="12">
        <f>IF(O317="","",IF(O317="BUY",B317-K317*1.5,B317+K317*1.5))</f>
        <v/>
      </c>
      <c r="R317" s="12">
        <f>IF(O317="","",IF(O317="BUY",B317+K317*1.5,B317-K317*1.5))</f>
        <v/>
      </c>
      <c r="S317" s="12">
        <f>IF(O317="","",IF(O317="BUY",B317+K317*2,B317-K317*2))</f>
        <v/>
      </c>
      <c r="T317" s="12">
        <f>IF(O317="","",IF(O317="BUY",B317+K317*3,B317-K317*3))</f>
        <v/>
      </c>
      <c r="U317" s="11">
        <f>IF(OR(B317="",K317&lt;=0),"",IF(AND(B317&gt;E317,ABS(B317-E317)&lt;K317*0.5),"2ND","1ST"))</f>
        <v/>
      </c>
      <c r="V317" s="11">
        <f>IF(OR(B317="",K317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7" s="11">
        <f>IF(OR(B317="",K317&lt;=0),"",IF(K317&gt;B317*0.05,"VOL-HIGH","VOL-NORMAL"))</f>
        <v/>
      </c>
      <c r="X317" s="11">
        <f>IF(OR(B317="",K317&lt;=0),"",IF(AND(L317="VOL-OK",W317="VOL-NORMAL",U317="2ND"),"OK","NG"))</f>
        <v/>
      </c>
      <c r="Y317" s="11">
        <f>IF(OR(B317="",K317&lt;=0),"",IF(AND(C317&gt;G317,D317&gt;H317),"UP",IF(AND(C317&lt;G317,D317&lt;H317),"DOWN","FLAT")))</f>
        <v/>
      </c>
    </row>
    <row r="318" ht="26" customHeight="1" s="1">
      <c r="A318" s="13">
        <f>IF('StockList_MS2'!A317="","",HYPERLINK("https://kabutan.jp/stock/?code="&amp;'StockList_MS2'!A317,'StockList_MS2'!A317))</f>
        <v/>
      </c>
      <c r="B318" s="14" t="n"/>
      <c r="C318" s="14" t="n"/>
      <c r="D318" s="14" t="n"/>
      <c r="E318" s="14" t="n"/>
      <c r="F318" s="15" t="n"/>
      <c r="G318" s="14" t="n"/>
      <c r="H318" s="14" t="n"/>
      <c r="I318" s="14" t="n"/>
      <c r="J318" s="16">
        <f>IF(B318="","",IF(B318&gt;I318,"BUY-DAY","SELL-DAY"))</f>
        <v/>
      </c>
      <c r="K318" s="17">
        <f>IF(B318="","",MAX(C318-D318,ABS(C318-I318),ABS(D318-I318)))</f>
        <v/>
      </c>
      <c r="L318" s="16">
        <f>IF(B318="","",IF(AND(F318&gt;0,F318&gt;(F318/3)*2.5),"VOL-OK","VOL-NG"))</f>
        <v/>
      </c>
      <c r="M318" s="16">
        <f>IF(B318="","",IF(B318&gt;G318,"ON","OFF"))</f>
        <v/>
      </c>
      <c r="N318" s="16">
        <f>IF(B318="","",IF(B318&lt;H318,"ON","OFF"))</f>
        <v/>
      </c>
      <c r="O318" s="16">
        <f>IF(OR(B318="",K318&lt;=0),"",IF(AND(J318="BUY-DAY",L318="VOL-OK",N318="ON",X318="OK",Y318&lt;&gt;"DOWN"),"BUY",IF(AND(J318="SELL-DAY",L318="VOL-OK",M318="ON",X318="OK",Y318&lt;&gt;"UP"),"SELL","")))</f>
        <v/>
      </c>
      <c r="P318" s="17">
        <f>IF(O318="","",B318)</f>
        <v/>
      </c>
      <c r="Q318" s="17">
        <f>IF(O318="","",IF(O318="BUY",B318-K318*1.5,B318+K318*1.5))</f>
        <v/>
      </c>
      <c r="R318" s="17">
        <f>IF(O318="","",IF(O318="BUY",B318+K318*1.5,B318-K318*1.5))</f>
        <v/>
      </c>
      <c r="S318" s="17">
        <f>IF(O318="","",IF(O318="BUY",B318+K318*2,B318-K318*2))</f>
        <v/>
      </c>
      <c r="T318" s="17">
        <f>IF(O318="","",IF(O318="BUY",B318+K318*3,B318-K318*3))</f>
        <v/>
      </c>
      <c r="U318" s="16">
        <f>IF(OR(B318="",K318&lt;=0),"",IF(AND(B318&gt;E318,ABS(B318-E318)&lt;K318*0.5),"2ND","1ST"))</f>
        <v/>
      </c>
      <c r="V318" s="16">
        <f>IF(OR(B318="",K318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8" s="16">
        <f>IF(OR(B318="",K318&lt;=0),"",IF(K318&gt;B318*0.05,"VOL-HIGH","VOL-NORMAL"))</f>
        <v/>
      </c>
      <c r="X318" s="16">
        <f>IF(OR(B318="",K318&lt;=0),"",IF(AND(L318="VOL-OK",W318="VOL-NORMAL",U318="2ND"),"OK","NG"))</f>
        <v/>
      </c>
      <c r="Y318" s="16">
        <f>IF(OR(B318="",K318&lt;=0),"",IF(AND(C318&gt;G318,D318&gt;H318),"UP",IF(AND(C318&lt;G318,D318&lt;H318),"DOWN","FLAT")))</f>
        <v/>
      </c>
    </row>
    <row r="319" ht="26" customHeight="1" s="1">
      <c r="A319" s="8">
        <f>IF('StockList_MS2'!A318="","",HYPERLINK("https://kabutan.jp/stock/?code="&amp;'StockList_MS2'!A318,'StockList_MS2'!A318))</f>
        <v/>
      </c>
      <c r="B319" s="9" t="n"/>
      <c r="C319" s="9" t="n"/>
      <c r="D319" s="9" t="n"/>
      <c r="E319" s="9" t="n"/>
      <c r="F319" s="10" t="n"/>
      <c r="G319" s="9" t="n"/>
      <c r="H319" s="9" t="n"/>
      <c r="I319" s="9" t="n"/>
      <c r="J319" s="11">
        <f>IF(B319="","",IF(B319&gt;I319,"BUY-DAY","SELL-DAY"))</f>
        <v/>
      </c>
      <c r="K319" s="12">
        <f>IF(B319="","",MAX(C319-D319,ABS(C319-I319),ABS(D319-I319)))</f>
        <v/>
      </c>
      <c r="L319" s="11">
        <f>IF(B319="","",IF(AND(F319&gt;0,F319&gt;(F319/3)*2.5),"VOL-OK","VOL-NG"))</f>
        <v/>
      </c>
      <c r="M319" s="11">
        <f>IF(B319="","",IF(B319&gt;G319,"ON","OFF"))</f>
        <v/>
      </c>
      <c r="N319" s="11">
        <f>IF(B319="","",IF(B319&lt;H319,"ON","OFF"))</f>
        <v/>
      </c>
      <c r="O319" s="11">
        <f>IF(OR(B319="",K319&lt;=0),"",IF(AND(J319="BUY-DAY",L319="VOL-OK",N319="ON",X319="OK",Y319&lt;&gt;"DOWN"),"BUY",IF(AND(J319="SELL-DAY",L319="VOL-OK",M319="ON",X319="OK",Y319&lt;&gt;"UP"),"SELL","")))</f>
        <v/>
      </c>
      <c r="P319" s="12">
        <f>IF(O319="","",B319)</f>
        <v/>
      </c>
      <c r="Q319" s="12">
        <f>IF(O319="","",IF(O319="BUY",B319-K319*1.5,B319+K319*1.5))</f>
        <v/>
      </c>
      <c r="R319" s="12">
        <f>IF(O319="","",IF(O319="BUY",B319+K319*1.5,B319-K319*1.5))</f>
        <v/>
      </c>
      <c r="S319" s="12">
        <f>IF(O319="","",IF(O319="BUY",B319+K319*2,B319-K319*2))</f>
        <v/>
      </c>
      <c r="T319" s="12">
        <f>IF(O319="","",IF(O319="BUY",B319+K319*3,B319-K319*3))</f>
        <v/>
      </c>
      <c r="U319" s="11">
        <f>IF(OR(B319="",K319&lt;=0),"",IF(AND(B319&gt;E319,ABS(B319-E319)&lt;K319*0.5),"2ND","1ST"))</f>
        <v/>
      </c>
      <c r="V319" s="11">
        <f>IF(OR(B319="",K319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9" s="11">
        <f>IF(OR(B319="",K319&lt;=0),"",IF(K319&gt;B319*0.05,"VOL-HIGH","VOL-NORMAL"))</f>
        <v/>
      </c>
      <c r="X319" s="11">
        <f>IF(OR(B319="",K319&lt;=0),"",IF(AND(L319="VOL-OK",W319="VOL-NORMAL",U319="2ND"),"OK","NG"))</f>
        <v/>
      </c>
      <c r="Y319" s="11">
        <f>IF(OR(B319="",K319&lt;=0),"",IF(AND(C319&gt;G319,D319&gt;H319),"UP",IF(AND(C319&lt;G319,D319&lt;H319),"DOWN","FLAT")))</f>
        <v/>
      </c>
    </row>
    <row r="320" ht="26" customHeight="1" s="1">
      <c r="A320" s="13">
        <f>IF('StockList_MS2'!A319="","",HYPERLINK("https://kabutan.jp/stock/?code="&amp;'StockList_MS2'!A319,'StockList_MS2'!A319))</f>
        <v/>
      </c>
      <c r="B320" s="14" t="n"/>
      <c r="C320" s="14" t="n"/>
      <c r="D320" s="14" t="n"/>
      <c r="E320" s="14" t="n"/>
      <c r="F320" s="15" t="n"/>
      <c r="G320" s="14" t="n"/>
      <c r="H320" s="14" t="n"/>
      <c r="I320" s="14" t="n"/>
      <c r="J320" s="16">
        <f>IF(B320="","",IF(B320&gt;I320,"BUY-DAY","SELL-DAY"))</f>
        <v/>
      </c>
      <c r="K320" s="17">
        <f>IF(B320="","",MAX(C320-D320,ABS(C320-I320),ABS(D320-I320)))</f>
        <v/>
      </c>
      <c r="L320" s="16">
        <f>IF(B320="","",IF(AND(F320&gt;0,F320&gt;(F320/3)*2.5),"VOL-OK","VOL-NG"))</f>
        <v/>
      </c>
      <c r="M320" s="16">
        <f>IF(B320="","",IF(B320&gt;G320,"ON","OFF"))</f>
        <v/>
      </c>
      <c r="N320" s="16">
        <f>IF(B320="","",IF(B320&lt;H320,"ON","OFF"))</f>
        <v/>
      </c>
      <c r="O320" s="16">
        <f>IF(OR(B320="",K320&lt;=0),"",IF(AND(J320="BUY-DAY",L320="VOL-OK",N320="ON",X320="OK",Y320&lt;&gt;"DOWN"),"BUY",IF(AND(J320="SELL-DAY",L320="VOL-OK",M320="ON",X320="OK",Y320&lt;&gt;"UP"),"SELL","")))</f>
        <v/>
      </c>
      <c r="P320" s="17">
        <f>IF(O320="","",B320)</f>
        <v/>
      </c>
      <c r="Q320" s="17">
        <f>IF(O320="","",IF(O320="BUY",B320-K320*1.5,B320+K320*1.5))</f>
        <v/>
      </c>
      <c r="R320" s="17">
        <f>IF(O320="","",IF(O320="BUY",B320+K320*1.5,B320-K320*1.5))</f>
        <v/>
      </c>
      <c r="S320" s="17">
        <f>IF(O320="","",IF(O320="BUY",B320+K320*2,B320-K320*2))</f>
        <v/>
      </c>
      <c r="T320" s="17">
        <f>IF(O320="","",IF(O320="BUY",B320+K320*3,B320-K320*3))</f>
        <v/>
      </c>
      <c r="U320" s="16">
        <f>IF(OR(B320="",K320&lt;=0),"",IF(AND(B320&gt;E320,ABS(B320-E320)&lt;K320*0.5),"2ND","1ST"))</f>
        <v/>
      </c>
      <c r="V320" s="16">
        <f>IF(OR(B320="",K320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0" s="16">
        <f>IF(OR(B320="",K320&lt;=0),"",IF(K320&gt;B320*0.05,"VOL-HIGH","VOL-NORMAL"))</f>
        <v/>
      </c>
      <c r="X320" s="16">
        <f>IF(OR(B320="",K320&lt;=0),"",IF(AND(L320="VOL-OK",W320="VOL-NORMAL",U320="2ND"),"OK","NG"))</f>
        <v/>
      </c>
      <c r="Y320" s="16">
        <f>IF(OR(B320="",K320&lt;=0),"",IF(AND(C320&gt;G320,D320&gt;H320),"UP",IF(AND(C320&lt;G320,D320&lt;H320),"DOWN","FLAT")))</f>
        <v/>
      </c>
    </row>
    <row r="321" ht="26" customHeight="1" s="1">
      <c r="A321" s="8">
        <f>IF('StockList_MS2'!A320="","",HYPERLINK("https://kabutan.jp/stock/?code="&amp;'StockList_MS2'!A320,'StockList_MS2'!A320))</f>
        <v/>
      </c>
      <c r="B321" s="9" t="n"/>
      <c r="C321" s="9" t="n"/>
      <c r="D321" s="9" t="n"/>
      <c r="E321" s="9" t="n"/>
      <c r="F321" s="10" t="n"/>
      <c r="G321" s="9" t="n"/>
      <c r="H321" s="9" t="n"/>
      <c r="I321" s="9" t="n"/>
      <c r="J321" s="11">
        <f>IF(B321="","",IF(B321&gt;I321,"BUY-DAY","SELL-DAY"))</f>
        <v/>
      </c>
      <c r="K321" s="12">
        <f>IF(B321="","",MAX(C321-D321,ABS(C321-I321),ABS(D321-I321)))</f>
        <v/>
      </c>
      <c r="L321" s="11">
        <f>IF(B321="","",IF(AND(F321&gt;0,F321&gt;(F321/3)*2.5),"VOL-OK","VOL-NG"))</f>
        <v/>
      </c>
      <c r="M321" s="11">
        <f>IF(B321="","",IF(B321&gt;G321,"ON","OFF"))</f>
        <v/>
      </c>
      <c r="N321" s="11">
        <f>IF(B321="","",IF(B321&lt;H321,"ON","OFF"))</f>
        <v/>
      </c>
      <c r="O321" s="11">
        <f>IF(OR(B321="",K321&lt;=0),"",IF(AND(J321="BUY-DAY",L321="VOL-OK",N321="ON",X321="OK",Y321&lt;&gt;"DOWN"),"BUY",IF(AND(J321="SELL-DAY",L321="VOL-OK",M321="ON",X321="OK",Y321&lt;&gt;"UP"),"SELL","")))</f>
        <v/>
      </c>
      <c r="P321" s="12">
        <f>IF(O321="","",B321)</f>
        <v/>
      </c>
      <c r="Q321" s="12">
        <f>IF(O321="","",IF(O321="BUY",B321-K321*1.5,B321+K321*1.5))</f>
        <v/>
      </c>
      <c r="R321" s="12">
        <f>IF(O321="","",IF(O321="BUY",B321+K321*1.5,B321-K321*1.5))</f>
        <v/>
      </c>
      <c r="S321" s="12">
        <f>IF(O321="","",IF(O321="BUY",B321+K321*2,B321-K321*2))</f>
        <v/>
      </c>
      <c r="T321" s="12">
        <f>IF(O321="","",IF(O321="BUY",B321+K321*3,B321-K321*3))</f>
        <v/>
      </c>
      <c r="U321" s="11">
        <f>IF(OR(B321="",K321&lt;=0),"",IF(AND(B321&gt;E321,ABS(B321-E321)&lt;K321*0.5),"2ND","1ST"))</f>
        <v/>
      </c>
      <c r="V321" s="11">
        <f>IF(OR(B321="",K321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1" s="11">
        <f>IF(OR(B321="",K321&lt;=0),"",IF(K321&gt;B321*0.05,"VOL-HIGH","VOL-NORMAL"))</f>
        <v/>
      </c>
      <c r="X321" s="11">
        <f>IF(OR(B321="",K321&lt;=0),"",IF(AND(L321="VOL-OK",W321="VOL-NORMAL",U321="2ND"),"OK","NG"))</f>
        <v/>
      </c>
      <c r="Y321" s="11">
        <f>IF(OR(B321="",K321&lt;=0),"",IF(AND(C321&gt;G321,D321&gt;H321),"UP",IF(AND(C321&lt;G321,D321&lt;H321),"DOWN","FLAT")))</f>
        <v/>
      </c>
    </row>
    <row r="322" ht="26" customHeight="1" s="1">
      <c r="A322" s="13">
        <f>IF('StockList_MS2'!A321="","",HYPERLINK("https://kabutan.jp/stock/?code="&amp;'StockList_MS2'!A321,'StockList_MS2'!A321))</f>
        <v/>
      </c>
      <c r="B322" s="14" t="n"/>
      <c r="C322" s="14" t="n"/>
      <c r="D322" s="14" t="n"/>
      <c r="E322" s="14" t="n"/>
      <c r="F322" s="15" t="n"/>
      <c r="G322" s="14" t="n"/>
      <c r="H322" s="14" t="n"/>
      <c r="I322" s="14" t="n"/>
      <c r="J322" s="16">
        <f>IF(B322="","",IF(B322&gt;I322,"BUY-DAY","SELL-DAY"))</f>
        <v/>
      </c>
      <c r="K322" s="17">
        <f>IF(B322="","",MAX(C322-D322,ABS(C322-I322),ABS(D322-I322)))</f>
        <v/>
      </c>
      <c r="L322" s="16">
        <f>IF(B322="","",IF(AND(F322&gt;0,F322&gt;(F322/3)*2.5),"VOL-OK","VOL-NG"))</f>
        <v/>
      </c>
      <c r="M322" s="16">
        <f>IF(B322="","",IF(B322&gt;G322,"ON","OFF"))</f>
        <v/>
      </c>
      <c r="N322" s="16">
        <f>IF(B322="","",IF(B322&lt;H322,"ON","OFF"))</f>
        <v/>
      </c>
      <c r="O322" s="16">
        <f>IF(OR(B322="",K322&lt;=0),"",IF(AND(J322="BUY-DAY",L322="VOL-OK",N322="ON",X322="OK",Y322&lt;&gt;"DOWN"),"BUY",IF(AND(J322="SELL-DAY",L322="VOL-OK",M322="ON",X322="OK",Y322&lt;&gt;"UP"),"SELL","")))</f>
        <v/>
      </c>
      <c r="P322" s="17">
        <f>IF(O322="","",B322)</f>
        <v/>
      </c>
      <c r="Q322" s="17">
        <f>IF(O322="","",IF(O322="BUY",B322-K322*1.5,B322+K322*1.5))</f>
        <v/>
      </c>
      <c r="R322" s="17">
        <f>IF(O322="","",IF(O322="BUY",B322+K322*1.5,B322-K322*1.5))</f>
        <v/>
      </c>
      <c r="S322" s="17">
        <f>IF(O322="","",IF(O322="BUY",B322+K322*2,B322-K322*2))</f>
        <v/>
      </c>
      <c r="T322" s="17">
        <f>IF(O322="","",IF(O322="BUY",B322+K322*3,B322-K322*3))</f>
        <v/>
      </c>
      <c r="U322" s="16">
        <f>IF(OR(B322="",K322&lt;=0),"",IF(AND(B322&gt;E322,ABS(B322-E322)&lt;K322*0.5),"2ND","1ST"))</f>
        <v/>
      </c>
      <c r="V322" s="16">
        <f>IF(OR(B322="",K322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2" s="16">
        <f>IF(OR(B322="",K322&lt;=0),"",IF(K322&gt;B322*0.05,"VOL-HIGH","VOL-NORMAL"))</f>
        <v/>
      </c>
      <c r="X322" s="16">
        <f>IF(OR(B322="",K322&lt;=0),"",IF(AND(L322="VOL-OK",W322="VOL-NORMAL",U322="2ND"),"OK","NG"))</f>
        <v/>
      </c>
      <c r="Y322" s="16">
        <f>IF(OR(B322="",K322&lt;=0),"",IF(AND(C322&gt;G322,D322&gt;H322),"UP",IF(AND(C322&lt;G322,D322&lt;H322),"DOWN","FLAT")))</f>
        <v/>
      </c>
    </row>
    <row r="323" ht="26" customHeight="1" s="1">
      <c r="A323" s="8">
        <f>IF('StockList_MS2'!A322="","",HYPERLINK("https://kabutan.jp/stock/?code="&amp;'StockList_MS2'!A322,'StockList_MS2'!A322))</f>
        <v/>
      </c>
      <c r="B323" s="9" t="n"/>
      <c r="C323" s="9" t="n"/>
      <c r="D323" s="9" t="n"/>
      <c r="E323" s="9" t="n"/>
      <c r="F323" s="10" t="n"/>
      <c r="G323" s="9" t="n"/>
      <c r="H323" s="9" t="n"/>
      <c r="I323" s="9" t="n"/>
      <c r="J323" s="11">
        <f>IF(B323="","",IF(B323&gt;I323,"BUY-DAY","SELL-DAY"))</f>
        <v/>
      </c>
      <c r="K323" s="12">
        <f>IF(B323="","",MAX(C323-D323,ABS(C323-I323),ABS(D323-I323)))</f>
        <v/>
      </c>
      <c r="L323" s="11">
        <f>IF(B323="","",IF(AND(F323&gt;0,F323&gt;(F323/3)*2.5),"VOL-OK","VOL-NG"))</f>
        <v/>
      </c>
      <c r="M323" s="11">
        <f>IF(B323="","",IF(B323&gt;G323,"ON","OFF"))</f>
        <v/>
      </c>
      <c r="N323" s="11">
        <f>IF(B323="","",IF(B323&lt;H323,"ON","OFF"))</f>
        <v/>
      </c>
      <c r="O323" s="11">
        <f>IF(OR(B323="",K323&lt;=0),"",IF(AND(J323="BUY-DAY",L323="VOL-OK",N323="ON",X323="OK",Y323&lt;&gt;"DOWN"),"BUY",IF(AND(J323="SELL-DAY",L323="VOL-OK",M323="ON",X323="OK",Y323&lt;&gt;"UP"),"SELL","")))</f>
        <v/>
      </c>
      <c r="P323" s="12">
        <f>IF(O323="","",B323)</f>
        <v/>
      </c>
      <c r="Q323" s="12">
        <f>IF(O323="","",IF(O323="BUY",B323-K323*1.5,B323+K323*1.5))</f>
        <v/>
      </c>
      <c r="R323" s="12">
        <f>IF(O323="","",IF(O323="BUY",B323+K323*1.5,B323-K323*1.5))</f>
        <v/>
      </c>
      <c r="S323" s="12">
        <f>IF(O323="","",IF(O323="BUY",B323+K323*2,B323-K323*2))</f>
        <v/>
      </c>
      <c r="T323" s="12">
        <f>IF(O323="","",IF(O323="BUY",B323+K323*3,B323-K323*3))</f>
        <v/>
      </c>
      <c r="U323" s="11">
        <f>IF(OR(B323="",K323&lt;=0),"",IF(AND(B323&gt;E323,ABS(B323-E323)&lt;K323*0.5),"2ND","1ST"))</f>
        <v/>
      </c>
      <c r="V323" s="11">
        <f>IF(OR(B323="",K323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3" s="11">
        <f>IF(OR(B323="",K323&lt;=0),"",IF(K323&gt;B323*0.05,"VOL-HIGH","VOL-NORMAL"))</f>
        <v/>
      </c>
      <c r="X323" s="11">
        <f>IF(OR(B323="",K323&lt;=0),"",IF(AND(L323="VOL-OK",W323="VOL-NORMAL",U323="2ND"),"OK","NG"))</f>
        <v/>
      </c>
      <c r="Y323" s="11">
        <f>IF(OR(B323="",K323&lt;=0),"",IF(AND(C323&gt;G323,D323&gt;H323),"UP",IF(AND(C323&lt;G323,D323&lt;H323),"DOWN","FLAT")))</f>
        <v/>
      </c>
    </row>
    <row r="324" ht="26" customHeight="1" s="1">
      <c r="A324" s="13">
        <f>IF('StockList_MS2'!A323="","",HYPERLINK("https://kabutan.jp/stock/?code="&amp;'StockList_MS2'!A323,'StockList_MS2'!A323))</f>
        <v/>
      </c>
      <c r="B324" s="14" t="n"/>
      <c r="C324" s="14" t="n"/>
      <c r="D324" s="14" t="n"/>
      <c r="E324" s="14" t="n"/>
      <c r="F324" s="15" t="n"/>
      <c r="G324" s="14" t="n"/>
      <c r="H324" s="14" t="n"/>
      <c r="I324" s="14" t="n"/>
      <c r="J324" s="16">
        <f>IF(B324="","",IF(B324&gt;I324,"BUY-DAY","SELL-DAY"))</f>
        <v/>
      </c>
      <c r="K324" s="17">
        <f>IF(B324="","",MAX(C324-D324,ABS(C324-I324),ABS(D324-I324)))</f>
        <v/>
      </c>
      <c r="L324" s="16">
        <f>IF(B324="","",IF(AND(F324&gt;0,F324&gt;(F324/3)*2.5),"VOL-OK","VOL-NG"))</f>
        <v/>
      </c>
      <c r="M324" s="16">
        <f>IF(B324="","",IF(B324&gt;G324,"ON","OFF"))</f>
        <v/>
      </c>
      <c r="N324" s="16">
        <f>IF(B324="","",IF(B324&lt;H324,"ON","OFF"))</f>
        <v/>
      </c>
      <c r="O324" s="16">
        <f>IF(OR(B324="",K324&lt;=0),"",IF(AND(J324="BUY-DAY",L324="VOL-OK",N324="ON",X324="OK",Y324&lt;&gt;"DOWN"),"BUY",IF(AND(J324="SELL-DAY",L324="VOL-OK",M324="ON",X324="OK",Y324&lt;&gt;"UP"),"SELL","")))</f>
        <v/>
      </c>
      <c r="P324" s="17">
        <f>IF(O324="","",B324)</f>
        <v/>
      </c>
      <c r="Q324" s="17">
        <f>IF(O324="","",IF(O324="BUY",B324-K324*1.5,B324+K324*1.5))</f>
        <v/>
      </c>
      <c r="R324" s="17">
        <f>IF(O324="","",IF(O324="BUY",B324+K324*1.5,B324-K324*1.5))</f>
        <v/>
      </c>
      <c r="S324" s="17">
        <f>IF(O324="","",IF(O324="BUY",B324+K324*2,B324-K324*2))</f>
        <v/>
      </c>
      <c r="T324" s="17">
        <f>IF(O324="","",IF(O324="BUY",B324+K324*3,B324-K324*3))</f>
        <v/>
      </c>
      <c r="U324" s="16">
        <f>IF(OR(B324="",K324&lt;=0),"",IF(AND(B324&gt;E324,ABS(B324-E324)&lt;K324*0.5),"2ND","1ST"))</f>
        <v/>
      </c>
      <c r="V324" s="16">
        <f>IF(OR(B324="",K324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4" s="16">
        <f>IF(OR(B324="",K324&lt;=0),"",IF(K324&gt;B324*0.05,"VOL-HIGH","VOL-NORMAL"))</f>
        <v/>
      </c>
      <c r="X324" s="16">
        <f>IF(OR(B324="",K324&lt;=0),"",IF(AND(L324="VOL-OK",W324="VOL-NORMAL",U324="2ND"),"OK","NG"))</f>
        <v/>
      </c>
      <c r="Y324" s="16">
        <f>IF(OR(B324="",K324&lt;=0),"",IF(AND(C324&gt;G324,D324&gt;H324),"UP",IF(AND(C324&lt;G324,D324&lt;H324),"DOWN","FLAT")))</f>
        <v/>
      </c>
    </row>
    <row r="325" ht="26" customHeight="1" s="1">
      <c r="A325" s="8">
        <f>IF('StockList_MS2'!A324="","",HYPERLINK("https://kabutan.jp/stock/?code="&amp;'StockList_MS2'!A324,'StockList_MS2'!A324))</f>
        <v/>
      </c>
      <c r="B325" s="9" t="n"/>
      <c r="C325" s="9" t="n"/>
      <c r="D325" s="9" t="n"/>
      <c r="E325" s="9" t="n"/>
      <c r="F325" s="10" t="n"/>
      <c r="G325" s="9" t="n"/>
      <c r="H325" s="9" t="n"/>
      <c r="I325" s="9" t="n"/>
      <c r="J325" s="11">
        <f>IF(B325="","",IF(B325&gt;I325,"BUY-DAY","SELL-DAY"))</f>
        <v/>
      </c>
      <c r="K325" s="12">
        <f>IF(B325="","",MAX(C325-D325,ABS(C325-I325),ABS(D325-I325)))</f>
        <v/>
      </c>
      <c r="L325" s="11">
        <f>IF(B325="","",IF(AND(F325&gt;0,F325&gt;(F325/3)*2.5),"VOL-OK","VOL-NG"))</f>
        <v/>
      </c>
      <c r="M325" s="11">
        <f>IF(B325="","",IF(B325&gt;G325,"ON","OFF"))</f>
        <v/>
      </c>
      <c r="N325" s="11">
        <f>IF(B325="","",IF(B325&lt;H325,"ON","OFF"))</f>
        <v/>
      </c>
      <c r="O325" s="11">
        <f>IF(OR(B325="",K325&lt;=0),"",IF(AND(J325="BUY-DAY",L325="VOL-OK",N325="ON",X325="OK",Y325&lt;&gt;"DOWN"),"BUY",IF(AND(J325="SELL-DAY",L325="VOL-OK",M325="ON",X325="OK",Y325&lt;&gt;"UP"),"SELL","")))</f>
        <v/>
      </c>
      <c r="P325" s="12">
        <f>IF(O325="","",B325)</f>
        <v/>
      </c>
      <c r="Q325" s="12">
        <f>IF(O325="","",IF(O325="BUY",B325-K325*1.5,B325+K325*1.5))</f>
        <v/>
      </c>
      <c r="R325" s="12">
        <f>IF(O325="","",IF(O325="BUY",B325+K325*1.5,B325-K325*1.5))</f>
        <v/>
      </c>
      <c r="S325" s="12">
        <f>IF(O325="","",IF(O325="BUY",B325+K325*2,B325-K325*2))</f>
        <v/>
      </c>
      <c r="T325" s="12">
        <f>IF(O325="","",IF(O325="BUY",B325+K325*3,B325-K325*3))</f>
        <v/>
      </c>
      <c r="U325" s="11">
        <f>IF(OR(B325="",K325&lt;=0),"",IF(AND(B325&gt;E325,ABS(B325-E325)&lt;K325*0.5),"2ND","1ST"))</f>
        <v/>
      </c>
      <c r="V325" s="11">
        <f>IF(OR(B325="",K325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5" s="11">
        <f>IF(OR(B325="",K325&lt;=0),"",IF(K325&gt;B325*0.05,"VOL-HIGH","VOL-NORMAL"))</f>
        <v/>
      </c>
      <c r="X325" s="11">
        <f>IF(OR(B325="",K325&lt;=0),"",IF(AND(L325="VOL-OK",W325="VOL-NORMAL",U325="2ND"),"OK","NG"))</f>
        <v/>
      </c>
      <c r="Y325" s="11">
        <f>IF(OR(B325="",K325&lt;=0),"",IF(AND(C325&gt;G325,D325&gt;H325),"UP",IF(AND(C325&lt;G325,D325&lt;H325),"DOWN","FLAT")))</f>
        <v/>
      </c>
    </row>
    <row r="326" ht="26" customHeight="1" s="1">
      <c r="A326" s="13">
        <f>IF('StockList_MS2'!A325="","",HYPERLINK("https://kabutan.jp/stock/?code="&amp;'StockList_MS2'!A325,'StockList_MS2'!A325))</f>
        <v/>
      </c>
      <c r="B326" s="14" t="n"/>
      <c r="C326" s="14" t="n"/>
      <c r="D326" s="14" t="n"/>
      <c r="E326" s="14" t="n"/>
      <c r="F326" s="15" t="n"/>
      <c r="G326" s="14" t="n"/>
      <c r="H326" s="14" t="n"/>
      <c r="I326" s="14" t="n"/>
      <c r="J326" s="16">
        <f>IF(B326="","",IF(B326&gt;I326,"BUY-DAY","SELL-DAY"))</f>
        <v/>
      </c>
      <c r="K326" s="17">
        <f>IF(B326="","",MAX(C326-D326,ABS(C326-I326),ABS(D326-I326)))</f>
        <v/>
      </c>
      <c r="L326" s="16">
        <f>IF(B326="","",IF(AND(F326&gt;0,F326&gt;(F326/3)*2.5),"VOL-OK","VOL-NG"))</f>
        <v/>
      </c>
      <c r="M326" s="16">
        <f>IF(B326="","",IF(B326&gt;G326,"ON","OFF"))</f>
        <v/>
      </c>
      <c r="N326" s="16">
        <f>IF(B326="","",IF(B326&lt;H326,"ON","OFF"))</f>
        <v/>
      </c>
      <c r="O326" s="16">
        <f>IF(OR(B326="",K326&lt;=0),"",IF(AND(J326="BUY-DAY",L326="VOL-OK",N326="ON",X326="OK",Y326&lt;&gt;"DOWN"),"BUY",IF(AND(J326="SELL-DAY",L326="VOL-OK",M326="ON",X326="OK",Y326&lt;&gt;"UP"),"SELL","")))</f>
        <v/>
      </c>
      <c r="P326" s="17">
        <f>IF(O326="","",B326)</f>
        <v/>
      </c>
      <c r="Q326" s="17">
        <f>IF(O326="","",IF(O326="BUY",B326-K326*1.5,B326+K326*1.5))</f>
        <v/>
      </c>
      <c r="R326" s="17">
        <f>IF(O326="","",IF(O326="BUY",B326+K326*1.5,B326-K326*1.5))</f>
        <v/>
      </c>
      <c r="S326" s="17">
        <f>IF(O326="","",IF(O326="BUY",B326+K326*2,B326-K326*2))</f>
        <v/>
      </c>
      <c r="T326" s="17">
        <f>IF(O326="","",IF(O326="BUY",B326+K326*3,B326-K326*3))</f>
        <v/>
      </c>
      <c r="U326" s="16">
        <f>IF(OR(B326="",K326&lt;=0),"",IF(AND(B326&gt;E326,ABS(B326-E326)&lt;K326*0.5),"2ND","1ST"))</f>
        <v/>
      </c>
      <c r="V326" s="16">
        <f>IF(OR(B326="",K326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6" s="16">
        <f>IF(OR(B326="",K326&lt;=0),"",IF(K326&gt;B326*0.05,"VOL-HIGH","VOL-NORMAL"))</f>
        <v/>
      </c>
      <c r="X326" s="16">
        <f>IF(OR(B326="",K326&lt;=0),"",IF(AND(L326="VOL-OK",W326="VOL-NORMAL",U326="2ND"),"OK","NG"))</f>
        <v/>
      </c>
      <c r="Y326" s="16">
        <f>IF(OR(B326="",K326&lt;=0),"",IF(AND(C326&gt;G326,D326&gt;H326),"UP",IF(AND(C326&lt;G326,D326&lt;H326),"DOWN","FLAT")))</f>
        <v/>
      </c>
    </row>
    <row r="327" ht="26" customHeight="1" s="1">
      <c r="A327" s="8">
        <f>IF('StockList_MS2'!A326="","",HYPERLINK("https://kabutan.jp/stock/?code="&amp;'StockList_MS2'!A326,'StockList_MS2'!A326))</f>
        <v/>
      </c>
      <c r="B327" s="9" t="n"/>
      <c r="C327" s="9" t="n"/>
      <c r="D327" s="9" t="n"/>
      <c r="E327" s="9" t="n"/>
      <c r="F327" s="10" t="n"/>
      <c r="G327" s="9" t="n"/>
      <c r="H327" s="9" t="n"/>
      <c r="I327" s="9" t="n"/>
      <c r="J327" s="11">
        <f>IF(B327="","",IF(B327&gt;I327,"BUY-DAY","SELL-DAY"))</f>
        <v/>
      </c>
      <c r="K327" s="12">
        <f>IF(B327="","",MAX(C327-D327,ABS(C327-I327),ABS(D327-I327)))</f>
        <v/>
      </c>
      <c r="L327" s="11">
        <f>IF(B327="","",IF(AND(F327&gt;0,F327&gt;(F327/3)*2.5),"VOL-OK","VOL-NG"))</f>
        <v/>
      </c>
      <c r="M327" s="11">
        <f>IF(B327="","",IF(B327&gt;G327,"ON","OFF"))</f>
        <v/>
      </c>
      <c r="N327" s="11">
        <f>IF(B327="","",IF(B327&lt;H327,"ON","OFF"))</f>
        <v/>
      </c>
      <c r="O327" s="11">
        <f>IF(OR(B327="",K327&lt;=0),"",IF(AND(J327="BUY-DAY",L327="VOL-OK",N327="ON",X327="OK",Y327&lt;&gt;"DOWN"),"BUY",IF(AND(J327="SELL-DAY",L327="VOL-OK",M327="ON",X327="OK",Y327&lt;&gt;"UP"),"SELL","")))</f>
        <v/>
      </c>
      <c r="P327" s="12">
        <f>IF(O327="","",B327)</f>
        <v/>
      </c>
      <c r="Q327" s="12">
        <f>IF(O327="","",IF(O327="BUY",B327-K327*1.5,B327+K327*1.5))</f>
        <v/>
      </c>
      <c r="R327" s="12">
        <f>IF(O327="","",IF(O327="BUY",B327+K327*1.5,B327-K327*1.5))</f>
        <v/>
      </c>
      <c r="S327" s="12">
        <f>IF(O327="","",IF(O327="BUY",B327+K327*2,B327-K327*2))</f>
        <v/>
      </c>
      <c r="T327" s="12">
        <f>IF(O327="","",IF(O327="BUY",B327+K327*3,B327-K327*3))</f>
        <v/>
      </c>
      <c r="U327" s="11">
        <f>IF(OR(B327="",K327&lt;=0),"",IF(AND(B327&gt;E327,ABS(B327-E327)&lt;K327*0.5),"2ND","1ST"))</f>
        <v/>
      </c>
      <c r="V327" s="11">
        <f>IF(OR(B327="",K327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7" s="11">
        <f>IF(OR(B327="",K327&lt;=0),"",IF(K327&gt;B327*0.05,"VOL-HIGH","VOL-NORMAL"))</f>
        <v/>
      </c>
      <c r="X327" s="11">
        <f>IF(OR(B327="",K327&lt;=0),"",IF(AND(L327="VOL-OK",W327="VOL-NORMAL",U327="2ND"),"OK","NG"))</f>
        <v/>
      </c>
      <c r="Y327" s="11">
        <f>IF(OR(B327="",K327&lt;=0),"",IF(AND(C327&gt;G327,D327&gt;H327),"UP",IF(AND(C327&lt;G327,D327&lt;H327),"DOWN","FLAT")))</f>
        <v/>
      </c>
    </row>
    <row r="328" ht="26" customHeight="1" s="1">
      <c r="A328" s="13">
        <f>IF('StockList_MS2'!A327="","",HYPERLINK("https://kabutan.jp/stock/?code="&amp;'StockList_MS2'!A327,'StockList_MS2'!A327))</f>
        <v/>
      </c>
      <c r="B328" s="14" t="n"/>
      <c r="C328" s="14" t="n"/>
      <c r="D328" s="14" t="n"/>
      <c r="E328" s="14" t="n"/>
      <c r="F328" s="15" t="n"/>
      <c r="G328" s="14" t="n"/>
      <c r="H328" s="14" t="n"/>
      <c r="I328" s="14" t="n"/>
      <c r="J328" s="16">
        <f>IF(B328="","",IF(B328&gt;I328,"BUY-DAY","SELL-DAY"))</f>
        <v/>
      </c>
      <c r="K328" s="17">
        <f>IF(B328="","",MAX(C328-D328,ABS(C328-I328),ABS(D328-I328)))</f>
        <v/>
      </c>
      <c r="L328" s="16">
        <f>IF(B328="","",IF(AND(F328&gt;0,F328&gt;(F328/3)*2.5),"VOL-OK","VOL-NG"))</f>
        <v/>
      </c>
      <c r="M328" s="16">
        <f>IF(B328="","",IF(B328&gt;G328,"ON","OFF"))</f>
        <v/>
      </c>
      <c r="N328" s="16">
        <f>IF(B328="","",IF(B328&lt;H328,"ON","OFF"))</f>
        <v/>
      </c>
      <c r="O328" s="16">
        <f>IF(OR(B328="",K328&lt;=0),"",IF(AND(J328="BUY-DAY",L328="VOL-OK",N328="ON",X328="OK",Y328&lt;&gt;"DOWN"),"BUY",IF(AND(J328="SELL-DAY",L328="VOL-OK",M328="ON",X328="OK",Y328&lt;&gt;"UP"),"SELL","")))</f>
        <v/>
      </c>
      <c r="P328" s="17">
        <f>IF(O328="","",B328)</f>
        <v/>
      </c>
      <c r="Q328" s="17">
        <f>IF(O328="","",IF(O328="BUY",B328-K328*1.5,B328+K328*1.5))</f>
        <v/>
      </c>
      <c r="R328" s="17">
        <f>IF(O328="","",IF(O328="BUY",B328+K328*1.5,B328-K328*1.5))</f>
        <v/>
      </c>
      <c r="S328" s="17">
        <f>IF(O328="","",IF(O328="BUY",B328+K328*2,B328-K328*2))</f>
        <v/>
      </c>
      <c r="T328" s="17">
        <f>IF(O328="","",IF(O328="BUY",B328+K328*3,B328-K328*3))</f>
        <v/>
      </c>
      <c r="U328" s="16">
        <f>IF(OR(B328="",K328&lt;=0),"",IF(AND(B328&gt;E328,ABS(B328-E328)&lt;K328*0.5),"2ND","1ST"))</f>
        <v/>
      </c>
      <c r="V328" s="16">
        <f>IF(OR(B328="",K328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8" s="16">
        <f>IF(OR(B328="",K328&lt;=0),"",IF(K328&gt;B328*0.05,"VOL-HIGH","VOL-NORMAL"))</f>
        <v/>
      </c>
      <c r="X328" s="16">
        <f>IF(OR(B328="",K328&lt;=0),"",IF(AND(L328="VOL-OK",W328="VOL-NORMAL",U328="2ND"),"OK","NG"))</f>
        <v/>
      </c>
      <c r="Y328" s="16">
        <f>IF(OR(B328="",K328&lt;=0),"",IF(AND(C328&gt;G328,D328&gt;H328),"UP",IF(AND(C328&lt;G328,D328&lt;H328),"DOWN","FLAT")))</f>
        <v/>
      </c>
    </row>
    <row r="329" ht="26" customHeight="1" s="1">
      <c r="A329" s="8">
        <f>IF('StockList_MS2'!A328="","",HYPERLINK("https://kabutan.jp/stock/?code="&amp;'StockList_MS2'!A328,'StockList_MS2'!A328))</f>
        <v/>
      </c>
      <c r="B329" s="9" t="n"/>
      <c r="C329" s="9" t="n"/>
      <c r="D329" s="9" t="n"/>
      <c r="E329" s="9" t="n"/>
      <c r="F329" s="10" t="n"/>
      <c r="G329" s="9" t="n"/>
      <c r="H329" s="9" t="n"/>
      <c r="I329" s="9" t="n"/>
      <c r="J329" s="11">
        <f>IF(B329="","",IF(B329&gt;I329,"BUY-DAY","SELL-DAY"))</f>
        <v/>
      </c>
      <c r="K329" s="12">
        <f>IF(B329="","",MAX(C329-D329,ABS(C329-I329),ABS(D329-I329)))</f>
        <v/>
      </c>
      <c r="L329" s="11">
        <f>IF(B329="","",IF(AND(F329&gt;0,F329&gt;(F329/3)*2.5),"VOL-OK","VOL-NG"))</f>
        <v/>
      </c>
      <c r="M329" s="11">
        <f>IF(B329="","",IF(B329&gt;G329,"ON","OFF"))</f>
        <v/>
      </c>
      <c r="N329" s="11">
        <f>IF(B329="","",IF(B329&lt;H329,"ON","OFF"))</f>
        <v/>
      </c>
      <c r="O329" s="11">
        <f>IF(OR(B329="",K329&lt;=0),"",IF(AND(J329="BUY-DAY",L329="VOL-OK",N329="ON",X329="OK",Y329&lt;&gt;"DOWN"),"BUY",IF(AND(J329="SELL-DAY",L329="VOL-OK",M329="ON",X329="OK",Y329&lt;&gt;"UP"),"SELL","")))</f>
        <v/>
      </c>
      <c r="P329" s="12">
        <f>IF(O329="","",B329)</f>
        <v/>
      </c>
      <c r="Q329" s="12">
        <f>IF(O329="","",IF(O329="BUY",B329-K329*1.5,B329+K329*1.5))</f>
        <v/>
      </c>
      <c r="R329" s="12">
        <f>IF(O329="","",IF(O329="BUY",B329+K329*1.5,B329-K329*1.5))</f>
        <v/>
      </c>
      <c r="S329" s="12">
        <f>IF(O329="","",IF(O329="BUY",B329+K329*2,B329-K329*2))</f>
        <v/>
      </c>
      <c r="T329" s="12">
        <f>IF(O329="","",IF(O329="BUY",B329+K329*3,B329-K329*3))</f>
        <v/>
      </c>
      <c r="U329" s="11">
        <f>IF(OR(B329="",K329&lt;=0),"",IF(AND(B329&gt;E329,ABS(B329-E329)&lt;K329*0.5),"2ND","1ST"))</f>
        <v/>
      </c>
      <c r="V329" s="11">
        <f>IF(OR(B329="",K329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9" s="11">
        <f>IF(OR(B329="",K329&lt;=0),"",IF(K329&gt;B329*0.05,"VOL-HIGH","VOL-NORMAL"))</f>
        <v/>
      </c>
      <c r="X329" s="11">
        <f>IF(OR(B329="",K329&lt;=0),"",IF(AND(L329="VOL-OK",W329="VOL-NORMAL",U329="2ND"),"OK","NG"))</f>
        <v/>
      </c>
      <c r="Y329" s="11">
        <f>IF(OR(B329="",K329&lt;=0),"",IF(AND(C329&gt;G329,D329&gt;H329),"UP",IF(AND(C329&lt;G329,D329&lt;H329),"DOWN","FLAT")))</f>
        <v/>
      </c>
    </row>
    <row r="330" ht="26" customHeight="1" s="1">
      <c r="A330" s="13">
        <f>IF('StockList_MS2'!A329="","",HYPERLINK("https://kabutan.jp/stock/?code="&amp;'StockList_MS2'!A329,'StockList_MS2'!A329))</f>
        <v/>
      </c>
      <c r="B330" s="14" t="n"/>
      <c r="C330" s="14" t="n"/>
      <c r="D330" s="14" t="n"/>
      <c r="E330" s="14" t="n"/>
      <c r="F330" s="15" t="n"/>
      <c r="G330" s="14" t="n"/>
      <c r="H330" s="14" t="n"/>
      <c r="I330" s="14" t="n"/>
      <c r="J330" s="16">
        <f>IF(B330="","",IF(B330&gt;I330,"BUY-DAY","SELL-DAY"))</f>
        <v/>
      </c>
      <c r="K330" s="17">
        <f>IF(B330="","",MAX(C330-D330,ABS(C330-I330),ABS(D330-I330)))</f>
        <v/>
      </c>
      <c r="L330" s="16">
        <f>IF(B330="","",IF(AND(F330&gt;0,F330&gt;(F330/3)*2.5),"VOL-OK","VOL-NG"))</f>
        <v/>
      </c>
      <c r="M330" s="16">
        <f>IF(B330="","",IF(B330&gt;G330,"ON","OFF"))</f>
        <v/>
      </c>
      <c r="N330" s="16">
        <f>IF(B330="","",IF(B330&lt;H330,"ON","OFF"))</f>
        <v/>
      </c>
      <c r="O330" s="16">
        <f>IF(OR(B330="",K330&lt;=0),"",IF(AND(J330="BUY-DAY",L330="VOL-OK",N330="ON",X330="OK",Y330&lt;&gt;"DOWN"),"BUY",IF(AND(J330="SELL-DAY",L330="VOL-OK",M330="ON",X330="OK",Y330&lt;&gt;"UP"),"SELL","")))</f>
        <v/>
      </c>
      <c r="P330" s="17">
        <f>IF(O330="","",B330)</f>
        <v/>
      </c>
      <c r="Q330" s="17">
        <f>IF(O330="","",IF(O330="BUY",B330-K330*1.5,B330+K330*1.5))</f>
        <v/>
      </c>
      <c r="R330" s="17">
        <f>IF(O330="","",IF(O330="BUY",B330+K330*1.5,B330-K330*1.5))</f>
        <v/>
      </c>
      <c r="S330" s="17">
        <f>IF(O330="","",IF(O330="BUY",B330+K330*2,B330-K330*2))</f>
        <v/>
      </c>
      <c r="T330" s="17">
        <f>IF(O330="","",IF(O330="BUY",B330+K330*3,B330-K330*3))</f>
        <v/>
      </c>
      <c r="U330" s="16">
        <f>IF(OR(B330="",K330&lt;=0),"",IF(AND(B330&gt;E330,ABS(B330-E330)&lt;K330*0.5),"2ND","1ST"))</f>
        <v/>
      </c>
      <c r="V330" s="16">
        <f>IF(OR(B330="",K330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0" s="16">
        <f>IF(OR(B330="",K330&lt;=0),"",IF(K330&gt;B330*0.05,"VOL-HIGH","VOL-NORMAL"))</f>
        <v/>
      </c>
      <c r="X330" s="16">
        <f>IF(OR(B330="",K330&lt;=0),"",IF(AND(L330="VOL-OK",W330="VOL-NORMAL",U330="2ND"),"OK","NG"))</f>
        <v/>
      </c>
      <c r="Y330" s="16">
        <f>IF(OR(B330="",K330&lt;=0),"",IF(AND(C330&gt;G330,D330&gt;H330),"UP",IF(AND(C330&lt;G330,D330&lt;H330),"DOWN","FLAT")))</f>
        <v/>
      </c>
    </row>
    <row r="331" ht="26" customHeight="1" s="1">
      <c r="A331" s="8">
        <f>IF('StockList_MS2'!A330="","",HYPERLINK("https://kabutan.jp/stock/?code="&amp;'StockList_MS2'!A330,'StockList_MS2'!A330))</f>
        <v/>
      </c>
      <c r="B331" s="9" t="n"/>
      <c r="C331" s="9" t="n"/>
      <c r="D331" s="9" t="n"/>
      <c r="E331" s="9" t="n"/>
      <c r="F331" s="10" t="n"/>
      <c r="G331" s="9" t="n"/>
      <c r="H331" s="9" t="n"/>
      <c r="I331" s="9" t="n"/>
      <c r="J331" s="11">
        <f>IF(B331="","",IF(B331&gt;I331,"BUY-DAY","SELL-DAY"))</f>
        <v/>
      </c>
      <c r="K331" s="12">
        <f>IF(B331="","",MAX(C331-D331,ABS(C331-I331),ABS(D331-I331)))</f>
        <v/>
      </c>
      <c r="L331" s="11">
        <f>IF(B331="","",IF(AND(F331&gt;0,F331&gt;(F331/3)*2.5),"VOL-OK","VOL-NG"))</f>
        <v/>
      </c>
      <c r="M331" s="11">
        <f>IF(B331="","",IF(B331&gt;G331,"ON","OFF"))</f>
        <v/>
      </c>
      <c r="N331" s="11">
        <f>IF(B331="","",IF(B331&lt;H331,"ON","OFF"))</f>
        <v/>
      </c>
      <c r="O331" s="11">
        <f>IF(OR(B331="",K331&lt;=0),"",IF(AND(J331="BUY-DAY",L331="VOL-OK",N331="ON",X331="OK",Y331&lt;&gt;"DOWN"),"BUY",IF(AND(J331="SELL-DAY",L331="VOL-OK",M331="ON",X331="OK",Y331&lt;&gt;"UP"),"SELL","")))</f>
        <v/>
      </c>
      <c r="P331" s="12">
        <f>IF(O331="","",B331)</f>
        <v/>
      </c>
      <c r="Q331" s="12">
        <f>IF(O331="","",IF(O331="BUY",B331-K331*1.5,B331+K331*1.5))</f>
        <v/>
      </c>
      <c r="R331" s="12">
        <f>IF(O331="","",IF(O331="BUY",B331+K331*1.5,B331-K331*1.5))</f>
        <v/>
      </c>
      <c r="S331" s="12">
        <f>IF(O331="","",IF(O331="BUY",B331+K331*2,B331-K331*2))</f>
        <v/>
      </c>
      <c r="T331" s="12">
        <f>IF(O331="","",IF(O331="BUY",B331+K331*3,B331-K331*3))</f>
        <v/>
      </c>
      <c r="U331" s="11">
        <f>IF(OR(B331="",K331&lt;=0),"",IF(AND(B331&gt;E331,ABS(B331-E331)&lt;K331*0.5),"2ND","1ST"))</f>
        <v/>
      </c>
      <c r="V331" s="11">
        <f>IF(OR(B331="",K331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1" s="11">
        <f>IF(OR(B331="",K331&lt;=0),"",IF(K331&gt;B331*0.05,"VOL-HIGH","VOL-NORMAL"))</f>
        <v/>
      </c>
      <c r="X331" s="11">
        <f>IF(OR(B331="",K331&lt;=0),"",IF(AND(L331="VOL-OK",W331="VOL-NORMAL",U331="2ND"),"OK","NG"))</f>
        <v/>
      </c>
      <c r="Y331" s="11">
        <f>IF(OR(B331="",K331&lt;=0),"",IF(AND(C331&gt;G331,D331&gt;H331),"UP",IF(AND(C331&lt;G331,D331&lt;H331),"DOWN","FLAT")))</f>
        <v/>
      </c>
    </row>
    <row r="332" ht="26" customHeight="1" s="1">
      <c r="A332" s="13">
        <f>IF('StockList_MS2'!A331="","",HYPERLINK("https://kabutan.jp/stock/?code="&amp;'StockList_MS2'!A331,'StockList_MS2'!A331))</f>
        <v/>
      </c>
      <c r="B332" s="14" t="n"/>
      <c r="C332" s="14" t="n"/>
      <c r="D332" s="14" t="n"/>
      <c r="E332" s="14" t="n"/>
      <c r="F332" s="15" t="n"/>
      <c r="G332" s="14" t="n"/>
      <c r="H332" s="14" t="n"/>
      <c r="I332" s="14" t="n"/>
      <c r="J332" s="16">
        <f>IF(B332="","",IF(B332&gt;I332,"BUY-DAY","SELL-DAY"))</f>
        <v/>
      </c>
      <c r="K332" s="17">
        <f>IF(B332="","",MAX(C332-D332,ABS(C332-I332),ABS(D332-I332)))</f>
        <v/>
      </c>
      <c r="L332" s="16">
        <f>IF(B332="","",IF(AND(F332&gt;0,F332&gt;(F332/3)*2.5),"VOL-OK","VOL-NG"))</f>
        <v/>
      </c>
      <c r="M332" s="16">
        <f>IF(B332="","",IF(B332&gt;G332,"ON","OFF"))</f>
        <v/>
      </c>
      <c r="N332" s="16">
        <f>IF(B332="","",IF(B332&lt;H332,"ON","OFF"))</f>
        <v/>
      </c>
      <c r="O332" s="16">
        <f>IF(OR(B332="",K332&lt;=0),"",IF(AND(J332="BUY-DAY",L332="VOL-OK",N332="ON",X332="OK",Y332&lt;&gt;"DOWN"),"BUY",IF(AND(J332="SELL-DAY",L332="VOL-OK",M332="ON",X332="OK",Y332&lt;&gt;"UP"),"SELL","")))</f>
        <v/>
      </c>
      <c r="P332" s="17">
        <f>IF(O332="","",B332)</f>
        <v/>
      </c>
      <c r="Q332" s="17">
        <f>IF(O332="","",IF(O332="BUY",B332-K332*1.5,B332+K332*1.5))</f>
        <v/>
      </c>
      <c r="R332" s="17">
        <f>IF(O332="","",IF(O332="BUY",B332+K332*1.5,B332-K332*1.5))</f>
        <v/>
      </c>
      <c r="S332" s="17">
        <f>IF(O332="","",IF(O332="BUY",B332+K332*2,B332-K332*2))</f>
        <v/>
      </c>
      <c r="T332" s="17">
        <f>IF(O332="","",IF(O332="BUY",B332+K332*3,B332-K332*3))</f>
        <v/>
      </c>
      <c r="U332" s="16">
        <f>IF(OR(B332="",K332&lt;=0),"",IF(AND(B332&gt;E332,ABS(B332-E332)&lt;K332*0.5),"2ND","1ST"))</f>
        <v/>
      </c>
      <c r="V332" s="16">
        <f>IF(OR(B332="",K332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2" s="16">
        <f>IF(OR(B332="",K332&lt;=0),"",IF(K332&gt;B332*0.05,"VOL-HIGH","VOL-NORMAL"))</f>
        <v/>
      </c>
      <c r="X332" s="16">
        <f>IF(OR(B332="",K332&lt;=0),"",IF(AND(L332="VOL-OK",W332="VOL-NORMAL",U332="2ND"),"OK","NG"))</f>
        <v/>
      </c>
      <c r="Y332" s="16">
        <f>IF(OR(B332="",K332&lt;=0),"",IF(AND(C332&gt;G332,D332&gt;H332),"UP",IF(AND(C332&lt;G332,D332&lt;H332),"DOWN","FLAT")))</f>
        <v/>
      </c>
    </row>
    <row r="333" ht="26" customHeight="1" s="1">
      <c r="A333" s="8">
        <f>IF('StockList_MS2'!A332="","",HYPERLINK("https://kabutan.jp/stock/?code="&amp;'StockList_MS2'!A332,'StockList_MS2'!A332))</f>
        <v/>
      </c>
      <c r="B333" s="9" t="n"/>
      <c r="C333" s="9" t="n"/>
      <c r="D333" s="9" t="n"/>
      <c r="E333" s="9" t="n"/>
      <c r="F333" s="10" t="n"/>
      <c r="G333" s="9" t="n"/>
      <c r="H333" s="9" t="n"/>
      <c r="I333" s="9" t="n"/>
      <c r="J333" s="11">
        <f>IF(B333="","",IF(B333&gt;I333,"BUY-DAY","SELL-DAY"))</f>
        <v/>
      </c>
      <c r="K333" s="12">
        <f>IF(B333="","",MAX(C333-D333,ABS(C333-I333),ABS(D333-I333)))</f>
        <v/>
      </c>
      <c r="L333" s="11">
        <f>IF(B333="","",IF(AND(F333&gt;0,F333&gt;(F333/3)*2.5),"VOL-OK","VOL-NG"))</f>
        <v/>
      </c>
      <c r="M333" s="11">
        <f>IF(B333="","",IF(B333&gt;G333,"ON","OFF"))</f>
        <v/>
      </c>
      <c r="N333" s="11">
        <f>IF(B333="","",IF(B333&lt;H333,"ON","OFF"))</f>
        <v/>
      </c>
      <c r="O333" s="11">
        <f>IF(OR(B333="",K333&lt;=0),"",IF(AND(J333="BUY-DAY",L333="VOL-OK",N333="ON",X333="OK",Y333&lt;&gt;"DOWN"),"BUY",IF(AND(J333="SELL-DAY",L333="VOL-OK",M333="ON",X333="OK",Y333&lt;&gt;"UP"),"SELL","")))</f>
        <v/>
      </c>
      <c r="P333" s="12">
        <f>IF(O333="","",B333)</f>
        <v/>
      </c>
      <c r="Q333" s="12">
        <f>IF(O333="","",IF(O333="BUY",B333-K333*1.5,B333+K333*1.5))</f>
        <v/>
      </c>
      <c r="R333" s="12">
        <f>IF(O333="","",IF(O333="BUY",B333+K333*1.5,B333-K333*1.5))</f>
        <v/>
      </c>
      <c r="S333" s="12">
        <f>IF(O333="","",IF(O333="BUY",B333+K333*2,B333-K333*2))</f>
        <v/>
      </c>
      <c r="T333" s="12">
        <f>IF(O333="","",IF(O333="BUY",B333+K333*3,B333-K333*3))</f>
        <v/>
      </c>
      <c r="U333" s="11">
        <f>IF(OR(B333="",K333&lt;=0),"",IF(AND(B333&gt;E333,ABS(B333-E333)&lt;K333*0.5),"2ND","1ST"))</f>
        <v/>
      </c>
      <c r="V333" s="11">
        <f>IF(OR(B333="",K333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3" s="11">
        <f>IF(OR(B333="",K333&lt;=0),"",IF(K333&gt;B333*0.05,"VOL-HIGH","VOL-NORMAL"))</f>
        <v/>
      </c>
      <c r="X333" s="11">
        <f>IF(OR(B333="",K333&lt;=0),"",IF(AND(L333="VOL-OK",W333="VOL-NORMAL",U333="2ND"),"OK","NG"))</f>
        <v/>
      </c>
      <c r="Y333" s="11">
        <f>IF(OR(B333="",K333&lt;=0),"",IF(AND(C333&gt;G333,D333&gt;H333),"UP",IF(AND(C333&lt;G333,D333&lt;H333),"DOWN","FLAT")))</f>
        <v/>
      </c>
    </row>
    <row r="334" ht="26" customHeight="1" s="1">
      <c r="A334" s="13">
        <f>IF('StockList_MS2'!A333="","",HYPERLINK("https://kabutan.jp/stock/?code="&amp;'StockList_MS2'!A333,'StockList_MS2'!A333))</f>
        <v/>
      </c>
      <c r="B334" s="14" t="n"/>
      <c r="C334" s="14" t="n"/>
      <c r="D334" s="14" t="n"/>
      <c r="E334" s="14" t="n"/>
      <c r="F334" s="15" t="n"/>
      <c r="G334" s="14" t="n"/>
      <c r="H334" s="14" t="n"/>
      <c r="I334" s="14" t="n"/>
      <c r="J334" s="16">
        <f>IF(B334="","",IF(B334&gt;I334,"BUY-DAY","SELL-DAY"))</f>
        <v/>
      </c>
      <c r="K334" s="17">
        <f>IF(B334="","",MAX(C334-D334,ABS(C334-I334),ABS(D334-I334)))</f>
        <v/>
      </c>
      <c r="L334" s="16">
        <f>IF(B334="","",IF(AND(F334&gt;0,F334&gt;(F334/3)*2.5),"VOL-OK","VOL-NG"))</f>
        <v/>
      </c>
      <c r="M334" s="16">
        <f>IF(B334="","",IF(B334&gt;G334,"ON","OFF"))</f>
        <v/>
      </c>
      <c r="N334" s="16">
        <f>IF(B334="","",IF(B334&lt;H334,"ON","OFF"))</f>
        <v/>
      </c>
      <c r="O334" s="16">
        <f>IF(OR(B334="",K334&lt;=0),"",IF(AND(J334="BUY-DAY",L334="VOL-OK",N334="ON",X334="OK",Y334&lt;&gt;"DOWN"),"BUY",IF(AND(J334="SELL-DAY",L334="VOL-OK",M334="ON",X334="OK",Y334&lt;&gt;"UP"),"SELL","")))</f>
        <v/>
      </c>
      <c r="P334" s="17">
        <f>IF(O334="","",B334)</f>
        <v/>
      </c>
      <c r="Q334" s="17">
        <f>IF(O334="","",IF(O334="BUY",B334-K334*1.5,B334+K334*1.5))</f>
        <v/>
      </c>
      <c r="R334" s="17">
        <f>IF(O334="","",IF(O334="BUY",B334+K334*1.5,B334-K334*1.5))</f>
        <v/>
      </c>
      <c r="S334" s="17">
        <f>IF(O334="","",IF(O334="BUY",B334+K334*2,B334-K334*2))</f>
        <v/>
      </c>
      <c r="T334" s="17">
        <f>IF(O334="","",IF(O334="BUY",B334+K334*3,B334-K334*3))</f>
        <v/>
      </c>
      <c r="U334" s="16">
        <f>IF(OR(B334="",K334&lt;=0),"",IF(AND(B334&gt;E334,ABS(B334-E334)&lt;K334*0.5),"2ND","1ST"))</f>
        <v/>
      </c>
      <c r="V334" s="16">
        <f>IF(OR(B334="",K334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4" s="16">
        <f>IF(OR(B334="",K334&lt;=0),"",IF(K334&gt;B334*0.05,"VOL-HIGH","VOL-NORMAL"))</f>
        <v/>
      </c>
      <c r="X334" s="16">
        <f>IF(OR(B334="",K334&lt;=0),"",IF(AND(L334="VOL-OK",W334="VOL-NORMAL",U334="2ND"),"OK","NG"))</f>
        <v/>
      </c>
      <c r="Y334" s="16">
        <f>IF(OR(B334="",K334&lt;=0),"",IF(AND(C334&gt;G334,D334&gt;H334),"UP",IF(AND(C334&lt;G334,D334&lt;H334),"DOWN","FLAT")))</f>
        <v/>
      </c>
    </row>
    <row r="335" ht="26" customHeight="1" s="1">
      <c r="A335" s="8">
        <f>IF('StockList_MS2'!A334="","",HYPERLINK("https://kabutan.jp/stock/?code="&amp;'StockList_MS2'!A334,'StockList_MS2'!A334))</f>
        <v/>
      </c>
      <c r="B335" s="9" t="n"/>
      <c r="C335" s="9" t="n"/>
      <c r="D335" s="9" t="n"/>
      <c r="E335" s="9" t="n"/>
      <c r="F335" s="10" t="n"/>
      <c r="G335" s="9" t="n"/>
      <c r="H335" s="9" t="n"/>
      <c r="I335" s="9" t="n"/>
      <c r="J335" s="11">
        <f>IF(B335="","",IF(B335&gt;I335,"BUY-DAY","SELL-DAY"))</f>
        <v/>
      </c>
      <c r="K335" s="12">
        <f>IF(B335="","",MAX(C335-D335,ABS(C335-I335),ABS(D335-I335)))</f>
        <v/>
      </c>
      <c r="L335" s="11">
        <f>IF(B335="","",IF(AND(F335&gt;0,F335&gt;(F335/3)*2.5),"VOL-OK","VOL-NG"))</f>
        <v/>
      </c>
      <c r="M335" s="11">
        <f>IF(B335="","",IF(B335&gt;G335,"ON","OFF"))</f>
        <v/>
      </c>
      <c r="N335" s="11">
        <f>IF(B335="","",IF(B335&lt;H335,"ON","OFF"))</f>
        <v/>
      </c>
      <c r="O335" s="11">
        <f>IF(OR(B335="",K335&lt;=0),"",IF(AND(J335="BUY-DAY",L335="VOL-OK",N335="ON",X335="OK",Y335&lt;&gt;"DOWN"),"BUY",IF(AND(J335="SELL-DAY",L335="VOL-OK",M335="ON",X335="OK",Y335&lt;&gt;"UP"),"SELL","")))</f>
        <v/>
      </c>
      <c r="P335" s="12">
        <f>IF(O335="","",B335)</f>
        <v/>
      </c>
      <c r="Q335" s="12">
        <f>IF(O335="","",IF(O335="BUY",B335-K335*1.5,B335+K335*1.5))</f>
        <v/>
      </c>
      <c r="R335" s="12">
        <f>IF(O335="","",IF(O335="BUY",B335+K335*1.5,B335-K335*1.5))</f>
        <v/>
      </c>
      <c r="S335" s="12">
        <f>IF(O335="","",IF(O335="BUY",B335+K335*2,B335-K335*2))</f>
        <v/>
      </c>
      <c r="T335" s="12">
        <f>IF(O335="","",IF(O335="BUY",B335+K335*3,B335-K335*3))</f>
        <v/>
      </c>
      <c r="U335" s="11">
        <f>IF(OR(B335="",K335&lt;=0),"",IF(AND(B335&gt;E335,ABS(B335-E335)&lt;K335*0.5),"2ND","1ST"))</f>
        <v/>
      </c>
      <c r="V335" s="11">
        <f>IF(OR(B335="",K335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5" s="11">
        <f>IF(OR(B335="",K335&lt;=0),"",IF(K335&gt;B335*0.05,"VOL-HIGH","VOL-NORMAL"))</f>
        <v/>
      </c>
      <c r="X335" s="11">
        <f>IF(OR(B335="",K335&lt;=0),"",IF(AND(L335="VOL-OK",W335="VOL-NORMAL",U335="2ND"),"OK","NG"))</f>
        <v/>
      </c>
      <c r="Y335" s="11">
        <f>IF(OR(B335="",K335&lt;=0),"",IF(AND(C335&gt;G335,D335&gt;H335),"UP",IF(AND(C335&lt;G335,D335&lt;H335),"DOWN","FLAT")))</f>
        <v/>
      </c>
    </row>
    <row r="336" ht="26" customHeight="1" s="1">
      <c r="A336" s="13">
        <f>IF('StockList_MS2'!A335="","",HYPERLINK("https://kabutan.jp/stock/?code="&amp;'StockList_MS2'!A335,'StockList_MS2'!A335))</f>
        <v/>
      </c>
      <c r="B336" s="14" t="n"/>
      <c r="C336" s="14" t="n"/>
      <c r="D336" s="14" t="n"/>
      <c r="E336" s="14" t="n"/>
      <c r="F336" s="15" t="n"/>
      <c r="G336" s="14" t="n"/>
      <c r="H336" s="14" t="n"/>
      <c r="I336" s="14" t="n"/>
      <c r="J336" s="16">
        <f>IF(B336="","",IF(B336&gt;I336,"BUY-DAY","SELL-DAY"))</f>
        <v/>
      </c>
      <c r="K336" s="17">
        <f>IF(B336="","",MAX(C336-D336,ABS(C336-I336),ABS(D336-I336)))</f>
        <v/>
      </c>
      <c r="L336" s="16">
        <f>IF(B336="","",IF(AND(F336&gt;0,F336&gt;(F336/3)*2.5),"VOL-OK","VOL-NG"))</f>
        <v/>
      </c>
      <c r="M336" s="16">
        <f>IF(B336="","",IF(B336&gt;G336,"ON","OFF"))</f>
        <v/>
      </c>
      <c r="N336" s="16">
        <f>IF(B336="","",IF(B336&lt;H336,"ON","OFF"))</f>
        <v/>
      </c>
      <c r="O336" s="16">
        <f>IF(OR(B336="",K336&lt;=0),"",IF(AND(J336="BUY-DAY",L336="VOL-OK",N336="ON",X336="OK",Y336&lt;&gt;"DOWN"),"BUY",IF(AND(J336="SELL-DAY",L336="VOL-OK",M336="ON",X336="OK",Y336&lt;&gt;"UP"),"SELL","")))</f>
        <v/>
      </c>
      <c r="P336" s="17">
        <f>IF(O336="","",B336)</f>
        <v/>
      </c>
      <c r="Q336" s="17">
        <f>IF(O336="","",IF(O336="BUY",B336-K336*1.5,B336+K336*1.5))</f>
        <v/>
      </c>
      <c r="R336" s="17">
        <f>IF(O336="","",IF(O336="BUY",B336+K336*1.5,B336-K336*1.5))</f>
        <v/>
      </c>
      <c r="S336" s="17">
        <f>IF(O336="","",IF(O336="BUY",B336+K336*2,B336-K336*2))</f>
        <v/>
      </c>
      <c r="T336" s="17">
        <f>IF(O336="","",IF(O336="BUY",B336+K336*3,B336-K336*3))</f>
        <v/>
      </c>
      <c r="U336" s="16">
        <f>IF(OR(B336="",K336&lt;=0),"",IF(AND(B336&gt;E336,ABS(B336-E336)&lt;K336*0.5),"2ND","1ST"))</f>
        <v/>
      </c>
      <c r="V336" s="16">
        <f>IF(OR(B336="",K336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6" s="16">
        <f>IF(OR(B336="",K336&lt;=0),"",IF(K336&gt;B336*0.05,"VOL-HIGH","VOL-NORMAL"))</f>
        <v/>
      </c>
      <c r="X336" s="16">
        <f>IF(OR(B336="",K336&lt;=0),"",IF(AND(L336="VOL-OK",W336="VOL-NORMAL",U336="2ND"),"OK","NG"))</f>
        <v/>
      </c>
      <c r="Y336" s="16">
        <f>IF(OR(B336="",K336&lt;=0),"",IF(AND(C336&gt;G336,D336&gt;H336),"UP",IF(AND(C336&lt;G336,D336&lt;H336),"DOWN","FLAT")))</f>
        <v/>
      </c>
    </row>
    <row r="337" ht="26" customHeight="1" s="1">
      <c r="A337" s="8">
        <f>IF('StockList_MS2'!A336="","",HYPERLINK("https://kabutan.jp/stock/?code="&amp;'StockList_MS2'!A336,'StockList_MS2'!A336))</f>
        <v/>
      </c>
      <c r="B337" s="9" t="n"/>
      <c r="C337" s="9" t="n"/>
      <c r="D337" s="9" t="n"/>
      <c r="E337" s="9" t="n"/>
      <c r="F337" s="10" t="n"/>
      <c r="G337" s="9" t="n"/>
      <c r="H337" s="9" t="n"/>
      <c r="I337" s="9" t="n"/>
      <c r="J337" s="11">
        <f>IF(B337="","",IF(B337&gt;I337,"BUY-DAY","SELL-DAY"))</f>
        <v/>
      </c>
      <c r="K337" s="12">
        <f>IF(B337="","",MAX(C337-D337,ABS(C337-I337),ABS(D337-I337)))</f>
        <v/>
      </c>
      <c r="L337" s="11">
        <f>IF(B337="","",IF(AND(F337&gt;0,F337&gt;(F337/3)*2.5),"VOL-OK","VOL-NG"))</f>
        <v/>
      </c>
      <c r="M337" s="11">
        <f>IF(B337="","",IF(B337&gt;G337,"ON","OFF"))</f>
        <v/>
      </c>
      <c r="N337" s="11">
        <f>IF(B337="","",IF(B337&lt;H337,"ON","OFF"))</f>
        <v/>
      </c>
      <c r="O337" s="11">
        <f>IF(OR(B337="",K337&lt;=0),"",IF(AND(J337="BUY-DAY",L337="VOL-OK",N337="ON",X337="OK",Y337&lt;&gt;"DOWN"),"BUY",IF(AND(J337="SELL-DAY",L337="VOL-OK",M337="ON",X337="OK",Y337&lt;&gt;"UP"),"SELL","")))</f>
        <v/>
      </c>
      <c r="P337" s="12">
        <f>IF(O337="","",B337)</f>
        <v/>
      </c>
      <c r="Q337" s="12">
        <f>IF(O337="","",IF(O337="BUY",B337-K337*1.5,B337+K337*1.5))</f>
        <v/>
      </c>
      <c r="R337" s="12">
        <f>IF(O337="","",IF(O337="BUY",B337+K337*1.5,B337-K337*1.5))</f>
        <v/>
      </c>
      <c r="S337" s="12">
        <f>IF(O337="","",IF(O337="BUY",B337+K337*2,B337-K337*2))</f>
        <v/>
      </c>
      <c r="T337" s="12">
        <f>IF(O337="","",IF(O337="BUY",B337+K337*3,B337-K337*3))</f>
        <v/>
      </c>
      <c r="U337" s="11">
        <f>IF(OR(B337="",K337&lt;=0),"",IF(AND(B337&gt;E337,ABS(B337-E337)&lt;K337*0.5),"2ND","1ST"))</f>
        <v/>
      </c>
      <c r="V337" s="11">
        <f>IF(OR(B337="",K337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7" s="11">
        <f>IF(OR(B337="",K337&lt;=0),"",IF(K337&gt;B337*0.05,"VOL-HIGH","VOL-NORMAL"))</f>
        <v/>
      </c>
      <c r="X337" s="11">
        <f>IF(OR(B337="",K337&lt;=0),"",IF(AND(L337="VOL-OK",W337="VOL-NORMAL",U337="2ND"),"OK","NG"))</f>
        <v/>
      </c>
      <c r="Y337" s="11">
        <f>IF(OR(B337="",K337&lt;=0),"",IF(AND(C337&gt;G337,D337&gt;H337),"UP",IF(AND(C337&lt;G337,D337&lt;H337),"DOWN","FLAT")))</f>
        <v/>
      </c>
    </row>
    <row r="338" ht="26" customHeight="1" s="1">
      <c r="A338" s="13">
        <f>IF('StockList_MS2'!A337="","",HYPERLINK("https://kabutan.jp/stock/?code="&amp;'StockList_MS2'!A337,'StockList_MS2'!A337))</f>
        <v/>
      </c>
      <c r="B338" s="14" t="n"/>
      <c r="C338" s="14" t="n"/>
      <c r="D338" s="14" t="n"/>
      <c r="E338" s="14" t="n"/>
      <c r="F338" s="15" t="n"/>
      <c r="G338" s="14" t="n"/>
      <c r="H338" s="14" t="n"/>
      <c r="I338" s="14" t="n"/>
      <c r="J338" s="16">
        <f>IF(B338="","",IF(B338&gt;I338,"BUY-DAY","SELL-DAY"))</f>
        <v/>
      </c>
      <c r="K338" s="17">
        <f>IF(B338="","",MAX(C338-D338,ABS(C338-I338),ABS(D338-I338)))</f>
        <v/>
      </c>
      <c r="L338" s="16">
        <f>IF(B338="","",IF(AND(F338&gt;0,F338&gt;(F338/3)*2.5),"VOL-OK","VOL-NG"))</f>
        <v/>
      </c>
      <c r="M338" s="16">
        <f>IF(B338="","",IF(B338&gt;G338,"ON","OFF"))</f>
        <v/>
      </c>
      <c r="N338" s="16">
        <f>IF(B338="","",IF(B338&lt;H338,"ON","OFF"))</f>
        <v/>
      </c>
      <c r="O338" s="16">
        <f>IF(OR(B338="",K338&lt;=0),"",IF(AND(J338="BUY-DAY",L338="VOL-OK",N338="ON",X338="OK",Y338&lt;&gt;"DOWN"),"BUY",IF(AND(J338="SELL-DAY",L338="VOL-OK",M338="ON",X338="OK",Y338&lt;&gt;"UP"),"SELL","")))</f>
        <v/>
      </c>
      <c r="P338" s="17">
        <f>IF(O338="","",B338)</f>
        <v/>
      </c>
      <c r="Q338" s="17">
        <f>IF(O338="","",IF(O338="BUY",B338-K338*1.5,B338+K338*1.5))</f>
        <v/>
      </c>
      <c r="R338" s="17">
        <f>IF(O338="","",IF(O338="BUY",B338+K338*1.5,B338-K338*1.5))</f>
        <v/>
      </c>
      <c r="S338" s="17">
        <f>IF(O338="","",IF(O338="BUY",B338+K338*2,B338-K338*2))</f>
        <v/>
      </c>
      <c r="T338" s="17">
        <f>IF(O338="","",IF(O338="BUY",B338+K338*3,B338-K338*3))</f>
        <v/>
      </c>
      <c r="U338" s="16">
        <f>IF(OR(B338="",K338&lt;=0),"",IF(AND(B338&gt;E338,ABS(B338-E338)&lt;K338*0.5),"2ND","1ST"))</f>
        <v/>
      </c>
      <c r="V338" s="16">
        <f>IF(OR(B338="",K338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8" s="16">
        <f>IF(OR(B338="",K338&lt;=0),"",IF(K338&gt;B338*0.05,"VOL-HIGH","VOL-NORMAL"))</f>
        <v/>
      </c>
      <c r="X338" s="16">
        <f>IF(OR(B338="",K338&lt;=0),"",IF(AND(L338="VOL-OK",W338="VOL-NORMAL",U338="2ND"),"OK","NG"))</f>
        <v/>
      </c>
      <c r="Y338" s="16">
        <f>IF(OR(B338="",K338&lt;=0),"",IF(AND(C338&gt;G338,D338&gt;H338),"UP",IF(AND(C338&lt;G338,D338&lt;H338),"DOWN","FLAT")))</f>
        <v/>
      </c>
    </row>
    <row r="339" ht="26" customHeight="1" s="1">
      <c r="A339" s="8">
        <f>IF('StockList_MS2'!A338="","",HYPERLINK("https://kabutan.jp/stock/?code="&amp;'StockList_MS2'!A338,'StockList_MS2'!A338))</f>
        <v/>
      </c>
      <c r="B339" s="9" t="n"/>
      <c r="C339" s="9" t="n"/>
      <c r="D339" s="9" t="n"/>
      <c r="E339" s="9" t="n"/>
      <c r="F339" s="10" t="n"/>
      <c r="G339" s="9" t="n"/>
      <c r="H339" s="9" t="n"/>
      <c r="I339" s="9" t="n"/>
      <c r="J339" s="11">
        <f>IF(B339="","",IF(B339&gt;I339,"BUY-DAY","SELL-DAY"))</f>
        <v/>
      </c>
      <c r="K339" s="12">
        <f>IF(B339="","",MAX(C339-D339,ABS(C339-I339),ABS(D339-I339)))</f>
        <v/>
      </c>
      <c r="L339" s="11">
        <f>IF(B339="","",IF(AND(F339&gt;0,F339&gt;(F339/3)*2.5),"VOL-OK","VOL-NG"))</f>
        <v/>
      </c>
      <c r="M339" s="11">
        <f>IF(B339="","",IF(B339&gt;G339,"ON","OFF"))</f>
        <v/>
      </c>
      <c r="N339" s="11">
        <f>IF(B339="","",IF(B339&lt;H339,"ON","OFF"))</f>
        <v/>
      </c>
      <c r="O339" s="11">
        <f>IF(OR(B339="",K339&lt;=0),"",IF(AND(J339="BUY-DAY",L339="VOL-OK",N339="ON",X339="OK",Y339&lt;&gt;"DOWN"),"BUY",IF(AND(J339="SELL-DAY",L339="VOL-OK",M339="ON",X339="OK",Y339&lt;&gt;"UP"),"SELL","")))</f>
        <v/>
      </c>
      <c r="P339" s="12">
        <f>IF(O339="","",B339)</f>
        <v/>
      </c>
      <c r="Q339" s="12">
        <f>IF(O339="","",IF(O339="BUY",B339-K339*1.5,B339+K339*1.5))</f>
        <v/>
      </c>
      <c r="R339" s="12">
        <f>IF(O339="","",IF(O339="BUY",B339+K339*1.5,B339-K339*1.5))</f>
        <v/>
      </c>
      <c r="S339" s="12">
        <f>IF(O339="","",IF(O339="BUY",B339+K339*2,B339-K339*2))</f>
        <v/>
      </c>
      <c r="T339" s="12">
        <f>IF(O339="","",IF(O339="BUY",B339+K339*3,B339-K339*3))</f>
        <v/>
      </c>
      <c r="U339" s="11">
        <f>IF(OR(B339="",K339&lt;=0),"",IF(AND(B339&gt;E339,ABS(B339-E339)&lt;K339*0.5),"2ND","1ST"))</f>
        <v/>
      </c>
      <c r="V339" s="11">
        <f>IF(OR(B339="",K339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9" s="11">
        <f>IF(OR(B339="",K339&lt;=0),"",IF(K339&gt;B339*0.05,"VOL-HIGH","VOL-NORMAL"))</f>
        <v/>
      </c>
      <c r="X339" s="11">
        <f>IF(OR(B339="",K339&lt;=0),"",IF(AND(L339="VOL-OK",W339="VOL-NORMAL",U339="2ND"),"OK","NG"))</f>
        <v/>
      </c>
      <c r="Y339" s="11">
        <f>IF(OR(B339="",K339&lt;=0),"",IF(AND(C339&gt;G339,D339&gt;H339),"UP",IF(AND(C339&lt;G339,D339&lt;H339),"DOWN","FLAT")))</f>
        <v/>
      </c>
    </row>
    <row r="340" ht="26" customHeight="1" s="1">
      <c r="A340" s="13">
        <f>IF('StockList_MS2'!A339="","",HYPERLINK("https://kabutan.jp/stock/?code="&amp;'StockList_MS2'!A339,'StockList_MS2'!A339))</f>
        <v/>
      </c>
      <c r="B340" s="14" t="n"/>
      <c r="C340" s="14" t="n"/>
      <c r="D340" s="14" t="n"/>
      <c r="E340" s="14" t="n"/>
      <c r="F340" s="15" t="n"/>
      <c r="G340" s="14" t="n"/>
      <c r="H340" s="14" t="n"/>
      <c r="I340" s="14" t="n"/>
      <c r="J340" s="16">
        <f>IF(B340="","",IF(B340&gt;I340,"BUY-DAY","SELL-DAY"))</f>
        <v/>
      </c>
      <c r="K340" s="17">
        <f>IF(B340="","",MAX(C340-D340,ABS(C340-I340),ABS(D340-I340)))</f>
        <v/>
      </c>
      <c r="L340" s="16">
        <f>IF(B340="","",IF(AND(F340&gt;0,F340&gt;(F340/3)*2.5),"VOL-OK","VOL-NG"))</f>
        <v/>
      </c>
      <c r="M340" s="16">
        <f>IF(B340="","",IF(B340&gt;G340,"ON","OFF"))</f>
        <v/>
      </c>
      <c r="N340" s="16">
        <f>IF(B340="","",IF(B340&lt;H340,"ON","OFF"))</f>
        <v/>
      </c>
      <c r="O340" s="16">
        <f>IF(OR(B340="",K340&lt;=0),"",IF(AND(J340="BUY-DAY",L340="VOL-OK",N340="ON",X340="OK",Y340&lt;&gt;"DOWN"),"BUY",IF(AND(J340="SELL-DAY",L340="VOL-OK",M340="ON",X340="OK",Y340&lt;&gt;"UP"),"SELL","")))</f>
        <v/>
      </c>
      <c r="P340" s="17">
        <f>IF(O340="","",B340)</f>
        <v/>
      </c>
      <c r="Q340" s="17">
        <f>IF(O340="","",IF(O340="BUY",B340-K340*1.5,B340+K340*1.5))</f>
        <v/>
      </c>
      <c r="R340" s="17">
        <f>IF(O340="","",IF(O340="BUY",B340+K340*1.5,B340-K340*1.5))</f>
        <v/>
      </c>
      <c r="S340" s="17">
        <f>IF(O340="","",IF(O340="BUY",B340+K340*2,B340-K340*2))</f>
        <v/>
      </c>
      <c r="T340" s="17">
        <f>IF(O340="","",IF(O340="BUY",B340+K340*3,B340-K340*3))</f>
        <v/>
      </c>
      <c r="U340" s="16">
        <f>IF(OR(B340="",K340&lt;=0),"",IF(AND(B340&gt;E340,ABS(B340-E340)&lt;K340*0.5),"2ND","1ST"))</f>
        <v/>
      </c>
      <c r="V340" s="16">
        <f>IF(OR(B340="",K340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0" s="16">
        <f>IF(OR(B340="",K340&lt;=0),"",IF(K340&gt;B340*0.05,"VOL-HIGH","VOL-NORMAL"))</f>
        <v/>
      </c>
      <c r="X340" s="16">
        <f>IF(OR(B340="",K340&lt;=0),"",IF(AND(L340="VOL-OK",W340="VOL-NORMAL",U340="2ND"),"OK","NG"))</f>
        <v/>
      </c>
      <c r="Y340" s="16">
        <f>IF(OR(B340="",K340&lt;=0),"",IF(AND(C340&gt;G340,D340&gt;H340),"UP",IF(AND(C340&lt;G340,D340&lt;H340),"DOWN","FLAT")))</f>
        <v/>
      </c>
    </row>
    <row r="341" ht="26" customHeight="1" s="1">
      <c r="A341" s="8">
        <f>IF('StockList_MS2'!A340="","",HYPERLINK("https://kabutan.jp/stock/?code="&amp;'StockList_MS2'!A340,'StockList_MS2'!A340))</f>
        <v/>
      </c>
      <c r="B341" s="9" t="n"/>
      <c r="C341" s="9" t="n"/>
      <c r="D341" s="9" t="n"/>
      <c r="E341" s="9" t="n"/>
      <c r="F341" s="10" t="n"/>
      <c r="G341" s="9" t="n"/>
      <c r="H341" s="9" t="n"/>
      <c r="I341" s="9" t="n"/>
      <c r="J341" s="11">
        <f>IF(B341="","",IF(B341&gt;I341,"BUY-DAY","SELL-DAY"))</f>
        <v/>
      </c>
      <c r="K341" s="12">
        <f>IF(B341="","",MAX(C341-D341,ABS(C341-I341),ABS(D341-I341)))</f>
        <v/>
      </c>
      <c r="L341" s="11">
        <f>IF(B341="","",IF(AND(F341&gt;0,F341&gt;(F341/3)*2.5),"VOL-OK","VOL-NG"))</f>
        <v/>
      </c>
      <c r="M341" s="11">
        <f>IF(B341="","",IF(B341&gt;G341,"ON","OFF"))</f>
        <v/>
      </c>
      <c r="N341" s="11">
        <f>IF(B341="","",IF(B341&lt;H341,"ON","OFF"))</f>
        <v/>
      </c>
      <c r="O341" s="11">
        <f>IF(OR(B341="",K341&lt;=0),"",IF(AND(J341="BUY-DAY",L341="VOL-OK",N341="ON",X341="OK",Y341&lt;&gt;"DOWN"),"BUY",IF(AND(J341="SELL-DAY",L341="VOL-OK",M341="ON",X341="OK",Y341&lt;&gt;"UP"),"SELL","")))</f>
        <v/>
      </c>
      <c r="P341" s="12">
        <f>IF(O341="","",B341)</f>
        <v/>
      </c>
      <c r="Q341" s="12">
        <f>IF(O341="","",IF(O341="BUY",B341-K341*1.5,B341+K341*1.5))</f>
        <v/>
      </c>
      <c r="R341" s="12">
        <f>IF(O341="","",IF(O341="BUY",B341+K341*1.5,B341-K341*1.5))</f>
        <v/>
      </c>
      <c r="S341" s="12">
        <f>IF(O341="","",IF(O341="BUY",B341+K341*2,B341-K341*2))</f>
        <v/>
      </c>
      <c r="T341" s="12">
        <f>IF(O341="","",IF(O341="BUY",B341+K341*3,B341-K341*3))</f>
        <v/>
      </c>
      <c r="U341" s="11">
        <f>IF(OR(B341="",K341&lt;=0),"",IF(AND(B341&gt;E341,ABS(B341-E341)&lt;K341*0.5),"2ND","1ST"))</f>
        <v/>
      </c>
      <c r="V341" s="11">
        <f>IF(OR(B341="",K341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1" s="11">
        <f>IF(OR(B341="",K341&lt;=0),"",IF(K341&gt;B341*0.05,"VOL-HIGH","VOL-NORMAL"))</f>
        <v/>
      </c>
      <c r="X341" s="11">
        <f>IF(OR(B341="",K341&lt;=0),"",IF(AND(L341="VOL-OK",W341="VOL-NORMAL",U341="2ND"),"OK","NG"))</f>
        <v/>
      </c>
      <c r="Y341" s="11">
        <f>IF(OR(B341="",K341&lt;=0),"",IF(AND(C341&gt;G341,D341&gt;H341),"UP",IF(AND(C341&lt;G341,D341&lt;H341),"DOWN","FLAT")))</f>
        <v/>
      </c>
    </row>
    <row r="342" ht="26" customHeight="1" s="1">
      <c r="A342" s="13">
        <f>IF('StockList_MS2'!A341="","",HYPERLINK("https://kabutan.jp/stock/?code="&amp;'StockList_MS2'!A341,'StockList_MS2'!A341))</f>
        <v/>
      </c>
      <c r="B342" s="14" t="n"/>
      <c r="C342" s="14" t="n"/>
      <c r="D342" s="14" t="n"/>
      <c r="E342" s="14" t="n"/>
      <c r="F342" s="15" t="n"/>
      <c r="G342" s="14" t="n"/>
      <c r="H342" s="14" t="n"/>
      <c r="I342" s="14" t="n"/>
      <c r="J342" s="16">
        <f>IF(B342="","",IF(B342&gt;I342,"BUY-DAY","SELL-DAY"))</f>
        <v/>
      </c>
      <c r="K342" s="17">
        <f>IF(B342="","",MAX(C342-D342,ABS(C342-I342),ABS(D342-I342)))</f>
        <v/>
      </c>
      <c r="L342" s="16">
        <f>IF(B342="","",IF(AND(F342&gt;0,F342&gt;(F342/3)*2.5),"VOL-OK","VOL-NG"))</f>
        <v/>
      </c>
      <c r="M342" s="16">
        <f>IF(B342="","",IF(B342&gt;G342,"ON","OFF"))</f>
        <v/>
      </c>
      <c r="N342" s="16">
        <f>IF(B342="","",IF(B342&lt;H342,"ON","OFF"))</f>
        <v/>
      </c>
      <c r="O342" s="16">
        <f>IF(OR(B342="",K342&lt;=0),"",IF(AND(J342="BUY-DAY",L342="VOL-OK",N342="ON",X342="OK",Y342&lt;&gt;"DOWN"),"BUY",IF(AND(J342="SELL-DAY",L342="VOL-OK",M342="ON",X342="OK",Y342&lt;&gt;"UP"),"SELL","")))</f>
        <v/>
      </c>
      <c r="P342" s="17">
        <f>IF(O342="","",B342)</f>
        <v/>
      </c>
      <c r="Q342" s="17">
        <f>IF(O342="","",IF(O342="BUY",B342-K342*1.5,B342+K342*1.5))</f>
        <v/>
      </c>
      <c r="R342" s="17">
        <f>IF(O342="","",IF(O342="BUY",B342+K342*1.5,B342-K342*1.5))</f>
        <v/>
      </c>
      <c r="S342" s="17">
        <f>IF(O342="","",IF(O342="BUY",B342+K342*2,B342-K342*2))</f>
        <v/>
      </c>
      <c r="T342" s="17">
        <f>IF(O342="","",IF(O342="BUY",B342+K342*3,B342-K342*3))</f>
        <v/>
      </c>
      <c r="U342" s="16">
        <f>IF(OR(B342="",K342&lt;=0),"",IF(AND(B342&gt;E342,ABS(B342-E342)&lt;K342*0.5),"2ND","1ST"))</f>
        <v/>
      </c>
      <c r="V342" s="16">
        <f>IF(OR(B342="",K342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2" s="16">
        <f>IF(OR(B342="",K342&lt;=0),"",IF(K342&gt;B342*0.05,"VOL-HIGH","VOL-NORMAL"))</f>
        <v/>
      </c>
      <c r="X342" s="16">
        <f>IF(OR(B342="",K342&lt;=0),"",IF(AND(L342="VOL-OK",W342="VOL-NORMAL",U342="2ND"),"OK","NG"))</f>
        <v/>
      </c>
      <c r="Y342" s="16">
        <f>IF(OR(B342="",K342&lt;=0),"",IF(AND(C342&gt;G342,D342&gt;H342),"UP",IF(AND(C342&lt;G342,D342&lt;H342),"DOWN","FLAT")))</f>
        <v/>
      </c>
    </row>
    <row r="343" ht="26" customHeight="1" s="1">
      <c r="A343" s="8">
        <f>IF('StockList_MS2'!A342="","",HYPERLINK("https://kabutan.jp/stock/?code="&amp;'StockList_MS2'!A342,'StockList_MS2'!A342))</f>
        <v/>
      </c>
      <c r="B343" s="9" t="n"/>
      <c r="C343" s="9" t="n"/>
      <c r="D343" s="9" t="n"/>
      <c r="E343" s="9" t="n"/>
      <c r="F343" s="10" t="n"/>
      <c r="G343" s="9" t="n"/>
      <c r="H343" s="9" t="n"/>
      <c r="I343" s="9" t="n"/>
      <c r="J343" s="11">
        <f>IF(B343="","",IF(B343&gt;I343,"BUY-DAY","SELL-DAY"))</f>
        <v/>
      </c>
      <c r="K343" s="12">
        <f>IF(B343="","",MAX(C343-D343,ABS(C343-I343),ABS(D343-I343)))</f>
        <v/>
      </c>
      <c r="L343" s="11">
        <f>IF(B343="","",IF(AND(F343&gt;0,F343&gt;(F343/3)*2.5),"VOL-OK","VOL-NG"))</f>
        <v/>
      </c>
      <c r="M343" s="11">
        <f>IF(B343="","",IF(B343&gt;G343,"ON","OFF"))</f>
        <v/>
      </c>
      <c r="N343" s="11">
        <f>IF(B343="","",IF(B343&lt;H343,"ON","OFF"))</f>
        <v/>
      </c>
      <c r="O343" s="11">
        <f>IF(OR(B343="",K343&lt;=0),"",IF(AND(J343="BUY-DAY",L343="VOL-OK",N343="ON",X343="OK",Y343&lt;&gt;"DOWN"),"BUY",IF(AND(J343="SELL-DAY",L343="VOL-OK",M343="ON",X343="OK",Y343&lt;&gt;"UP"),"SELL","")))</f>
        <v/>
      </c>
      <c r="P343" s="12">
        <f>IF(O343="","",B343)</f>
        <v/>
      </c>
      <c r="Q343" s="12">
        <f>IF(O343="","",IF(O343="BUY",B343-K343*1.5,B343+K343*1.5))</f>
        <v/>
      </c>
      <c r="R343" s="12">
        <f>IF(O343="","",IF(O343="BUY",B343+K343*1.5,B343-K343*1.5))</f>
        <v/>
      </c>
      <c r="S343" s="12">
        <f>IF(O343="","",IF(O343="BUY",B343+K343*2,B343-K343*2))</f>
        <v/>
      </c>
      <c r="T343" s="12">
        <f>IF(O343="","",IF(O343="BUY",B343+K343*3,B343-K343*3))</f>
        <v/>
      </c>
      <c r="U343" s="11">
        <f>IF(OR(B343="",K343&lt;=0),"",IF(AND(B343&gt;E343,ABS(B343-E343)&lt;K343*0.5),"2ND","1ST"))</f>
        <v/>
      </c>
      <c r="V343" s="11">
        <f>IF(OR(B343="",K343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3" s="11">
        <f>IF(OR(B343="",K343&lt;=0),"",IF(K343&gt;B343*0.05,"VOL-HIGH","VOL-NORMAL"))</f>
        <v/>
      </c>
      <c r="X343" s="11">
        <f>IF(OR(B343="",K343&lt;=0),"",IF(AND(L343="VOL-OK",W343="VOL-NORMAL",U343="2ND"),"OK","NG"))</f>
        <v/>
      </c>
      <c r="Y343" s="11">
        <f>IF(OR(B343="",K343&lt;=0),"",IF(AND(C343&gt;G343,D343&gt;H343),"UP",IF(AND(C343&lt;G343,D343&lt;H343),"DOWN","FLAT")))</f>
        <v/>
      </c>
    </row>
    <row r="344" ht="26" customHeight="1" s="1">
      <c r="A344" s="13">
        <f>IF('StockList_MS2'!A343="","",HYPERLINK("https://kabutan.jp/stock/?code="&amp;'StockList_MS2'!A343,'StockList_MS2'!A343))</f>
        <v/>
      </c>
      <c r="B344" s="14" t="n"/>
      <c r="C344" s="14" t="n"/>
      <c r="D344" s="14" t="n"/>
      <c r="E344" s="14" t="n"/>
      <c r="F344" s="15" t="n"/>
      <c r="G344" s="14" t="n"/>
      <c r="H344" s="14" t="n"/>
      <c r="I344" s="14" t="n"/>
      <c r="J344" s="16">
        <f>IF(B344="","",IF(B344&gt;I344,"BUY-DAY","SELL-DAY"))</f>
        <v/>
      </c>
      <c r="K344" s="17">
        <f>IF(B344="","",MAX(C344-D344,ABS(C344-I344),ABS(D344-I344)))</f>
        <v/>
      </c>
      <c r="L344" s="16">
        <f>IF(B344="","",IF(AND(F344&gt;0,F344&gt;(F344/3)*2.5),"VOL-OK","VOL-NG"))</f>
        <v/>
      </c>
      <c r="M344" s="16">
        <f>IF(B344="","",IF(B344&gt;G344,"ON","OFF"))</f>
        <v/>
      </c>
      <c r="N344" s="16">
        <f>IF(B344="","",IF(B344&lt;H344,"ON","OFF"))</f>
        <v/>
      </c>
      <c r="O344" s="16">
        <f>IF(OR(B344="",K344&lt;=0),"",IF(AND(J344="BUY-DAY",L344="VOL-OK",N344="ON",X344="OK",Y344&lt;&gt;"DOWN"),"BUY",IF(AND(J344="SELL-DAY",L344="VOL-OK",M344="ON",X344="OK",Y344&lt;&gt;"UP"),"SELL","")))</f>
        <v/>
      </c>
      <c r="P344" s="17">
        <f>IF(O344="","",B344)</f>
        <v/>
      </c>
      <c r="Q344" s="17">
        <f>IF(O344="","",IF(O344="BUY",B344-K344*1.5,B344+K344*1.5))</f>
        <v/>
      </c>
      <c r="R344" s="17">
        <f>IF(O344="","",IF(O344="BUY",B344+K344*1.5,B344-K344*1.5))</f>
        <v/>
      </c>
      <c r="S344" s="17">
        <f>IF(O344="","",IF(O344="BUY",B344+K344*2,B344-K344*2))</f>
        <v/>
      </c>
      <c r="T344" s="17">
        <f>IF(O344="","",IF(O344="BUY",B344+K344*3,B344-K344*3))</f>
        <v/>
      </c>
      <c r="U344" s="16">
        <f>IF(OR(B344="",K344&lt;=0),"",IF(AND(B344&gt;E344,ABS(B344-E344)&lt;K344*0.5),"2ND","1ST"))</f>
        <v/>
      </c>
      <c r="V344" s="16">
        <f>IF(OR(B344="",K344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4" s="16">
        <f>IF(OR(B344="",K344&lt;=0),"",IF(K344&gt;B344*0.05,"VOL-HIGH","VOL-NORMAL"))</f>
        <v/>
      </c>
      <c r="X344" s="16">
        <f>IF(OR(B344="",K344&lt;=0),"",IF(AND(L344="VOL-OK",W344="VOL-NORMAL",U344="2ND"),"OK","NG"))</f>
        <v/>
      </c>
      <c r="Y344" s="16">
        <f>IF(OR(B344="",K344&lt;=0),"",IF(AND(C344&gt;G344,D344&gt;H344),"UP",IF(AND(C344&lt;G344,D344&lt;H344),"DOWN","FLAT")))</f>
        <v/>
      </c>
    </row>
    <row r="345" ht="26" customHeight="1" s="1">
      <c r="A345" s="8">
        <f>IF('StockList_MS2'!A344="","",HYPERLINK("https://kabutan.jp/stock/?code="&amp;'StockList_MS2'!A344,'StockList_MS2'!A344))</f>
        <v/>
      </c>
      <c r="B345" s="9" t="n"/>
      <c r="C345" s="9" t="n"/>
      <c r="D345" s="9" t="n"/>
      <c r="E345" s="9" t="n"/>
      <c r="F345" s="10" t="n"/>
      <c r="G345" s="9" t="n"/>
      <c r="H345" s="9" t="n"/>
      <c r="I345" s="9" t="n"/>
      <c r="J345" s="11">
        <f>IF(B345="","",IF(B345&gt;I345,"BUY-DAY","SELL-DAY"))</f>
        <v/>
      </c>
      <c r="K345" s="12">
        <f>IF(B345="","",MAX(C345-D345,ABS(C345-I345),ABS(D345-I345)))</f>
        <v/>
      </c>
      <c r="L345" s="11">
        <f>IF(B345="","",IF(AND(F345&gt;0,F345&gt;(F345/3)*2.5),"VOL-OK","VOL-NG"))</f>
        <v/>
      </c>
      <c r="M345" s="11">
        <f>IF(B345="","",IF(B345&gt;G345,"ON","OFF"))</f>
        <v/>
      </c>
      <c r="N345" s="11">
        <f>IF(B345="","",IF(B345&lt;H345,"ON","OFF"))</f>
        <v/>
      </c>
      <c r="O345" s="11">
        <f>IF(OR(B345="",K345&lt;=0),"",IF(AND(J345="BUY-DAY",L345="VOL-OK",N345="ON",X345="OK",Y345&lt;&gt;"DOWN"),"BUY",IF(AND(J345="SELL-DAY",L345="VOL-OK",M345="ON",X345="OK",Y345&lt;&gt;"UP"),"SELL","")))</f>
        <v/>
      </c>
      <c r="P345" s="12">
        <f>IF(O345="","",B345)</f>
        <v/>
      </c>
      <c r="Q345" s="12">
        <f>IF(O345="","",IF(O345="BUY",B345-K345*1.5,B345+K345*1.5))</f>
        <v/>
      </c>
      <c r="R345" s="12">
        <f>IF(O345="","",IF(O345="BUY",B345+K345*1.5,B345-K345*1.5))</f>
        <v/>
      </c>
      <c r="S345" s="12">
        <f>IF(O345="","",IF(O345="BUY",B345+K345*2,B345-K345*2))</f>
        <v/>
      </c>
      <c r="T345" s="12">
        <f>IF(O345="","",IF(O345="BUY",B345+K345*3,B345-K345*3))</f>
        <v/>
      </c>
      <c r="U345" s="11">
        <f>IF(OR(B345="",K345&lt;=0),"",IF(AND(B345&gt;E345,ABS(B345-E345)&lt;K345*0.5),"2ND","1ST"))</f>
        <v/>
      </c>
      <c r="V345" s="11">
        <f>IF(OR(B345="",K345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5" s="11">
        <f>IF(OR(B345="",K345&lt;=0),"",IF(K345&gt;B345*0.05,"VOL-HIGH","VOL-NORMAL"))</f>
        <v/>
      </c>
      <c r="X345" s="11">
        <f>IF(OR(B345="",K345&lt;=0),"",IF(AND(L345="VOL-OK",W345="VOL-NORMAL",U345="2ND"),"OK","NG"))</f>
        <v/>
      </c>
      <c r="Y345" s="11">
        <f>IF(OR(B345="",K345&lt;=0),"",IF(AND(C345&gt;G345,D345&gt;H345),"UP",IF(AND(C345&lt;G345,D345&lt;H345),"DOWN","FLAT")))</f>
        <v/>
      </c>
    </row>
    <row r="346" ht="26" customHeight="1" s="1">
      <c r="A346" s="13">
        <f>IF('StockList_MS2'!A345="","",HYPERLINK("https://kabutan.jp/stock/?code="&amp;'StockList_MS2'!A345,'StockList_MS2'!A345))</f>
        <v/>
      </c>
      <c r="B346" s="14" t="n"/>
      <c r="C346" s="14" t="n"/>
      <c r="D346" s="14" t="n"/>
      <c r="E346" s="14" t="n"/>
      <c r="F346" s="15" t="n"/>
      <c r="G346" s="14" t="n"/>
      <c r="H346" s="14" t="n"/>
      <c r="I346" s="14" t="n"/>
      <c r="J346" s="16">
        <f>IF(B346="","",IF(B346&gt;I346,"BUY-DAY","SELL-DAY"))</f>
        <v/>
      </c>
      <c r="K346" s="17">
        <f>IF(B346="","",MAX(C346-D346,ABS(C346-I346),ABS(D346-I346)))</f>
        <v/>
      </c>
      <c r="L346" s="16">
        <f>IF(B346="","",IF(AND(F346&gt;0,F346&gt;(F346/3)*2.5),"VOL-OK","VOL-NG"))</f>
        <v/>
      </c>
      <c r="M346" s="16">
        <f>IF(B346="","",IF(B346&gt;G346,"ON","OFF"))</f>
        <v/>
      </c>
      <c r="N346" s="16">
        <f>IF(B346="","",IF(B346&lt;H346,"ON","OFF"))</f>
        <v/>
      </c>
      <c r="O346" s="16">
        <f>IF(OR(B346="",K346&lt;=0),"",IF(AND(J346="BUY-DAY",L346="VOL-OK",N346="ON",X346="OK",Y346&lt;&gt;"DOWN"),"BUY",IF(AND(J346="SELL-DAY",L346="VOL-OK",M346="ON",X346="OK",Y346&lt;&gt;"UP"),"SELL","")))</f>
        <v/>
      </c>
      <c r="P346" s="17">
        <f>IF(O346="","",B346)</f>
        <v/>
      </c>
      <c r="Q346" s="17">
        <f>IF(O346="","",IF(O346="BUY",B346-K346*1.5,B346+K346*1.5))</f>
        <v/>
      </c>
      <c r="R346" s="17">
        <f>IF(O346="","",IF(O346="BUY",B346+K346*1.5,B346-K346*1.5))</f>
        <v/>
      </c>
      <c r="S346" s="17">
        <f>IF(O346="","",IF(O346="BUY",B346+K346*2,B346-K346*2))</f>
        <v/>
      </c>
      <c r="T346" s="17">
        <f>IF(O346="","",IF(O346="BUY",B346+K346*3,B346-K346*3))</f>
        <v/>
      </c>
      <c r="U346" s="16">
        <f>IF(OR(B346="",K346&lt;=0),"",IF(AND(B346&gt;E346,ABS(B346-E346)&lt;K346*0.5),"2ND","1ST"))</f>
        <v/>
      </c>
      <c r="V346" s="16">
        <f>IF(OR(B346="",K346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6" s="16">
        <f>IF(OR(B346="",K346&lt;=0),"",IF(K346&gt;B346*0.05,"VOL-HIGH","VOL-NORMAL"))</f>
        <v/>
      </c>
      <c r="X346" s="16">
        <f>IF(OR(B346="",K346&lt;=0),"",IF(AND(L346="VOL-OK",W346="VOL-NORMAL",U346="2ND"),"OK","NG"))</f>
        <v/>
      </c>
      <c r="Y346" s="16">
        <f>IF(OR(B346="",K346&lt;=0),"",IF(AND(C346&gt;G346,D346&gt;H346),"UP",IF(AND(C346&lt;G346,D346&lt;H346),"DOWN","FLAT")))</f>
        <v/>
      </c>
    </row>
    <row r="347" ht="26" customHeight="1" s="1">
      <c r="A347" s="8">
        <f>IF('StockList_MS2'!A346="","",HYPERLINK("https://kabutan.jp/stock/?code="&amp;'StockList_MS2'!A346,'StockList_MS2'!A346))</f>
        <v/>
      </c>
      <c r="B347" s="9" t="n"/>
      <c r="C347" s="9" t="n"/>
      <c r="D347" s="9" t="n"/>
      <c r="E347" s="9" t="n"/>
      <c r="F347" s="10" t="n"/>
      <c r="G347" s="9" t="n"/>
      <c r="H347" s="9" t="n"/>
      <c r="I347" s="9" t="n"/>
      <c r="J347" s="11">
        <f>IF(B347="","",IF(B347&gt;I347,"BUY-DAY","SELL-DAY"))</f>
        <v/>
      </c>
      <c r="K347" s="12">
        <f>IF(B347="","",MAX(C347-D347,ABS(C347-I347),ABS(D347-I347)))</f>
        <v/>
      </c>
      <c r="L347" s="11">
        <f>IF(B347="","",IF(AND(F347&gt;0,F347&gt;(F347/3)*2.5),"VOL-OK","VOL-NG"))</f>
        <v/>
      </c>
      <c r="M347" s="11">
        <f>IF(B347="","",IF(B347&gt;G347,"ON","OFF"))</f>
        <v/>
      </c>
      <c r="N347" s="11">
        <f>IF(B347="","",IF(B347&lt;H347,"ON","OFF"))</f>
        <v/>
      </c>
      <c r="O347" s="11">
        <f>IF(OR(B347="",K347&lt;=0),"",IF(AND(J347="BUY-DAY",L347="VOL-OK",N347="ON",X347="OK",Y347&lt;&gt;"DOWN"),"BUY",IF(AND(J347="SELL-DAY",L347="VOL-OK",M347="ON",X347="OK",Y347&lt;&gt;"UP"),"SELL","")))</f>
        <v/>
      </c>
      <c r="P347" s="12">
        <f>IF(O347="","",B347)</f>
        <v/>
      </c>
      <c r="Q347" s="12">
        <f>IF(O347="","",IF(O347="BUY",B347-K347*1.5,B347+K347*1.5))</f>
        <v/>
      </c>
      <c r="R347" s="12">
        <f>IF(O347="","",IF(O347="BUY",B347+K347*1.5,B347-K347*1.5))</f>
        <v/>
      </c>
      <c r="S347" s="12">
        <f>IF(O347="","",IF(O347="BUY",B347+K347*2,B347-K347*2))</f>
        <v/>
      </c>
      <c r="T347" s="12">
        <f>IF(O347="","",IF(O347="BUY",B347+K347*3,B347-K347*3))</f>
        <v/>
      </c>
      <c r="U347" s="11">
        <f>IF(OR(B347="",K347&lt;=0),"",IF(AND(B347&gt;E347,ABS(B347-E347)&lt;K347*0.5),"2ND","1ST"))</f>
        <v/>
      </c>
      <c r="V347" s="11">
        <f>IF(OR(B347="",K347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7" s="11">
        <f>IF(OR(B347="",K347&lt;=0),"",IF(K347&gt;B347*0.05,"VOL-HIGH","VOL-NORMAL"))</f>
        <v/>
      </c>
      <c r="X347" s="11">
        <f>IF(OR(B347="",K347&lt;=0),"",IF(AND(L347="VOL-OK",W347="VOL-NORMAL",U347="2ND"),"OK","NG"))</f>
        <v/>
      </c>
      <c r="Y347" s="11">
        <f>IF(OR(B347="",K347&lt;=0),"",IF(AND(C347&gt;G347,D347&gt;H347),"UP",IF(AND(C347&lt;G347,D347&lt;H347),"DOWN","FLAT")))</f>
        <v/>
      </c>
    </row>
    <row r="348" ht="26" customHeight="1" s="1">
      <c r="A348" s="13">
        <f>IF('StockList_MS2'!A347="","",HYPERLINK("https://kabutan.jp/stock/?code="&amp;'StockList_MS2'!A347,'StockList_MS2'!A347))</f>
        <v/>
      </c>
      <c r="B348" s="14" t="n"/>
      <c r="C348" s="14" t="n"/>
      <c r="D348" s="14" t="n"/>
      <c r="E348" s="14" t="n"/>
      <c r="F348" s="15" t="n"/>
      <c r="G348" s="14" t="n"/>
      <c r="H348" s="14" t="n"/>
      <c r="I348" s="14" t="n"/>
      <c r="J348" s="16">
        <f>IF(B348="","",IF(B348&gt;I348,"BUY-DAY","SELL-DAY"))</f>
        <v/>
      </c>
      <c r="K348" s="17">
        <f>IF(B348="","",MAX(C348-D348,ABS(C348-I348),ABS(D348-I348)))</f>
        <v/>
      </c>
      <c r="L348" s="16">
        <f>IF(B348="","",IF(AND(F348&gt;0,F348&gt;(F348/3)*2.5),"VOL-OK","VOL-NG"))</f>
        <v/>
      </c>
      <c r="M348" s="16">
        <f>IF(B348="","",IF(B348&gt;G348,"ON","OFF"))</f>
        <v/>
      </c>
      <c r="N348" s="16">
        <f>IF(B348="","",IF(B348&lt;H348,"ON","OFF"))</f>
        <v/>
      </c>
      <c r="O348" s="16">
        <f>IF(OR(B348="",K348&lt;=0),"",IF(AND(J348="BUY-DAY",L348="VOL-OK",N348="ON",X348="OK",Y348&lt;&gt;"DOWN"),"BUY",IF(AND(J348="SELL-DAY",L348="VOL-OK",M348="ON",X348="OK",Y348&lt;&gt;"UP"),"SELL","")))</f>
        <v/>
      </c>
      <c r="P348" s="17">
        <f>IF(O348="","",B348)</f>
        <v/>
      </c>
      <c r="Q348" s="17">
        <f>IF(O348="","",IF(O348="BUY",B348-K348*1.5,B348+K348*1.5))</f>
        <v/>
      </c>
      <c r="R348" s="17">
        <f>IF(O348="","",IF(O348="BUY",B348+K348*1.5,B348-K348*1.5))</f>
        <v/>
      </c>
      <c r="S348" s="17">
        <f>IF(O348="","",IF(O348="BUY",B348+K348*2,B348-K348*2))</f>
        <v/>
      </c>
      <c r="T348" s="17">
        <f>IF(O348="","",IF(O348="BUY",B348+K348*3,B348-K348*3))</f>
        <v/>
      </c>
      <c r="U348" s="16">
        <f>IF(OR(B348="",K348&lt;=0),"",IF(AND(B348&gt;E348,ABS(B348-E348)&lt;K348*0.5),"2ND","1ST"))</f>
        <v/>
      </c>
      <c r="V348" s="16">
        <f>IF(OR(B348="",K348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8" s="16">
        <f>IF(OR(B348="",K348&lt;=0),"",IF(K348&gt;B348*0.05,"VOL-HIGH","VOL-NORMAL"))</f>
        <v/>
      </c>
      <c r="X348" s="16">
        <f>IF(OR(B348="",K348&lt;=0),"",IF(AND(L348="VOL-OK",W348="VOL-NORMAL",U348="2ND"),"OK","NG"))</f>
        <v/>
      </c>
      <c r="Y348" s="16">
        <f>IF(OR(B348="",K348&lt;=0),"",IF(AND(C348&gt;G348,D348&gt;H348),"UP",IF(AND(C348&lt;G348,D348&lt;H348),"DOWN","FLAT")))</f>
        <v/>
      </c>
    </row>
    <row r="349" ht="26" customHeight="1" s="1">
      <c r="A349" s="8">
        <f>IF('StockList_MS2'!A348="","",HYPERLINK("https://kabutan.jp/stock/?code="&amp;'StockList_MS2'!A348,'StockList_MS2'!A348))</f>
        <v/>
      </c>
      <c r="B349" s="9" t="n"/>
      <c r="C349" s="9" t="n"/>
      <c r="D349" s="9" t="n"/>
      <c r="E349" s="9" t="n"/>
      <c r="F349" s="10" t="n"/>
      <c r="G349" s="9" t="n"/>
      <c r="H349" s="9" t="n"/>
      <c r="I349" s="9" t="n"/>
      <c r="J349" s="11">
        <f>IF(B349="","",IF(B349&gt;I349,"BUY-DAY","SELL-DAY"))</f>
        <v/>
      </c>
      <c r="K349" s="12">
        <f>IF(B349="","",MAX(C349-D349,ABS(C349-I349),ABS(D349-I349)))</f>
        <v/>
      </c>
      <c r="L349" s="11">
        <f>IF(B349="","",IF(AND(F349&gt;0,F349&gt;(F349/3)*2.5),"VOL-OK","VOL-NG"))</f>
        <v/>
      </c>
      <c r="M349" s="11">
        <f>IF(B349="","",IF(B349&gt;G349,"ON","OFF"))</f>
        <v/>
      </c>
      <c r="N349" s="11">
        <f>IF(B349="","",IF(B349&lt;H349,"ON","OFF"))</f>
        <v/>
      </c>
      <c r="O349" s="11">
        <f>IF(OR(B349="",K349&lt;=0),"",IF(AND(J349="BUY-DAY",L349="VOL-OK",N349="ON",X349="OK",Y349&lt;&gt;"DOWN"),"BUY",IF(AND(J349="SELL-DAY",L349="VOL-OK",M349="ON",X349="OK",Y349&lt;&gt;"UP"),"SELL","")))</f>
        <v/>
      </c>
      <c r="P349" s="12">
        <f>IF(O349="","",B349)</f>
        <v/>
      </c>
      <c r="Q349" s="12">
        <f>IF(O349="","",IF(O349="BUY",B349-K349*1.5,B349+K349*1.5))</f>
        <v/>
      </c>
      <c r="R349" s="12">
        <f>IF(O349="","",IF(O349="BUY",B349+K349*1.5,B349-K349*1.5))</f>
        <v/>
      </c>
      <c r="S349" s="12">
        <f>IF(O349="","",IF(O349="BUY",B349+K349*2,B349-K349*2))</f>
        <v/>
      </c>
      <c r="T349" s="12">
        <f>IF(O349="","",IF(O349="BUY",B349+K349*3,B349-K349*3))</f>
        <v/>
      </c>
      <c r="U349" s="11">
        <f>IF(OR(B349="",K349&lt;=0),"",IF(AND(B349&gt;E349,ABS(B349-E349)&lt;K349*0.5),"2ND","1ST"))</f>
        <v/>
      </c>
      <c r="V349" s="11">
        <f>IF(OR(B349="",K349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9" s="11">
        <f>IF(OR(B349="",K349&lt;=0),"",IF(K349&gt;B349*0.05,"VOL-HIGH","VOL-NORMAL"))</f>
        <v/>
      </c>
      <c r="X349" s="11">
        <f>IF(OR(B349="",K349&lt;=0),"",IF(AND(L349="VOL-OK",W349="VOL-NORMAL",U349="2ND"),"OK","NG"))</f>
        <v/>
      </c>
      <c r="Y349" s="11">
        <f>IF(OR(B349="",K349&lt;=0),"",IF(AND(C349&gt;G349,D349&gt;H349),"UP",IF(AND(C349&lt;G349,D349&lt;H349),"DOWN","FLAT")))</f>
        <v/>
      </c>
    </row>
    <row r="350" ht="26" customHeight="1" s="1">
      <c r="A350" s="13">
        <f>IF('StockList_MS2'!A349="","",HYPERLINK("https://kabutan.jp/stock/?code="&amp;'StockList_MS2'!A349,'StockList_MS2'!A349))</f>
        <v/>
      </c>
      <c r="B350" s="14" t="n"/>
      <c r="C350" s="14" t="n"/>
      <c r="D350" s="14" t="n"/>
      <c r="E350" s="14" t="n"/>
      <c r="F350" s="15" t="n"/>
      <c r="G350" s="14" t="n"/>
      <c r="H350" s="14" t="n"/>
      <c r="I350" s="14" t="n"/>
      <c r="J350" s="16">
        <f>IF(B350="","",IF(B350&gt;I350,"BUY-DAY","SELL-DAY"))</f>
        <v/>
      </c>
      <c r="K350" s="17">
        <f>IF(B350="","",MAX(C350-D350,ABS(C350-I350),ABS(D350-I350)))</f>
        <v/>
      </c>
      <c r="L350" s="16">
        <f>IF(B350="","",IF(AND(F350&gt;0,F350&gt;(F350/3)*2.5),"VOL-OK","VOL-NG"))</f>
        <v/>
      </c>
      <c r="M350" s="16">
        <f>IF(B350="","",IF(B350&gt;G350,"ON","OFF"))</f>
        <v/>
      </c>
      <c r="N350" s="16">
        <f>IF(B350="","",IF(B350&lt;H350,"ON","OFF"))</f>
        <v/>
      </c>
      <c r="O350" s="16">
        <f>IF(OR(B350="",K350&lt;=0),"",IF(AND(J350="BUY-DAY",L350="VOL-OK",N350="ON",X350="OK",Y350&lt;&gt;"DOWN"),"BUY",IF(AND(J350="SELL-DAY",L350="VOL-OK",M350="ON",X350="OK",Y350&lt;&gt;"UP"),"SELL","")))</f>
        <v/>
      </c>
      <c r="P350" s="17">
        <f>IF(O350="","",B350)</f>
        <v/>
      </c>
      <c r="Q350" s="17">
        <f>IF(O350="","",IF(O350="BUY",B350-K350*1.5,B350+K350*1.5))</f>
        <v/>
      </c>
      <c r="R350" s="17">
        <f>IF(O350="","",IF(O350="BUY",B350+K350*1.5,B350-K350*1.5))</f>
        <v/>
      </c>
      <c r="S350" s="17">
        <f>IF(O350="","",IF(O350="BUY",B350+K350*2,B350-K350*2))</f>
        <v/>
      </c>
      <c r="T350" s="17">
        <f>IF(O350="","",IF(O350="BUY",B350+K350*3,B350-K350*3))</f>
        <v/>
      </c>
      <c r="U350" s="16">
        <f>IF(OR(B350="",K350&lt;=0),"",IF(AND(B350&gt;E350,ABS(B350-E350)&lt;K350*0.5),"2ND","1ST"))</f>
        <v/>
      </c>
      <c r="V350" s="16">
        <f>IF(OR(B350="",K350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0" s="16">
        <f>IF(OR(B350="",K350&lt;=0),"",IF(K350&gt;B350*0.05,"VOL-HIGH","VOL-NORMAL"))</f>
        <v/>
      </c>
      <c r="X350" s="16">
        <f>IF(OR(B350="",K350&lt;=0),"",IF(AND(L350="VOL-OK",W350="VOL-NORMAL",U350="2ND"),"OK","NG"))</f>
        <v/>
      </c>
      <c r="Y350" s="16">
        <f>IF(OR(B350="",K350&lt;=0),"",IF(AND(C350&gt;G350,D350&gt;H350),"UP",IF(AND(C350&lt;G350,D350&lt;H350),"DOWN","FLAT")))</f>
        <v/>
      </c>
    </row>
    <row r="351" ht="26" customHeight="1" s="1">
      <c r="A351" s="8">
        <f>IF('StockList_MS2'!A350="","",HYPERLINK("https://kabutan.jp/stock/?code="&amp;'StockList_MS2'!A350,'StockList_MS2'!A350))</f>
        <v/>
      </c>
      <c r="B351" s="9" t="n"/>
      <c r="C351" s="9" t="n"/>
      <c r="D351" s="9" t="n"/>
      <c r="E351" s="9" t="n"/>
      <c r="F351" s="10" t="n"/>
      <c r="G351" s="9" t="n"/>
      <c r="H351" s="9" t="n"/>
      <c r="I351" s="9" t="n"/>
      <c r="J351" s="11">
        <f>IF(B351="","",IF(B351&gt;I351,"BUY-DAY","SELL-DAY"))</f>
        <v/>
      </c>
      <c r="K351" s="12">
        <f>IF(B351="","",MAX(C351-D351,ABS(C351-I351),ABS(D351-I351)))</f>
        <v/>
      </c>
      <c r="L351" s="11">
        <f>IF(B351="","",IF(AND(F351&gt;0,F351&gt;(F351/3)*2.5),"VOL-OK","VOL-NG"))</f>
        <v/>
      </c>
      <c r="M351" s="11">
        <f>IF(B351="","",IF(B351&gt;G351,"ON","OFF"))</f>
        <v/>
      </c>
      <c r="N351" s="11">
        <f>IF(B351="","",IF(B351&lt;H351,"ON","OFF"))</f>
        <v/>
      </c>
      <c r="O351" s="11">
        <f>IF(OR(B351="",K351&lt;=0),"",IF(AND(J351="BUY-DAY",L351="VOL-OK",N351="ON",X351="OK",Y351&lt;&gt;"DOWN"),"BUY",IF(AND(J351="SELL-DAY",L351="VOL-OK",M351="ON",X351="OK",Y351&lt;&gt;"UP"),"SELL","")))</f>
        <v/>
      </c>
      <c r="P351" s="12">
        <f>IF(O351="","",B351)</f>
        <v/>
      </c>
      <c r="Q351" s="12">
        <f>IF(O351="","",IF(O351="BUY",B351-K351*1.5,B351+K351*1.5))</f>
        <v/>
      </c>
      <c r="R351" s="12">
        <f>IF(O351="","",IF(O351="BUY",B351+K351*1.5,B351-K351*1.5))</f>
        <v/>
      </c>
      <c r="S351" s="12">
        <f>IF(O351="","",IF(O351="BUY",B351+K351*2,B351-K351*2))</f>
        <v/>
      </c>
      <c r="T351" s="12">
        <f>IF(O351="","",IF(O351="BUY",B351+K351*3,B351-K351*3))</f>
        <v/>
      </c>
      <c r="U351" s="11">
        <f>IF(OR(B351="",K351&lt;=0),"",IF(AND(B351&gt;E351,ABS(B351-E351)&lt;K351*0.5),"2ND","1ST"))</f>
        <v/>
      </c>
      <c r="V351" s="11">
        <f>IF(OR(B351="",K351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1" s="11">
        <f>IF(OR(B351="",K351&lt;=0),"",IF(K351&gt;B351*0.05,"VOL-HIGH","VOL-NORMAL"))</f>
        <v/>
      </c>
      <c r="X351" s="11">
        <f>IF(OR(B351="",K351&lt;=0),"",IF(AND(L351="VOL-OK",W351="VOL-NORMAL",U351="2ND"),"OK","NG"))</f>
        <v/>
      </c>
      <c r="Y351" s="11">
        <f>IF(OR(B351="",K351&lt;=0),"",IF(AND(C351&gt;G351,D351&gt;H351),"UP",IF(AND(C351&lt;G351,D351&lt;H351),"DOWN","FLAT")))</f>
        <v/>
      </c>
    </row>
    <row r="352" ht="26" customHeight="1" s="1">
      <c r="A352" s="13">
        <f>IF('StockList_MS2'!A351="","",HYPERLINK("https://kabutan.jp/stock/?code="&amp;'StockList_MS2'!A351,'StockList_MS2'!A351))</f>
        <v/>
      </c>
      <c r="B352" s="14" t="n"/>
      <c r="C352" s="14" t="n"/>
      <c r="D352" s="14" t="n"/>
      <c r="E352" s="14" t="n"/>
      <c r="F352" s="15" t="n"/>
      <c r="G352" s="14" t="n"/>
      <c r="H352" s="14" t="n"/>
      <c r="I352" s="14" t="n"/>
      <c r="J352" s="16">
        <f>IF(B352="","",IF(B352&gt;I352,"BUY-DAY","SELL-DAY"))</f>
        <v/>
      </c>
      <c r="K352" s="17">
        <f>IF(B352="","",MAX(C352-D352,ABS(C352-I352),ABS(D352-I352)))</f>
        <v/>
      </c>
      <c r="L352" s="16">
        <f>IF(B352="","",IF(AND(F352&gt;0,F352&gt;(F352/3)*2.5),"VOL-OK","VOL-NG"))</f>
        <v/>
      </c>
      <c r="M352" s="16">
        <f>IF(B352="","",IF(B352&gt;G352,"ON","OFF"))</f>
        <v/>
      </c>
      <c r="N352" s="16">
        <f>IF(B352="","",IF(B352&lt;H352,"ON","OFF"))</f>
        <v/>
      </c>
      <c r="O352" s="16">
        <f>IF(OR(B352="",K352&lt;=0),"",IF(AND(J352="BUY-DAY",L352="VOL-OK",N352="ON",X352="OK",Y352&lt;&gt;"DOWN"),"BUY",IF(AND(J352="SELL-DAY",L352="VOL-OK",M352="ON",X352="OK",Y352&lt;&gt;"UP"),"SELL","")))</f>
        <v/>
      </c>
      <c r="P352" s="17">
        <f>IF(O352="","",B352)</f>
        <v/>
      </c>
      <c r="Q352" s="17">
        <f>IF(O352="","",IF(O352="BUY",B352-K352*1.5,B352+K352*1.5))</f>
        <v/>
      </c>
      <c r="R352" s="17">
        <f>IF(O352="","",IF(O352="BUY",B352+K352*1.5,B352-K352*1.5))</f>
        <v/>
      </c>
      <c r="S352" s="17">
        <f>IF(O352="","",IF(O352="BUY",B352+K352*2,B352-K352*2))</f>
        <v/>
      </c>
      <c r="T352" s="17">
        <f>IF(O352="","",IF(O352="BUY",B352+K352*3,B352-K352*3))</f>
        <v/>
      </c>
      <c r="U352" s="16">
        <f>IF(OR(B352="",K352&lt;=0),"",IF(AND(B352&gt;E352,ABS(B352-E352)&lt;K352*0.5),"2ND","1ST"))</f>
        <v/>
      </c>
      <c r="V352" s="16">
        <f>IF(OR(B352="",K352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2" s="16">
        <f>IF(OR(B352="",K352&lt;=0),"",IF(K352&gt;B352*0.05,"VOL-HIGH","VOL-NORMAL"))</f>
        <v/>
      </c>
      <c r="X352" s="16">
        <f>IF(OR(B352="",K352&lt;=0),"",IF(AND(L352="VOL-OK",W352="VOL-NORMAL",U352="2ND"),"OK","NG"))</f>
        <v/>
      </c>
      <c r="Y352" s="16">
        <f>IF(OR(B352="",K352&lt;=0),"",IF(AND(C352&gt;G352,D352&gt;H352),"UP",IF(AND(C352&lt;G352,D352&lt;H352),"DOWN","FLAT")))</f>
        <v/>
      </c>
    </row>
    <row r="354">
      <c r="K354" s="3" t="inlineStr">
        <is>
          <t>※K列=当足のTrue Range。厳密な14期間ATR(5分足)は『ATR更新_MS2』マクロで算出。</t>
        </is>
      </c>
    </row>
  </sheetData>
  <autoFilter ref="A2:Y2"/>
  <mergeCells count="1">
    <mergeCell ref="A1:Y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3" customWidth="1" style="1" min="1" max="1"/>
    <col width="13" customWidth="1" style="1" min="2" max="2"/>
    <col width="13" customWidth="1" style="1" min="3" max="3"/>
    <col width="13" customWidth="1" style="1" min="4" max="4"/>
    <col width="13" customWidth="1" style="1" min="5" max="5"/>
    <col width="13" customWidth="1" style="1" min="6" max="6"/>
    <col width="13" customWidth="1" style="1" min="7" max="7"/>
    <col width="13" customWidth="1" style="1" min="8" max="8"/>
    <col width="13" customWidth="1" style="1" min="9" max="9"/>
    <col width="13" customWidth="1" style="1" min="10" max="10"/>
    <col width="13" customWidth="1" style="1" min="11" max="11"/>
    <col width="13" customWidth="1" style="1" min="12" max="12"/>
  </cols>
  <sheetData>
    <row r="1" ht="46" customHeight="1" s="1">
      <c r="A1" s="4" t="inlineStr">
        <is>
          <t>No</t>
        </is>
      </c>
      <c r="B1" s="4" t="inlineStr">
        <is>
          <t>銘柄コード</t>
        </is>
      </c>
      <c r="C1" s="4" t="inlineStr">
        <is>
          <t>売買種別</t>
        </is>
      </c>
      <c r="D1" s="4" t="inlineStr">
        <is>
          <t>Entry</t>
        </is>
      </c>
      <c r="E1" s="4" t="inlineStr">
        <is>
          <t>SL</t>
        </is>
      </c>
      <c r="F1" s="4" t="inlineStr">
        <is>
          <t>TP1</t>
        </is>
      </c>
      <c r="G1" s="4" t="inlineStr">
        <is>
          <t>TP2</t>
        </is>
      </c>
      <c r="H1" s="4" t="inlineStr">
        <is>
          <t>TP3</t>
        </is>
      </c>
      <c r="I1" s="4" t="inlineStr">
        <is>
          <t>結果</t>
        </is>
      </c>
      <c r="J1" s="4" t="inlineStr">
        <is>
          <t>損益</t>
        </is>
      </c>
      <c r="K1" s="4" t="inlineStr">
        <is>
          <t>開始時刻</t>
        </is>
      </c>
      <c r="L1" s="4" t="inlineStr">
        <is>
          <t>終了時刻</t>
        </is>
      </c>
    </row>
    <row r="3">
      <c r="A3" s="3" t="inlineStr">
        <is>
          <t>※『売買抽出_MS2』『MS2_Eval_Trades』マクロで自動出力される結果ログです。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3" customWidth="1" style="1" min="1" max="1"/>
    <col width="13" customWidth="1" style="1" min="2" max="2"/>
    <col width="13" customWidth="1" style="1" min="3" max="3"/>
    <col width="13" customWidth="1" style="1" min="4" max="4"/>
    <col width="13" customWidth="1" style="1" min="5" max="5"/>
    <col width="13" customWidth="1" style="1" min="6" max="6"/>
    <col width="13" customWidth="1" style="1" min="7" max="7"/>
    <col width="13" customWidth="1" style="1" min="8" max="8"/>
    <col width="13" customWidth="1" style="1" min="9" max="9"/>
    <col width="13" customWidth="1" style="1" min="10" max="10"/>
  </cols>
  <sheetData>
    <row r="1" ht="46" customHeight="1" s="1">
      <c r="A1" s="4" t="inlineStr">
        <is>
          <t>銘柄コード</t>
        </is>
      </c>
      <c r="B1" s="4" t="inlineStr">
        <is>
          <t>勝率</t>
        </is>
      </c>
      <c r="C1" s="4" t="inlineStr">
        <is>
          <t>PF</t>
        </is>
      </c>
      <c r="D1" s="4" t="inlineStr">
        <is>
          <t>RR</t>
        </is>
      </c>
      <c r="E1" s="4" t="inlineStr">
        <is>
          <t>最大DD</t>
        </is>
      </c>
      <c r="F1" s="4" t="inlineStr">
        <is>
          <t>平均RR</t>
        </is>
      </c>
      <c r="G1" s="4" t="inlineStr">
        <is>
          <t>連勝</t>
        </is>
      </c>
      <c r="H1" s="4" t="inlineStr">
        <is>
          <t>連敗</t>
        </is>
      </c>
      <c r="I1" s="4" t="inlineStr">
        <is>
          <t>月次損益</t>
        </is>
      </c>
      <c r="J1" s="4" t="inlineStr">
        <is>
          <t>トレード数</t>
        </is>
      </c>
    </row>
    <row r="3">
      <c r="A3" s="3" t="inlineStr">
        <is>
          <t>※『ランキング_MS2』マクロで TRADE_MS2 を集計して出力します。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英明 阿部</dc:creator>
  <dcterms:created xsi:type="dcterms:W3CDTF">2026-08-01T12:40:50Z</dcterms:created>
  <dcterms:modified xsi:type="dcterms:W3CDTF">2026-08-01T14:53:22Z</dcterms:modified>
  <cp:lastModifiedBy>英明 阿部</cp:lastModifiedBy>
</cp:coreProperties>
</file>