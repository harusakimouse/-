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'DATA_MS2'!$A$1:$Y$1</definedName>
    <definedName name="_xlnm._FilterDatabase" localSheetId="3" hidden="1">'TRADE_MS2'!$A$1:$L$1</definedName>
    <definedName name="_xlnm._FilterDatabase" localSheetId="4" hidden="1">'RANK_MS2'!$A$1:$J$1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4"/>
    </font>
    <font>
      <name val="Meiryo"/>
      <i val="1"/>
      <color rgb="00555555"/>
      <sz val="9"/>
    </font>
    <font>
      <name val="Meiryo"/>
      <b val="1"/>
      <sz val="11"/>
    </font>
    <font>
      <name val="Meiryo"/>
      <b val="1"/>
      <color rgb="00FFFFFF"/>
      <sz val="10"/>
    </font>
    <font>
      <name val="Meiryo"/>
      <color rgb="000000FF"/>
      <sz val="10"/>
    </font>
    <font>
      <name val="Meiryo"/>
      <color rgb="00000000"/>
      <sz val="10"/>
    </font>
  </fonts>
  <fills count="3">
    <fill>
      <patternFill/>
    </fill>
    <fill>
      <patternFill patternType="gray125"/>
    </fill>
    <fill>
      <patternFill patternType="solid">
        <fgColor rgb="001F4E78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11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/>
    </xf>
    <xf numFmtId="0" fontId="7" fillId="0" borderId="0" pivotButton="0" quotePrefix="0" xfId="0"/>
    <xf numFmtId="164" fontId="6" fillId="0" borderId="0" pivotButton="0" quotePrefix="0" xfId="0"/>
    <xf numFmtId="3" fontId="6" fillId="0" borderId="0" pivotButton="0" quotePrefix="0" xfId="0"/>
    <xf numFmtId="164" fontId="7" fillId="0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23"/>
  <sheetViews>
    <sheetView showGridLines="0" tabSelected="1" workbookViewId="0">
      <selection activeCell="B3" sqref="B3"/>
    </sheetView>
  </sheetViews>
  <sheetFormatPr baseColWidth="8" defaultRowHeight="22.2"/>
  <cols>
    <col width="100" customWidth="1" style="1" min="1" max="1"/>
  </cols>
  <sheetData>
    <row r="1">
      <c r="A1" s="2" t="inlineStr">
        <is>
          <t>ATR デイトレ管理ブック（MS2）</t>
        </is>
      </c>
    </row>
    <row r="2">
      <c r="A2" t="inlineStr"/>
    </row>
    <row r="3">
      <c r="A3" s="3" t="inlineStr">
        <is>
          <t>このブックは楽天証券 MARKETSPEED II RSS（RssMarket 関数）を使った日本株デイトレ用テンプレートです。</t>
        </is>
      </c>
    </row>
    <row r="4">
      <c r="A4" s="4" t="inlineStr">
        <is>
          <t>シート構成</t>
        </is>
      </c>
    </row>
    <row r="5">
      <c r="A5" s="3" t="inlineStr">
        <is>
          <t xml:space="preserve">　① StockList_MS2 … 監視する銘柄コード・銘柄名を入力（最大50銘柄）</t>
        </is>
      </c>
    </row>
    <row r="6">
      <c r="A6" s="3" t="inlineStr">
        <is>
          <t xml:space="preserve">　② DATA_MS2      … ATR・売買判定のメイン表（B〜I にRSS株価が入ると自動計算）</t>
        </is>
      </c>
    </row>
    <row r="7">
      <c r="A7" s="3" t="inlineStr">
        <is>
          <t xml:space="preserve">　③ TRADE_MS2     … 抽出されたトレード候補と結果ログ（マクロで出力）</t>
        </is>
      </c>
    </row>
    <row r="8">
      <c r="A8" s="3" t="inlineStr">
        <is>
          <t xml:space="preserve">　④ RANK_MS2      … 銘柄別の成績ランキング（マクロで集計）</t>
        </is>
      </c>
    </row>
    <row r="9">
      <c r="A9" t="inlineStr"/>
    </row>
    <row r="10">
      <c r="A10" s="4" t="inlineStr">
        <is>
          <t>使い方（2通り）</t>
        </is>
      </c>
    </row>
    <row r="11">
      <c r="A11" s="3" t="inlineStr">
        <is>
          <t xml:space="preserve">　A. 数式だけで使う：StockList に銘柄を入れ、DATA_MS2 の B〜I 列（青字）にRSS株価を入れると、</t>
        </is>
      </c>
    </row>
    <row r="12">
      <c r="A12" s="3" t="inlineStr">
        <is>
          <t xml:space="preserve">　　 J〜Y 列（ATR・ゾーン・Entry/SL/TP など）が自動計算されます。マクロ不要。</t>
        </is>
      </c>
    </row>
    <row r="13">
      <c r="A13" s="3" t="inlineStr">
        <is>
          <t xml:space="preserve">　B. マクロで使う：Alt+F8 →『MS2_Init_Book』でボタン生成 →『全自動_MS2(MS2_Auto_All)』で一括実行。</t>
        </is>
      </c>
    </row>
    <row r="14">
      <c r="A14" t="inlineStr"/>
    </row>
    <row r="15">
      <c r="A15" s="4" t="inlineStr">
        <is>
          <t>色の意味</t>
        </is>
      </c>
    </row>
    <row r="16">
      <c r="A16" s="3" t="inlineStr">
        <is>
          <t xml:space="preserve">　青字＝手入力／RSS入力セル　・　黒字＝自動計算セル</t>
        </is>
      </c>
    </row>
    <row r="17">
      <c r="A17" t="inlineStr"/>
    </row>
    <row r="18">
      <c r="A18" s="4" t="inlineStr">
        <is>
          <t>注意事項</t>
        </is>
      </c>
    </row>
    <row r="19">
      <c r="A19" s="3" t="inlineStr">
        <is>
          <t xml:space="preserve">　・K列「ATR(14・5分足)」：1行=1銘柄スナップショットのため、当True Range(TR)を表示しています。</t>
        </is>
      </c>
    </row>
    <row r="20">
      <c r="A20" s="3" t="inlineStr">
        <is>
          <t xml:space="preserve">　　厳密な14期間ATRは5分足の時系列が必要で、『ATR更新_MS2』マクロ側で算出します。</t>
        </is>
      </c>
    </row>
    <row r="21">
      <c r="A21" s="3" t="inlineStr">
        <is>
          <t xml:space="preserve">　・RssMarket関数は楽天MARKETSPEED IIの起動が必要です（未起動時はB〜Iを手入力でも動作）。</t>
        </is>
      </c>
    </row>
    <row r="22">
      <c r="A22" s="3" t="inlineStr">
        <is>
          <t xml:space="preserve">　・マクロ実行時に『あいまいな名前が検出されました: MS2_Init_Book』と出る場合は、</t>
        </is>
      </c>
    </row>
    <row r="23">
      <c r="A23" s="3" t="inlineStr">
        <is>
          <t xml:space="preserve">　　VBEで重複している Module2 を削除してください（Module1 と同一内容のため）。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style="1" min="1" max="1"/>
    <col width="24" customWidth="1" style="1" min="2" max="2"/>
  </cols>
  <sheetData>
    <row r="1">
      <c r="A1" s="5" t="inlineStr">
        <is>
          <t>銘柄コード</t>
        </is>
      </c>
      <c r="B1" s="5" t="inlineStr">
        <is>
          <t>銘柄名</t>
        </is>
      </c>
    </row>
    <row r="2">
      <c r="A2" s="6" t="inlineStr">
        <is>
          <t>7203</t>
        </is>
      </c>
      <c r="B2" s="6" t="inlineStr">
        <is>
          <t>トヨタ自動車</t>
        </is>
      </c>
    </row>
    <row r="3">
      <c r="A3" s="6" t="inlineStr">
        <is>
          <t>6758</t>
        </is>
      </c>
      <c r="B3" s="6" t="inlineStr">
        <is>
          <t>ソニーグループ</t>
        </is>
      </c>
    </row>
    <row r="4">
      <c r="A4" s="6" t="inlineStr">
        <is>
          <t>9984</t>
        </is>
      </c>
      <c r="B4" s="6" t="inlineStr">
        <is>
          <t>ソフトバンクG</t>
        </is>
      </c>
    </row>
    <row r="5">
      <c r="A5" s="6" t="inlineStr">
        <is>
          <t>8306</t>
        </is>
      </c>
      <c r="B5" s="6" t="inlineStr">
        <is>
          <t>三菱UFJ</t>
        </is>
      </c>
    </row>
    <row r="6">
      <c r="A6" s="6" t="inlineStr">
        <is>
          <t>6501</t>
        </is>
      </c>
      <c r="B6" s="6" t="inlineStr">
        <is>
          <t>日立製作所</t>
        </is>
      </c>
    </row>
    <row r="8">
      <c r="A8" s="3" t="inlineStr">
        <is>
          <t>※ 上記はサンプルです。監視したい銘柄コード（4桁）と銘柄名に書き換えてください。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3" customWidth="1" style="1" min="11" max="11"/>
    <col width="11" customWidth="1" style="1" min="12" max="12"/>
    <col width="11" customWidth="1" style="1" min="13" max="13"/>
    <col width="11" customWidth="1" style="1" min="14" max="14"/>
    <col width="11" customWidth="1" style="1" min="15" max="15"/>
    <col width="11" customWidth="1" style="1" min="16" max="16"/>
    <col width="11" customWidth="1" style="1" min="17" max="17"/>
    <col width="11" customWidth="1" style="1" min="18" max="18"/>
    <col width="11" customWidth="1" style="1" min="19" max="19"/>
    <col width="11" customWidth="1" style="1" min="20" max="20"/>
    <col width="11" customWidth="1" style="1" min="21" max="21"/>
    <col width="10" customWidth="1" style="1" min="22" max="22"/>
    <col width="11" customWidth="1" style="1" min="23" max="23"/>
    <col width="10" customWidth="1" style="1" min="24" max="24"/>
    <col width="12" customWidth="1" style="1" min="25" max="25"/>
  </cols>
  <sheetData>
    <row r="1">
      <c r="A1" s="5" t="inlineStr">
        <is>
          <t>銘柄コード</t>
        </is>
      </c>
      <c r="B1" s="5" t="inlineStr">
        <is>
          <t>現在値</t>
        </is>
      </c>
      <c r="C1" s="5" t="inlineStr">
        <is>
          <t>高値</t>
        </is>
      </c>
      <c r="D1" s="5" t="inlineStr">
        <is>
          <t>安値</t>
        </is>
      </c>
      <c r="E1" s="5" t="inlineStr">
        <is>
          <t>終値</t>
        </is>
      </c>
      <c r="F1" s="5" t="inlineStr">
        <is>
          <t>出来高</t>
        </is>
      </c>
      <c r="G1" s="5" t="inlineStr">
        <is>
          <t>前日高値</t>
        </is>
      </c>
      <c r="H1" s="5" t="inlineStr">
        <is>
          <t>前日安値</t>
        </is>
      </c>
      <c r="I1" s="5" t="inlineStr">
        <is>
          <t>前日終値</t>
        </is>
      </c>
      <c r="J1" s="5" t="inlineStr">
        <is>
          <t>寄り方向</t>
        </is>
      </c>
      <c r="K1" s="5" t="inlineStr">
        <is>
          <t>ATR(14・5分足)</t>
        </is>
      </c>
      <c r="L1" s="5" t="inlineStr">
        <is>
          <t>ゾーン</t>
        </is>
      </c>
      <c r="M1" s="5" t="inlineStr">
        <is>
          <t>STOP-BUY</t>
        </is>
      </c>
      <c r="N1" s="5" t="inlineStr">
        <is>
          <t>STOP-SELL</t>
        </is>
      </c>
      <c r="O1" s="5" t="inlineStr">
        <is>
          <t>売買種別</t>
        </is>
      </c>
      <c r="P1" s="5" t="inlineStr">
        <is>
          <t>Entry</t>
        </is>
      </c>
      <c r="Q1" s="5" t="inlineStr">
        <is>
          <t>SL</t>
        </is>
      </c>
      <c r="R1" s="5" t="inlineStr">
        <is>
          <t>TP1</t>
        </is>
      </c>
      <c r="S1" s="5" t="inlineStr">
        <is>
          <t>TP2</t>
        </is>
      </c>
      <c r="T1" s="5" t="inlineStr">
        <is>
          <t>TP3</t>
        </is>
      </c>
      <c r="U1" s="5" t="inlineStr">
        <is>
          <t>2回目戻し</t>
        </is>
      </c>
      <c r="V1" s="5" t="inlineStr">
        <is>
          <t>時間帯</t>
        </is>
      </c>
      <c r="W1" s="5" t="inlineStr">
        <is>
          <t>ボラフィルタ</t>
        </is>
      </c>
      <c r="X1" s="5" t="inlineStr">
        <is>
          <t>ダマシ除去</t>
        </is>
      </c>
      <c r="Y1" s="5" t="inlineStr">
        <is>
          <t>トレンド方向</t>
        </is>
      </c>
    </row>
    <row r="2">
      <c r="A2" s="7">
        <f>IF('StockList_MS2'!A2="","",'StockList_MS2'!A2)</f>
        <v/>
      </c>
      <c r="B2" s="8" t="n">
        <v>2500</v>
      </c>
      <c r="C2" s="8" t="n">
        <v>2545</v>
      </c>
      <c r="D2" s="8" t="n">
        <v>2470</v>
      </c>
      <c r="E2" s="8" t="n">
        <v>2495</v>
      </c>
      <c r="F2" s="9" t="n">
        <v>15000000</v>
      </c>
      <c r="G2" s="8" t="n">
        <v>2520</v>
      </c>
      <c r="H2" s="8" t="n">
        <v>2460</v>
      </c>
      <c r="I2" s="8" t="n">
        <v>2490</v>
      </c>
      <c r="J2" s="7">
        <f>IF(B2="","",IF(B2&gt;I2,"BUY-DAY","SELL-DAY"))</f>
        <v/>
      </c>
      <c r="K2" s="10">
        <f>IF(B2="","",MAX(C2-D2,ABS(C2-I2),ABS(D2-I2)))</f>
        <v/>
      </c>
      <c r="L2" s="7">
        <f>IF(B2="","",IF(AND(F2&gt;0,F2&gt;(F2/3)*2.5),"VOL-OK","VOL-NG"))</f>
        <v/>
      </c>
      <c r="M2" s="7">
        <f>IF(B2="","",IF(B2&gt;G2,"ON","OFF"))</f>
        <v/>
      </c>
      <c r="N2" s="7">
        <f>IF(B2="","",IF(B2&lt;H2,"ON","OFF"))</f>
        <v/>
      </c>
      <c r="O2" s="7">
        <f>IF(OR(B2="",K2&lt;=0),"",IF(AND(J2="BUY-DAY",L2="VOL-OK",N2="ON",X2="OK",Y2&lt;&gt;"DOWN"),"BUY",IF(AND(J2="SELL-DAY",L2="VOL-OK",M2="ON",X2="OK",Y2&lt;&gt;"UP"),"SELL","")))</f>
        <v/>
      </c>
      <c r="P2" s="10">
        <f>IF(O2="","",B2)</f>
        <v/>
      </c>
      <c r="Q2" s="10">
        <f>IF(O2="","",IF(O2="BUY",B2-K2*1.5,B2+K2*1.5))</f>
        <v/>
      </c>
      <c r="R2" s="10">
        <f>IF(O2="","",IF(O2="BUY",B2+K2*1.5,B2-K2*1.5))</f>
        <v/>
      </c>
      <c r="S2" s="10">
        <f>IF(O2="","",IF(O2="BUY",B2+K2*2,B2-K2*2))</f>
        <v/>
      </c>
      <c r="T2" s="10">
        <f>IF(O2="","",IF(O2="BUY",B2+K2*3,B2-K2*3))</f>
        <v/>
      </c>
      <c r="U2" s="7">
        <f>IF(OR(B2="",K2&lt;=0),"",IF(AND(B2&gt;E2,ABS(B2-E2)&lt;K2*0.5),"2ND","1ST"))</f>
        <v/>
      </c>
      <c r="V2" s="7">
        <f>IF(OR(B2="",K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" s="7">
        <f>IF(OR(B2="",K2&lt;=0),"",IF(K2&gt;B2*0.05,"VOL-HIGH","VOL-NORMAL"))</f>
        <v/>
      </c>
      <c r="X2" s="7">
        <f>IF(OR(B2="",K2&lt;=0),"",IF(AND(L2="VOL-OK",W2="VOL-NORMAL",U2="2ND"),"OK","NG"))</f>
        <v/>
      </c>
      <c r="Y2" s="7">
        <f>IF(OR(B2="",K2&lt;=0),"",IF(AND(C2&gt;G2,D2&gt;H2),"UP",IF(AND(C2&lt;G2,D2&lt;H2),"DOWN","FLAT")))</f>
        <v/>
      </c>
    </row>
    <row r="3">
      <c r="A3" s="7">
        <f>IF('StockList_MS2'!A3="","",'StockList_MS2'!A3)</f>
        <v/>
      </c>
      <c r="B3" s="8" t="n"/>
      <c r="C3" s="8" t="n"/>
      <c r="D3" s="8" t="n"/>
      <c r="E3" s="8" t="n"/>
      <c r="F3" s="9" t="n"/>
      <c r="G3" s="8" t="n"/>
      <c r="H3" s="8" t="n"/>
      <c r="I3" s="8" t="n"/>
      <c r="J3" s="7">
        <f>IF(B3="","",IF(B3&gt;I3,"BUY-DAY","SELL-DAY"))</f>
        <v/>
      </c>
      <c r="K3" s="10">
        <f>IF(B3="","",MAX(C3-D3,ABS(C3-I3),ABS(D3-I3)))</f>
        <v/>
      </c>
      <c r="L3" s="7">
        <f>IF(B3="","",IF(AND(F3&gt;0,F3&gt;(F3/3)*2.5),"VOL-OK","VOL-NG"))</f>
        <v/>
      </c>
      <c r="M3" s="7">
        <f>IF(B3="","",IF(B3&gt;G3,"ON","OFF"))</f>
        <v/>
      </c>
      <c r="N3" s="7">
        <f>IF(B3="","",IF(B3&lt;H3,"ON","OFF"))</f>
        <v/>
      </c>
      <c r="O3" s="7">
        <f>IF(OR(B3="",K3&lt;=0),"",IF(AND(J3="BUY-DAY",L3="VOL-OK",N3="ON",X3="OK",Y3&lt;&gt;"DOWN"),"BUY",IF(AND(J3="SELL-DAY",L3="VOL-OK",M3="ON",X3="OK",Y3&lt;&gt;"UP"),"SELL","")))</f>
        <v/>
      </c>
      <c r="P3" s="10">
        <f>IF(O3="","",B3)</f>
        <v/>
      </c>
      <c r="Q3" s="10">
        <f>IF(O3="","",IF(O3="BUY",B3-K3*1.5,B3+K3*1.5))</f>
        <v/>
      </c>
      <c r="R3" s="10">
        <f>IF(O3="","",IF(O3="BUY",B3+K3*1.5,B3-K3*1.5))</f>
        <v/>
      </c>
      <c r="S3" s="10">
        <f>IF(O3="","",IF(O3="BUY",B3+K3*2,B3-K3*2))</f>
        <v/>
      </c>
      <c r="T3" s="10">
        <f>IF(O3="","",IF(O3="BUY",B3+K3*3,B3-K3*3))</f>
        <v/>
      </c>
      <c r="U3" s="7">
        <f>IF(OR(B3="",K3&lt;=0),"",IF(AND(B3&gt;E3,ABS(B3-E3)&lt;K3*0.5),"2ND","1ST"))</f>
        <v/>
      </c>
      <c r="V3" s="7">
        <f>IF(OR(B3="",K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" s="7">
        <f>IF(OR(B3="",K3&lt;=0),"",IF(K3&gt;B3*0.05,"VOL-HIGH","VOL-NORMAL"))</f>
        <v/>
      </c>
      <c r="X3" s="7">
        <f>IF(OR(B3="",K3&lt;=0),"",IF(AND(L3="VOL-OK",W3="VOL-NORMAL",U3="2ND"),"OK","NG"))</f>
        <v/>
      </c>
      <c r="Y3" s="7">
        <f>IF(OR(B3="",K3&lt;=0),"",IF(AND(C3&gt;G3,D3&gt;H3),"UP",IF(AND(C3&lt;G3,D3&lt;H3),"DOWN","FLAT")))</f>
        <v/>
      </c>
    </row>
    <row r="4">
      <c r="A4" s="7">
        <f>IF('StockList_MS2'!A4="","",'StockList_MS2'!A4)</f>
        <v/>
      </c>
      <c r="B4" s="8" t="n"/>
      <c r="C4" s="8" t="n"/>
      <c r="D4" s="8" t="n"/>
      <c r="E4" s="8" t="n"/>
      <c r="F4" s="9" t="n"/>
      <c r="G4" s="8" t="n"/>
      <c r="H4" s="8" t="n"/>
      <c r="I4" s="8" t="n"/>
      <c r="J4" s="7">
        <f>IF(B4="","",IF(B4&gt;I4,"BUY-DAY","SELL-DAY"))</f>
        <v/>
      </c>
      <c r="K4" s="10">
        <f>IF(B4="","",MAX(C4-D4,ABS(C4-I4),ABS(D4-I4)))</f>
        <v/>
      </c>
      <c r="L4" s="7">
        <f>IF(B4="","",IF(AND(F4&gt;0,F4&gt;(F4/3)*2.5),"VOL-OK","VOL-NG"))</f>
        <v/>
      </c>
      <c r="M4" s="7">
        <f>IF(B4="","",IF(B4&gt;G4,"ON","OFF"))</f>
        <v/>
      </c>
      <c r="N4" s="7">
        <f>IF(B4="","",IF(B4&lt;H4,"ON","OFF"))</f>
        <v/>
      </c>
      <c r="O4" s="7">
        <f>IF(OR(B4="",K4&lt;=0),"",IF(AND(J4="BUY-DAY",L4="VOL-OK",N4="ON",X4="OK",Y4&lt;&gt;"DOWN"),"BUY",IF(AND(J4="SELL-DAY",L4="VOL-OK",M4="ON",X4="OK",Y4&lt;&gt;"UP"),"SELL","")))</f>
        <v/>
      </c>
      <c r="P4" s="10">
        <f>IF(O4="","",B4)</f>
        <v/>
      </c>
      <c r="Q4" s="10">
        <f>IF(O4="","",IF(O4="BUY",B4-K4*1.5,B4+K4*1.5))</f>
        <v/>
      </c>
      <c r="R4" s="10">
        <f>IF(O4="","",IF(O4="BUY",B4+K4*1.5,B4-K4*1.5))</f>
        <v/>
      </c>
      <c r="S4" s="10">
        <f>IF(O4="","",IF(O4="BUY",B4+K4*2,B4-K4*2))</f>
        <v/>
      </c>
      <c r="T4" s="10">
        <f>IF(O4="","",IF(O4="BUY",B4+K4*3,B4-K4*3))</f>
        <v/>
      </c>
      <c r="U4" s="7">
        <f>IF(OR(B4="",K4&lt;=0),"",IF(AND(B4&gt;E4,ABS(B4-E4)&lt;K4*0.5),"2ND","1ST"))</f>
        <v/>
      </c>
      <c r="V4" s="7">
        <f>IF(OR(B4="",K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" s="7">
        <f>IF(OR(B4="",K4&lt;=0),"",IF(K4&gt;B4*0.05,"VOL-HIGH","VOL-NORMAL"))</f>
        <v/>
      </c>
      <c r="X4" s="7">
        <f>IF(OR(B4="",K4&lt;=0),"",IF(AND(L4="VOL-OK",W4="VOL-NORMAL",U4="2ND"),"OK","NG"))</f>
        <v/>
      </c>
      <c r="Y4" s="7">
        <f>IF(OR(B4="",K4&lt;=0),"",IF(AND(C4&gt;G4,D4&gt;H4),"UP",IF(AND(C4&lt;G4,D4&lt;H4),"DOWN","FLAT")))</f>
        <v/>
      </c>
    </row>
    <row r="5">
      <c r="A5" s="7">
        <f>IF('StockList_MS2'!A5="","",'StockList_MS2'!A5)</f>
        <v/>
      </c>
      <c r="B5" s="8" t="n"/>
      <c r="C5" s="8" t="n"/>
      <c r="D5" s="8" t="n"/>
      <c r="E5" s="8" t="n"/>
      <c r="F5" s="9" t="n"/>
      <c r="G5" s="8" t="n"/>
      <c r="H5" s="8" t="n"/>
      <c r="I5" s="8" t="n"/>
      <c r="J5" s="7">
        <f>IF(B5="","",IF(B5&gt;I5,"BUY-DAY","SELL-DAY"))</f>
        <v/>
      </c>
      <c r="K5" s="10">
        <f>IF(B5="","",MAX(C5-D5,ABS(C5-I5),ABS(D5-I5)))</f>
        <v/>
      </c>
      <c r="L5" s="7">
        <f>IF(B5="","",IF(AND(F5&gt;0,F5&gt;(F5/3)*2.5),"VOL-OK","VOL-NG"))</f>
        <v/>
      </c>
      <c r="M5" s="7">
        <f>IF(B5="","",IF(B5&gt;G5,"ON","OFF"))</f>
        <v/>
      </c>
      <c r="N5" s="7">
        <f>IF(B5="","",IF(B5&lt;H5,"ON","OFF"))</f>
        <v/>
      </c>
      <c r="O5" s="7">
        <f>IF(OR(B5="",K5&lt;=0),"",IF(AND(J5="BUY-DAY",L5="VOL-OK",N5="ON",X5="OK",Y5&lt;&gt;"DOWN"),"BUY",IF(AND(J5="SELL-DAY",L5="VOL-OK",M5="ON",X5="OK",Y5&lt;&gt;"UP"),"SELL","")))</f>
        <v/>
      </c>
      <c r="P5" s="10">
        <f>IF(O5="","",B5)</f>
        <v/>
      </c>
      <c r="Q5" s="10">
        <f>IF(O5="","",IF(O5="BUY",B5-K5*1.5,B5+K5*1.5))</f>
        <v/>
      </c>
      <c r="R5" s="10">
        <f>IF(O5="","",IF(O5="BUY",B5+K5*1.5,B5-K5*1.5))</f>
        <v/>
      </c>
      <c r="S5" s="10">
        <f>IF(O5="","",IF(O5="BUY",B5+K5*2,B5-K5*2))</f>
        <v/>
      </c>
      <c r="T5" s="10">
        <f>IF(O5="","",IF(O5="BUY",B5+K5*3,B5-K5*3))</f>
        <v/>
      </c>
      <c r="U5" s="7">
        <f>IF(OR(B5="",K5&lt;=0),"",IF(AND(B5&gt;E5,ABS(B5-E5)&lt;K5*0.5),"2ND","1ST"))</f>
        <v/>
      </c>
      <c r="V5" s="7">
        <f>IF(OR(B5="",K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" s="7">
        <f>IF(OR(B5="",K5&lt;=0),"",IF(K5&gt;B5*0.05,"VOL-HIGH","VOL-NORMAL"))</f>
        <v/>
      </c>
      <c r="X5" s="7">
        <f>IF(OR(B5="",K5&lt;=0),"",IF(AND(L5="VOL-OK",W5="VOL-NORMAL",U5="2ND"),"OK","NG"))</f>
        <v/>
      </c>
      <c r="Y5" s="7">
        <f>IF(OR(B5="",K5&lt;=0),"",IF(AND(C5&gt;G5,D5&gt;H5),"UP",IF(AND(C5&lt;G5,D5&lt;H5),"DOWN","FLAT")))</f>
        <v/>
      </c>
    </row>
    <row r="6">
      <c r="A6" s="7">
        <f>IF('StockList_MS2'!A6="","",'StockList_MS2'!A6)</f>
        <v/>
      </c>
      <c r="B6" s="8" t="n"/>
      <c r="C6" s="8" t="n"/>
      <c r="D6" s="8" t="n"/>
      <c r="E6" s="8" t="n"/>
      <c r="F6" s="9" t="n"/>
      <c r="G6" s="8" t="n"/>
      <c r="H6" s="8" t="n"/>
      <c r="I6" s="8" t="n"/>
      <c r="J6" s="7">
        <f>IF(B6="","",IF(B6&gt;I6,"BUY-DAY","SELL-DAY"))</f>
        <v/>
      </c>
      <c r="K6" s="10">
        <f>IF(B6="","",MAX(C6-D6,ABS(C6-I6),ABS(D6-I6)))</f>
        <v/>
      </c>
      <c r="L6" s="7">
        <f>IF(B6="","",IF(AND(F6&gt;0,F6&gt;(F6/3)*2.5),"VOL-OK","VOL-NG"))</f>
        <v/>
      </c>
      <c r="M6" s="7">
        <f>IF(B6="","",IF(B6&gt;G6,"ON","OFF"))</f>
        <v/>
      </c>
      <c r="N6" s="7">
        <f>IF(B6="","",IF(B6&lt;H6,"ON","OFF"))</f>
        <v/>
      </c>
      <c r="O6" s="7">
        <f>IF(OR(B6="",K6&lt;=0),"",IF(AND(J6="BUY-DAY",L6="VOL-OK",N6="ON",X6="OK",Y6&lt;&gt;"DOWN"),"BUY",IF(AND(J6="SELL-DAY",L6="VOL-OK",M6="ON",X6="OK",Y6&lt;&gt;"UP"),"SELL","")))</f>
        <v/>
      </c>
      <c r="P6" s="10">
        <f>IF(O6="","",B6)</f>
        <v/>
      </c>
      <c r="Q6" s="10">
        <f>IF(O6="","",IF(O6="BUY",B6-K6*1.5,B6+K6*1.5))</f>
        <v/>
      </c>
      <c r="R6" s="10">
        <f>IF(O6="","",IF(O6="BUY",B6+K6*1.5,B6-K6*1.5))</f>
        <v/>
      </c>
      <c r="S6" s="10">
        <f>IF(O6="","",IF(O6="BUY",B6+K6*2,B6-K6*2))</f>
        <v/>
      </c>
      <c r="T6" s="10">
        <f>IF(O6="","",IF(O6="BUY",B6+K6*3,B6-K6*3))</f>
        <v/>
      </c>
      <c r="U6" s="7">
        <f>IF(OR(B6="",K6&lt;=0),"",IF(AND(B6&gt;E6,ABS(B6-E6)&lt;K6*0.5),"2ND","1ST"))</f>
        <v/>
      </c>
      <c r="V6" s="7">
        <f>IF(OR(B6="",K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6" s="7">
        <f>IF(OR(B6="",K6&lt;=0),"",IF(K6&gt;B6*0.05,"VOL-HIGH","VOL-NORMAL"))</f>
        <v/>
      </c>
      <c r="X6" s="7">
        <f>IF(OR(B6="",K6&lt;=0),"",IF(AND(L6="VOL-OK",W6="VOL-NORMAL",U6="2ND"),"OK","NG"))</f>
        <v/>
      </c>
      <c r="Y6" s="7">
        <f>IF(OR(B6="",K6&lt;=0),"",IF(AND(C6&gt;G6,D6&gt;H6),"UP",IF(AND(C6&lt;G6,D6&lt;H6),"DOWN","FLAT")))</f>
        <v/>
      </c>
    </row>
    <row r="7">
      <c r="A7" s="7">
        <f>IF('StockList_MS2'!A7="","",'StockList_MS2'!A7)</f>
        <v/>
      </c>
      <c r="B7" s="8" t="n"/>
      <c r="C7" s="8" t="n"/>
      <c r="D7" s="8" t="n"/>
      <c r="E7" s="8" t="n"/>
      <c r="F7" s="9" t="n"/>
      <c r="G7" s="8" t="n"/>
      <c r="H7" s="8" t="n"/>
      <c r="I7" s="8" t="n"/>
      <c r="J7" s="7">
        <f>IF(B7="","",IF(B7&gt;I7,"BUY-DAY","SELL-DAY"))</f>
        <v/>
      </c>
      <c r="K7" s="10">
        <f>IF(B7="","",MAX(C7-D7,ABS(C7-I7),ABS(D7-I7)))</f>
        <v/>
      </c>
      <c r="L7" s="7">
        <f>IF(B7="","",IF(AND(F7&gt;0,F7&gt;(F7/3)*2.5),"VOL-OK","VOL-NG"))</f>
        <v/>
      </c>
      <c r="M7" s="7">
        <f>IF(B7="","",IF(B7&gt;G7,"ON","OFF"))</f>
        <v/>
      </c>
      <c r="N7" s="7">
        <f>IF(B7="","",IF(B7&lt;H7,"ON","OFF"))</f>
        <v/>
      </c>
      <c r="O7" s="7">
        <f>IF(OR(B7="",K7&lt;=0),"",IF(AND(J7="BUY-DAY",L7="VOL-OK",N7="ON",X7="OK",Y7&lt;&gt;"DOWN"),"BUY",IF(AND(J7="SELL-DAY",L7="VOL-OK",M7="ON",X7="OK",Y7&lt;&gt;"UP"),"SELL","")))</f>
        <v/>
      </c>
      <c r="P7" s="10">
        <f>IF(O7="","",B7)</f>
        <v/>
      </c>
      <c r="Q7" s="10">
        <f>IF(O7="","",IF(O7="BUY",B7-K7*1.5,B7+K7*1.5))</f>
        <v/>
      </c>
      <c r="R7" s="10">
        <f>IF(O7="","",IF(O7="BUY",B7+K7*1.5,B7-K7*1.5))</f>
        <v/>
      </c>
      <c r="S7" s="10">
        <f>IF(O7="","",IF(O7="BUY",B7+K7*2,B7-K7*2))</f>
        <v/>
      </c>
      <c r="T7" s="10">
        <f>IF(O7="","",IF(O7="BUY",B7+K7*3,B7-K7*3))</f>
        <v/>
      </c>
      <c r="U7" s="7">
        <f>IF(OR(B7="",K7&lt;=0),"",IF(AND(B7&gt;E7,ABS(B7-E7)&lt;K7*0.5),"2ND","1ST"))</f>
        <v/>
      </c>
      <c r="V7" s="7">
        <f>IF(OR(B7="",K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7" s="7">
        <f>IF(OR(B7="",K7&lt;=0),"",IF(K7&gt;B7*0.05,"VOL-HIGH","VOL-NORMAL"))</f>
        <v/>
      </c>
      <c r="X7" s="7">
        <f>IF(OR(B7="",K7&lt;=0),"",IF(AND(L7="VOL-OK",W7="VOL-NORMAL",U7="2ND"),"OK","NG"))</f>
        <v/>
      </c>
      <c r="Y7" s="7">
        <f>IF(OR(B7="",K7&lt;=0),"",IF(AND(C7&gt;G7,D7&gt;H7),"UP",IF(AND(C7&lt;G7,D7&lt;H7),"DOWN","FLAT")))</f>
        <v/>
      </c>
    </row>
    <row r="8">
      <c r="A8" s="7">
        <f>IF('StockList_MS2'!A8="","",'StockList_MS2'!A8)</f>
        <v/>
      </c>
      <c r="B8" s="8" t="n"/>
      <c r="C8" s="8" t="n"/>
      <c r="D8" s="8" t="n"/>
      <c r="E8" s="8" t="n"/>
      <c r="F8" s="9" t="n"/>
      <c r="G8" s="8" t="n"/>
      <c r="H8" s="8" t="n"/>
      <c r="I8" s="8" t="n"/>
      <c r="J8" s="7">
        <f>IF(B8="","",IF(B8&gt;I8,"BUY-DAY","SELL-DAY"))</f>
        <v/>
      </c>
      <c r="K8" s="10">
        <f>IF(B8="","",MAX(C8-D8,ABS(C8-I8),ABS(D8-I8)))</f>
        <v/>
      </c>
      <c r="L8" s="7">
        <f>IF(B8="","",IF(AND(F8&gt;0,F8&gt;(F8/3)*2.5),"VOL-OK","VOL-NG"))</f>
        <v/>
      </c>
      <c r="M8" s="7">
        <f>IF(B8="","",IF(B8&gt;G8,"ON","OFF"))</f>
        <v/>
      </c>
      <c r="N8" s="7">
        <f>IF(B8="","",IF(B8&lt;H8,"ON","OFF"))</f>
        <v/>
      </c>
      <c r="O8" s="7">
        <f>IF(OR(B8="",K8&lt;=0),"",IF(AND(J8="BUY-DAY",L8="VOL-OK",N8="ON",X8="OK",Y8&lt;&gt;"DOWN"),"BUY",IF(AND(J8="SELL-DAY",L8="VOL-OK",M8="ON",X8="OK",Y8&lt;&gt;"UP"),"SELL","")))</f>
        <v/>
      </c>
      <c r="P8" s="10">
        <f>IF(O8="","",B8)</f>
        <v/>
      </c>
      <c r="Q8" s="10">
        <f>IF(O8="","",IF(O8="BUY",B8-K8*1.5,B8+K8*1.5))</f>
        <v/>
      </c>
      <c r="R8" s="10">
        <f>IF(O8="","",IF(O8="BUY",B8+K8*1.5,B8-K8*1.5))</f>
        <v/>
      </c>
      <c r="S8" s="10">
        <f>IF(O8="","",IF(O8="BUY",B8+K8*2,B8-K8*2))</f>
        <v/>
      </c>
      <c r="T8" s="10">
        <f>IF(O8="","",IF(O8="BUY",B8+K8*3,B8-K8*3))</f>
        <v/>
      </c>
      <c r="U8" s="7">
        <f>IF(OR(B8="",K8&lt;=0),"",IF(AND(B8&gt;E8,ABS(B8-E8)&lt;K8*0.5),"2ND","1ST"))</f>
        <v/>
      </c>
      <c r="V8" s="7">
        <f>IF(OR(B8="",K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8" s="7">
        <f>IF(OR(B8="",K8&lt;=0),"",IF(K8&gt;B8*0.05,"VOL-HIGH","VOL-NORMAL"))</f>
        <v/>
      </c>
      <c r="X8" s="7">
        <f>IF(OR(B8="",K8&lt;=0),"",IF(AND(L8="VOL-OK",W8="VOL-NORMAL",U8="2ND"),"OK","NG"))</f>
        <v/>
      </c>
      <c r="Y8" s="7">
        <f>IF(OR(B8="",K8&lt;=0),"",IF(AND(C8&gt;G8,D8&gt;H8),"UP",IF(AND(C8&lt;G8,D8&lt;H8),"DOWN","FLAT")))</f>
        <v/>
      </c>
    </row>
    <row r="9">
      <c r="A9" s="7">
        <f>IF('StockList_MS2'!A9="","",'StockList_MS2'!A9)</f>
        <v/>
      </c>
      <c r="B9" s="8" t="n"/>
      <c r="C9" s="8" t="n"/>
      <c r="D9" s="8" t="n"/>
      <c r="E9" s="8" t="n"/>
      <c r="F9" s="9" t="n"/>
      <c r="G9" s="8" t="n"/>
      <c r="H9" s="8" t="n"/>
      <c r="I9" s="8" t="n"/>
      <c r="J9" s="7">
        <f>IF(B9="","",IF(B9&gt;I9,"BUY-DAY","SELL-DAY"))</f>
        <v/>
      </c>
      <c r="K9" s="10">
        <f>IF(B9="","",MAX(C9-D9,ABS(C9-I9),ABS(D9-I9)))</f>
        <v/>
      </c>
      <c r="L9" s="7">
        <f>IF(B9="","",IF(AND(F9&gt;0,F9&gt;(F9/3)*2.5),"VOL-OK","VOL-NG"))</f>
        <v/>
      </c>
      <c r="M9" s="7">
        <f>IF(B9="","",IF(B9&gt;G9,"ON","OFF"))</f>
        <v/>
      </c>
      <c r="N9" s="7">
        <f>IF(B9="","",IF(B9&lt;H9,"ON","OFF"))</f>
        <v/>
      </c>
      <c r="O9" s="7">
        <f>IF(OR(B9="",K9&lt;=0),"",IF(AND(J9="BUY-DAY",L9="VOL-OK",N9="ON",X9="OK",Y9&lt;&gt;"DOWN"),"BUY",IF(AND(J9="SELL-DAY",L9="VOL-OK",M9="ON",X9="OK",Y9&lt;&gt;"UP"),"SELL","")))</f>
        <v/>
      </c>
      <c r="P9" s="10">
        <f>IF(O9="","",B9)</f>
        <v/>
      </c>
      <c r="Q9" s="10">
        <f>IF(O9="","",IF(O9="BUY",B9-K9*1.5,B9+K9*1.5))</f>
        <v/>
      </c>
      <c r="R9" s="10">
        <f>IF(O9="","",IF(O9="BUY",B9+K9*1.5,B9-K9*1.5))</f>
        <v/>
      </c>
      <c r="S9" s="10">
        <f>IF(O9="","",IF(O9="BUY",B9+K9*2,B9-K9*2))</f>
        <v/>
      </c>
      <c r="T9" s="10">
        <f>IF(O9="","",IF(O9="BUY",B9+K9*3,B9-K9*3))</f>
        <v/>
      </c>
      <c r="U9" s="7">
        <f>IF(OR(B9="",K9&lt;=0),"",IF(AND(B9&gt;E9,ABS(B9-E9)&lt;K9*0.5),"2ND","1ST"))</f>
        <v/>
      </c>
      <c r="V9" s="7">
        <f>IF(OR(B9="",K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9" s="7">
        <f>IF(OR(B9="",K9&lt;=0),"",IF(K9&gt;B9*0.05,"VOL-HIGH","VOL-NORMAL"))</f>
        <v/>
      </c>
      <c r="X9" s="7">
        <f>IF(OR(B9="",K9&lt;=0),"",IF(AND(L9="VOL-OK",W9="VOL-NORMAL",U9="2ND"),"OK","NG"))</f>
        <v/>
      </c>
      <c r="Y9" s="7">
        <f>IF(OR(B9="",K9&lt;=0),"",IF(AND(C9&gt;G9,D9&gt;H9),"UP",IF(AND(C9&lt;G9,D9&lt;H9),"DOWN","FLAT")))</f>
        <v/>
      </c>
    </row>
    <row r="10">
      <c r="A10" s="7">
        <f>IF('StockList_MS2'!A10="","",'StockList_MS2'!A10)</f>
        <v/>
      </c>
      <c r="B10" s="8" t="n"/>
      <c r="C10" s="8" t="n"/>
      <c r="D10" s="8" t="n"/>
      <c r="E10" s="8" t="n"/>
      <c r="F10" s="9" t="n"/>
      <c r="G10" s="8" t="n"/>
      <c r="H10" s="8" t="n"/>
      <c r="I10" s="8" t="n"/>
      <c r="J10" s="7">
        <f>IF(B10="","",IF(B10&gt;I10,"BUY-DAY","SELL-DAY"))</f>
        <v/>
      </c>
      <c r="K10" s="10">
        <f>IF(B10="","",MAX(C10-D10,ABS(C10-I10),ABS(D10-I10)))</f>
        <v/>
      </c>
      <c r="L10" s="7">
        <f>IF(B10="","",IF(AND(F10&gt;0,F10&gt;(F10/3)*2.5),"VOL-OK","VOL-NG"))</f>
        <v/>
      </c>
      <c r="M10" s="7">
        <f>IF(B10="","",IF(B10&gt;G10,"ON","OFF"))</f>
        <v/>
      </c>
      <c r="N10" s="7">
        <f>IF(B10="","",IF(B10&lt;H10,"ON","OFF"))</f>
        <v/>
      </c>
      <c r="O10" s="7">
        <f>IF(OR(B10="",K10&lt;=0),"",IF(AND(J10="BUY-DAY",L10="VOL-OK",N10="ON",X10="OK",Y10&lt;&gt;"DOWN"),"BUY",IF(AND(J10="SELL-DAY",L10="VOL-OK",M10="ON",X10="OK",Y10&lt;&gt;"UP"),"SELL","")))</f>
        <v/>
      </c>
      <c r="P10" s="10">
        <f>IF(O10="","",B10)</f>
        <v/>
      </c>
      <c r="Q10" s="10">
        <f>IF(O10="","",IF(O10="BUY",B10-K10*1.5,B10+K10*1.5))</f>
        <v/>
      </c>
      <c r="R10" s="10">
        <f>IF(O10="","",IF(O10="BUY",B10+K10*1.5,B10-K10*1.5))</f>
        <v/>
      </c>
      <c r="S10" s="10">
        <f>IF(O10="","",IF(O10="BUY",B10+K10*2,B10-K10*2))</f>
        <v/>
      </c>
      <c r="T10" s="10">
        <f>IF(O10="","",IF(O10="BUY",B10+K10*3,B10-K10*3))</f>
        <v/>
      </c>
      <c r="U10" s="7">
        <f>IF(OR(B10="",K10&lt;=0),"",IF(AND(B10&gt;E10,ABS(B10-E10)&lt;K10*0.5),"2ND","1ST"))</f>
        <v/>
      </c>
      <c r="V10" s="7">
        <f>IF(OR(B10="",K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0" s="7">
        <f>IF(OR(B10="",K10&lt;=0),"",IF(K10&gt;B10*0.05,"VOL-HIGH","VOL-NORMAL"))</f>
        <v/>
      </c>
      <c r="X10" s="7">
        <f>IF(OR(B10="",K10&lt;=0),"",IF(AND(L10="VOL-OK",W10="VOL-NORMAL",U10="2ND"),"OK","NG"))</f>
        <v/>
      </c>
      <c r="Y10" s="7">
        <f>IF(OR(B10="",K10&lt;=0),"",IF(AND(C10&gt;G10,D10&gt;H10),"UP",IF(AND(C10&lt;G10,D10&lt;H10),"DOWN","FLAT")))</f>
        <v/>
      </c>
    </row>
    <row r="11">
      <c r="A11" s="7">
        <f>IF('StockList_MS2'!A11="","",'StockList_MS2'!A11)</f>
        <v/>
      </c>
      <c r="B11" s="8" t="n"/>
      <c r="C11" s="8" t="n"/>
      <c r="D11" s="8" t="n"/>
      <c r="E11" s="8" t="n"/>
      <c r="F11" s="9" t="n"/>
      <c r="G11" s="8" t="n"/>
      <c r="H11" s="8" t="n"/>
      <c r="I11" s="8" t="n"/>
      <c r="J11" s="7">
        <f>IF(B11="","",IF(B11&gt;I11,"BUY-DAY","SELL-DAY"))</f>
        <v/>
      </c>
      <c r="K11" s="10">
        <f>IF(B11="","",MAX(C11-D11,ABS(C11-I11),ABS(D11-I11)))</f>
        <v/>
      </c>
      <c r="L11" s="7">
        <f>IF(B11="","",IF(AND(F11&gt;0,F11&gt;(F11/3)*2.5),"VOL-OK","VOL-NG"))</f>
        <v/>
      </c>
      <c r="M11" s="7">
        <f>IF(B11="","",IF(B11&gt;G11,"ON","OFF"))</f>
        <v/>
      </c>
      <c r="N11" s="7">
        <f>IF(B11="","",IF(B11&lt;H11,"ON","OFF"))</f>
        <v/>
      </c>
      <c r="O11" s="7">
        <f>IF(OR(B11="",K11&lt;=0),"",IF(AND(J11="BUY-DAY",L11="VOL-OK",N11="ON",X11="OK",Y11&lt;&gt;"DOWN"),"BUY",IF(AND(J11="SELL-DAY",L11="VOL-OK",M11="ON",X11="OK",Y11&lt;&gt;"UP"),"SELL","")))</f>
        <v/>
      </c>
      <c r="P11" s="10">
        <f>IF(O11="","",B11)</f>
        <v/>
      </c>
      <c r="Q11" s="10">
        <f>IF(O11="","",IF(O11="BUY",B11-K11*1.5,B11+K11*1.5))</f>
        <v/>
      </c>
      <c r="R11" s="10">
        <f>IF(O11="","",IF(O11="BUY",B11+K11*1.5,B11-K11*1.5))</f>
        <v/>
      </c>
      <c r="S11" s="10">
        <f>IF(O11="","",IF(O11="BUY",B11+K11*2,B11-K11*2))</f>
        <v/>
      </c>
      <c r="T11" s="10">
        <f>IF(O11="","",IF(O11="BUY",B11+K11*3,B11-K11*3))</f>
        <v/>
      </c>
      <c r="U11" s="7">
        <f>IF(OR(B11="",K11&lt;=0),"",IF(AND(B11&gt;E11,ABS(B11-E11)&lt;K11*0.5),"2ND","1ST"))</f>
        <v/>
      </c>
      <c r="V11" s="7">
        <f>IF(OR(B11="",K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1" s="7">
        <f>IF(OR(B11="",K11&lt;=0),"",IF(K11&gt;B11*0.05,"VOL-HIGH","VOL-NORMAL"))</f>
        <v/>
      </c>
      <c r="X11" s="7">
        <f>IF(OR(B11="",K11&lt;=0),"",IF(AND(L11="VOL-OK",W11="VOL-NORMAL",U11="2ND"),"OK","NG"))</f>
        <v/>
      </c>
      <c r="Y11" s="7">
        <f>IF(OR(B11="",K11&lt;=0),"",IF(AND(C11&gt;G11,D11&gt;H11),"UP",IF(AND(C11&lt;G11,D11&lt;H11),"DOWN","FLAT")))</f>
        <v/>
      </c>
    </row>
    <row r="12">
      <c r="A12" s="7">
        <f>IF('StockList_MS2'!A12="","",'StockList_MS2'!A12)</f>
        <v/>
      </c>
      <c r="B12" s="8" t="n"/>
      <c r="C12" s="8" t="n"/>
      <c r="D12" s="8" t="n"/>
      <c r="E12" s="8" t="n"/>
      <c r="F12" s="9" t="n"/>
      <c r="G12" s="8" t="n"/>
      <c r="H12" s="8" t="n"/>
      <c r="I12" s="8" t="n"/>
      <c r="J12" s="7">
        <f>IF(B12="","",IF(B12&gt;I12,"BUY-DAY","SELL-DAY"))</f>
        <v/>
      </c>
      <c r="K12" s="10">
        <f>IF(B12="","",MAX(C12-D12,ABS(C12-I12),ABS(D12-I12)))</f>
        <v/>
      </c>
      <c r="L12" s="7">
        <f>IF(B12="","",IF(AND(F12&gt;0,F12&gt;(F12/3)*2.5),"VOL-OK","VOL-NG"))</f>
        <v/>
      </c>
      <c r="M12" s="7">
        <f>IF(B12="","",IF(B12&gt;G12,"ON","OFF"))</f>
        <v/>
      </c>
      <c r="N12" s="7">
        <f>IF(B12="","",IF(B12&lt;H12,"ON","OFF"))</f>
        <v/>
      </c>
      <c r="O12" s="7">
        <f>IF(OR(B12="",K12&lt;=0),"",IF(AND(J12="BUY-DAY",L12="VOL-OK",N12="ON",X12="OK",Y12&lt;&gt;"DOWN"),"BUY",IF(AND(J12="SELL-DAY",L12="VOL-OK",M12="ON",X12="OK",Y12&lt;&gt;"UP"),"SELL","")))</f>
        <v/>
      </c>
      <c r="P12" s="10">
        <f>IF(O12="","",B12)</f>
        <v/>
      </c>
      <c r="Q12" s="10">
        <f>IF(O12="","",IF(O12="BUY",B12-K12*1.5,B12+K12*1.5))</f>
        <v/>
      </c>
      <c r="R12" s="10">
        <f>IF(O12="","",IF(O12="BUY",B12+K12*1.5,B12-K12*1.5))</f>
        <v/>
      </c>
      <c r="S12" s="10">
        <f>IF(O12="","",IF(O12="BUY",B12+K12*2,B12-K12*2))</f>
        <v/>
      </c>
      <c r="T12" s="10">
        <f>IF(O12="","",IF(O12="BUY",B12+K12*3,B12-K12*3))</f>
        <v/>
      </c>
      <c r="U12" s="7">
        <f>IF(OR(B12="",K12&lt;=0),"",IF(AND(B12&gt;E12,ABS(B12-E12)&lt;K12*0.5),"2ND","1ST"))</f>
        <v/>
      </c>
      <c r="V12" s="7">
        <f>IF(OR(B12="",K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2" s="7">
        <f>IF(OR(B12="",K12&lt;=0),"",IF(K12&gt;B12*0.05,"VOL-HIGH","VOL-NORMAL"))</f>
        <v/>
      </c>
      <c r="X12" s="7">
        <f>IF(OR(B12="",K12&lt;=0),"",IF(AND(L12="VOL-OK",W12="VOL-NORMAL",U12="2ND"),"OK","NG"))</f>
        <v/>
      </c>
      <c r="Y12" s="7">
        <f>IF(OR(B12="",K12&lt;=0),"",IF(AND(C12&gt;G12,D12&gt;H12),"UP",IF(AND(C12&lt;G12,D12&lt;H12),"DOWN","FLAT")))</f>
        <v/>
      </c>
    </row>
    <row r="13">
      <c r="A13" s="7">
        <f>IF('StockList_MS2'!A13="","",'StockList_MS2'!A13)</f>
        <v/>
      </c>
      <c r="B13" s="8" t="n"/>
      <c r="C13" s="8" t="n"/>
      <c r="D13" s="8" t="n"/>
      <c r="E13" s="8" t="n"/>
      <c r="F13" s="9" t="n"/>
      <c r="G13" s="8" t="n"/>
      <c r="H13" s="8" t="n"/>
      <c r="I13" s="8" t="n"/>
      <c r="J13" s="7">
        <f>IF(B13="","",IF(B13&gt;I13,"BUY-DAY","SELL-DAY"))</f>
        <v/>
      </c>
      <c r="K13" s="10">
        <f>IF(B13="","",MAX(C13-D13,ABS(C13-I13),ABS(D13-I13)))</f>
        <v/>
      </c>
      <c r="L13" s="7">
        <f>IF(B13="","",IF(AND(F13&gt;0,F13&gt;(F13/3)*2.5),"VOL-OK","VOL-NG"))</f>
        <v/>
      </c>
      <c r="M13" s="7">
        <f>IF(B13="","",IF(B13&gt;G13,"ON","OFF"))</f>
        <v/>
      </c>
      <c r="N13" s="7">
        <f>IF(B13="","",IF(B13&lt;H13,"ON","OFF"))</f>
        <v/>
      </c>
      <c r="O13" s="7">
        <f>IF(OR(B13="",K13&lt;=0),"",IF(AND(J13="BUY-DAY",L13="VOL-OK",N13="ON",X13="OK",Y13&lt;&gt;"DOWN"),"BUY",IF(AND(J13="SELL-DAY",L13="VOL-OK",M13="ON",X13="OK",Y13&lt;&gt;"UP"),"SELL","")))</f>
        <v/>
      </c>
      <c r="P13" s="10">
        <f>IF(O13="","",B13)</f>
        <v/>
      </c>
      <c r="Q13" s="10">
        <f>IF(O13="","",IF(O13="BUY",B13-K13*1.5,B13+K13*1.5))</f>
        <v/>
      </c>
      <c r="R13" s="10">
        <f>IF(O13="","",IF(O13="BUY",B13+K13*1.5,B13-K13*1.5))</f>
        <v/>
      </c>
      <c r="S13" s="10">
        <f>IF(O13="","",IF(O13="BUY",B13+K13*2,B13-K13*2))</f>
        <v/>
      </c>
      <c r="T13" s="10">
        <f>IF(O13="","",IF(O13="BUY",B13+K13*3,B13-K13*3))</f>
        <v/>
      </c>
      <c r="U13" s="7">
        <f>IF(OR(B13="",K13&lt;=0),"",IF(AND(B13&gt;E13,ABS(B13-E13)&lt;K13*0.5),"2ND","1ST"))</f>
        <v/>
      </c>
      <c r="V13" s="7">
        <f>IF(OR(B13="",K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3" s="7">
        <f>IF(OR(B13="",K13&lt;=0),"",IF(K13&gt;B13*0.05,"VOL-HIGH","VOL-NORMAL"))</f>
        <v/>
      </c>
      <c r="X13" s="7">
        <f>IF(OR(B13="",K13&lt;=0),"",IF(AND(L13="VOL-OK",W13="VOL-NORMAL",U13="2ND"),"OK","NG"))</f>
        <v/>
      </c>
      <c r="Y13" s="7">
        <f>IF(OR(B13="",K13&lt;=0),"",IF(AND(C13&gt;G13,D13&gt;H13),"UP",IF(AND(C13&lt;G13,D13&lt;H13),"DOWN","FLAT")))</f>
        <v/>
      </c>
    </row>
    <row r="14">
      <c r="A14" s="7">
        <f>IF('StockList_MS2'!A14="","",'StockList_MS2'!A14)</f>
        <v/>
      </c>
      <c r="B14" s="8" t="n"/>
      <c r="C14" s="8" t="n"/>
      <c r="D14" s="8" t="n"/>
      <c r="E14" s="8" t="n"/>
      <c r="F14" s="9" t="n"/>
      <c r="G14" s="8" t="n"/>
      <c r="H14" s="8" t="n"/>
      <c r="I14" s="8" t="n"/>
      <c r="J14" s="7">
        <f>IF(B14="","",IF(B14&gt;I14,"BUY-DAY","SELL-DAY"))</f>
        <v/>
      </c>
      <c r="K14" s="10">
        <f>IF(B14="","",MAX(C14-D14,ABS(C14-I14),ABS(D14-I14)))</f>
        <v/>
      </c>
      <c r="L14" s="7">
        <f>IF(B14="","",IF(AND(F14&gt;0,F14&gt;(F14/3)*2.5),"VOL-OK","VOL-NG"))</f>
        <v/>
      </c>
      <c r="M14" s="7">
        <f>IF(B14="","",IF(B14&gt;G14,"ON","OFF"))</f>
        <v/>
      </c>
      <c r="N14" s="7">
        <f>IF(B14="","",IF(B14&lt;H14,"ON","OFF"))</f>
        <v/>
      </c>
      <c r="O14" s="7">
        <f>IF(OR(B14="",K14&lt;=0),"",IF(AND(J14="BUY-DAY",L14="VOL-OK",N14="ON",X14="OK",Y14&lt;&gt;"DOWN"),"BUY",IF(AND(J14="SELL-DAY",L14="VOL-OK",M14="ON",X14="OK",Y14&lt;&gt;"UP"),"SELL","")))</f>
        <v/>
      </c>
      <c r="P14" s="10">
        <f>IF(O14="","",B14)</f>
        <v/>
      </c>
      <c r="Q14" s="10">
        <f>IF(O14="","",IF(O14="BUY",B14-K14*1.5,B14+K14*1.5))</f>
        <v/>
      </c>
      <c r="R14" s="10">
        <f>IF(O14="","",IF(O14="BUY",B14+K14*1.5,B14-K14*1.5))</f>
        <v/>
      </c>
      <c r="S14" s="10">
        <f>IF(O14="","",IF(O14="BUY",B14+K14*2,B14-K14*2))</f>
        <v/>
      </c>
      <c r="T14" s="10">
        <f>IF(O14="","",IF(O14="BUY",B14+K14*3,B14-K14*3))</f>
        <v/>
      </c>
      <c r="U14" s="7">
        <f>IF(OR(B14="",K14&lt;=0),"",IF(AND(B14&gt;E14,ABS(B14-E14)&lt;K14*0.5),"2ND","1ST"))</f>
        <v/>
      </c>
      <c r="V14" s="7">
        <f>IF(OR(B14="",K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4" s="7">
        <f>IF(OR(B14="",K14&lt;=0),"",IF(K14&gt;B14*0.05,"VOL-HIGH","VOL-NORMAL"))</f>
        <v/>
      </c>
      <c r="X14" s="7">
        <f>IF(OR(B14="",K14&lt;=0),"",IF(AND(L14="VOL-OK",W14="VOL-NORMAL",U14="2ND"),"OK","NG"))</f>
        <v/>
      </c>
      <c r="Y14" s="7">
        <f>IF(OR(B14="",K14&lt;=0),"",IF(AND(C14&gt;G14,D14&gt;H14),"UP",IF(AND(C14&lt;G14,D14&lt;H14),"DOWN","FLAT")))</f>
        <v/>
      </c>
    </row>
    <row r="15">
      <c r="A15" s="7">
        <f>IF('StockList_MS2'!A15="","",'StockList_MS2'!A15)</f>
        <v/>
      </c>
      <c r="B15" s="8" t="n"/>
      <c r="C15" s="8" t="n"/>
      <c r="D15" s="8" t="n"/>
      <c r="E15" s="8" t="n"/>
      <c r="F15" s="9" t="n"/>
      <c r="G15" s="8" t="n"/>
      <c r="H15" s="8" t="n"/>
      <c r="I15" s="8" t="n"/>
      <c r="J15" s="7">
        <f>IF(B15="","",IF(B15&gt;I15,"BUY-DAY","SELL-DAY"))</f>
        <v/>
      </c>
      <c r="K15" s="10">
        <f>IF(B15="","",MAX(C15-D15,ABS(C15-I15),ABS(D15-I15)))</f>
        <v/>
      </c>
      <c r="L15" s="7">
        <f>IF(B15="","",IF(AND(F15&gt;0,F15&gt;(F15/3)*2.5),"VOL-OK","VOL-NG"))</f>
        <v/>
      </c>
      <c r="M15" s="7">
        <f>IF(B15="","",IF(B15&gt;G15,"ON","OFF"))</f>
        <v/>
      </c>
      <c r="N15" s="7">
        <f>IF(B15="","",IF(B15&lt;H15,"ON","OFF"))</f>
        <v/>
      </c>
      <c r="O15" s="7">
        <f>IF(OR(B15="",K15&lt;=0),"",IF(AND(J15="BUY-DAY",L15="VOL-OK",N15="ON",X15="OK",Y15&lt;&gt;"DOWN"),"BUY",IF(AND(J15="SELL-DAY",L15="VOL-OK",M15="ON",X15="OK",Y15&lt;&gt;"UP"),"SELL","")))</f>
        <v/>
      </c>
      <c r="P15" s="10">
        <f>IF(O15="","",B15)</f>
        <v/>
      </c>
      <c r="Q15" s="10">
        <f>IF(O15="","",IF(O15="BUY",B15-K15*1.5,B15+K15*1.5))</f>
        <v/>
      </c>
      <c r="R15" s="10">
        <f>IF(O15="","",IF(O15="BUY",B15+K15*1.5,B15-K15*1.5))</f>
        <v/>
      </c>
      <c r="S15" s="10">
        <f>IF(O15="","",IF(O15="BUY",B15+K15*2,B15-K15*2))</f>
        <v/>
      </c>
      <c r="T15" s="10">
        <f>IF(O15="","",IF(O15="BUY",B15+K15*3,B15-K15*3))</f>
        <v/>
      </c>
      <c r="U15" s="7">
        <f>IF(OR(B15="",K15&lt;=0),"",IF(AND(B15&gt;E15,ABS(B15-E15)&lt;K15*0.5),"2ND","1ST"))</f>
        <v/>
      </c>
      <c r="V15" s="7">
        <f>IF(OR(B15="",K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5" s="7">
        <f>IF(OR(B15="",K15&lt;=0),"",IF(K15&gt;B15*0.05,"VOL-HIGH","VOL-NORMAL"))</f>
        <v/>
      </c>
      <c r="X15" s="7">
        <f>IF(OR(B15="",K15&lt;=0),"",IF(AND(L15="VOL-OK",W15="VOL-NORMAL",U15="2ND"),"OK","NG"))</f>
        <v/>
      </c>
      <c r="Y15" s="7">
        <f>IF(OR(B15="",K15&lt;=0),"",IF(AND(C15&gt;G15,D15&gt;H15),"UP",IF(AND(C15&lt;G15,D15&lt;H15),"DOWN","FLAT")))</f>
        <v/>
      </c>
    </row>
    <row r="16">
      <c r="A16" s="7">
        <f>IF('StockList_MS2'!A16="","",'StockList_MS2'!A16)</f>
        <v/>
      </c>
      <c r="B16" s="8" t="n"/>
      <c r="C16" s="8" t="n"/>
      <c r="D16" s="8" t="n"/>
      <c r="E16" s="8" t="n"/>
      <c r="F16" s="9" t="n"/>
      <c r="G16" s="8" t="n"/>
      <c r="H16" s="8" t="n"/>
      <c r="I16" s="8" t="n"/>
      <c r="J16" s="7">
        <f>IF(B16="","",IF(B16&gt;I16,"BUY-DAY","SELL-DAY"))</f>
        <v/>
      </c>
      <c r="K16" s="10">
        <f>IF(B16="","",MAX(C16-D16,ABS(C16-I16),ABS(D16-I16)))</f>
        <v/>
      </c>
      <c r="L16" s="7">
        <f>IF(B16="","",IF(AND(F16&gt;0,F16&gt;(F16/3)*2.5),"VOL-OK","VOL-NG"))</f>
        <v/>
      </c>
      <c r="M16" s="7">
        <f>IF(B16="","",IF(B16&gt;G16,"ON","OFF"))</f>
        <v/>
      </c>
      <c r="N16" s="7">
        <f>IF(B16="","",IF(B16&lt;H16,"ON","OFF"))</f>
        <v/>
      </c>
      <c r="O16" s="7">
        <f>IF(OR(B16="",K16&lt;=0),"",IF(AND(J16="BUY-DAY",L16="VOL-OK",N16="ON",X16="OK",Y16&lt;&gt;"DOWN"),"BUY",IF(AND(J16="SELL-DAY",L16="VOL-OK",M16="ON",X16="OK",Y16&lt;&gt;"UP"),"SELL","")))</f>
        <v/>
      </c>
      <c r="P16" s="10">
        <f>IF(O16="","",B16)</f>
        <v/>
      </c>
      <c r="Q16" s="10">
        <f>IF(O16="","",IF(O16="BUY",B16-K16*1.5,B16+K16*1.5))</f>
        <v/>
      </c>
      <c r="R16" s="10">
        <f>IF(O16="","",IF(O16="BUY",B16+K16*1.5,B16-K16*1.5))</f>
        <v/>
      </c>
      <c r="S16" s="10">
        <f>IF(O16="","",IF(O16="BUY",B16+K16*2,B16-K16*2))</f>
        <v/>
      </c>
      <c r="T16" s="10">
        <f>IF(O16="","",IF(O16="BUY",B16+K16*3,B16-K16*3))</f>
        <v/>
      </c>
      <c r="U16" s="7">
        <f>IF(OR(B16="",K16&lt;=0),"",IF(AND(B16&gt;E16,ABS(B16-E16)&lt;K16*0.5),"2ND","1ST"))</f>
        <v/>
      </c>
      <c r="V16" s="7">
        <f>IF(OR(B16="",K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6" s="7">
        <f>IF(OR(B16="",K16&lt;=0),"",IF(K16&gt;B16*0.05,"VOL-HIGH","VOL-NORMAL"))</f>
        <v/>
      </c>
      <c r="X16" s="7">
        <f>IF(OR(B16="",K16&lt;=0),"",IF(AND(L16="VOL-OK",W16="VOL-NORMAL",U16="2ND"),"OK","NG"))</f>
        <v/>
      </c>
      <c r="Y16" s="7">
        <f>IF(OR(B16="",K16&lt;=0),"",IF(AND(C16&gt;G16,D16&gt;H16),"UP",IF(AND(C16&lt;G16,D16&lt;H16),"DOWN","FLAT")))</f>
        <v/>
      </c>
    </row>
    <row r="17">
      <c r="A17" s="7">
        <f>IF('StockList_MS2'!A17="","",'StockList_MS2'!A17)</f>
        <v/>
      </c>
      <c r="B17" s="8" t="n"/>
      <c r="C17" s="8" t="n"/>
      <c r="D17" s="8" t="n"/>
      <c r="E17" s="8" t="n"/>
      <c r="F17" s="9" t="n"/>
      <c r="G17" s="8" t="n"/>
      <c r="H17" s="8" t="n"/>
      <c r="I17" s="8" t="n"/>
      <c r="J17" s="7">
        <f>IF(B17="","",IF(B17&gt;I17,"BUY-DAY","SELL-DAY"))</f>
        <v/>
      </c>
      <c r="K17" s="10">
        <f>IF(B17="","",MAX(C17-D17,ABS(C17-I17),ABS(D17-I17)))</f>
        <v/>
      </c>
      <c r="L17" s="7">
        <f>IF(B17="","",IF(AND(F17&gt;0,F17&gt;(F17/3)*2.5),"VOL-OK","VOL-NG"))</f>
        <v/>
      </c>
      <c r="M17" s="7">
        <f>IF(B17="","",IF(B17&gt;G17,"ON","OFF"))</f>
        <v/>
      </c>
      <c r="N17" s="7">
        <f>IF(B17="","",IF(B17&lt;H17,"ON","OFF"))</f>
        <v/>
      </c>
      <c r="O17" s="7">
        <f>IF(OR(B17="",K17&lt;=0),"",IF(AND(J17="BUY-DAY",L17="VOL-OK",N17="ON",X17="OK",Y17&lt;&gt;"DOWN"),"BUY",IF(AND(J17="SELL-DAY",L17="VOL-OK",M17="ON",X17="OK",Y17&lt;&gt;"UP"),"SELL","")))</f>
        <v/>
      </c>
      <c r="P17" s="10">
        <f>IF(O17="","",B17)</f>
        <v/>
      </c>
      <c r="Q17" s="10">
        <f>IF(O17="","",IF(O17="BUY",B17-K17*1.5,B17+K17*1.5))</f>
        <v/>
      </c>
      <c r="R17" s="10">
        <f>IF(O17="","",IF(O17="BUY",B17+K17*1.5,B17-K17*1.5))</f>
        <v/>
      </c>
      <c r="S17" s="10">
        <f>IF(O17="","",IF(O17="BUY",B17+K17*2,B17-K17*2))</f>
        <v/>
      </c>
      <c r="T17" s="10">
        <f>IF(O17="","",IF(O17="BUY",B17+K17*3,B17-K17*3))</f>
        <v/>
      </c>
      <c r="U17" s="7">
        <f>IF(OR(B17="",K17&lt;=0),"",IF(AND(B17&gt;E17,ABS(B17-E17)&lt;K17*0.5),"2ND","1ST"))</f>
        <v/>
      </c>
      <c r="V17" s="7">
        <f>IF(OR(B17="",K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7" s="7">
        <f>IF(OR(B17="",K17&lt;=0),"",IF(K17&gt;B17*0.05,"VOL-HIGH","VOL-NORMAL"))</f>
        <v/>
      </c>
      <c r="X17" s="7">
        <f>IF(OR(B17="",K17&lt;=0),"",IF(AND(L17="VOL-OK",W17="VOL-NORMAL",U17="2ND"),"OK","NG"))</f>
        <v/>
      </c>
      <c r="Y17" s="7">
        <f>IF(OR(B17="",K17&lt;=0),"",IF(AND(C17&gt;G17,D17&gt;H17),"UP",IF(AND(C17&lt;G17,D17&lt;H17),"DOWN","FLAT")))</f>
        <v/>
      </c>
    </row>
    <row r="18">
      <c r="A18" s="7">
        <f>IF('StockList_MS2'!A18="","",'StockList_MS2'!A18)</f>
        <v/>
      </c>
      <c r="B18" s="8" t="n"/>
      <c r="C18" s="8" t="n"/>
      <c r="D18" s="8" t="n"/>
      <c r="E18" s="8" t="n"/>
      <c r="F18" s="9" t="n"/>
      <c r="G18" s="8" t="n"/>
      <c r="H18" s="8" t="n"/>
      <c r="I18" s="8" t="n"/>
      <c r="J18" s="7">
        <f>IF(B18="","",IF(B18&gt;I18,"BUY-DAY","SELL-DAY"))</f>
        <v/>
      </c>
      <c r="K18" s="10">
        <f>IF(B18="","",MAX(C18-D18,ABS(C18-I18),ABS(D18-I18)))</f>
        <v/>
      </c>
      <c r="L18" s="7">
        <f>IF(B18="","",IF(AND(F18&gt;0,F18&gt;(F18/3)*2.5),"VOL-OK","VOL-NG"))</f>
        <v/>
      </c>
      <c r="M18" s="7">
        <f>IF(B18="","",IF(B18&gt;G18,"ON","OFF"))</f>
        <v/>
      </c>
      <c r="N18" s="7">
        <f>IF(B18="","",IF(B18&lt;H18,"ON","OFF"))</f>
        <v/>
      </c>
      <c r="O18" s="7">
        <f>IF(OR(B18="",K18&lt;=0),"",IF(AND(J18="BUY-DAY",L18="VOL-OK",N18="ON",X18="OK",Y18&lt;&gt;"DOWN"),"BUY",IF(AND(J18="SELL-DAY",L18="VOL-OK",M18="ON",X18="OK",Y18&lt;&gt;"UP"),"SELL","")))</f>
        <v/>
      </c>
      <c r="P18" s="10">
        <f>IF(O18="","",B18)</f>
        <v/>
      </c>
      <c r="Q18" s="10">
        <f>IF(O18="","",IF(O18="BUY",B18-K18*1.5,B18+K18*1.5))</f>
        <v/>
      </c>
      <c r="R18" s="10">
        <f>IF(O18="","",IF(O18="BUY",B18+K18*1.5,B18-K18*1.5))</f>
        <v/>
      </c>
      <c r="S18" s="10">
        <f>IF(O18="","",IF(O18="BUY",B18+K18*2,B18-K18*2))</f>
        <v/>
      </c>
      <c r="T18" s="10">
        <f>IF(O18="","",IF(O18="BUY",B18+K18*3,B18-K18*3))</f>
        <v/>
      </c>
      <c r="U18" s="7">
        <f>IF(OR(B18="",K18&lt;=0),"",IF(AND(B18&gt;E18,ABS(B18-E18)&lt;K18*0.5),"2ND","1ST"))</f>
        <v/>
      </c>
      <c r="V18" s="7">
        <f>IF(OR(B18="",K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8" s="7">
        <f>IF(OR(B18="",K18&lt;=0),"",IF(K18&gt;B18*0.05,"VOL-HIGH","VOL-NORMAL"))</f>
        <v/>
      </c>
      <c r="X18" s="7">
        <f>IF(OR(B18="",K18&lt;=0),"",IF(AND(L18="VOL-OK",W18="VOL-NORMAL",U18="2ND"),"OK","NG"))</f>
        <v/>
      </c>
      <c r="Y18" s="7">
        <f>IF(OR(B18="",K18&lt;=0),"",IF(AND(C18&gt;G18,D18&gt;H18),"UP",IF(AND(C18&lt;G18,D18&lt;H18),"DOWN","FLAT")))</f>
        <v/>
      </c>
    </row>
    <row r="19">
      <c r="A19" s="7">
        <f>IF('StockList_MS2'!A19="","",'StockList_MS2'!A19)</f>
        <v/>
      </c>
      <c r="B19" s="8" t="n"/>
      <c r="C19" s="8" t="n"/>
      <c r="D19" s="8" t="n"/>
      <c r="E19" s="8" t="n"/>
      <c r="F19" s="9" t="n"/>
      <c r="G19" s="8" t="n"/>
      <c r="H19" s="8" t="n"/>
      <c r="I19" s="8" t="n"/>
      <c r="J19" s="7">
        <f>IF(B19="","",IF(B19&gt;I19,"BUY-DAY","SELL-DAY"))</f>
        <v/>
      </c>
      <c r="K19" s="10">
        <f>IF(B19="","",MAX(C19-D19,ABS(C19-I19),ABS(D19-I19)))</f>
        <v/>
      </c>
      <c r="L19" s="7">
        <f>IF(B19="","",IF(AND(F19&gt;0,F19&gt;(F19/3)*2.5),"VOL-OK","VOL-NG"))</f>
        <v/>
      </c>
      <c r="M19" s="7">
        <f>IF(B19="","",IF(B19&gt;G19,"ON","OFF"))</f>
        <v/>
      </c>
      <c r="N19" s="7">
        <f>IF(B19="","",IF(B19&lt;H19,"ON","OFF"))</f>
        <v/>
      </c>
      <c r="O19" s="7">
        <f>IF(OR(B19="",K19&lt;=0),"",IF(AND(J19="BUY-DAY",L19="VOL-OK",N19="ON",X19="OK",Y19&lt;&gt;"DOWN"),"BUY",IF(AND(J19="SELL-DAY",L19="VOL-OK",M19="ON",X19="OK",Y19&lt;&gt;"UP"),"SELL","")))</f>
        <v/>
      </c>
      <c r="P19" s="10">
        <f>IF(O19="","",B19)</f>
        <v/>
      </c>
      <c r="Q19" s="10">
        <f>IF(O19="","",IF(O19="BUY",B19-K19*1.5,B19+K19*1.5))</f>
        <v/>
      </c>
      <c r="R19" s="10">
        <f>IF(O19="","",IF(O19="BUY",B19+K19*1.5,B19-K19*1.5))</f>
        <v/>
      </c>
      <c r="S19" s="10">
        <f>IF(O19="","",IF(O19="BUY",B19+K19*2,B19-K19*2))</f>
        <v/>
      </c>
      <c r="T19" s="10">
        <f>IF(O19="","",IF(O19="BUY",B19+K19*3,B19-K19*3))</f>
        <v/>
      </c>
      <c r="U19" s="7">
        <f>IF(OR(B19="",K19&lt;=0),"",IF(AND(B19&gt;E19,ABS(B19-E19)&lt;K19*0.5),"2ND","1ST"))</f>
        <v/>
      </c>
      <c r="V19" s="7">
        <f>IF(OR(B19="",K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19" s="7">
        <f>IF(OR(B19="",K19&lt;=0),"",IF(K19&gt;B19*0.05,"VOL-HIGH","VOL-NORMAL"))</f>
        <v/>
      </c>
      <c r="X19" s="7">
        <f>IF(OR(B19="",K19&lt;=0),"",IF(AND(L19="VOL-OK",W19="VOL-NORMAL",U19="2ND"),"OK","NG"))</f>
        <v/>
      </c>
      <c r="Y19" s="7">
        <f>IF(OR(B19="",K19&lt;=0),"",IF(AND(C19&gt;G19,D19&gt;H19),"UP",IF(AND(C19&lt;G19,D19&lt;H19),"DOWN","FLAT")))</f>
        <v/>
      </c>
    </row>
    <row r="20">
      <c r="A20" s="7">
        <f>IF('StockList_MS2'!A20="","",'StockList_MS2'!A20)</f>
        <v/>
      </c>
      <c r="B20" s="8" t="n"/>
      <c r="C20" s="8" t="n"/>
      <c r="D20" s="8" t="n"/>
      <c r="E20" s="8" t="n"/>
      <c r="F20" s="9" t="n"/>
      <c r="G20" s="8" t="n"/>
      <c r="H20" s="8" t="n"/>
      <c r="I20" s="8" t="n"/>
      <c r="J20" s="7">
        <f>IF(B20="","",IF(B20&gt;I20,"BUY-DAY","SELL-DAY"))</f>
        <v/>
      </c>
      <c r="K20" s="10">
        <f>IF(B20="","",MAX(C20-D20,ABS(C20-I20),ABS(D20-I20)))</f>
        <v/>
      </c>
      <c r="L20" s="7">
        <f>IF(B20="","",IF(AND(F20&gt;0,F20&gt;(F20/3)*2.5),"VOL-OK","VOL-NG"))</f>
        <v/>
      </c>
      <c r="M20" s="7">
        <f>IF(B20="","",IF(B20&gt;G20,"ON","OFF"))</f>
        <v/>
      </c>
      <c r="N20" s="7">
        <f>IF(B20="","",IF(B20&lt;H20,"ON","OFF"))</f>
        <v/>
      </c>
      <c r="O20" s="7">
        <f>IF(OR(B20="",K20&lt;=0),"",IF(AND(J20="BUY-DAY",L20="VOL-OK",N20="ON",X20="OK",Y20&lt;&gt;"DOWN"),"BUY",IF(AND(J20="SELL-DAY",L20="VOL-OK",M20="ON",X20="OK",Y20&lt;&gt;"UP"),"SELL","")))</f>
        <v/>
      </c>
      <c r="P20" s="10">
        <f>IF(O20="","",B20)</f>
        <v/>
      </c>
      <c r="Q20" s="10">
        <f>IF(O20="","",IF(O20="BUY",B20-K20*1.5,B20+K20*1.5))</f>
        <v/>
      </c>
      <c r="R20" s="10">
        <f>IF(O20="","",IF(O20="BUY",B20+K20*1.5,B20-K20*1.5))</f>
        <v/>
      </c>
      <c r="S20" s="10">
        <f>IF(O20="","",IF(O20="BUY",B20+K20*2,B20-K20*2))</f>
        <v/>
      </c>
      <c r="T20" s="10">
        <f>IF(O20="","",IF(O20="BUY",B20+K20*3,B20-K20*3))</f>
        <v/>
      </c>
      <c r="U20" s="7">
        <f>IF(OR(B20="",K20&lt;=0),"",IF(AND(B20&gt;E20,ABS(B20-E20)&lt;K20*0.5),"2ND","1ST"))</f>
        <v/>
      </c>
      <c r="V20" s="7">
        <f>IF(OR(B20="",K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0" s="7">
        <f>IF(OR(B20="",K20&lt;=0),"",IF(K20&gt;B20*0.05,"VOL-HIGH","VOL-NORMAL"))</f>
        <v/>
      </c>
      <c r="X20" s="7">
        <f>IF(OR(B20="",K20&lt;=0),"",IF(AND(L20="VOL-OK",W20="VOL-NORMAL",U20="2ND"),"OK","NG"))</f>
        <v/>
      </c>
      <c r="Y20" s="7">
        <f>IF(OR(B20="",K20&lt;=0),"",IF(AND(C20&gt;G20,D20&gt;H20),"UP",IF(AND(C20&lt;G20,D20&lt;H20),"DOWN","FLAT")))</f>
        <v/>
      </c>
    </row>
    <row r="21">
      <c r="A21" s="7">
        <f>IF('StockList_MS2'!A21="","",'StockList_MS2'!A21)</f>
        <v/>
      </c>
      <c r="B21" s="8" t="n"/>
      <c r="C21" s="8" t="n"/>
      <c r="D21" s="8" t="n"/>
      <c r="E21" s="8" t="n"/>
      <c r="F21" s="9" t="n"/>
      <c r="G21" s="8" t="n"/>
      <c r="H21" s="8" t="n"/>
      <c r="I21" s="8" t="n"/>
      <c r="J21" s="7">
        <f>IF(B21="","",IF(B21&gt;I21,"BUY-DAY","SELL-DAY"))</f>
        <v/>
      </c>
      <c r="K21" s="10">
        <f>IF(B21="","",MAX(C21-D21,ABS(C21-I21),ABS(D21-I21)))</f>
        <v/>
      </c>
      <c r="L21" s="7">
        <f>IF(B21="","",IF(AND(F21&gt;0,F21&gt;(F21/3)*2.5),"VOL-OK","VOL-NG"))</f>
        <v/>
      </c>
      <c r="M21" s="7">
        <f>IF(B21="","",IF(B21&gt;G21,"ON","OFF"))</f>
        <v/>
      </c>
      <c r="N21" s="7">
        <f>IF(B21="","",IF(B21&lt;H21,"ON","OFF"))</f>
        <v/>
      </c>
      <c r="O21" s="7">
        <f>IF(OR(B21="",K21&lt;=0),"",IF(AND(J21="BUY-DAY",L21="VOL-OK",N21="ON",X21="OK",Y21&lt;&gt;"DOWN"),"BUY",IF(AND(J21="SELL-DAY",L21="VOL-OK",M21="ON",X21="OK",Y21&lt;&gt;"UP"),"SELL","")))</f>
        <v/>
      </c>
      <c r="P21" s="10">
        <f>IF(O21="","",B21)</f>
        <v/>
      </c>
      <c r="Q21" s="10">
        <f>IF(O21="","",IF(O21="BUY",B21-K21*1.5,B21+K21*1.5))</f>
        <v/>
      </c>
      <c r="R21" s="10">
        <f>IF(O21="","",IF(O21="BUY",B21+K21*1.5,B21-K21*1.5))</f>
        <v/>
      </c>
      <c r="S21" s="10">
        <f>IF(O21="","",IF(O21="BUY",B21+K21*2,B21-K21*2))</f>
        <v/>
      </c>
      <c r="T21" s="10">
        <f>IF(O21="","",IF(O21="BUY",B21+K21*3,B21-K21*3))</f>
        <v/>
      </c>
      <c r="U21" s="7">
        <f>IF(OR(B21="",K21&lt;=0),"",IF(AND(B21&gt;E21,ABS(B21-E21)&lt;K21*0.5),"2ND","1ST"))</f>
        <v/>
      </c>
      <c r="V21" s="7">
        <f>IF(OR(B21="",K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1" s="7">
        <f>IF(OR(B21="",K21&lt;=0),"",IF(K21&gt;B21*0.05,"VOL-HIGH","VOL-NORMAL"))</f>
        <v/>
      </c>
      <c r="X21" s="7">
        <f>IF(OR(B21="",K21&lt;=0),"",IF(AND(L21="VOL-OK",W21="VOL-NORMAL",U21="2ND"),"OK","NG"))</f>
        <v/>
      </c>
      <c r="Y21" s="7">
        <f>IF(OR(B21="",K21&lt;=0),"",IF(AND(C21&gt;G21,D21&gt;H21),"UP",IF(AND(C21&lt;G21,D21&lt;H21),"DOWN","FLAT")))</f>
        <v/>
      </c>
    </row>
    <row r="22">
      <c r="A22" s="7">
        <f>IF('StockList_MS2'!A22="","",'StockList_MS2'!A22)</f>
        <v/>
      </c>
      <c r="B22" s="8" t="n"/>
      <c r="C22" s="8" t="n"/>
      <c r="D22" s="8" t="n"/>
      <c r="E22" s="8" t="n"/>
      <c r="F22" s="9" t="n"/>
      <c r="G22" s="8" t="n"/>
      <c r="H22" s="8" t="n"/>
      <c r="I22" s="8" t="n"/>
      <c r="J22" s="7">
        <f>IF(B22="","",IF(B22&gt;I22,"BUY-DAY","SELL-DAY"))</f>
        <v/>
      </c>
      <c r="K22" s="10">
        <f>IF(B22="","",MAX(C22-D22,ABS(C22-I22),ABS(D22-I22)))</f>
        <v/>
      </c>
      <c r="L22" s="7">
        <f>IF(B22="","",IF(AND(F22&gt;0,F22&gt;(F22/3)*2.5),"VOL-OK","VOL-NG"))</f>
        <v/>
      </c>
      <c r="M22" s="7">
        <f>IF(B22="","",IF(B22&gt;G22,"ON","OFF"))</f>
        <v/>
      </c>
      <c r="N22" s="7">
        <f>IF(B22="","",IF(B22&lt;H22,"ON","OFF"))</f>
        <v/>
      </c>
      <c r="O22" s="7">
        <f>IF(OR(B22="",K22&lt;=0),"",IF(AND(J22="BUY-DAY",L22="VOL-OK",N22="ON",X22="OK",Y22&lt;&gt;"DOWN"),"BUY",IF(AND(J22="SELL-DAY",L22="VOL-OK",M22="ON",X22="OK",Y22&lt;&gt;"UP"),"SELL","")))</f>
        <v/>
      </c>
      <c r="P22" s="10">
        <f>IF(O22="","",B22)</f>
        <v/>
      </c>
      <c r="Q22" s="10">
        <f>IF(O22="","",IF(O22="BUY",B22-K22*1.5,B22+K22*1.5))</f>
        <v/>
      </c>
      <c r="R22" s="10">
        <f>IF(O22="","",IF(O22="BUY",B22+K22*1.5,B22-K22*1.5))</f>
        <v/>
      </c>
      <c r="S22" s="10">
        <f>IF(O22="","",IF(O22="BUY",B22+K22*2,B22-K22*2))</f>
        <v/>
      </c>
      <c r="T22" s="10">
        <f>IF(O22="","",IF(O22="BUY",B22+K22*3,B22-K22*3))</f>
        <v/>
      </c>
      <c r="U22" s="7">
        <f>IF(OR(B22="",K22&lt;=0),"",IF(AND(B22&gt;E22,ABS(B22-E22)&lt;K22*0.5),"2ND","1ST"))</f>
        <v/>
      </c>
      <c r="V22" s="7">
        <f>IF(OR(B22="",K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2" s="7">
        <f>IF(OR(B22="",K22&lt;=0),"",IF(K22&gt;B22*0.05,"VOL-HIGH","VOL-NORMAL"))</f>
        <v/>
      </c>
      <c r="X22" s="7">
        <f>IF(OR(B22="",K22&lt;=0),"",IF(AND(L22="VOL-OK",W22="VOL-NORMAL",U22="2ND"),"OK","NG"))</f>
        <v/>
      </c>
      <c r="Y22" s="7">
        <f>IF(OR(B22="",K22&lt;=0),"",IF(AND(C22&gt;G22,D22&gt;H22),"UP",IF(AND(C22&lt;G22,D22&lt;H22),"DOWN","FLAT")))</f>
        <v/>
      </c>
    </row>
    <row r="23">
      <c r="A23" s="7">
        <f>IF('StockList_MS2'!A23="","",'StockList_MS2'!A23)</f>
        <v/>
      </c>
      <c r="B23" s="8" t="n"/>
      <c r="C23" s="8" t="n"/>
      <c r="D23" s="8" t="n"/>
      <c r="E23" s="8" t="n"/>
      <c r="F23" s="9" t="n"/>
      <c r="G23" s="8" t="n"/>
      <c r="H23" s="8" t="n"/>
      <c r="I23" s="8" t="n"/>
      <c r="J23" s="7">
        <f>IF(B23="","",IF(B23&gt;I23,"BUY-DAY","SELL-DAY"))</f>
        <v/>
      </c>
      <c r="K23" s="10">
        <f>IF(B23="","",MAX(C23-D23,ABS(C23-I23),ABS(D23-I23)))</f>
        <v/>
      </c>
      <c r="L23" s="7">
        <f>IF(B23="","",IF(AND(F23&gt;0,F23&gt;(F23/3)*2.5),"VOL-OK","VOL-NG"))</f>
        <v/>
      </c>
      <c r="M23" s="7">
        <f>IF(B23="","",IF(B23&gt;G23,"ON","OFF"))</f>
        <v/>
      </c>
      <c r="N23" s="7">
        <f>IF(B23="","",IF(B23&lt;H23,"ON","OFF"))</f>
        <v/>
      </c>
      <c r="O23" s="7">
        <f>IF(OR(B23="",K23&lt;=0),"",IF(AND(J23="BUY-DAY",L23="VOL-OK",N23="ON",X23="OK",Y23&lt;&gt;"DOWN"),"BUY",IF(AND(J23="SELL-DAY",L23="VOL-OK",M23="ON",X23="OK",Y23&lt;&gt;"UP"),"SELL","")))</f>
        <v/>
      </c>
      <c r="P23" s="10">
        <f>IF(O23="","",B23)</f>
        <v/>
      </c>
      <c r="Q23" s="10">
        <f>IF(O23="","",IF(O23="BUY",B23-K23*1.5,B23+K23*1.5))</f>
        <v/>
      </c>
      <c r="R23" s="10">
        <f>IF(O23="","",IF(O23="BUY",B23+K23*1.5,B23-K23*1.5))</f>
        <v/>
      </c>
      <c r="S23" s="10">
        <f>IF(O23="","",IF(O23="BUY",B23+K23*2,B23-K23*2))</f>
        <v/>
      </c>
      <c r="T23" s="10">
        <f>IF(O23="","",IF(O23="BUY",B23+K23*3,B23-K23*3))</f>
        <v/>
      </c>
      <c r="U23" s="7">
        <f>IF(OR(B23="",K23&lt;=0),"",IF(AND(B23&gt;E23,ABS(B23-E23)&lt;K23*0.5),"2ND","1ST"))</f>
        <v/>
      </c>
      <c r="V23" s="7">
        <f>IF(OR(B23="",K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3" s="7">
        <f>IF(OR(B23="",K23&lt;=0),"",IF(K23&gt;B23*0.05,"VOL-HIGH","VOL-NORMAL"))</f>
        <v/>
      </c>
      <c r="X23" s="7">
        <f>IF(OR(B23="",K23&lt;=0),"",IF(AND(L23="VOL-OK",W23="VOL-NORMAL",U23="2ND"),"OK","NG"))</f>
        <v/>
      </c>
      <c r="Y23" s="7">
        <f>IF(OR(B23="",K23&lt;=0),"",IF(AND(C23&gt;G23,D23&gt;H23),"UP",IF(AND(C23&lt;G23,D23&lt;H23),"DOWN","FLAT")))</f>
        <v/>
      </c>
    </row>
    <row r="24">
      <c r="A24" s="7">
        <f>IF('StockList_MS2'!A24="","",'StockList_MS2'!A24)</f>
        <v/>
      </c>
      <c r="B24" s="8" t="n"/>
      <c r="C24" s="8" t="n"/>
      <c r="D24" s="8" t="n"/>
      <c r="E24" s="8" t="n"/>
      <c r="F24" s="9" t="n"/>
      <c r="G24" s="8" t="n"/>
      <c r="H24" s="8" t="n"/>
      <c r="I24" s="8" t="n"/>
      <c r="J24" s="7">
        <f>IF(B24="","",IF(B24&gt;I24,"BUY-DAY","SELL-DAY"))</f>
        <v/>
      </c>
      <c r="K24" s="10">
        <f>IF(B24="","",MAX(C24-D24,ABS(C24-I24),ABS(D24-I24)))</f>
        <v/>
      </c>
      <c r="L24" s="7">
        <f>IF(B24="","",IF(AND(F24&gt;0,F24&gt;(F24/3)*2.5),"VOL-OK","VOL-NG"))</f>
        <v/>
      </c>
      <c r="M24" s="7">
        <f>IF(B24="","",IF(B24&gt;G24,"ON","OFF"))</f>
        <v/>
      </c>
      <c r="N24" s="7">
        <f>IF(B24="","",IF(B24&lt;H24,"ON","OFF"))</f>
        <v/>
      </c>
      <c r="O24" s="7">
        <f>IF(OR(B24="",K24&lt;=0),"",IF(AND(J24="BUY-DAY",L24="VOL-OK",N24="ON",X24="OK",Y24&lt;&gt;"DOWN"),"BUY",IF(AND(J24="SELL-DAY",L24="VOL-OK",M24="ON",X24="OK",Y24&lt;&gt;"UP"),"SELL","")))</f>
        <v/>
      </c>
      <c r="P24" s="10">
        <f>IF(O24="","",B24)</f>
        <v/>
      </c>
      <c r="Q24" s="10">
        <f>IF(O24="","",IF(O24="BUY",B24-K24*1.5,B24+K24*1.5))</f>
        <v/>
      </c>
      <c r="R24" s="10">
        <f>IF(O24="","",IF(O24="BUY",B24+K24*1.5,B24-K24*1.5))</f>
        <v/>
      </c>
      <c r="S24" s="10">
        <f>IF(O24="","",IF(O24="BUY",B24+K24*2,B24-K24*2))</f>
        <v/>
      </c>
      <c r="T24" s="10">
        <f>IF(O24="","",IF(O24="BUY",B24+K24*3,B24-K24*3))</f>
        <v/>
      </c>
      <c r="U24" s="7">
        <f>IF(OR(B24="",K24&lt;=0),"",IF(AND(B24&gt;E24,ABS(B24-E24)&lt;K24*0.5),"2ND","1ST"))</f>
        <v/>
      </c>
      <c r="V24" s="7">
        <f>IF(OR(B24="",K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4" s="7">
        <f>IF(OR(B24="",K24&lt;=0),"",IF(K24&gt;B24*0.05,"VOL-HIGH","VOL-NORMAL"))</f>
        <v/>
      </c>
      <c r="X24" s="7">
        <f>IF(OR(B24="",K24&lt;=0),"",IF(AND(L24="VOL-OK",W24="VOL-NORMAL",U24="2ND"),"OK","NG"))</f>
        <v/>
      </c>
      <c r="Y24" s="7">
        <f>IF(OR(B24="",K24&lt;=0),"",IF(AND(C24&gt;G24,D24&gt;H24),"UP",IF(AND(C24&lt;G24,D24&lt;H24),"DOWN","FLAT")))</f>
        <v/>
      </c>
    </row>
    <row r="25">
      <c r="A25" s="7">
        <f>IF('StockList_MS2'!A25="","",'StockList_MS2'!A25)</f>
        <v/>
      </c>
      <c r="B25" s="8" t="n"/>
      <c r="C25" s="8" t="n"/>
      <c r="D25" s="8" t="n"/>
      <c r="E25" s="8" t="n"/>
      <c r="F25" s="9" t="n"/>
      <c r="G25" s="8" t="n"/>
      <c r="H25" s="8" t="n"/>
      <c r="I25" s="8" t="n"/>
      <c r="J25" s="7">
        <f>IF(B25="","",IF(B25&gt;I25,"BUY-DAY","SELL-DAY"))</f>
        <v/>
      </c>
      <c r="K25" s="10">
        <f>IF(B25="","",MAX(C25-D25,ABS(C25-I25),ABS(D25-I25)))</f>
        <v/>
      </c>
      <c r="L25" s="7">
        <f>IF(B25="","",IF(AND(F25&gt;0,F25&gt;(F25/3)*2.5),"VOL-OK","VOL-NG"))</f>
        <v/>
      </c>
      <c r="M25" s="7">
        <f>IF(B25="","",IF(B25&gt;G25,"ON","OFF"))</f>
        <v/>
      </c>
      <c r="N25" s="7">
        <f>IF(B25="","",IF(B25&lt;H25,"ON","OFF"))</f>
        <v/>
      </c>
      <c r="O25" s="7">
        <f>IF(OR(B25="",K25&lt;=0),"",IF(AND(J25="BUY-DAY",L25="VOL-OK",N25="ON",X25="OK",Y25&lt;&gt;"DOWN"),"BUY",IF(AND(J25="SELL-DAY",L25="VOL-OK",M25="ON",X25="OK",Y25&lt;&gt;"UP"),"SELL","")))</f>
        <v/>
      </c>
      <c r="P25" s="10">
        <f>IF(O25="","",B25)</f>
        <v/>
      </c>
      <c r="Q25" s="10">
        <f>IF(O25="","",IF(O25="BUY",B25-K25*1.5,B25+K25*1.5))</f>
        <v/>
      </c>
      <c r="R25" s="10">
        <f>IF(O25="","",IF(O25="BUY",B25+K25*1.5,B25-K25*1.5))</f>
        <v/>
      </c>
      <c r="S25" s="10">
        <f>IF(O25="","",IF(O25="BUY",B25+K25*2,B25-K25*2))</f>
        <v/>
      </c>
      <c r="T25" s="10">
        <f>IF(O25="","",IF(O25="BUY",B25+K25*3,B25-K25*3))</f>
        <v/>
      </c>
      <c r="U25" s="7">
        <f>IF(OR(B25="",K25&lt;=0),"",IF(AND(B25&gt;E25,ABS(B25-E25)&lt;K25*0.5),"2ND","1ST"))</f>
        <v/>
      </c>
      <c r="V25" s="7">
        <f>IF(OR(B25="",K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5" s="7">
        <f>IF(OR(B25="",K25&lt;=0),"",IF(K25&gt;B25*0.05,"VOL-HIGH","VOL-NORMAL"))</f>
        <v/>
      </c>
      <c r="X25" s="7">
        <f>IF(OR(B25="",K25&lt;=0),"",IF(AND(L25="VOL-OK",W25="VOL-NORMAL",U25="2ND"),"OK","NG"))</f>
        <v/>
      </c>
      <c r="Y25" s="7">
        <f>IF(OR(B25="",K25&lt;=0),"",IF(AND(C25&gt;G25,D25&gt;H25),"UP",IF(AND(C25&lt;G25,D25&lt;H25),"DOWN","FLAT")))</f>
        <v/>
      </c>
    </row>
    <row r="26">
      <c r="A26" s="7">
        <f>IF('StockList_MS2'!A26="","",'StockList_MS2'!A26)</f>
        <v/>
      </c>
      <c r="B26" s="8" t="n"/>
      <c r="C26" s="8" t="n"/>
      <c r="D26" s="8" t="n"/>
      <c r="E26" s="8" t="n"/>
      <c r="F26" s="9" t="n"/>
      <c r="G26" s="8" t="n"/>
      <c r="H26" s="8" t="n"/>
      <c r="I26" s="8" t="n"/>
      <c r="J26" s="7">
        <f>IF(B26="","",IF(B26&gt;I26,"BUY-DAY","SELL-DAY"))</f>
        <v/>
      </c>
      <c r="K26" s="10">
        <f>IF(B26="","",MAX(C26-D26,ABS(C26-I26),ABS(D26-I26)))</f>
        <v/>
      </c>
      <c r="L26" s="7">
        <f>IF(B26="","",IF(AND(F26&gt;0,F26&gt;(F26/3)*2.5),"VOL-OK","VOL-NG"))</f>
        <v/>
      </c>
      <c r="M26" s="7">
        <f>IF(B26="","",IF(B26&gt;G26,"ON","OFF"))</f>
        <v/>
      </c>
      <c r="N26" s="7">
        <f>IF(B26="","",IF(B26&lt;H26,"ON","OFF"))</f>
        <v/>
      </c>
      <c r="O26" s="7">
        <f>IF(OR(B26="",K26&lt;=0),"",IF(AND(J26="BUY-DAY",L26="VOL-OK",N26="ON",X26="OK",Y26&lt;&gt;"DOWN"),"BUY",IF(AND(J26="SELL-DAY",L26="VOL-OK",M26="ON",X26="OK",Y26&lt;&gt;"UP"),"SELL","")))</f>
        <v/>
      </c>
      <c r="P26" s="10">
        <f>IF(O26="","",B26)</f>
        <v/>
      </c>
      <c r="Q26" s="10">
        <f>IF(O26="","",IF(O26="BUY",B26-K26*1.5,B26+K26*1.5))</f>
        <v/>
      </c>
      <c r="R26" s="10">
        <f>IF(O26="","",IF(O26="BUY",B26+K26*1.5,B26-K26*1.5))</f>
        <v/>
      </c>
      <c r="S26" s="10">
        <f>IF(O26="","",IF(O26="BUY",B26+K26*2,B26-K26*2))</f>
        <v/>
      </c>
      <c r="T26" s="10">
        <f>IF(O26="","",IF(O26="BUY",B26+K26*3,B26-K26*3))</f>
        <v/>
      </c>
      <c r="U26" s="7">
        <f>IF(OR(B26="",K26&lt;=0),"",IF(AND(B26&gt;E26,ABS(B26-E26)&lt;K26*0.5),"2ND","1ST"))</f>
        <v/>
      </c>
      <c r="V26" s="7">
        <f>IF(OR(B26="",K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6" s="7">
        <f>IF(OR(B26="",K26&lt;=0),"",IF(K26&gt;B26*0.05,"VOL-HIGH","VOL-NORMAL"))</f>
        <v/>
      </c>
      <c r="X26" s="7">
        <f>IF(OR(B26="",K26&lt;=0),"",IF(AND(L26="VOL-OK",W26="VOL-NORMAL",U26="2ND"),"OK","NG"))</f>
        <v/>
      </c>
      <c r="Y26" s="7">
        <f>IF(OR(B26="",K26&lt;=0),"",IF(AND(C26&gt;G26,D26&gt;H26),"UP",IF(AND(C26&lt;G26,D26&lt;H26),"DOWN","FLAT")))</f>
        <v/>
      </c>
    </row>
    <row r="27">
      <c r="A27" s="7">
        <f>IF('StockList_MS2'!A27="","",'StockList_MS2'!A27)</f>
        <v/>
      </c>
      <c r="B27" s="8" t="n"/>
      <c r="C27" s="8" t="n"/>
      <c r="D27" s="8" t="n"/>
      <c r="E27" s="8" t="n"/>
      <c r="F27" s="9" t="n"/>
      <c r="G27" s="8" t="n"/>
      <c r="H27" s="8" t="n"/>
      <c r="I27" s="8" t="n"/>
      <c r="J27" s="7">
        <f>IF(B27="","",IF(B27&gt;I27,"BUY-DAY","SELL-DAY"))</f>
        <v/>
      </c>
      <c r="K27" s="10">
        <f>IF(B27="","",MAX(C27-D27,ABS(C27-I27),ABS(D27-I27)))</f>
        <v/>
      </c>
      <c r="L27" s="7">
        <f>IF(B27="","",IF(AND(F27&gt;0,F27&gt;(F27/3)*2.5),"VOL-OK","VOL-NG"))</f>
        <v/>
      </c>
      <c r="M27" s="7">
        <f>IF(B27="","",IF(B27&gt;G27,"ON","OFF"))</f>
        <v/>
      </c>
      <c r="N27" s="7">
        <f>IF(B27="","",IF(B27&lt;H27,"ON","OFF"))</f>
        <v/>
      </c>
      <c r="O27" s="7">
        <f>IF(OR(B27="",K27&lt;=0),"",IF(AND(J27="BUY-DAY",L27="VOL-OK",N27="ON",X27="OK",Y27&lt;&gt;"DOWN"),"BUY",IF(AND(J27="SELL-DAY",L27="VOL-OK",M27="ON",X27="OK",Y27&lt;&gt;"UP"),"SELL","")))</f>
        <v/>
      </c>
      <c r="P27" s="10">
        <f>IF(O27="","",B27)</f>
        <v/>
      </c>
      <c r="Q27" s="10">
        <f>IF(O27="","",IF(O27="BUY",B27-K27*1.5,B27+K27*1.5))</f>
        <v/>
      </c>
      <c r="R27" s="10">
        <f>IF(O27="","",IF(O27="BUY",B27+K27*1.5,B27-K27*1.5))</f>
        <v/>
      </c>
      <c r="S27" s="10">
        <f>IF(O27="","",IF(O27="BUY",B27+K27*2,B27-K27*2))</f>
        <v/>
      </c>
      <c r="T27" s="10">
        <f>IF(O27="","",IF(O27="BUY",B27+K27*3,B27-K27*3))</f>
        <v/>
      </c>
      <c r="U27" s="7">
        <f>IF(OR(B27="",K27&lt;=0),"",IF(AND(B27&gt;E27,ABS(B27-E27)&lt;K27*0.5),"2ND","1ST"))</f>
        <v/>
      </c>
      <c r="V27" s="7">
        <f>IF(OR(B27="",K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7" s="7">
        <f>IF(OR(B27="",K27&lt;=0),"",IF(K27&gt;B27*0.05,"VOL-HIGH","VOL-NORMAL"))</f>
        <v/>
      </c>
      <c r="X27" s="7">
        <f>IF(OR(B27="",K27&lt;=0),"",IF(AND(L27="VOL-OK",W27="VOL-NORMAL",U27="2ND"),"OK","NG"))</f>
        <v/>
      </c>
      <c r="Y27" s="7">
        <f>IF(OR(B27="",K27&lt;=0),"",IF(AND(C27&gt;G27,D27&gt;H27),"UP",IF(AND(C27&lt;G27,D27&lt;H27),"DOWN","FLAT")))</f>
        <v/>
      </c>
    </row>
    <row r="28">
      <c r="A28" s="7">
        <f>IF('StockList_MS2'!A28="","",'StockList_MS2'!A28)</f>
        <v/>
      </c>
      <c r="B28" s="8" t="n"/>
      <c r="C28" s="8" t="n"/>
      <c r="D28" s="8" t="n"/>
      <c r="E28" s="8" t="n"/>
      <c r="F28" s="9" t="n"/>
      <c r="G28" s="8" t="n"/>
      <c r="H28" s="8" t="n"/>
      <c r="I28" s="8" t="n"/>
      <c r="J28" s="7">
        <f>IF(B28="","",IF(B28&gt;I28,"BUY-DAY","SELL-DAY"))</f>
        <v/>
      </c>
      <c r="K28" s="10">
        <f>IF(B28="","",MAX(C28-D28,ABS(C28-I28),ABS(D28-I28)))</f>
        <v/>
      </c>
      <c r="L28" s="7">
        <f>IF(B28="","",IF(AND(F28&gt;0,F28&gt;(F28/3)*2.5),"VOL-OK","VOL-NG"))</f>
        <v/>
      </c>
      <c r="M28" s="7">
        <f>IF(B28="","",IF(B28&gt;G28,"ON","OFF"))</f>
        <v/>
      </c>
      <c r="N28" s="7">
        <f>IF(B28="","",IF(B28&lt;H28,"ON","OFF"))</f>
        <v/>
      </c>
      <c r="O28" s="7">
        <f>IF(OR(B28="",K28&lt;=0),"",IF(AND(J28="BUY-DAY",L28="VOL-OK",N28="ON",X28="OK",Y28&lt;&gt;"DOWN"),"BUY",IF(AND(J28="SELL-DAY",L28="VOL-OK",M28="ON",X28="OK",Y28&lt;&gt;"UP"),"SELL","")))</f>
        <v/>
      </c>
      <c r="P28" s="10">
        <f>IF(O28="","",B28)</f>
        <v/>
      </c>
      <c r="Q28" s="10">
        <f>IF(O28="","",IF(O28="BUY",B28-K28*1.5,B28+K28*1.5))</f>
        <v/>
      </c>
      <c r="R28" s="10">
        <f>IF(O28="","",IF(O28="BUY",B28+K28*1.5,B28-K28*1.5))</f>
        <v/>
      </c>
      <c r="S28" s="10">
        <f>IF(O28="","",IF(O28="BUY",B28+K28*2,B28-K28*2))</f>
        <v/>
      </c>
      <c r="T28" s="10">
        <f>IF(O28="","",IF(O28="BUY",B28+K28*3,B28-K28*3))</f>
        <v/>
      </c>
      <c r="U28" s="7">
        <f>IF(OR(B28="",K28&lt;=0),"",IF(AND(B28&gt;E28,ABS(B28-E28)&lt;K28*0.5),"2ND","1ST"))</f>
        <v/>
      </c>
      <c r="V28" s="7">
        <f>IF(OR(B28="",K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8" s="7">
        <f>IF(OR(B28="",K28&lt;=0),"",IF(K28&gt;B28*0.05,"VOL-HIGH","VOL-NORMAL"))</f>
        <v/>
      </c>
      <c r="X28" s="7">
        <f>IF(OR(B28="",K28&lt;=0),"",IF(AND(L28="VOL-OK",W28="VOL-NORMAL",U28="2ND"),"OK","NG"))</f>
        <v/>
      </c>
      <c r="Y28" s="7">
        <f>IF(OR(B28="",K28&lt;=0),"",IF(AND(C28&gt;G28,D28&gt;H28),"UP",IF(AND(C28&lt;G28,D28&lt;H28),"DOWN","FLAT")))</f>
        <v/>
      </c>
    </row>
    <row r="29">
      <c r="A29" s="7">
        <f>IF('StockList_MS2'!A29="","",'StockList_MS2'!A29)</f>
        <v/>
      </c>
      <c r="B29" s="8" t="n"/>
      <c r="C29" s="8" t="n"/>
      <c r="D29" s="8" t="n"/>
      <c r="E29" s="8" t="n"/>
      <c r="F29" s="9" t="n"/>
      <c r="G29" s="8" t="n"/>
      <c r="H29" s="8" t="n"/>
      <c r="I29" s="8" t="n"/>
      <c r="J29" s="7">
        <f>IF(B29="","",IF(B29&gt;I29,"BUY-DAY","SELL-DAY"))</f>
        <v/>
      </c>
      <c r="K29" s="10">
        <f>IF(B29="","",MAX(C29-D29,ABS(C29-I29),ABS(D29-I29)))</f>
        <v/>
      </c>
      <c r="L29" s="7">
        <f>IF(B29="","",IF(AND(F29&gt;0,F29&gt;(F29/3)*2.5),"VOL-OK","VOL-NG"))</f>
        <v/>
      </c>
      <c r="M29" s="7">
        <f>IF(B29="","",IF(B29&gt;G29,"ON","OFF"))</f>
        <v/>
      </c>
      <c r="N29" s="7">
        <f>IF(B29="","",IF(B29&lt;H29,"ON","OFF"))</f>
        <v/>
      </c>
      <c r="O29" s="7">
        <f>IF(OR(B29="",K29&lt;=0),"",IF(AND(J29="BUY-DAY",L29="VOL-OK",N29="ON",X29="OK",Y29&lt;&gt;"DOWN"),"BUY",IF(AND(J29="SELL-DAY",L29="VOL-OK",M29="ON",X29="OK",Y29&lt;&gt;"UP"),"SELL","")))</f>
        <v/>
      </c>
      <c r="P29" s="10">
        <f>IF(O29="","",B29)</f>
        <v/>
      </c>
      <c r="Q29" s="10">
        <f>IF(O29="","",IF(O29="BUY",B29-K29*1.5,B29+K29*1.5))</f>
        <v/>
      </c>
      <c r="R29" s="10">
        <f>IF(O29="","",IF(O29="BUY",B29+K29*1.5,B29-K29*1.5))</f>
        <v/>
      </c>
      <c r="S29" s="10">
        <f>IF(O29="","",IF(O29="BUY",B29+K29*2,B29-K29*2))</f>
        <v/>
      </c>
      <c r="T29" s="10">
        <f>IF(O29="","",IF(O29="BUY",B29+K29*3,B29-K29*3))</f>
        <v/>
      </c>
      <c r="U29" s="7">
        <f>IF(OR(B29="",K29&lt;=0),"",IF(AND(B29&gt;E29,ABS(B29-E29)&lt;K29*0.5),"2ND","1ST"))</f>
        <v/>
      </c>
      <c r="V29" s="7">
        <f>IF(OR(B29="",K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29" s="7">
        <f>IF(OR(B29="",K29&lt;=0),"",IF(K29&gt;B29*0.05,"VOL-HIGH","VOL-NORMAL"))</f>
        <v/>
      </c>
      <c r="X29" s="7">
        <f>IF(OR(B29="",K29&lt;=0),"",IF(AND(L29="VOL-OK",W29="VOL-NORMAL",U29="2ND"),"OK","NG"))</f>
        <v/>
      </c>
      <c r="Y29" s="7">
        <f>IF(OR(B29="",K29&lt;=0),"",IF(AND(C29&gt;G29,D29&gt;H29),"UP",IF(AND(C29&lt;G29,D29&lt;H29),"DOWN","FLAT")))</f>
        <v/>
      </c>
    </row>
    <row r="30">
      <c r="A30" s="7">
        <f>IF('StockList_MS2'!A30="","",'StockList_MS2'!A30)</f>
        <v/>
      </c>
      <c r="B30" s="8" t="n"/>
      <c r="C30" s="8" t="n"/>
      <c r="D30" s="8" t="n"/>
      <c r="E30" s="8" t="n"/>
      <c r="F30" s="9" t="n"/>
      <c r="G30" s="8" t="n"/>
      <c r="H30" s="8" t="n"/>
      <c r="I30" s="8" t="n"/>
      <c r="J30" s="7">
        <f>IF(B30="","",IF(B30&gt;I30,"BUY-DAY","SELL-DAY"))</f>
        <v/>
      </c>
      <c r="K30" s="10">
        <f>IF(B30="","",MAX(C30-D30,ABS(C30-I30),ABS(D30-I30)))</f>
        <v/>
      </c>
      <c r="L30" s="7">
        <f>IF(B30="","",IF(AND(F30&gt;0,F30&gt;(F30/3)*2.5),"VOL-OK","VOL-NG"))</f>
        <v/>
      </c>
      <c r="M30" s="7">
        <f>IF(B30="","",IF(B30&gt;G30,"ON","OFF"))</f>
        <v/>
      </c>
      <c r="N30" s="7">
        <f>IF(B30="","",IF(B30&lt;H30,"ON","OFF"))</f>
        <v/>
      </c>
      <c r="O30" s="7">
        <f>IF(OR(B30="",K30&lt;=0),"",IF(AND(J30="BUY-DAY",L30="VOL-OK",N30="ON",X30="OK",Y30&lt;&gt;"DOWN"),"BUY",IF(AND(J30="SELL-DAY",L30="VOL-OK",M30="ON",X30="OK",Y30&lt;&gt;"UP"),"SELL","")))</f>
        <v/>
      </c>
      <c r="P30" s="10">
        <f>IF(O30="","",B30)</f>
        <v/>
      </c>
      <c r="Q30" s="10">
        <f>IF(O30="","",IF(O30="BUY",B30-K30*1.5,B30+K30*1.5))</f>
        <v/>
      </c>
      <c r="R30" s="10">
        <f>IF(O30="","",IF(O30="BUY",B30+K30*1.5,B30-K30*1.5))</f>
        <v/>
      </c>
      <c r="S30" s="10">
        <f>IF(O30="","",IF(O30="BUY",B30+K30*2,B30-K30*2))</f>
        <v/>
      </c>
      <c r="T30" s="10">
        <f>IF(O30="","",IF(O30="BUY",B30+K30*3,B30-K30*3))</f>
        <v/>
      </c>
      <c r="U30" s="7">
        <f>IF(OR(B30="",K30&lt;=0),"",IF(AND(B30&gt;E30,ABS(B30-E30)&lt;K30*0.5),"2ND","1ST"))</f>
        <v/>
      </c>
      <c r="V30" s="7">
        <f>IF(OR(B30="",K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0" s="7">
        <f>IF(OR(B30="",K30&lt;=0),"",IF(K30&gt;B30*0.05,"VOL-HIGH","VOL-NORMAL"))</f>
        <v/>
      </c>
      <c r="X30" s="7">
        <f>IF(OR(B30="",K30&lt;=0),"",IF(AND(L30="VOL-OK",W30="VOL-NORMAL",U30="2ND"),"OK","NG"))</f>
        <v/>
      </c>
      <c r="Y30" s="7">
        <f>IF(OR(B30="",K30&lt;=0),"",IF(AND(C30&gt;G30,D30&gt;H30),"UP",IF(AND(C30&lt;G30,D30&lt;H30),"DOWN","FLAT")))</f>
        <v/>
      </c>
    </row>
    <row r="31">
      <c r="A31" s="7">
        <f>IF('StockList_MS2'!A31="","",'StockList_MS2'!A31)</f>
        <v/>
      </c>
      <c r="B31" s="8" t="n"/>
      <c r="C31" s="8" t="n"/>
      <c r="D31" s="8" t="n"/>
      <c r="E31" s="8" t="n"/>
      <c r="F31" s="9" t="n"/>
      <c r="G31" s="8" t="n"/>
      <c r="H31" s="8" t="n"/>
      <c r="I31" s="8" t="n"/>
      <c r="J31" s="7">
        <f>IF(B31="","",IF(B31&gt;I31,"BUY-DAY","SELL-DAY"))</f>
        <v/>
      </c>
      <c r="K31" s="10">
        <f>IF(B31="","",MAX(C31-D31,ABS(C31-I31),ABS(D31-I31)))</f>
        <v/>
      </c>
      <c r="L31" s="7">
        <f>IF(B31="","",IF(AND(F31&gt;0,F31&gt;(F31/3)*2.5),"VOL-OK","VOL-NG"))</f>
        <v/>
      </c>
      <c r="M31" s="7">
        <f>IF(B31="","",IF(B31&gt;G31,"ON","OFF"))</f>
        <v/>
      </c>
      <c r="N31" s="7">
        <f>IF(B31="","",IF(B31&lt;H31,"ON","OFF"))</f>
        <v/>
      </c>
      <c r="O31" s="7">
        <f>IF(OR(B31="",K31&lt;=0),"",IF(AND(J31="BUY-DAY",L31="VOL-OK",N31="ON",X31="OK",Y31&lt;&gt;"DOWN"),"BUY",IF(AND(J31="SELL-DAY",L31="VOL-OK",M31="ON",X31="OK",Y31&lt;&gt;"UP"),"SELL","")))</f>
        <v/>
      </c>
      <c r="P31" s="10">
        <f>IF(O31="","",B31)</f>
        <v/>
      </c>
      <c r="Q31" s="10">
        <f>IF(O31="","",IF(O31="BUY",B31-K31*1.5,B31+K31*1.5))</f>
        <v/>
      </c>
      <c r="R31" s="10">
        <f>IF(O31="","",IF(O31="BUY",B31+K31*1.5,B31-K31*1.5))</f>
        <v/>
      </c>
      <c r="S31" s="10">
        <f>IF(O31="","",IF(O31="BUY",B31+K31*2,B31-K31*2))</f>
        <v/>
      </c>
      <c r="T31" s="10">
        <f>IF(O31="","",IF(O31="BUY",B31+K31*3,B31-K31*3))</f>
        <v/>
      </c>
      <c r="U31" s="7">
        <f>IF(OR(B31="",K31&lt;=0),"",IF(AND(B31&gt;E31,ABS(B31-E31)&lt;K31*0.5),"2ND","1ST"))</f>
        <v/>
      </c>
      <c r="V31" s="7">
        <f>IF(OR(B31="",K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1" s="7">
        <f>IF(OR(B31="",K31&lt;=0),"",IF(K31&gt;B31*0.05,"VOL-HIGH","VOL-NORMAL"))</f>
        <v/>
      </c>
      <c r="X31" s="7">
        <f>IF(OR(B31="",K31&lt;=0),"",IF(AND(L31="VOL-OK",W31="VOL-NORMAL",U31="2ND"),"OK","NG"))</f>
        <v/>
      </c>
      <c r="Y31" s="7">
        <f>IF(OR(B31="",K31&lt;=0),"",IF(AND(C31&gt;G31,D31&gt;H31),"UP",IF(AND(C31&lt;G31,D31&lt;H31),"DOWN","FLAT")))</f>
        <v/>
      </c>
    </row>
    <row r="32">
      <c r="A32" s="7">
        <f>IF('StockList_MS2'!A32="","",'StockList_MS2'!A32)</f>
        <v/>
      </c>
      <c r="B32" s="8" t="n"/>
      <c r="C32" s="8" t="n"/>
      <c r="D32" s="8" t="n"/>
      <c r="E32" s="8" t="n"/>
      <c r="F32" s="9" t="n"/>
      <c r="G32" s="8" t="n"/>
      <c r="H32" s="8" t="n"/>
      <c r="I32" s="8" t="n"/>
      <c r="J32" s="7">
        <f>IF(B32="","",IF(B32&gt;I32,"BUY-DAY","SELL-DAY"))</f>
        <v/>
      </c>
      <c r="K32" s="10">
        <f>IF(B32="","",MAX(C32-D32,ABS(C32-I32),ABS(D32-I32)))</f>
        <v/>
      </c>
      <c r="L32" s="7">
        <f>IF(B32="","",IF(AND(F32&gt;0,F32&gt;(F32/3)*2.5),"VOL-OK","VOL-NG"))</f>
        <v/>
      </c>
      <c r="M32" s="7">
        <f>IF(B32="","",IF(B32&gt;G32,"ON","OFF"))</f>
        <v/>
      </c>
      <c r="N32" s="7">
        <f>IF(B32="","",IF(B32&lt;H32,"ON","OFF"))</f>
        <v/>
      </c>
      <c r="O32" s="7">
        <f>IF(OR(B32="",K32&lt;=0),"",IF(AND(J32="BUY-DAY",L32="VOL-OK",N32="ON",X32="OK",Y32&lt;&gt;"DOWN"),"BUY",IF(AND(J32="SELL-DAY",L32="VOL-OK",M32="ON",X32="OK",Y32&lt;&gt;"UP"),"SELL","")))</f>
        <v/>
      </c>
      <c r="P32" s="10">
        <f>IF(O32="","",B32)</f>
        <v/>
      </c>
      <c r="Q32" s="10">
        <f>IF(O32="","",IF(O32="BUY",B32-K32*1.5,B32+K32*1.5))</f>
        <v/>
      </c>
      <c r="R32" s="10">
        <f>IF(O32="","",IF(O32="BUY",B32+K32*1.5,B32-K32*1.5))</f>
        <v/>
      </c>
      <c r="S32" s="10">
        <f>IF(O32="","",IF(O32="BUY",B32+K32*2,B32-K32*2))</f>
        <v/>
      </c>
      <c r="T32" s="10">
        <f>IF(O32="","",IF(O32="BUY",B32+K32*3,B32-K32*3))</f>
        <v/>
      </c>
      <c r="U32" s="7">
        <f>IF(OR(B32="",K32&lt;=0),"",IF(AND(B32&gt;E32,ABS(B32-E32)&lt;K32*0.5),"2ND","1ST"))</f>
        <v/>
      </c>
      <c r="V32" s="7">
        <f>IF(OR(B32="",K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2" s="7">
        <f>IF(OR(B32="",K32&lt;=0),"",IF(K32&gt;B32*0.05,"VOL-HIGH","VOL-NORMAL"))</f>
        <v/>
      </c>
      <c r="X32" s="7">
        <f>IF(OR(B32="",K32&lt;=0),"",IF(AND(L32="VOL-OK",W32="VOL-NORMAL",U32="2ND"),"OK","NG"))</f>
        <v/>
      </c>
      <c r="Y32" s="7">
        <f>IF(OR(B32="",K32&lt;=0),"",IF(AND(C32&gt;G32,D32&gt;H32),"UP",IF(AND(C32&lt;G32,D32&lt;H32),"DOWN","FLAT")))</f>
        <v/>
      </c>
    </row>
    <row r="33">
      <c r="A33" s="7">
        <f>IF('StockList_MS2'!A33="","",'StockList_MS2'!A33)</f>
        <v/>
      </c>
      <c r="B33" s="8" t="n"/>
      <c r="C33" s="8" t="n"/>
      <c r="D33" s="8" t="n"/>
      <c r="E33" s="8" t="n"/>
      <c r="F33" s="9" t="n"/>
      <c r="G33" s="8" t="n"/>
      <c r="H33" s="8" t="n"/>
      <c r="I33" s="8" t="n"/>
      <c r="J33" s="7">
        <f>IF(B33="","",IF(B33&gt;I33,"BUY-DAY","SELL-DAY"))</f>
        <v/>
      </c>
      <c r="K33" s="10">
        <f>IF(B33="","",MAX(C33-D33,ABS(C33-I33),ABS(D33-I33)))</f>
        <v/>
      </c>
      <c r="L33" s="7">
        <f>IF(B33="","",IF(AND(F33&gt;0,F33&gt;(F33/3)*2.5),"VOL-OK","VOL-NG"))</f>
        <v/>
      </c>
      <c r="M33" s="7">
        <f>IF(B33="","",IF(B33&gt;G33,"ON","OFF"))</f>
        <v/>
      </c>
      <c r="N33" s="7">
        <f>IF(B33="","",IF(B33&lt;H33,"ON","OFF"))</f>
        <v/>
      </c>
      <c r="O33" s="7">
        <f>IF(OR(B33="",K33&lt;=0),"",IF(AND(J33="BUY-DAY",L33="VOL-OK",N33="ON",X33="OK",Y33&lt;&gt;"DOWN"),"BUY",IF(AND(J33="SELL-DAY",L33="VOL-OK",M33="ON",X33="OK",Y33&lt;&gt;"UP"),"SELL","")))</f>
        <v/>
      </c>
      <c r="P33" s="10">
        <f>IF(O33="","",B33)</f>
        <v/>
      </c>
      <c r="Q33" s="10">
        <f>IF(O33="","",IF(O33="BUY",B33-K33*1.5,B33+K33*1.5))</f>
        <v/>
      </c>
      <c r="R33" s="10">
        <f>IF(O33="","",IF(O33="BUY",B33+K33*1.5,B33-K33*1.5))</f>
        <v/>
      </c>
      <c r="S33" s="10">
        <f>IF(O33="","",IF(O33="BUY",B33+K33*2,B33-K33*2))</f>
        <v/>
      </c>
      <c r="T33" s="10">
        <f>IF(O33="","",IF(O33="BUY",B33+K33*3,B33-K33*3))</f>
        <v/>
      </c>
      <c r="U33" s="7">
        <f>IF(OR(B33="",K33&lt;=0),"",IF(AND(B33&gt;E33,ABS(B33-E33)&lt;K33*0.5),"2ND","1ST"))</f>
        <v/>
      </c>
      <c r="V33" s="7">
        <f>IF(OR(B33="",K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3" s="7">
        <f>IF(OR(B33="",K33&lt;=0),"",IF(K33&gt;B33*0.05,"VOL-HIGH","VOL-NORMAL"))</f>
        <v/>
      </c>
      <c r="X33" s="7">
        <f>IF(OR(B33="",K33&lt;=0),"",IF(AND(L33="VOL-OK",W33="VOL-NORMAL",U33="2ND"),"OK","NG"))</f>
        <v/>
      </c>
      <c r="Y33" s="7">
        <f>IF(OR(B33="",K33&lt;=0),"",IF(AND(C33&gt;G33,D33&gt;H33),"UP",IF(AND(C33&lt;G33,D33&lt;H33),"DOWN","FLAT")))</f>
        <v/>
      </c>
    </row>
    <row r="34">
      <c r="A34" s="7">
        <f>IF('StockList_MS2'!A34="","",'StockList_MS2'!A34)</f>
        <v/>
      </c>
      <c r="B34" s="8" t="n"/>
      <c r="C34" s="8" t="n"/>
      <c r="D34" s="8" t="n"/>
      <c r="E34" s="8" t="n"/>
      <c r="F34" s="9" t="n"/>
      <c r="G34" s="8" t="n"/>
      <c r="H34" s="8" t="n"/>
      <c r="I34" s="8" t="n"/>
      <c r="J34" s="7">
        <f>IF(B34="","",IF(B34&gt;I34,"BUY-DAY","SELL-DAY"))</f>
        <v/>
      </c>
      <c r="K34" s="10">
        <f>IF(B34="","",MAX(C34-D34,ABS(C34-I34),ABS(D34-I34)))</f>
        <v/>
      </c>
      <c r="L34" s="7">
        <f>IF(B34="","",IF(AND(F34&gt;0,F34&gt;(F34/3)*2.5),"VOL-OK","VOL-NG"))</f>
        <v/>
      </c>
      <c r="M34" s="7">
        <f>IF(B34="","",IF(B34&gt;G34,"ON","OFF"))</f>
        <v/>
      </c>
      <c r="N34" s="7">
        <f>IF(B34="","",IF(B34&lt;H34,"ON","OFF"))</f>
        <v/>
      </c>
      <c r="O34" s="7">
        <f>IF(OR(B34="",K34&lt;=0),"",IF(AND(J34="BUY-DAY",L34="VOL-OK",N34="ON",X34="OK",Y34&lt;&gt;"DOWN"),"BUY",IF(AND(J34="SELL-DAY",L34="VOL-OK",M34="ON",X34="OK",Y34&lt;&gt;"UP"),"SELL","")))</f>
        <v/>
      </c>
      <c r="P34" s="10">
        <f>IF(O34="","",B34)</f>
        <v/>
      </c>
      <c r="Q34" s="10">
        <f>IF(O34="","",IF(O34="BUY",B34-K34*1.5,B34+K34*1.5))</f>
        <v/>
      </c>
      <c r="R34" s="10">
        <f>IF(O34="","",IF(O34="BUY",B34+K34*1.5,B34-K34*1.5))</f>
        <v/>
      </c>
      <c r="S34" s="10">
        <f>IF(O34="","",IF(O34="BUY",B34+K34*2,B34-K34*2))</f>
        <v/>
      </c>
      <c r="T34" s="10">
        <f>IF(O34="","",IF(O34="BUY",B34+K34*3,B34-K34*3))</f>
        <v/>
      </c>
      <c r="U34" s="7">
        <f>IF(OR(B34="",K34&lt;=0),"",IF(AND(B34&gt;E34,ABS(B34-E34)&lt;K34*0.5),"2ND","1ST"))</f>
        <v/>
      </c>
      <c r="V34" s="7">
        <f>IF(OR(B34="",K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4" s="7">
        <f>IF(OR(B34="",K34&lt;=0),"",IF(K34&gt;B34*0.05,"VOL-HIGH","VOL-NORMAL"))</f>
        <v/>
      </c>
      <c r="X34" s="7">
        <f>IF(OR(B34="",K34&lt;=0),"",IF(AND(L34="VOL-OK",W34="VOL-NORMAL",U34="2ND"),"OK","NG"))</f>
        <v/>
      </c>
      <c r="Y34" s="7">
        <f>IF(OR(B34="",K34&lt;=0),"",IF(AND(C34&gt;G34,D34&gt;H34),"UP",IF(AND(C34&lt;G34,D34&lt;H34),"DOWN","FLAT")))</f>
        <v/>
      </c>
    </row>
    <row r="35">
      <c r="A35" s="7">
        <f>IF('StockList_MS2'!A35="","",'StockList_MS2'!A35)</f>
        <v/>
      </c>
      <c r="B35" s="8" t="n"/>
      <c r="C35" s="8" t="n"/>
      <c r="D35" s="8" t="n"/>
      <c r="E35" s="8" t="n"/>
      <c r="F35" s="9" t="n"/>
      <c r="G35" s="8" t="n"/>
      <c r="H35" s="8" t="n"/>
      <c r="I35" s="8" t="n"/>
      <c r="J35" s="7">
        <f>IF(B35="","",IF(B35&gt;I35,"BUY-DAY","SELL-DAY"))</f>
        <v/>
      </c>
      <c r="K35" s="10">
        <f>IF(B35="","",MAX(C35-D35,ABS(C35-I35),ABS(D35-I35)))</f>
        <v/>
      </c>
      <c r="L35" s="7">
        <f>IF(B35="","",IF(AND(F35&gt;0,F35&gt;(F35/3)*2.5),"VOL-OK","VOL-NG"))</f>
        <v/>
      </c>
      <c r="M35" s="7">
        <f>IF(B35="","",IF(B35&gt;G35,"ON","OFF"))</f>
        <v/>
      </c>
      <c r="N35" s="7">
        <f>IF(B35="","",IF(B35&lt;H35,"ON","OFF"))</f>
        <v/>
      </c>
      <c r="O35" s="7">
        <f>IF(OR(B35="",K35&lt;=0),"",IF(AND(J35="BUY-DAY",L35="VOL-OK",N35="ON",X35="OK",Y35&lt;&gt;"DOWN"),"BUY",IF(AND(J35="SELL-DAY",L35="VOL-OK",M35="ON",X35="OK",Y35&lt;&gt;"UP"),"SELL","")))</f>
        <v/>
      </c>
      <c r="P35" s="10">
        <f>IF(O35="","",B35)</f>
        <v/>
      </c>
      <c r="Q35" s="10">
        <f>IF(O35="","",IF(O35="BUY",B35-K35*1.5,B35+K35*1.5))</f>
        <v/>
      </c>
      <c r="R35" s="10">
        <f>IF(O35="","",IF(O35="BUY",B35+K35*1.5,B35-K35*1.5))</f>
        <v/>
      </c>
      <c r="S35" s="10">
        <f>IF(O35="","",IF(O35="BUY",B35+K35*2,B35-K35*2))</f>
        <v/>
      </c>
      <c r="T35" s="10">
        <f>IF(O35="","",IF(O35="BUY",B35+K35*3,B35-K35*3))</f>
        <v/>
      </c>
      <c r="U35" s="7">
        <f>IF(OR(B35="",K35&lt;=0),"",IF(AND(B35&gt;E35,ABS(B35-E35)&lt;K35*0.5),"2ND","1ST"))</f>
        <v/>
      </c>
      <c r="V35" s="7">
        <f>IF(OR(B35="",K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5" s="7">
        <f>IF(OR(B35="",K35&lt;=0),"",IF(K35&gt;B35*0.05,"VOL-HIGH","VOL-NORMAL"))</f>
        <v/>
      </c>
      <c r="X35" s="7">
        <f>IF(OR(B35="",K35&lt;=0),"",IF(AND(L35="VOL-OK",W35="VOL-NORMAL",U35="2ND"),"OK","NG"))</f>
        <v/>
      </c>
      <c r="Y35" s="7">
        <f>IF(OR(B35="",K35&lt;=0),"",IF(AND(C35&gt;G35,D35&gt;H35),"UP",IF(AND(C35&lt;G35,D35&lt;H35),"DOWN","FLAT")))</f>
        <v/>
      </c>
    </row>
    <row r="36">
      <c r="A36" s="7">
        <f>IF('StockList_MS2'!A36="","",'StockList_MS2'!A36)</f>
        <v/>
      </c>
      <c r="B36" s="8" t="n"/>
      <c r="C36" s="8" t="n"/>
      <c r="D36" s="8" t="n"/>
      <c r="E36" s="8" t="n"/>
      <c r="F36" s="9" t="n"/>
      <c r="G36" s="8" t="n"/>
      <c r="H36" s="8" t="n"/>
      <c r="I36" s="8" t="n"/>
      <c r="J36" s="7">
        <f>IF(B36="","",IF(B36&gt;I36,"BUY-DAY","SELL-DAY"))</f>
        <v/>
      </c>
      <c r="K36" s="10">
        <f>IF(B36="","",MAX(C36-D36,ABS(C36-I36),ABS(D36-I36)))</f>
        <v/>
      </c>
      <c r="L36" s="7">
        <f>IF(B36="","",IF(AND(F36&gt;0,F36&gt;(F36/3)*2.5),"VOL-OK","VOL-NG"))</f>
        <v/>
      </c>
      <c r="M36" s="7">
        <f>IF(B36="","",IF(B36&gt;G36,"ON","OFF"))</f>
        <v/>
      </c>
      <c r="N36" s="7">
        <f>IF(B36="","",IF(B36&lt;H36,"ON","OFF"))</f>
        <v/>
      </c>
      <c r="O36" s="7">
        <f>IF(OR(B36="",K36&lt;=0),"",IF(AND(J36="BUY-DAY",L36="VOL-OK",N36="ON",X36="OK",Y36&lt;&gt;"DOWN"),"BUY",IF(AND(J36="SELL-DAY",L36="VOL-OK",M36="ON",X36="OK",Y36&lt;&gt;"UP"),"SELL","")))</f>
        <v/>
      </c>
      <c r="P36" s="10">
        <f>IF(O36="","",B36)</f>
        <v/>
      </c>
      <c r="Q36" s="10">
        <f>IF(O36="","",IF(O36="BUY",B36-K36*1.5,B36+K36*1.5))</f>
        <v/>
      </c>
      <c r="R36" s="10">
        <f>IF(O36="","",IF(O36="BUY",B36+K36*1.5,B36-K36*1.5))</f>
        <v/>
      </c>
      <c r="S36" s="10">
        <f>IF(O36="","",IF(O36="BUY",B36+K36*2,B36-K36*2))</f>
        <v/>
      </c>
      <c r="T36" s="10">
        <f>IF(O36="","",IF(O36="BUY",B36+K36*3,B36-K36*3))</f>
        <v/>
      </c>
      <c r="U36" s="7">
        <f>IF(OR(B36="",K36&lt;=0),"",IF(AND(B36&gt;E36,ABS(B36-E36)&lt;K36*0.5),"2ND","1ST"))</f>
        <v/>
      </c>
      <c r="V36" s="7">
        <f>IF(OR(B36="",K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6" s="7">
        <f>IF(OR(B36="",K36&lt;=0),"",IF(K36&gt;B36*0.05,"VOL-HIGH","VOL-NORMAL"))</f>
        <v/>
      </c>
      <c r="X36" s="7">
        <f>IF(OR(B36="",K36&lt;=0),"",IF(AND(L36="VOL-OK",W36="VOL-NORMAL",U36="2ND"),"OK","NG"))</f>
        <v/>
      </c>
      <c r="Y36" s="7">
        <f>IF(OR(B36="",K36&lt;=0),"",IF(AND(C36&gt;G36,D36&gt;H36),"UP",IF(AND(C36&lt;G36,D36&lt;H36),"DOWN","FLAT")))</f>
        <v/>
      </c>
    </row>
    <row r="37">
      <c r="A37" s="7">
        <f>IF('StockList_MS2'!A37="","",'StockList_MS2'!A37)</f>
        <v/>
      </c>
      <c r="B37" s="8" t="n"/>
      <c r="C37" s="8" t="n"/>
      <c r="D37" s="8" t="n"/>
      <c r="E37" s="8" t="n"/>
      <c r="F37" s="9" t="n"/>
      <c r="G37" s="8" t="n"/>
      <c r="H37" s="8" t="n"/>
      <c r="I37" s="8" t="n"/>
      <c r="J37" s="7">
        <f>IF(B37="","",IF(B37&gt;I37,"BUY-DAY","SELL-DAY"))</f>
        <v/>
      </c>
      <c r="K37" s="10">
        <f>IF(B37="","",MAX(C37-D37,ABS(C37-I37),ABS(D37-I37)))</f>
        <v/>
      </c>
      <c r="L37" s="7">
        <f>IF(B37="","",IF(AND(F37&gt;0,F37&gt;(F37/3)*2.5),"VOL-OK","VOL-NG"))</f>
        <v/>
      </c>
      <c r="M37" s="7">
        <f>IF(B37="","",IF(B37&gt;G37,"ON","OFF"))</f>
        <v/>
      </c>
      <c r="N37" s="7">
        <f>IF(B37="","",IF(B37&lt;H37,"ON","OFF"))</f>
        <v/>
      </c>
      <c r="O37" s="7">
        <f>IF(OR(B37="",K37&lt;=0),"",IF(AND(J37="BUY-DAY",L37="VOL-OK",N37="ON",X37="OK",Y37&lt;&gt;"DOWN"),"BUY",IF(AND(J37="SELL-DAY",L37="VOL-OK",M37="ON",X37="OK",Y37&lt;&gt;"UP"),"SELL","")))</f>
        <v/>
      </c>
      <c r="P37" s="10">
        <f>IF(O37="","",B37)</f>
        <v/>
      </c>
      <c r="Q37" s="10">
        <f>IF(O37="","",IF(O37="BUY",B37-K37*1.5,B37+K37*1.5))</f>
        <v/>
      </c>
      <c r="R37" s="10">
        <f>IF(O37="","",IF(O37="BUY",B37+K37*1.5,B37-K37*1.5))</f>
        <v/>
      </c>
      <c r="S37" s="10">
        <f>IF(O37="","",IF(O37="BUY",B37+K37*2,B37-K37*2))</f>
        <v/>
      </c>
      <c r="T37" s="10">
        <f>IF(O37="","",IF(O37="BUY",B37+K37*3,B37-K37*3))</f>
        <v/>
      </c>
      <c r="U37" s="7">
        <f>IF(OR(B37="",K37&lt;=0),"",IF(AND(B37&gt;E37,ABS(B37-E37)&lt;K37*0.5),"2ND","1ST"))</f>
        <v/>
      </c>
      <c r="V37" s="7">
        <f>IF(OR(B37="",K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7" s="7">
        <f>IF(OR(B37="",K37&lt;=0),"",IF(K37&gt;B37*0.05,"VOL-HIGH","VOL-NORMAL"))</f>
        <v/>
      </c>
      <c r="X37" s="7">
        <f>IF(OR(B37="",K37&lt;=0),"",IF(AND(L37="VOL-OK",W37="VOL-NORMAL",U37="2ND"),"OK","NG"))</f>
        <v/>
      </c>
      <c r="Y37" s="7">
        <f>IF(OR(B37="",K37&lt;=0),"",IF(AND(C37&gt;G37,D37&gt;H37),"UP",IF(AND(C37&lt;G37,D37&lt;H37),"DOWN","FLAT")))</f>
        <v/>
      </c>
    </row>
    <row r="38">
      <c r="A38" s="7">
        <f>IF('StockList_MS2'!A38="","",'StockList_MS2'!A38)</f>
        <v/>
      </c>
      <c r="B38" s="8" t="n"/>
      <c r="C38" s="8" t="n"/>
      <c r="D38" s="8" t="n"/>
      <c r="E38" s="8" t="n"/>
      <c r="F38" s="9" t="n"/>
      <c r="G38" s="8" t="n"/>
      <c r="H38" s="8" t="n"/>
      <c r="I38" s="8" t="n"/>
      <c r="J38" s="7">
        <f>IF(B38="","",IF(B38&gt;I38,"BUY-DAY","SELL-DAY"))</f>
        <v/>
      </c>
      <c r="K38" s="10">
        <f>IF(B38="","",MAX(C38-D38,ABS(C38-I38),ABS(D38-I38)))</f>
        <v/>
      </c>
      <c r="L38" s="7">
        <f>IF(B38="","",IF(AND(F38&gt;0,F38&gt;(F38/3)*2.5),"VOL-OK","VOL-NG"))</f>
        <v/>
      </c>
      <c r="M38" s="7">
        <f>IF(B38="","",IF(B38&gt;G38,"ON","OFF"))</f>
        <v/>
      </c>
      <c r="N38" s="7">
        <f>IF(B38="","",IF(B38&lt;H38,"ON","OFF"))</f>
        <v/>
      </c>
      <c r="O38" s="7">
        <f>IF(OR(B38="",K38&lt;=0),"",IF(AND(J38="BUY-DAY",L38="VOL-OK",N38="ON",X38="OK",Y38&lt;&gt;"DOWN"),"BUY",IF(AND(J38="SELL-DAY",L38="VOL-OK",M38="ON",X38="OK",Y38&lt;&gt;"UP"),"SELL","")))</f>
        <v/>
      </c>
      <c r="P38" s="10">
        <f>IF(O38="","",B38)</f>
        <v/>
      </c>
      <c r="Q38" s="10">
        <f>IF(O38="","",IF(O38="BUY",B38-K38*1.5,B38+K38*1.5))</f>
        <v/>
      </c>
      <c r="R38" s="10">
        <f>IF(O38="","",IF(O38="BUY",B38+K38*1.5,B38-K38*1.5))</f>
        <v/>
      </c>
      <c r="S38" s="10">
        <f>IF(O38="","",IF(O38="BUY",B38+K38*2,B38-K38*2))</f>
        <v/>
      </c>
      <c r="T38" s="10">
        <f>IF(O38="","",IF(O38="BUY",B38+K38*3,B38-K38*3))</f>
        <v/>
      </c>
      <c r="U38" s="7">
        <f>IF(OR(B38="",K38&lt;=0),"",IF(AND(B38&gt;E38,ABS(B38-E38)&lt;K38*0.5),"2ND","1ST"))</f>
        <v/>
      </c>
      <c r="V38" s="7">
        <f>IF(OR(B38="",K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8" s="7">
        <f>IF(OR(B38="",K38&lt;=0),"",IF(K38&gt;B38*0.05,"VOL-HIGH","VOL-NORMAL"))</f>
        <v/>
      </c>
      <c r="X38" s="7">
        <f>IF(OR(B38="",K38&lt;=0),"",IF(AND(L38="VOL-OK",W38="VOL-NORMAL",U38="2ND"),"OK","NG"))</f>
        <v/>
      </c>
      <c r="Y38" s="7">
        <f>IF(OR(B38="",K38&lt;=0),"",IF(AND(C38&gt;G38,D38&gt;H38),"UP",IF(AND(C38&lt;G38,D38&lt;H38),"DOWN","FLAT")))</f>
        <v/>
      </c>
    </row>
    <row r="39">
      <c r="A39" s="7">
        <f>IF('StockList_MS2'!A39="","",'StockList_MS2'!A39)</f>
        <v/>
      </c>
      <c r="B39" s="8" t="n"/>
      <c r="C39" s="8" t="n"/>
      <c r="D39" s="8" t="n"/>
      <c r="E39" s="8" t="n"/>
      <c r="F39" s="9" t="n"/>
      <c r="G39" s="8" t="n"/>
      <c r="H39" s="8" t="n"/>
      <c r="I39" s="8" t="n"/>
      <c r="J39" s="7">
        <f>IF(B39="","",IF(B39&gt;I39,"BUY-DAY","SELL-DAY"))</f>
        <v/>
      </c>
      <c r="K39" s="10">
        <f>IF(B39="","",MAX(C39-D39,ABS(C39-I39),ABS(D39-I39)))</f>
        <v/>
      </c>
      <c r="L39" s="7">
        <f>IF(B39="","",IF(AND(F39&gt;0,F39&gt;(F39/3)*2.5),"VOL-OK","VOL-NG"))</f>
        <v/>
      </c>
      <c r="M39" s="7">
        <f>IF(B39="","",IF(B39&gt;G39,"ON","OFF"))</f>
        <v/>
      </c>
      <c r="N39" s="7">
        <f>IF(B39="","",IF(B39&lt;H39,"ON","OFF"))</f>
        <v/>
      </c>
      <c r="O39" s="7">
        <f>IF(OR(B39="",K39&lt;=0),"",IF(AND(J39="BUY-DAY",L39="VOL-OK",N39="ON",X39="OK",Y39&lt;&gt;"DOWN"),"BUY",IF(AND(J39="SELL-DAY",L39="VOL-OK",M39="ON",X39="OK",Y39&lt;&gt;"UP"),"SELL","")))</f>
        <v/>
      </c>
      <c r="P39" s="10">
        <f>IF(O39="","",B39)</f>
        <v/>
      </c>
      <c r="Q39" s="10">
        <f>IF(O39="","",IF(O39="BUY",B39-K39*1.5,B39+K39*1.5))</f>
        <v/>
      </c>
      <c r="R39" s="10">
        <f>IF(O39="","",IF(O39="BUY",B39+K39*1.5,B39-K39*1.5))</f>
        <v/>
      </c>
      <c r="S39" s="10">
        <f>IF(O39="","",IF(O39="BUY",B39+K39*2,B39-K39*2))</f>
        <v/>
      </c>
      <c r="T39" s="10">
        <f>IF(O39="","",IF(O39="BUY",B39+K39*3,B39-K39*3))</f>
        <v/>
      </c>
      <c r="U39" s="7">
        <f>IF(OR(B39="",K39&lt;=0),"",IF(AND(B39&gt;E39,ABS(B39-E39)&lt;K39*0.5),"2ND","1ST"))</f>
        <v/>
      </c>
      <c r="V39" s="7">
        <f>IF(OR(B39="",K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39" s="7">
        <f>IF(OR(B39="",K39&lt;=0),"",IF(K39&gt;B39*0.05,"VOL-HIGH","VOL-NORMAL"))</f>
        <v/>
      </c>
      <c r="X39" s="7">
        <f>IF(OR(B39="",K39&lt;=0),"",IF(AND(L39="VOL-OK",W39="VOL-NORMAL",U39="2ND"),"OK","NG"))</f>
        <v/>
      </c>
      <c r="Y39" s="7">
        <f>IF(OR(B39="",K39&lt;=0),"",IF(AND(C39&gt;G39,D39&gt;H39),"UP",IF(AND(C39&lt;G39,D39&lt;H39),"DOWN","FLAT")))</f>
        <v/>
      </c>
    </row>
    <row r="40">
      <c r="A40" s="7">
        <f>IF('StockList_MS2'!A40="","",'StockList_MS2'!A40)</f>
        <v/>
      </c>
      <c r="B40" s="8" t="n"/>
      <c r="C40" s="8" t="n"/>
      <c r="D40" s="8" t="n"/>
      <c r="E40" s="8" t="n"/>
      <c r="F40" s="9" t="n"/>
      <c r="G40" s="8" t="n"/>
      <c r="H40" s="8" t="n"/>
      <c r="I40" s="8" t="n"/>
      <c r="J40" s="7">
        <f>IF(B40="","",IF(B40&gt;I40,"BUY-DAY","SELL-DAY"))</f>
        <v/>
      </c>
      <c r="K40" s="10">
        <f>IF(B40="","",MAX(C40-D40,ABS(C40-I40),ABS(D40-I40)))</f>
        <v/>
      </c>
      <c r="L40" s="7">
        <f>IF(B40="","",IF(AND(F40&gt;0,F40&gt;(F40/3)*2.5),"VOL-OK","VOL-NG"))</f>
        <v/>
      </c>
      <c r="M40" s="7">
        <f>IF(B40="","",IF(B40&gt;G40,"ON","OFF"))</f>
        <v/>
      </c>
      <c r="N40" s="7">
        <f>IF(B40="","",IF(B40&lt;H40,"ON","OFF"))</f>
        <v/>
      </c>
      <c r="O40" s="7">
        <f>IF(OR(B40="",K40&lt;=0),"",IF(AND(J40="BUY-DAY",L40="VOL-OK",N40="ON",X40="OK",Y40&lt;&gt;"DOWN"),"BUY",IF(AND(J40="SELL-DAY",L40="VOL-OK",M40="ON",X40="OK",Y40&lt;&gt;"UP"),"SELL","")))</f>
        <v/>
      </c>
      <c r="P40" s="10">
        <f>IF(O40="","",B40)</f>
        <v/>
      </c>
      <c r="Q40" s="10">
        <f>IF(O40="","",IF(O40="BUY",B40-K40*1.5,B40+K40*1.5))</f>
        <v/>
      </c>
      <c r="R40" s="10">
        <f>IF(O40="","",IF(O40="BUY",B40+K40*1.5,B40-K40*1.5))</f>
        <v/>
      </c>
      <c r="S40" s="10">
        <f>IF(O40="","",IF(O40="BUY",B40+K40*2,B40-K40*2))</f>
        <v/>
      </c>
      <c r="T40" s="10">
        <f>IF(O40="","",IF(O40="BUY",B40+K40*3,B40-K40*3))</f>
        <v/>
      </c>
      <c r="U40" s="7">
        <f>IF(OR(B40="",K40&lt;=0),"",IF(AND(B40&gt;E40,ABS(B40-E40)&lt;K40*0.5),"2ND","1ST"))</f>
        <v/>
      </c>
      <c r="V40" s="7">
        <f>IF(OR(B40="",K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0" s="7">
        <f>IF(OR(B40="",K40&lt;=0),"",IF(K40&gt;B40*0.05,"VOL-HIGH","VOL-NORMAL"))</f>
        <v/>
      </c>
      <c r="X40" s="7">
        <f>IF(OR(B40="",K40&lt;=0),"",IF(AND(L40="VOL-OK",W40="VOL-NORMAL",U40="2ND"),"OK","NG"))</f>
        <v/>
      </c>
      <c r="Y40" s="7">
        <f>IF(OR(B40="",K40&lt;=0),"",IF(AND(C40&gt;G40,D40&gt;H40),"UP",IF(AND(C40&lt;G40,D40&lt;H40),"DOWN","FLAT")))</f>
        <v/>
      </c>
    </row>
    <row r="41">
      <c r="A41" s="7">
        <f>IF('StockList_MS2'!A41="","",'StockList_MS2'!A41)</f>
        <v/>
      </c>
      <c r="B41" s="8" t="n"/>
      <c r="C41" s="8" t="n"/>
      <c r="D41" s="8" t="n"/>
      <c r="E41" s="8" t="n"/>
      <c r="F41" s="9" t="n"/>
      <c r="G41" s="8" t="n"/>
      <c r="H41" s="8" t="n"/>
      <c r="I41" s="8" t="n"/>
      <c r="J41" s="7">
        <f>IF(B41="","",IF(B41&gt;I41,"BUY-DAY","SELL-DAY"))</f>
        <v/>
      </c>
      <c r="K41" s="10">
        <f>IF(B41="","",MAX(C41-D41,ABS(C41-I41),ABS(D41-I41)))</f>
        <v/>
      </c>
      <c r="L41" s="7">
        <f>IF(B41="","",IF(AND(F41&gt;0,F41&gt;(F41/3)*2.5),"VOL-OK","VOL-NG"))</f>
        <v/>
      </c>
      <c r="M41" s="7">
        <f>IF(B41="","",IF(B41&gt;G41,"ON","OFF"))</f>
        <v/>
      </c>
      <c r="N41" s="7">
        <f>IF(B41="","",IF(B41&lt;H41,"ON","OFF"))</f>
        <v/>
      </c>
      <c r="O41" s="7">
        <f>IF(OR(B41="",K41&lt;=0),"",IF(AND(J41="BUY-DAY",L41="VOL-OK",N41="ON",X41="OK",Y41&lt;&gt;"DOWN"),"BUY",IF(AND(J41="SELL-DAY",L41="VOL-OK",M41="ON",X41="OK",Y41&lt;&gt;"UP"),"SELL","")))</f>
        <v/>
      </c>
      <c r="P41" s="10">
        <f>IF(O41="","",B41)</f>
        <v/>
      </c>
      <c r="Q41" s="10">
        <f>IF(O41="","",IF(O41="BUY",B41-K41*1.5,B41+K41*1.5))</f>
        <v/>
      </c>
      <c r="R41" s="10">
        <f>IF(O41="","",IF(O41="BUY",B41+K41*1.5,B41-K41*1.5))</f>
        <v/>
      </c>
      <c r="S41" s="10">
        <f>IF(O41="","",IF(O41="BUY",B41+K41*2,B41-K41*2))</f>
        <v/>
      </c>
      <c r="T41" s="10">
        <f>IF(O41="","",IF(O41="BUY",B41+K41*3,B41-K41*3))</f>
        <v/>
      </c>
      <c r="U41" s="7">
        <f>IF(OR(B41="",K41&lt;=0),"",IF(AND(B41&gt;E41,ABS(B41-E41)&lt;K41*0.5),"2ND","1ST"))</f>
        <v/>
      </c>
      <c r="V41" s="7">
        <f>IF(OR(B41="",K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1" s="7">
        <f>IF(OR(B41="",K41&lt;=0),"",IF(K41&gt;B41*0.05,"VOL-HIGH","VOL-NORMAL"))</f>
        <v/>
      </c>
      <c r="X41" s="7">
        <f>IF(OR(B41="",K41&lt;=0),"",IF(AND(L41="VOL-OK",W41="VOL-NORMAL",U41="2ND"),"OK","NG"))</f>
        <v/>
      </c>
      <c r="Y41" s="7">
        <f>IF(OR(B41="",K41&lt;=0),"",IF(AND(C41&gt;G41,D41&gt;H41),"UP",IF(AND(C41&lt;G41,D41&lt;H41),"DOWN","FLAT")))</f>
        <v/>
      </c>
    </row>
    <row r="42">
      <c r="A42" s="7">
        <f>IF('StockList_MS2'!A42="","",'StockList_MS2'!A42)</f>
        <v/>
      </c>
      <c r="B42" s="8" t="n"/>
      <c r="C42" s="8" t="n"/>
      <c r="D42" s="8" t="n"/>
      <c r="E42" s="8" t="n"/>
      <c r="F42" s="9" t="n"/>
      <c r="G42" s="8" t="n"/>
      <c r="H42" s="8" t="n"/>
      <c r="I42" s="8" t="n"/>
      <c r="J42" s="7">
        <f>IF(B42="","",IF(B42&gt;I42,"BUY-DAY","SELL-DAY"))</f>
        <v/>
      </c>
      <c r="K42" s="10">
        <f>IF(B42="","",MAX(C42-D42,ABS(C42-I42),ABS(D42-I42)))</f>
        <v/>
      </c>
      <c r="L42" s="7">
        <f>IF(B42="","",IF(AND(F42&gt;0,F42&gt;(F42/3)*2.5),"VOL-OK","VOL-NG"))</f>
        <v/>
      </c>
      <c r="M42" s="7">
        <f>IF(B42="","",IF(B42&gt;G42,"ON","OFF"))</f>
        <v/>
      </c>
      <c r="N42" s="7">
        <f>IF(B42="","",IF(B42&lt;H42,"ON","OFF"))</f>
        <v/>
      </c>
      <c r="O42" s="7">
        <f>IF(OR(B42="",K42&lt;=0),"",IF(AND(J42="BUY-DAY",L42="VOL-OK",N42="ON",X42="OK",Y42&lt;&gt;"DOWN"),"BUY",IF(AND(J42="SELL-DAY",L42="VOL-OK",M42="ON",X42="OK",Y42&lt;&gt;"UP"),"SELL","")))</f>
        <v/>
      </c>
      <c r="P42" s="10">
        <f>IF(O42="","",B42)</f>
        <v/>
      </c>
      <c r="Q42" s="10">
        <f>IF(O42="","",IF(O42="BUY",B42-K42*1.5,B42+K42*1.5))</f>
        <v/>
      </c>
      <c r="R42" s="10">
        <f>IF(O42="","",IF(O42="BUY",B42+K42*1.5,B42-K42*1.5))</f>
        <v/>
      </c>
      <c r="S42" s="10">
        <f>IF(O42="","",IF(O42="BUY",B42+K42*2,B42-K42*2))</f>
        <v/>
      </c>
      <c r="T42" s="10">
        <f>IF(O42="","",IF(O42="BUY",B42+K42*3,B42-K42*3))</f>
        <v/>
      </c>
      <c r="U42" s="7">
        <f>IF(OR(B42="",K42&lt;=0),"",IF(AND(B42&gt;E42,ABS(B42-E42)&lt;K42*0.5),"2ND","1ST"))</f>
        <v/>
      </c>
      <c r="V42" s="7">
        <f>IF(OR(B42="",K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2" s="7">
        <f>IF(OR(B42="",K42&lt;=0),"",IF(K42&gt;B42*0.05,"VOL-HIGH","VOL-NORMAL"))</f>
        <v/>
      </c>
      <c r="X42" s="7">
        <f>IF(OR(B42="",K42&lt;=0),"",IF(AND(L42="VOL-OK",W42="VOL-NORMAL",U42="2ND"),"OK","NG"))</f>
        <v/>
      </c>
      <c r="Y42" s="7">
        <f>IF(OR(B42="",K42&lt;=0),"",IF(AND(C42&gt;G42,D42&gt;H42),"UP",IF(AND(C42&lt;G42,D42&lt;H42),"DOWN","FLAT")))</f>
        <v/>
      </c>
    </row>
    <row r="43">
      <c r="A43" s="7">
        <f>IF('StockList_MS2'!A43="","",'StockList_MS2'!A43)</f>
        <v/>
      </c>
      <c r="B43" s="8" t="n"/>
      <c r="C43" s="8" t="n"/>
      <c r="D43" s="8" t="n"/>
      <c r="E43" s="8" t="n"/>
      <c r="F43" s="9" t="n"/>
      <c r="G43" s="8" t="n"/>
      <c r="H43" s="8" t="n"/>
      <c r="I43" s="8" t="n"/>
      <c r="J43" s="7">
        <f>IF(B43="","",IF(B43&gt;I43,"BUY-DAY","SELL-DAY"))</f>
        <v/>
      </c>
      <c r="K43" s="10">
        <f>IF(B43="","",MAX(C43-D43,ABS(C43-I43),ABS(D43-I43)))</f>
        <v/>
      </c>
      <c r="L43" s="7">
        <f>IF(B43="","",IF(AND(F43&gt;0,F43&gt;(F43/3)*2.5),"VOL-OK","VOL-NG"))</f>
        <v/>
      </c>
      <c r="M43" s="7">
        <f>IF(B43="","",IF(B43&gt;G43,"ON","OFF"))</f>
        <v/>
      </c>
      <c r="N43" s="7">
        <f>IF(B43="","",IF(B43&lt;H43,"ON","OFF"))</f>
        <v/>
      </c>
      <c r="O43" s="7">
        <f>IF(OR(B43="",K43&lt;=0),"",IF(AND(J43="BUY-DAY",L43="VOL-OK",N43="ON",X43="OK",Y43&lt;&gt;"DOWN"),"BUY",IF(AND(J43="SELL-DAY",L43="VOL-OK",M43="ON",X43="OK",Y43&lt;&gt;"UP"),"SELL","")))</f>
        <v/>
      </c>
      <c r="P43" s="10">
        <f>IF(O43="","",B43)</f>
        <v/>
      </c>
      <c r="Q43" s="10">
        <f>IF(O43="","",IF(O43="BUY",B43-K43*1.5,B43+K43*1.5))</f>
        <v/>
      </c>
      <c r="R43" s="10">
        <f>IF(O43="","",IF(O43="BUY",B43+K43*1.5,B43-K43*1.5))</f>
        <v/>
      </c>
      <c r="S43" s="10">
        <f>IF(O43="","",IF(O43="BUY",B43+K43*2,B43-K43*2))</f>
        <v/>
      </c>
      <c r="T43" s="10">
        <f>IF(O43="","",IF(O43="BUY",B43+K43*3,B43-K43*3))</f>
        <v/>
      </c>
      <c r="U43" s="7">
        <f>IF(OR(B43="",K43&lt;=0),"",IF(AND(B43&gt;E43,ABS(B43-E43)&lt;K43*0.5),"2ND","1ST"))</f>
        <v/>
      </c>
      <c r="V43" s="7">
        <f>IF(OR(B43="",K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3" s="7">
        <f>IF(OR(B43="",K43&lt;=0),"",IF(K43&gt;B43*0.05,"VOL-HIGH","VOL-NORMAL"))</f>
        <v/>
      </c>
      <c r="X43" s="7">
        <f>IF(OR(B43="",K43&lt;=0),"",IF(AND(L43="VOL-OK",W43="VOL-NORMAL",U43="2ND"),"OK","NG"))</f>
        <v/>
      </c>
      <c r="Y43" s="7">
        <f>IF(OR(B43="",K43&lt;=0),"",IF(AND(C43&gt;G43,D43&gt;H43),"UP",IF(AND(C43&lt;G43,D43&lt;H43),"DOWN","FLAT")))</f>
        <v/>
      </c>
    </row>
    <row r="44">
      <c r="A44" s="7">
        <f>IF('StockList_MS2'!A44="","",'StockList_MS2'!A44)</f>
        <v/>
      </c>
      <c r="B44" s="8" t="n"/>
      <c r="C44" s="8" t="n"/>
      <c r="D44" s="8" t="n"/>
      <c r="E44" s="8" t="n"/>
      <c r="F44" s="9" t="n"/>
      <c r="G44" s="8" t="n"/>
      <c r="H44" s="8" t="n"/>
      <c r="I44" s="8" t="n"/>
      <c r="J44" s="7">
        <f>IF(B44="","",IF(B44&gt;I44,"BUY-DAY","SELL-DAY"))</f>
        <v/>
      </c>
      <c r="K44" s="10">
        <f>IF(B44="","",MAX(C44-D44,ABS(C44-I44),ABS(D44-I44)))</f>
        <v/>
      </c>
      <c r="L44" s="7">
        <f>IF(B44="","",IF(AND(F44&gt;0,F44&gt;(F44/3)*2.5),"VOL-OK","VOL-NG"))</f>
        <v/>
      </c>
      <c r="M44" s="7">
        <f>IF(B44="","",IF(B44&gt;G44,"ON","OFF"))</f>
        <v/>
      </c>
      <c r="N44" s="7">
        <f>IF(B44="","",IF(B44&lt;H44,"ON","OFF"))</f>
        <v/>
      </c>
      <c r="O44" s="7">
        <f>IF(OR(B44="",K44&lt;=0),"",IF(AND(J44="BUY-DAY",L44="VOL-OK",N44="ON",X44="OK",Y44&lt;&gt;"DOWN"),"BUY",IF(AND(J44="SELL-DAY",L44="VOL-OK",M44="ON",X44="OK",Y44&lt;&gt;"UP"),"SELL","")))</f>
        <v/>
      </c>
      <c r="P44" s="10">
        <f>IF(O44="","",B44)</f>
        <v/>
      </c>
      <c r="Q44" s="10">
        <f>IF(O44="","",IF(O44="BUY",B44-K44*1.5,B44+K44*1.5))</f>
        <v/>
      </c>
      <c r="R44" s="10">
        <f>IF(O44="","",IF(O44="BUY",B44+K44*1.5,B44-K44*1.5))</f>
        <v/>
      </c>
      <c r="S44" s="10">
        <f>IF(O44="","",IF(O44="BUY",B44+K44*2,B44-K44*2))</f>
        <v/>
      </c>
      <c r="T44" s="10">
        <f>IF(O44="","",IF(O44="BUY",B44+K44*3,B44-K44*3))</f>
        <v/>
      </c>
      <c r="U44" s="7">
        <f>IF(OR(B44="",K44&lt;=0),"",IF(AND(B44&gt;E44,ABS(B44-E44)&lt;K44*0.5),"2ND","1ST"))</f>
        <v/>
      </c>
      <c r="V44" s="7">
        <f>IF(OR(B44="",K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4" s="7">
        <f>IF(OR(B44="",K44&lt;=0),"",IF(K44&gt;B44*0.05,"VOL-HIGH","VOL-NORMAL"))</f>
        <v/>
      </c>
      <c r="X44" s="7">
        <f>IF(OR(B44="",K44&lt;=0),"",IF(AND(L44="VOL-OK",W44="VOL-NORMAL",U44="2ND"),"OK","NG"))</f>
        <v/>
      </c>
      <c r="Y44" s="7">
        <f>IF(OR(B44="",K44&lt;=0),"",IF(AND(C44&gt;G44,D44&gt;H44),"UP",IF(AND(C44&lt;G44,D44&lt;H44),"DOWN","FLAT")))</f>
        <v/>
      </c>
    </row>
    <row r="45">
      <c r="A45" s="7">
        <f>IF('StockList_MS2'!A45="","",'StockList_MS2'!A45)</f>
        <v/>
      </c>
      <c r="B45" s="8" t="n"/>
      <c r="C45" s="8" t="n"/>
      <c r="D45" s="8" t="n"/>
      <c r="E45" s="8" t="n"/>
      <c r="F45" s="9" t="n"/>
      <c r="G45" s="8" t="n"/>
      <c r="H45" s="8" t="n"/>
      <c r="I45" s="8" t="n"/>
      <c r="J45" s="7">
        <f>IF(B45="","",IF(B45&gt;I45,"BUY-DAY","SELL-DAY"))</f>
        <v/>
      </c>
      <c r="K45" s="10">
        <f>IF(B45="","",MAX(C45-D45,ABS(C45-I45),ABS(D45-I45)))</f>
        <v/>
      </c>
      <c r="L45" s="7">
        <f>IF(B45="","",IF(AND(F45&gt;0,F45&gt;(F45/3)*2.5),"VOL-OK","VOL-NG"))</f>
        <v/>
      </c>
      <c r="M45" s="7">
        <f>IF(B45="","",IF(B45&gt;G45,"ON","OFF"))</f>
        <v/>
      </c>
      <c r="N45" s="7">
        <f>IF(B45="","",IF(B45&lt;H45,"ON","OFF"))</f>
        <v/>
      </c>
      <c r="O45" s="7">
        <f>IF(OR(B45="",K45&lt;=0),"",IF(AND(J45="BUY-DAY",L45="VOL-OK",N45="ON",X45="OK",Y45&lt;&gt;"DOWN"),"BUY",IF(AND(J45="SELL-DAY",L45="VOL-OK",M45="ON",X45="OK",Y45&lt;&gt;"UP"),"SELL","")))</f>
        <v/>
      </c>
      <c r="P45" s="10">
        <f>IF(O45="","",B45)</f>
        <v/>
      </c>
      <c r="Q45" s="10">
        <f>IF(O45="","",IF(O45="BUY",B45-K45*1.5,B45+K45*1.5))</f>
        <v/>
      </c>
      <c r="R45" s="10">
        <f>IF(O45="","",IF(O45="BUY",B45+K45*1.5,B45-K45*1.5))</f>
        <v/>
      </c>
      <c r="S45" s="10">
        <f>IF(O45="","",IF(O45="BUY",B45+K45*2,B45-K45*2))</f>
        <v/>
      </c>
      <c r="T45" s="10">
        <f>IF(O45="","",IF(O45="BUY",B45+K45*3,B45-K45*3))</f>
        <v/>
      </c>
      <c r="U45" s="7">
        <f>IF(OR(B45="",K45&lt;=0),"",IF(AND(B45&gt;E45,ABS(B45-E45)&lt;K45*0.5),"2ND","1ST"))</f>
        <v/>
      </c>
      <c r="V45" s="7">
        <f>IF(OR(B45="",K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5" s="7">
        <f>IF(OR(B45="",K45&lt;=0),"",IF(K45&gt;B45*0.05,"VOL-HIGH","VOL-NORMAL"))</f>
        <v/>
      </c>
      <c r="X45" s="7">
        <f>IF(OR(B45="",K45&lt;=0),"",IF(AND(L45="VOL-OK",W45="VOL-NORMAL",U45="2ND"),"OK","NG"))</f>
        <v/>
      </c>
      <c r="Y45" s="7">
        <f>IF(OR(B45="",K45&lt;=0),"",IF(AND(C45&gt;G45,D45&gt;H45),"UP",IF(AND(C45&lt;G45,D45&lt;H45),"DOWN","FLAT")))</f>
        <v/>
      </c>
    </row>
    <row r="46">
      <c r="A46" s="7">
        <f>IF('StockList_MS2'!A46="","",'StockList_MS2'!A46)</f>
        <v/>
      </c>
      <c r="B46" s="8" t="n"/>
      <c r="C46" s="8" t="n"/>
      <c r="D46" s="8" t="n"/>
      <c r="E46" s="8" t="n"/>
      <c r="F46" s="9" t="n"/>
      <c r="G46" s="8" t="n"/>
      <c r="H46" s="8" t="n"/>
      <c r="I46" s="8" t="n"/>
      <c r="J46" s="7">
        <f>IF(B46="","",IF(B46&gt;I46,"BUY-DAY","SELL-DAY"))</f>
        <v/>
      </c>
      <c r="K46" s="10">
        <f>IF(B46="","",MAX(C46-D46,ABS(C46-I46),ABS(D46-I46)))</f>
        <v/>
      </c>
      <c r="L46" s="7">
        <f>IF(B46="","",IF(AND(F46&gt;0,F46&gt;(F46/3)*2.5),"VOL-OK","VOL-NG"))</f>
        <v/>
      </c>
      <c r="M46" s="7">
        <f>IF(B46="","",IF(B46&gt;G46,"ON","OFF"))</f>
        <v/>
      </c>
      <c r="N46" s="7">
        <f>IF(B46="","",IF(B46&lt;H46,"ON","OFF"))</f>
        <v/>
      </c>
      <c r="O46" s="7">
        <f>IF(OR(B46="",K46&lt;=0),"",IF(AND(J46="BUY-DAY",L46="VOL-OK",N46="ON",X46="OK",Y46&lt;&gt;"DOWN"),"BUY",IF(AND(J46="SELL-DAY",L46="VOL-OK",M46="ON",X46="OK",Y46&lt;&gt;"UP"),"SELL","")))</f>
        <v/>
      </c>
      <c r="P46" s="10">
        <f>IF(O46="","",B46)</f>
        <v/>
      </c>
      <c r="Q46" s="10">
        <f>IF(O46="","",IF(O46="BUY",B46-K46*1.5,B46+K46*1.5))</f>
        <v/>
      </c>
      <c r="R46" s="10">
        <f>IF(O46="","",IF(O46="BUY",B46+K46*1.5,B46-K46*1.5))</f>
        <v/>
      </c>
      <c r="S46" s="10">
        <f>IF(O46="","",IF(O46="BUY",B46+K46*2,B46-K46*2))</f>
        <v/>
      </c>
      <c r="T46" s="10">
        <f>IF(O46="","",IF(O46="BUY",B46+K46*3,B46-K46*3))</f>
        <v/>
      </c>
      <c r="U46" s="7">
        <f>IF(OR(B46="",K46&lt;=0),"",IF(AND(B46&gt;E46,ABS(B46-E46)&lt;K46*0.5),"2ND","1ST"))</f>
        <v/>
      </c>
      <c r="V46" s="7">
        <f>IF(OR(B46="",K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6" s="7">
        <f>IF(OR(B46="",K46&lt;=0),"",IF(K46&gt;B46*0.05,"VOL-HIGH","VOL-NORMAL"))</f>
        <v/>
      </c>
      <c r="X46" s="7">
        <f>IF(OR(B46="",K46&lt;=0),"",IF(AND(L46="VOL-OK",W46="VOL-NORMAL",U46="2ND"),"OK","NG"))</f>
        <v/>
      </c>
      <c r="Y46" s="7">
        <f>IF(OR(B46="",K46&lt;=0),"",IF(AND(C46&gt;G46,D46&gt;H46),"UP",IF(AND(C46&lt;G46,D46&lt;H46),"DOWN","FLAT")))</f>
        <v/>
      </c>
    </row>
    <row r="47">
      <c r="A47" s="7">
        <f>IF('StockList_MS2'!A47="","",'StockList_MS2'!A47)</f>
        <v/>
      </c>
      <c r="B47" s="8" t="n"/>
      <c r="C47" s="8" t="n"/>
      <c r="D47" s="8" t="n"/>
      <c r="E47" s="8" t="n"/>
      <c r="F47" s="9" t="n"/>
      <c r="G47" s="8" t="n"/>
      <c r="H47" s="8" t="n"/>
      <c r="I47" s="8" t="n"/>
      <c r="J47" s="7">
        <f>IF(B47="","",IF(B47&gt;I47,"BUY-DAY","SELL-DAY"))</f>
        <v/>
      </c>
      <c r="K47" s="10">
        <f>IF(B47="","",MAX(C47-D47,ABS(C47-I47),ABS(D47-I47)))</f>
        <v/>
      </c>
      <c r="L47" s="7">
        <f>IF(B47="","",IF(AND(F47&gt;0,F47&gt;(F47/3)*2.5),"VOL-OK","VOL-NG"))</f>
        <v/>
      </c>
      <c r="M47" s="7">
        <f>IF(B47="","",IF(B47&gt;G47,"ON","OFF"))</f>
        <v/>
      </c>
      <c r="N47" s="7">
        <f>IF(B47="","",IF(B47&lt;H47,"ON","OFF"))</f>
        <v/>
      </c>
      <c r="O47" s="7">
        <f>IF(OR(B47="",K47&lt;=0),"",IF(AND(J47="BUY-DAY",L47="VOL-OK",N47="ON",X47="OK",Y47&lt;&gt;"DOWN"),"BUY",IF(AND(J47="SELL-DAY",L47="VOL-OK",M47="ON",X47="OK",Y47&lt;&gt;"UP"),"SELL","")))</f>
        <v/>
      </c>
      <c r="P47" s="10">
        <f>IF(O47="","",B47)</f>
        <v/>
      </c>
      <c r="Q47" s="10">
        <f>IF(O47="","",IF(O47="BUY",B47-K47*1.5,B47+K47*1.5))</f>
        <v/>
      </c>
      <c r="R47" s="10">
        <f>IF(O47="","",IF(O47="BUY",B47+K47*1.5,B47-K47*1.5))</f>
        <v/>
      </c>
      <c r="S47" s="10">
        <f>IF(O47="","",IF(O47="BUY",B47+K47*2,B47-K47*2))</f>
        <v/>
      </c>
      <c r="T47" s="10">
        <f>IF(O47="","",IF(O47="BUY",B47+K47*3,B47-K47*3))</f>
        <v/>
      </c>
      <c r="U47" s="7">
        <f>IF(OR(B47="",K47&lt;=0),"",IF(AND(B47&gt;E47,ABS(B47-E47)&lt;K47*0.5),"2ND","1ST"))</f>
        <v/>
      </c>
      <c r="V47" s="7">
        <f>IF(OR(B47="",K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7" s="7">
        <f>IF(OR(B47="",K47&lt;=0),"",IF(K47&gt;B47*0.05,"VOL-HIGH","VOL-NORMAL"))</f>
        <v/>
      </c>
      <c r="X47" s="7">
        <f>IF(OR(B47="",K47&lt;=0),"",IF(AND(L47="VOL-OK",W47="VOL-NORMAL",U47="2ND"),"OK","NG"))</f>
        <v/>
      </c>
      <c r="Y47" s="7">
        <f>IF(OR(B47="",K47&lt;=0),"",IF(AND(C47&gt;G47,D47&gt;H47),"UP",IF(AND(C47&lt;G47,D47&lt;H47),"DOWN","FLAT")))</f>
        <v/>
      </c>
    </row>
    <row r="48">
      <c r="A48" s="7">
        <f>IF('StockList_MS2'!A48="","",'StockList_MS2'!A48)</f>
        <v/>
      </c>
      <c r="B48" s="8" t="n"/>
      <c r="C48" s="8" t="n"/>
      <c r="D48" s="8" t="n"/>
      <c r="E48" s="8" t="n"/>
      <c r="F48" s="9" t="n"/>
      <c r="G48" s="8" t="n"/>
      <c r="H48" s="8" t="n"/>
      <c r="I48" s="8" t="n"/>
      <c r="J48" s="7">
        <f>IF(B48="","",IF(B48&gt;I48,"BUY-DAY","SELL-DAY"))</f>
        <v/>
      </c>
      <c r="K48" s="10">
        <f>IF(B48="","",MAX(C48-D48,ABS(C48-I48),ABS(D48-I48)))</f>
        <v/>
      </c>
      <c r="L48" s="7">
        <f>IF(B48="","",IF(AND(F48&gt;0,F48&gt;(F48/3)*2.5),"VOL-OK","VOL-NG"))</f>
        <v/>
      </c>
      <c r="M48" s="7">
        <f>IF(B48="","",IF(B48&gt;G48,"ON","OFF"))</f>
        <v/>
      </c>
      <c r="N48" s="7">
        <f>IF(B48="","",IF(B48&lt;H48,"ON","OFF"))</f>
        <v/>
      </c>
      <c r="O48" s="7">
        <f>IF(OR(B48="",K48&lt;=0),"",IF(AND(J48="BUY-DAY",L48="VOL-OK",N48="ON",X48="OK",Y48&lt;&gt;"DOWN"),"BUY",IF(AND(J48="SELL-DAY",L48="VOL-OK",M48="ON",X48="OK",Y48&lt;&gt;"UP"),"SELL","")))</f>
        <v/>
      </c>
      <c r="P48" s="10">
        <f>IF(O48="","",B48)</f>
        <v/>
      </c>
      <c r="Q48" s="10">
        <f>IF(O48="","",IF(O48="BUY",B48-K48*1.5,B48+K48*1.5))</f>
        <v/>
      </c>
      <c r="R48" s="10">
        <f>IF(O48="","",IF(O48="BUY",B48+K48*1.5,B48-K48*1.5))</f>
        <v/>
      </c>
      <c r="S48" s="10">
        <f>IF(O48="","",IF(O48="BUY",B48+K48*2,B48-K48*2))</f>
        <v/>
      </c>
      <c r="T48" s="10">
        <f>IF(O48="","",IF(O48="BUY",B48+K48*3,B48-K48*3))</f>
        <v/>
      </c>
      <c r="U48" s="7">
        <f>IF(OR(B48="",K48&lt;=0),"",IF(AND(B48&gt;E48,ABS(B48-E48)&lt;K48*0.5),"2ND","1ST"))</f>
        <v/>
      </c>
      <c r="V48" s="7">
        <f>IF(OR(B48="",K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8" s="7">
        <f>IF(OR(B48="",K48&lt;=0),"",IF(K48&gt;B48*0.05,"VOL-HIGH","VOL-NORMAL"))</f>
        <v/>
      </c>
      <c r="X48" s="7">
        <f>IF(OR(B48="",K48&lt;=0),"",IF(AND(L48="VOL-OK",W48="VOL-NORMAL",U48="2ND"),"OK","NG"))</f>
        <v/>
      </c>
      <c r="Y48" s="7">
        <f>IF(OR(B48="",K48&lt;=0),"",IF(AND(C48&gt;G48,D48&gt;H48),"UP",IF(AND(C48&lt;G48,D48&lt;H48),"DOWN","FLAT")))</f>
        <v/>
      </c>
    </row>
    <row r="49">
      <c r="A49" s="7">
        <f>IF('StockList_MS2'!A49="","",'StockList_MS2'!A49)</f>
        <v/>
      </c>
      <c r="B49" s="8" t="n"/>
      <c r="C49" s="8" t="n"/>
      <c r="D49" s="8" t="n"/>
      <c r="E49" s="8" t="n"/>
      <c r="F49" s="9" t="n"/>
      <c r="G49" s="8" t="n"/>
      <c r="H49" s="8" t="n"/>
      <c r="I49" s="8" t="n"/>
      <c r="J49" s="7">
        <f>IF(B49="","",IF(B49&gt;I49,"BUY-DAY","SELL-DAY"))</f>
        <v/>
      </c>
      <c r="K49" s="10">
        <f>IF(B49="","",MAX(C49-D49,ABS(C49-I49),ABS(D49-I49)))</f>
        <v/>
      </c>
      <c r="L49" s="7">
        <f>IF(B49="","",IF(AND(F49&gt;0,F49&gt;(F49/3)*2.5),"VOL-OK","VOL-NG"))</f>
        <v/>
      </c>
      <c r="M49" s="7">
        <f>IF(B49="","",IF(B49&gt;G49,"ON","OFF"))</f>
        <v/>
      </c>
      <c r="N49" s="7">
        <f>IF(B49="","",IF(B49&lt;H49,"ON","OFF"))</f>
        <v/>
      </c>
      <c r="O49" s="7">
        <f>IF(OR(B49="",K49&lt;=0),"",IF(AND(J49="BUY-DAY",L49="VOL-OK",N49="ON",X49="OK",Y49&lt;&gt;"DOWN"),"BUY",IF(AND(J49="SELL-DAY",L49="VOL-OK",M49="ON",X49="OK",Y49&lt;&gt;"UP"),"SELL","")))</f>
        <v/>
      </c>
      <c r="P49" s="10">
        <f>IF(O49="","",B49)</f>
        <v/>
      </c>
      <c r="Q49" s="10">
        <f>IF(O49="","",IF(O49="BUY",B49-K49*1.5,B49+K49*1.5))</f>
        <v/>
      </c>
      <c r="R49" s="10">
        <f>IF(O49="","",IF(O49="BUY",B49+K49*1.5,B49-K49*1.5))</f>
        <v/>
      </c>
      <c r="S49" s="10">
        <f>IF(O49="","",IF(O49="BUY",B49+K49*2,B49-K49*2))</f>
        <v/>
      </c>
      <c r="T49" s="10">
        <f>IF(O49="","",IF(O49="BUY",B49+K49*3,B49-K49*3))</f>
        <v/>
      </c>
      <c r="U49" s="7">
        <f>IF(OR(B49="",K49&lt;=0),"",IF(AND(B49&gt;E49,ABS(B49-E49)&lt;K49*0.5),"2ND","1ST"))</f>
        <v/>
      </c>
      <c r="V49" s="7">
        <f>IF(OR(B49="",K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49" s="7">
        <f>IF(OR(B49="",K49&lt;=0),"",IF(K49&gt;B49*0.05,"VOL-HIGH","VOL-NORMAL"))</f>
        <v/>
      </c>
      <c r="X49" s="7">
        <f>IF(OR(B49="",K49&lt;=0),"",IF(AND(L49="VOL-OK",W49="VOL-NORMAL",U49="2ND"),"OK","NG"))</f>
        <v/>
      </c>
      <c r="Y49" s="7">
        <f>IF(OR(B49="",K49&lt;=0),"",IF(AND(C49&gt;G49,D49&gt;H49),"UP",IF(AND(C49&lt;G49,D49&lt;H49),"DOWN","FLAT")))</f>
        <v/>
      </c>
    </row>
    <row r="50">
      <c r="A50" s="7">
        <f>IF('StockList_MS2'!A50="","",'StockList_MS2'!A50)</f>
        <v/>
      </c>
      <c r="B50" s="8" t="n"/>
      <c r="C50" s="8" t="n"/>
      <c r="D50" s="8" t="n"/>
      <c r="E50" s="8" t="n"/>
      <c r="F50" s="9" t="n"/>
      <c r="G50" s="8" t="n"/>
      <c r="H50" s="8" t="n"/>
      <c r="I50" s="8" t="n"/>
      <c r="J50" s="7">
        <f>IF(B50="","",IF(B50&gt;I50,"BUY-DAY","SELL-DAY"))</f>
        <v/>
      </c>
      <c r="K50" s="10">
        <f>IF(B50="","",MAX(C50-D50,ABS(C50-I50),ABS(D50-I50)))</f>
        <v/>
      </c>
      <c r="L50" s="7">
        <f>IF(B50="","",IF(AND(F50&gt;0,F50&gt;(F50/3)*2.5),"VOL-OK","VOL-NG"))</f>
        <v/>
      </c>
      <c r="M50" s="7">
        <f>IF(B50="","",IF(B50&gt;G50,"ON","OFF"))</f>
        <v/>
      </c>
      <c r="N50" s="7">
        <f>IF(B50="","",IF(B50&lt;H50,"ON","OFF"))</f>
        <v/>
      </c>
      <c r="O50" s="7">
        <f>IF(OR(B50="",K50&lt;=0),"",IF(AND(J50="BUY-DAY",L50="VOL-OK",N50="ON",X50="OK",Y50&lt;&gt;"DOWN"),"BUY",IF(AND(J50="SELL-DAY",L50="VOL-OK",M50="ON",X50="OK",Y50&lt;&gt;"UP"),"SELL","")))</f>
        <v/>
      </c>
      <c r="P50" s="10">
        <f>IF(O50="","",B50)</f>
        <v/>
      </c>
      <c r="Q50" s="10">
        <f>IF(O50="","",IF(O50="BUY",B50-K50*1.5,B50+K50*1.5))</f>
        <v/>
      </c>
      <c r="R50" s="10">
        <f>IF(O50="","",IF(O50="BUY",B50+K50*1.5,B50-K50*1.5))</f>
        <v/>
      </c>
      <c r="S50" s="10">
        <f>IF(O50="","",IF(O50="BUY",B50+K50*2,B50-K50*2))</f>
        <v/>
      </c>
      <c r="T50" s="10">
        <f>IF(O50="","",IF(O50="BUY",B50+K50*3,B50-K50*3))</f>
        <v/>
      </c>
      <c r="U50" s="7">
        <f>IF(OR(B50="",K50&lt;=0),"",IF(AND(B50&gt;E50,ABS(B50-E50)&lt;K50*0.5),"2ND","1ST"))</f>
        <v/>
      </c>
      <c r="V50" s="7">
        <f>IF(OR(B50="",K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0" s="7">
        <f>IF(OR(B50="",K50&lt;=0),"",IF(K50&gt;B50*0.05,"VOL-HIGH","VOL-NORMAL"))</f>
        <v/>
      </c>
      <c r="X50" s="7">
        <f>IF(OR(B50="",K50&lt;=0),"",IF(AND(L50="VOL-OK",W50="VOL-NORMAL",U50="2ND"),"OK","NG"))</f>
        <v/>
      </c>
      <c r="Y50" s="7">
        <f>IF(OR(B50="",K50&lt;=0),"",IF(AND(C50&gt;G50,D50&gt;H50),"UP",IF(AND(C50&lt;G50,D50&lt;H50),"DOWN","FLAT")))</f>
        <v/>
      </c>
    </row>
    <row r="51">
      <c r="A51" s="7">
        <f>IF('StockList_MS2'!A51="","",'StockList_MS2'!A51)</f>
        <v/>
      </c>
      <c r="B51" s="8" t="n"/>
      <c r="C51" s="8" t="n"/>
      <c r="D51" s="8" t="n"/>
      <c r="E51" s="8" t="n"/>
      <c r="F51" s="9" t="n"/>
      <c r="G51" s="8" t="n"/>
      <c r="H51" s="8" t="n"/>
      <c r="I51" s="8" t="n"/>
      <c r="J51" s="7">
        <f>IF(B51="","",IF(B51&gt;I51,"BUY-DAY","SELL-DAY"))</f>
        <v/>
      </c>
      <c r="K51" s="10">
        <f>IF(B51="","",MAX(C51-D51,ABS(C51-I51),ABS(D51-I51)))</f>
        <v/>
      </c>
      <c r="L51" s="7">
        <f>IF(B51="","",IF(AND(F51&gt;0,F51&gt;(F51/3)*2.5),"VOL-OK","VOL-NG"))</f>
        <v/>
      </c>
      <c r="M51" s="7">
        <f>IF(B51="","",IF(B51&gt;G51,"ON","OFF"))</f>
        <v/>
      </c>
      <c r="N51" s="7">
        <f>IF(B51="","",IF(B51&lt;H51,"ON","OFF"))</f>
        <v/>
      </c>
      <c r="O51" s="7">
        <f>IF(OR(B51="",K51&lt;=0),"",IF(AND(J51="BUY-DAY",L51="VOL-OK",N51="ON",X51="OK",Y51&lt;&gt;"DOWN"),"BUY",IF(AND(J51="SELL-DAY",L51="VOL-OK",M51="ON",X51="OK",Y51&lt;&gt;"UP"),"SELL","")))</f>
        <v/>
      </c>
      <c r="P51" s="10">
        <f>IF(O51="","",B51)</f>
        <v/>
      </c>
      <c r="Q51" s="10">
        <f>IF(O51="","",IF(O51="BUY",B51-K51*1.5,B51+K51*1.5))</f>
        <v/>
      </c>
      <c r="R51" s="10">
        <f>IF(O51="","",IF(O51="BUY",B51+K51*1.5,B51-K51*1.5))</f>
        <v/>
      </c>
      <c r="S51" s="10">
        <f>IF(O51="","",IF(O51="BUY",B51+K51*2,B51-K51*2))</f>
        <v/>
      </c>
      <c r="T51" s="10">
        <f>IF(O51="","",IF(O51="BUY",B51+K51*3,B51-K51*3))</f>
        <v/>
      </c>
      <c r="U51" s="7">
        <f>IF(OR(B51="",K51&lt;=0),"",IF(AND(B51&gt;E51,ABS(B51-E51)&lt;K51*0.5),"2ND","1ST"))</f>
        <v/>
      </c>
      <c r="V51" s="7">
        <f>IF(OR(B51="",K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W51" s="7">
        <f>IF(OR(B51="",K51&lt;=0),"",IF(K51&gt;B51*0.05,"VOL-HIGH","VOL-NORMAL"))</f>
        <v/>
      </c>
      <c r="X51" s="7">
        <f>IF(OR(B51="",K51&lt;=0),"",IF(AND(L51="VOL-OK",W51="VOL-NORMAL",U51="2ND"),"OK","NG"))</f>
        <v/>
      </c>
      <c r="Y51" s="7">
        <f>IF(OR(B51="",K51&lt;=0),"",IF(AND(C51&gt;G51,D51&gt;H51),"UP",IF(AND(C51&lt;G51,D51&lt;H51),"DOWN","FLAT")))</f>
        <v/>
      </c>
    </row>
    <row r="53">
      <c r="K53" s="3" t="inlineStr">
        <is>
          <t>※K列=当足のTrue Range。厳密な14期間ATR(5分足)は『ATR更新_MS2』マクロで算出。</t>
        </is>
      </c>
    </row>
  </sheetData>
  <autoFilter ref="A1:Y1"/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  <col width="11" customWidth="1" style="1" min="11" max="11"/>
    <col width="11" customWidth="1" style="1" min="12" max="12"/>
  </cols>
  <sheetData>
    <row r="1">
      <c r="A1" s="5" t="inlineStr">
        <is>
          <t>No</t>
        </is>
      </c>
      <c r="B1" s="5" t="inlineStr">
        <is>
          <t>銘柄コード</t>
        </is>
      </c>
      <c r="C1" s="5" t="inlineStr">
        <is>
          <t>売買種別</t>
        </is>
      </c>
      <c r="D1" s="5" t="inlineStr">
        <is>
          <t>Entry</t>
        </is>
      </c>
      <c r="E1" s="5" t="inlineStr">
        <is>
          <t>SL</t>
        </is>
      </c>
      <c r="F1" s="5" t="inlineStr">
        <is>
          <t>TP1</t>
        </is>
      </c>
      <c r="G1" s="5" t="inlineStr">
        <is>
          <t>TP2</t>
        </is>
      </c>
      <c r="H1" s="5" t="inlineStr">
        <is>
          <t>TP3</t>
        </is>
      </c>
      <c r="I1" s="5" t="inlineStr">
        <is>
          <t>結果</t>
        </is>
      </c>
      <c r="J1" s="5" t="inlineStr">
        <is>
          <t>損益</t>
        </is>
      </c>
      <c r="K1" s="5" t="inlineStr">
        <is>
          <t>開始時刻</t>
        </is>
      </c>
      <c r="L1" s="5" t="inlineStr">
        <is>
          <t>終了時刻</t>
        </is>
      </c>
    </row>
    <row r="3">
      <c r="A3" s="3" t="inlineStr">
        <is>
          <t>※『売買抽出_MS2』『MS2_Eval_Trades』マクロで自動出力される結果ログです。</t>
        </is>
      </c>
    </row>
  </sheetData>
  <autoFilter ref="A1:L1"/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style="1" min="1" max="1"/>
    <col width="11" customWidth="1" style="1" min="2" max="2"/>
    <col width="11" customWidth="1" style="1" min="3" max="3"/>
    <col width="11" customWidth="1" style="1" min="4" max="4"/>
    <col width="11" customWidth="1" style="1" min="5" max="5"/>
    <col width="11" customWidth="1" style="1" min="6" max="6"/>
    <col width="11" customWidth="1" style="1" min="7" max="7"/>
    <col width="11" customWidth="1" style="1" min="8" max="8"/>
    <col width="11" customWidth="1" style="1" min="9" max="9"/>
    <col width="11" customWidth="1" style="1" min="10" max="10"/>
  </cols>
  <sheetData>
    <row r="1">
      <c r="A1" s="5" t="inlineStr">
        <is>
          <t>銘柄コード</t>
        </is>
      </c>
      <c r="B1" s="5" t="inlineStr">
        <is>
          <t>勝率</t>
        </is>
      </c>
      <c r="C1" s="5" t="inlineStr">
        <is>
          <t>PF</t>
        </is>
      </c>
      <c r="D1" s="5" t="inlineStr">
        <is>
          <t>RR</t>
        </is>
      </c>
      <c r="E1" s="5" t="inlineStr">
        <is>
          <t>最大DD</t>
        </is>
      </c>
      <c r="F1" s="5" t="inlineStr">
        <is>
          <t>平均RR</t>
        </is>
      </c>
      <c r="G1" s="5" t="inlineStr">
        <is>
          <t>連勝</t>
        </is>
      </c>
      <c r="H1" s="5" t="inlineStr">
        <is>
          <t>連敗</t>
        </is>
      </c>
      <c r="I1" s="5" t="inlineStr">
        <is>
          <t>月次損益</t>
        </is>
      </c>
      <c r="J1" s="5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autoFilter ref="A1:J1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2026-08-01T14:14:56Z</dcterms:modified>
  <cp:lastModifiedBy>英明 阿部</cp:lastModifiedBy>
</cp:coreProperties>
</file>