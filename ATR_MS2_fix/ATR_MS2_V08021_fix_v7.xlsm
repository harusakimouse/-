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Abe Hideaki\Desktop\"/>
    </mc:Choice>
  </mc:AlternateContent>
  <xr:revisionPtr revIDLastSave="0" documentId="13_ncr:1_{AA394A62-5867-4365-B5C0-2BB8ED0BD021}" xr6:coauthVersionLast="47" xr6:coauthVersionMax="47" xr10:uidLastSave="{00000000-0000-0000-0000-000000000000}"/>
  <bookViews>
    <workbookView xWindow="1356" yWindow="2448" windowWidth="35052" windowHeight="18144" activeTab="1" xr2:uid="{00000000-000D-0000-FFFF-FFFF00000000}"/>
  </bookViews>
  <sheets>
    <sheet name="操作パネル_MS2" sheetId="6" r:id="rId1"/>
    <sheet name="使い方" sheetId="1" r:id="rId2"/>
    <sheet name="DATA_MS2" sheetId="3" r:id="rId3"/>
    <sheet name="TRADE_MS2" sheetId="4" r:id="rId4"/>
    <sheet name="RANK_MS2" sheetId="5" r:id="rId5"/>
    <sheet name="StockList_MS2" sheetId="2" r:id="rId6"/>
    <sheet name="ATRHIST_MS2" sheetId="7" state="hidden" r:id="rId7"/>
    <sheet name="PREVDAY_MS2" sheetId="8" state="hidden" r:id="rId8"/>
  </sheets>
  <functionGroups builtInGroupCount="19"/>
  <definedNames>
    <definedName name="_xlnm._FilterDatabase" localSheetId="2" hidden="1">DATA_MS2!$A$2:$AB$2</definedName>
    <definedName name="_xlnm._FilterDatabase" localSheetId="5" hidden="1">StockList_MS2!$A$1:$B$1</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Y2" authorId="0" shapeId="0" xr:uid="{89DDE35B-A9D6-4BB3-8AF2-73A5719C0151}">
      <text>
        <r>
          <rPr>
            <b/>
            <sz val="9"/>
            <color indexed="81"/>
            <rFont val="ＭＳ Ｐゴシック"/>
            <family val="3"/>
            <charset val="128"/>
          </rPr>
          <t>時間帯判定が</t>
        </r>
        <r>
          <rPr>
            <b/>
            <sz val="9"/>
            <color indexed="81"/>
            <rFont val="MS P ゴシック"/>
            <family val="2"/>
          </rPr>
          <t xml:space="preserve"> 09:00-09:30</t>
        </r>
        <r>
          <rPr>
            <b/>
            <sz val="9"/>
            <color indexed="81"/>
            <rFont val="ＭＳ Ｐゴシック"/>
            <family val="3"/>
            <charset val="128"/>
          </rPr>
          <t>／</t>
        </r>
        <r>
          <rPr>
            <b/>
            <sz val="9"/>
            <color indexed="81"/>
            <rFont val="MS P ゴシック"/>
            <family val="2"/>
          </rPr>
          <t>12:30-14:30</t>
        </r>
        <r>
          <rPr>
            <b/>
            <sz val="9"/>
            <color indexed="81"/>
            <rFont val="ＭＳ Ｐゴシック"/>
            <family val="3"/>
            <charset val="128"/>
          </rPr>
          <t>／</t>
        </r>
        <r>
          <rPr>
            <b/>
            <sz val="9"/>
            <color indexed="81"/>
            <rFont val="MS P ゴシック"/>
            <family val="2"/>
          </rPr>
          <t xml:space="preserve">14:30-15:00 </t>
        </r>
        <r>
          <rPr>
            <b/>
            <sz val="9"/>
            <color indexed="81"/>
            <rFont val="ＭＳ Ｐゴシック"/>
            <family val="3"/>
            <charset val="128"/>
          </rPr>
          <t>しかカバーしておらず、</t>
        </r>
        <r>
          <rPr>
            <b/>
            <sz val="9"/>
            <color indexed="81"/>
            <rFont val="MS P ゴシック"/>
            <family val="2"/>
          </rPr>
          <t>9:30</t>
        </r>
        <r>
          <rPr>
            <b/>
            <sz val="9"/>
            <color indexed="81"/>
            <rFont val="ＭＳ Ｐゴシック"/>
            <family val="3"/>
            <charset val="128"/>
          </rPr>
          <t>〜</t>
        </r>
        <r>
          <rPr>
            <b/>
            <sz val="9"/>
            <color indexed="81"/>
            <rFont val="MS P ゴシック"/>
            <family val="2"/>
          </rPr>
          <t>11:30</t>
        </r>
        <r>
          <rPr>
            <b/>
            <sz val="9"/>
            <color indexed="81"/>
            <rFont val="ＭＳ Ｐゴシック"/>
            <family val="3"/>
            <charset val="128"/>
          </rPr>
          <t>の前場後半が「その他」に落ちます。スクショの</t>
        </r>
        <r>
          <rPr>
            <b/>
            <sz val="9"/>
            <color indexed="81"/>
            <rFont val="MS P ゴシック"/>
            <family val="2"/>
          </rPr>
          <t>11:00</t>
        </r>
        <r>
          <rPr>
            <b/>
            <sz val="9"/>
            <color indexed="81"/>
            <rFont val="ＭＳ Ｐゴシック"/>
            <family val="3"/>
            <charset val="128"/>
          </rPr>
          <t>がまさにそれです。前場を評価に使いたいなら、</t>
        </r>
        <r>
          <rPr>
            <b/>
            <sz val="9"/>
            <color indexed="81"/>
            <rFont val="MS P ゴシック"/>
            <family val="2"/>
          </rPr>
          <t xml:space="preserve">MS2_Install_Formulas </t>
        </r>
        <r>
          <rPr>
            <b/>
            <sz val="9"/>
            <color indexed="81"/>
            <rFont val="ＭＳ Ｐゴシック"/>
            <family val="3"/>
            <charset val="128"/>
          </rPr>
          <t>の</t>
        </r>
        <r>
          <rPr>
            <b/>
            <sz val="9"/>
            <color indexed="81"/>
            <rFont val="MS P ゴシック"/>
            <family val="2"/>
          </rPr>
          <t>Y</t>
        </r>
        <r>
          <rPr>
            <b/>
            <sz val="9"/>
            <color indexed="81"/>
            <rFont val="ＭＳ Ｐゴシック"/>
            <family val="3"/>
            <charset val="128"/>
          </rPr>
          <t>列式に「前場」区分を足す必要があります。ご希望なら修正版の</t>
        </r>
        <r>
          <rPr>
            <b/>
            <sz val="9"/>
            <color indexed="81"/>
            <rFont val="MS P ゴシック"/>
            <family val="2"/>
          </rPr>
          <t>Y</t>
        </r>
        <r>
          <rPr>
            <b/>
            <sz val="9"/>
            <color indexed="81"/>
            <rFont val="ＭＳ Ｐゴシック"/>
            <family val="3"/>
            <charset val="128"/>
          </rPr>
          <t>列式を出します。</t>
        </r>
        <r>
          <rPr>
            <sz val="9"/>
            <color indexed="81"/>
            <rFont val="MS P ゴシック"/>
            <family val="2"/>
          </rPr>
          <t xml:space="preserve">
</t>
        </r>
      </text>
    </comment>
    <comment ref="N3" authorId="0" shapeId="0" xr:uid="{44528CB3-93BB-4CB4-B0BD-3CB336BD72B7}">
      <text>
        <r>
          <rPr>
            <b/>
            <sz val="9"/>
            <color indexed="81"/>
            <rFont val="MS P ゴシック"/>
            <family val="2"/>
          </rPr>
          <t>Abe Hideaki:</t>
        </r>
        <r>
          <rPr>
            <sz val="9"/>
            <color indexed="81"/>
            <rFont val="MS P ゴシック"/>
            <family val="2"/>
          </rPr>
          <t xml:space="preserve">
修正: 旧値はATRHIST_MS2の「サンプル3固定・前日レンジを二重計上」の日足スケール。本式は当日高安レンジ÷√経過足本数による5分足ATR推定値。</t>
        </r>
      </text>
    </comment>
    <comment ref="O3" authorId="0" shapeId="0" xr:uid="{AEE57956-7340-4F6C-AC03-8B8052B0DD49}">
      <text>
        <r>
          <rPr>
            <b/>
            <sz val="9"/>
            <color indexed="81"/>
            <rFont val="MS P ゴシック"/>
            <family val="2"/>
          </rPr>
          <t>Abe Hideaki:</t>
        </r>
        <r>
          <rPr>
            <sz val="9"/>
            <color indexed="81"/>
            <rFont val="MS P ゴシック"/>
            <family val="2"/>
          </rPr>
          <t xml:space="preserve">
修正: 旧式 I&gt;(I/3)*2.5 は出来高を自分自身と比較しており常にVOL-OK。売買代金による流動性閾値判定に変更。</t>
        </r>
      </text>
    </comment>
    <comment ref="R3" authorId="0" shapeId="0" xr:uid="{23A4B0FF-5F62-4096-AD3D-8E0918A3AC58}">
      <text>
        <r>
          <rPr>
            <b/>
            <sz val="9"/>
            <color indexed="81"/>
            <rFont val="MS P ゴシック"/>
            <family val="2"/>
          </rPr>
          <t>Abe Hideaki:</t>
        </r>
        <r>
          <rPr>
            <sz val="9"/>
            <color indexed="81"/>
            <rFont val="MS P ゴシック"/>
            <family val="2"/>
          </rPr>
          <t xml:space="preserve">
修正: BUYはP(前日高値ブレイク)、SELLはQ(前日安値ブレイク)を参照。旧式はBUY↔Q, SELL↔Pで矛盾していた。</t>
        </r>
      </text>
    </comment>
    <comment ref="X3" authorId="0" shapeId="0" xr:uid="{C5F3B9FB-E763-49C5-B404-330B70906E7D}">
      <text>
        <r>
          <rPr>
            <b/>
            <sz val="9"/>
            <color indexed="81"/>
            <rFont val="MS P ゴシック"/>
            <family val="2"/>
          </rPr>
          <t>Abe Hideaki:</t>
        </r>
        <r>
          <rPr>
            <sz val="9"/>
            <color indexed="81"/>
            <rFont val="MS P ゴシック"/>
            <family val="2"/>
          </rPr>
          <t xml:space="preserve">
修正: 旧式はH列(終値)参照でザラ場中は常に空→常に1ST。L列(前日終値)基準に変更。</t>
        </r>
      </text>
    </comment>
    <comment ref="AA3" authorId="0" shapeId="0" xr:uid="{4984D75D-CCCD-433C-9819-A8916F02FD53}">
      <text>
        <r>
          <rPr>
            <b/>
            <sz val="9"/>
            <color indexed="81"/>
            <rFont val="MS P ゴシック"/>
            <family val="2"/>
          </rPr>
          <t>Abe Hideaki:</t>
        </r>
        <r>
          <rPr>
            <sz val="9"/>
            <color indexed="81"/>
            <rFont val="MS P ゴシック"/>
            <family val="2"/>
          </rPr>
          <t xml:space="preserve">
修正: 旧式はX="2ND"を必須としていたが、Xが構造上常に1STのためAAが常にNG→シグナルゼロだった。X依存を削除。</t>
        </r>
      </text>
    </comment>
    <comment ref="AD3" authorId="0" shapeId="0" xr:uid="{0DD2DA99-6D7C-47DE-A184-EF696B5AFBB1}">
      <text>
        <r>
          <rPr>
            <b/>
            <sz val="9"/>
            <color indexed="81"/>
            <rFont val="MS P ゴシック"/>
            <family val="2"/>
          </rPr>
          <t>Abe Hideaki:</t>
        </r>
        <r>
          <rPr>
            <sz val="9"/>
            <color indexed="81"/>
            <rFont val="MS P ゴシック"/>
            <family val="2"/>
          </rPr>
          <t xml:space="preserve">
ATRHIST_MS2に蓄積された実測5分足ATR(14・Wilder)。未蓄積なら0→N列は推定値にフォールバック。</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K1" authorId="0" shapeId="0" xr:uid="{4C7C026F-2836-48D9-B26C-367AD55B3981}">
      <text>
        <r>
          <rPr>
            <b/>
            <sz val="9"/>
            <color indexed="81"/>
            <rFont val="ＭＳ Ｐゴシック"/>
            <family val="3"/>
            <charset val="128"/>
          </rPr>
          <t xml:space="preserve">１００株購入
</t>
        </r>
        <r>
          <rPr>
            <sz val="9"/>
            <color indexed="81"/>
            <rFont val="MS P ゴシック"/>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<sst xmlns="http://schemas.openxmlformats.org/spreadsheetml/2006/main" count="582" uniqueCount="318">
  <si>
    <t>銘柄コード</t>
  </si>
  <si>
    <t>銘柄名</t>
  </si>
  <si>
    <t>※ サンプルを、監視したい銘柄コード（4桁）と銘柄名に書き換えてください。</t>
  </si>
  <si>
    <t>No</t>
  </si>
  <si>
    <t>前日高値</t>
  </si>
  <si>
    <t>前日安値</t>
  </si>
  <si>
    <t>売買種別</t>
  </si>
  <si>
    <t>Entry</t>
  </si>
  <si>
    <t>SL</t>
  </si>
  <si>
    <t>TP1</t>
  </si>
  <si>
    <t>TP2</t>
  </si>
  <si>
    <t>TP3</t>
  </si>
  <si>
    <t>※N列=当足のTrue Range。厳密な14期間ATR(5分足)は『ATR更新_MS2』マクロで蓄積算出。</t>
  </si>
  <si>
    <t>結果</t>
  </si>
  <si>
    <t>損益</t>
  </si>
  <si>
    <t>開始時刻</t>
  </si>
  <si>
    <t>終了時刻</t>
  </si>
  <si>
    <t>543A</t>
  </si>
  <si>
    <t>TR累計</t>
  </si>
  <si>
    <t>ATR</t>
  </si>
  <si>
    <t>銘柄コード（株探）</t>
    <phoneticPr fontId="1"/>
  </si>
  <si>
    <t>勝率</t>
    <phoneticPr fontId="1"/>
  </si>
  <si>
    <t>PF</t>
    <phoneticPr fontId="1"/>
  </si>
  <si>
    <t>銘柄名</t>
    <phoneticPr fontId="1"/>
  </si>
  <si>
    <t>最大DD</t>
    <phoneticPr fontId="1"/>
  </si>
  <si>
    <t>平均RR</t>
    <phoneticPr fontId="1"/>
  </si>
  <si>
    <t>月次損益</t>
    <phoneticPr fontId="1"/>
  </si>
  <si>
    <t>トレード数</t>
    <phoneticPr fontId="1"/>
  </si>
  <si>
    <t>保存日時</t>
  </si>
  <si>
    <t>No</t>
    <phoneticPr fontId="1"/>
  </si>
  <si>
    <t>株探リンク</t>
    <phoneticPr fontId="1"/>
  </si>
  <si>
    <t>銘柄コード</t>
    <phoneticPr fontId="1"/>
  </si>
  <si>
    <t>銘柄名</t>
    <phoneticPr fontId="1"/>
  </si>
  <si>
    <t>現在値</t>
    <phoneticPr fontId="1"/>
  </si>
  <si>
    <t>高値</t>
    <phoneticPr fontId="1"/>
  </si>
  <si>
    <t>安値</t>
    <phoneticPr fontId="1"/>
  </si>
  <si>
    <t>終値</t>
    <phoneticPr fontId="1"/>
  </si>
  <si>
    <t>出来高</t>
    <phoneticPr fontId="1"/>
  </si>
  <si>
    <t>前日高値</t>
    <phoneticPr fontId="1"/>
  </si>
  <si>
    <t>前日安値</t>
    <phoneticPr fontId="1"/>
  </si>
  <si>
    <t>前日終値</t>
    <phoneticPr fontId="1"/>
  </si>
  <si>
    <t>寄り方向</t>
    <phoneticPr fontId="1"/>
  </si>
  <si>
    <t>ゾーン</t>
    <phoneticPr fontId="1"/>
  </si>
  <si>
    <t>STOP-BUY</t>
    <phoneticPr fontId="1"/>
  </si>
  <si>
    <t>STOP-SELL</t>
    <phoneticPr fontId="1"/>
  </si>
  <si>
    <t>売買種別</t>
    <phoneticPr fontId="1"/>
  </si>
  <si>
    <t>Entry</t>
    <phoneticPr fontId="1"/>
  </si>
  <si>
    <t>SL</t>
    <phoneticPr fontId="1"/>
  </si>
  <si>
    <t>TP1</t>
    <phoneticPr fontId="1"/>
  </si>
  <si>
    <t>TP2</t>
    <phoneticPr fontId="1"/>
  </si>
  <si>
    <t>TP3</t>
    <phoneticPr fontId="1"/>
  </si>
  <si>
    <t>2回目戻し</t>
    <phoneticPr fontId="1"/>
  </si>
  <si>
    <t>時間帯</t>
    <phoneticPr fontId="1"/>
  </si>
  <si>
    <t>ボラフィルタ</t>
    <phoneticPr fontId="1"/>
  </si>
  <si>
    <t>ダマシ除去</t>
    <phoneticPr fontId="1"/>
  </si>
  <si>
    <t>トレンド方向</t>
    <phoneticPr fontId="1"/>
  </si>
  <si>
    <t>ATR(5分足14)</t>
    <phoneticPr fontId="1"/>
  </si>
  <si>
    <t>売買代金(千円)</t>
    <phoneticPr fontId="1"/>
  </si>
  <si>
    <t>実測5分ATR</t>
    <phoneticPr fontId="1"/>
  </si>
  <si>
    <t>◆ MS2 操作パネル</t>
    <phoneticPr fontId="1"/>
  </si>
  <si>
    <t>◆ 判定パラメータ設定</t>
    <phoneticPr fontId="1"/>
  </si>
  <si>
    <t>値</t>
    <phoneticPr fontId="1"/>
  </si>
  <si>
    <t>最低売買代金（千円）</t>
    <phoneticPr fontId="1"/>
  </si>
  <si>
    <t>ボラ上限（現在値比）</t>
    <phoneticPr fontId="1"/>
  </si>
  <si>
    <t>SL倍率（×ATR）</t>
    <phoneticPr fontId="1"/>
  </si>
  <si>
    <t>TP1倍率（×ATR）</t>
    <phoneticPr fontId="1"/>
  </si>
  <si>
    <t>TP2倍率（×ATR）</t>
    <phoneticPr fontId="1"/>
  </si>
  <si>
    <t>TP3倍率（×ATR）</t>
    <phoneticPr fontId="1"/>
  </si>
  <si>
    <t>足の長さ（分）</t>
    <phoneticPr fontId="1"/>
  </si>
  <si>
    <t>ATR調整係数</t>
    <phoneticPr fontId="1"/>
  </si>
  <si>
    <t>経過場中分数（自動）</t>
    <phoneticPr fontId="1"/>
  </si>
  <si>
    <t>経過足本数（自動）</t>
    <phoneticPr fontId="1"/>
  </si>
  <si>
    <t>※ ATRは実測5分足(AD列)を優先。未蓄積時のみ 当日レンジ÷√経過足本数 で推定。</t>
    <phoneticPr fontId="1"/>
  </si>
  <si>
    <t>BUY</t>
  </si>
  <si>
    <t>SELL</t>
  </si>
  <si>
    <t>1.寄り前</t>
    <rPh sb="2" eb="3">
      <t>ヨ</t>
    </rPh>
    <rPh sb="4" eb="5">
      <t>マエ</t>
    </rPh>
    <phoneticPr fontId="1"/>
  </si>
  <si>
    <t>平均損益</t>
    <phoneticPr fontId="1"/>
  </si>
  <si>
    <t>最大連勝</t>
    <phoneticPr fontId="1"/>
  </si>
  <si>
    <t>最大連敗</t>
    <phoneticPr fontId="1"/>
  </si>
  <si>
    <t>バー高値</t>
  </si>
  <si>
    <t>バー安値</t>
  </si>
  <si>
    <t>バー終値</t>
  </si>
  <si>
    <t>前バー終値</t>
  </si>
  <si>
    <t>本数</t>
  </si>
  <si>
    <t>最終更新</t>
  </si>
  <si>
    <t>山形銀行</t>
  </si>
  <si>
    <t>特定</t>
  </si>
  <si>
    <t>勝率</t>
  </si>
  <si>
    <t>∞</t>
  </si>
  <si>
    <t>使い方</t>
  </si>
  <si>
    <t>役割</t>
  </si>
  <si>
    <t>操作パネル_MS2</t>
  </si>
  <si>
    <t>StockList_MS2</t>
  </si>
  <si>
    <t>DATA_MS2</t>
  </si>
  <si>
    <t>メイン表。E〜L＝RSS取得値、M〜AD＝判定数式</t>
  </si>
  <si>
    <t>TRADE_MS2</t>
  </si>
  <si>
    <t>RANK_MS2</t>
  </si>
  <si>
    <t>ATRHIST_MS2</t>
  </si>
  <si>
    <t>PREVDAY_MS2</t>
  </si>
  <si>
    <t>寄り前</t>
  </si>
  <si>
    <t>8:55頃</t>
  </si>
  <si>
    <t>引け後</t>
  </si>
  <si>
    <t>ATR デイトレ管理ブック（MS2）　使い方ガイド</t>
  </si>
  <si>
    <t>楽天証券 マーケットスピードII RSS 連携／日本株デイトレ用テンプレート</t>
  </si>
  <si>
    <t>■ このBOOKの目的</t>
  </si>
  <si>
    <t>前日高値ブレイク＝BUY／前日安値割れ＝SELL の「当日ブレイクアウト」を全銘柄で自動判定します。</t>
  </si>
  <si>
    <t>SL・TP1〜TP3 は実測5分足ATR(14)の倍数で自動算出し、結果をトレードログと銘柄別成績に蓄積します。</t>
  </si>
  <si>
    <t>必須環境：楽天証券 マーケットスピードII（RSS）が起動・ログイン済みであること。</t>
  </si>
  <si>
    <t>■ シート構成</t>
  </si>
  <si>
    <t>シート名</t>
  </si>
  <si>
    <t>更新方法</t>
  </si>
  <si>
    <t>ボタン一式＋判定パラメータ設定（G:H列）</t>
  </si>
  <si>
    <t>手動設定</t>
  </si>
  <si>
    <t>本ガイド</t>
  </si>
  <si>
    <t>―</t>
  </si>
  <si>
    <t>監視銘柄の入力（A=コード / B=銘柄名、最大350）</t>
  </si>
  <si>
    <t>手入力</t>
  </si>
  <si>
    <t>自動</t>
  </si>
  <si>
    <t>シグナル履歴と決済結果（損益ログ）</t>
  </si>
  <si>
    <t>マクロ出力</t>
  </si>
  <si>
    <t>銘柄別成績（勝率・PF・平均RR・最大DD 等）</t>
  </si>
  <si>
    <t>5分足ATR(14)の蓄積（非表示）</t>
  </si>
  <si>
    <t>■ 初回セットアップ（最初に1回だけ）</t>
  </si>
  <si>
    <t>StockList_MS2 に銘柄コード（A列）と銘柄名（B列）を入力</t>
  </si>
  <si>
    <t>「銘柄反映_MS2」を押す → DATA_MS2 の A〜D列を生成</t>
  </si>
  <si>
    <t>「RSS式セット_MS2」を押す → E〜L列に RssMarket 式を投入</t>
  </si>
  <si>
    <t>「判定式セット_MS2」を押す → M〜AD列の判定ロジックとパラメータを投入</t>
  </si>
  <si>
    <t>引け後に「前日値保存_MS2」（または「前日値_自動ON」で毎営業日 15:45 に自動保存）</t>
  </si>
  <si>
    <t>■ 毎日の運用フロー</t>
  </si>
  <si>
    <t>タイミング</t>
  </si>
  <si>
    <t>ボタン</t>
  </si>
  <si>
    <t>内容</t>
  </si>
  <si>
    <t>前日値反映_MS2</t>
  </si>
  <si>
    <t>DATA_MS2 の J・K列に前日高値・安値をセット</t>
  </si>
  <si>
    <t>ATR収集_開始</t>
  </si>
  <si>
    <t>場中（随時）</t>
  </si>
  <si>
    <t>シグナル抽出_MS2</t>
  </si>
  <si>
    <t>BUY/SELL 成立銘柄を TRADE_MS2 に追記</t>
  </si>
  <si>
    <t>結果判定_MS2</t>
  </si>
  <si>
    <t>現在値が SL/TP1 到達なら決済確定・損益を記録</t>
  </si>
  <si>
    <t>ランキング_MS2</t>
  </si>
  <si>
    <t>RANK_MS2 に銘柄別成績を集計</t>
  </si>
  <si>
    <t>一括実行</t>
  </si>
  <si>
    <t>全自動_MS2</t>
  </si>
  <si>
    <t>ATR収集開始→前日値反映→再計算→シグナル抽出→結果判定→集計 を連続実行</t>
  </si>
  <si>
    <t>■ 判定条件（DATA_MS2 の R列＝売買種別）</t>
  </si>
  <si>
    <t>現在値＞前日終値　かつ　現在値＞前日高値　かつ　売買代金OK　かつ　ダマシ除去OK　かつ　トレンド≠DOWN</t>
  </si>
  <si>
    <t>現在値＜前日終値　かつ　現在値＜前日安値　かつ　同フィルタ通過　かつ　トレンド≠UP</t>
  </si>
  <si>
    <t>空欄</t>
  </si>
  <si>
    <t>条件未成立。S〜W列（Entry/SL/TP1-3）も空欄になります（正常動作）</t>
  </si>
  <si>
    <t>■ 調整パラメータ（操作パネル_MS2 の H3:H10、青字は手入力可）</t>
  </si>
  <si>
    <t>セル</t>
  </si>
  <si>
    <t>項目</t>
  </si>
  <si>
    <t>現在値</t>
  </si>
  <si>
    <t>H3</t>
  </si>
  <si>
    <t>最低売買代金（千円）</t>
  </si>
  <si>
    <t>H4</t>
  </si>
  <si>
    <t>ボラ上限（現在値比）</t>
  </si>
  <si>
    <t>H5</t>
  </si>
  <si>
    <t>SL倍率（×ATR）</t>
  </si>
  <si>
    <t>H6</t>
  </si>
  <si>
    <t>TP1倍率（×ATR）</t>
  </si>
  <si>
    <t>H7</t>
  </si>
  <si>
    <t>TP2倍率（×ATR）</t>
  </si>
  <si>
    <t>H8</t>
  </si>
  <si>
    <t>TP3倍率（×ATR）</t>
  </si>
  <si>
    <t>H9</t>
  </si>
  <si>
    <t>足の長さ（分）</t>
  </si>
  <si>
    <t>H10</t>
  </si>
  <si>
    <t>ATR調整係数</t>
  </si>
  <si>
    <t>※ H11（経過場中分数）・H12（経過足本数）は自動計算。上書き不可。</t>
  </si>
  <si>
    <t>■ 注意点</t>
  </si>
  <si>
    <t>・マーケットスピードII が未起動だと E〜L列が空/エラーになり、シグナルは一切出ません</t>
  </si>
  <si>
    <t>・ATR は蓄積14本に達するまで推定値（当日レンジ÷√経過足本数）で代用されます</t>
  </si>
  <si>
    <t>・「前日値保存_MS2」を場中（9:00〜15:30）に実行すると翌日の前日高安が壊れます（警告が出ます）</t>
  </si>
  <si>
    <t>・H列（終値）は場中は空欄。判定には使用していません</t>
  </si>
  <si>
    <t>・Y列（時間帯）は 9:30〜11:30 が「その他」に分類されます（仕様上の穴・未修正）</t>
  </si>
  <si>
    <t>・本ブックは売買を自動発注しません。実際の発注は自己判断で行ってください</t>
  </si>
  <si>
    <t>売買単位（株）</t>
  </si>
  <si>
    <t>約定代金(100株)</t>
  </si>
  <si>
    <t>損益(100株)</t>
  </si>
  <si>
    <t>R倍数</t>
  </si>
  <si>
    <t>◆ 100株換算サマリー</t>
  </si>
  <si>
    <t>決済済み件数</t>
  </si>
  <si>
    <t>合計損益（円）</t>
  </si>
  <si>
    <t>平均損益（円）</t>
  </si>
  <si>
    <t>最大損失（円）</t>
  </si>
  <si>
    <t>引け後（毎日）</t>
  </si>
  <si>
    <t>ATR収集_停止</t>
  </si>
  <si>
    <t>30秒タイマーを解除。※これを押さずに閉じるとブックが自動再オープンすることがあります</t>
  </si>
  <si>
    <t>前日高値・安値の保存庫（非表示）／Y・Z列はタイマー予約時刻の内部保存用（編集不可）</t>
  </si>
  <si>
    <t>30秒ごとにサンプリングして5分足ATR(14)を蓄積（有効値まで約70分）。場外（平日9:00〜15:30以外・土日）は自動停止します</t>
  </si>
  <si>
    <t>※ ボタンがない場合は VBE で MS2_Core をインポートし、MS2_Build_Menu を実行（★タイマー全解除ボタンもここで追加されます）</t>
  </si>
  <si>
    <t>・閉じる前に「ATR収集_停止」を押してください。押さずに閉じるとタイマー予約が残り、ブックが自動で開き直ることがあります</t>
  </si>
  <si>
    <t>・前日値の自動保存（15:45）の予約も再オープン要因になります。不要な日は「前日値_自動OFF」を押してください</t>
  </si>
  <si>
    <t>・異常時は「★タイマー全解除」で全予約を強制解除できます。予約の残りは「ログ_MS2」で確認できます</t>
  </si>
  <si>
    <t>■ 「閉じたのに自動で開き直す」現象について（★v6 で対策済）</t>
  </si>
  <si>
    <t>原因</t>
  </si>
  <si>
    <t>仕組み</t>
  </si>
  <si>
    <t>Application.OnTime の予約は Excel 本体が保持するため、ブックを閉じても消えません。時刻が来ると Excel がブックを自動で開き直します</t>
  </si>
  <si>
    <t>予約の種類</t>
  </si>
  <si>
    <t>（1）ATR収集の30秒ティック　（2）前日値の自動保存（日次 15:45）</t>
  </si>
  <si>
    <t>v6 の対策</t>
  </si>
  <si>
    <t>予約時刻を PREVDAY_MS2 の Z1・Z2 に保存し、VBAの変数がリセットされても確実に解除できるようにしました</t>
  </si>
  <si>
    <t>場外の挙動</t>
  </si>
  <si>
    <t>平日 9:00〜15:30 以外と土日はティックを再予約せず自動停止。翌朝はブックを開くか「ATR収集_開始」で再開してください</t>
  </si>
  <si>
    <t>確認方法</t>
  </si>
  <si>
    <t>「ログ_MS2」に tick予約 と 自動保存予約 の次回時刻を表示。両方「なし」なら安全に閉じられます</t>
  </si>
  <si>
    <t>緊急時</t>
  </si>
  <si>
    <t>「★タイマー全解除」を押す。それでも再起動する場合は Excel を完全終了し、EXCEL.EXE の残存を確認してください</t>
  </si>
  <si>
    <t>運用フロー表に「引け後（毎日</t>
  </si>
  <si>
    <t>押さずに閉じると自動再オープンする</t>
    <phoneticPr fontId="1"/>
  </si>
  <si>
    <t>次回tick予約(内部)</t>
  </si>
  <si>
    <t>次回自動保存予約(内部)</t>
  </si>
  <si>
    <t>END</t>
  </si>
  <si>
    <t>ソニーフィナンシャルグループ</t>
  </si>
  <si>
    <t>日産自動車</t>
  </si>
  <si>
    <t>三菱ＵＦＪフィナンシャルＧ</t>
  </si>
  <si>
    <t>住友商事</t>
  </si>
  <si>
    <t>メタプラネット</t>
  </si>
  <si>
    <t>ルネサスエレクトロニクス</t>
  </si>
  <si>
    <t>ＬＩＮＥヤフー</t>
  </si>
  <si>
    <t>サンリオ</t>
  </si>
  <si>
    <t>オリエンタルランド</t>
  </si>
  <si>
    <t>野村ホールディングス</t>
  </si>
  <si>
    <t>日立</t>
  </si>
  <si>
    <t>信越化学</t>
  </si>
  <si>
    <t>第一三共</t>
  </si>
  <si>
    <t>伊藤忠</t>
  </si>
  <si>
    <t>アドバンテスト</t>
  </si>
  <si>
    <t>任天堂</t>
  </si>
  <si>
    <t>富士通</t>
  </si>
  <si>
    <t>三井住友フィナンシャルＧ</t>
  </si>
  <si>
    <t>住友化学</t>
  </si>
  <si>
    <t>三菱ケミカルグループ</t>
  </si>
  <si>
    <t>みずほフィナンシャルＧ</t>
  </si>
  <si>
    <t>ＫＤＤＩ</t>
  </si>
  <si>
    <t>パンパシフィックＨＤ</t>
  </si>
  <si>
    <t>川崎重工業</t>
  </si>
  <si>
    <t>りそなホールディングス</t>
  </si>
  <si>
    <t>ゆうちょ銀行</t>
  </si>
  <si>
    <t>三井不動産</t>
  </si>
  <si>
    <t>三菱電機</t>
  </si>
  <si>
    <t>セブン銀行</t>
  </si>
  <si>
    <t>パーソルホールディングス</t>
  </si>
  <si>
    <t>ＥＮＥＯＳホールディングス</t>
  </si>
  <si>
    <t>第一ライフグループ</t>
  </si>
  <si>
    <t>スズキ</t>
  </si>
  <si>
    <t>ユニ・チヤ－ム</t>
  </si>
  <si>
    <t>ローム</t>
  </si>
  <si>
    <t>ＳＨＩＦＴ</t>
  </si>
  <si>
    <t>アステラス製薬</t>
  </si>
  <si>
    <t>大和証券Ｇ本社</t>
  </si>
  <si>
    <t>武田薬品</t>
  </si>
  <si>
    <t>三菱ＨＣキャピタル</t>
  </si>
  <si>
    <t>関電工</t>
  </si>
  <si>
    <t>日本郵政</t>
  </si>
  <si>
    <t>ヤマハ発動機</t>
  </si>
  <si>
    <t>ＬＩＸＩＬ</t>
  </si>
  <si>
    <t>住友電工</t>
  </si>
  <si>
    <t>ソニーグループ</t>
  </si>
  <si>
    <t>トヨタ自動車</t>
  </si>
  <si>
    <t>三菱重工業</t>
  </si>
  <si>
    <t>三井住友トラストグルー</t>
  </si>
  <si>
    <t>ＩＨＩ</t>
  </si>
  <si>
    <t>東京エレクトロン</t>
  </si>
  <si>
    <t>旭化成</t>
  </si>
  <si>
    <t>日本たばこ産業</t>
  </si>
  <si>
    <t>ＳＢＩホールディングス</t>
  </si>
  <si>
    <t>日本電気</t>
  </si>
  <si>
    <t>王子ホールディングス</t>
  </si>
  <si>
    <t>エムスリー</t>
  </si>
  <si>
    <t>野村総合研究所</t>
  </si>
  <si>
    <t>日東紡績</t>
  </si>
  <si>
    <t>味の素</t>
  </si>
  <si>
    <t>ＴＤＫ</t>
  </si>
  <si>
    <t>ＳＵＭＣＯ</t>
  </si>
  <si>
    <t>ＳＢＩ新生銀行</t>
  </si>
  <si>
    <t>ＳＣＲＥＥＮホールディングス</t>
  </si>
  <si>
    <t>安川電機</t>
  </si>
  <si>
    <t>楽天グループ</t>
  </si>
  <si>
    <t>京セラ</t>
  </si>
  <si>
    <t>セブン＆アイ・ＨＬＤＧＳ</t>
  </si>
  <si>
    <t>ＪＦＥホールディングス</t>
  </si>
  <si>
    <t>東京電力ＨＤ</t>
  </si>
  <si>
    <t>日本製鉄</t>
  </si>
  <si>
    <t>キヤノン</t>
  </si>
  <si>
    <t>ファナック</t>
  </si>
  <si>
    <t>フジクラ</t>
  </si>
  <si>
    <t>三菱自動車工業</t>
  </si>
  <si>
    <t>主因（重い順）</t>
  </si>
  <si>
    <t>1. NOW() が 350 セル — DATA_MS2Y3:Y352</t>
  </si>
  <si>
    <t>。NOW() は揮発性関数なので、ワークシート上で何か起きるたびに必ず再計算され、その下流（R〜AB列）も丸ごと巻き込みます。</t>
  </si>
  <si>
    <t>2. RSS リアルタイム関数が 945 セル — DATA_MS2E3:L102</t>
  </si>
  <si>
    <t> と StockList_MS2B2:B101</t>
  </si>
  <si>
    <t>。ザラ場中は1銘柄の値動きごとに再計算が走り、そのたびに DATA_MS2 の約8,300式＋TRADE_MS2・RANK_MS2 が再評価されます。①と組み合わさると事実上「連続再計算」状態になります。</t>
  </si>
  <si>
    <t>3. 列全体参照が 441 セル — DATA_MS2AD3:AD352</t>
  </si>
  <si>
    <t> が ATRHIST_MS2!$H:$H / $A:$A（実データは101行のみ）を、TRADE_MS2A2:A92</t>
  </si>
  <si>
    <t> が StockList_MS2!$A:$A を、それぞれ104万行スキャンしています。</t>
  </si>
  <si>
    <t>副次的に見つかった不整合（フリーズとは別問題）</t>
  </si>
  <si>
    <t>E〜L列（現在値・高値・安値等）の RSS は銘柄コードが直書き（例 RssMarket("9432","現在値")）で、C列の銘柄と連動していません。AC列だけは C3 参照になっています。</t>
  </si>
  <si>
    <t>A〜D列は350行あるのに、E〜L列の価格取得は101行目までしか入っていません。</t>
  </si>
  <si>
    <t>改善案（ご指示あれば実施します）</t>
  </si>
  <si>
    <t>Y列の NOW() を廃止し、操作パネルの1セルに時刻を集約 → Y列はそのセルを参照（揮発セル350→1）</t>
  </si>
  <si>
    <t>AD列・TRADE_MS2 の $H:$H などを $H$1:$H$200 のような有限範囲に変更</t>
  </si>
  <si>
    <t>RSS のティッカーを C3 参照に統一し、行数を実際の銘柄数に揃える（不要行の RSS を削除＝購読数削減）</t>
  </si>
  <si>
    <t>運用時は「手動計算＋F9」に切り替える運用も併用</t>
  </si>
  <si>
    <t>なお、このファイルは .xlsm なのでVBAコード側にも原因（イベントマクロのループ、Calculate イベント等）がある可能性がありますが、マクロの中身は私からは読めません。上記のうちどれから手を付けますか？</t>
  </si>
  <si>
    <t>今回のターンで行ったのは読み取りのみで、ワークブックへの書き込みは一切していません（get_used_range／数式スキャン／条件付き書式の列挙のみ）。</t>
  </si>
  <si>
    <t>念のため、報告した内容の裏付けとして実際に読んだ範囲を明記しておきます:</t>
  </si>
  <si>
    <t>使用範囲: 全8シート（最大は DATA_MS2A2:AD354</t>
  </si>
  <si>
    <t>）</t>
  </si>
  <si>
    <t>数式スキャン: 操作パネル_MS2!A1:H37、使い方!A1:C73、StockList_MS2!A1:B353、DATA_MS2!A1:AD354、TRADE_MS2!A1:S92、RANK_MS2!A1:K76、ATRHIST_MS2!A1:I101、PREVDAY_MS2!A1:Z101</t>
  </si>
  <si>
    <t>条件付き書式: 上記8範囲すべて 0 件</t>
  </si>
  <si>
    <t>計算モード: 自動</t>
  </si>
  <si>
    <t>未検証の点: VBA（.xlsm のマクロ）の中身、および各シートのグラフ・図形オブジェクトは読めていません。これらにフリーズ要因が残っている可能性はあります。</t>
  </si>
  <si>
    <t>改善案の実施はまだ何も適用していないので、着手する項目をご指定ください（推奨は「NOW() 350セットの集約」→「列全体参照の有限化」の順です）。</t>
  </si>
  <si>
    <t>ATR_MS2_V08021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</si>
</sst>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
    <numFmt numFmtId="177" formatCode="0.0%"/>
    <numFmt numFmtId="178" formatCode="0.0"/>
    <numFmt numFmtId="179" formatCode="#,##0;\(#,##0\);\-"/>
    <numFmt numFmtId="180" formatCode="#,##0.0;\(#,##0.0\);\-"/>
    <numFmt numFmtId="181" formatCode="0_ ;[Red]\-0\ "/>
  </numFmts>
  <fonts count="38">
    <font>
      <sz val="14"/>
      <color theme="1"/>
      <name val="游ゴシック"/>
      <family val="2"/>
      <charset val="128"/>
      <scheme val="minor"/>
    </font>
    <font>
      <sz val="7"/>
      <name val="游ゴシック"/>
      <family val="2"/>
      <charset val="128"/>
      <scheme val="minor"/>
    </font>
    <font>
      <b/>
      <sz val="18"/>
      <name val="Meiryo"/>
      <family val="3"/>
      <charset val="128"/>
    </font>
    <font>
      <i/>
      <sz val="18"/>
      <color rgb="FF555555"/>
      <name val="Meiryo"/>
      <family val="3"/>
      <charset val="128"/>
    </font>
    <font>
      <b/>
      <sz val="18"/>
      <color rgb="FFFFFFFF"/>
      <name val="Meiryo"/>
      <family val="3"/>
      <charset val="128"/>
    </font>
    <font>
      <sz val="18"/>
      <color rgb="FF0000FF"/>
      <name val="Meiryo"/>
      <family val="3"/>
      <charset val="128"/>
    </font>
    <font>
      <sz val="18"/>
      <color rgb="FF000000"/>
      <name val="Meiryo"/>
      <family val="3"/>
      <charset val="128"/>
    </font>
    <font>
      <u/>
      <sz val="18"/>
      <color rgb="FF0563C1"/>
      <name val="Meiryo"/>
      <family val="3"/>
      <charset val="128"/>
    </font>
    <font>
      <b/>
      <sz val="14"/>
      <color theme="1"/>
      <name val="游ゴシック"/>
      <family val="3"/>
      <charset val="128"/>
      <scheme val="minor"/>
    </font>
    <font>
      <sz val="14"/>
      <color rgb="FF0000FF"/>
      <name val="Meiryo"/>
      <family val="3"/>
      <charset val="128"/>
    </font>
    <font>
      <sz val="9"/>
      <color indexed="81"/>
      <name val="MS P ゴシック"/>
      <family val="2"/>
    </font>
    <font>
      <b/>
      <sz val="9"/>
      <color indexed="81"/>
      <name val="MS P ゴシック"/>
      <family val="2"/>
    </font>
    <font>
      <sz val="14"/>
      <color rgb="FF0000FF"/>
      <name val="游ゴシック"/>
      <family val="2"/>
      <charset val="128"/>
      <scheme val="minor"/>
    </font>
    <font>
      <sz val="11"/>
      <color rgb="FFC00000"/>
      <name val="游ゴシック"/>
      <family val="2"/>
      <charset val="128"/>
      <scheme val="minor"/>
    </font>
    <font>
      <sz val="14"/>
      <color theme="1"/>
      <name val="Meiryo"/>
      <family val="3"/>
      <charset val="128"/>
    </font>
    <font>
      <b/>
      <sz val="14"/>
      <color rgb="FFFFFFFF"/>
      <name val="游ゴシック"/>
      <family val="3"/>
      <charset val="128"/>
      <scheme val="minor"/>
    </font>
    <font>
      <sz val="14"/>
      <color rgb="FF000000"/>
      <name val="游ゴシック"/>
      <family val="2"/>
      <charset val="128"/>
      <scheme val="minor"/>
    </font>
    <font>
      <sz val="14"/>
      <color rgb="FF000000"/>
      <name val="游ゴシック"/>
      <family val="3"/>
      <charset val="128"/>
      <scheme val="minor"/>
    </font>
    <font>
      <u/>
      <sz val="14"/>
      <color theme="10"/>
      <name val="游ゴシック"/>
      <family val="2"/>
      <charset val="128"/>
      <scheme val="minor"/>
    </font>
    <font>
      <b/>
      <sz val="9"/>
      <color indexed="81"/>
      <name val="ＭＳ Ｐゴシック"/>
      <family val="3"/>
      <charset val="128"/>
    </font>
    <font>
      <b/>
      <sz val="16"/>
      <color rgb="FFFFFFFF"/>
      <name val="Meiryo"/>
      <family val="3"/>
      <charset val="128"/>
    </font>
    <font>
      <i/>
      <sz val="10"/>
      <color rgb="FF404040"/>
      <name val="Meiryo"/>
      <family val="3"/>
      <charset val="128"/>
    </font>
    <font>
      <sz val="10"/>
      <color theme="1"/>
      <name val="Meiryo"/>
      <family val="3"/>
      <charset val="128"/>
    </font>
    <font>
      <b/>
      <sz val="10"/>
      <color rgb="FF1F4E78"/>
      <name val="Meiryo"/>
      <family val="3"/>
      <charset val="128"/>
    </font>
    <font>
      <b/>
      <sz val="10"/>
      <color rgb="FFFFFFFF"/>
      <name val="Meiryo"/>
      <family val="3"/>
      <charset val="128"/>
    </font>
    <font>
      <b/>
      <sz val="10"/>
      <color theme="1"/>
      <name val="Meiryo"/>
      <family val="3"/>
      <charset val="128"/>
    </font>
    <font>
      <sz val="10"/>
      <color rgb="FF808080"/>
      <name val="Meiryo"/>
      <family val="3"/>
      <charset val="128"/>
    </font>
    <font>
      <b/>
      <sz val="10"/>
      <color rgb="FF0070C0"/>
      <name val="Meiryo"/>
      <family val="3"/>
      <charset val="128"/>
    </font>
    <font>
      <b/>
      <sz val="10"/>
      <color rgb="FFC00000"/>
      <name val="Meiryo"/>
      <family val="3"/>
      <charset val="128"/>
    </font>
    <font>
      <b/>
      <sz val="10"/>
      <color rgb="FF808080"/>
      <name val="Meiryo"/>
      <family val="3"/>
      <charset val="128"/>
    </font>
    <font>
      <sz val="10"/>
      <color rgb="FF0000FF"/>
      <name val="Meiryo"/>
      <family val="3"/>
      <charset val="128"/>
    </font>
    <font>
      <sz val="10"/>
      <color rgb="FFC00000"/>
      <name val="Meiryo"/>
      <family val="3"/>
      <charset val="128"/>
    </font>
    <font>
      <sz val="14"/>
      <color rgb="FF000000"/>
      <name val="游ゴシック"/>
      <family val="3"/>
      <charset val="128"/>
    </font>
    <font>
      <b/>
      <sz val="16"/>
      <color rgb="FF1F4E78"/>
      <name val="Meiryo"/>
      <family val="3"/>
      <charset val="128"/>
    </font>
    <font>
      <sz val="16"/>
      <color theme="1"/>
      <name val="Meiryo"/>
      <family val="3"/>
      <charset val="128"/>
    </font>
    <font>
      <sz val="16"/>
      <color rgb="FF000000"/>
      <name val="Meiryo"/>
      <family val="3"/>
      <charset val="128"/>
    </font>
    <font>
      <b/>
      <sz val="14"/>
      <color theme="0"/>
      <name val="游ゴシック"/>
      <family val="3"/>
      <charset val="128"/>
      <scheme val="minor"/>
    </font>
    <font>
      <b/>
      <sz val="28"/>
      <color theme="0"/>
      <name val="游ゴシック"/>
      <family val="3"/>
      <charset val="128"/>
      <scheme val="minor"/>
    </font>
  </fonts>
  <fills count="11">
    <fill>
      <patternFill patternType="none"/>
    </fill>
    <fill>
      <patternFill patternType="gray125"/>
    </fill>
    <fill>
      <patternFill patternType="solid">
        <fgColor rgb="FF1F4E78"/>
      </patternFill>
    </fill>
    <fill>
      <patternFill patternType="solid">
        <fgColor rgb="FFF2F7FC"/>
      </patternFill>
    </fill>
    <fill>
      <patternFill patternType="solid">
        <fgColor rgb="FF1F4E78"/>
        <bgColor indexed="64"/>
      </patternFill>
    </fill>
    <fill>
      <patternFill patternType="solid">
        <fgColor rgb="FFBDD7EE"/>
        <bgColor indexed="64"/>
      </patternFill>
    </fill>
    <fill>
      <patternFill patternType="solid">
        <fgColor rgb="FFDDEBF7"/>
        <bgColor indexed="64"/>
      </patternFill>
    </fill>
    <fill>
      <patternFill patternType="solid">
        <fgColor rgb="FFF2F2F2"/>
        <bgColor indexed="64"/>
      </patternFill>
    </fill>
    <fill>
      <patternFill patternType="solid">
        <fgColor rgb="FFFFFF00"/>
        <bgColor indexed="64"/>
      </patternFill>
    </fill>
    <fill>
      <patternFill patternType="solid">
        <fgColor rgb="FFFF0000"/>
        <bgColor indexed="64"/>
      </patternFill>
    </fill>
    <fill>
      <patternFill patternType="solid">
        <fgColor theme="4"/>
        <bgColor indexed="64"/>
      </patternFill>
    </fill>
  </fills>
  <borders count="5">
    <border>
      <left/>
      <right/>
      <top/>
      <bottom/>
      <diagonal/>
    </border>
    <border>
      <left style="thin">
        <color rgb="FFBFBFBF"/>
      </left>
      <right style="thin">
        <color rgb="FFBFBFBF"/>
      </right>
      <top style="thin">
        <color rgb="FFBFBFBF"/>
      </top>
      <bottom style="thin">
        <color rgb="FFBFBFBF"/>
      </bottom>
      <diagonal/>
    </border>
    <border>
      <left/>
      <right/>
      <top/>
      <bottom style="thin">
        <color rgb="FFBFBFBF"/>
      </bottom>
      <diagonal/>
    </border>
    <border>
      <left style="thin">
        <color rgb="FFBFBFBF"/>
      </left>
      <right/>
      <top/>
      <bottom/>
      <diagonal/>
    </border>
    <border>
      <left style="medium">
        <color indexed="64"/>
      </left>
      <right style="medium">
        <color indexed="64"/>
      </right>
      <top style="medium">
        <color indexed="64"/>
      </top>
      <bottom style="medium">
        <color indexed="64"/>
      </bottom>
      <diagonal/>
    </border>
  </borders>
  <cellStyleXfs count="2">
    <xf numFmtId="0" fontId="0" fillId="0" borderId="0">
      <alignment vertical="center"/>
    </xf>
    <xf numFmtId="0" fontId="18" fillId="0" borderId="0" applyNumberFormat="0" applyFill="0" applyBorder="0" applyAlignment="0" applyProtection="0">
      <alignment vertical="center"/>
    </xf>
  </cellStyleXfs>
  <cellXfs count="88">
    <xf numFmtId="0" fontId="0" fillId="0" borderId="0" xfId="0">
      <alignment vertical="center"/>
    </xf>
    <xf numFmtId="0" fontId="0" fillId="0" borderId="0" xfId="0" applyAlignment="1"/>
    <xf numFmtId="0" fontId="3" fillId="0" borderId="0" xfId="0" applyFont="1" applyAlignment="1"/>
    <xf numFmtId="0" fontId="4" fillId="2" borderId="1" xfId="0" applyFont="1" applyFill="1" applyBorder="1" applyAlignment="1">
      <alignment horizontal="center" vertical="center" wrapText="1"/>
    </xf>
    <xf numFmtId="0" fontId="5" fillId="0" borderId="1" xfId="0" applyFont="1" applyBorder="1" applyAlignment="1">
      <alignment horizontal="left" vertical="center"/>
    </xf>
    <xf numFmtId="0" fontId="6" fillId="3" borderId="1"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6" fillId="3" borderId="1" xfId="0" applyFont="1" applyFill="1" applyBorder="1" applyAlignment="1">
      <alignment horizontal="left" vertical="center"/>
    </xf>
    <xf numFmtId="176" fontId="5" fillId="3" borderId="1" xfId="0" applyNumberFormat="1" applyFont="1" applyFill="1" applyBorder="1" applyAlignment="1">
      <alignment horizontal="right" vertical="center"/>
    </xf>
    <xf numFmtId="176" fontId="6" fillId="3" borderId="1" xfId="0" applyNumberFormat="1" applyFont="1" applyFill="1" applyBorder="1" applyAlignment="1">
      <alignment horizontal="right" vertical="center"/>
    </xf>
    <xf numFmtId="0" fontId="6" fillId="0" borderId="1" xfId="0" applyFont="1" applyBorder="1" applyAlignment="1">
      <alignment horizontal="center" vertical="center" wrapText="1"/>
    </xf>
    <xf numFmtId="0" fontId="7" fillId="0" borderId="1" xfId="0" applyFont="1" applyBorder="1" applyAlignment="1">
      <alignment horizontal="center" vertical="center" wrapText="1"/>
    </xf>
    <xf numFmtId="0" fontId="6" fillId="0" borderId="1" xfId="0" applyFont="1" applyBorder="1" applyAlignment="1">
      <alignment horizontal="left" vertical="center"/>
    </xf>
    <xf numFmtId="176" fontId="5" fillId="0" borderId="1" xfId="0" applyNumberFormat="1" applyFont="1" applyBorder="1" applyAlignment="1">
      <alignment horizontal="right" vertical="center"/>
    </xf>
    <xf numFmtId="0" fontId="8" fillId="0" borderId="0" xfId="0" applyFont="1">
      <alignment vertical="center"/>
    </xf>
    <xf numFmtId="10" fontId="0" fillId="0" borderId="0" xfId="0" applyNumberFormat="1">
      <alignment vertical="center"/>
    </xf>
    <xf numFmtId="3" fontId="0" fillId="0" borderId="0" xfId="0" applyNumberFormat="1">
      <alignment vertical="center"/>
    </xf>
    <xf numFmtId="20" fontId="0" fillId="0" borderId="0" xfId="0" applyNumberFormat="1">
      <alignment vertical="center"/>
    </xf>
    <xf numFmtId="4" fontId="0" fillId="0" borderId="0" xfId="0" applyNumberFormat="1">
      <alignment vertical="center"/>
    </xf>
    <xf numFmtId="3" fontId="9" fillId="3" borderId="1" xfId="0" applyNumberFormat="1" applyFont="1" applyFill="1" applyBorder="1" applyAlignment="1">
      <alignment horizontal="right" vertical="center"/>
    </xf>
    <xf numFmtId="3" fontId="9" fillId="0" borderId="1" xfId="0" applyNumberFormat="1" applyFont="1" applyBorder="1" applyAlignment="1">
      <alignment horizontal="right" vertical="center"/>
    </xf>
    <xf numFmtId="0" fontId="4" fillId="4" borderId="1" xfId="0" applyFont="1" applyFill="1" applyBorder="1" applyAlignment="1">
      <alignment horizontal="center" vertical="center" wrapText="1"/>
    </xf>
    <xf numFmtId="176" fontId="5" fillId="0" borderId="1" xfId="0" quotePrefix="1" applyNumberFormat="1" applyFont="1" applyBorder="1" applyAlignment="1">
      <alignment horizontal="right" vertical="center"/>
    </xf>
    <xf numFmtId="22" fontId="0" fillId="0" borderId="0" xfId="0" applyNumberFormat="1">
      <alignment vertical="center"/>
    </xf>
    <xf numFmtId="3" fontId="12" fillId="0" borderId="0" xfId="0" applyNumberFormat="1" applyFont="1" applyAlignment="1">
      <alignment horizontal="right" vertical="center"/>
    </xf>
    <xf numFmtId="177" fontId="12" fillId="0" borderId="0" xfId="0" applyNumberFormat="1" applyFont="1" applyAlignment="1">
      <alignment horizontal="right" vertical="center"/>
    </xf>
    <xf numFmtId="178" fontId="12" fillId="0" borderId="0" xfId="0" applyNumberFormat="1" applyFont="1" applyAlignment="1">
      <alignment horizontal="right" vertical="center"/>
    </xf>
    <xf numFmtId="1" fontId="12" fillId="0" borderId="0" xfId="0" applyNumberFormat="1" applyFont="1" applyAlignment="1">
      <alignment horizontal="right" vertical="center"/>
    </xf>
    <xf numFmtId="2" fontId="12" fillId="0" borderId="0" xfId="0" applyNumberFormat="1" applyFont="1" applyAlignment="1">
      <alignment horizontal="right" vertical="center"/>
    </xf>
    <xf numFmtId="0" fontId="13" fillId="0" borderId="0" xfId="0" applyFont="1">
      <alignment vertical="center"/>
    </xf>
    <xf numFmtId="3" fontId="9" fillId="0" borderId="0" xfId="0" applyNumberFormat="1" applyFont="1" applyAlignment="1">
      <alignment horizontal="right" vertical="center"/>
    </xf>
    <xf numFmtId="4" fontId="14" fillId="0" borderId="0" xfId="0" applyNumberFormat="1" applyFont="1" applyAlignment="1">
      <alignment horizontal="right" vertical="center"/>
    </xf>
    <xf numFmtId="0" fontId="15" fillId="4" borderId="0" xfId="0" applyFont="1" applyFill="1">
      <alignment vertical="center"/>
    </xf>
    <xf numFmtId="3" fontId="16" fillId="0" borderId="0" xfId="0" applyNumberFormat="1" applyFont="1" applyAlignment="1">
      <alignment horizontal="right" vertical="center"/>
    </xf>
    <xf numFmtId="176" fontId="16" fillId="0" borderId="0" xfId="0" applyNumberFormat="1" applyFont="1" applyAlignment="1">
      <alignment horizontal="right" vertical="center"/>
    </xf>
    <xf numFmtId="22" fontId="0" fillId="0" borderId="0" xfId="0" applyNumberFormat="1" applyAlignment="1"/>
    <xf numFmtId="177" fontId="0" fillId="0" borderId="0" xfId="0" applyNumberFormat="1" applyAlignment="1"/>
    <xf numFmtId="0" fontId="0" fillId="0" borderId="0" xfId="0" applyAlignment="1">
      <alignment horizontal="center" vertical="center"/>
    </xf>
    <xf numFmtId="0" fontId="18" fillId="0" borderId="0" xfId="1" applyAlignment="1"/>
    <xf numFmtId="2" fontId="0" fillId="0" borderId="0" xfId="0" applyNumberFormat="1" applyAlignment="1"/>
    <xf numFmtId="1" fontId="0" fillId="0" borderId="0" xfId="0" applyNumberFormat="1" applyAlignment="1"/>
    <xf numFmtId="0" fontId="24" fillId="4" borderId="1" xfId="0" applyFont="1" applyFill="1" applyBorder="1" applyAlignment="1">
      <alignment horizontal="center" vertical="center"/>
    </xf>
    <xf numFmtId="0" fontId="25" fillId="7" borderId="0" xfId="0" applyFont="1" applyFill="1" applyAlignment="1">
      <alignment horizontal="center" vertical="center"/>
    </xf>
    <xf numFmtId="3" fontId="30" fillId="0" borderId="1" xfId="0" applyNumberFormat="1" applyFont="1" applyBorder="1" applyAlignment="1">
      <alignment horizontal="right" vertical="center"/>
    </xf>
    <xf numFmtId="177" fontId="30" fillId="0" borderId="1" xfId="0" applyNumberFormat="1" applyFont="1" applyBorder="1" applyAlignment="1">
      <alignment horizontal="right" vertical="center"/>
    </xf>
    <xf numFmtId="178" fontId="30" fillId="0" borderId="1" xfId="0" applyNumberFormat="1" applyFont="1" applyBorder="1" applyAlignment="1">
      <alignment horizontal="right" vertical="center"/>
    </xf>
    <xf numFmtId="1" fontId="30" fillId="0" borderId="1" xfId="0" applyNumberFormat="1" applyFont="1" applyBorder="1" applyAlignment="1">
      <alignment horizontal="right" vertical="center"/>
    </xf>
    <xf numFmtId="2" fontId="30" fillId="0" borderId="1" xfId="0" applyNumberFormat="1" applyFont="1" applyBorder="1" applyAlignment="1">
      <alignment horizontal="right" vertical="center"/>
    </xf>
    <xf numFmtId="0" fontId="22" fillId="0" borderId="0" xfId="0" applyFont="1">
      <alignment vertical="center"/>
    </xf>
    <xf numFmtId="0" fontId="22" fillId="0" borderId="1" xfId="0" applyFont="1" applyBorder="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9" fillId="0" borderId="0" xfId="0" applyFont="1">
      <alignment vertical="center"/>
    </xf>
    <xf numFmtId="0" fontId="31" fillId="0" borderId="0" xfId="0" applyFont="1">
      <alignment vertical="center"/>
    </xf>
    <xf numFmtId="0" fontId="16" fillId="0" borderId="0" xfId="0" applyFont="1" applyAlignment="1"/>
    <xf numFmtId="180" fontId="0" fillId="0" borderId="0" xfId="0" applyNumberFormat="1" applyAlignment="1"/>
    <xf numFmtId="0" fontId="17" fillId="0" borderId="0" xfId="0" applyFont="1" applyAlignment="1"/>
    <xf numFmtId="179" fontId="0" fillId="0" borderId="0" xfId="0" applyNumberFormat="1">
      <alignment vertical="center"/>
    </xf>
    <xf numFmtId="2" fontId="0" fillId="0" borderId="0" xfId="0" applyNumberFormat="1">
      <alignment vertical="center"/>
    </xf>
    <xf numFmtId="0" fontId="4" fillId="2" borderId="3" xfId="0" applyFont="1" applyFill="1" applyBorder="1" applyAlignment="1">
      <alignment horizontal="center" vertical="center" wrapText="1"/>
    </xf>
    <xf numFmtId="1" fontId="0" fillId="0" borderId="0" xfId="0" applyNumberFormat="1">
      <alignment vertical="center"/>
    </xf>
    <xf numFmtId="177" fontId="0" fillId="0" borderId="0" xfId="0" applyNumberFormat="1">
      <alignment vertical="center"/>
    </xf>
    <xf numFmtId="181" fontId="4" fillId="4" borderId="1" xfId="0" applyNumberFormat="1" applyFont="1" applyFill="1" applyBorder="1" applyAlignment="1">
      <alignment horizontal="center" vertical="center" wrapText="1"/>
    </xf>
    <xf numFmtId="181" fontId="0" fillId="0" borderId="0" xfId="0" applyNumberFormat="1" applyAlignment="1"/>
    <xf numFmtId="181" fontId="4" fillId="2" borderId="1" xfId="0" applyNumberFormat="1" applyFont="1" applyFill="1" applyBorder="1" applyAlignment="1">
      <alignment horizontal="center" vertical="center" wrapText="1"/>
    </xf>
    <xf numFmtId="181" fontId="0" fillId="0" borderId="0" xfId="0" applyNumberFormat="1">
      <alignment vertical="center"/>
    </xf>
    <xf numFmtId="0" fontId="17" fillId="0" borderId="0" xfId="1" applyFont="1" applyAlignment="1">
      <alignment horizontal="left"/>
    </xf>
    <xf numFmtId="0" fontId="0" fillId="0" borderId="1" xfId="0" applyBorder="1">
      <alignment vertical="center"/>
    </xf>
    <xf numFmtId="0" fontId="35" fillId="8" borderId="0" xfId="0" applyFont="1" applyFill="1" applyAlignment="1">
      <alignment horizontal="left" vertical="center" wrapText="1"/>
    </xf>
    <xf numFmtId="0" fontId="20" fillId="8" borderId="1" xfId="0" applyFont="1" applyFill="1" applyBorder="1" applyAlignment="1">
      <alignment horizontal="center" vertical="center"/>
    </xf>
    <xf numFmtId="0" fontId="34" fillId="8" borderId="1" xfId="0" applyFont="1" applyFill="1" applyBorder="1">
      <alignment vertical="center"/>
    </xf>
    <xf numFmtId="0" fontId="34" fillId="8" borderId="1" xfId="0" applyFont="1" applyFill="1" applyBorder="1" applyAlignment="1">
      <alignment horizontal="left" vertical="center" wrapText="1"/>
    </xf>
    <xf numFmtId="0" fontId="35" fillId="8" borderId="0" xfId="0" applyFont="1" applyFill="1">
      <alignment vertical="center"/>
    </xf>
    <xf numFmtId="0" fontId="34" fillId="8" borderId="0" xfId="0" applyFont="1" applyFill="1">
      <alignment vertical="center"/>
    </xf>
    <xf numFmtId="0" fontId="23" fillId="6" borderId="0" xfId="0" applyFont="1" applyFill="1">
      <alignment vertical="center"/>
    </xf>
    <xf numFmtId="0" fontId="20" fillId="4" borderId="0" xfId="0" applyFont="1" applyFill="1">
      <alignment vertical="center"/>
    </xf>
    <xf numFmtId="0" fontId="21" fillId="0" borderId="0" xfId="0" applyFont="1">
      <alignment vertical="center"/>
    </xf>
    <xf numFmtId="0" fontId="33" fillId="8" borderId="0" xfId="0" applyFont="1" applyFill="1">
      <alignment vertical="center"/>
    </xf>
    <xf numFmtId="0" fontId="22" fillId="0" borderId="1" xfId="0" applyFont="1" applyBorder="1" applyAlignment="1">
      <alignment horizontal="left" vertical="center"/>
    </xf>
    <xf numFmtId="0" fontId="2" fillId="5" borderId="2" xfId="0" applyFont="1" applyFill="1" applyBorder="1" applyAlignment="1">
      <alignment horizontal="left" vertical="center"/>
    </xf>
    <xf numFmtId="0" fontId="35" fillId="9" borderId="0" xfId="0" applyFont="1" applyFill="1" applyAlignment="1">
      <alignment horizontal="left" vertical="center" wrapText="1"/>
    </xf>
    <xf numFmtId="0" fontId="36" fillId="9" borderId="0" xfId="0" applyFont="1" applyFill="1" applyAlignment="1">
      <alignment horizontal="left" vertical="center"/>
    </xf>
    <xf numFmtId="0" fontId="36" fillId="9" borderId="0" xfId="0" applyFont="1" applyFill="1">
      <alignment vertical="center"/>
    </xf>
    <xf numFmtId="0" fontId="36" fillId="9" borderId="0" xfId="0" applyFont="1" applyFill="1" applyAlignment="1">
      <alignment horizontal="center" vertical="center"/>
    </xf>
    <xf numFmtId="0" fontId="37" fillId="10" borderId="4" xfId="0" applyFont="1" applyFill="1" applyBorder="1" applyAlignment="1">
      <alignment horizontal="center" vertical="center"/>
    </xf>
    <xf numFmtId="0" fontId="4" fillId="2" borderId="1" xfId="0" applyFont="1" applyFill="1" applyBorder="1" applyAlignment="1">
      <alignment horizontal="right" vertical="center" wrapText="1"/>
    </xf>
    <xf numFmtId="22" fontId="16" fillId="0" borderId="0" xfId="0" applyNumberFormat="1" applyFont="1" applyAlignment="1">
      <alignment horizontal="right" vertic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251460</xdr:colOff>
          <xdr:row>1</xdr:row>
          <xdr:rowOff>175260</xdr:rowOff>
        </xdr:from>
        <xdr:to>
          <xdr:col>2</xdr:col>
          <xdr:colOff>708660</xdr:colOff>
          <xdr:row>2</xdr:row>
          <xdr:rowOff>243840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銘柄反映_MS2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3</xdr:row>
          <xdr:rowOff>38100</xdr:rowOff>
        </xdr:from>
        <xdr:to>
          <xdr:col>2</xdr:col>
          <xdr:colOff>708660</xdr:colOff>
          <xdr:row>4</xdr:row>
          <xdr:rowOff>114300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RSS式セット_MS2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4</xdr:row>
          <xdr:rowOff>190500</xdr:rowOff>
        </xdr:from>
        <xdr:to>
          <xdr:col>2</xdr:col>
          <xdr:colOff>708660</xdr:colOff>
          <xdr:row>5</xdr:row>
          <xdr:rowOff>266700</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判定式セット_MS2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6</xdr:row>
          <xdr:rowOff>60960</xdr:rowOff>
        </xdr:from>
        <xdr:to>
          <xdr:col>2</xdr:col>
          <xdr:colOff>708660</xdr:colOff>
          <xdr:row>7</xdr:row>
          <xdr:rowOff>129540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ATR収集_開始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7</xdr:row>
          <xdr:rowOff>205740</xdr:rowOff>
        </xdr:from>
        <xdr:to>
          <xdr:col>2</xdr:col>
          <xdr:colOff>708660</xdr:colOff>
          <xdr:row>9</xdr:row>
          <xdr:rowOff>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ATR収集_停止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9</xdr:row>
          <xdr:rowOff>76200</xdr:rowOff>
        </xdr:from>
        <xdr:to>
          <xdr:col>2</xdr:col>
          <xdr:colOff>708660</xdr:colOff>
          <xdr:row>10</xdr:row>
          <xdr:rowOff>152400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シグナル抽出_MS2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10</xdr:row>
          <xdr:rowOff>228600</xdr:rowOff>
        </xdr:from>
        <xdr:to>
          <xdr:col>2</xdr:col>
          <xdr:colOff>708660</xdr:colOff>
          <xdr:row>12</xdr:row>
          <xdr:rowOff>15240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結果判定_MS2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12</xdr:row>
          <xdr:rowOff>91440</xdr:rowOff>
        </xdr:from>
        <xdr:to>
          <xdr:col>2</xdr:col>
          <xdr:colOff>708660</xdr:colOff>
          <xdr:row>13</xdr:row>
          <xdr:rowOff>167640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ランキング_MS2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13</xdr:row>
          <xdr:rowOff>243840</xdr:rowOff>
        </xdr:from>
        <xdr:to>
          <xdr:col>2</xdr:col>
          <xdr:colOff>708660</xdr:colOff>
          <xdr:row>15</xdr:row>
          <xdr:rowOff>38100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銘柄名補完_MS2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15</xdr:row>
          <xdr:rowOff>114300</xdr:rowOff>
        </xdr:from>
        <xdr:to>
          <xdr:col>2</xdr:col>
          <xdr:colOff>708660</xdr:colOff>
          <xdr:row>16</xdr:row>
          <xdr:rowOff>182880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ヘッダー修復_MS2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16</xdr:row>
          <xdr:rowOff>259080</xdr:rowOff>
        </xdr:from>
        <xdr:to>
          <xdr:col>2</xdr:col>
          <xdr:colOff>708660</xdr:colOff>
          <xdr:row>18</xdr:row>
          <xdr:rowOff>53340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TRADE見出し修復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18</xdr:row>
          <xdr:rowOff>129540</xdr:rowOff>
        </xdr:from>
        <xdr:to>
          <xdr:col>2</xdr:col>
          <xdr:colOff>708660</xdr:colOff>
          <xdr:row>19</xdr:row>
          <xdr:rowOff>205740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ATR履歴リセット_MS2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20</xdr:row>
          <xdr:rowOff>0</xdr:rowOff>
        </xdr:from>
        <xdr:to>
          <xdr:col>2</xdr:col>
          <xdr:colOff>708660</xdr:colOff>
          <xdr:row>21</xdr:row>
          <xdr:rowOff>68580</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前日値保存_MS2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21</xdr:row>
          <xdr:rowOff>144780</xdr:rowOff>
        </xdr:from>
        <xdr:to>
          <xdr:col>2</xdr:col>
          <xdr:colOff>708660</xdr:colOff>
          <xdr:row>22</xdr:row>
          <xdr:rowOff>220980</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前日値反映_MS2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23</xdr:row>
          <xdr:rowOff>15240</xdr:rowOff>
        </xdr:from>
        <xdr:to>
          <xdr:col>2</xdr:col>
          <xdr:colOff>708660</xdr:colOff>
          <xdr:row>24</xdr:row>
          <xdr:rowOff>91440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前日値_自動ON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24</xdr:row>
          <xdr:rowOff>167640</xdr:rowOff>
        </xdr:from>
        <xdr:to>
          <xdr:col>2</xdr:col>
          <xdr:colOff>708660</xdr:colOff>
          <xdr:row>25</xdr:row>
          <xdr:rowOff>236220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前日値_自動OFF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26</xdr:row>
          <xdr:rowOff>30480</xdr:rowOff>
        </xdr:from>
        <xdr:to>
          <xdr:col>2</xdr:col>
          <xdr:colOff>708660</xdr:colOff>
          <xdr:row>27</xdr:row>
          <xdr:rowOff>106680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★タイマー全解除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27</xdr:row>
          <xdr:rowOff>182880</xdr:rowOff>
        </xdr:from>
        <xdr:to>
          <xdr:col>2</xdr:col>
          <xdr:colOff>708660</xdr:colOff>
          <xdr:row>28</xdr:row>
          <xdr:rowOff>259080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ログ_MS2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251460</xdr:colOff>
          <xdr:row>29</xdr:row>
          <xdr:rowOff>53340</xdr:rowOff>
        </xdr:from>
        <xdr:to>
          <xdr:col>2</xdr:col>
          <xdr:colOff>708660</xdr:colOff>
          <xdr:row>30</xdr:row>
          <xdr:rowOff>121920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全自動_MS2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3733800</xdr:colOff>
      <xdr:row>0</xdr:row>
      <xdr:rowOff>45720</xdr:rowOff>
    </xdr:from>
    <xdr:to>
      <xdr:col>2</xdr:col>
      <xdr:colOff>2352181</xdr:colOff>
      <xdr:row>0</xdr:row>
      <xdr:rowOff>864768</xdr:rowOff>
    </xdr:to>
    <xdr:pic>
      <xdr:nvPicPr>
        <xdr:cNvPr id="4" name="図 3">
          <a:extLst>
            <a:ext uri="{FF2B5EF4-FFF2-40B4-BE49-F238E27FC236}">
              <a16:creationId xmlns:a16="http://schemas.microsoft.com/office/drawing/2014/main" id="{B101FCB1-9790-4A62-2569-F27B59DC89C9}"/>
            </a:ext>
          </a:extLst>
        </xdr:cNvPr>
        <xdr:cNvPicPr>
          <a:picLocks noChangeAspect="1"/>
        </xdr:cNvPicPr>
      </xdr:nvPicPr>
      <xdr:blipFill>
        <a:blip xmlns:r="http://schemas.openxmlformats.org/officeDocument/2006/relationships" r:embed="rId1"/>
        <a:stretch>
          <a:fillRect/>
        </a:stretch>
      </xdr:blipFill>
      <xdr:spPr>
        <a:xfrm>
          <a:off x="5387340" y="45720"/>
          <a:ext cx="3952381" cy="8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980581</xdr:colOff>
      <xdr:row>0</xdr:row>
      <xdr:rowOff>819048</xdr:rowOff>
    </xdr:to>
    <xdr:pic>
      <xdr:nvPicPr>
        <xdr:cNvPr id="3" name="図 2">
          <a:extLst>
            <a:ext uri="{FF2B5EF4-FFF2-40B4-BE49-F238E27FC236}">
              <a16:creationId xmlns:a16="http://schemas.microsoft.com/office/drawing/2014/main" id="{848FCB0A-E42C-4091-7ED9-532C2DE67542}"/>
            </a:ext>
          </a:extLst>
        </xdr:cNvPr>
        <xdr:cNvPicPr>
          <a:picLocks noChangeAspect="1"/>
        </xdr:cNvPicPr>
      </xdr:nvPicPr>
      <xdr:blipFill>
        <a:blip xmlns:r="http://schemas.openxmlformats.org/officeDocument/2006/relationships" r:embed="rId1"/>
        <a:stretch>
          <a:fillRect/>
        </a:stretch>
      </xdr:blipFill>
      <xdr:spPr>
        <a:xfrm>
          <a:off x="0" y="0"/>
          <a:ext cx="3952381" cy="81904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1737360</xdr:colOff>
      <xdr:row>1</xdr:row>
      <xdr:rowOff>213360</xdr:rowOff>
    </xdr:to>
    <xdr:pic>
      <xdr:nvPicPr>
        <xdr:cNvPr id="3" name="図 2">
          <a:extLst>
            <a:ext uri="{FF2B5EF4-FFF2-40B4-BE49-F238E27FC236}">
              <a16:creationId xmlns:a16="http://schemas.microsoft.com/office/drawing/2014/main" id="{C68F7B22-FCFA-D86E-1E47-D40CD17A2311}"/>
            </a:ext>
          </a:extLst>
        </xdr:cNvPr>
        <xdr:cNvPicPr>
          <a:picLocks noChangeAspect="1"/>
        </xdr:cNvPicPr>
      </xdr:nvPicPr>
      <xdr:blipFill>
        <a:blip xmlns:r="http://schemas.openxmlformats.org/officeDocument/2006/relationships" r:embed="rId1"/>
        <a:stretch>
          <a:fillRect/>
        </a:stretch>
      </xdr:blipFill>
      <xdr:spPr>
        <a:xfrm>
          <a:off x="0" y="0"/>
          <a:ext cx="1737360" cy="8001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53" row="9">
    <wetp:webextensionref xmlns:r="http://schemas.openxmlformats.org/officeDocument/2006/relationships" r:id="rId1"/>
  </wetp:taskpane>
  <wetp:taskpane dockstate="right" visibility="0" width="0" row="0">
    <wetp:webextensionref xmlns:r="http://schemas.openxmlformats.org/officeDocument/2006/relationships" r:id="rId2"/>
  </wetp:taskpane>
</wetp:taskpanes>
</file>

<file path=xl/webextensions/webextension1.xml><?xml version="1.0" encoding="utf-8"?>
<we:webextension xmlns:we="http://schemas.microsoft.com/office/webextensions/webextension/2010/11" id="{83C2BE0C-67F0-4B39-AAA6-6A472FE870B4}">
  <we:reference id="wa200009404" version="1.0.0.8" store="en-US" storeType="OMEX"/>
  <we:alternateReferences>
    <we:reference id="WA200009404" version="1.0.0.8" store="" storeType="OMEX"/>
  </we:alternateReferences>
  <we:properties>
    <we:property name="claude.fileId" value="&quot;165be2b9-50a9-4c6f-97f0-61aa1bd401a8&quot;"/>
  </we:properties>
  <we:bindings/>
  <we:snapshot xmlns:r="http://schemas.openxmlformats.org/officeDocument/2006/relationships"/>
</we:webextension>
</file>

<file path=xl/webextensions/webextension2.xml><?xml version="1.0" encoding="utf-8"?>
<we:webextension xmlns:we="http://schemas.microsoft.com/office/webextensions/webextension/2010/11" id="{DF895CB3-15A2-4468-A996-1730B71788F4}">
  <we:reference id="wa200005271" version="3.0.0.4" store="ja-JP" storeType="OMEX"/>
  <we:alternateReferences>
    <we:reference id="WA200005271" version="3.0.0.4"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s>_xldudf_AI_WEB</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32797-DABF-43D3-B3CC-0B8A593BE24A}">
  <sheetPr codeName="Sheet6"/>
  <dimension ref="A1:J38"/>
  <sheetViews>
    <sheetView workbookViewId="0">
      <selection activeCell="E19" sqref="E19"/>
    </sheetView>
  </sheetViews>
  <sheetFormatPr defaultRowHeight="22.2"/>
  <cols>
    <col min="5" max="5" width="32.3828125" customWidth="1"/>
    <col min="6" max="6" width="30.53515625" customWidth="1"/>
    <col min="7" max="7" width="57.3046875" bestFit="1" customWidth="1"/>
  </cols>
  <sheetData>
    <row r="1" spans="1:5" ht="52.2" customHeight="1" thickBot="1">
      <c r="A1" s="14" t="s">
        <v>59</v>
      </c>
      <c r="D1" s="37"/>
      <c r="E1" s="85" t="inlineStr">
        <is>
          <t>ATR_MS2_V08021 ／ シート側 v7 修正済（2026-08-31）</t>
        </is>
      </c>
    </row>
    <row r="2" spans="4:10">
      <c r="D2" s="37"/>
      <c r="G2" s="32" t="s">
        <v>60</v>
      </c>
      <c r="H2" s="32" t="s">
        <v>61</v>
      </c>
      <c r="J2" s="29" t="inlineStr">
        <is>
          <t>◆ v7 修正メモ（2026-08-31）</t>
        </is>
      </c>
    </row>
    <row r="3" spans="4:10">
      <c r="D3" s="37"/>
      <c r="G3" t="s">
        <v>62</v>
      </c>
      <c r="H3" s="24">
        <v>1000000</v>
      </c>
      <c r="J3" t="inlineStr">
        <is>
          <t>シート側（数式・データ）は修正済みです。ただしマクロ(VBA)は入れ替えが必要です。</t>
        </is>
      </c>
    </row>
    <row r="4" spans="4:10">
      <c r="D4" s="37"/>
      <c r="G4" t="s">
        <v>63</v>
      </c>
      <c r="H4" s="25">
        <v>1.4999999999999999E-2</v>
      </c>
      <c r="J4" t="inlineStr">
        <is>
          <t>【必須】VBEを開き → MS2_Core を右クリックして「MS2_Coreの解放」で削除 → MS2_Core.bas をインポート</t>
        </is>
      </c>
    </row>
    <row r="5" spans="4:10">
      <c r="D5" s="37"/>
      <c r="G5" t="s">
        <v>64</v>
      </c>
      <c r="H5" s="26">
        <v>1.5</v>
      </c>
      <c r="J5" t="inlineStr">
        <is>
          <t>　　　　→ ThisWorkbook のコードを ThisWorkbook.txt の内容に差し替え → 上書き保存</t>
        </is>
      </c>
    </row>
    <row r="6" spans="4:10">
      <c r="D6" s="37"/>
      <c r="G6" t="s">
        <v>65</v>
      </c>
      <c r="H6" s="26">
        <v>1.5</v>
      </c>
      <c r="J6" t="inlineStr">
        <is>
          <t>【重要】VBAを入れ替えるまで「判定式セット_MS2」「銘柄反映_MS2」「RSS式セット_MS2」は押さないでください</t>
        </is>
      </c>
    </row>
    <row r="7" spans="4:10">
      <c r="D7" s="37" t="s">
        <v>75</v>
      </c>
      <c r="G7" t="s">
        <v>66</v>
      </c>
      <c r="H7" s="26">
        <v>2</v>
      </c>
      <c r="J7" t="inlineStr">
        <is>
          <t>　　　　（旧マクロが修正済みの数式を古いものに戻してしまいます）</t>
        </is>
      </c>
    </row>
    <row r="8" spans="4:8">
      <c r="D8" s="37"/>
      <c r="G8" t="s">
        <v>67</v>
      </c>
      <c r="H8" s="26">
        <v>3</v>
      </c>
    </row>
    <row r="9" spans="4:10">
      <c r="D9" s="37"/>
      <c r="G9" t="s">
        <v>68</v>
      </c>
      <c r="H9" s="27">
        <v>5</v>
      </c>
      <c r="J9" t="inlineStr">
        <is>
          <t>主な修正: ATRの鮮度判定(H17) / 現在値0の除外 / 銘柄の並び順復旧 / Y列に前場を追加</t>
        </is>
      </c>
    </row>
    <row r="10" spans="4:10">
      <c r="D10" s="37">
        <v>2</v>
      </c>
      <c r="G10" t="s">
        <v>69</v>
      </c>
      <c r="H10" s="28">
        <v>1</v>
      </c>
      <c r="J10" t="inlineStr">
        <is>
          <t>　　　　　NOW()を350セル→H15の1セルに集約 / 列全体参照を有限範囲化（再計算の重さ対策）</t>
        </is>
      </c>
    </row>
    <row r="11" spans="4:10">
      <c r="D11" s="37"/>
      <c r="G11" t="s">
        <v>70</v>
      </c>
      <c r="H11" s="33">
        <f ca="1">MEDIAN(0,(MOD(NOW(),1)-TIME(9,0,0))*1440,150)+MEDIAN(0,(MOD(NOW(),1)-TIME(12,30,0))*1440,180)</f>
        <v>59.344333332264796</v>
      </c>
      <c r="J11" t="inlineStr">
        <is>
          <t>　　　　　TRADE_MS2にQ列(同日決済)を新設し、サマリーは同日決済のみを集計</t>
        </is>
      </c>
    </row>
    <row r="12" spans="4:8">
      <c r="D12" s="37">
        <v>3</v>
      </c>
      <c r="G12" t="s">
        <v>71</v>
      </c>
      <c r="H12" s="34">
        <f ca="1">MAX(1,H11/MAX(1,H9))</f>
        <v>11.868866666452959</v>
      </c>
    </row>
    <row r="13" spans="4:10">
      <c r="D13" s="37">
        <v>4</v>
      </c>
      <c r="G13" t="s">
        <v>178</v>
      </c>
      <c r="H13" s="24">
        <v>100</v>
      </c>
      <c r="J13" t="inlineStr">
        <is>
          <t>9434 ソフトバンクの前日高安は 2026-08-10 のまま古い値です。</t>
        </is>
      </c>
    </row>
    <row r="14" spans="4:10">
      <c r="D14" s="37"/>
      <c r="G14" s="29" t="inlineStr">
        <is>
          <t>※ ATRは ATRHIST_MS2 が「当日更新済み」のときだけ実測5分足(AD列)を使います。古い/未蓄積なら 当日レンジ÷√経過足本数 に自動フォールバックします（H17で判定）。</t>
        </is>
      </c>
      <c r="J14" t="inlineStr">
        <is>
          <t>引け後に「前日値保存_MS2」を1回実行すると正しい値に入れ替わります。</t>
        </is>
      </c>
    </row>
    <row r="15" spans="4:8">
      <c r="D15" s="37"/>
      <c r="G15" t="inlineStr">
        <is>
          <t>現在時刻（自動）</t>
        </is>
      </c>
      <c r="H15" s="33" t="str">
        <f ca="1">TEXT(NOW(),"hh:mm")</f>
      </c>
    </row>
    <row r="16" spans="4:8">
      <c r="D16" s="37"/>
      <c r="G16" t="inlineStr">
        <is>
          <t>ATR履歴の最終更新（自動）</t>
        </is>
      </c>
      <c r="H16" s="87">
        <f>IFERROR(MAX(ATRHIST_MS2!$I$2:$I$400),0)</f>
      </c>
    </row>
    <row r="17" spans="4:8">
      <c r="D17" s="37"/>
      <c r="G17" t="inlineStr">
        <is>
          <t>実測ATR採用 1=当日/0=推定（自動）</t>
        </is>
      </c>
      <c r="H17" s="33">
        <f ca="1">IF(INT($H$16)=TODAY(),1,0)</f>
      </c>
    </row>
    <row r="18" spans="4:4">
      <c r="D18" s="37"/>
    </row>
    <row r="19" spans="4:4">
      <c r="D19" s="37"/>
    </row>
    <row r="20" spans="4:4">
      <c r="D20" s="37"/>
    </row>
    <row r="21" spans="4:4">
      <c r="D21" s="37"/>
    </row>
    <row r="22" spans="4:4">
      <c r="D22" s="37"/>
    </row>
    <row r="23" spans="4:4">
      <c r="D23" s="37"/>
    </row>
    <row r="24" spans="4:4">
      <c r="D24" s="37"/>
    </row>
    <row r="25" spans="4:4">
      <c r="D25" s="37"/>
    </row>
    <row r="26" spans="4:4">
      <c r="D26" s="37"/>
    </row>
    <row r="27" spans="4:7">
      <c r="D27" s="82" t="s">
        <v>211</v>
      </c>
      <c r="E27" s="83"/>
      <c r="F27" s="83"/>
      <c r="G27" s="84" t="s">
        <v>210</v>
      </c>
    </row>
    <row r="29" spans="4:6" ht="26.4">
      <c r="D29" s="78" t="s">
        <v>128</v>
      </c>
      <c r="E29" s="78"/>
      <c r="F29" s="78"/>
    </row>
    <row r="30" spans="4:6" ht="26.4">
      <c r="D30" s="70" t="s">
        <v>129</v>
      </c>
      <c r="E30" s="70" t="s">
        <v>130</v>
      </c>
      <c r="F30" s="70" t="s">
        <v>131</v>
      </c>
    </row>
    <row r="31" spans="4:6" ht="52.8">
      <c r="D31" s="71" t="s">
        <v>99</v>
      </c>
      <c r="E31" s="71" t="s">
        <v>132</v>
      </c>
      <c r="F31" s="72" t="s">
        <v>133</v>
      </c>
    </row>
    <row r="32" spans="4:6" ht="132">
      <c r="D32" s="71" t="s">
        <v>100</v>
      </c>
      <c r="E32" s="71" t="s">
        <v>134</v>
      </c>
      <c r="F32" s="72" t="s">
        <v>191</v>
      </c>
    </row>
    <row r="33" spans="4:6" ht="52.8">
      <c r="D33" s="71" t="s">
        <v>135</v>
      </c>
      <c r="E33" s="71" t="s">
        <v>136</v>
      </c>
      <c r="F33" s="72" t="s">
        <v>137</v>
      </c>
    </row>
    <row r="34" spans="4:6" ht="52.8">
      <c r="D34" s="71" t="s">
        <v>135</v>
      </c>
      <c r="E34" s="71" t="s">
        <v>138</v>
      </c>
      <c r="F34" s="72" t="s">
        <v>139</v>
      </c>
    </row>
    <row r="35" spans="4:6" ht="52.8">
      <c r="D35" s="71" t="s">
        <v>101</v>
      </c>
      <c r="E35" s="71" t="s">
        <v>140</v>
      </c>
      <c r="F35" s="72" t="s">
        <v>141</v>
      </c>
    </row>
    <row r="36" spans="4:6" ht="79.2">
      <c r="D36" s="71" t="s">
        <v>142</v>
      </c>
      <c r="E36" s="71" t="s">
        <v>143</v>
      </c>
      <c r="F36" s="72" t="s">
        <v>144</v>
      </c>
    </row>
    <row r="37" spans="4:6" ht="79.2">
      <c r="D37" s="73" t="s">
        <v>187</v>
      </c>
      <c r="E37" s="73" t="s">
        <v>188</v>
      </c>
      <c r="F37" s="81" t="s">
        <v>189</v>
      </c>
    </row>
    <row r="38" spans="4:6" ht="26.4">
      <c r="D38" s="74"/>
      <c r="E38" s="74"/>
      <c r="F38" s="74"/>
    </row>
  </sheetData>
  <mergeCells count="1">
    <mergeCell ref="D29:F29"/>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81" r:id="rId3" name="Button 57">
              <controlPr defaultSize="0" print="0" autoFill="0" autoPict="0" macro="[0]!MS2_Update_StockList_To_DATA">
                <anchor moveWithCells="1" sizeWithCells="1">
                  <from>
                    <xdr:col>0</xdr:col>
                    <xdr:colOff>251460</xdr:colOff>
                    <xdr:row>1</xdr:row>
                    <xdr:rowOff>175260</xdr:rowOff>
                  </from>
                  <to>
                    <xdr:col>2</xdr:col>
                    <xdr:colOff>708660</xdr:colOff>
                    <xdr:row>2</xdr:row>
                    <xdr:rowOff>243840</xdr:rowOff>
                  </to>
                </anchor>
              </controlPr>
            </control>
          </mc:Choice>
        </mc:AlternateContent>
        <mc:AlternateContent xmlns:mc="http://schemas.openxmlformats.org/markup-compatibility/2006">
          <mc:Choice Requires="x14">
            <control shapeId="1082" r:id="rId4" name="Button 58">
              <controlPr defaultSize="0" print="0" autoFill="0" autoPict="0" macro="[0]!MS2_Set_RssMarket_Formulas">
                <anchor moveWithCells="1" sizeWithCells="1">
                  <from>
                    <xdr:col>0</xdr:col>
                    <xdr:colOff>251460</xdr:colOff>
                    <xdr:row>3</xdr:row>
                    <xdr:rowOff>38100</xdr:rowOff>
                  </from>
                  <to>
                    <xdr:col>2</xdr:col>
                    <xdr:colOff>708660</xdr:colOff>
                    <xdr:row>4</xdr:row>
                    <xdr:rowOff>114300</xdr:rowOff>
                  </to>
                </anchor>
              </controlPr>
            </control>
          </mc:Choice>
        </mc:AlternateContent>
        <mc:AlternateContent xmlns:mc="http://schemas.openxmlformats.org/markup-compatibility/2006">
          <mc:Choice Requires="x14">
            <control shapeId="1083" r:id="rId5" name="Button 59">
              <controlPr defaultSize="0" print="0" autoFill="0" autoPict="0" macro="[0]!MS2_Install_Formulas">
                <anchor moveWithCells="1" sizeWithCells="1">
                  <from>
                    <xdr:col>0</xdr:col>
                    <xdr:colOff>251460</xdr:colOff>
                    <xdr:row>4</xdr:row>
                    <xdr:rowOff>190500</xdr:rowOff>
                  </from>
                  <to>
                    <xdr:col>2</xdr:col>
                    <xdr:colOff>708660</xdr:colOff>
                    <xdr:row>5</xdr:row>
                    <xdr:rowOff>266700</xdr:rowOff>
                  </to>
                </anchor>
              </controlPr>
            </control>
          </mc:Choice>
        </mc:AlternateContent>
        <mc:AlternateContent xmlns:mc="http://schemas.openxmlformats.org/markup-compatibility/2006">
          <mc:Choice Requires="x14">
            <control shapeId="1084" r:id="rId6" name="Button 60">
              <controlPr defaultSize="0" print="0" autoFill="0" autoPict="0" macro="[0]!MS2_Start_ATR_Sampler">
                <anchor moveWithCells="1" sizeWithCells="1">
                  <from>
                    <xdr:col>0</xdr:col>
                    <xdr:colOff>251460</xdr:colOff>
                    <xdr:row>6</xdr:row>
                    <xdr:rowOff>60960</xdr:rowOff>
                  </from>
                  <to>
                    <xdr:col>2</xdr:col>
                    <xdr:colOff>708660</xdr:colOff>
                    <xdr:row>7</xdr:row>
                    <xdr:rowOff>129540</xdr:rowOff>
                  </to>
                </anchor>
              </controlPr>
            </control>
          </mc:Choice>
        </mc:AlternateContent>
        <mc:AlternateContent xmlns:mc="http://schemas.openxmlformats.org/markup-compatibility/2006">
          <mc:Choice Requires="x14">
            <control shapeId="1085" r:id="rId7" name="Button 61">
              <controlPr defaultSize="0" print="0" autoFill="0" autoPict="0" macro="[0]!MS2_Stop_ATR_Sampler">
                <anchor moveWithCells="1" sizeWithCells="1">
                  <from>
                    <xdr:col>0</xdr:col>
                    <xdr:colOff>251460</xdr:colOff>
                    <xdr:row>7</xdr:row>
                    <xdr:rowOff>205740</xdr:rowOff>
                  </from>
                  <to>
                    <xdr:col>2</xdr:col>
                    <xdr:colOff>708660</xdr:colOff>
                    <xdr:row>9</xdr:row>
                    <xdr:rowOff>0</xdr:rowOff>
                  </to>
                </anchor>
              </controlPr>
            </control>
          </mc:Choice>
        </mc:AlternateContent>
        <mc:AlternateContent xmlns:mc="http://schemas.openxmlformats.org/markup-compatibility/2006">
          <mc:Choice Requires="x14">
            <control shapeId="1086" r:id="rId8" name="Button 62">
              <controlPr defaultSize="0" print="0" autoFill="0" autoPict="0" macro="[0]!MS2_Extract_Signals">
                <anchor moveWithCells="1" sizeWithCells="1">
                  <from>
                    <xdr:col>0</xdr:col>
                    <xdr:colOff>251460</xdr:colOff>
                    <xdr:row>9</xdr:row>
                    <xdr:rowOff>76200</xdr:rowOff>
                  </from>
                  <to>
                    <xdr:col>2</xdr:col>
                    <xdr:colOff>708660</xdr:colOff>
                    <xdr:row>10</xdr:row>
                    <xdr:rowOff>152400</xdr:rowOff>
                  </to>
                </anchor>
              </controlPr>
            </control>
          </mc:Choice>
        </mc:AlternateContent>
        <mc:AlternateContent xmlns:mc="http://schemas.openxmlformats.org/markup-compatibility/2006">
          <mc:Choice Requires="x14">
            <control shapeId="1087" r:id="rId9" name="Button 63">
              <controlPr defaultSize="0" print="0" autoFill="0" autoPict="0" macro="[0]!MS2_Eval_Trades">
                <anchor moveWithCells="1" sizeWithCells="1">
                  <from>
                    <xdr:col>0</xdr:col>
                    <xdr:colOff>251460</xdr:colOff>
                    <xdr:row>10</xdr:row>
                    <xdr:rowOff>228600</xdr:rowOff>
                  </from>
                  <to>
                    <xdr:col>2</xdr:col>
                    <xdr:colOff>708660</xdr:colOff>
                    <xdr:row>12</xdr:row>
                    <xdr:rowOff>15240</xdr:rowOff>
                  </to>
                </anchor>
              </controlPr>
            </control>
          </mc:Choice>
        </mc:AlternateContent>
        <mc:AlternateContent xmlns:mc="http://schemas.openxmlformats.org/markup-compatibility/2006">
          <mc:Choice Requires="x14">
            <control shapeId="1088" r:id="rId10" name="Button 64">
              <controlPr defaultSize="0" print="0" autoFill="0" autoPict="0" macro="[0]!MS2_Update_Ranking">
                <anchor moveWithCells="1" sizeWithCells="1">
                  <from>
                    <xdr:col>0</xdr:col>
                    <xdr:colOff>251460</xdr:colOff>
                    <xdr:row>12</xdr:row>
                    <xdr:rowOff>91440</xdr:rowOff>
                  </from>
                  <to>
                    <xdr:col>2</xdr:col>
                    <xdr:colOff>708660</xdr:colOff>
                    <xdr:row>13</xdr:row>
                    <xdr:rowOff>167640</xdr:rowOff>
                  </to>
                </anchor>
              </controlPr>
            </control>
          </mc:Choice>
        </mc:AlternateContent>
        <mc:AlternateContent xmlns:mc="http://schemas.openxmlformats.org/markup-compatibility/2006">
          <mc:Choice Requires="x14">
            <control shapeId="1089" r:id="rId11" name="Button 65">
              <controlPr defaultSize="0" print="0" autoFill="0" autoPict="0" macro="[0]!MS2_Fill_Trade_Names">
                <anchor moveWithCells="1" sizeWithCells="1">
                  <from>
                    <xdr:col>0</xdr:col>
                    <xdr:colOff>251460</xdr:colOff>
                    <xdr:row>13</xdr:row>
                    <xdr:rowOff>243840</xdr:rowOff>
                  </from>
                  <to>
                    <xdr:col>2</xdr:col>
                    <xdr:colOff>708660</xdr:colOff>
                    <xdr:row>15</xdr:row>
                    <xdr:rowOff>38100</xdr:rowOff>
                  </to>
                </anchor>
              </controlPr>
            </control>
          </mc:Choice>
        </mc:AlternateContent>
        <mc:AlternateContent xmlns:mc="http://schemas.openxmlformats.org/markup-compatibility/2006">
          <mc:Choice Requires="x14">
            <control shapeId="1090" r:id="rId12" name="Button 66">
              <controlPr defaultSize="0" print="0" autoFill="0" autoPict="0" macro="[0]!MS2_Fix_DATA_Header">
                <anchor moveWithCells="1" sizeWithCells="1">
                  <from>
                    <xdr:col>0</xdr:col>
                    <xdr:colOff>251460</xdr:colOff>
                    <xdr:row>15</xdr:row>
                    <xdr:rowOff>114300</xdr:rowOff>
                  </from>
                  <to>
                    <xdr:col>2</xdr:col>
                    <xdr:colOff>708660</xdr:colOff>
                    <xdr:row>16</xdr:row>
                    <xdr:rowOff>182880</xdr:rowOff>
                  </to>
                </anchor>
              </controlPr>
            </control>
          </mc:Choice>
        </mc:AlternateContent>
        <mc:AlternateContent xmlns:mc="http://schemas.openxmlformats.org/markup-compatibility/2006">
          <mc:Choice Requires="x14">
            <control shapeId="1091" r:id="rId13" name="Button 67">
              <controlPr defaultSize="0" print="0" autoFill="0" autoPict="0" macro="[0]!MS2_Fix_TRADE_Header">
                <anchor moveWithCells="1" sizeWithCells="1">
                  <from>
                    <xdr:col>0</xdr:col>
                    <xdr:colOff>251460</xdr:colOff>
                    <xdr:row>16</xdr:row>
                    <xdr:rowOff>259080</xdr:rowOff>
                  </from>
                  <to>
                    <xdr:col>2</xdr:col>
                    <xdr:colOff>708660</xdr:colOff>
                    <xdr:row>18</xdr:row>
                    <xdr:rowOff>53340</xdr:rowOff>
                  </to>
                </anchor>
              </controlPr>
            </control>
          </mc:Choice>
        </mc:AlternateContent>
        <mc:AlternateContent xmlns:mc="http://schemas.openxmlformats.org/markup-compatibility/2006">
          <mc:Choice Requires="x14">
            <control shapeId="1092" r:id="rId14" name="Button 68">
              <controlPr defaultSize="0" print="0" autoFill="0" autoPict="0" macro="[0]!MS2_Reset_ATR_History">
                <anchor moveWithCells="1" sizeWithCells="1">
                  <from>
                    <xdr:col>0</xdr:col>
                    <xdr:colOff>251460</xdr:colOff>
                    <xdr:row>18</xdr:row>
                    <xdr:rowOff>129540</xdr:rowOff>
                  </from>
                  <to>
                    <xdr:col>2</xdr:col>
                    <xdr:colOff>708660</xdr:colOff>
                    <xdr:row>19</xdr:row>
                    <xdr:rowOff>205740</xdr:rowOff>
                  </to>
                </anchor>
              </controlPr>
            </control>
          </mc:Choice>
        </mc:AlternateContent>
        <mc:AlternateContent xmlns:mc="http://schemas.openxmlformats.org/markup-compatibility/2006">
          <mc:Choice Requires="x14">
            <control shapeId="1093" r:id="rId15" name="Button 69">
              <controlPr defaultSize="0" print="0" autoFill="0" autoPict="0" macro="[0]!MS2_Save_PrevDay">
                <anchor moveWithCells="1" sizeWithCells="1">
                  <from>
                    <xdr:col>0</xdr:col>
                    <xdr:colOff>251460</xdr:colOff>
                    <xdr:row>20</xdr:row>
                    <xdr:rowOff>0</xdr:rowOff>
                  </from>
                  <to>
                    <xdr:col>2</xdr:col>
                    <xdr:colOff>708660</xdr:colOff>
                    <xdr:row>21</xdr:row>
                    <xdr:rowOff>68580</xdr:rowOff>
                  </to>
                </anchor>
              </controlPr>
            </control>
          </mc:Choice>
        </mc:AlternateContent>
        <mc:AlternateContent xmlns:mc="http://schemas.openxmlformats.org/markup-compatibility/2006">
          <mc:Choice Requires="x14">
            <control shapeId="1094" r:id="rId16" name="Button 70">
              <controlPr defaultSize="0" print="0" autoFill="0" autoPict="0" macro="[0]!MS2_Load_PrevDay">
                <anchor moveWithCells="1" sizeWithCells="1">
                  <from>
                    <xdr:col>0</xdr:col>
                    <xdr:colOff>251460</xdr:colOff>
                    <xdr:row>21</xdr:row>
                    <xdr:rowOff>144780</xdr:rowOff>
                  </from>
                  <to>
                    <xdr:col>2</xdr:col>
                    <xdr:colOff>708660</xdr:colOff>
                    <xdr:row>22</xdr:row>
                    <xdr:rowOff>220980</xdr:rowOff>
                  </to>
                </anchor>
              </controlPr>
            </control>
          </mc:Choice>
        </mc:AlternateContent>
        <mc:AlternateContent xmlns:mc="http://schemas.openxmlformats.org/markup-compatibility/2006">
          <mc:Choice Requires="x14">
            <control shapeId="1095" r:id="rId17" name="Button 71">
              <controlPr defaultSize="0" print="0" autoFill="0" autoPict="0" macro="[0]!MS2_Enable_AutoPrevDay">
                <anchor moveWithCells="1" sizeWithCells="1">
                  <from>
                    <xdr:col>0</xdr:col>
                    <xdr:colOff>251460</xdr:colOff>
                    <xdr:row>23</xdr:row>
                    <xdr:rowOff>15240</xdr:rowOff>
                  </from>
                  <to>
                    <xdr:col>2</xdr:col>
                    <xdr:colOff>708660</xdr:colOff>
                    <xdr:row>24</xdr:row>
                    <xdr:rowOff>91440</xdr:rowOff>
                  </to>
                </anchor>
              </controlPr>
            </control>
          </mc:Choice>
        </mc:AlternateContent>
        <mc:AlternateContent xmlns:mc="http://schemas.openxmlformats.org/markup-compatibility/2006">
          <mc:Choice Requires="x14">
            <control shapeId="1096" r:id="rId18" name="Button 72">
              <controlPr defaultSize="0" print="0" autoFill="0" autoPict="0" macro="[0]!MS2_Disable_AutoPrevDay">
                <anchor moveWithCells="1" sizeWithCells="1">
                  <from>
                    <xdr:col>0</xdr:col>
                    <xdr:colOff>251460</xdr:colOff>
                    <xdr:row>24</xdr:row>
                    <xdr:rowOff>167640</xdr:rowOff>
                  </from>
                  <to>
                    <xdr:col>2</xdr:col>
                    <xdr:colOff>708660</xdr:colOff>
                    <xdr:row>25</xdr:row>
                    <xdr:rowOff>236220</xdr:rowOff>
                  </to>
                </anchor>
              </controlPr>
            </control>
          </mc:Choice>
        </mc:AlternateContent>
        <mc:AlternateContent xmlns:mc="http://schemas.openxmlformats.org/markup-compatibility/2006">
          <mc:Choice Requires="x14">
            <control shapeId="1097" r:id="rId19" name="Button 73">
              <controlPr defaultSize="0" print="0" autoFill="0" autoPict="0" macro="[0]!MS2_Force_Cancel_All">
                <anchor moveWithCells="1" sizeWithCells="1">
                  <from>
                    <xdr:col>0</xdr:col>
                    <xdr:colOff>251460</xdr:colOff>
                    <xdr:row>26</xdr:row>
                    <xdr:rowOff>30480</xdr:rowOff>
                  </from>
                  <to>
                    <xdr:col>2</xdr:col>
                    <xdr:colOff>708660</xdr:colOff>
                    <xdr:row>27</xdr:row>
                    <xdr:rowOff>106680</xdr:rowOff>
                  </to>
                </anchor>
              </controlPr>
            </control>
          </mc:Choice>
        </mc:AlternateContent>
        <mc:AlternateContent xmlns:mc="http://schemas.openxmlformats.org/markup-compatibility/2006">
          <mc:Choice Requires="x14">
            <control shapeId="1098" r:id="rId20" name="Button 74">
              <controlPr defaultSize="0" print="0" autoFill="0" autoPict="0" macro="[0]!MS2_Show_Log">
                <anchor moveWithCells="1" sizeWithCells="1">
                  <from>
                    <xdr:col>0</xdr:col>
                    <xdr:colOff>251460</xdr:colOff>
                    <xdr:row>27</xdr:row>
                    <xdr:rowOff>182880</xdr:rowOff>
                  </from>
                  <to>
                    <xdr:col>2</xdr:col>
                    <xdr:colOff>708660</xdr:colOff>
                    <xdr:row>28</xdr:row>
                    <xdr:rowOff>259080</xdr:rowOff>
                  </to>
                </anchor>
              </controlPr>
            </control>
          </mc:Choice>
        </mc:AlternateContent>
        <mc:AlternateContent xmlns:mc="http://schemas.openxmlformats.org/markup-compatibility/2006">
          <mc:Choice Requires="x14">
            <control shapeId="1099" r:id="rId21" name="Button 75">
              <controlPr defaultSize="0" print="0" autoFill="0" autoPict="0" macro="[0]!MS2_Auto_All">
                <anchor moveWithCells="1" sizeWithCells="1">
                  <from>
                    <xdr:col>0</xdr:col>
                    <xdr:colOff>251460</xdr:colOff>
                    <xdr:row>29</xdr:row>
                    <xdr:rowOff>53340</xdr:rowOff>
                  </from>
                  <to>
                    <xdr:col>2</xdr:col>
                    <xdr:colOff>708660</xdr:colOff>
                    <xdr:row>30</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81"/>
  <sheetViews>
    <sheetView showGridLines="0" tabSelected="1" workbookViewId="0">
      <selection activeCell="F4" sqref="F4"/>
    </sheetView>
  </sheetViews>
  <sheetFormatPr defaultRowHeight="22.2"/>
  <cols>
    <col min="1" max="1" width="16.69140625" style="1" customWidth="1"/>
    <col min="2" max="2" width="53.84375" customWidth="1"/>
    <col min="3" max="3" width="38.4609375" customWidth="1"/>
  </cols>
  <sheetData>
    <row r="1" spans="1:3" ht="72.599999999999994" customHeight="1">
      <c r="A1" s="76" t="s">
        <v>102</v>
      </c>
      <c r="B1" s="76"/>
      <c r="C1" s="76"/>
    </row>
    <row r="2" spans="1:3">
      <c r="A2" s="77" t="s">
        <v>103</v>
      </c>
      <c r="B2" s="77"/>
      <c r="C2" s="77"/>
    </row>
    <row r="3" spans="1:3">
      <c r="A3" s="48"/>
      <c r="B3" s="48"/>
      <c r="C3" s="48"/>
    </row>
    <row r="4" spans="1:3">
      <c r="A4" s="75" t="s">
        <v>104</v>
      </c>
      <c r="B4" s="75"/>
      <c r="C4" s="75"/>
    </row>
    <row r="5" spans="1:3">
      <c r="A5" s="48" t="s">
        <v>105</v>
      </c>
      <c r="B5" s="48"/>
      <c r="C5" s="48"/>
    </row>
    <row r="6" spans="1:3">
      <c r="A6" s="48" t="s">
        <v>106</v>
      </c>
      <c r="B6" s="48"/>
      <c r="C6" s="48"/>
    </row>
    <row r="7" spans="1:3">
      <c r="A7" s="48" t="s">
        <v>107</v>
      </c>
      <c r="B7" s="48"/>
      <c r="C7" s="48"/>
    </row>
    <row r="8" spans="1:3">
      <c r="A8" s="48"/>
      <c r="B8" s="48"/>
      <c r="C8" s="48"/>
    </row>
    <row r="9" spans="1:3">
      <c r="A9" s="75" t="s">
        <v>108</v>
      </c>
      <c r="B9" s="75"/>
      <c r="C9" s="75"/>
    </row>
    <row r="10" spans="1:3">
      <c r="A10" s="41" t="s">
        <v>109</v>
      </c>
      <c r="B10" s="41" t="s">
        <v>90</v>
      </c>
      <c r="C10" s="41" t="s">
        <v>110</v>
      </c>
    </row>
    <row r="11" spans="1:3">
      <c r="A11" s="49" t="s">
        <v>91</v>
      </c>
      <c r="B11" s="49" t="s">
        <v>111</v>
      </c>
      <c r="C11" s="49" t="s">
        <v>112</v>
      </c>
    </row>
    <row r="12" spans="1:3">
      <c r="A12" s="49" t="s">
        <v>89</v>
      </c>
      <c r="B12" s="49" t="s">
        <v>113</v>
      </c>
      <c r="C12" s="49" t="s">
        <v>114</v>
      </c>
    </row>
    <row r="13" spans="1:3">
      <c r="A13" s="49" t="s">
        <v>92</v>
      </c>
      <c r="B13" s="49" t="s">
        <v>115</v>
      </c>
      <c r="C13" s="49" t="s">
        <v>116</v>
      </c>
    </row>
    <row r="14" spans="1:3">
      <c r="A14" s="49" t="s">
        <v>93</v>
      </c>
      <c r="B14" s="49" t="s">
        <v>94</v>
      </c>
      <c r="C14" s="49" t="s">
        <v>117</v>
      </c>
    </row>
    <row r="15" spans="1:3">
      <c r="A15" s="49" t="s">
        <v>95</v>
      </c>
      <c r="B15" s="49" t="s">
        <v>118</v>
      </c>
      <c r="C15" s="49" t="s">
        <v>119</v>
      </c>
    </row>
    <row r="16" spans="1:3">
      <c r="A16" s="49" t="s">
        <v>96</v>
      </c>
      <c r="B16" s="49" t="s">
        <v>120</v>
      </c>
      <c r="C16" s="49" t="s">
        <v>119</v>
      </c>
    </row>
    <row r="17" spans="1:3">
      <c r="A17" s="49" t="s">
        <v>97</v>
      </c>
      <c r="B17" s="49" t="s">
        <v>121</v>
      </c>
      <c r="C17" s="49" t="s">
        <v>117</v>
      </c>
    </row>
    <row r="18" spans="1:3">
      <c r="A18" s="49" t="s">
        <v>98</v>
      </c>
      <c r="B18" s="49" t="s">
        <v>190</v>
      </c>
      <c r="C18" s="49" t="s">
        <v>117</v>
      </c>
    </row>
    <row r="19" spans="1:3">
      <c r="A19" s="48"/>
      <c r="B19" s="48"/>
      <c r="C19" s="48"/>
    </row>
    <row r="20" spans="1:3">
      <c r="A20" s="75" t="s">
        <v>122</v>
      </c>
      <c r="B20" s="75"/>
      <c r="C20" s="75"/>
    </row>
    <row r="21" spans="1:3">
      <c r="A21" s="42">
        <v>1</v>
      </c>
      <c r="B21" s="48" t="s">
        <v>123</v>
      </c>
      <c r="C21" s="48"/>
    </row>
    <row r="22" spans="1:3">
      <c r="A22" s="42">
        <v>2</v>
      </c>
      <c r="B22" s="48" t="s">
        <v>124</v>
      </c>
      <c r="C22" s="48"/>
    </row>
    <row r="23" spans="1:3">
      <c r="A23" s="42">
        <v>3</v>
      </c>
      <c r="B23" s="48" t="s">
        <v>125</v>
      </c>
      <c r="C23" s="48"/>
    </row>
    <row r="24" spans="1:3">
      <c r="A24" s="42">
        <v>4</v>
      </c>
      <c r="B24" s="48" t="s">
        <v>126</v>
      </c>
      <c r="C24" s="48"/>
    </row>
    <row r="25" spans="1:3">
      <c r="A25" s="42">
        <v>5</v>
      </c>
      <c r="B25" s="48" t="s">
        <v>127</v>
      </c>
      <c r="C25" s="48"/>
    </row>
    <row r="26" spans="1:3">
      <c r="A26" s="48"/>
      <c r="B26" s="50" t="s">
        <v>192</v>
      </c>
      <c r="C26" s="48"/>
    </row>
    <row r="27" spans="1:3">
      <c r="A27" s="48"/>
      <c r="B27" s="48"/>
      <c r="C27" s="48"/>
    </row>
    <row r="28" spans="1:3" ht="26.4">
      <c r="A28" s="78" t="s">
        <v>128</v>
      </c>
      <c r="B28" s="78"/>
      <c r="C28" s="78"/>
    </row>
    <row r="29" spans="1:3" ht="26.4">
      <c r="A29" s="70" t="s">
        <v>129</v>
      </c>
      <c r="B29" s="70" t="s">
        <v>130</v>
      </c>
      <c r="C29" s="70" t="s">
        <v>131</v>
      </c>
    </row>
    <row r="30" spans="1:3" ht="52.8">
      <c r="A30" s="71" t="s">
        <v>99</v>
      </c>
      <c r="B30" s="71" t="s">
        <v>132</v>
      </c>
      <c r="C30" s="72" t="s">
        <v>133</v>
      </c>
    </row>
    <row r="31" spans="1:3" ht="105.6">
      <c r="A31" s="71" t="s">
        <v>100</v>
      </c>
      <c r="B31" s="71" t="s">
        <v>134</v>
      </c>
      <c r="C31" s="72" t="s">
        <v>191</v>
      </c>
    </row>
    <row r="32" spans="1:3" ht="52.8">
      <c r="A32" s="71" t="s">
        <v>135</v>
      </c>
      <c r="B32" s="71" t="s">
        <v>136</v>
      </c>
      <c r="C32" s="72" t="s">
        <v>137</v>
      </c>
    </row>
    <row r="33" spans="1:3" ht="52.8">
      <c r="A33" s="71" t="s">
        <v>135</v>
      </c>
      <c r="B33" s="71" t="s">
        <v>138</v>
      </c>
      <c r="C33" s="72" t="s">
        <v>139</v>
      </c>
    </row>
    <row r="34" spans="1:3" ht="26.4">
      <c r="A34" s="71" t="s">
        <v>101</v>
      </c>
      <c r="B34" s="71" t="s">
        <v>140</v>
      </c>
      <c r="C34" s="72" t="s">
        <v>141</v>
      </c>
    </row>
    <row r="35" spans="1:3" ht="79.2">
      <c r="A35" s="71" t="s">
        <v>142</v>
      </c>
      <c r="B35" s="71" t="s">
        <v>143</v>
      </c>
      <c r="C35" s="72" t="s">
        <v>144</v>
      </c>
    </row>
    <row r="36" spans="1:3" ht="79.2">
      <c r="A36" s="73" t="s">
        <v>187</v>
      </c>
      <c r="B36" s="73" t="s">
        <v>188</v>
      </c>
      <c r="C36" s="69" t="s">
        <v>189</v>
      </c>
    </row>
    <row r="37" spans="1:3" ht="26.4">
      <c r="A37" s="74"/>
      <c r="B37" s="74"/>
      <c r="C37" s="74"/>
    </row>
    <row r="38" spans="1:3">
      <c r="A38" s="75" t="s">
        <v>145</v>
      </c>
      <c r="B38" s="75"/>
      <c r="C38" s="75"/>
    </row>
    <row r="39" spans="1:3">
      <c r="A39" s="51" t="s">
        <v>73</v>
      </c>
      <c r="B39" s="48" t="s">
        <v>146</v>
      </c>
      <c r="C39" s="48"/>
    </row>
    <row r="40" spans="1:3">
      <c r="A40" s="52" t="s">
        <v>74</v>
      </c>
      <c r="B40" s="48" t="s">
        <v>147</v>
      </c>
      <c r="C40" s="48"/>
    </row>
    <row r="41" spans="1:3">
      <c r="A41" s="53" t="s">
        <v>148</v>
      </c>
      <c r="B41" s="48" t="s">
        <v>149</v>
      </c>
      <c r="C41" s="48"/>
    </row>
    <row r="42" spans="1:3">
      <c r="A42" s="48"/>
      <c r="B42" s="48"/>
      <c r="C42" s="48"/>
    </row>
    <row r="43" spans="1:3">
      <c r="A43" s="75" t="s">
        <v>150</v>
      </c>
      <c r="B43" s="75"/>
      <c r="C43" s="75"/>
    </row>
    <row r="44" spans="1:7">
      <c r="A44" s="41" t="s">
        <v>151</v>
      </c>
      <c r="B44" s="41" t="s">
        <v>152</v>
      </c>
      <c r="C44" s="41" t="s">
        <v>153</v>
      </c>
      <c r="G44" t="s">
        <v>290</v>
      </c>
    </row>
    <row r="45" spans="1:7">
      <c r="A45" s="49" t="s">
        <v>154</v>
      </c>
      <c r="B45" s="49" t="s">
        <v>155</v>
      </c>
      <c r="C45" s="43">
        <f>操作パネル_MS2!H3</f>
        <v>1000000</v>
      </c>
      <c r="G45" t="s">
        <v>291</v>
      </c>
    </row>
    <row r="46" spans="1:7">
      <c r="A46" s="49" t="s">
        <v>156</v>
      </c>
      <c r="B46" s="49" t="s">
        <v>157</v>
      </c>
      <c r="C46" s="44">
        <f>操作パネル_MS2!H4</f>
        <v>1.4999999999999999E-2</v>
      </c>
      <c r="G46" t="s">
        <v>292</v>
      </c>
    </row>
    <row r="47" spans="1:7">
      <c r="A47" s="49" t="s">
        <v>158</v>
      </c>
      <c r="B47" s="49" t="s">
        <v>159</v>
      </c>
      <c r="C47" s="45">
        <f>操作パネル_MS2!H5</f>
        <v>1.5</v>
      </c>
      <c r="G47" t="s">
        <v>293</v>
      </c>
    </row>
    <row r="48" spans="1:7">
      <c r="A48" s="49" t="s">
        <v>160</v>
      </c>
      <c r="B48" s="49" t="s">
        <v>161</v>
      </c>
      <c r="C48" s="45">
        <f>操作パネル_MS2!H6</f>
        <v>1.5</v>
      </c>
      <c r="G48" t="s">
        <v>294</v>
      </c>
    </row>
    <row r="49" spans="1:7">
      <c r="A49" s="49" t="s">
        <v>162</v>
      </c>
      <c r="B49" s="49" t="s">
        <v>163</v>
      </c>
      <c r="C49" s="45">
        <f>操作パネル_MS2!H7</f>
        <v>2</v>
      </c>
      <c r="G49" t="s">
        <v>295</v>
      </c>
    </row>
    <row r="50" spans="1:7">
      <c r="A50" s="49" t="s">
        <v>164</v>
      </c>
      <c r="B50" s="49" t="s">
        <v>165</v>
      </c>
      <c r="C50" s="45">
        <f>操作パネル_MS2!H8</f>
        <v>3</v>
      </c>
      <c r="G50" t="s">
        <v>296</v>
      </c>
    </row>
    <row r="51" spans="1:7">
      <c r="A51" s="49" t="s">
        <v>166</v>
      </c>
      <c r="B51" s="49" t="s">
        <v>167</v>
      </c>
      <c r="C51" s="46">
        <f>操作パネル_MS2!H9</f>
        <v>5</v>
      </c>
      <c r="G51" t="s">
        <v>297</v>
      </c>
    </row>
    <row r="52" spans="1:7">
      <c r="A52" s="49" t="s">
        <v>168</v>
      </c>
      <c r="B52" s="49" t="s">
        <v>169</v>
      </c>
      <c r="C52" s="47">
        <f>操作パネル_MS2!H10</f>
        <v>1</v>
      </c>
      <c r="G52" t="s">
        <v>298</v>
      </c>
    </row>
    <row r="53" spans="1:7">
      <c r="A53" s="48"/>
      <c r="B53" s="50" t="s">
        <v>170</v>
      </c>
      <c r="C53" s="48"/>
      <c r="G53" t="s">
        <v>299</v>
      </c>
    </row>
    <row r="54" spans="1:7">
      <c r="A54" s="48"/>
      <c r="B54" s="48"/>
      <c r="C54" s="48"/>
      <c r="G54" t="s">
        <v>300</v>
      </c>
    </row>
    <row r="55" spans="1:7">
      <c r="A55" s="75" t="s">
        <v>171</v>
      </c>
      <c r="B55" s="75"/>
      <c r="C55" s="75"/>
      <c r="G55" t="s">
        <v>301</v>
      </c>
    </row>
    <row r="56" spans="1:7">
      <c r="A56" s="54" t="s">
        <v>172</v>
      </c>
      <c r="B56" s="48"/>
      <c r="C56" s="48"/>
      <c r="G56" t="s">
        <v>302</v>
      </c>
    </row>
    <row r="57" spans="1:7">
      <c r="A57" s="54" t="inlineStr">
        <is>
          <t>・ATRは ATRHIST_MS2 が当日更新済みのときだけ実測値を使用。古い場合は当日レンジ推定に自動で戻ります</t>
        </is>
      </c>
      <c r="B57" s="48"/>
      <c r="C57" s="48"/>
      <c r="G57" t="s">
        <v>303</v>
      </c>
    </row>
    <row r="58" spans="1:7">
      <c r="A58" s="54" t="s">
        <v>174</v>
      </c>
      <c r="B58" s="48"/>
      <c r="C58" s="48"/>
      <c r="G58" t="s">
        <v>304</v>
      </c>
    </row>
    <row r="59" spans="1:7">
      <c r="A59" s="54" t="s">
        <v>175</v>
      </c>
      <c r="B59" s="48"/>
      <c r="C59" s="48"/>
      <c r="G59" t="s">
        <v>305</v>
      </c>
    </row>
    <row r="60" spans="1:7">
      <c r="A60" s="54" t="inlineStr">
        <is>
          <t>・Y列（時間帯）は 前場(9:30〜11:30) を含む5区分に修正済み。NOW()は操作パネルH15の1セルに集約</t>
        </is>
      </c>
      <c r="B60" s="48"/>
      <c r="C60" s="48"/>
      <c r="G60" t="s">
        <v>306</v>
      </c>
    </row>
    <row r="61" spans="1:7">
      <c r="A61" s="54" t="s">
        <v>177</v>
      </c>
      <c r="B61" s="48"/>
      <c r="C61" s="48"/>
      <c r="G61" t="s">
        <v>307</v>
      </c>
    </row>
    <row r="62" spans="1:7" ht="18" customHeight="1">
      <c r="A62" s="54" t="s">
        <v>193</v>
      </c>
      <c r="G62" t="s">
        <v>308</v>
      </c>
    </row>
    <row r="63" spans="1:7" ht="18" customHeight="1">
      <c r="A63" s="54" t="s">
        <v>194</v>
      </c>
      <c r="G63" t="s">
        <v>309</v>
      </c>
    </row>
    <row r="64" spans="1:7" ht="18" customHeight="1">
      <c r="A64" s="54" t="s">
        <v>195</v>
      </c>
      <c r="G64" t="s">
        <v>310</v>
      </c>
    </row>
    <row r="65" spans="1:7" ht="18" customHeight="1">
      <c r="A65"/>
      <c r="G65" t="s">
        <v>311</v>
      </c>
    </row>
    <row r="66" spans="1:7" ht="18" customHeight="1">
      <c r="A66" s="75" t="s">
        <v>196</v>
      </c>
      <c r="B66" s="75"/>
      <c r="C66" s="75"/>
      <c r="G66" t="s">
        <v>312</v>
      </c>
    </row>
    <row r="67" spans="1:7" ht="18" customHeight="1">
      <c r="A67" s="41" t="s">
        <v>197</v>
      </c>
      <c r="B67" s="41" t="s">
        <v>131</v>
      </c>
      <c r="C67" s="68"/>
      <c r="G67" t="s">
        <v>313</v>
      </c>
    </row>
    <row r="68" spans="1:7" ht="18" customHeight="1">
      <c r="A68" s="49" t="s">
        <v>198</v>
      </c>
      <c r="B68" s="79" t="s">
        <v>199</v>
      </c>
      <c r="C68" s="79"/>
      <c r="G68" t="s">
        <v>314</v>
      </c>
    </row>
    <row r="69" spans="1:7" ht="18" customHeight="1">
      <c r="A69" s="49" t="s">
        <v>200</v>
      </c>
      <c r="B69" s="79" t="s">
        <v>201</v>
      </c>
      <c r="C69" s="79"/>
      <c r="G69" t="s">
        <v>315</v>
      </c>
    </row>
    <row r="70" spans="1:7" ht="18" customHeight="1">
      <c r="A70" s="49" t="s">
        <v>202</v>
      </c>
      <c r="B70" s="79" t="s">
        <v>203</v>
      </c>
      <c r="C70" s="79"/>
      <c r="G70" t="s">
        <v>316</v>
      </c>
    </row>
    <row r="71" spans="1:3" ht="18" customHeight="1">
      <c r="A71" s="49" t="s">
        <v>204</v>
      </c>
      <c r="B71" s="79" t="s">
        <v>205</v>
      </c>
      <c r="C71" s="79"/>
    </row>
    <row r="72" spans="1:3" ht="18" customHeight="1">
      <c r="A72" s="49" t="s">
        <v>206</v>
      </c>
      <c r="B72" s="79" t="s">
        <v>207</v>
      </c>
      <c r="C72" s="79"/>
    </row>
    <row r="73" spans="1:3" ht="18" customHeight="1">
      <c r="A73" s="49" t="s">
        <v>208</v>
      </c>
      <c r="B73" s="79" t="s">
        <v>209</v>
      </c>
      <c r="C73" s="79"/>
    </row>
    <row r="74" spans="1:1">
      <c r="A74"/>
    </row>
    <row r="75" spans="1:1">
      <c r="A75"/>
    </row>
    <row r="76" spans="1:1">
      <c r="A76"/>
    </row>
    <row r="77" spans="1:1">
      <c r="A77"/>
    </row>
    <row r="78" spans="1:1">
      <c r="A78"/>
    </row>
    <row r="79" spans="1:1">
      <c r="A79"/>
    </row>
    <row r="80" spans="1:1">
      <c r="A80"/>
    </row>
    <row r="81" spans="1:1">
      <c r="A81"/>
    </row>
  </sheetData>
  <mergeCells count="16">
    <mergeCell ref="B72:C72"/>
    <mergeCell ref="B73:C73"/>
    <mergeCell ref="A66:C66"/>
    <mergeCell ref="B68:C68"/>
    <mergeCell ref="B69:C69"/>
    <mergeCell ref="B70:C70"/>
    <mergeCell ref="B71:C71"/>
    <mergeCell ref="A38:C38"/>
    <mergeCell ref="A43:C43"/>
    <mergeCell ref="A55:C55"/>
    <mergeCell ref="A1:C1"/>
    <mergeCell ref="A2:C2"/>
    <mergeCell ref="A4:C4"/>
    <mergeCell ref="A9:C9"/>
    <mergeCell ref="A20:C20"/>
    <mergeCell ref="A28:C28"/>
  </mergeCell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C000"/>
  </sheetPr>
  <dimension ref="A1:AD102"/>
  <sheetViews>
    <sheetView workbookViewId="0">
      <pane xSplit="4" ySplit="2" topLeftCell="S3" activePane="bottomRight" state="frozen"/>
      <selection pane="topRight" activeCell="E1" sqref="E1"/>
      <selection pane="bottomLeft" activeCell="A3" sqref="A3"/>
      <selection pane="bottomRight" sqref="A1:AD1"/>
    </sheetView>
  </sheetViews>
  <sheetFormatPr defaultRowHeight="22.2"/>
  <cols>
    <col min="1" max="1" width="6" style="1" customWidth="1"/>
    <col min="2" max="2" width="10" style="1" customWidth="1"/>
    <col min="3" max="3" width="14" style="1" customWidth="1"/>
    <col min="4" max="4" width="20" style="1" customWidth="1"/>
    <col min="5" max="8" width="12" style="1" customWidth="1"/>
    <col min="9" max="9" width="14" style="1" customWidth="1"/>
    <col min="10" max="12" width="12" style="1" customWidth="1"/>
    <col min="13" max="13" width="14" style="1" customWidth="1"/>
    <col min="14" max="14" width="15" style="1" customWidth="1"/>
    <col min="15" max="24" width="12" style="1" customWidth="1"/>
    <col min="25" max="25" width="11" style="1" customWidth="1"/>
    <col min="26" max="28" width="12" style="1" customWidth="1"/>
    <col min="29" max="30" width="14.4609375" customWidth="1"/>
    <col min="31" max="31" width="12.61328125" customWidth="1"/>
  </cols>
  <sheetData>
    <row r="1" spans="1:30" ht="75.599999999999994" customHeight="1">
      <c r="A1" s="80"/>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row>
    <row r="2" spans="1:30" ht="46.05" customHeight="1">
      <c r="A2" s="21" t="s">
        <v>29</v>
      </c>
      <c r="B2" s="21" t="s">
        <v>30</v>
      </c>
      <c r="C2" s="21" t="s">
        <v>31</v>
      </c>
      <c r="D2" s="21" t="s">
        <v>32</v>
      </c>
      <c r="E2" s="21" t="s">
        <v>33</v>
      </c>
      <c r="F2" s="21" t="s">
        <v>34</v>
      </c>
      <c r="G2" s="21" t="s">
        <v>35</v>
      </c>
      <c r="H2" s="21" t="s">
        <v>36</v>
      </c>
      <c r="I2" s="21" t="s">
        <v>37</v>
      </c>
      <c r="J2" s="21" t="s">
        <v>38</v>
      </c>
      <c r="K2" s="21" t="s">
        <v>39</v>
      </c>
      <c r="L2" s="21" t="s">
        <v>40</v>
      </c>
      <c r="M2" s="21" t="s">
        <v>41</v>
      </c>
      <c r="N2" s="21" t="s">
        <v>56</v>
      </c>
      <c r="O2" s="21" t="s">
        <v>42</v>
      </c>
      <c r="P2" s="21" t="s">
        <v>43</v>
      </c>
      <c r="Q2" s="21" t="s">
        <v>44</v>
      </c>
      <c r="R2" s="21" t="s">
        <v>45</v>
      </c>
      <c r="S2" s="21" t="s">
        <v>46</v>
      </c>
      <c r="T2" s="21" t="s">
        <v>47</v>
      </c>
      <c r="U2" s="21" t="s">
        <v>48</v>
      </c>
      <c r="V2" s="21" t="s">
        <v>49</v>
      </c>
      <c r="W2" s="21" t="s">
        <v>50</v>
      </c>
      <c r="X2" s="21" t="s">
        <v>51</v>
      </c>
      <c r="Y2" s="21" t="s">
        <v>52</v>
      </c>
      <c r="Z2" s="21" t="s">
        <v>53</v>
      </c>
      <c r="AA2" s="21" t="s">
        <v>54</v>
      </c>
      <c r="AB2" s="21" t="s">
        <v>55</v>
      </c>
      <c r="AC2" s="21" t="s">
        <v>57</v>
      </c>
      <c r="AD2" s="21" t="s">
        <v>58</v>
      </c>
    </row>
    <row r="3" spans="1:30" ht="25.95" customHeight="1">
      <c r="A3" s="5">
        <f>IF(C3="","",ROW()-2)</f>
      </c>
      <c r="B3" s="6">
        <f>IF(StockList_MS2!A2="","",HYPERLINK("https://kabutan.jp/stock/?code="&amp;StockList_MS2!A2,"株探"))</f>
      </c>
      <c r="C3" s="5">
        <f>IF(StockList_MS2!A2="","",StockList_MS2!A2)</f>
      </c>
      <c r="D3" s="7">
        <f>IF(StockList_MS2!A2="","",StockList_MS2!B2)</f>
      </c>
      <c r="E3" s="8">
        <f>_xll.RssMarket("9432","現在値")</f>
      </c>
      <c r="F3" s="8">
        <f>_xll.RssMarket("9432","高値")</f>
      </c>
      <c r="G3" s="8">
        <f>_xll.RssMarket("9432","安値")</f>
      </c>
      <c r="H3" s="8">
        <f>_xll.RssMarket("9432","終値")</f>
      </c>
      <c r="I3" s="19">
        <f>_xll.RssMarket("9432","出来高")</f>
      </c>
      <c r="J3" s="8">
        <v>169.6</v>
      </c>
      <c r="K3" s="8">
        <v>167.3</v>
      </c>
      <c r="L3" s="8">
        <f>_xll.RssMarket("9432","前日終値")</f>
      </c>
      <c r="M3" s="5">
        <f>IF(OR(N($E3)&lt;=0,N($L3)&lt;=0),"",IF($E3&gt;$L3,"BUY-DAY","SELL-DAY"))</f>
      </c>
      <c r="N3" s="9">
        <f>IF(OR(N($E3)&lt;=0,N($F3)&lt;=0,N($G3)&lt;=0),"",IF(AND($AD3&gt;0,'操作パネル_MS2'!$H$17=1),$AD3,MAX(0,$F3-$G3)/SQRT(MAX(1,'操作パネル_MS2'!$H$12))*'操作パネル_MS2'!$H$10))</f>
      </c>
      <c r="O3" s="5">
        <f>IF(OR(N($E3)&lt;=0,$AC3=""),"",IF(N($AC3)&gt;='操作パネル_MS2'!$H$3,"VOL-OK","VOL-NG"))</f>
      </c>
      <c r="P3" s="5">
        <f>IF(OR(N($E3)&lt;=0,N($J3)&lt;=0),"",IF($E3&gt;$J3,"ON","OFF"))</f>
      </c>
      <c r="Q3" s="5">
        <f>IF(OR(N($E3)&lt;=0,N($K3)&lt;=0),"",IF($E3&lt;$K3,"ON","OFF"))</f>
      </c>
      <c r="R3" s="5">
        <f>IF(OR(N($E3)&lt;=0,N($N3)&lt;=0),"",IF(AND($M3="BUY-DAY",$O3="VOL-OK",$P3="ON",$AA3="OK",$AB3&lt;&gt;"DOWN"),"BUY",IF(AND($M3="SELL-DAY",$O3="VOL-OK",$Q3="ON",$AA3="OK",$AB3&lt;&gt;"UP"),"SELL","")))</f>
      </c>
      <c r="S3" s="9">
        <f>IF($R3="","",$E3)</f>
      </c>
      <c r="T3" s="9">
        <f>IF($R3="","",IF($R3="BUY",$E3-$N3*'操作パネル_MS2'!$H$5,$E3+$N3*'操作パネル_MS2'!$H$5))</f>
      </c>
      <c r="U3" s="9">
        <f>IF($R3="","",IF($R3="BUY",$E3+$N3*'操作パネル_MS2'!$H$6,$E3-$N3*'操作パネル_MS2'!$H$6))</f>
      </c>
      <c r="V3" s="9">
        <f>IF($R3="","",IF($R3="BUY",$E3+$N3*'操作パネル_MS2'!$H$7,$E3-$N3*'操作パネル_MS2'!$H$7))</f>
      </c>
      <c r="W3" s="9">
        <f>IF($R3="","",IF($R3="BUY",$E3+$N3*'操作パネル_MS2'!$H$8,$E3-$N3*'操作パネル_MS2'!$H$8))</f>
      </c>
      <c r="X3" s="5">
        <f>IF(OR(N($E3)&lt;=0,N($N3)&lt;=0,N($L3)&lt;=0),"",IF(AND($E3&gt;$L3,ABS($E3-$L3)&lt;$N3*0.5),"2ND","1ST"))</f>
      </c>
      <c r="Y3" s="5">
        <f>IF(OR(N($E3)&lt;=0,N($N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 s="5">
        <f>IF(OR(N($E3)&lt;=0,N($N3)&lt;=0),"",IF($N3&gt;$E3*'操作パネル_MS2'!$H$4,"VOL-HIGH","VOL-NORMAL"))</f>
      </c>
      <c r="AA3" s="5">
        <f>IF(OR(N($E3)&lt;=0,N($N3)&lt;=0),"",IF(AND($O3="VOL-OK",$Z3="VOL-NORMAL"),"OK","NG"))</f>
      </c>
      <c r="AB3" s="5">
        <f>IF(OR(N($E3)&lt;=0,N($N3)&lt;=0,N($J3)&lt;=0,N($K3)&lt;=0),"",IF(AND($F3&gt;$J3,$G3&gt;$K3),"UP",IF(AND($F3&lt;$J3,$G3&lt;$K3),"DOWN","FLAT")))</f>
      </c>
      <c r="AC3" s="30">
        <f>IF($C3="","",_xll.RssMarket($C3&amp;"","売買代金"))</f>
      </c>
      <c r="AD3" s="31">
        <f>IFERROR(INDEX(ATRHIST_MS2!$H$2:$H$400,MATCH($C3,ATRHIST_MS2!$A$2:$A$400,0)),0)</f>
      </c>
    </row>
    <row r="4" spans="1:30" ht="25.95" customHeight="1">
      <c r="A4" s="10">
        <f>IF(C4="","",ROW()-2)</f>
      </c>
      <c r="B4" s="11">
        <f>IF(StockList_MS2!A3="","",HYPERLINK("https://kabutan.jp/stock/?code="&amp;StockList_MS2!A3,"株探"))</f>
      </c>
      <c r="C4" s="10">
        <f>IF(StockList_MS2!A3="","",StockList_MS2!A3)</f>
      </c>
      <c r="D4" s="12">
        <f>IF(StockList_MS2!A3="","",StockList_MS2!B3)</f>
      </c>
      <c r="E4" s="13">
        <f>_xll.RssMarket("9434","現在値")</f>
      </c>
      <c r="F4" s="13">
        <f>_xll.RssMarket("9434","高値")</f>
      </c>
      <c r="G4" s="13">
        <f>_xll.RssMarket("9434","安値")</f>
      </c>
      <c r="H4" s="13">
        <f>_xll.RssMarket("9434","終値")</f>
      </c>
      <c r="I4" s="20">
        <f>_xll.RssMarket("9434","出来高")</f>
      </c>
      <c r="J4" s="13">
        <v>230.8</v>
      </c>
      <c r="K4" s="13">
        <v>227.6</v>
      </c>
      <c r="L4" s="13">
        <f>_xll.RssMarket("9434","前日終値")</f>
      </c>
      <c r="M4" s="5">
        <f>IF(OR(N($E4)&lt;=0,N($L4)&lt;=0),"",IF($E4&gt;$L4,"BUY-DAY","SELL-DAY"))</f>
      </c>
      <c r="N4" s="9">
        <f>IF(OR(N($E4)&lt;=0,N($F4)&lt;=0,N($G4)&lt;=0),"",IF(AND($AD4&gt;0,'操作パネル_MS2'!$H$17=1),$AD4,MAX(0,$F4-$G4)/SQRT(MAX(1,'操作パネル_MS2'!$H$12))*'操作パネル_MS2'!$H$10))</f>
      </c>
      <c r="O4" s="5">
        <f>IF(OR(N($E4)&lt;=0,$AC4=""),"",IF(N($AC4)&gt;='操作パネル_MS2'!$H$3,"VOL-OK","VOL-NG"))</f>
      </c>
      <c r="P4" s="5">
        <f>IF(OR(N($E4)&lt;=0,N($J4)&lt;=0),"",IF($E4&gt;$J4,"ON","OFF"))</f>
      </c>
      <c r="Q4" s="5">
        <f>IF(OR(N($E4)&lt;=0,N($K4)&lt;=0),"",IF($E4&lt;$K4,"ON","OFF"))</f>
      </c>
      <c r="R4" s="5">
        <f>IF(OR(N($E4)&lt;=0,N($N4)&lt;=0),"",IF(AND($M4="BUY-DAY",$O4="VOL-OK",$P4="ON",$AA4="OK",$AB4&lt;&gt;"DOWN"),"BUY",IF(AND($M4="SELL-DAY",$O4="VOL-OK",$Q4="ON",$AA4="OK",$AB4&lt;&gt;"UP"),"SELL","")))</f>
      </c>
      <c r="S4" s="9">
        <f>IF($R4="","",$E4)</f>
      </c>
      <c r="T4" s="9">
        <f>IF($R4="","",IF($R4="BUY",$E4-$N4*'操作パネル_MS2'!$H$5,$E4+$N4*'操作パネル_MS2'!$H$5))</f>
      </c>
      <c r="U4" s="9">
        <f>IF($R4="","",IF($R4="BUY",$E4+$N4*'操作パネル_MS2'!$H$6,$E4-$N4*'操作パネル_MS2'!$H$6))</f>
      </c>
      <c r="V4" s="9">
        <f>IF($R4="","",IF($R4="BUY",$E4+$N4*'操作パネル_MS2'!$H$7,$E4-$N4*'操作パネル_MS2'!$H$7))</f>
      </c>
      <c r="W4" s="9">
        <f>IF($R4="","",IF($R4="BUY",$E4+$N4*'操作パネル_MS2'!$H$8,$E4-$N4*'操作パネル_MS2'!$H$8))</f>
      </c>
      <c r="X4" s="5">
        <f>IF(OR(N($E4)&lt;=0,N($N4)&lt;=0,N($L4)&lt;=0),"",IF(AND($E4&gt;$L4,ABS($E4-$L4)&lt;$N4*0.5),"2ND","1ST"))</f>
      </c>
      <c r="Y4" s="5">
        <f>IF(OR(N($E4)&lt;=0,N($N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 s="5">
        <f>IF(OR(N($E4)&lt;=0,N($N4)&lt;=0),"",IF($N4&gt;$E4*'操作パネル_MS2'!$H$4,"VOL-HIGH","VOL-NORMAL"))</f>
      </c>
      <c r="AA4" s="5">
        <f>IF(OR(N($E4)&lt;=0,N($N4)&lt;=0),"",IF(AND($O4="VOL-OK",$Z4="VOL-NORMAL"),"OK","NG"))</f>
      </c>
      <c r="AB4" s="5">
        <f>IF(OR(N($E4)&lt;=0,N($N4)&lt;=0,N($J4)&lt;=0,N($K4)&lt;=0),"",IF(AND($F4&gt;$J4,$G4&gt;$K4),"UP",IF(AND($F4&lt;$J4,$G4&lt;$K4),"DOWN","FLAT")))</f>
      </c>
      <c r="AC4" s="30">
        <f>IF($C4="","",_xll.RssMarket($C4&amp;"","売買代金"))</f>
      </c>
      <c r="AD4" s="31">
        <f>IFERROR(INDEX(ATRHIST_MS2!$H$2:$H$400,MATCH($C4,ATRHIST_MS2!$A$2:$A$400,0)),0)</f>
      </c>
    </row>
    <row r="5" spans="1:30" ht="25.95" customHeight="1">
      <c r="A5" s="5">
        <f>IF(C5="","",ROW()-2)</f>
      </c>
      <c r="B5" s="6">
        <f>IF(StockList_MS2!A4="","",HYPERLINK("https://kabutan.jp/stock/?code="&amp;StockList_MS2!A4,"株探"))</f>
      </c>
      <c r="C5" s="5">
        <f>IF(StockList_MS2!A4="","",StockList_MS2!A4)</f>
      </c>
      <c r="D5" s="7">
        <f>IF(StockList_MS2!A4="","",StockList_MS2!B4)</f>
      </c>
      <c r="E5" s="8">
        <f>_xll.RssMarket("5803","現在値")</f>
      </c>
      <c r="F5" s="8">
        <f>_xll.RssMarket("5803","高値")</f>
      </c>
      <c r="G5" s="8">
        <f>_xll.RssMarket("5803","安値")</f>
      </c>
      <c r="H5" s="8">
        <f>_xll.RssMarket("5803","終値")</f>
      </c>
      <c r="I5" s="19">
        <f>_xll.RssMarket("5803","出来高")</f>
      </c>
      <c r="J5" s="8">
        <v>5485.0</v>
      </c>
      <c r="K5" s="8">
        <v>5301.0</v>
      </c>
      <c r="L5" s="8">
        <f>_xll.RssMarket("5803","前日終値")</f>
      </c>
      <c r="M5" s="5">
        <f>IF(OR(N($E5)&lt;=0,N($L5)&lt;=0),"",IF($E5&gt;$L5,"BUY-DAY","SELL-DAY"))</f>
      </c>
      <c r="N5" s="9">
        <f>IF(OR(N($E5)&lt;=0,N($F5)&lt;=0,N($G5)&lt;=0),"",IF(AND($AD5&gt;0,'操作パネル_MS2'!$H$17=1),$AD5,MAX(0,$F5-$G5)/SQRT(MAX(1,'操作パネル_MS2'!$H$12))*'操作パネル_MS2'!$H$10))</f>
      </c>
      <c r="O5" s="5">
        <f>IF(OR(N($E5)&lt;=0,$AC5=""),"",IF(N($AC5)&gt;='操作パネル_MS2'!$H$3,"VOL-OK","VOL-NG"))</f>
      </c>
      <c r="P5" s="5">
        <f>IF(OR(N($E5)&lt;=0,N($J5)&lt;=0),"",IF($E5&gt;$J5,"ON","OFF"))</f>
      </c>
      <c r="Q5" s="5">
        <f>IF(OR(N($E5)&lt;=0,N($K5)&lt;=0),"",IF($E5&lt;$K5,"ON","OFF"))</f>
      </c>
      <c r="R5" s="5">
        <f>IF(OR(N($E5)&lt;=0,N($N5)&lt;=0),"",IF(AND($M5="BUY-DAY",$O5="VOL-OK",$P5="ON",$AA5="OK",$AB5&lt;&gt;"DOWN"),"BUY",IF(AND($M5="SELL-DAY",$O5="VOL-OK",$Q5="ON",$AA5="OK",$AB5&lt;&gt;"UP"),"SELL","")))</f>
      </c>
      <c r="S5" s="9">
        <f>IF($R5="","",$E5)</f>
      </c>
      <c r="T5" s="9">
        <f>IF($R5="","",IF($R5="BUY",$E5-$N5*'操作パネル_MS2'!$H$5,$E5+$N5*'操作パネル_MS2'!$H$5))</f>
      </c>
      <c r="U5" s="9">
        <f>IF($R5="","",IF($R5="BUY",$E5+$N5*'操作パネル_MS2'!$H$6,$E5-$N5*'操作パネル_MS2'!$H$6))</f>
      </c>
      <c r="V5" s="9">
        <f>IF($R5="","",IF($R5="BUY",$E5+$N5*'操作パネル_MS2'!$H$7,$E5-$N5*'操作パネル_MS2'!$H$7))</f>
      </c>
      <c r="W5" s="9">
        <f>IF($R5="","",IF($R5="BUY",$E5+$N5*'操作パネル_MS2'!$H$8,$E5-$N5*'操作パネル_MS2'!$H$8))</f>
      </c>
      <c r="X5" s="5">
        <f>IF(OR(N($E5)&lt;=0,N($N5)&lt;=0,N($L5)&lt;=0),"",IF(AND($E5&gt;$L5,ABS($E5-$L5)&lt;$N5*0.5),"2ND","1ST"))</f>
      </c>
      <c r="Y5" s="5">
        <f>IF(OR(N($E5)&lt;=0,N($N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 s="5">
        <f>IF(OR(N($E5)&lt;=0,N($N5)&lt;=0),"",IF($N5&gt;$E5*'操作パネル_MS2'!$H$4,"VOL-HIGH","VOL-NORMAL"))</f>
      </c>
      <c r="AA5" s="5">
        <f>IF(OR(N($E5)&lt;=0,N($N5)&lt;=0),"",IF(AND($O5="VOL-OK",$Z5="VOL-NORMAL"),"OK","NG"))</f>
      </c>
      <c r="AB5" s="5">
        <f>IF(OR(N($E5)&lt;=0,N($N5)&lt;=0,N($J5)&lt;=0,N($K5)&lt;=0),"",IF(AND($F5&gt;$J5,$G5&gt;$K5),"UP",IF(AND($F5&lt;$J5,$G5&lt;$K5),"DOWN","FLAT")))</f>
      </c>
      <c r="AC5" s="30">
        <f>IF($C5="","",_xll.RssMarket($C5&amp;"","売買代金"))</f>
      </c>
      <c r="AD5" s="31">
        <f>IFERROR(INDEX(ATRHIST_MS2!$H$2:$H$400,MATCH($C5,ATRHIST_MS2!$A$2:$A$400,0)),0)</f>
      </c>
    </row>
    <row r="6" spans="1:30" ht="25.95" customHeight="1">
      <c r="A6" s="10">
        <f>IF(C6="","",ROW()-2)</f>
      </c>
      <c r="B6" s="11">
        <f>IF(StockList_MS2!A5="","",HYPERLINK("https://kabutan.jp/stock/?code="&amp;StockList_MS2!A5,"株探"))</f>
      </c>
      <c r="C6" s="10">
        <f>IF(StockList_MS2!A5="","",StockList_MS2!A5)</f>
      </c>
      <c r="D6" s="12">
        <f>IF(StockList_MS2!A5="","",StockList_MS2!B5)</f>
      </c>
      <c r="E6" s="13">
        <f>_xll.RssMarket("5802","現在値")</f>
      </c>
      <c r="F6" s="13">
        <f>_xll.RssMarket("5802","高値")</f>
      </c>
      <c r="G6" s="13">
        <f>_xll.RssMarket("5802","安値")</f>
      </c>
      <c r="H6" s="13">
        <f>_xll.RssMarket("5802","終値")</f>
      </c>
      <c r="I6" s="20">
        <f>_xll.RssMarket("5802","出来高")</f>
      </c>
      <c r="J6" s="22">
        <v>2232.0</v>
      </c>
      <c r="K6" s="13">
        <v>2165.5</v>
      </c>
      <c r="L6" s="13">
        <f>_xll.RssMarket("5802","前日終値")</f>
      </c>
      <c r="M6" s="5">
        <f>IF(OR(N($E6)&lt;=0,N($L6)&lt;=0),"",IF($E6&gt;$L6,"BUY-DAY","SELL-DAY"))</f>
      </c>
      <c r="N6" s="9">
        <f>IF(OR(N($E6)&lt;=0,N($F6)&lt;=0,N($G6)&lt;=0),"",IF(AND($AD6&gt;0,'操作パネル_MS2'!$H$17=1),$AD6,MAX(0,$F6-$G6)/SQRT(MAX(1,'操作パネル_MS2'!$H$12))*'操作パネル_MS2'!$H$10))</f>
      </c>
      <c r="O6" s="5">
        <f>IF(OR(N($E6)&lt;=0,$AC6=""),"",IF(N($AC6)&gt;='操作パネル_MS2'!$H$3,"VOL-OK","VOL-NG"))</f>
      </c>
      <c r="P6" s="5">
        <f>IF(OR(N($E6)&lt;=0,N($J6)&lt;=0),"",IF($E6&gt;$J6,"ON","OFF"))</f>
      </c>
      <c r="Q6" s="5">
        <f>IF(OR(N($E6)&lt;=0,N($K6)&lt;=0),"",IF($E6&lt;$K6,"ON","OFF"))</f>
      </c>
      <c r="R6" s="5">
        <f>IF(OR(N($E6)&lt;=0,N($N6)&lt;=0),"",IF(AND($M6="BUY-DAY",$O6="VOL-OK",$P6="ON",$AA6="OK",$AB6&lt;&gt;"DOWN"),"BUY",IF(AND($M6="SELL-DAY",$O6="VOL-OK",$Q6="ON",$AA6="OK",$AB6&lt;&gt;"UP"),"SELL","")))</f>
      </c>
      <c r="S6" s="9">
        <f>IF($R6="","",$E6)</f>
      </c>
      <c r="T6" s="9">
        <f>IF($R6="","",IF($R6="BUY",$E6-$N6*'操作パネル_MS2'!$H$5,$E6+$N6*'操作パネル_MS2'!$H$5))</f>
      </c>
      <c r="U6" s="9">
        <f>IF($R6="","",IF($R6="BUY",$E6+$N6*'操作パネル_MS2'!$H$6,$E6-$N6*'操作パネル_MS2'!$H$6))</f>
      </c>
      <c r="V6" s="9">
        <f>IF($R6="","",IF($R6="BUY",$E6+$N6*'操作パネル_MS2'!$H$7,$E6-$N6*'操作パネル_MS2'!$H$7))</f>
      </c>
      <c r="W6" s="9">
        <f>IF($R6="","",IF($R6="BUY",$E6+$N6*'操作パネル_MS2'!$H$8,$E6-$N6*'操作パネル_MS2'!$H$8))</f>
      </c>
      <c r="X6" s="5">
        <f>IF(OR(N($E6)&lt;=0,N($N6)&lt;=0,N($L6)&lt;=0),"",IF(AND($E6&gt;$L6,ABS($E6-$L6)&lt;$N6*0.5),"2ND","1ST"))</f>
      </c>
      <c r="Y6" s="5">
        <f>IF(OR(N($E6)&lt;=0,N($N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 s="5">
        <f>IF(OR(N($E6)&lt;=0,N($N6)&lt;=0),"",IF($N6&gt;$E6*'操作パネル_MS2'!$H$4,"VOL-HIGH","VOL-NORMAL"))</f>
      </c>
      <c r="AA6" s="5">
        <f>IF(OR(N($E6)&lt;=0,N($N6)&lt;=0),"",IF(AND($O6="VOL-OK",$Z6="VOL-NORMAL"),"OK","NG"))</f>
      </c>
      <c r="AB6" s="5">
        <f>IF(OR(N($E6)&lt;=0,N($N6)&lt;=0,N($J6)&lt;=0,N($K6)&lt;=0),"",IF(AND($F6&gt;$J6,$G6&gt;$K6),"UP",IF(AND($F6&lt;$J6,$G6&lt;$K6),"DOWN","FLAT")))</f>
      </c>
      <c r="AC6" s="30">
        <f>IF($C6="","",_xll.RssMarket($C6&amp;"","売買代金"))</f>
      </c>
      <c r="AD6" s="31">
        <f>IFERROR(INDEX(ATRHIST_MS2!$H$2:$H$400,MATCH($C6,ATRHIST_MS2!$A$2:$A$400,0)),0)</f>
      </c>
    </row>
    <row r="7" spans="1:30" ht="25.95" customHeight="1">
      <c r="A7" s="5">
        <f>IF(C7="","",ROW()-2)</f>
      </c>
      <c r="B7" s="6">
        <f>IF(StockList_MS2!A6="","",HYPERLINK("https://kabutan.jp/stock/?code="&amp;StockList_MS2!A6,"株探"))</f>
      </c>
      <c r="C7" s="5">
        <f>IF(StockList_MS2!A6="","",StockList_MS2!A6)</f>
      </c>
      <c r="D7" s="7">
        <f>IF(StockList_MS2!A6="","",StockList_MS2!B6)</f>
      </c>
      <c r="E7" s="8">
        <f>_xll.RssMarket("8729","現在値")</f>
      </c>
      <c r="F7" s="8">
        <f>_xll.RssMarket("8729","高値")</f>
      </c>
      <c r="G7" s="8">
        <f>_xll.RssMarket("8729","安値")</f>
      </c>
      <c r="H7" s="8">
        <f>_xll.RssMarket("8729","終値")</f>
      </c>
      <c r="I7" s="19">
        <f>_xll.RssMarket("8729","出来高")</f>
      </c>
      <c r="J7" s="8">
        <v>166.3</v>
      </c>
      <c r="K7" s="8">
        <v>161.8</v>
      </c>
      <c r="L7" s="8">
        <f>_xll.RssMarket("8729","前日終値")</f>
      </c>
      <c r="M7" s="5">
        <f>IF(OR(N($E7)&lt;=0,N($L7)&lt;=0),"",IF($E7&gt;$L7,"BUY-DAY","SELL-DAY"))</f>
      </c>
      <c r="N7" s="9">
        <f>IF(OR(N($E7)&lt;=0,N($F7)&lt;=0,N($G7)&lt;=0),"",IF(AND($AD7&gt;0,'操作パネル_MS2'!$H$17=1),$AD7,MAX(0,$F7-$G7)/SQRT(MAX(1,'操作パネル_MS2'!$H$12))*'操作パネル_MS2'!$H$10))</f>
      </c>
      <c r="O7" s="5">
        <f>IF(OR(N($E7)&lt;=0,$AC7=""),"",IF(N($AC7)&gt;='操作パネル_MS2'!$H$3,"VOL-OK","VOL-NG"))</f>
      </c>
      <c r="P7" s="5">
        <f>IF(OR(N($E7)&lt;=0,N($J7)&lt;=0),"",IF($E7&gt;$J7,"ON","OFF"))</f>
      </c>
      <c r="Q7" s="5">
        <f>IF(OR(N($E7)&lt;=0,N($K7)&lt;=0),"",IF($E7&lt;$K7,"ON","OFF"))</f>
      </c>
      <c r="R7" s="5">
        <f>IF(OR(N($E7)&lt;=0,N($N7)&lt;=0),"",IF(AND($M7="BUY-DAY",$O7="VOL-OK",$P7="ON",$AA7="OK",$AB7&lt;&gt;"DOWN"),"BUY",IF(AND($M7="SELL-DAY",$O7="VOL-OK",$Q7="ON",$AA7="OK",$AB7&lt;&gt;"UP"),"SELL","")))</f>
      </c>
      <c r="S7" s="9">
        <f>IF($R7="","",$E7)</f>
      </c>
      <c r="T7" s="9">
        <f>IF($R7="","",IF($R7="BUY",$E7-$N7*'操作パネル_MS2'!$H$5,$E7+$N7*'操作パネル_MS2'!$H$5))</f>
      </c>
      <c r="U7" s="9">
        <f>IF($R7="","",IF($R7="BUY",$E7+$N7*'操作パネル_MS2'!$H$6,$E7-$N7*'操作パネル_MS2'!$H$6))</f>
      </c>
      <c r="V7" s="9">
        <f>IF($R7="","",IF($R7="BUY",$E7+$N7*'操作パネル_MS2'!$H$7,$E7-$N7*'操作パネル_MS2'!$H$7))</f>
      </c>
      <c r="W7" s="9">
        <f>IF($R7="","",IF($R7="BUY",$E7+$N7*'操作パネル_MS2'!$H$8,$E7-$N7*'操作パネル_MS2'!$H$8))</f>
      </c>
      <c r="X7" s="5">
        <f>IF(OR(N($E7)&lt;=0,N($N7)&lt;=0,N($L7)&lt;=0),"",IF(AND($E7&gt;$L7,ABS($E7-$L7)&lt;$N7*0.5),"2ND","1ST"))</f>
      </c>
      <c r="Y7" s="5">
        <f>IF(OR(N($E7)&lt;=0,N($N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 s="5">
        <f>IF(OR(N($E7)&lt;=0,N($N7)&lt;=0),"",IF($N7&gt;$E7*'操作パネル_MS2'!$H$4,"VOL-HIGH","VOL-NORMAL"))</f>
      </c>
      <c r="AA7" s="5">
        <f>IF(OR(N($E7)&lt;=0,N($N7)&lt;=0),"",IF(AND($O7="VOL-OK",$Z7="VOL-NORMAL"),"OK","NG"))</f>
      </c>
      <c r="AB7" s="5">
        <f>IF(OR(N($E7)&lt;=0,N($N7)&lt;=0,N($J7)&lt;=0,N($K7)&lt;=0),"",IF(AND($F7&gt;$J7,$G7&gt;$K7),"UP",IF(AND($F7&lt;$J7,$G7&lt;$K7),"DOWN","FLAT")))</f>
      </c>
      <c r="AC7" s="30">
        <f>IF($C7="","",_xll.RssMarket($C7&amp;"","売買代金"))</f>
      </c>
      <c r="AD7" s="31">
        <f>IFERROR(INDEX(ATRHIST_MS2!$H$2:$H$400,MATCH($C7,ATRHIST_MS2!$A$2:$A$400,0)),0)</f>
      </c>
    </row>
    <row r="8" spans="1:30" ht="25.95" customHeight="1">
      <c r="A8" s="10">
        <f>IF(C8="","",ROW()-2)</f>
      </c>
      <c r="B8" s="11">
        <f>IF(StockList_MS2!A7="","",HYPERLINK("https://kabutan.jp/stock/?code="&amp;StockList_MS2!A7,"株探"))</f>
      </c>
      <c r="C8" s="10">
        <f>IF(StockList_MS2!A7="","",StockList_MS2!A7)</f>
      </c>
      <c r="D8" s="12">
        <f>IF(StockList_MS2!A7="","",StockList_MS2!B7)</f>
      </c>
      <c r="E8" s="13">
        <f>_xll.RssMarket("7201","現在値")</f>
      </c>
      <c r="F8" s="13">
        <f>_xll.RssMarket("7201","高値")</f>
      </c>
      <c r="G8" s="13">
        <f>_xll.RssMarket("7201","安値")</f>
      </c>
      <c r="H8" s="13">
        <f>_xll.RssMarket("7201","終値")</f>
      </c>
      <c r="I8" s="20">
        <f>_xll.RssMarket("7201","出来高")</f>
      </c>
      <c r="J8" s="13">
        <v>322.9</v>
      </c>
      <c r="K8" s="13">
        <v>312.8</v>
      </c>
      <c r="L8" s="13">
        <f>_xll.RssMarket("7201","前日終値")</f>
      </c>
      <c r="M8" s="5">
        <f>IF(OR(N($E8)&lt;=0,N($L8)&lt;=0),"",IF($E8&gt;$L8,"BUY-DAY","SELL-DAY"))</f>
      </c>
      <c r="N8" s="9">
        <f>IF(OR(N($E8)&lt;=0,N($F8)&lt;=0,N($G8)&lt;=0),"",IF(AND($AD8&gt;0,'操作パネル_MS2'!$H$17=1),$AD8,MAX(0,$F8-$G8)/SQRT(MAX(1,'操作パネル_MS2'!$H$12))*'操作パネル_MS2'!$H$10))</f>
      </c>
      <c r="O8" s="5">
        <f>IF(OR(N($E8)&lt;=0,$AC8=""),"",IF(N($AC8)&gt;='操作パネル_MS2'!$H$3,"VOL-OK","VOL-NG"))</f>
      </c>
      <c r="P8" s="5">
        <f>IF(OR(N($E8)&lt;=0,N($J8)&lt;=0),"",IF($E8&gt;$J8,"ON","OFF"))</f>
      </c>
      <c r="Q8" s="5">
        <f>IF(OR(N($E8)&lt;=0,N($K8)&lt;=0),"",IF($E8&lt;$K8,"ON","OFF"))</f>
      </c>
      <c r="R8" s="5">
        <f>IF(OR(N($E8)&lt;=0,N($N8)&lt;=0),"",IF(AND($M8="BUY-DAY",$O8="VOL-OK",$P8="ON",$AA8="OK",$AB8&lt;&gt;"DOWN"),"BUY",IF(AND($M8="SELL-DAY",$O8="VOL-OK",$Q8="ON",$AA8="OK",$AB8&lt;&gt;"UP"),"SELL","")))</f>
      </c>
      <c r="S8" s="9">
        <f>IF($R8="","",$E8)</f>
      </c>
      <c r="T8" s="9">
        <f>IF($R8="","",IF($R8="BUY",$E8-$N8*'操作パネル_MS2'!$H$5,$E8+$N8*'操作パネル_MS2'!$H$5))</f>
      </c>
      <c r="U8" s="9">
        <f>IF($R8="","",IF($R8="BUY",$E8+$N8*'操作パネル_MS2'!$H$6,$E8-$N8*'操作パネル_MS2'!$H$6))</f>
      </c>
      <c r="V8" s="9">
        <f>IF($R8="","",IF($R8="BUY",$E8+$N8*'操作パネル_MS2'!$H$7,$E8-$N8*'操作パネル_MS2'!$H$7))</f>
      </c>
      <c r="W8" s="9">
        <f>IF($R8="","",IF($R8="BUY",$E8+$N8*'操作パネル_MS2'!$H$8,$E8-$N8*'操作パネル_MS2'!$H$8))</f>
      </c>
      <c r="X8" s="5">
        <f>IF(OR(N($E8)&lt;=0,N($N8)&lt;=0,N($L8)&lt;=0),"",IF(AND($E8&gt;$L8,ABS($E8-$L8)&lt;$N8*0.5),"2ND","1ST"))</f>
      </c>
      <c r="Y8" s="5">
        <f>IF(OR(N($E8)&lt;=0,N($N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 s="5">
        <f>IF(OR(N($E8)&lt;=0,N($N8)&lt;=0),"",IF($N8&gt;$E8*'操作パネル_MS2'!$H$4,"VOL-HIGH","VOL-NORMAL"))</f>
      </c>
      <c r="AA8" s="5">
        <f>IF(OR(N($E8)&lt;=0,N($N8)&lt;=0),"",IF(AND($O8="VOL-OK",$Z8="VOL-NORMAL"),"OK","NG"))</f>
      </c>
      <c r="AB8" s="5">
        <f>IF(OR(N($E8)&lt;=0,N($N8)&lt;=0,N($J8)&lt;=0,N($K8)&lt;=0),"",IF(AND($F8&gt;$J8,$G8&gt;$K8),"UP",IF(AND($F8&lt;$J8,$G8&lt;$K8),"DOWN","FLAT")))</f>
      </c>
      <c r="AC8" s="30">
        <f>IF($C8="","",_xll.RssMarket($C8&amp;"","売買代金"))</f>
      </c>
      <c r="AD8" s="31">
        <f>IFERROR(INDEX(ATRHIST_MS2!$H$2:$H$400,MATCH($C8,ATRHIST_MS2!$A$2:$A$400,0)),0)</f>
      </c>
    </row>
    <row r="9" spans="1:30" ht="25.95" customHeight="1">
      <c r="A9" s="5">
        <f>IF(C9="","",ROW()-2)</f>
      </c>
      <c r="B9" s="6">
        <f>IF(StockList_MS2!A8="","",HYPERLINK("https://kabutan.jp/stock/?code="&amp;StockList_MS2!A8,"株探"))</f>
      </c>
      <c r="C9" s="5">
        <f>IF(StockList_MS2!A8="","",StockList_MS2!A8)</f>
      </c>
      <c r="D9" s="7">
        <f>IF(StockList_MS2!A8="","",StockList_MS2!B8)</f>
      </c>
      <c r="E9" s="8">
        <f>_xll.RssMarket("9984","現在値")</f>
      </c>
      <c r="F9" s="8">
        <f>_xll.RssMarket("9984","高値")</f>
      </c>
      <c r="G9" s="8">
        <f>_xll.RssMarket("9984","安値")</f>
      </c>
      <c r="H9" s="8">
        <f>_xll.RssMarket("9984","終値")</f>
      </c>
      <c r="I9" s="19">
        <f>_xll.RssMarket("9984","出来高")</f>
      </c>
      <c r="J9" s="8">
        <v>5263.0</v>
      </c>
      <c r="K9" s="8">
        <v>5136.0</v>
      </c>
      <c r="L9" s="8">
        <f>_xll.RssMarket("9984","前日終値")</f>
      </c>
      <c r="M9" s="5">
        <f>IF(OR(N($E9)&lt;=0,N($L9)&lt;=0),"",IF($E9&gt;$L9,"BUY-DAY","SELL-DAY"))</f>
      </c>
      <c r="N9" s="9">
        <f>IF(OR(N($E9)&lt;=0,N($F9)&lt;=0,N($G9)&lt;=0),"",IF(AND($AD9&gt;0,'操作パネル_MS2'!$H$17=1),$AD9,MAX(0,$F9-$G9)/SQRT(MAX(1,'操作パネル_MS2'!$H$12))*'操作パネル_MS2'!$H$10))</f>
      </c>
      <c r="O9" s="5">
        <f>IF(OR(N($E9)&lt;=0,$AC9=""),"",IF(N($AC9)&gt;='操作パネル_MS2'!$H$3,"VOL-OK","VOL-NG"))</f>
      </c>
      <c r="P9" s="5">
        <f>IF(OR(N($E9)&lt;=0,N($J9)&lt;=0),"",IF($E9&gt;$J9,"ON","OFF"))</f>
      </c>
      <c r="Q9" s="5">
        <f>IF(OR(N($E9)&lt;=0,N($K9)&lt;=0),"",IF($E9&lt;$K9,"ON","OFF"))</f>
      </c>
      <c r="R9" s="5">
        <f>IF(OR(N($E9)&lt;=0,N($N9)&lt;=0),"",IF(AND($M9="BUY-DAY",$O9="VOL-OK",$P9="ON",$AA9="OK",$AB9&lt;&gt;"DOWN"),"BUY",IF(AND($M9="SELL-DAY",$O9="VOL-OK",$Q9="ON",$AA9="OK",$AB9&lt;&gt;"UP"),"SELL","")))</f>
      </c>
      <c r="S9" s="9">
        <f>IF($R9="","",$E9)</f>
      </c>
      <c r="T9" s="9">
        <f>IF($R9="","",IF($R9="BUY",$E9-$N9*'操作パネル_MS2'!$H$5,$E9+$N9*'操作パネル_MS2'!$H$5))</f>
      </c>
      <c r="U9" s="9">
        <f>IF($R9="","",IF($R9="BUY",$E9+$N9*'操作パネル_MS2'!$H$6,$E9-$N9*'操作パネル_MS2'!$H$6))</f>
      </c>
      <c r="V9" s="9">
        <f>IF($R9="","",IF($R9="BUY",$E9+$N9*'操作パネル_MS2'!$H$7,$E9-$N9*'操作パネル_MS2'!$H$7))</f>
      </c>
      <c r="W9" s="9">
        <f>IF($R9="","",IF($R9="BUY",$E9+$N9*'操作パネル_MS2'!$H$8,$E9-$N9*'操作パネル_MS2'!$H$8))</f>
      </c>
      <c r="X9" s="5">
        <f>IF(OR(N($E9)&lt;=0,N($N9)&lt;=0,N($L9)&lt;=0),"",IF(AND($E9&gt;$L9,ABS($E9-$L9)&lt;$N9*0.5),"2ND","1ST"))</f>
      </c>
      <c r="Y9" s="5">
        <f>IF(OR(N($E9)&lt;=0,N($N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 s="5">
        <f>IF(OR(N($E9)&lt;=0,N($N9)&lt;=0),"",IF($N9&gt;$E9*'操作パネル_MS2'!$H$4,"VOL-HIGH","VOL-NORMAL"))</f>
      </c>
      <c r="AA9" s="5">
        <f>IF(OR(N($E9)&lt;=0,N($N9)&lt;=0),"",IF(AND($O9="VOL-OK",$Z9="VOL-NORMAL"),"OK","NG"))</f>
      </c>
      <c r="AB9" s="5">
        <f>IF(OR(N($E9)&lt;=0,N($N9)&lt;=0,N($J9)&lt;=0,N($K9)&lt;=0),"",IF(AND($F9&gt;$J9,$G9&gt;$K9),"UP",IF(AND($F9&lt;$J9,$G9&lt;$K9),"DOWN","FLAT")))</f>
      </c>
      <c r="AC9" s="30">
        <f>IF($C9="","",_xll.RssMarket($C9&amp;"","売買代金"))</f>
      </c>
      <c r="AD9" s="31">
        <f>IFERROR(INDEX(ATRHIST_MS2!$H$2:$H$400,MATCH($C9,ATRHIST_MS2!$A$2:$A$400,0)),0)</f>
      </c>
    </row>
    <row r="10" spans="1:30" ht="25.95" customHeight="1">
      <c r="A10" s="10">
        <f>IF(C10="","",ROW()-2)</f>
      </c>
      <c r="B10" s="11">
        <f>IF(StockList_MS2!A9="","",HYPERLINK("https://kabutan.jp/stock/?code="&amp;StockList_MS2!A9,"株探"))</f>
      </c>
      <c r="C10" s="10">
        <f>IF(StockList_MS2!A9="","",StockList_MS2!A9)</f>
      </c>
      <c r="D10" s="12">
        <f>IF(StockList_MS2!A9="","",StockList_MS2!B9)</f>
      </c>
      <c r="E10" s="13">
        <f>_xll.RssMarket("8306","現在値")</f>
      </c>
      <c r="F10" s="13">
        <f>_xll.RssMarket("8306","高値")</f>
      </c>
      <c r="G10" s="13">
        <f>_xll.RssMarket("8306","安値")</f>
      </c>
      <c r="H10" s="13">
        <f>_xll.RssMarket("8306","終値")</f>
      </c>
      <c r="I10" s="20">
        <f>_xll.RssMarket("8306","出来高")</f>
      </c>
      <c r="J10" s="13">
        <v>3678.0</v>
      </c>
      <c r="K10" s="13">
        <v>3575.0</v>
      </c>
      <c r="L10" s="13">
        <f>_xll.RssMarket("8306","前日終値")</f>
      </c>
      <c r="M10" s="5">
        <f>IF(OR(N($E10)&lt;=0,N($L10)&lt;=0),"",IF($E10&gt;$L10,"BUY-DAY","SELL-DAY"))</f>
      </c>
      <c r="N10" s="9">
        <f>IF(OR(N($E10)&lt;=0,N($F10)&lt;=0,N($G10)&lt;=0),"",IF(AND($AD10&gt;0,'操作パネル_MS2'!$H$17=1),$AD10,MAX(0,$F10-$G10)/SQRT(MAX(1,'操作パネル_MS2'!$H$12))*'操作パネル_MS2'!$H$10))</f>
      </c>
      <c r="O10" s="5">
        <f>IF(OR(N($E10)&lt;=0,$AC10=""),"",IF(N($AC10)&gt;='操作パネル_MS2'!$H$3,"VOL-OK","VOL-NG"))</f>
      </c>
      <c r="P10" s="5">
        <f>IF(OR(N($E10)&lt;=0,N($J10)&lt;=0),"",IF($E10&gt;$J10,"ON","OFF"))</f>
      </c>
      <c r="Q10" s="5">
        <f>IF(OR(N($E10)&lt;=0,N($K10)&lt;=0),"",IF($E10&lt;$K10,"ON","OFF"))</f>
      </c>
      <c r="R10" s="5">
        <f>IF(OR(N($E10)&lt;=0,N($N10)&lt;=0),"",IF(AND($M10="BUY-DAY",$O10="VOL-OK",$P10="ON",$AA10="OK",$AB10&lt;&gt;"DOWN"),"BUY",IF(AND($M10="SELL-DAY",$O10="VOL-OK",$Q10="ON",$AA10="OK",$AB10&lt;&gt;"UP"),"SELL","")))</f>
      </c>
      <c r="S10" s="9">
        <f>IF($R10="","",$E10)</f>
      </c>
      <c r="T10" s="9">
        <f>IF($R10="","",IF($R10="BUY",$E10-$N10*'操作パネル_MS2'!$H$5,$E10+$N10*'操作パネル_MS2'!$H$5))</f>
      </c>
      <c r="U10" s="9">
        <f>IF($R10="","",IF($R10="BUY",$E10+$N10*'操作パネル_MS2'!$H$6,$E10-$N10*'操作パネル_MS2'!$H$6))</f>
      </c>
      <c r="V10" s="9">
        <f>IF($R10="","",IF($R10="BUY",$E10+$N10*'操作パネル_MS2'!$H$7,$E10-$N10*'操作パネル_MS2'!$H$7))</f>
      </c>
      <c r="W10" s="9">
        <f>IF($R10="","",IF($R10="BUY",$E10+$N10*'操作パネル_MS2'!$H$8,$E10-$N10*'操作パネル_MS2'!$H$8))</f>
      </c>
      <c r="X10" s="5">
        <f>IF(OR(N($E10)&lt;=0,N($N10)&lt;=0,N($L10)&lt;=0),"",IF(AND($E10&gt;$L10,ABS($E10-$L10)&lt;$N10*0.5),"2ND","1ST"))</f>
      </c>
      <c r="Y10" s="5">
        <f>IF(OR(N($E10)&lt;=0,N($N10)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0" s="5">
        <f>IF(OR(N($E10)&lt;=0,N($N10)&lt;=0),"",IF($N10&gt;$E10*'操作パネル_MS2'!$H$4,"VOL-HIGH","VOL-NORMAL"))</f>
      </c>
      <c r="AA10" s="5">
        <f>IF(OR(N($E10)&lt;=0,N($N10)&lt;=0),"",IF(AND($O10="VOL-OK",$Z10="VOL-NORMAL"),"OK","NG"))</f>
      </c>
      <c r="AB10" s="5">
        <f>IF(OR(N($E10)&lt;=0,N($N10)&lt;=0,N($J10)&lt;=0,N($K10)&lt;=0),"",IF(AND($F10&gt;$J10,$G10&gt;$K10),"UP",IF(AND($F10&lt;$J10,$G10&lt;$K10),"DOWN","FLAT")))</f>
      </c>
      <c r="AC10" s="30">
        <f>IF($C10="","",_xll.RssMarket($C10&amp;"","売買代金"))</f>
      </c>
      <c r="AD10" s="31">
        <f>IFERROR(INDEX(ATRHIST_MS2!$H$2:$H$400,MATCH($C10,ATRHIST_MS2!$A$2:$A$400,0)),0)</f>
      </c>
    </row>
    <row r="11" spans="1:30" ht="25.95" customHeight="1">
      <c r="A11" s="5">
        <f>IF(C11="","",ROW()-2)</f>
      </c>
      <c r="B11" s="6">
        <f>IF(StockList_MS2!A10="","",HYPERLINK("https://kabutan.jp/stock/?code="&amp;StockList_MS2!A10,"株探"))</f>
      </c>
      <c r="C11" s="5">
        <f>IF(StockList_MS2!A10="","",StockList_MS2!A10)</f>
      </c>
      <c r="D11" s="7">
        <f>IF(StockList_MS2!A10="","",StockList_MS2!B10)</f>
      </c>
      <c r="E11" s="8">
        <f>_xll.RssMarket("9501","現在値")</f>
      </c>
      <c r="F11" s="8">
        <f>_xll.RssMarket("9501","高値")</f>
      </c>
      <c r="G11" s="8">
        <f>_xll.RssMarket("9501","安値")</f>
      </c>
      <c r="H11" s="8">
        <f>_xll.RssMarket("9501","終値")</f>
      </c>
      <c r="I11" s="19">
        <f>_xll.RssMarket("9501","出来高")</f>
      </c>
      <c r="J11" s="8">
        <v>535.4</v>
      </c>
      <c r="K11" s="8">
        <v>525.5</v>
      </c>
      <c r="L11" s="8">
        <f>_xll.RssMarket("9501","前日終値")</f>
      </c>
      <c r="M11" s="5">
        <f>IF(OR(N($E11)&lt;=0,N($L11)&lt;=0),"",IF($E11&gt;$L11,"BUY-DAY","SELL-DAY"))</f>
      </c>
      <c r="N11" s="9">
        <f>IF(OR(N($E11)&lt;=0,N($F11)&lt;=0,N($G11)&lt;=0),"",IF(AND($AD11&gt;0,'操作パネル_MS2'!$H$17=1),$AD11,MAX(0,$F11-$G11)/SQRT(MAX(1,'操作パネル_MS2'!$H$12))*'操作パネル_MS2'!$H$10))</f>
      </c>
      <c r="O11" s="5">
        <f>IF(OR(N($E11)&lt;=0,$AC11=""),"",IF(N($AC11)&gt;='操作パネル_MS2'!$H$3,"VOL-OK","VOL-NG"))</f>
      </c>
      <c r="P11" s="5">
        <f>IF(OR(N($E11)&lt;=0,N($J11)&lt;=0),"",IF($E11&gt;$J11,"ON","OFF"))</f>
      </c>
      <c r="Q11" s="5">
        <f>IF(OR(N($E11)&lt;=0,N($K11)&lt;=0),"",IF($E11&lt;$K11,"ON","OFF"))</f>
      </c>
      <c r="R11" s="5">
        <f>IF(OR(N($E11)&lt;=0,N($N11)&lt;=0),"",IF(AND($M11="BUY-DAY",$O11="VOL-OK",$P11="ON",$AA11="OK",$AB11&lt;&gt;"DOWN"),"BUY",IF(AND($M11="SELL-DAY",$O11="VOL-OK",$Q11="ON",$AA11="OK",$AB11&lt;&gt;"UP"),"SELL","")))</f>
      </c>
      <c r="S11" s="9">
        <f>IF($R11="","",$E11)</f>
      </c>
      <c r="T11" s="9">
        <f>IF($R11="","",IF($R11="BUY",$E11-$N11*'操作パネル_MS2'!$H$5,$E11+$N11*'操作パネル_MS2'!$H$5))</f>
      </c>
      <c r="U11" s="9">
        <f>IF($R11="","",IF($R11="BUY",$E11+$N11*'操作パネル_MS2'!$H$6,$E11-$N11*'操作パネル_MS2'!$H$6))</f>
      </c>
      <c r="V11" s="9">
        <f>IF($R11="","",IF($R11="BUY",$E11+$N11*'操作パネル_MS2'!$H$7,$E11-$N11*'操作パネル_MS2'!$H$7))</f>
      </c>
      <c r="W11" s="9">
        <f>IF($R11="","",IF($R11="BUY",$E11+$N11*'操作パネル_MS2'!$H$8,$E11-$N11*'操作パネル_MS2'!$H$8))</f>
      </c>
      <c r="X11" s="5">
        <f>IF(OR(N($E11)&lt;=0,N($N11)&lt;=0,N($L11)&lt;=0),"",IF(AND($E11&gt;$L11,ABS($E11-$L11)&lt;$N11*0.5),"2ND","1ST"))</f>
      </c>
      <c r="Y11" s="5">
        <f>IF(OR(N($E11)&lt;=0,N($N11)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1" s="5">
        <f>IF(OR(N($E11)&lt;=0,N($N11)&lt;=0),"",IF($N11&gt;$E11*'操作パネル_MS2'!$H$4,"VOL-HIGH","VOL-NORMAL"))</f>
      </c>
      <c r="AA11" s="5">
        <f>IF(OR(N($E11)&lt;=0,N($N11)&lt;=0),"",IF(AND($O11="VOL-OK",$Z11="VOL-NORMAL"),"OK","NG"))</f>
      </c>
      <c r="AB11" s="5">
        <f>IF(OR(N($E11)&lt;=0,N($N11)&lt;=0,N($J11)&lt;=0,N($K11)&lt;=0),"",IF(AND($F11&gt;$J11,$G11&gt;$K11),"UP",IF(AND($F11&lt;$J11,$G11&lt;$K11),"DOWN","FLAT")))</f>
      </c>
      <c r="AC11" s="30">
        <f>IF($C11="","",_xll.RssMarket($C11&amp;"","売買代金"))</f>
      </c>
      <c r="AD11" s="31">
        <f>IFERROR(INDEX(ATRHIST_MS2!$H$2:$H$400,MATCH($C11,ATRHIST_MS2!$A$2:$A$400,0)),0)</f>
      </c>
    </row>
    <row r="12" spans="1:30" ht="25.95" customHeight="1">
      <c r="A12" s="10">
        <f>IF(C12="","",ROW()-2)</f>
      </c>
      <c r="B12" s="11">
        <f>IF(StockList_MS2!A11="","",HYPERLINK("https://kabutan.jp/stock/?code="&amp;StockList_MS2!A11,"株探"))</f>
      </c>
      <c r="C12" s="10">
        <f>IF(StockList_MS2!A11="","",StockList_MS2!A11)</f>
      </c>
      <c r="D12" s="12">
        <f>IF(StockList_MS2!A11="","",StockList_MS2!B11)</f>
      </c>
      <c r="E12" s="13">
        <f>_xll.RssMarket("5401","現在値")</f>
      </c>
      <c r="F12" s="13">
        <f>_xll.RssMarket("5401","高値")</f>
      </c>
      <c r="G12" s="13">
        <f>_xll.RssMarket("5401","安値")</f>
      </c>
      <c r="H12" s="13">
        <f>_xll.RssMarket("5401","終値")</f>
      </c>
      <c r="I12" s="20">
        <f>_xll.RssMarket("5401","出来高")</f>
      </c>
      <c r="J12" s="13">
        <v>681.0</v>
      </c>
      <c r="K12" s="13">
        <v>668.3</v>
      </c>
      <c r="L12" s="13">
        <f>_xll.RssMarket("5401","前日終値")</f>
      </c>
      <c r="M12" s="5">
        <f>IF(OR(N($E12)&lt;=0,N($L12)&lt;=0),"",IF($E12&gt;$L12,"BUY-DAY","SELL-DAY"))</f>
      </c>
      <c r="N12" s="9">
        <f>IF(OR(N($E12)&lt;=0,N($F12)&lt;=0,N($G12)&lt;=0),"",IF(AND($AD12&gt;0,'操作パネル_MS2'!$H$17=1),$AD12,MAX(0,$F12-$G12)/SQRT(MAX(1,'操作パネル_MS2'!$H$12))*'操作パネル_MS2'!$H$10))</f>
      </c>
      <c r="O12" s="5">
        <f>IF(OR(N($E12)&lt;=0,$AC12=""),"",IF(N($AC12)&gt;='操作パネル_MS2'!$H$3,"VOL-OK","VOL-NG"))</f>
      </c>
      <c r="P12" s="5">
        <f>IF(OR(N($E12)&lt;=0,N($J12)&lt;=0),"",IF($E12&gt;$J12,"ON","OFF"))</f>
      </c>
      <c r="Q12" s="5">
        <f>IF(OR(N($E12)&lt;=0,N($K12)&lt;=0),"",IF($E12&lt;$K12,"ON","OFF"))</f>
      </c>
      <c r="R12" s="5">
        <f>IF(OR(N($E12)&lt;=0,N($N12)&lt;=0),"",IF(AND($M12="BUY-DAY",$O12="VOL-OK",$P12="ON",$AA12="OK",$AB12&lt;&gt;"DOWN"),"BUY",IF(AND($M12="SELL-DAY",$O12="VOL-OK",$Q12="ON",$AA12="OK",$AB12&lt;&gt;"UP"),"SELL","")))</f>
      </c>
      <c r="S12" s="9">
        <f>IF($R12="","",$E12)</f>
      </c>
      <c r="T12" s="9">
        <f>IF($R12="","",IF($R12="BUY",$E12-$N12*'操作パネル_MS2'!$H$5,$E12+$N12*'操作パネル_MS2'!$H$5))</f>
      </c>
      <c r="U12" s="9">
        <f>IF($R12="","",IF($R12="BUY",$E12+$N12*'操作パネル_MS2'!$H$6,$E12-$N12*'操作パネル_MS2'!$H$6))</f>
      </c>
      <c r="V12" s="9">
        <f>IF($R12="","",IF($R12="BUY",$E12+$N12*'操作パネル_MS2'!$H$7,$E12-$N12*'操作パネル_MS2'!$H$7))</f>
      </c>
      <c r="W12" s="9">
        <f>IF($R12="","",IF($R12="BUY",$E12+$N12*'操作パネル_MS2'!$H$8,$E12-$N12*'操作パネル_MS2'!$H$8))</f>
      </c>
      <c r="X12" s="5">
        <f>IF(OR(N($E12)&lt;=0,N($N12)&lt;=0,N($L12)&lt;=0),"",IF(AND($E12&gt;$L12,ABS($E12-$L12)&lt;$N12*0.5),"2ND","1ST"))</f>
      </c>
      <c r="Y12" s="5">
        <f>IF(OR(N($E12)&lt;=0,N($N12)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2" s="5">
        <f>IF(OR(N($E12)&lt;=0,N($N12)&lt;=0),"",IF($N12&gt;$E12*'操作パネル_MS2'!$H$4,"VOL-HIGH","VOL-NORMAL"))</f>
      </c>
      <c r="AA12" s="5">
        <f>IF(OR(N($E12)&lt;=0,N($N12)&lt;=0),"",IF(AND($O12="VOL-OK",$Z12="VOL-NORMAL"),"OK","NG"))</f>
      </c>
      <c r="AB12" s="5">
        <f>IF(OR(N($E12)&lt;=0,N($N12)&lt;=0,N($J12)&lt;=0,N($K12)&lt;=0),"",IF(AND($F12&gt;$J12,$G12&gt;$K12),"UP",IF(AND($F12&lt;$J12,$G12&lt;$K12),"DOWN","FLAT")))</f>
      </c>
      <c r="AC12" s="30">
        <f>IF($C12="","",_xll.RssMarket($C12&amp;"","売買代金"))</f>
      </c>
      <c r="AD12" s="31">
        <f>IFERROR(INDEX(ATRHIST_MS2!$H$2:$H$400,MATCH($C12,ATRHIST_MS2!$A$2:$A$400,0)),0)</f>
      </c>
    </row>
    <row r="13" spans="1:30" ht="25.95" customHeight="1">
      <c r="A13" s="5">
        <f>IF(C13="","",ROW()-2)</f>
      </c>
      <c r="B13" s="6">
        <f>IF(StockList_MS2!A12="","",HYPERLINK("https://kabutan.jp/stock/?code="&amp;StockList_MS2!A12,"株探"))</f>
      </c>
      <c r="C13" s="5">
        <f>IF(StockList_MS2!A12="","",StockList_MS2!A12)</f>
      </c>
      <c r="D13" s="7">
        <f>IF(StockList_MS2!A12="","",StockList_MS2!B12)</f>
      </c>
      <c r="E13" s="8">
        <f>_xll.RssMarket("5801","現在値")</f>
      </c>
      <c r="F13" s="8">
        <f>_xll.RssMarket("5801","高値")</f>
      </c>
      <c r="G13" s="8">
        <f>_xll.RssMarket("5801","安値")</f>
      </c>
      <c r="H13" s="8">
        <f>_xll.RssMarket("5801","終値")</f>
      </c>
      <c r="I13" s="19">
        <f>_xll.RssMarket("5801","出来高")</f>
      </c>
      <c r="J13" s="8">
        <v>4072.0</v>
      </c>
      <c r="K13" s="8">
        <v>3883.0</v>
      </c>
      <c r="L13" s="8">
        <f>_xll.RssMarket("5801","前日終値")</f>
      </c>
      <c r="M13" s="5">
        <f>IF(OR(N($E13)&lt;=0,N($L13)&lt;=0),"",IF($E13&gt;$L13,"BUY-DAY","SELL-DAY"))</f>
      </c>
      <c r="N13" s="9">
        <f>IF(OR(N($E13)&lt;=0,N($F13)&lt;=0,N($G13)&lt;=0),"",IF(AND($AD13&gt;0,'操作パネル_MS2'!$H$17=1),$AD13,MAX(0,$F13-$G13)/SQRT(MAX(1,'操作パネル_MS2'!$H$12))*'操作パネル_MS2'!$H$10))</f>
      </c>
      <c r="O13" s="5">
        <f>IF(OR(N($E13)&lt;=0,$AC13=""),"",IF(N($AC13)&gt;='操作パネル_MS2'!$H$3,"VOL-OK","VOL-NG"))</f>
      </c>
      <c r="P13" s="5">
        <f>IF(OR(N($E13)&lt;=0,N($J13)&lt;=0),"",IF($E13&gt;$J13,"ON","OFF"))</f>
      </c>
      <c r="Q13" s="5">
        <f>IF(OR(N($E13)&lt;=0,N($K13)&lt;=0),"",IF($E13&lt;$K13,"ON","OFF"))</f>
      </c>
      <c r="R13" s="5">
        <f>IF(OR(N($E13)&lt;=0,N($N13)&lt;=0),"",IF(AND($M13="BUY-DAY",$O13="VOL-OK",$P13="ON",$AA13="OK",$AB13&lt;&gt;"DOWN"),"BUY",IF(AND($M13="SELL-DAY",$O13="VOL-OK",$Q13="ON",$AA13="OK",$AB13&lt;&gt;"UP"),"SELL","")))</f>
      </c>
      <c r="S13" s="9">
        <f>IF($R13="","",$E13)</f>
      </c>
      <c r="T13" s="9">
        <f>IF($R13="","",IF($R13="BUY",$E13-$N13*'操作パネル_MS2'!$H$5,$E13+$N13*'操作パネル_MS2'!$H$5))</f>
      </c>
      <c r="U13" s="9">
        <f>IF($R13="","",IF($R13="BUY",$E13+$N13*'操作パネル_MS2'!$H$6,$E13-$N13*'操作パネル_MS2'!$H$6))</f>
      </c>
      <c r="V13" s="9">
        <f>IF($R13="","",IF($R13="BUY",$E13+$N13*'操作パネル_MS2'!$H$7,$E13-$N13*'操作パネル_MS2'!$H$7))</f>
      </c>
      <c r="W13" s="9">
        <f>IF($R13="","",IF($R13="BUY",$E13+$N13*'操作パネル_MS2'!$H$8,$E13-$N13*'操作パネル_MS2'!$H$8))</f>
      </c>
      <c r="X13" s="5">
        <f>IF(OR(N($E13)&lt;=0,N($N13)&lt;=0,N($L13)&lt;=0),"",IF(AND($E13&gt;$L13,ABS($E13-$L13)&lt;$N13*0.5),"2ND","1ST"))</f>
      </c>
      <c r="Y13" s="5">
        <f>IF(OR(N($E13)&lt;=0,N($N13)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3" s="5">
        <f>IF(OR(N($E13)&lt;=0,N($N13)&lt;=0),"",IF($N13&gt;$E13*'操作パネル_MS2'!$H$4,"VOL-HIGH","VOL-NORMAL"))</f>
      </c>
      <c r="AA13" s="5">
        <f>IF(OR(N($E13)&lt;=0,N($N13)&lt;=0),"",IF(AND($O13="VOL-OK",$Z13="VOL-NORMAL"),"OK","NG"))</f>
      </c>
      <c r="AB13" s="5">
        <f>IF(OR(N($E13)&lt;=0,N($N13)&lt;=0,N($J13)&lt;=0,N($K13)&lt;=0),"",IF(AND($F13&gt;$J13,$G13&gt;$K13),"UP",IF(AND($F13&lt;$J13,$G13&lt;$K13),"DOWN","FLAT")))</f>
      </c>
      <c r="AC13" s="30">
        <f>IF($C13="","",_xll.RssMarket($C13&amp;"","売買代金"))</f>
      </c>
      <c r="AD13" s="31">
        <f>IFERROR(INDEX(ATRHIST_MS2!$H$2:$H$400,MATCH($C13,ATRHIST_MS2!$A$2:$A$400,0)),0)</f>
      </c>
    </row>
    <row r="14" spans="1:30" ht="25.95" customHeight="1">
      <c r="A14" s="10">
        <f>IF(C14="","",ROW()-2)</f>
      </c>
      <c r="B14" s="11">
        <f>IF(StockList_MS2!A13="","",HYPERLINK("https://kabutan.jp/stock/?code="&amp;StockList_MS2!A13,"株探"))</f>
      </c>
      <c r="C14" s="10">
        <f>IF(StockList_MS2!A13="","",StockList_MS2!A13)</f>
      </c>
      <c r="D14" s="12">
        <f>IF(StockList_MS2!A13="","",StockList_MS2!B13)</f>
      </c>
      <c r="E14" s="13">
        <f>_xll.RssMarket("6758","現在値")</f>
      </c>
      <c r="F14" s="13">
        <f>_xll.RssMarket("6758","高値")</f>
      </c>
      <c r="G14" s="13">
        <f>_xll.RssMarket("6758","安値")</f>
      </c>
      <c r="H14" s="13">
        <f>_xll.RssMarket("6758","終値")</f>
      </c>
      <c r="I14" s="20">
        <f>_xll.RssMarket("6758","出来高")</f>
      </c>
      <c r="J14" s="13">
        <v>3968.0</v>
      </c>
      <c r="K14" s="13">
        <v>3875.0</v>
      </c>
      <c r="L14" s="13">
        <f>_xll.RssMarket("6758","前日終値")</f>
      </c>
      <c r="M14" s="5">
        <f>IF(OR(N($E14)&lt;=0,N($L14)&lt;=0),"",IF($E14&gt;$L14,"BUY-DAY","SELL-DAY"))</f>
      </c>
      <c r="N14" s="9">
        <f>IF(OR(N($E14)&lt;=0,N($F14)&lt;=0,N($G14)&lt;=0),"",IF(AND($AD14&gt;0,'操作パネル_MS2'!$H$17=1),$AD14,MAX(0,$F14-$G14)/SQRT(MAX(1,'操作パネル_MS2'!$H$12))*'操作パネル_MS2'!$H$10))</f>
      </c>
      <c r="O14" s="5">
        <f>IF(OR(N($E14)&lt;=0,$AC14=""),"",IF(N($AC14)&gt;='操作パネル_MS2'!$H$3,"VOL-OK","VOL-NG"))</f>
      </c>
      <c r="P14" s="5">
        <f>IF(OR(N($E14)&lt;=0,N($J14)&lt;=0),"",IF($E14&gt;$J14,"ON","OFF"))</f>
      </c>
      <c r="Q14" s="5">
        <f>IF(OR(N($E14)&lt;=0,N($K14)&lt;=0),"",IF($E14&lt;$K14,"ON","OFF"))</f>
      </c>
      <c r="R14" s="5">
        <f>IF(OR(N($E14)&lt;=0,N($N14)&lt;=0),"",IF(AND($M14="BUY-DAY",$O14="VOL-OK",$P14="ON",$AA14="OK",$AB14&lt;&gt;"DOWN"),"BUY",IF(AND($M14="SELL-DAY",$O14="VOL-OK",$Q14="ON",$AA14="OK",$AB14&lt;&gt;"UP"),"SELL","")))</f>
      </c>
      <c r="S14" s="9">
        <f>IF($R14="","",$E14)</f>
      </c>
      <c r="T14" s="9">
        <f>IF($R14="","",IF($R14="BUY",$E14-$N14*'操作パネル_MS2'!$H$5,$E14+$N14*'操作パネル_MS2'!$H$5))</f>
      </c>
      <c r="U14" s="9">
        <f>IF($R14="","",IF($R14="BUY",$E14+$N14*'操作パネル_MS2'!$H$6,$E14-$N14*'操作パネル_MS2'!$H$6))</f>
      </c>
      <c r="V14" s="9">
        <f>IF($R14="","",IF($R14="BUY",$E14+$N14*'操作パネル_MS2'!$H$7,$E14-$N14*'操作パネル_MS2'!$H$7))</f>
      </c>
      <c r="W14" s="9">
        <f>IF($R14="","",IF($R14="BUY",$E14+$N14*'操作パネル_MS2'!$H$8,$E14-$N14*'操作パネル_MS2'!$H$8))</f>
      </c>
      <c r="X14" s="5">
        <f>IF(OR(N($E14)&lt;=0,N($N14)&lt;=0,N($L14)&lt;=0),"",IF(AND($E14&gt;$L14,ABS($E14-$L14)&lt;$N14*0.5),"2ND","1ST"))</f>
      </c>
      <c r="Y14" s="5">
        <f>IF(OR(N($E14)&lt;=0,N($N14)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4" s="5">
        <f>IF(OR(N($E14)&lt;=0,N($N14)&lt;=0),"",IF($N14&gt;$E14*'操作パネル_MS2'!$H$4,"VOL-HIGH","VOL-NORMAL"))</f>
      </c>
      <c r="AA14" s="5">
        <f>IF(OR(N($E14)&lt;=0,N($N14)&lt;=0),"",IF(AND($O14="VOL-OK",$Z14="VOL-NORMAL"),"OK","NG"))</f>
      </c>
      <c r="AB14" s="5">
        <f>IF(OR(N($E14)&lt;=0,N($N14)&lt;=0,N($J14)&lt;=0,N($K14)&lt;=0),"",IF(AND($F14&gt;$J14,$G14&gt;$K14),"UP",IF(AND($F14&lt;$J14,$G14&lt;$K14),"DOWN","FLAT")))</f>
      </c>
      <c r="AC14" s="30">
        <f>IF($C14="","",_xll.RssMarket($C14&amp;"","売買代金"))</f>
      </c>
      <c r="AD14" s="31">
        <f>IFERROR(INDEX(ATRHIST_MS2!$H$2:$H$400,MATCH($C14,ATRHIST_MS2!$A$2:$A$400,0)),0)</f>
      </c>
    </row>
    <row r="15" spans="1:30" ht="25.95" customHeight="1">
      <c r="A15" s="5">
        <f>IF(C15="","",ROW()-2)</f>
      </c>
      <c r="B15" s="6">
        <f>IF(StockList_MS2!A14="","",HYPERLINK("https://kabutan.jp/stock/?code="&amp;StockList_MS2!A14,"株探"))</f>
      </c>
      <c r="C15" s="5">
        <f>IF(StockList_MS2!A14="","",StockList_MS2!A14)</f>
      </c>
      <c r="D15" s="7">
        <f>IF(StockList_MS2!A14="","",StockList_MS2!B14)</f>
      </c>
      <c r="E15" s="8">
        <f>_xll.RssMarket("7203","現在値")</f>
      </c>
      <c r="F15" s="8">
        <f>_xll.RssMarket("7203","高値")</f>
      </c>
      <c r="G15" s="8">
        <f>_xll.RssMarket("7203","安値")</f>
      </c>
      <c r="H15" s="8">
        <f>_xll.RssMarket("7203","終値")</f>
      </c>
      <c r="I15" s="19">
        <f>_xll.RssMarket("7203","出来高")</f>
      </c>
      <c r="J15" s="8">
        <v>3145.0</v>
      </c>
      <c r="K15" s="8">
        <v>3081.0</v>
      </c>
      <c r="L15" s="8">
        <f>_xll.RssMarket("7203","前日終値")</f>
      </c>
      <c r="M15" s="5">
        <f>IF(OR(N($E15)&lt;=0,N($L15)&lt;=0),"",IF($E15&gt;$L15,"BUY-DAY","SELL-DAY"))</f>
      </c>
      <c r="N15" s="9">
        <f>IF(OR(N($E15)&lt;=0,N($F15)&lt;=0,N($G15)&lt;=0),"",IF(AND($AD15&gt;0,'操作パネル_MS2'!$H$17=1),$AD15,MAX(0,$F15-$G15)/SQRT(MAX(1,'操作パネル_MS2'!$H$12))*'操作パネル_MS2'!$H$10))</f>
      </c>
      <c r="O15" s="5">
        <f>IF(OR(N($E15)&lt;=0,$AC15=""),"",IF(N($AC15)&gt;='操作パネル_MS2'!$H$3,"VOL-OK","VOL-NG"))</f>
      </c>
      <c r="P15" s="5">
        <f>IF(OR(N($E15)&lt;=0,N($J15)&lt;=0),"",IF($E15&gt;$J15,"ON","OFF"))</f>
      </c>
      <c r="Q15" s="5">
        <f>IF(OR(N($E15)&lt;=0,N($K15)&lt;=0),"",IF($E15&lt;$K15,"ON","OFF"))</f>
      </c>
      <c r="R15" s="5">
        <f>IF(OR(N($E15)&lt;=0,N($N15)&lt;=0),"",IF(AND($M15="BUY-DAY",$O15="VOL-OK",$P15="ON",$AA15="OK",$AB15&lt;&gt;"DOWN"),"BUY",IF(AND($M15="SELL-DAY",$O15="VOL-OK",$Q15="ON",$AA15="OK",$AB15&lt;&gt;"UP"),"SELL","")))</f>
      </c>
      <c r="S15" s="9">
        <f>IF($R15="","",$E15)</f>
      </c>
      <c r="T15" s="9">
        <f>IF($R15="","",IF($R15="BUY",$E15-$N15*'操作パネル_MS2'!$H$5,$E15+$N15*'操作パネル_MS2'!$H$5))</f>
      </c>
      <c r="U15" s="9">
        <f>IF($R15="","",IF($R15="BUY",$E15+$N15*'操作パネル_MS2'!$H$6,$E15-$N15*'操作パネル_MS2'!$H$6))</f>
      </c>
      <c r="V15" s="9">
        <f>IF($R15="","",IF($R15="BUY",$E15+$N15*'操作パネル_MS2'!$H$7,$E15-$N15*'操作パネル_MS2'!$H$7))</f>
      </c>
      <c r="W15" s="9">
        <f>IF($R15="","",IF($R15="BUY",$E15+$N15*'操作パネル_MS2'!$H$8,$E15-$N15*'操作パネル_MS2'!$H$8))</f>
      </c>
      <c r="X15" s="5">
        <f>IF(OR(N($E15)&lt;=0,N($N15)&lt;=0,N($L15)&lt;=0),"",IF(AND($E15&gt;$L15,ABS($E15-$L15)&lt;$N15*0.5),"2ND","1ST"))</f>
      </c>
      <c r="Y15" s="5">
        <f>IF(OR(N($E15)&lt;=0,N($N15)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5" s="5">
        <f>IF(OR(N($E15)&lt;=0,N($N15)&lt;=0),"",IF($N15&gt;$E15*'操作パネル_MS2'!$H$4,"VOL-HIGH","VOL-NORMAL"))</f>
      </c>
      <c r="AA15" s="5">
        <f>IF(OR(N($E15)&lt;=0,N($N15)&lt;=0),"",IF(AND($O15="VOL-OK",$Z15="VOL-NORMAL"),"OK","NG"))</f>
      </c>
      <c r="AB15" s="5">
        <f>IF(OR(N($E15)&lt;=0,N($N15)&lt;=0,N($J15)&lt;=0,N($K15)&lt;=0),"",IF(AND($F15&gt;$J15,$G15&gt;$K15),"UP",IF(AND($F15&lt;$J15,$G15&lt;$K15),"DOWN","FLAT")))</f>
      </c>
      <c r="AC15" s="30">
        <f>IF($C15="","",_xll.RssMarket($C15&amp;"","売買代金"))</f>
      </c>
      <c r="AD15" s="31">
        <f>IFERROR(INDEX(ATRHIST_MS2!$H$2:$H$400,MATCH($C15,ATRHIST_MS2!$A$2:$A$400,0)),0)</f>
      </c>
    </row>
    <row r="16" spans="1:30" ht="25.95" customHeight="1">
      <c r="A16" s="10">
        <f>IF(C16="","",ROW()-2)</f>
      </c>
      <c r="B16" s="11">
        <f>IF(StockList_MS2!A15="","",HYPERLINK("https://kabutan.jp/stock/?code="&amp;StockList_MS2!A15,"株探"))</f>
      </c>
      <c r="C16" s="10">
        <f>IF(StockList_MS2!A15="","",StockList_MS2!A15)</f>
      </c>
      <c r="D16" s="12">
        <f>IF(StockList_MS2!A15="","",StockList_MS2!B15)</f>
      </c>
      <c r="E16" s="13">
        <f>_xll.RssMarket("5016","現在値")</f>
      </c>
      <c r="F16" s="13">
        <f>_xll.RssMarket("5016","高値")</f>
      </c>
      <c r="G16" s="13">
        <f>_xll.RssMarket("5016","安値")</f>
      </c>
      <c r="H16" s="13">
        <f>_xll.RssMarket("5016","終値")</f>
      </c>
      <c r="I16" s="20">
        <f>_xll.RssMarket("5016","出来高")</f>
      </c>
      <c r="J16" s="13">
        <v>3888.0</v>
      </c>
      <c r="K16" s="13">
        <v>3794.0</v>
      </c>
      <c r="L16" s="13">
        <f>_xll.RssMarket("5016","前日終値")</f>
      </c>
      <c r="M16" s="5">
        <f>IF(OR(N($E16)&lt;=0,N($L16)&lt;=0),"",IF($E16&gt;$L16,"BUY-DAY","SELL-DAY"))</f>
      </c>
      <c r="N16" s="9">
        <f>IF(OR(N($E16)&lt;=0,N($F16)&lt;=0,N($G16)&lt;=0),"",IF(AND($AD16&gt;0,'操作パネル_MS2'!$H$17=1),$AD16,MAX(0,$F16-$G16)/SQRT(MAX(1,'操作パネル_MS2'!$H$12))*'操作パネル_MS2'!$H$10))</f>
      </c>
      <c r="O16" s="5">
        <f>IF(OR(N($E16)&lt;=0,$AC16=""),"",IF(N($AC16)&gt;='操作パネル_MS2'!$H$3,"VOL-OK","VOL-NG"))</f>
      </c>
      <c r="P16" s="5">
        <f>IF(OR(N($E16)&lt;=0,N($J16)&lt;=0),"",IF($E16&gt;$J16,"ON","OFF"))</f>
      </c>
      <c r="Q16" s="5">
        <f>IF(OR(N($E16)&lt;=0,N($K16)&lt;=0),"",IF($E16&lt;$K16,"ON","OFF"))</f>
      </c>
      <c r="R16" s="5">
        <f>IF(OR(N($E16)&lt;=0,N($N16)&lt;=0),"",IF(AND($M16="BUY-DAY",$O16="VOL-OK",$P16="ON",$AA16="OK",$AB16&lt;&gt;"DOWN"),"BUY",IF(AND($M16="SELL-DAY",$O16="VOL-OK",$Q16="ON",$AA16="OK",$AB16&lt;&gt;"UP"),"SELL","")))</f>
      </c>
      <c r="S16" s="9">
        <f>IF($R16="","",$E16)</f>
      </c>
      <c r="T16" s="9">
        <f>IF($R16="","",IF($R16="BUY",$E16-$N16*'操作パネル_MS2'!$H$5,$E16+$N16*'操作パネル_MS2'!$H$5))</f>
      </c>
      <c r="U16" s="9">
        <f>IF($R16="","",IF($R16="BUY",$E16+$N16*'操作パネル_MS2'!$H$6,$E16-$N16*'操作パネル_MS2'!$H$6))</f>
      </c>
      <c r="V16" s="9">
        <f>IF($R16="","",IF($R16="BUY",$E16+$N16*'操作パネル_MS2'!$H$7,$E16-$N16*'操作パネル_MS2'!$H$7))</f>
      </c>
      <c r="W16" s="9">
        <f>IF($R16="","",IF($R16="BUY",$E16+$N16*'操作パネル_MS2'!$H$8,$E16-$N16*'操作パネル_MS2'!$H$8))</f>
      </c>
      <c r="X16" s="5">
        <f>IF(OR(N($E16)&lt;=0,N($N16)&lt;=0,N($L16)&lt;=0),"",IF(AND($E16&gt;$L16,ABS($E16-$L16)&lt;$N16*0.5),"2ND","1ST"))</f>
      </c>
      <c r="Y16" s="5">
        <f>IF(OR(N($E16)&lt;=0,N($N16)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6" s="5">
        <f>IF(OR(N($E16)&lt;=0,N($N16)&lt;=0),"",IF($N16&gt;$E16*'操作パネル_MS2'!$H$4,"VOL-HIGH","VOL-NORMAL"))</f>
      </c>
      <c r="AA16" s="5">
        <f>IF(OR(N($E16)&lt;=0,N($N16)&lt;=0),"",IF(AND($O16="VOL-OK",$Z16="VOL-NORMAL"),"OK","NG"))</f>
      </c>
      <c r="AB16" s="5">
        <f>IF(OR(N($E16)&lt;=0,N($N16)&lt;=0,N($J16)&lt;=0,N($K16)&lt;=0),"",IF(AND($F16&gt;$J16,$G16&gt;$K16),"UP",IF(AND($F16&lt;$J16,$G16&lt;$K16),"DOWN","FLAT")))</f>
      </c>
      <c r="AC16" s="30">
        <f>IF($C16="","",_xll.RssMarket($C16&amp;"","売買代金"))</f>
      </c>
      <c r="AD16" s="31">
        <f>IFERROR(INDEX(ATRHIST_MS2!$H$2:$H$400,MATCH($C16,ATRHIST_MS2!$A$2:$A$400,0)),0)</f>
      </c>
    </row>
    <row r="17" spans="1:30" ht="25.95" customHeight="1">
      <c r="A17" s="5">
        <f>IF(C17="","",ROW()-2)</f>
      </c>
      <c r="B17" s="6">
        <f>IF(StockList_MS2!A16="","",HYPERLINK("https://kabutan.jp/stock/?code="&amp;StockList_MS2!A16,"株探"))</f>
      </c>
      <c r="C17" s="5">
        <f>IF(StockList_MS2!A16="","",StockList_MS2!A16)</f>
      </c>
      <c r="D17" s="7">
        <f>IF(StockList_MS2!A16="","",StockList_MS2!B16)</f>
      </c>
      <c r="E17" s="8">
        <f>_xll.RssMarket("8053","現在値")</f>
      </c>
      <c r="F17" s="8">
        <f>_xll.RssMarket("8053","高値")</f>
      </c>
      <c r="G17" s="8">
        <f>_xll.RssMarket("8053","安値")</f>
      </c>
      <c r="H17" s="8">
        <f>_xll.RssMarket("8053","終値")</f>
      </c>
      <c r="I17" s="19">
        <f>_xll.RssMarket("8053","出来高")</f>
      </c>
      <c r="J17" s="8">
        <v>1785.5</v>
      </c>
      <c r="K17" s="8">
        <v>1738.5</v>
      </c>
      <c r="L17" s="8">
        <f>_xll.RssMarket("8053","前日終値")</f>
      </c>
      <c r="M17" s="5">
        <f>IF(OR(N($E17)&lt;=0,N($L17)&lt;=0),"",IF($E17&gt;$L17,"BUY-DAY","SELL-DAY"))</f>
      </c>
      <c r="N17" s="9">
        <f>IF(OR(N($E17)&lt;=0,N($F17)&lt;=0,N($G17)&lt;=0),"",IF(AND($AD17&gt;0,'操作パネル_MS2'!$H$17=1),$AD17,MAX(0,$F17-$G17)/SQRT(MAX(1,'操作パネル_MS2'!$H$12))*'操作パネル_MS2'!$H$10))</f>
      </c>
      <c r="O17" s="5">
        <f>IF(OR(N($E17)&lt;=0,$AC17=""),"",IF(N($AC17)&gt;='操作パネル_MS2'!$H$3,"VOL-OK","VOL-NG"))</f>
      </c>
      <c r="P17" s="5">
        <f>IF(OR(N($E17)&lt;=0,N($J17)&lt;=0),"",IF($E17&gt;$J17,"ON","OFF"))</f>
      </c>
      <c r="Q17" s="5">
        <f>IF(OR(N($E17)&lt;=0,N($K17)&lt;=0),"",IF($E17&lt;$K17,"ON","OFF"))</f>
      </c>
      <c r="R17" s="5">
        <f>IF(OR(N($E17)&lt;=0,N($N17)&lt;=0),"",IF(AND($M17="BUY-DAY",$O17="VOL-OK",$P17="ON",$AA17="OK",$AB17&lt;&gt;"DOWN"),"BUY",IF(AND($M17="SELL-DAY",$O17="VOL-OK",$Q17="ON",$AA17="OK",$AB17&lt;&gt;"UP"),"SELL","")))</f>
      </c>
      <c r="S17" s="9">
        <f>IF($R17="","",$E17)</f>
      </c>
      <c r="T17" s="9">
        <f>IF($R17="","",IF($R17="BUY",$E17-$N17*'操作パネル_MS2'!$H$5,$E17+$N17*'操作パネル_MS2'!$H$5))</f>
      </c>
      <c r="U17" s="9">
        <f>IF($R17="","",IF($R17="BUY",$E17+$N17*'操作パネル_MS2'!$H$6,$E17-$N17*'操作パネル_MS2'!$H$6))</f>
      </c>
      <c r="V17" s="9">
        <f>IF($R17="","",IF($R17="BUY",$E17+$N17*'操作パネル_MS2'!$H$7,$E17-$N17*'操作パネル_MS2'!$H$7))</f>
      </c>
      <c r="W17" s="9">
        <f>IF($R17="","",IF($R17="BUY",$E17+$N17*'操作パネル_MS2'!$H$8,$E17-$N17*'操作パネル_MS2'!$H$8))</f>
      </c>
      <c r="X17" s="5">
        <f>IF(OR(N($E17)&lt;=0,N($N17)&lt;=0,N($L17)&lt;=0),"",IF(AND($E17&gt;$L17,ABS($E17-$L17)&lt;$N17*0.5),"2ND","1ST"))</f>
      </c>
      <c r="Y17" s="5">
        <f>IF(OR(N($E17)&lt;=0,N($N17)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7" s="5">
        <f>IF(OR(N($E17)&lt;=0,N($N17)&lt;=0),"",IF($N17&gt;$E17*'操作パネル_MS2'!$H$4,"VOL-HIGH","VOL-NORMAL"))</f>
      </c>
      <c r="AA17" s="5">
        <f>IF(OR(N($E17)&lt;=0,N($N17)&lt;=0),"",IF(AND($O17="VOL-OK",$Z17="VOL-NORMAL"),"OK","NG"))</f>
      </c>
      <c r="AB17" s="5">
        <f>IF(OR(N($E17)&lt;=0,N($N17)&lt;=0,N($J17)&lt;=0,N($K17)&lt;=0),"",IF(AND($F17&gt;$J17,$G17&gt;$K17),"UP",IF(AND($F17&lt;$J17,$G17&lt;$K17),"DOWN","FLAT")))</f>
      </c>
      <c r="AC17" s="30">
        <f>IF($C17="","",_xll.RssMarket($C17&amp;"","売買代金"))</f>
      </c>
      <c r="AD17" s="31">
        <f>IFERROR(INDEX(ATRHIST_MS2!$H$2:$H$400,MATCH($C17,ATRHIST_MS2!$A$2:$A$400,0)),0)</f>
      </c>
    </row>
    <row r="18" spans="1:30" ht="25.95" customHeight="1">
      <c r="A18" s="10">
        <f>IF(C18="","",ROW()-2)</f>
      </c>
      <c r="B18" s="11">
        <f>IF(StockList_MS2!A17="","",HYPERLINK("https://kabutan.jp/stock/?code="&amp;StockList_MS2!A17,"株探"))</f>
      </c>
      <c r="C18" s="10">
        <f>IF(StockList_MS2!A17="","",StockList_MS2!A17)</f>
      </c>
      <c r="D18" s="12">
        <f>IF(StockList_MS2!A17="","",StockList_MS2!B17)</f>
      </c>
      <c r="E18" s="13">
        <f>_xll.RssMarket("543A","現在値")</f>
      </c>
      <c r="F18" s="13">
        <f>_xll.RssMarket("543A","高値")</f>
      </c>
      <c r="G18" s="13">
        <f>_xll.RssMarket("543A","安値")</f>
      </c>
      <c r="H18" s="13">
        <f>_xll.RssMarket("543A","終値")</f>
      </c>
      <c r="I18" s="20">
        <f>_xll.RssMarket("543A","出来高")</f>
      </c>
      <c r="J18" s="13">
        <v>277.0</v>
      </c>
      <c r="K18" s="13">
        <v>272.0</v>
      </c>
      <c r="L18" s="13">
        <f>_xll.RssMarket("543A","前日終値")</f>
      </c>
      <c r="M18" s="5">
        <f>IF(OR(N($E18)&lt;=0,N($L18)&lt;=0),"",IF($E18&gt;$L18,"BUY-DAY","SELL-DAY"))</f>
      </c>
      <c r="N18" s="9">
        <f>IF(OR(N($E18)&lt;=0,N($F18)&lt;=0,N($G18)&lt;=0),"",IF(AND($AD18&gt;0,'操作パネル_MS2'!$H$17=1),$AD18,MAX(0,$F18-$G18)/SQRT(MAX(1,'操作パネル_MS2'!$H$12))*'操作パネル_MS2'!$H$10))</f>
      </c>
      <c r="O18" s="5">
        <f>IF(OR(N($E18)&lt;=0,$AC18=""),"",IF(N($AC18)&gt;='操作パネル_MS2'!$H$3,"VOL-OK","VOL-NG"))</f>
      </c>
      <c r="P18" s="5">
        <f>IF(OR(N($E18)&lt;=0,N($J18)&lt;=0),"",IF($E18&gt;$J18,"ON","OFF"))</f>
      </c>
      <c r="Q18" s="5">
        <f>IF(OR(N($E18)&lt;=0,N($K18)&lt;=0),"",IF($E18&lt;$K18,"ON","OFF"))</f>
      </c>
      <c r="R18" s="5">
        <f>IF(OR(N($E18)&lt;=0,N($N18)&lt;=0),"",IF(AND($M18="BUY-DAY",$O18="VOL-OK",$P18="ON",$AA18="OK",$AB18&lt;&gt;"DOWN"),"BUY",IF(AND($M18="SELL-DAY",$O18="VOL-OK",$Q18="ON",$AA18="OK",$AB18&lt;&gt;"UP"),"SELL","")))</f>
      </c>
      <c r="S18" s="9">
        <f>IF($R18="","",$E18)</f>
      </c>
      <c r="T18" s="9">
        <f>IF($R18="","",IF($R18="BUY",$E18-$N18*'操作パネル_MS2'!$H$5,$E18+$N18*'操作パネル_MS2'!$H$5))</f>
      </c>
      <c r="U18" s="9">
        <f>IF($R18="","",IF($R18="BUY",$E18+$N18*'操作パネル_MS2'!$H$6,$E18-$N18*'操作パネル_MS2'!$H$6))</f>
      </c>
      <c r="V18" s="9">
        <f>IF($R18="","",IF($R18="BUY",$E18+$N18*'操作パネル_MS2'!$H$7,$E18-$N18*'操作パネル_MS2'!$H$7))</f>
      </c>
      <c r="W18" s="9">
        <f>IF($R18="","",IF($R18="BUY",$E18+$N18*'操作パネル_MS2'!$H$8,$E18-$N18*'操作パネル_MS2'!$H$8))</f>
      </c>
      <c r="X18" s="5">
        <f>IF(OR(N($E18)&lt;=0,N($N18)&lt;=0,N($L18)&lt;=0),"",IF(AND($E18&gt;$L18,ABS($E18-$L18)&lt;$N18*0.5),"2ND","1ST"))</f>
      </c>
      <c r="Y18" s="5">
        <f>IF(OR(N($E18)&lt;=0,N($N18)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8" s="5">
        <f>IF(OR(N($E18)&lt;=0,N($N18)&lt;=0),"",IF($N18&gt;$E18*'操作パネル_MS2'!$H$4,"VOL-HIGH","VOL-NORMAL"))</f>
      </c>
      <c r="AA18" s="5">
        <f>IF(OR(N($E18)&lt;=0,N($N18)&lt;=0),"",IF(AND($O18="VOL-OK",$Z18="VOL-NORMAL"),"OK","NG"))</f>
      </c>
      <c r="AB18" s="5">
        <f>IF(OR(N($E18)&lt;=0,N($N18)&lt;=0,N($J18)&lt;=0,N($K18)&lt;=0),"",IF(AND($F18&gt;$J18,$G18&gt;$K18),"UP",IF(AND($F18&lt;$J18,$G18&lt;$K18),"DOWN","FLAT")))</f>
      </c>
      <c r="AC18" s="30">
        <f>IF($C18="","",_xll.RssMarket($C18&amp;"","売買代金"))</f>
      </c>
      <c r="AD18" s="31">
        <f>IFERROR(INDEX(ATRHIST_MS2!$H$2:$H$400,MATCH($C18,ATRHIST_MS2!$A$2:$A$400,0)),0)</f>
      </c>
    </row>
    <row r="19" spans="1:30" ht="25.95" customHeight="1">
      <c r="A19" s="5">
        <f>IF(C19="","",ROW()-2)</f>
      </c>
      <c r="B19" s="6">
        <f>IF(StockList_MS2!A18="","",HYPERLINK("https://kabutan.jp/stock/?code="&amp;StockList_MS2!A18,"株探"))</f>
      </c>
      <c r="C19" s="5">
        <f>IF(StockList_MS2!A18="","",StockList_MS2!A18)</f>
      </c>
      <c r="D19" s="7">
        <f>IF(StockList_MS2!A18="","",StockList_MS2!B18)</f>
      </c>
      <c r="E19" s="8">
        <f>_xll.RssMarket("3350","現在値")</f>
      </c>
      <c r="F19" s="8">
        <f>_xll.RssMarket("3350","高値")</f>
      </c>
      <c r="G19" s="8">
        <f>_xll.RssMarket("3350","安値")</f>
      </c>
      <c r="H19" s="8">
        <f>_xll.RssMarket("3350","終値")</f>
      </c>
      <c r="I19" s="19">
        <f>_xll.RssMarket("3350","出来高")</f>
      </c>
      <c r="J19" s="8">
        <v>359.0</v>
      </c>
      <c r="K19" s="8">
        <v>318.0</v>
      </c>
      <c r="L19" s="8">
        <f>_xll.RssMarket("3350","前日終値")</f>
      </c>
      <c r="M19" s="5">
        <f>IF(OR(N($E19)&lt;=0,N($L19)&lt;=0),"",IF($E19&gt;$L19,"BUY-DAY","SELL-DAY"))</f>
      </c>
      <c r="N19" s="9">
        <f>IF(OR(N($E19)&lt;=0,N($F19)&lt;=0,N($G19)&lt;=0),"",IF(AND($AD19&gt;0,'操作パネル_MS2'!$H$17=1),$AD19,MAX(0,$F19-$G19)/SQRT(MAX(1,'操作パネル_MS2'!$H$12))*'操作パネル_MS2'!$H$10))</f>
      </c>
      <c r="O19" s="5">
        <f>IF(OR(N($E19)&lt;=0,$AC19=""),"",IF(N($AC19)&gt;='操作パネル_MS2'!$H$3,"VOL-OK","VOL-NG"))</f>
      </c>
      <c r="P19" s="5">
        <f>IF(OR(N($E19)&lt;=0,N($J19)&lt;=0),"",IF($E19&gt;$J19,"ON","OFF"))</f>
      </c>
      <c r="Q19" s="5">
        <f>IF(OR(N($E19)&lt;=0,N($K19)&lt;=0),"",IF($E19&lt;$K19,"ON","OFF"))</f>
      </c>
      <c r="R19" s="5">
        <f>IF(OR(N($E19)&lt;=0,N($N19)&lt;=0),"",IF(AND($M19="BUY-DAY",$O19="VOL-OK",$P19="ON",$AA19="OK",$AB19&lt;&gt;"DOWN"),"BUY",IF(AND($M19="SELL-DAY",$O19="VOL-OK",$Q19="ON",$AA19="OK",$AB19&lt;&gt;"UP"),"SELL","")))</f>
      </c>
      <c r="S19" s="9">
        <f>IF($R19="","",$E19)</f>
      </c>
      <c r="T19" s="9">
        <f>IF($R19="","",IF($R19="BUY",$E19-$N19*'操作パネル_MS2'!$H$5,$E19+$N19*'操作パネル_MS2'!$H$5))</f>
      </c>
      <c r="U19" s="9">
        <f>IF($R19="","",IF($R19="BUY",$E19+$N19*'操作パネル_MS2'!$H$6,$E19-$N19*'操作パネル_MS2'!$H$6))</f>
      </c>
      <c r="V19" s="9">
        <f>IF($R19="","",IF($R19="BUY",$E19+$N19*'操作パネル_MS2'!$H$7,$E19-$N19*'操作パネル_MS2'!$H$7))</f>
      </c>
      <c r="W19" s="9">
        <f>IF($R19="","",IF($R19="BUY",$E19+$N19*'操作パネル_MS2'!$H$8,$E19-$N19*'操作パネル_MS2'!$H$8))</f>
      </c>
      <c r="X19" s="5">
        <f>IF(OR(N($E19)&lt;=0,N($N19)&lt;=0,N($L19)&lt;=0),"",IF(AND($E19&gt;$L19,ABS($E19-$L19)&lt;$N19*0.5),"2ND","1ST"))</f>
      </c>
      <c r="Y19" s="5">
        <f>IF(OR(N($E19)&lt;=0,N($N19)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9" s="5">
        <f>IF(OR(N($E19)&lt;=0,N($N19)&lt;=0),"",IF($N19&gt;$E19*'操作パネル_MS2'!$H$4,"VOL-HIGH","VOL-NORMAL"))</f>
      </c>
      <c r="AA19" s="5">
        <f>IF(OR(N($E19)&lt;=0,N($N19)&lt;=0),"",IF(AND($O19="VOL-OK",$Z19="VOL-NORMAL"),"OK","NG"))</f>
      </c>
      <c r="AB19" s="5">
        <f>IF(OR(N($E19)&lt;=0,N($N19)&lt;=0,N($J19)&lt;=0,N($K19)&lt;=0),"",IF(AND($F19&gt;$J19,$G19&gt;$K19),"UP",IF(AND($F19&lt;$J19,$G19&lt;$K19),"DOWN","FLAT")))</f>
      </c>
      <c r="AC19" s="30">
        <f>IF($C19="","",_xll.RssMarket($C19&amp;"","売買代金"))</f>
      </c>
      <c r="AD19" s="31">
        <f>IFERROR(INDEX(ATRHIST_MS2!$H$2:$H$400,MATCH($C19,ATRHIST_MS2!$A$2:$A$400,0)),0)</f>
      </c>
    </row>
    <row r="20" spans="1:30" ht="25.95" customHeight="1">
      <c r="A20" s="10">
        <f>IF(C20="","",ROW()-2)</f>
      </c>
      <c r="B20" s="11">
        <f>IF(StockList_MS2!A19="","",HYPERLINK("https://kabutan.jp/stock/?code="&amp;StockList_MS2!A19,"株探"))</f>
      </c>
      <c r="C20" s="10">
        <f>IF(StockList_MS2!A19="","",StockList_MS2!A19)</f>
      </c>
      <c r="D20" s="12">
        <f>IF(StockList_MS2!A19="","",StockList_MS2!B19)</f>
      </c>
      <c r="E20" s="13">
        <f>_xll.RssMarket("6723","現在値")</f>
      </c>
      <c r="F20" s="13">
        <f>_xll.RssMarket("6723","高値")</f>
      </c>
      <c r="G20" s="13">
        <f>_xll.RssMarket("6723","安値")</f>
      </c>
      <c r="H20" s="13">
        <f>_xll.RssMarket("6723","終値")</f>
      </c>
      <c r="I20" s="20">
        <f>_xll.RssMarket("6723","出来高")</f>
      </c>
      <c r="J20" s="13">
        <v>3626.0</v>
      </c>
      <c r="K20" s="13">
        <v>3404.0</v>
      </c>
      <c r="L20" s="13">
        <f>_xll.RssMarket("6723","前日終値")</f>
      </c>
      <c r="M20" s="5">
        <f>IF(OR(N($E20)&lt;=0,N($L20)&lt;=0),"",IF($E20&gt;$L20,"BUY-DAY","SELL-DAY"))</f>
      </c>
      <c r="N20" s="9">
        <f>IF(OR(N($E20)&lt;=0,N($F20)&lt;=0,N($G20)&lt;=0),"",IF(AND($AD20&gt;0,'操作パネル_MS2'!$H$17=1),$AD20,MAX(0,$F20-$G20)/SQRT(MAX(1,'操作パネル_MS2'!$H$12))*'操作パネル_MS2'!$H$10))</f>
      </c>
      <c r="O20" s="5">
        <f>IF(OR(N($E20)&lt;=0,$AC20=""),"",IF(N($AC20)&gt;='操作パネル_MS2'!$H$3,"VOL-OK","VOL-NG"))</f>
      </c>
      <c r="P20" s="5">
        <f>IF(OR(N($E20)&lt;=0,N($J20)&lt;=0),"",IF($E20&gt;$J20,"ON","OFF"))</f>
      </c>
      <c r="Q20" s="5">
        <f>IF(OR(N($E20)&lt;=0,N($K20)&lt;=0),"",IF($E20&lt;$K20,"ON","OFF"))</f>
      </c>
      <c r="R20" s="5">
        <f>IF(OR(N($E20)&lt;=0,N($N20)&lt;=0),"",IF(AND($M20="BUY-DAY",$O20="VOL-OK",$P20="ON",$AA20="OK",$AB20&lt;&gt;"DOWN"),"BUY",IF(AND($M20="SELL-DAY",$O20="VOL-OK",$Q20="ON",$AA20="OK",$AB20&lt;&gt;"UP"),"SELL","")))</f>
      </c>
      <c r="S20" s="9">
        <f>IF($R20="","",$E20)</f>
      </c>
      <c r="T20" s="9">
        <f>IF($R20="","",IF($R20="BUY",$E20-$N20*'操作パネル_MS2'!$H$5,$E20+$N20*'操作パネル_MS2'!$H$5))</f>
      </c>
      <c r="U20" s="9">
        <f>IF($R20="","",IF($R20="BUY",$E20+$N20*'操作パネル_MS2'!$H$6,$E20-$N20*'操作パネル_MS2'!$H$6))</f>
      </c>
      <c r="V20" s="9">
        <f>IF($R20="","",IF($R20="BUY",$E20+$N20*'操作パネル_MS2'!$H$7,$E20-$N20*'操作パネル_MS2'!$H$7))</f>
      </c>
      <c r="W20" s="9">
        <f>IF($R20="","",IF($R20="BUY",$E20+$N20*'操作パネル_MS2'!$H$8,$E20-$N20*'操作パネル_MS2'!$H$8))</f>
      </c>
      <c r="X20" s="5">
        <f>IF(OR(N($E20)&lt;=0,N($N20)&lt;=0,N($L20)&lt;=0),"",IF(AND($E20&gt;$L20,ABS($E20-$L20)&lt;$N20*0.5),"2ND","1ST"))</f>
      </c>
      <c r="Y20" s="5">
        <f>IF(OR(N($E20)&lt;=0,N($N20)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0" s="5">
        <f>IF(OR(N($E20)&lt;=0,N($N20)&lt;=0),"",IF($N20&gt;$E20*'操作パネル_MS2'!$H$4,"VOL-HIGH","VOL-NORMAL"))</f>
      </c>
      <c r="AA20" s="5">
        <f>IF(OR(N($E20)&lt;=0,N($N20)&lt;=0),"",IF(AND($O20="VOL-OK",$Z20="VOL-NORMAL"),"OK","NG"))</f>
      </c>
      <c r="AB20" s="5">
        <f>IF(OR(N($E20)&lt;=0,N($N20)&lt;=0,N($J20)&lt;=0,N($K20)&lt;=0),"",IF(AND($F20&gt;$J20,$G20&gt;$K20),"UP",IF(AND($F20&lt;$J20,$G20&lt;$K20),"DOWN","FLAT")))</f>
      </c>
      <c r="AC20" s="30">
        <f>IF($C20="","",_xll.RssMarket($C20&amp;"","売買代金"))</f>
      </c>
      <c r="AD20" s="31">
        <f>IFERROR(INDEX(ATRHIST_MS2!$H$2:$H$400,MATCH($C20,ATRHIST_MS2!$A$2:$A$400,0)),0)</f>
      </c>
    </row>
    <row r="21" spans="1:30" ht="25.95" customHeight="1">
      <c r="A21" s="5">
        <f>IF(C21="","",ROW()-2)</f>
      </c>
      <c r="B21" s="6">
        <f>IF(StockList_MS2!A20="","",HYPERLINK("https://kabutan.jp/stock/?code="&amp;StockList_MS2!A20,"株探"))</f>
      </c>
      <c r="C21" s="5">
        <f>IF(StockList_MS2!A20="","",StockList_MS2!A20)</f>
      </c>
      <c r="D21" s="7">
        <f>IF(StockList_MS2!A20="","",StockList_MS2!B20)</f>
      </c>
      <c r="E21" s="8">
        <f>_xll.RssMarket("4689","現在値")</f>
      </c>
      <c r="F21" s="8">
        <f>_xll.RssMarket("4689","高値")</f>
      </c>
      <c r="G21" s="8">
        <f>_xll.RssMarket("4689","安値")</f>
      </c>
      <c r="H21" s="8">
        <f>_xll.RssMarket("4689","終値")</f>
      </c>
      <c r="I21" s="19">
        <f>_xll.RssMarket("4689","出来高")</f>
      </c>
      <c r="J21" s="8">
        <v>556.8</v>
      </c>
      <c r="K21" s="8">
        <v>547.0</v>
      </c>
      <c r="L21" s="8">
        <f>_xll.RssMarket("4689","前日終値")</f>
      </c>
      <c r="M21" s="5">
        <f>IF(OR(N($E21)&lt;=0,N($L21)&lt;=0),"",IF($E21&gt;$L21,"BUY-DAY","SELL-DAY"))</f>
      </c>
      <c r="N21" s="9">
        <f>IF(OR(N($E21)&lt;=0,N($F21)&lt;=0,N($G21)&lt;=0),"",IF(AND($AD21&gt;0,'操作パネル_MS2'!$H$17=1),$AD21,MAX(0,$F21-$G21)/SQRT(MAX(1,'操作パネル_MS2'!$H$12))*'操作パネル_MS2'!$H$10))</f>
      </c>
      <c r="O21" s="5">
        <f>IF(OR(N($E21)&lt;=0,$AC21=""),"",IF(N($AC21)&gt;='操作パネル_MS2'!$H$3,"VOL-OK","VOL-NG"))</f>
      </c>
      <c r="P21" s="5">
        <f>IF(OR(N($E21)&lt;=0,N($J21)&lt;=0),"",IF($E21&gt;$J21,"ON","OFF"))</f>
      </c>
      <c r="Q21" s="5">
        <f>IF(OR(N($E21)&lt;=0,N($K21)&lt;=0),"",IF($E21&lt;$K21,"ON","OFF"))</f>
      </c>
      <c r="R21" s="5">
        <f>IF(OR(N($E21)&lt;=0,N($N21)&lt;=0),"",IF(AND($M21="BUY-DAY",$O21="VOL-OK",$P21="ON",$AA21="OK",$AB21&lt;&gt;"DOWN"),"BUY",IF(AND($M21="SELL-DAY",$O21="VOL-OK",$Q21="ON",$AA21="OK",$AB21&lt;&gt;"UP"),"SELL","")))</f>
      </c>
      <c r="S21" s="9">
        <f>IF($R21="","",$E21)</f>
      </c>
      <c r="T21" s="9">
        <f>IF($R21="","",IF($R21="BUY",$E21-$N21*'操作パネル_MS2'!$H$5,$E21+$N21*'操作パネル_MS2'!$H$5))</f>
      </c>
      <c r="U21" s="9">
        <f>IF($R21="","",IF($R21="BUY",$E21+$N21*'操作パネル_MS2'!$H$6,$E21-$N21*'操作パネル_MS2'!$H$6))</f>
      </c>
      <c r="V21" s="9">
        <f>IF($R21="","",IF($R21="BUY",$E21+$N21*'操作パネル_MS2'!$H$7,$E21-$N21*'操作パネル_MS2'!$H$7))</f>
      </c>
      <c r="W21" s="9">
        <f>IF($R21="","",IF($R21="BUY",$E21+$N21*'操作パネル_MS2'!$H$8,$E21-$N21*'操作パネル_MS2'!$H$8))</f>
      </c>
      <c r="X21" s="5">
        <f>IF(OR(N($E21)&lt;=0,N($N21)&lt;=0,N($L21)&lt;=0),"",IF(AND($E21&gt;$L21,ABS($E21-$L21)&lt;$N21*0.5),"2ND","1ST"))</f>
      </c>
      <c r="Y21" s="5">
        <f>IF(OR(N($E21)&lt;=0,N($N21)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1" s="5">
        <f>IF(OR(N($E21)&lt;=0,N($N21)&lt;=0),"",IF($N21&gt;$E21*'操作パネル_MS2'!$H$4,"VOL-HIGH","VOL-NORMAL"))</f>
      </c>
      <c r="AA21" s="5">
        <f>IF(OR(N($E21)&lt;=0,N($N21)&lt;=0),"",IF(AND($O21="VOL-OK",$Z21="VOL-NORMAL"),"OK","NG"))</f>
      </c>
      <c r="AB21" s="5">
        <f>IF(OR(N($E21)&lt;=0,N($N21)&lt;=0,N($J21)&lt;=0,N($K21)&lt;=0),"",IF(AND($F21&gt;$J21,$G21&gt;$K21),"UP",IF(AND($F21&lt;$J21,$G21&lt;$K21),"DOWN","FLAT")))</f>
      </c>
      <c r="AC21" s="30">
        <f>IF($C21="","",_xll.RssMarket($C21&amp;"","売買代金"))</f>
      </c>
      <c r="AD21" s="31">
        <f>IFERROR(INDEX(ATRHIST_MS2!$H$2:$H$400,MATCH($C21,ATRHIST_MS2!$A$2:$A$400,0)),0)</f>
      </c>
    </row>
    <row r="22" spans="1:30" ht="25.95" customHeight="1">
      <c r="A22" s="10">
        <f>IF(C22="","",ROW()-2)</f>
      </c>
      <c r="B22" s="11">
        <f>IF(StockList_MS2!A21="","",HYPERLINK("https://kabutan.jp/stock/?code="&amp;StockList_MS2!A21,"株探"))</f>
      </c>
      <c r="C22" s="10">
        <f>IF(StockList_MS2!A21="","",StockList_MS2!A21)</f>
      </c>
      <c r="D22" s="12">
        <f>IF(StockList_MS2!A21="","",StockList_MS2!B21)</f>
      </c>
      <c r="E22" s="13">
        <f>_xll.RssMarket("8136","現在値")</f>
      </c>
      <c r="F22" s="13">
        <f>_xll.RssMarket("8136","高値")</f>
      </c>
      <c r="G22" s="13">
        <f>_xll.RssMarket("8136","安値")</f>
      </c>
      <c r="H22" s="13">
        <f>_xll.RssMarket("8136","終値")</f>
      </c>
      <c r="I22" s="20">
        <f>_xll.RssMarket("8136","出来高")</f>
      </c>
      <c r="J22" s="13">
        <v>1277.0</v>
      </c>
      <c r="K22" s="13">
        <v>1238.5</v>
      </c>
      <c r="L22" s="13">
        <f>_xll.RssMarket("8136","前日終値")</f>
      </c>
      <c r="M22" s="5">
        <f>IF(OR(N($E22)&lt;=0,N($L22)&lt;=0),"",IF($E22&gt;$L22,"BUY-DAY","SELL-DAY"))</f>
      </c>
      <c r="N22" s="9">
        <f>IF(OR(N($E22)&lt;=0,N($F22)&lt;=0,N($G22)&lt;=0),"",IF(AND($AD22&gt;0,'操作パネル_MS2'!$H$17=1),$AD22,MAX(0,$F22-$G22)/SQRT(MAX(1,'操作パネル_MS2'!$H$12))*'操作パネル_MS2'!$H$10))</f>
      </c>
      <c r="O22" s="5">
        <f>IF(OR(N($E22)&lt;=0,$AC22=""),"",IF(N($AC22)&gt;='操作パネル_MS2'!$H$3,"VOL-OK","VOL-NG"))</f>
      </c>
      <c r="P22" s="5">
        <f>IF(OR(N($E22)&lt;=0,N($J22)&lt;=0),"",IF($E22&gt;$J22,"ON","OFF"))</f>
      </c>
      <c r="Q22" s="5">
        <f>IF(OR(N($E22)&lt;=0,N($K22)&lt;=0),"",IF($E22&lt;$K22,"ON","OFF"))</f>
      </c>
      <c r="R22" s="5">
        <f>IF(OR(N($E22)&lt;=0,N($N22)&lt;=0),"",IF(AND($M22="BUY-DAY",$O22="VOL-OK",$P22="ON",$AA22="OK",$AB22&lt;&gt;"DOWN"),"BUY",IF(AND($M22="SELL-DAY",$O22="VOL-OK",$Q22="ON",$AA22="OK",$AB22&lt;&gt;"UP"),"SELL","")))</f>
      </c>
      <c r="S22" s="9">
        <f>IF($R22="","",$E22)</f>
      </c>
      <c r="T22" s="9">
        <f>IF($R22="","",IF($R22="BUY",$E22-$N22*'操作パネル_MS2'!$H$5,$E22+$N22*'操作パネル_MS2'!$H$5))</f>
      </c>
      <c r="U22" s="9">
        <f>IF($R22="","",IF($R22="BUY",$E22+$N22*'操作パネル_MS2'!$H$6,$E22-$N22*'操作パネル_MS2'!$H$6))</f>
      </c>
      <c r="V22" s="9">
        <f>IF($R22="","",IF($R22="BUY",$E22+$N22*'操作パネル_MS2'!$H$7,$E22-$N22*'操作パネル_MS2'!$H$7))</f>
      </c>
      <c r="W22" s="9">
        <f>IF($R22="","",IF($R22="BUY",$E22+$N22*'操作パネル_MS2'!$H$8,$E22-$N22*'操作パネル_MS2'!$H$8))</f>
      </c>
      <c r="X22" s="5">
        <f>IF(OR(N($E22)&lt;=0,N($N22)&lt;=0,N($L22)&lt;=0),"",IF(AND($E22&gt;$L22,ABS($E22-$L22)&lt;$N22*0.5),"2ND","1ST"))</f>
      </c>
      <c r="Y22" s="5">
        <f>IF(OR(N($E22)&lt;=0,N($N22)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2" s="5">
        <f>IF(OR(N($E22)&lt;=0,N($N22)&lt;=0),"",IF($N22&gt;$E22*'操作パネル_MS2'!$H$4,"VOL-HIGH","VOL-NORMAL"))</f>
      </c>
      <c r="AA22" s="5">
        <f>IF(OR(N($E22)&lt;=0,N($N22)&lt;=0),"",IF(AND($O22="VOL-OK",$Z22="VOL-NORMAL"),"OK","NG"))</f>
      </c>
      <c r="AB22" s="5">
        <f>IF(OR(N($E22)&lt;=0,N($N22)&lt;=0,N($J22)&lt;=0,N($K22)&lt;=0),"",IF(AND($F22&gt;$J22,$G22&gt;$K22),"UP",IF(AND($F22&lt;$J22,$G22&lt;$K22),"DOWN","FLAT")))</f>
      </c>
      <c r="AC22" s="30">
        <f>IF($C22="","",_xll.RssMarket($C22&amp;"","売買代金"))</f>
      </c>
      <c r="AD22" s="31">
        <f>IFERROR(INDEX(ATRHIST_MS2!$H$2:$H$400,MATCH($C22,ATRHIST_MS2!$A$2:$A$400,0)),0)</f>
      </c>
    </row>
    <row r="23" spans="1:30" ht="25.95" customHeight="1">
      <c r="A23" s="5">
        <f>IF(C23="","",ROW()-2)</f>
      </c>
      <c r="B23" s="6">
        <f>IF(StockList_MS2!A22="","",HYPERLINK("https://kabutan.jp/stock/?code="&amp;StockList_MS2!A22,"株探"))</f>
      </c>
      <c r="C23" s="5">
        <f>IF(StockList_MS2!A22="","",StockList_MS2!A22)</f>
      </c>
      <c r="D23" s="7">
        <f>IF(StockList_MS2!A22="","",StockList_MS2!B22)</f>
      </c>
      <c r="E23" s="8">
        <f>_xll.RssMarket("6902","現在値")</f>
      </c>
      <c r="F23" s="8">
        <f>_xll.RssMarket("6902","高値")</f>
      </c>
      <c r="G23" s="8">
        <f>_xll.RssMarket("6902","安値")</f>
      </c>
      <c r="H23" s="8">
        <f>_xll.RssMarket("6902","終値")</f>
      </c>
      <c r="I23" s="19">
        <f>_xll.RssMarket("6902","出来高")</f>
      </c>
      <c r="J23" s="8">
        <v>1920.5</v>
      </c>
      <c r="K23" s="8">
        <v>1897.0</v>
      </c>
      <c r="L23" s="8">
        <f>_xll.RssMarket("6902","前日終値")</f>
      </c>
      <c r="M23" s="5">
        <f>IF(OR(N($E23)&lt;=0,N($L23)&lt;=0),"",IF($E23&gt;$L23,"BUY-DAY","SELL-DAY"))</f>
      </c>
      <c r="N23" s="9">
        <f>IF(OR(N($E23)&lt;=0,N($F23)&lt;=0,N($G23)&lt;=0),"",IF(AND($AD23&gt;0,'操作パネル_MS2'!$H$17=1),$AD23,MAX(0,$F23-$G23)/SQRT(MAX(1,'操作パネル_MS2'!$H$12))*'操作パネル_MS2'!$H$10))</f>
      </c>
      <c r="O23" s="5">
        <f>IF(OR(N($E23)&lt;=0,$AC23=""),"",IF(N($AC23)&gt;='操作パネル_MS2'!$H$3,"VOL-OK","VOL-NG"))</f>
      </c>
      <c r="P23" s="5">
        <f>IF(OR(N($E23)&lt;=0,N($J23)&lt;=0),"",IF($E23&gt;$J23,"ON","OFF"))</f>
      </c>
      <c r="Q23" s="5">
        <f>IF(OR(N($E23)&lt;=0,N($K23)&lt;=0),"",IF($E23&lt;$K23,"ON","OFF"))</f>
      </c>
      <c r="R23" s="5">
        <f>IF(OR(N($E23)&lt;=0,N($N23)&lt;=0),"",IF(AND($M23="BUY-DAY",$O23="VOL-OK",$P23="ON",$AA23="OK",$AB23&lt;&gt;"DOWN"),"BUY",IF(AND($M23="SELL-DAY",$O23="VOL-OK",$Q23="ON",$AA23="OK",$AB23&lt;&gt;"UP"),"SELL","")))</f>
      </c>
      <c r="S23" s="9">
        <f>IF($R23="","",$E23)</f>
      </c>
      <c r="T23" s="9">
        <f>IF($R23="","",IF($R23="BUY",$E23-$N23*'操作パネル_MS2'!$H$5,$E23+$N23*'操作パネル_MS2'!$H$5))</f>
      </c>
      <c r="U23" s="9">
        <f>IF($R23="","",IF($R23="BUY",$E23+$N23*'操作パネル_MS2'!$H$6,$E23-$N23*'操作パネル_MS2'!$H$6))</f>
      </c>
      <c r="V23" s="9">
        <f>IF($R23="","",IF($R23="BUY",$E23+$N23*'操作パネル_MS2'!$H$7,$E23-$N23*'操作パネル_MS2'!$H$7))</f>
      </c>
      <c r="W23" s="9">
        <f>IF($R23="","",IF($R23="BUY",$E23+$N23*'操作パネル_MS2'!$H$8,$E23-$N23*'操作パネル_MS2'!$H$8))</f>
      </c>
      <c r="X23" s="5">
        <f>IF(OR(N($E23)&lt;=0,N($N23)&lt;=0,N($L23)&lt;=0),"",IF(AND($E23&gt;$L23,ABS($E23-$L23)&lt;$N23*0.5),"2ND","1ST"))</f>
      </c>
      <c r="Y23" s="5">
        <f>IF(OR(N($E23)&lt;=0,N($N23)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3" s="5">
        <f>IF(OR(N($E23)&lt;=0,N($N23)&lt;=0),"",IF($N23&gt;$E23*'操作パネル_MS2'!$H$4,"VOL-HIGH","VOL-NORMAL"))</f>
      </c>
      <c r="AA23" s="5">
        <f>IF(OR(N($E23)&lt;=0,N($N23)&lt;=0),"",IF(AND($O23="VOL-OK",$Z23="VOL-NORMAL"),"OK","NG"))</f>
      </c>
      <c r="AB23" s="5">
        <f>IF(OR(N($E23)&lt;=0,N($N23)&lt;=0,N($J23)&lt;=0,N($K23)&lt;=0),"",IF(AND($F23&gt;$J23,$G23&gt;$K23),"UP",IF(AND($F23&lt;$J23,$G23&lt;$K23),"DOWN","FLAT")))</f>
      </c>
      <c r="AC23" s="30">
        <f>IF($C23="","",_xll.RssMarket($C23&amp;"","売買代金"))</f>
      </c>
      <c r="AD23" s="31">
        <f>IFERROR(INDEX(ATRHIST_MS2!$H$2:$H$400,MATCH($C23,ATRHIST_MS2!$A$2:$A$400,0)),0)</f>
      </c>
    </row>
    <row r="24" spans="1:30" ht="25.95" customHeight="1">
      <c r="A24" s="10">
        <f>IF(C24="","",ROW()-2)</f>
      </c>
      <c r="B24" s="11">
        <f>IF(StockList_MS2!A23="","",HYPERLINK("https://kabutan.jp/stock/?code="&amp;StockList_MS2!A23,"株探"))</f>
      </c>
      <c r="C24" s="10">
        <f>IF(StockList_MS2!A23="","",StockList_MS2!A23)</f>
      </c>
      <c r="D24" s="12">
        <f>IF(StockList_MS2!A23="","",StockList_MS2!B23)</f>
      </c>
      <c r="E24" s="13">
        <f>_xll.RssMarket("7267","現在値")</f>
      </c>
      <c r="F24" s="13">
        <f>_xll.RssMarket("7267","高値")</f>
      </c>
      <c r="G24" s="13">
        <f>_xll.RssMarket("7267","安値")</f>
      </c>
      <c r="H24" s="13">
        <f>_xll.RssMarket("7267","終値")</f>
      </c>
      <c r="I24" s="20">
        <f>_xll.RssMarket("7267","出来高")</f>
      </c>
      <c r="J24" s="13">
        <v>1713.0</v>
      </c>
      <c r="K24" s="13">
        <v>1658.5</v>
      </c>
      <c r="L24" s="13">
        <f>_xll.RssMarket("7267","前日終値")</f>
      </c>
      <c r="M24" s="5">
        <f>IF(OR(N($E24)&lt;=0,N($L24)&lt;=0),"",IF($E24&gt;$L24,"BUY-DAY","SELL-DAY"))</f>
      </c>
      <c r="N24" s="9">
        <f>IF(OR(N($E24)&lt;=0,N($F24)&lt;=0,N($G24)&lt;=0),"",IF(AND($AD24&gt;0,'操作パネル_MS2'!$H$17=1),$AD24,MAX(0,$F24-$G24)/SQRT(MAX(1,'操作パネル_MS2'!$H$12))*'操作パネル_MS2'!$H$10))</f>
      </c>
      <c r="O24" s="5">
        <f>IF(OR(N($E24)&lt;=0,$AC24=""),"",IF(N($AC24)&gt;='操作パネル_MS2'!$H$3,"VOL-OK","VOL-NG"))</f>
      </c>
      <c r="P24" s="5">
        <f>IF(OR(N($E24)&lt;=0,N($J24)&lt;=0),"",IF($E24&gt;$J24,"ON","OFF"))</f>
      </c>
      <c r="Q24" s="5">
        <f>IF(OR(N($E24)&lt;=0,N($K24)&lt;=0),"",IF($E24&lt;$K24,"ON","OFF"))</f>
      </c>
      <c r="R24" s="5">
        <f>IF(OR(N($E24)&lt;=0,N($N24)&lt;=0),"",IF(AND($M24="BUY-DAY",$O24="VOL-OK",$P24="ON",$AA24="OK",$AB24&lt;&gt;"DOWN"),"BUY",IF(AND($M24="SELL-DAY",$O24="VOL-OK",$Q24="ON",$AA24="OK",$AB24&lt;&gt;"UP"),"SELL","")))</f>
      </c>
      <c r="S24" s="9">
        <f>IF($R24="","",$E24)</f>
      </c>
      <c r="T24" s="9">
        <f>IF($R24="","",IF($R24="BUY",$E24-$N24*'操作パネル_MS2'!$H$5,$E24+$N24*'操作パネル_MS2'!$H$5))</f>
      </c>
      <c r="U24" s="9">
        <f>IF($R24="","",IF($R24="BUY",$E24+$N24*'操作パネル_MS2'!$H$6,$E24-$N24*'操作パネル_MS2'!$H$6))</f>
      </c>
      <c r="V24" s="9">
        <f>IF($R24="","",IF($R24="BUY",$E24+$N24*'操作パネル_MS2'!$H$7,$E24-$N24*'操作パネル_MS2'!$H$7))</f>
      </c>
      <c r="W24" s="9">
        <f>IF($R24="","",IF($R24="BUY",$E24+$N24*'操作パネル_MS2'!$H$8,$E24-$N24*'操作パネル_MS2'!$H$8))</f>
      </c>
      <c r="X24" s="5">
        <f>IF(OR(N($E24)&lt;=0,N($N24)&lt;=0,N($L24)&lt;=0),"",IF(AND($E24&gt;$L24,ABS($E24-$L24)&lt;$N24*0.5),"2ND","1ST"))</f>
      </c>
      <c r="Y24" s="5">
        <f>IF(OR(N($E24)&lt;=0,N($N24)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4" s="5">
        <f>IF(OR(N($E24)&lt;=0,N($N24)&lt;=0),"",IF($N24&gt;$E24*'操作パネル_MS2'!$H$4,"VOL-HIGH","VOL-NORMAL"))</f>
      </c>
      <c r="AA24" s="5">
        <f>IF(OR(N($E24)&lt;=0,N($N24)&lt;=0),"",IF(AND($O24="VOL-OK",$Z24="VOL-NORMAL"),"OK","NG"))</f>
      </c>
      <c r="AB24" s="5">
        <f>IF(OR(N($E24)&lt;=0,N($N24)&lt;=0,N($J24)&lt;=0,N($K24)&lt;=0),"",IF(AND($F24&gt;$J24,$G24&gt;$K24),"UP",IF(AND($F24&lt;$J24,$G24&lt;$K24),"DOWN","FLAT")))</f>
      </c>
      <c r="AC24" s="30">
        <f>IF($C24="","",_xll.RssMarket($C24&amp;"","売買代金"))</f>
      </c>
      <c r="AD24" s="31">
        <f>IFERROR(INDEX(ATRHIST_MS2!$H$2:$H$400,MATCH($C24,ATRHIST_MS2!$A$2:$A$400,0)),0)</f>
      </c>
    </row>
    <row r="25" spans="1:30" ht="25.95" customHeight="1">
      <c r="A25" s="5">
        <f>IF(C25="","",ROW()-2)</f>
      </c>
      <c r="B25" s="6">
        <f>IF(StockList_MS2!A24="","",HYPERLINK("https://kabutan.jp/stock/?code="&amp;StockList_MS2!A24,"株探"))</f>
      </c>
      <c r="C25" s="5">
        <f>IF(StockList_MS2!A24="","",StockList_MS2!A24)</f>
      </c>
      <c r="D25" s="7">
        <f>IF(StockList_MS2!A24="","",StockList_MS2!B24)</f>
      </c>
      <c r="E25" s="8">
        <f>_xll.RssMarket("7011","現在値")</f>
      </c>
      <c r="F25" s="8">
        <f>_xll.RssMarket("7011","高値")</f>
      </c>
      <c r="G25" s="8">
        <f>_xll.RssMarket("7011","安値")</f>
      </c>
      <c r="H25" s="8">
        <f>_xll.RssMarket("7011","終値")</f>
      </c>
      <c r="I25" s="19">
        <f>_xll.RssMarket("7011","出来高")</f>
      </c>
      <c r="J25" s="8">
        <v>4071.0</v>
      </c>
      <c r="K25" s="8">
        <v>3973.0</v>
      </c>
      <c r="L25" s="8">
        <f>_xll.RssMarket("7011","前日終値")</f>
      </c>
      <c r="M25" s="5">
        <f>IF(OR(N($E25)&lt;=0,N($L25)&lt;=0),"",IF($E25&gt;$L25,"BUY-DAY","SELL-DAY"))</f>
      </c>
      <c r="N25" s="9">
        <f>IF(OR(N($E25)&lt;=0,N($F25)&lt;=0,N($G25)&lt;=0),"",IF(AND($AD25&gt;0,'操作パネル_MS2'!$H$17=1),$AD25,MAX(0,$F25-$G25)/SQRT(MAX(1,'操作パネル_MS2'!$H$12))*'操作パネル_MS2'!$H$10))</f>
      </c>
      <c r="O25" s="5">
        <f>IF(OR(N($E25)&lt;=0,$AC25=""),"",IF(N($AC25)&gt;='操作パネル_MS2'!$H$3,"VOL-OK","VOL-NG"))</f>
      </c>
      <c r="P25" s="5">
        <f>IF(OR(N($E25)&lt;=0,N($J25)&lt;=0),"",IF($E25&gt;$J25,"ON","OFF"))</f>
      </c>
      <c r="Q25" s="5">
        <f>IF(OR(N($E25)&lt;=0,N($K25)&lt;=0),"",IF($E25&lt;$K25,"ON","OFF"))</f>
      </c>
      <c r="R25" s="5">
        <f>IF(OR(N($E25)&lt;=0,N($N25)&lt;=0),"",IF(AND($M25="BUY-DAY",$O25="VOL-OK",$P25="ON",$AA25="OK",$AB25&lt;&gt;"DOWN"),"BUY",IF(AND($M25="SELL-DAY",$O25="VOL-OK",$Q25="ON",$AA25="OK",$AB25&lt;&gt;"UP"),"SELL","")))</f>
      </c>
      <c r="S25" s="9">
        <f>IF($R25="","",$E25)</f>
      </c>
      <c r="T25" s="9">
        <f>IF($R25="","",IF($R25="BUY",$E25-$N25*'操作パネル_MS2'!$H$5,$E25+$N25*'操作パネル_MS2'!$H$5))</f>
      </c>
      <c r="U25" s="9">
        <f>IF($R25="","",IF($R25="BUY",$E25+$N25*'操作パネル_MS2'!$H$6,$E25-$N25*'操作パネル_MS2'!$H$6))</f>
      </c>
      <c r="V25" s="9">
        <f>IF($R25="","",IF($R25="BUY",$E25+$N25*'操作パネル_MS2'!$H$7,$E25-$N25*'操作パネル_MS2'!$H$7))</f>
      </c>
      <c r="W25" s="9">
        <f>IF($R25="","",IF($R25="BUY",$E25+$N25*'操作パネル_MS2'!$H$8,$E25-$N25*'操作パネル_MS2'!$H$8))</f>
      </c>
      <c r="X25" s="5">
        <f>IF(OR(N($E25)&lt;=0,N($N25)&lt;=0,N($L25)&lt;=0),"",IF(AND($E25&gt;$L25,ABS($E25-$L25)&lt;$N25*0.5),"2ND","1ST"))</f>
      </c>
      <c r="Y25" s="5">
        <f>IF(OR(N($E25)&lt;=0,N($N25)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5" s="5">
        <f>IF(OR(N($E25)&lt;=0,N($N25)&lt;=0),"",IF($N25&gt;$E25*'操作パネル_MS2'!$H$4,"VOL-HIGH","VOL-NORMAL"))</f>
      </c>
      <c r="AA25" s="5">
        <f>IF(OR(N($E25)&lt;=0,N($N25)&lt;=0),"",IF(AND($O25="VOL-OK",$Z25="VOL-NORMAL"),"OK","NG"))</f>
      </c>
      <c r="AB25" s="5">
        <f>IF(OR(N($E25)&lt;=0,N($N25)&lt;=0,N($J25)&lt;=0,N($K25)&lt;=0),"",IF(AND($F25&gt;$J25,$G25&gt;$K25),"UP",IF(AND($F25&lt;$J25,$G25&lt;$K25),"DOWN","FLAT")))</f>
      </c>
      <c r="AC25" s="30">
        <f>IF($C25="","",_xll.RssMarket($C25&amp;"","売買代金"))</f>
      </c>
      <c r="AD25" s="31">
        <f>IFERROR(INDEX(ATRHIST_MS2!$H$2:$H$400,MATCH($C25,ATRHIST_MS2!$A$2:$A$400,0)),0)</f>
      </c>
    </row>
    <row r="26" spans="1:30" ht="25.95" customHeight="1">
      <c r="A26" s="10">
        <f>IF(C26="","",ROW()-2)</f>
      </c>
      <c r="B26" s="11">
        <f>IF(StockList_MS2!A25="","",HYPERLINK("https://kabutan.jp/stock/?code="&amp;StockList_MS2!A25,"株探"))</f>
      </c>
      <c r="C26" s="10">
        <f>IF(StockList_MS2!A25="","",StockList_MS2!A25)</f>
      </c>
      <c r="D26" s="12">
        <f>IF(StockList_MS2!A25="","",StockList_MS2!B25)</f>
      </c>
      <c r="E26" s="13">
        <f>_xll.RssMarket("4661","現在値")</f>
      </c>
      <c r="F26" s="13">
        <f>_xll.RssMarket("4661","高値")</f>
      </c>
      <c r="G26" s="13">
        <f>_xll.RssMarket("4661","安値")</f>
      </c>
      <c r="H26" s="13">
        <f>_xll.RssMarket("4661","終値")</f>
      </c>
      <c r="I26" s="20">
        <f>_xll.RssMarket("4661","出来高")</f>
      </c>
      <c r="J26" s="13">
        <v>3039.0</v>
      </c>
      <c r="K26" s="13">
        <v>2990.0</v>
      </c>
      <c r="L26" s="13">
        <f>_xll.RssMarket("4661","前日終値")</f>
      </c>
      <c r="M26" s="5">
        <f>IF(OR(N($E26)&lt;=0,N($L26)&lt;=0),"",IF($E26&gt;$L26,"BUY-DAY","SELL-DAY"))</f>
      </c>
      <c r="N26" s="9">
        <f>IF(OR(N($E26)&lt;=0,N($F26)&lt;=0,N($G26)&lt;=0),"",IF(AND($AD26&gt;0,'操作パネル_MS2'!$H$17=1),$AD26,MAX(0,$F26-$G26)/SQRT(MAX(1,'操作パネル_MS2'!$H$12))*'操作パネル_MS2'!$H$10))</f>
      </c>
      <c r="O26" s="5">
        <f>IF(OR(N($E26)&lt;=0,$AC26=""),"",IF(N($AC26)&gt;='操作パネル_MS2'!$H$3,"VOL-OK","VOL-NG"))</f>
      </c>
      <c r="P26" s="5">
        <f>IF(OR(N($E26)&lt;=0,N($J26)&lt;=0),"",IF($E26&gt;$J26,"ON","OFF"))</f>
      </c>
      <c r="Q26" s="5">
        <f>IF(OR(N($E26)&lt;=0,N($K26)&lt;=0),"",IF($E26&lt;$K26,"ON","OFF"))</f>
      </c>
      <c r="R26" s="5">
        <f>IF(OR(N($E26)&lt;=0,N($N26)&lt;=0),"",IF(AND($M26="BUY-DAY",$O26="VOL-OK",$P26="ON",$AA26="OK",$AB26&lt;&gt;"DOWN"),"BUY",IF(AND($M26="SELL-DAY",$O26="VOL-OK",$Q26="ON",$AA26="OK",$AB26&lt;&gt;"UP"),"SELL","")))</f>
      </c>
      <c r="S26" s="9">
        <f>IF($R26="","",$E26)</f>
      </c>
      <c r="T26" s="9">
        <f>IF($R26="","",IF($R26="BUY",$E26-$N26*'操作パネル_MS2'!$H$5,$E26+$N26*'操作パネル_MS2'!$H$5))</f>
      </c>
      <c r="U26" s="9">
        <f>IF($R26="","",IF($R26="BUY",$E26+$N26*'操作パネル_MS2'!$H$6,$E26-$N26*'操作パネル_MS2'!$H$6))</f>
      </c>
      <c r="V26" s="9">
        <f>IF($R26="","",IF($R26="BUY",$E26+$N26*'操作パネル_MS2'!$H$7,$E26-$N26*'操作パネル_MS2'!$H$7))</f>
      </c>
      <c r="W26" s="9">
        <f>IF($R26="","",IF($R26="BUY",$E26+$N26*'操作パネル_MS2'!$H$8,$E26-$N26*'操作パネル_MS2'!$H$8))</f>
      </c>
      <c r="X26" s="5">
        <f>IF(OR(N($E26)&lt;=0,N($N26)&lt;=0,N($L26)&lt;=0),"",IF(AND($E26&gt;$L26,ABS($E26-$L26)&lt;$N26*0.5),"2ND","1ST"))</f>
      </c>
      <c r="Y26" s="5">
        <f>IF(OR(N($E26)&lt;=0,N($N26)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6" s="5">
        <f>IF(OR(N($E26)&lt;=0,N($N26)&lt;=0),"",IF($N26&gt;$E26*'操作パネル_MS2'!$H$4,"VOL-HIGH","VOL-NORMAL"))</f>
      </c>
      <c r="AA26" s="5">
        <f>IF(OR(N($E26)&lt;=0,N($N26)&lt;=0),"",IF(AND($O26="VOL-OK",$Z26="VOL-NORMAL"),"OK","NG"))</f>
      </c>
      <c r="AB26" s="5">
        <f>IF(OR(N($E26)&lt;=0,N($N26)&lt;=0,N($J26)&lt;=0,N($K26)&lt;=0),"",IF(AND($F26&gt;$J26,$G26&gt;$K26),"UP",IF(AND($F26&lt;$J26,$G26&lt;$K26),"DOWN","FLAT")))</f>
      </c>
      <c r="AC26" s="30">
        <f>IF($C26="","",_xll.RssMarket($C26&amp;"","売買代金"))</f>
      </c>
      <c r="AD26" s="31">
        <f>IFERROR(INDEX(ATRHIST_MS2!$H$2:$H$400,MATCH($C26,ATRHIST_MS2!$A$2:$A$400,0)),0)</f>
      </c>
    </row>
    <row r="27" spans="1:30" ht="25.95" customHeight="1">
      <c r="A27" s="5">
        <f>IF(C27="","",ROW()-2)</f>
      </c>
      <c r="B27" s="6">
        <f>IF(StockList_MS2!A26="","",HYPERLINK("https://kabutan.jp/stock/?code="&amp;StockList_MS2!A26,"株探"))</f>
      </c>
      <c r="C27" s="5">
        <f>IF(StockList_MS2!A26="","",StockList_MS2!A26)</f>
      </c>
      <c r="D27" s="7">
        <f>IF(StockList_MS2!A26="","",StockList_MS2!B26)</f>
      </c>
      <c r="E27" s="8">
        <f>_xll.RssMarket("8604","現在値")</f>
      </c>
      <c r="F27" s="8">
        <f>_xll.RssMarket("8604","高値")</f>
      </c>
      <c r="G27" s="8">
        <f>_xll.RssMarket("8604","安値")</f>
      </c>
      <c r="H27" s="8">
        <f>_xll.RssMarket("8604","終値")</f>
      </c>
      <c r="I27" s="19">
        <f>_xll.RssMarket("8604","出来高")</f>
      </c>
      <c r="J27" s="8">
        <v>1652.0</v>
      </c>
      <c r="K27" s="8">
        <v>1600.5</v>
      </c>
      <c r="L27" s="8">
        <f>_xll.RssMarket("8604","前日終値")</f>
      </c>
      <c r="M27" s="5">
        <f>IF(OR(N($E27)&lt;=0,N($L27)&lt;=0),"",IF($E27&gt;$L27,"BUY-DAY","SELL-DAY"))</f>
      </c>
      <c r="N27" s="9">
        <f>IF(OR(N($E27)&lt;=0,N($F27)&lt;=0,N($G27)&lt;=0),"",IF(AND($AD27&gt;0,'操作パネル_MS2'!$H$17=1),$AD27,MAX(0,$F27-$G27)/SQRT(MAX(1,'操作パネル_MS2'!$H$12))*'操作パネル_MS2'!$H$10))</f>
      </c>
      <c r="O27" s="5">
        <f>IF(OR(N($E27)&lt;=0,$AC27=""),"",IF(N($AC27)&gt;='操作パネル_MS2'!$H$3,"VOL-OK","VOL-NG"))</f>
      </c>
      <c r="P27" s="5">
        <f>IF(OR(N($E27)&lt;=0,N($J27)&lt;=0),"",IF($E27&gt;$J27,"ON","OFF"))</f>
      </c>
      <c r="Q27" s="5">
        <f>IF(OR(N($E27)&lt;=0,N($K27)&lt;=0),"",IF($E27&lt;$K27,"ON","OFF"))</f>
      </c>
      <c r="R27" s="5">
        <f>IF(OR(N($E27)&lt;=0,N($N27)&lt;=0),"",IF(AND($M27="BUY-DAY",$O27="VOL-OK",$P27="ON",$AA27="OK",$AB27&lt;&gt;"DOWN"),"BUY",IF(AND($M27="SELL-DAY",$O27="VOL-OK",$Q27="ON",$AA27="OK",$AB27&lt;&gt;"UP"),"SELL","")))</f>
      </c>
      <c r="S27" s="9">
        <f>IF($R27="","",$E27)</f>
      </c>
      <c r="T27" s="9">
        <f>IF($R27="","",IF($R27="BUY",$E27-$N27*'操作パネル_MS2'!$H$5,$E27+$N27*'操作パネル_MS2'!$H$5))</f>
      </c>
      <c r="U27" s="9">
        <f>IF($R27="","",IF($R27="BUY",$E27+$N27*'操作パネル_MS2'!$H$6,$E27-$N27*'操作パネル_MS2'!$H$6))</f>
      </c>
      <c r="V27" s="9">
        <f>IF($R27="","",IF($R27="BUY",$E27+$N27*'操作パネル_MS2'!$H$7,$E27-$N27*'操作パネル_MS2'!$H$7))</f>
      </c>
      <c r="W27" s="9">
        <f>IF($R27="","",IF($R27="BUY",$E27+$N27*'操作パネル_MS2'!$H$8,$E27-$N27*'操作パネル_MS2'!$H$8))</f>
      </c>
      <c r="X27" s="5">
        <f>IF(OR(N($E27)&lt;=0,N($N27)&lt;=0,N($L27)&lt;=0),"",IF(AND($E27&gt;$L27,ABS($E27-$L27)&lt;$N27*0.5),"2ND","1ST"))</f>
      </c>
      <c r="Y27" s="5">
        <f>IF(OR(N($E27)&lt;=0,N($N27)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7" s="5">
        <f>IF(OR(N($E27)&lt;=0,N($N27)&lt;=0),"",IF($N27&gt;$E27*'操作パネル_MS2'!$H$4,"VOL-HIGH","VOL-NORMAL"))</f>
      </c>
      <c r="AA27" s="5">
        <f>IF(OR(N($E27)&lt;=0,N($N27)&lt;=0),"",IF(AND($O27="VOL-OK",$Z27="VOL-NORMAL"),"OK","NG"))</f>
      </c>
      <c r="AB27" s="5">
        <f>IF(OR(N($E27)&lt;=0,N($N27)&lt;=0,N($J27)&lt;=0,N($K27)&lt;=0),"",IF(AND($F27&gt;$J27,$G27&gt;$K27),"UP",IF(AND($F27&lt;$J27,$G27&lt;$K27),"DOWN","FLAT")))</f>
      </c>
      <c r="AC27" s="30">
        <f>IF($C27="","",_xll.RssMarket($C27&amp;"","売買代金"))</f>
      </c>
      <c r="AD27" s="31">
        <f>IFERROR(INDEX(ATRHIST_MS2!$H$2:$H$400,MATCH($C27,ATRHIST_MS2!$A$2:$A$400,0)),0)</f>
      </c>
    </row>
    <row r="28" spans="1:30" ht="25.95" customHeight="1">
      <c r="A28" s="10">
        <f>IF(C28="","",ROW()-2)</f>
      </c>
      <c r="B28" s="11">
        <f>IF(StockList_MS2!A27="","",HYPERLINK("https://kabutan.jp/stock/?code="&amp;StockList_MS2!A27,"株探"))</f>
      </c>
      <c r="C28" s="10">
        <f>IF(StockList_MS2!A27="","",StockList_MS2!A27)</f>
      </c>
      <c r="D28" s="12">
        <f>IF(StockList_MS2!A27="","",StockList_MS2!B27)</f>
      </c>
      <c r="E28" s="13">
        <f>_xll.RssMarket("6762","現在値")</f>
      </c>
      <c r="F28" s="13">
        <f>_xll.RssMarket("6762","高値")</f>
      </c>
      <c r="G28" s="13">
        <f>_xll.RssMarket("6762","安値")</f>
      </c>
      <c r="H28" s="13">
        <f>_xll.RssMarket("6762","終値")</f>
      </c>
      <c r="I28" s="20">
        <f>_xll.RssMarket("6762","出来高")</f>
      </c>
      <c r="J28" s="13">
        <v>3135.0</v>
      </c>
      <c r="K28" s="13">
        <v>3035.0</v>
      </c>
      <c r="L28" s="13">
        <f>_xll.RssMarket("6762","前日終値")</f>
      </c>
      <c r="M28" s="5">
        <f>IF(OR(N($E28)&lt;=0,N($L28)&lt;=0),"",IF($E28&gt;$L28,"BUY-DAY","SELL-DAY"))</f>
      </c>
      <c r="N28" s="9">
        <f>IF(OR(N($E28)&lt;=0,N($F28)&lt;=0,N($G28)&lt;=0),"",IF(AND($AD28&gt;0,'操作パネル_MS2'!$H$17=1),$AD28,MAX(0,$F28-$G28)/SQRT(MAX(1,'操作パネル_MS2'!$H$12))*'操作パネル_MS2'!$H$10))</f>
      </c>
      <c r="O28" s="5">
        <f>IF(OR(N($E28)&lt;=0,$AC28=""),"",IF(N($AC28)&gt;='操作パネル_MS2'!$H$3,"VOL-OK","VOL-NG"))</f>
      </c>
      <c r="P28" s="5">
        <f>IF(OR(N($E28)&lt;=0,N($J28)&lt;=0),"",IF($E28&gt;$J28,"ON","OFF"))</f>
      </c>
      <c r="Q28" s="5">
        <f>IF(OR(N($E28)&lt;=0,N($K28)&lt;=0),"",IF($E28&lt;$K28,"ON","OFF"))</f>
      </c>
      <c r="R28" s="5">
        <f>IF(OR(N($E28)&lt;=0,N($N28)&lt;=0),"",IF(AND($M28="BUY-DAY",$O28="VOL-OK",$P28="ON",$AA28="OK",$AB28&lt;&gt;"DOWN"),"BUY",IF(AND($M28="SELL-DAY",$O28="VOL-OK",$Q28="ON",$AA28="OK",$AB28&lt;&gt;"UP"),"SELL","")))</f>
      </c>
      <c r="S28" s="9">
        <f>IF($R28="","",$E28)</f>
      </c>
      <c r="T28" s="9">
        <f>IF($R28="","",IF($R28="BUY",$E28-$N28*'操作パネル_MS2'!$H$5,$E28+$N28*'操作パネル_MS2'!$H$5))</f>
      </c>
      <c r="U28" s="9">
        <f>IF($R28="","",IF($R28="BUY",$E28+$N28*'操作パネル_MS2'!$H$6,$E28-$N28*'操作パネル_MS2'!$H$6))</f>
      </c>
      <c r="V28" s="9">
        <f>IF($R28="","",IF($R28="BUY",$E28+$N28*'操作パネル_MS2'!$H$7,$E28-$N28*'操作パネル_MS2'!$H$7))</f>
      </c>
      <c r="W28" s="9">
        <f>IF($R28="","",IF($R28="BUY",$E28+$N28*'操作パネル_MS2'!$H$8,$E28-$N28*'操作パネル_MS2'!$H$8))</f>
      </c>
      <c r="X28" s="5">
        <f>IF(OR(N($E28)&lt;=0,N($N28)&lt;=0,N($L28)&lt;=0),"",IF(AND($E28&gt;$L28,ABS($E28-$L28)&lt;$N28*0.5),"2ND","1ST"))</f>
      </c>
      <c r="Y28" s="5">
        <f>IF(OR(N($E28)&lt;=0,N($N28)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8" s="5">
        <f>IF(OR(N($E28)&lt;=0,N($N28)&lt;=0),"",IF($N28&gt;$E28*'操作パネル_MS2'!$H$4,"VOL-HIGH","VOL-NORMAL"))</f>
      </c>
      <c r="AA28" s="5">
        <f>IF(OR(N($E28)&lt;=0,N($N28)&lt;=0),"",IF(AND($O28="VOL-OK",$Z28="VOL-NORMAL"),"OK","NG"))</f>
      </c>
      <c r="AB28" s="5">
        <f>IF(OR(N($E28)&lt;=0,N($N28)&lt;=0,N($J28)&lt;=0,N($K28)&lt;=0),"",IF(AND($F28&gt;$J28,$G28&gt;$K28),"UP",IF(AND($F28&lt;$J28,$G28&lt;$K28),"DOWN","FLAT")))</f>
      </c>
      <c r="AC28" s="30">
        <f>IF($C28="","",_xll.RssMarket($C28&amp;"","売買代金"))</f>
      </c>
      <c r="AD28" s="31">
        <f>IFERROR(INDEX(ATRHIST_MS2!$H$2:$H$400,MATCH($C28,ATRHIST_MS2!$A$2:$A$400,0)),0)</f>
      </c>
    </row>
    <row r="29" spans="1:30" ht="25.95" customHeight="1">
      <c r="A29" s="5">
        <f>IF(C29="","",ROW()-2)</f>
      </c>
      <c r="B29" s="6">
        <f>IF(StockList_MS2!A28="","",HYPERLINK("https://kabutan.jp/stock/?code="&amp;StockList_MS2!A28,"株探"))</f>
      </c>
      <c r="C29" s="5">
        <f>IF(StockList_MS2!A28="","",StockList_MS2!A28)</f>
      </c>
      <c r="D29" s="7">
        <f>IF(StockList_MS2!A28="","",StockList_MS2!B28)</f>
      </c>
      <c r="E29" s="8">
        <f>_xll.RssMarket("6501","現在値")</f>
      </c>
      <c r="F29" s="8">
        <f>_xll.RssMarket("6501","高値")</f>
      </c>
      <c r="G29" s="8">
        <f>_xll.RssMarket("6501","安値")</f>
      </c>
      <c r="H29" s="8">
        <f>_xll.RssMarket("6501","終値")</f>
      </c>
      <c r="I29" s="19">
        <f>_xll.RssMarket("6501","出来高")</f>
      </c>
      <c r="J29" s="8">
        <v>5645.0</v>
      </c>
      <c r="K29" s="8">
        <v>5486.0</v>
      </c>
      <c r="L29" s="8">
        <f>_xll.RssMarket("6501","前日終値")</f>
      </c>
      <c r="M29" s="5">
        <f>IF(OR(N($E29)&lt;=0,N($L29)&lt;=0),"",IF($E29&gt;$L29,"BUY-DAY","SELL-DAY"))</f>
      </c>
      <c r="N29" s="9">
        <f>IF(OR(N($E29)&lt;=0,N($F29)&lt;=0,N($G29)&lt;=0),"",IF(AND($AD29&gt;0,'操作パネル_MS2'!$H$17=1),$AD29,MAX(0,$F29-$G29)/SQRT(MAX(1,'操作パネル_MS2'!$H$12))*'操作パネル_MS2'!$H$10))</f>
      </c>
      <c r="O29" s="5">
        <f>IF(OR(N($E29)&lt;=0,$AC29=""),"",IF(N($AC29)&gt;='操作パネル_MS2'!$H$3,"VOL-OK","VOL-NG"))</f>
      </c>
      <c r="P29" s="5">
        <f>IF(OR(N($E29)&lt;=0,N($J29)&lt;=0),"",IF($E29&gt;$J29,"ON","OFF"))</f>
      </c>
      <c r="Q29" s="5">
        <f>IF(OR(N($E29)&lt;=0,N($K29)&lt;=0),"",IF($E29&lt;$K29,"ON","OFF"))</f>
      </c>
      <c r="R29" s="5">
        <f>IF(OR(N($E29)&lt;=0,N($N29)&lt;=0),"",IF(AND($M29="BUY-DAY",$O29="VOL-OK",$P29="ON",$AA29="OK",$AB29&lt;&gt;"DOWN"),"BUY",IF(AND($M29="SELL-DAY",$O29="VOL-OK",$Q29="ON",$AA29="OK",$AB29&lt;&gt;"UP"),"SELL","")))</f>
      </c>
      <c r="S29" s="9">
        <f>IF($R29="","",$E29)</f>
      </c>
      <c r="T29" s="9">
        <f>IF($R29="","",IF($R29="BUY",$E29-$N29*'操作パネル_MS2'!$H$5,$E29+$N29*'操作パネル_MS2'!$H$5))</f>
      </c>
      <c r="U29" s="9">
        <f>IF($R29="","",IF($R29="BUY",$E29+$N29*'操作パネル_MS2'!$H$6,$E29-$N29*'操作パネル_MS2'!$H$6))</f>
      </c>
      <c r="V29" s="9">
        <f>IF($R29="","",IF($R29="BUY",$E29+$N29*'操作パネル_MS2'!$H$7,$E29-$N29*'操作パネル_MS2'!$H$7))</f>
      </c>
      <c r="W29" s="9">
        <f>IF($R29="","",IF($R29="BUY",$E29+$N29*'操作パネル_MS2'!$H$8,$E29-$N29*'操作パネル_MS2'!$H$8))</f>
      </c>
      <c r="X29" s="5">
        <f>IF(OR(N($E29)&lt;=0,N($N29)&lt;=0,N($L29)&lt;=0),"",IF(AND($E29&gt;$L29,ABS($E29-$L29)&lt;$N29*0.5),"2ND","1ST"))</f>
      </c>
      <c r="Y29" s="5">
        <f>IF(OR(N($E29)&lt;=0,N($N29)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29" s="5">
        <f>IF(OR(N($E29)&lt;=0,N($N29)&lt;=0),"",IF($N29&gt;$E29*'操作パネル_MS2'!$H$4,"VOL-HIGH","VOL-NORMAL"))</f>
      </c>
      <c r="AA29" s="5">
        <f>IF(OR(N($E29)&lt;=0,N($N29)&lt;=0),"",IF(AND($O29="VOL-OK",$Z29="VOL-NORMAL"),"OK","NG"))</f>
      </c>
      <c r="AB29" s="5">
        <f>IF(OR(N($E29)&lt;=0,N($N29)&lt;=0,N($J29)&lt;=0,N($K29)&lt;=0),"",IF(AND($F29&gt;$J29,$G29&gt;$K29),"UP",IF(AND($F29&lt;$J29,$G29&lt;$K29),"DOWN","FLAT")))</f>
      </c>
      <c r="AC29" s="30">
        <f>IF($C29="","",_xll.RssMarket($C29&amp;"","売買代金"))</f>
      </c>
      <c r="AD29" s="31">
        <f>IFERROR(INDEX(ATRHIST_MS2!$H$2:$H$400,MATCH($C29,ATRHIST_MS2!$A$2:$A$400,0)),0)</f>
      </c>
    </row>
    <row r="30" spans="1:30" ht="25.95" customHeight="1">
      <c r="A30" s="10">
        <f>IF(C30="","",ROW()-2)</f>
      </c>
      <c r="B30" s="11">
        <f>IF(StockList_MS2!A29="","",HYPERLINK("https://kabutan.jp/stock/?code="&amp;StockList_MS2!A29,"株探"))</f>
      </c>
      <c r="C30" s="10">
        <f>IF(StockList_MS2!A29="","",StockList_MS2!A29)</f>
      </c>
      <c r="D30" s="12">
        <f>IF(StockList_MS2!A29="","",StockList_MS2!B29)</f>
      </c>
      <c r="E30" s="13">
        <f>_xll.RssMarket("4063","現在値")</f>
      </c>
      <c r="F30" s="13">
        <f>_xll.RssMarket("4063","高値")</f>
      </c>
      <c r="G30" s="13">
        <f>_xll.RssMarket("4063","安値")</f>
      </c>
      <c r="H30" s="13">
        <f>_xll.RssMarket("4063","終値")</f>
      </c>
      <c r="I30" s="20">
        <f>_xll.RssMarket("4063","出来高")</f>
      </c>
      <c r="J30" s="13">
        <v>6068.0</v>
      </c>
      <c r="K30" s="13">
        <v>6001.0</v>
      </c>
      <c r="L30" s="13">
        <f>_xll.RssMarket("4063","前日終値")</f>
      </c>
      <c r="M30" s="5">
        <f>IF(OR(N($E30)&lt;=0,N($L30)&lt;=0),"",IF($E30&gt;$L30,"BUY-DAY","SELL-DAY"))</f>
      </c>
      <c r="N30" s="9">
        <f>IF(OR(N($E30)&lt;=0,N($F30)&lt;=0,N($G30)&lt;=0),"",IF(AND($AD30&gt;0,'操作パネル_MS2'!$H$17=1),$AD30,MAX(0,$F30-$G30)/SQRT(MAX(1,'操作パネル_MS2'!$H$12))*'操作パネル_MS2'!$H$10))</f>
      </c>
      <c r="O30" s="5">
        <f>IF(OR(N($E30)&lt;=0,$AC30=""),"",IF(N($AC30)&gt;='操作パネル_MS2'!$H$3,"VOL-OK","VOL-NG"))</f>
      </c>
      <c r="P30" s="5">
        <f>IF(OR(N($E30)&lt;=0,N($J30)&lt;=0),"",IF($E30&gt;$J30,"ON","OFF"))</f>
      </c>
      <c r="Q30" s="5">
        <f>IF(OR(N($E30)&lt;=0,N($K30)&lt;=0),"",IF($E30&lt;$K30,"ON","OFF"))</f>
      </c>
      <c r="R30" s="5">
        <f>IF(OR(N($E30)&lt;=0,N($N30)&lt;=0),"",IF(AND($M30="BUY-DAY",$O30="VOL-OK",$P30="ON",$AA30="OK",$AB30&lt;&gt;"DOWN"),"BUY",IF(AND($M30="SELL-DAY",$O30="VOL-OK",$Q30="ON",$AA30="OK",$AB30&lt;&gt;"UP"),"SELL","")))</f>
      </c>
      <c r="S30" s="9">
        <f>IF($R30="","",$E30)</f>
      </c>
      <c r="T30" s="9">
        <f>IF($R30="","",IF($R30="BUY",$E30-$N30*'操作パネル_MS2'!$H$5,$E30+$N30*'操作パネル_MS2'!$H$5))</f>
      </c>
      <c r="U30" s="9">
        <f>IF($R30="","",IF($R30="BUY",$E30+$N30*'操作パネル_MS2'!$H$6,$E30-$N30*'操作パネル_MS2'!$H$6))</f>
      </c>
      <c r="V30" s="9">
        <f>IF($R30="","",IF($R30="BUY",$E30+$N30*'操作パネル_MS2'!$H$7,$E30-$N30*'操作パネル_MS2'!$H$7))</f>
      </c>
      <c r="W30" s="9">
        <f>IF($R30="","",IF($R30="BUY",$E30+$N30*'操作パネル_MS2'!$H$8,$E30-$N30*'操作パネル_MS2'!$H$8))</f>
      </c>
      <c r="X30" s="5">
        <f>IF(OR(N($E30)&lt;=0,N($N30)&lt;=0,N($L30)&lt;=0),"",IF(AND($E30&gt;$L30,ABS($E30-$L30)&lt;$N30*0.5),"2ND","1ST"))</f>
      </c>
      <c r="Y30" s="5">
        <f>IF(OR(N($E30)&lt;=0,N($N30)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0" s="5">
        <f>IF(OR(N($E30)&lt;=0,N($N30)&lt;=0),"",IF($N30&gt;$E30*'操作パネル_MS2'!$H$4,"VOL-HIGH","VOL-NORMAL"))</f>
      </c>
      <c r="AA30" s="5">
        <f>IF(OR(N($E30)&lt;=0,N($N30)&lt;=0),"",IF(AND($O30="VOL-OK",$Z30="VOL-NORMAL"),"OK","NG"))</f>
      </c>
      <c r="AB30" s="5">
        <f>IF(OR(N($E30)&lt;=0,N($N30)&lt;=0,N($J30)&lt;=0,N($K30)&lt;=0),"",IF(AND($F30&gt;$J30,$G30&gt;$K30),"UP",IF(AND($F30&lt;$J30,$G30&lt;$K30),"DOWN","FLAT")))</f>
      </c>
      <c r="AC30" s="30">
        <f>IF($C30="","",_xll.RssMarket($C30&amp;"","売買代金"))</f>
      </c>
      <c r="AD30" s="31">
        <f>IFERROR(INDEX(ATRHIST_MS2!$H$2:$H$400,MATCH($C30,ATRHIST_MS2!$A$2:$A$400,0)),0)</f>
      </c>
    </row>
    <row r="31" spans="1:30" ht="25.95" customHeight="1">
      <c r="A31" s="5">
        <f>IF(C31="","",ROW()-2)</f>
      </c>
      <c r="B31" s="6">
        <f>IF(StockList_MS2!A30="","",HYPERLINK("https://kabutan.jp/stock/?code="&amp;StockList_MS2!A30,"株探"))</f>
      </c>
      <c r="C31" s="5">
        <f>IF(StockList_MS2!A30="","",StockList_MS2!A30)</f>
      </c>
      <c r="D31" s="7">
        <f>IF(StockList_MS2!A30="","",StockList_MS2!B30)</f>
      </c>
      <c r="E31" s="8">
        <f>_xll.RssMarket("4568","現在値")</f>
      </c>
      <c r="F31" s="8">
        <f>_xll.RssMarket("4568","高値")</f>
      </c>
      <c r="G31" s="8">
        <f>_xll.RssMarket("4568","安値")</f>
      </c>
      <c r="H31" s="8">
        <f>_xll.RssMarket("4568","終値")</f>
      </c>
      <c r="I31" s="19">
        <f>_xll.RssMarket("4568","出来高")</f>
      </c>
      <c r="J31" s="8">
        <v>2958.0</v>
      </c>
      <c r="K31" s="8">
        <v>2887.0</v>
      </c>
      <c r="L31" s="8">
        <f>_xll.RssMarket("4568","前日終値")</f>
      </c>
      <c r="M31" s="5">
        <f>IF(OR(N($E31)&lt;=0,N($L31)&lt;=0),"",IF($E31&gt;$L31,"BUY-DAY","SELL-DAY"))</f>
      </c>
      <c r="N31" s="9">
        <f>IF(OR(N($E31)&lt;=0,N($F31)&lt;=0,N($G31)&lt;=0),"",IF(AND($AD31&gt;0,'操作パネル_MS2'!$H$17=1),$AD31,MAX(0,$F31-$G31)/SQRT(MAX(1,'操作パネル_MS2'!$H$12))*'操作パネル_MS2'!$H$10))</f>
      </c>
      <c r="O31" s="5">
        <f>IF(OR(N($E31)&lt;=0,$AC31=""),"",IF(N($AC31)&gt;='操作パネル_MS2'!$H$3,"VOL-OK","VOL-NG"))</f>
      </c>
      <c r="P31" s="5">
        <f>IF(OR(N($E31)&lt;=0,N($J31)&lt;=0),"",IF($E31&gt;$J31,"ON","OFF"))</f>
      </c>
      <c r="Q31" s="5">
        <f>IF(OR(N($E31)&lt;=0,N($K31)&lt;=0),"",IF($E31&lt;$K31,"ON","OFF"))</f>
      </c>
      <c r="R31" s="5">
        <f>IF(OR(N($E31)&lt;=0,N($N31)&lt;=0),"",IF(AND($M31="BUY-DAY",$O31="VOL-OK",$P31="ON",$AA31="OK",$AB31&lt;&gt;"DOWN"),"BUY",IF(AND($M31="SELL-DAY",$O31="VOL-OK",$Q31="ON",$AA31="OK",$AB31&lt;&gt;"UP"),"SELL","")))</f>
      </c>
      <c r="S31" s="9">
        <f>IF($R31="","",$E31)</f>
      </c>
      <c r="T31" s="9">
        <f>IF($R31="","",IF($R31="BUY",$E31-$N31*'操作パネル_MS2'!$H$5,$E31+$N31*'操作パネル_MS2'!$H$5))</f>
      </c>
      <c r="U31" s="9">
        <f>IF($R31="","",IF($R31="BUY",$E31+$N31*'操作パネル_MS2'!$H$6,$E31-$N31*'操作パネル_MS2'!$H$6))</f>
      </c>
      <c r="V31" s="9">
        <f>IF($R31="","",IF($R31="BUY",$E31+$N31*'操作パネル_MS2'!$H$7,$E31-$N31*'操作パネル_MS2'!$H$7))</f>
      </c>
      <c r="W31" s="9">
        <f>IF($R31="","",IF($R31="BUY",$E31+$N31*'操作パネル_MS2'!$H$8,$E31-$N31*'操作パネル_MS2'!$H$8))</f>
      </c>
      <c r="X31" s="5">
        <f>IF(OR(N($E31)&lt;=0,N($N31)&lt;=0,N($L31)&lt;=0),"",IF(AND($E31&gt;$L31,ABS($E31-$L31)&lt;$N31*0.5),"2ND","1ST"))</f>
      </c>
      <c r="Y31" s="5">
        <f>IF(OR(N($E31)&lt;=0,N($N31)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1" s="5">
        <f>IF(OR(N($E31)&lt;=0,N($N31)&lt;=0),"",IF($N31&gt;$E31*'操作パネル_MS2'!$H$4,"VOL-HIGH","VOL-NORMAL"))</f>
      </c>
      <c r="AA31" s="5">
        <f>IF(OR(N($E31)&lt;=0,N($N31)&lt;=0),"",IF(AND($O31="VOL-OK",$Z31="VOL-NORMAL"),"OK","NG"))</f>
      </c>
      <c r="AB31" s="5">
        <f>IF(OR(N($E31)&lt;=0,N($N31)&lt;=0,N($J31)&lt;=0,N($K31)&lt;=0),"",IF(AND($F31&gt;$J31,$G31&gt;$K31),"UP",IF(AND($F31&lt;$J31,$G31&lt;$K31),"DOWN","FLAT")))</f>
      </c>
      <c r="AC31" s="30">
        <f>IF($C31="","",_xll.RssMarket($C31&amp;"","売買代金"))</f>
      </c>
      <c r="AD31" s="31">
        <f>IFERROR(INDEX(ATRHIST_MS2!$H$2:$H$400,MATCH($C31,ATRHIST_MS2!$A$2:$A$400,0)),0)</f>
      </c>
    </row>
    <row r="32" spans="1:30" ht="25.95" customHeight="1">
      <c r="A32" s="10">
        <f>IF(C32="","",ROW()-2)</f>
      </c>
      <c r="B32" s="11">
        <f>IF(StockList_MS2!A31="","",HYPERLINK("https://kabutan.jp/stock/?code="&amp;StockList_MS2!A31,"株探"))</f>
      </c>
      <c r="C32" s="10">
        <f>IF(StockList_MS2!A31="","",StockList_MS2!A31)</f>
      </c>
      <c r="D32" s="12">
        <f>IF(StockList_MS2!A31="","",StockList_MS2!B31)</f>
      </c>
      <c r="E32" s="13">
        <f>_xll.RssMarket("8001","現在値")</f>
      </c>
      <c r="F32" s="13">
        <f>_xll.RssMarket("8001","高値")</f>
      </c>
      <c r="G32" s="13">
        <f>_xll.RssMarket("8001","安値")</f>
      </c>
      <c r="H32" s="13">
        <f>_xll.RssMarket("8001","終値")</f>
      </c>
      <c r="I32" s="20">
        <f>_xll.RssMarket("8001","出来高")</f>
      </c>
      <c r="J32" s="13">
        <v>2132.0</v>
      </c>
      <c r="K32" s="13">
        <v>2096.0</v>
      </c>
      <c r="L32" s="13">
        <f>_xll.RssMarket("8001","前日終値")</f>
      </c>
      <c r="M32" s="5">
        <f>IF(OR(N($E32)&lt;=0,N($L32)&lt;=0),"",IF($E32&gt;$L32,"BUY-DAY","SELL-DAY"))</f>
      </c>
      <c r="N32" s="9">
        <f>IF(OR(N($E32)&lt;=0,N($F32)&lt;=0,N($G32)&lt;=0),"",IF(AND($AD32&gt;0,'操作パネル_MS2'!$H$17=1),$AD32,MAX(0,$F32-$G32)/SQRT(MAX(1,'操作パネル_MS2'!$H$12))*'操作パネル_MS2'!$H$10))</f>
      </c>
      <c r="O32" s="5">
        <f>IF(OR(N($E32)&lt;=0,$AC32=""),"",IF(N($AC32)&gt;='操作パネル_MS2'!$H$3,"VOL-OK","VOL-NG"))</f>
      </c>
      <c r="P32" s="5">
        <f>IF(OR(N($E32)&lt;=0,N($J32)&lt;=0),"",IF($E32&gt;$J32,"ON","OFF"))</f>
      </c>
      <c r="Q32" s="5">
        <f>IF(OR(N($E32)&lt;=0,N($K32)&lt;=0),"",IF($E32&lt;$K32,"ON","OFF"))</f>
      </c>
      <c r="R32" s="5">
        <f>IF(OR(N($E32)&lt;=0,N($N32)&lt;=0),"",IF(AND($M32="BUY-DAY",$O32="VOL-OK",$P32="ON",$AA32="OK",$AB32&lt;&gt;"DOWN"),"BUY",IF(AND($M32="SELL-DAY",$O32="VOL-OK",$Q32="ON",$AA32="OK",$AB32&lt;&gt;"UP"),"SELL","")))</f>
      </c>
      <c r="S32" s="9">
        <f>IF($R32="","",$E32)</f>
      </c>
      <c r="T32" s="9">
        <f>IF($R32="","",IF($R32="BUY",$E32-$N32*'操作パネル_MS2'!$H$5,$E32+$N32*'操作パネル_MS2'!$H$5))</f>
      </c>
      <c r="U32" s="9">
        <f>IF($R32="","",IF($R32="BUY",$E32+$N32*'操作パネル_MS2'!$H$6,$E32-$N32*'操作パネル_MS2'!$H$6))</f>
      </c>
      <c r="V32" s="9">
        <f>IF($R32="","",IF($R32="BUY",$E32+$N32*'操作パネル_MS2'!$H$7,$E32-$N32*'操作パネル_MS2'!$H$7))</f>
      </c>
      <c r="W32" s="9">
        <f>IF($R32="","",IF($R32="BUY",$E32+$N32*'操作パネル_MS2'!$H$8,$E32-$N32*'操作パネル_MS2'!$H$8))</f>
      </c>
      <c r="X32" s="5">
        <f>IF(OR(N($E32)&lt;=0,N($N32)&lt;=0,N($L32)&lt;=0),"",IF(AND($E32&gt;$L32,ABS($E32-$L32)&lt;$N32*0.5),"2ND","1ST"))</f>
      </c>
      <c r="Y32" s="5">
        <f>IF(OR(N($E32)&lt;=0,N($N32)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2" s="5">
        <f>IF(OR(N($E32)&lt;=0,N($N32)&lt;=0),"",IF($N32&gt;$E32*'操作パネル_MS2'!$H$4,"VOL-HIGH","VOL-NORMAL"))</f>
      </c>
      <c r="AA32" s="5">
        <f>IF(OR(N($E32)&lt;=0,N($N32)&lt;=0),"",IF(AND($O32="VOL-OK",$Z32="VOL-NORMAL"),"OK","NG"))</f>
      </c>
      <c r="AB32" s="5">
        <f>IF(OR(N($E32)&lt;=0,N($N32)&lt;=0,N($J32)&lt;=0,N($K32)&lt;=0),"",IF(AND($F32&gt;$J32,$G32&gt;$K32),"UP",IF(AND($F32&lt;$J32,$G32&lt;$K32),"DOWN","FLAT")))</f>
      </c>
      <c r="AC32" s="30">
        <f>IF($C32="","",_xll.RssMarket($C32&amp;"","売買代金"))</f>
      </c>
      <c r="AD32" s="31">
        <f>IFERROR(INDEX(ATRHIST_MS2!$H$2:$H$400,MATCH($C32,ATRHIST_MS2!$A$2:$A$400,0)),0)</f>
      </c>
    </row>
    <row r="33" spans="1:30" ht="25.95" customHeight="1">
      <c r="A33" s="5">
        <f>IF(C33="","",ROW()-2)</f>
      </c>
      <c r="B33" s="6">
        <f>IF(StockList_MS2!A32="","",HYPERLINK("https://kabutan.jp/stock/?code="&amp;StockList_MS2!A32,"株探"))</f>
      </c>
      <c r="C33" s="5">
        <f>IF(StockList_MS2!A32="","",StockList_MS2!A32)</f>
      </c>
      <c r="D33" s="7">
        <f>IF(StockList_MS2!A32="","",StockList_MS2!B32)</f>
      </c>
      <c r="E33" s="8">
        <f>_xll.RssMarket("6857","現在値")</f>
      </c>
      <c r="F33" s="8">
        <f>_xll.RssMarket("6857","高値")</f>
      </c>
      <c r="G33" s="8">
        <f>_xll.RssMarket("6857","安値")</f>
      </c>
      <c r="H33" s="8">
        <f>_xll.RssMarket("6857","終値")</f>
      </c>
      <c r="I33" s="19">
        <f>_xll.RssMarket("6857","出来高")</f>
      </c>
      <c r="J33" s="8">
        <v>35600.0</v>
      </c>
      <c r="K33" s="8">
        <v>34230.0</v>
      </c>
      <c r="L33" s="8">
        <f>_xll.RssMarket("6857","前日終値")</f>
      </c>
      <c r="M33" s="5">
        <f>IF(OR(N($E33)&lt;=0,N($L33)&lt;=0),"",IF($E33&gt;$L33,"BUY-DAY","SELL-DAY"))</f>
      </c>
      <c r="N33" s="9">
        <f>IF(OR(N($E33)&lt;=0,N($F33)&lt;=0,N($G33)&lt;=0),"",IF(AND($AD33&gt;0,'操作パネル_MS2'!$H$17=1),$AD33,MAX(0,$F33-$G33)/SQRT(MAX(1,'操作パネル_MS2'!$H$12))*'操作パネル_MS2'!$H$10))</f>
      </c>
      <c r="O33" s="5">
        <f>IF(OR(N($E33)&lt;=0,$AC33=""),"",IF(N($AC33)&gt;='操作パネル_MS2'!$H$3,"VOL-OK","VOL-NG"))</f>
      </c>
      <c r="P33" s="5">
        <f>IF(OR(N($E33)&lt;=0,N($J33)&lt;=0),"",IF($E33&gt;$J33,"ON","OFF"))</f>
      </c>
      <c r="Q33" s="5">
        <f>IF(OR(N($E33)&lt;=0,N($K33)&lt;=0),"",IF($E33&lt;$K33,"ON","OFF"))</f>
      </c>
      <c r="R33" s="5">
        <f>IF(OR(N($E33)&lt;=0,N($N33)&lt;=0),"",IF(AND($M33="BUY-DAY",$O33="VOL-OK",$P33="ON",$AA33="OK",$AB33&lt;&gt;"DOWN"),"BUY",IF(AND($M33="SELL-DAY",$O33="VOL-OK",$Q33="ON",$AA33="OK",$AB33&lt;&gt;"UP"),"SELL","")))</f>
      </c>
      <c r="S33" s="9">
        <f>IF($R33="","",$E33)</f>
      </c>
      <c r="T33" s="9">
        <f>IF($R33="","",IF($R33="BUY",$E33-$N33*'操作パネル_MS2'!$H$5,$E33+$N33*'操作パネル_MS2'!$H$5))</f>
      </c>
      <c r="U33" s="9">
        <f>IF($R33="","",IF($R33="BUY",$E33+$N33*'操作パネル_MS2'!$H$6,$E33-$N33*'操作パネル_MS2'!$H$6))</f>
      </c>
      <c r="V33" s="9">
        <f>IF($R33="","",IF($R33="BUY",$E33+$N33*'操作パネル_MS2'!$H$7,$E33-$N33*'操作パネル_MS2'!$H$7))</f>
      </c>
      <c r="W33" s="9">
        <f>IF($R33="","",IF($R33="BUY",$E33+$N33*'操作パネル_MS2'!$H$8,$E33-$N33*'操作パネル_MS2'!$H$8))</f>
      </c>
      <c r="X33" s="5">
        <f>IF(OR(N($E33)&lt;=0,N($N33)&lt;=0,N($L33)&lt;=0),"",IF(AND($E33&gt;$L33,ABS($E33-$L33)&lt;$N33*0.5),"2ND","1ST"))</f>
      </c>
      <c r="Y33" s="5">
        <f>IF(OR(N($E33)&lt;=0,N($N33)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3" s="5">
        <f>IF(OR(N($E33)&lt;=0,N($N33)&lt;=0),"",IF($N33&gt;$E33*'操作パネル_MS2'!$H$4,"VOL-HIGH","VOL-NORMAL"))</f>
      </c>
      <c r="AA33" s="5">
        <f>IF(OR(N($E33)&lt;=0,N($N33)&lt;=0),"",IF(AND($O33="VOL-OK",$Z33="VOL-NORMAL"),"OK","NG"))</f>
      </c>
      <c r="AB33" s="5">
        <f>IF(OR(N($E33)&lt;=0,N($N33)&lt;=0,N($J33)&lt;=0,N($K33)&lt;=0),"",IF(AND($F33&gt;$J33,$G33&gt;$K33),"UP",IF(AND($F33&lt;$J33,$G33&lt;$K33),"DOWN","FLAT")))</f>
      </c>
      <c r="AC33" s="30">
        <f>IF($C33="","",_xll.RssMarket($C33&amp;"","売買代金"))</f>
      </c>
      <c r="AD33" s="31">
        <f>IFERROR(INDEX(ATRHIST_MS2!$H$2:$H$400,MATCH($C33,ATRHIST_MS2!$A$2:$A$400,0)),0)</f>
      </c>
    </row>
    <row r="34" spans="1:30" ht="25.95" customHeight="1">
      <c r="A34" s="10">
        <f>IF(C34="","",ROW()-2)</f>
      </c>
      <c r="B34" s="11">
        <f>IF(StockList_MS2!A33="","",HYPERLINK("https://kabutan.jp/stock/?code="&amp;StockList_MS2!A33,"株探"))</f>
      </c>
      <c r="C34" s="10">
        <f>IF(StockList_MS2!A33="","",StockList_MS2!A33)</f>
      </c>
      <c r="D34" s="12">
        <f>IF(StockList_MS2!A33="","",StockList_MS2!B33)</f>
      </c>
      <c r="E34" s="13">
        <f>_xll.RssMarket("7974","現在値")</f>
      </c>
      <c r="F34" s="13">
        <f>_xll.RssMarket("7974","高値")</f>
      </c>
      <c r="G34" s="13">
        <f>_xll.RssMarket("7974","安値")</f>
      </c>
      <c r="H34" s="13">
        <f>_xll.RssMarket("7974","終値")</f>
      </c>
      <c r="I34" s="20">
        <f>_xll.RssMarket("7974","出来高")</f>
      </c>
      <c r="J34" s="13">
        <v>9095.0</v>
      </c>
      <c r="K34" s="13">
        <v>8767.0</v>
      </c>
      <c r="L34" s="13">
        <f>_xll.RssMarket("7974","前日終値")</f>
      </c>
      <c r="M34" s="5">
        <f>IF(OR(N($E34)&lt;=0,N($L34)&lt;=0),"",IF($E34&gt;$L34,"BUY-DAY","SELL-DAY"))</f>
      </c>
      <c r="N34" s="9">
        <f>IF(OR(N($E34)&lt;=0,N($F34)&lt;=0,N($G34)&lt;=0),"",IF(AND($AD34&gt;0,'操作パネル_MS2'!$H$17=1),$AD34,MAX(0,$F34-$G34)/SQRT(MAX(1,'操作パネル_MS2'!$H$12))*'操作パネル_MS2'!$H$10))</f>
      </c>
      <c r="O34" s="5">
        <f>IF(OR(N($E34)&lt;=0,$AC34=""),"",IF(N($AC34)&gt;='操作パネル_MS2'!$H$3,"VOL-OK","VOL-NG"))</f>
      </c>
      <c r="P34" s="5">
        <f>IF(OR(N($E34)&lt;=0,N($J34)&lt;=0),"",IF($E34&gt;$J34,"ON","OFF"))</f>
      </c>
      <c r="Q34" s="5">
        <f>IF(OR(N($E34)&lt;=0,N($K34)&lt;=0),"",IF($E34&lt;$K34,"ON","OFF"))</f>
      </c>
      <c r="R34" s="5">
        <f>IF(OR(N($E34)&lt;=0,N($N34)&lt;=0),"",IF(AND($M34="BUY-DAY",$O34="VOL-OK",$P34="ON",$AA34="OK",$AB34&lt;&gt;"DOWN"),"BUY",IF(AND($M34="SELL-DAY",$O34="VOL-OK",$Q34="ON",$AA34="OK",$AB34&lt;&gt;"UP"),"SELL","")))</f>
      </c>
      <c r="S34" s="9">
        <f>IF($R34="","",$E34)</f>
      </c>
      <c r="T34" s="9">
        <f>IF($R34="","",IF($R34="BUY",$E34-$N34*'操作パネル_MS2'!$H$5,$E34+$N34*'操作パネル_MS2'!$H$5))</f>
      </c>
      <c r="U34" s="9">
        <f>IF($R34="","",IF($R34="BUY",$E34+$N34*'操作パネル_MS2'!$H$6,$E34-$N34*'操作パネル_MS2'!$H$6))</f>
      </c>
      <c r="V34" s="9">
        <f>IF($R34="","",IF($R34="BUY",$E34+$N34*'操作パネル_MS2'!$H$7,$E34-$N34*'操作パネル_MS2'!$H$7))</f>
      </c>
      <c r="W34" s="9">
        <f>IF($R34="","",IF($R34="BUY",$E34+$N34*'操作パネル_MS2'!$H$8,$E34-$N34*'操作パネル_MS2'!$H$8))</f>
      </c>
      <c r="X34" s="5">
        <f>IF(OR(N($E34)&lt;=0,N($N34)&lt;=0,N($L34)&lt;=0),"",IF(AND($E34&gt;$L34,ABS($E34-$L34)&lt;$N34*0.5),"2ND","1ST"))</f>
      </c>
      <c r="Y34" s="5">
        <f>IF(OR(N($E34)&lt;=0,N($N34)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4" s="5">
        <f>IF(OR(N($E34)&lt;=0,N($N34)&lt;=0),"",IF($N34&gt;$E34*'操作パネル_MS2'!$H$4,"VOL-HIGH","VOL-NORMAL"))</f>
      </c>
      <c r="AA34" s="5">
        <f>IF(OR(N($E34)&lt;=0,N($N34)&lt;=0),"",IF(AND($O34="VOL-OK",$Z34="VOL-NORMAL"),"OK","NG"))</f>
      </c>
      <c r="AB34" s="5">
        <f>IF(OR(N($E34)&lt;=0,N($N34)&lt;=0,N($J34)&lt;=0,N($K34)&lt;=0),"",IF(AND($F34&gt;$J34,$G34&gt;$K34),"UP",IF(AND($F34&lt;$J34,$G34&lt;$K34),"DOWN","FLAT")))</f>
      </c>
      <c r="AC34" s="30">
        <f>IF($C34="","",_xll.RssMarket($C34&amp;"","売買代金"))</f>
      </c>
      <c r="AD34" s="31">
        <f>IFERROR(INDEX(ATRHIST_MS2!$H$2:$H$400,MATCH($C34,ATRHIST_MS2!$A$2:$A$400,0)),0)</f>
      </c>
    </row>
    <row r="35" spans="1:30" ht="25.95" customHeight="1">
      <c r="A35" s="5">
        <f>IF(C35="","",ROW()-2)</f>
      </c>
      <c r="B35" s="6">
        <f>IF(StockList_MS2!A34="","",HYPERLINK("https://kabutan.jp/stock/?code="&amp;StockList_MS2!A34,"株探"))</f>
      </c>
      <c r="C35" s="5">
        <f>IF(StockList_MS2!A34="","",StockList_MS2!A34)</f>
      </c>
      <c r="D35" s="7">
        <f>IF(StockList_MS2!A34="","",StockList_MS2!B34)</f>
      </c>
      <c r="E35" s="8">
        <f>_xll.RssMarket("8309","現在値")</f>
      </c>
      <c r="F35" s="8">
        <f>_xll.RssMarket("8309","高値")</f>
      </c>
      <c r="G35" s="8">
        <f>_xll.RssMarket("8309","安値")</f>
      </c>
      <c r="H35" s="8">
        <f>_xll.RssMarket("8309","終値")</f>
      </c>
      <c r="I35" s="19">
        <f>_xll.RssMarket("8309","出来高")</f>
      </c>
      <c r="J35" s="8">
        <v>1798.0</v>
      </c>
      <c r="K35" s="8">
        <v>1747.0</v>
      </c>
      <c r="L35" s="8">
        <f>_xll.RssMarket("8309","前日終値")</f>
      </c>
      <c r="M35" s="5">
        <f>IF(OR(N($E35)&lt;=0,N($L35)&lt;=0),"",IF($E35&gt;$L35,"BUY-DAY","SELL-DAY"))</f>
      </c>
      <c r="N35" s="9">
        <f>IF(OR(N($E35)&lt;=0,N($F35)&lt;=0,N($G35)&lt;=0),"",IF(AND($AD35&gt;0,'操作パネル_MS2'!$H$17=1),$AD35,MAX(0,$F35-$G35)/SQRT(MAX(1,'操作パネル_MS2'!$H$12))*'操作パネル_MS2'!$H$10))</f>
      </c>
      <c r="O35" s="5">
        <f>IF(OR(N($E35)&lt;=0,$AC35=""),"",IF(N($AC35)&gt;='操作パネル_MS2'!$H$3,"VOL-OK","VOL-NG"))</f>
      </c>
      <c r="P35" s="5">
        <f>IF(OR(N($E35)&lt;=0,N($J35)&lt;=0),"",IF($E35&gt;$J35,"ON","OFF"))</f>
      </c>
      <c r="Q35" s="5">
        <f>IF(OR(N($E35)&lt;=0,N($K35)&lt;=0),"",IF($E35&lt;$K35,"ON","OFF"))</f>
      </c>
      <c r="R35" s="5">
        <f>IF(OR(N($E35)&lt;=0,N($N35)&lt;=0),"",IF(AND($M35="BUY-DAY",$O35="VOL-OK",$P35="ON",$AA35="OK",$AB35&lt;&gt;"DOWN"),"BUY",IF(AND($M35="SELL-DAY",$O35="VOL-OK",$Q35="ON",$AA35="OK",$AB35&lt;&gt;"UP"),"SELL","")))</f>
      </c>
      <c r="S35" s="9">
        <f>IF($R35="","",$E35)</f>
      </c>
      <c r="T35" s="9">
        <f>IF($R35="","",IF($R35="BUY",$E35-$N35*'操作パネル_MS2'!$H$5,$E35+$N35*'操作パネル_MS2'!$H$5))</f>
      </c>
      <c r="U35" s="9">
        <f>IF($R35="","",IF($R35="BUY",$E35+$N35*'操作パネル_MS2'!$H$6,$E35-$N35*'操作パネル_MS2'!$H$6))</f>
      </c>
      <c r="V35" s="9">
        <f>IF($R35="","",IF($R35="BUY",$E35+$N35*'操作パネル_MS2'!$H$7,$E35-$N35*'操作パネル_MS2'!$H$7))</f>
      </c>
      <c r="W35" s="9">
        <f>IF($R35="","",IF($R35="BUY",$E35+$N35*'操作パネル_MS2'!$H$8,$E35-$N35*'操作パネル_MS2'!$H$8))</f>
      </c>
      <c r="X35" s="5">
        <f>IF(OR(N($E35)&lt;=0,N($N35)&lt;=0,N($L35)&lt;=0),"",IF(AND($E35&gt;$L35,ABS($E35-$L35)&lt;$N35*0.5),"2ND","1ST"))</f>
      </c>
      <c r="Y35" s="5">
        <f>IF(OR(N($E35)&lt;=0,N($N35)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5" s="5">
        <f>IF(OR(N($E35)&lt;=0,N($N35)&lt;=0),"",IF($N35&gt;$E35*'操作パネル_MS2'!$H$4,"VOL-HIGH","VOL-NORMAL"))</f>
      </c>
      <c r="AA35" s="5">
        <f>IF(OR(N($E35)&lt;=0,N($N35)&lt;=0),"",IF(AND($O35="VOL-OK",$Z35="VOL-NORMAL"),"OK","NG"))</f>
      </c>
      <c r="AB35" s="5">
        <f>IF(OR(N($E35)&lt;=0,N($N35)&lt;=0,N($J35)&lt;=0,N($K35)&lt;=0),"",IF(AND($F35&gt;$J35,$G35&gt;$K35),"UP",IF(AND($F35&lt;$J35,$G35&lt;$K35),"DOWN","FLAT")))</f>
      </c>
      <c r="AC35" s="30">
        <f>IF($C35="","",_xll.RssMarket($C35&amp;"","売買代金"))</f>
      </c>
      <c r="AD35" s="31">
        <f>IFERROR(INDEX(ATRHIST_MS2!$H$2:$H$400,MATCH($C35,ATRHIST_MS2!$A$2:$A$400,0)),0)</f>
      </c>
    </row>
    <row r="36" spans="1:30" ht="25.95" customHeight="1">
      <c r="A36" s="10">
        <f>IF(C36="","",ROW()-2)</f>
      </c>
      <c r="B36" s="11">
        <f>IF(StockList_MS2!A35="","",HYPERLINK("https://kabutan.jp/stock/?code="&amp;StockList_MS2!A35,"株探"))</f>
      </c>
      <c r="C36" s="10">
        <f>IF(StockList_MS2!A35="","",StockList_MS2!A35)</f>
      </c>
      <c r="D36" s="12">
        <f>IF(StockList_MS2!A35="","",StockList_MS2!B35)</f>
      </c>
      <c r="E36" s="13">
        <f>_xll.RssMarket("4755","現在値")</f>
      </c>
      <c r="F36" s="13">
        <f>_xll.RssMarket("4755","高値")</f>
      </c>
      <c r="G36" s="13">
        <f>_xll.RssMarket("4755","安値")</f>
      </c>
      <c r="H36" s="13">
        <f>_xll.RssMarket("4755","終値")</f>
      </c>
      <c r="I36" s="20">
        <f>_xll.RssMarket("4755","出来高")</f>
      </c>
      <c r="J36" s="22">
        <v>794.6</v>
      </c>
      <c r="K36" s="13">
        <v>775.9</v>
      </c>
      <c r="L36" s="13">
        <f>_xll.RssMarket("4755","前日終値")</f>
      </c>
      <c r="M36" s="5">
        <f>IF(OR(N($E36)&lt;=0,N($L36)&lt;=0),"",IF($E36&gt;$L36,"BUY-DAY","SELL-DAY"))</f>
      </c>
      <c r="N36" s="9">
        <f>IF(OR(N($E36)&lt;=0,N($F36)&lt;=0,N($G36)&lt;=0),"",IF(AND($AD36&gt;0,'操作パネル_MS2'!$H$17=1),$AD36,MAX(0,$F36-$G36)/SQRT(MAX(1,'操作パネル_MS2'!$H$12))*'操作パネル_MS2'!$H$10))</f>
      </c>
      <c r="O36" s="5">
        <f>IF(OR(N($E36)&lt;=0,$AC36=""),"",IF(N($AC36)&gt;='操作パネル_MS2'!$H$3,"VOL-OK","VOL-NG"))</f>
      </c>
      <c r="P36" s="5">
        <f>IF(OR(N($E36)&lt;=0,N($J36)&lt;=0),"",IF($E36&gt;$J36,"ON","OFF"))</f>
      </c>
      <c r="Q36" s="5">
        <f>IF(OR(N($E36)&lt;=0,N($K36)&lt;=0),"",IF($E36&lt;$K36,"ON","OFF"))</f>
      </c>
      <c r="R36" s="5">
        <f>IF(OR(N($E36)&lt;=0,N($N36)&lt;=0),"",IF(AND($M36="BUY-DAY",$O36="VOL-OK",$P36="ON",$AA36="OK",$AB36&lt;&gt;"DOWN"),"BUY",IF(AND($M36="SELL-DAY",$O36="VOL-OK",$Q36="ON",$AA36="OK",$AB36&lt;&gt;"UP"),"SELL","")))</f>
      </c>
      <c r="S36" s="9">
        <f>IF($R36="","",$E36)</f>
      </c>
      <c r="T36" s="9">
        <f>IF($R36="","",IF($R36="BUY",$E36-$N36*'操作パネル_MS2'!$H$5,$E36+$N36*'操作パネル_MS2'!$H$5))</f>
      </c>
      <c r="U36" s="9">
        <f>IF($R36="","",IF($R36="BUY",$E36+$N36*'操作パネル_MS2'!$H$6,$E36-$N36*'操作パネル_MS2'!$H$6))</f>
      </c>
      <c r="V36" s="9">
        <f>IF($R36="","",IF($R36="BUY",$E36+$N36*'操作パネル_MS2'!$H$7,$E36-$N36*'操作パネル_MS2'!$H$7))</f>
      </c>
      <c r="W36" s="9">
        <f>IF($R36="","",IF($R36="BUY",$E36+$N36*'操作パネル_MS2'!$H$8,$E36-$N36*'操作パネル_MS2'!$H$8))</f>
      </c>
      <c r="X36" s="5">
        <f>IF(OR(N($E36)&lt;=0,N($N36)&lt;=0,N($L36)&lt;=0),"",IF(AND($E36&gt;$L36,ABS($E36-$L36)&lt;$N36*0.5),"2ND","1ST"))</f>
      </c>
      <c r="Y36" s="5">
        <f>IF(OR(N($E36)&lt;=0,N($N36)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6" s="5">
        <f>IF(OR(N($E36)&lt;=0,N($N36)&lt;=0),"",IF($N36&gt;$E36*'操作パネル_MS2'!$H$4,"VOL-HIGH","VOL-NORMAL"))</f>
      </c>
      <c r="AA36" s="5">
        <f>IF(OR(N($E36)&lt;=0,N($N36)&lt;=0),"",IF(AND($O36="VOL-OK",$Z36="VOL-NORMAL"),"OK","NG"))</f>
      </c>
      <c r="AB36" s="5">
        <f>IF(OR(N($E36)&lt;=0,N($N36)&lt;=0,N($J36)&lt;=0,N($K36)&lt;=0),"",IF(AND($F36&gt;$J36,$G36&gt;$K36),"UP",IF(AND($F36&lt;$J36,$G36&lt;$K36),"DOWN","FLAT")))</f>
      </c>
      <c r="AC36" s="30">
        <f>IF($C36="","",_xll.RssMarket($C36&amp;"","売買代金"))</f>
      </c>
      <c r="AD36" s="31">
        <f>IFERROR(INDEX(ATRHIST_MS2!$H$2:$H$400,MATCH($C36,ATRHIST_MS2!$A$2:$A$400,0)),0)</f>
      </c>
    </row>
    <row r="37" spans="1:30" ht="25.95" customHeight="1">
      <c r="A37" s="5">
        <f>IF(C37="","",ROW()-2)</f>
      </c>
      <c r="B37" s="6">
        <f>IF(StockList_MS2!A36="","",HYPERLINK("https://kabutan.jp/stock/?code="&amp;StockList_MS2!A36,"株探"))</f>
      </c>
      <c r="C37" s="5">
        <f>IF(StockList_MS2!A36="","",StockList_MS2!A36)</f>
      </c>
      <c r="D37" s="7">
        <f>IF(StockList_MS2!A36="","",StockList_MS2!B36)</f>
      </c>
      <c r="E37" s="8">
        <f>_xll.RssMarket("6702","現在値")</f>
      </c>
      <c r="F37" s="8">
        <f>_xll.RssMarket("6702","高値")</f>
      </c>
      <c r="G37" s="8">
        <f>_xll.RssMarket("6702","安値")</f>
      </c>
      <c r="H37" s="8">
        <f>_xll.RssMarket("6702","終値")</f>
      </c>
      <c r="I37" s="19">
        <f>_xll.RssMarket("6702","出来高")</f>
      </c>
      <c r="J37" s="8">
        <v>3953.0</v>
      </c>
      <c r="K37" s="8">
        <v>3844.0</v>
      </c>
      <c r="L37" s="8">
        <f>_xll.RssMarket("6702","前日終値")</f>
      </c>
      <c r="M37" s="5">
        <f>IF(OR(N($E37)&lt;=0,N($L37)&lt;=0),"",IF($E37&gt;$L37,"BUY-DAY","SELL-DAY"))</f>
      </c>
      <c r="N37" s="9">
        <f>IF(OR(N($E37)&lt;=0,N($F37)&lt;=0,N($G37)&lt;=0),"",IF(AND($AD37&gt;0,'操作パネル_MS2'!$H$17=1),$AD37,MAX(0,$F37-$G37)/SQRT(MAX(1,'操作パネル_MS2'!$H$12))*'操作パネル_MS2'!$H$10))</f>
      </c>
      <c r="O37" s="5">
        <f>IF(OR(N($E37)&lt;=0,$AC37=""),"",IF(N($AC37)&gt;='操作パネル_MS2'!$H$3,"VOL-OK","VOL-NG"))</f>
      </c>
      <c r="P37" s="5">
        <f>IF(OR(N($E37)&lt;=0,N($J37)&lt;=0),"",IF($E37&gt;$J37,"ON","OFF"))</f>
      </c>
      <c r="Q37" s="5">
        <f>IF(OR(N($E37)&lt;=0,N($K37)&lt;=0),"",IF($E37&lt;$K37,"ON","OFF"))</f>
      </c>
      <c r="R37" s="5">
        <f>IF(OR(N($E37)&lt;=0,N($N37)&lt;=0),"",IF(AND($M37="BUY-DAY",$O37="VOL-OK",$P37="ON",$AA37="OK",$AB37&lt;&gt;"DOWN"),"BUY",IF(AND($M37="SELL-DAY",$O37="VOL-OK",$Q37="ON",$AA37="OK",$AB37&lt;&gt;"UP"),"SELL","")))</f>
      </c>
      <c r="S37" s="9">
        <f>IF($R37="","",$E37)</f>
      </c>
      <c r="T37" s="9">
        <f>IF($R37="","",IF($R37="BUY",$E37-$N37*'操作パネル_MS2'!$H$5,$E37+$N37*'操作パネル_MS2'!$H$5))</f>
      </c>
      <c r="U37" s="9">
        <f>IF($R37="","",IF($R37="BUY",$E37+$N37*'操作パネル_MS2'!$H$6,$E37-$N37*'操作パネル_MS2'!$H$6))</f>
      </c>
      <c r="V37" s="9">
        <f>IF($R37="","",IF($R37="BUY",$E37+$N37*'操作パネル_MS2'!$H$7,$E37-$N37*'操作パネル_MS2'!$H$7))</f>
      </c>
      <c r="W37" s="9">
        <f>IF($R37="","",IF($R37="BUY",$E37+$N37*'操作パネル_MS2'!$H$8,$E37-$N37*'操作パネル_MS2'!$H$8))</f>
      </c>
      <c r="X37" s="5">
        <f>IF(OR(N($E37)&lt;=0,N($N37)&lt;=0,N($L37)&lt;=0),"",IF(AND($E37&gt;$L37,ABS($E37-$L37)&lt;$N37*0.5),"2ND","1ST"))</f>
      </c>
      <c r="Y37" s="5">
        <f>IF(OR(N($E37)&lt;=0,N($N37)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7" s="5">
        <f>IF(OR(N($E37)&lt;=0,N($N37)&lt;=0),"",IF($N37&gt;$E37*'操作パネル_MS2'!$H$4,"VOL-HIGH","VOL-NORMAL"))</f>
      </c>
      <c r="AA37" s="5">
        <f>IF(OR(N($E37)&lt;=0,N($N37)&lt;=0),"",IF(AND($O37="VOL-OK",$Z37="VOL-NORMAL"),"OK","NG"))</f>
      </c>
      <c r="AB37" s="5">
        <f>IF(OR(N($E37)&lt;=0,N($N37)&lt;=0,N($J37)&lt;=0,N($K37)&lt;=0),"",IF(AND($F37&gt;$J37,$G37&gt;$K37),"UP",IF(AND($F37&lt;$J37,$G37&lt;$K37),"DOWN","FLAT")))</f>
      </c>
      <c r="AC37" s="30">
        <f>IF($C37="","",_xll.RssMarket($C37&amp;"","売買代金"))</f>
      </c>
      <c r="AD37" s="31">
        <f>IFERROR(INDEX(ATRHIST_MS2!$H$2:$H$400,MATCH($C37,ATRHIST_MS2!$A$2:$A$400,0)),0)</f>
      </c>
    </row>
    <row r="38" spans="1:30" ht="25.95" customHeight="1">
      <c r="A38" s="10">
        <f>IF(C38="","",ROW()-2)</f>
      </c>
      <c r="B38" s="11">
        <f>IF(StockList_MS2!A37="","",HYPERLINK("https://kabutan.jp/stock/?code="&amp;StockList_MS2!A37,"株探"))</f>
      </c>
      <c r="C38" s="10">
        <f>IF(StockList_MS2!A37="","",StockList_MS2!A37)</f>
      </c>
      <c r="D38" s="12">
        <f>IF(StockList_MS2!A37="","",StockList_MS2!B37)</f>
      </c>
      <c r="E38" s="13">
        <f>_xll.RssMarket("8316","現在値")</f>
      </c>
      <c r="F38" s="13">
        <f>_xll.RssMarket("8316","高値")</f>
      </c>
      <c r="G38" s="13">
        <f>_xll.RssMarket("8316","安値")</f>
      </c>
      <c r="H38" s="13">
        <f>_xll.RssMarket("8316","終値")</f>
      </c>
      <c r="I38" s="20">
        <f>_xll.RssMarket("8316","出来高")</f>
      </c>
      <c r="J38" s="13">
        <v>6937.0</v>
      </c>
      <c r="K38" s="13">
        <v>6770.0</v>
      </c>
      <c r="L38" s="13">
        <f>_xll.RssMarket("8316","前日終値")</f>
      </c>
      <c r="M38" s="5">
        <f>IF(OR(N($E38)&lt;=0,N($L38)&lt;=0),"",IF($E38&gt;$L38,"BUY-DAY","SELL-DAY"))</f>
      </c>
      <c r="N38" s="9">
        <f>IF(OR(N($E38)&lt;=0,N($F38)&lt;=0,N($G38)&lt;=0),"",IF(AND($AD38&gt;0,'操作パネル_MS2'!$H$17=1),$AD38,MAX(0,$F38-$G38)/SQRT(MAX(1,'操作パネル_MS2'!$H$12))*'操作パネル_MS2'!$H$10))</f>
      </c>
      <c r="O38" s="5">
        <f>IF(OR(N($E38)&lt;=0,$AC38=""),"",IF(N($AC38)&gt;='操作パネル_MS2'!$H$3,"VOL-OK","VOL-NG"))</f>
      </c>
      <c r="P38" s="5">
        <f>IF(OR(N($E38)&lt;=0,N($J38)&lt;=0),"",IF($E38&gt;$J38,"ON","OFF"))</f>
      </c>
      <c r="Q38" s="5">
        <f>IF(OR(N($E38)&lt;=0,N($K38)&lt;=0),"",IF($E38&lt;$K38,"ON","OFF"))</f>
      </c>
      <c r="R38" s="5">
        <f>IF(OR(N($E38)&lt;=0,N($N38)&lt;=0),"",IF(AND($M38="BUY-DAY",$O38="VOL-OK",$P38="ON",$AA38="OK",$AB38&lt;&gt;"DOWN"),"BUY",IF(AND($M38="SELL-DAY",$O38="VOL-OK",$Q38="ON",$AA38="OK",$AB38&lt;&gt;"UP"),"SELL","")))</f>
      </c>
      <c r="S38" s="9">
        <f>IF($R38="","",$E38)</f>
      </c>
      <c r="T38" s="9">
        <f>IF($R38="","",IF($R38="BUY",$E38-$N38*'操作パネル_MS2'!$H$5,$E38+$N38*'操作パネル_MS2'!$H$5))</f>
      </c>
      <c r="U38" s="9">
        <f>IF($R38="","",IF($R38="BUY",$E38+$N38*'操作パネル_MS2'!$H$6,$E38-$N38*'操作パネル_MS2'!$H$6))</f>
      </c>
      <c r="V38" s="9">
        <f>IF($R38="","",IF($R38="BUY",$E38+$N38*'操作パネル_MS2'!$H$7,$E38-$N38*'操作パネル_MS2'!$H$7))</f>
      </c>
      <c r="W38" s="9">
        <f>IF($R38="","",IF($R38="BUY",$E38+$N38*'操作パネル_MS2'!$H$8,$E38-$N38*'操作パネル_MS2'!$H$8))</f>
      </c>
      <c r="X38" s="5">
        <f>IF(OR(N($E38)&lt;=0,N($N38)&lt;=0,N($L38)&lt;=0),"",IF(AND($E38&gt;$L38,ABS($E38-$L38)&lt;$N38*0.5),"2ND","1ST"))</f>
      </c>
      <c r="Y38" s="5">
        <f>IF(OR(N($E38)&lt;=0,N($N38)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8" s="5">
        <f>IF(OR(N($E38)&lt;=0,N($N38)&lt;=0),"",IF($N38&gt;$E38*'操作パネル_MS2'!$H$4,"VOL-HIGH","VOL-NORMAL"))</f>
      </c>
      <c r="AA38" s="5">
        <f>IF(OR(N($E38)&lt;=0,N($N38)&lt;=0),"",IF(AND($O38="VOL-OK",$Z38="VOL-NORMAL"),"OK","NG"))</f>
      </c>
      <c r="AB38" s="5">
        <f>IF(OR(N($E38)&lt;=0,N($N38)&lt;=0,N($J38)&lt;=0,N($K38)&lt;=0),"",IF(AND($F38&gt;$J38,$G38&gt;$K38),"UP",IF(AND($F38&lt;$J38,$G38&lt;$K38),"DOWN","FLAT")))</f>
      </c>
      <c r="AC38" s="30">
        <f>IF($C38="","",_xll.RssMarket($C38&amp;"","売買代金"))</f>
      </c>
      <c r="AD38" s="31">
        <f>IFERROR(INDEX(ATRHIST_MS2!$H$2:$H$400,MATCH($C38,ATRHIST_MS2!$A$2:$A$400,0)),0)</f>
      </c>
    </row>
    <row r="39" spans="1:30" ht="25.95" customHeight="1">
      <c r="A39" s="5">
        <f>IF(C39="","",ROW()-2)</f>
      </c>
      <c r="B39" s="6">
        <f>IF(StockList_MS2!A38="","",HYPERLINK("https://kabutan.jp/stock/?code="&amp;StockList_MS2!A38,"株探"))</f>
      </c>
      <c r="C39" s="5">
        <f>IF(StockList_MS2!A38="","",StockList_MS2!A38)</f>
      </c>
      <c r="D39" s="7">
        <f>IF(StockList_MS2!A38="","",StockList_MS2!B38)</f>
      </c>
      <c r="E39" s="8">
        <f>_xll.RssMarket("6526","現在値")</f>
      </c>
      <c r="F39" s="8">
        <f>_xll.RssMarket("6526","高値")</f>
      </c>
      <c r="G39" s="8">
        <f>_xll.RssMarket("6526","安値")</f>
      </c>
      <c r="H39" s="8">
        <f>_xll.RssMarket("6526","終値")</f>
      </c>
      <c r="I39" s="19">
        <f>_xll.RssMarket("6526","出来高")</f>
      </c>
      <c r="J39" s="8">
        <v>2098.0</v>
      </c>
      <c r="K39" s="8">
        <v>1991.5</v>
      </c>
      <c r="L39" s="8">
        <f>_xll.RssMarket("6526","前日終値")</f>
      </c>
      <c r="M39" s="5">
        <f>IF(OR(N($E39)&lt;=0,N($L39)&lt;=0),"",IF($E39&gt;$L39,"BUY-DAY","SELL-DAY"))</f>
      </c>
      <c r="N39" s="9">
        <f>IF(OR(N($E39)&lt;=0,N($F39)&lt;=0,N($G39)&lt;=0),"",IF(AND($AD39&gt;0,'操作パネル_MS2'!$H$17=1),$AD39,MAX(0,$F39-$G39)/SQRT(MAX(1,'操作パネル_MS2'!$H$12))*'操作パネル_MS2'!$H$10))</f>
      </c>
      <c r="O39" s="5">
        <f>IF(OR(N($E39)&lt;=0,$AC39=""),"",IF(N($AC39)&gt;='操作パネル_MS2'!$H$3,"VOL-OK","VOL-NG"))</f>
      </c>
      <c r="P39" s="5">
        <f>IF(OR(N($E39)&lt;=0,N($J39)&lt;=0),"",IF($E39&gt;$J39,"ON","OFF"))</f>
      </c>
      <c r="Q39" s="5">
        <f>IF(OR(N($E39)&lt;=0,N($K39)&lt;=0),"",IF($E39&lt;$K39,"ON","OFF"))</f>
      </c>
      <c r="R39" s="5">
        <f>IF(OR(N($E39)&lt;=0,N($N39)&lt;=0),"",IF(AND($M39="BUY-DAY",$O39="VOL-OK",$P39="ON",$AA39="OK",$AB39&lt;&gt;"DOWN"),"BUY",IF(AND($M39="SELL-DAY",$O39="VOL-OK",$Q39="ON",$AA39="OK",$AB39&lt;&gt;"UP"),"SELL","")))</f>
      </c>
      <c r="S39" s="9">
        <f>IF($R39="","",$E39)</f>
      </c>
      <c r="T39" s="9">
        <f>IF($R39="","",IF($R39="BUY",$E39-$N39*'操作パネル_MS2'!$H$5,$E39+$N39*'操作パネル_MS2'!$H$5))</f>
      </c>
      <c r="U39" s="9">
        <f>IF($R39="","",IF($R39="BUY",$E39+$N39*'操作パネル_MS2'!$H$6,$E39-$N39*'操作パネル_MS2'!$H$6))</f>
      </c>
      <c r="V39" s="9">
        <f>IF($R39="","",IF($R39="BUY",$E39+$N39*'操作パネル_MS2'!$H$7,$E39-$N39*'操作パネル_MS2'!$H$7))</f>
      </c>
      <c r="W39" s="9">
        <f>IF($R39="","",IF($R39="BUY",$E39+$N39*'操作パネル_MS2'!$H$8,$E39-$N39*'操作パネル_MS2'!$H$8))</f>
      </c>
      <c r="X39" s="5">
        <f>IF(OR(N($E39)&lt;=0,N($N39)&lt;=0,N($L39)&lt;=0),"",IF(AND($E39&gt;$L39,ABS($E39-$L39)&lt;$N39*0.5),"2ND","1ST"))</f>
      </c>
      <c r="Y39" s="5">
        <f>IF(OR(N($E39)&lt;=0,N($N39)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39" s="5">
        <f>IF(OR(N($E39)&lt;=0,N($N39)&lt;=0),"",IF($N39&gt;$E39*'操作パネル_MS2'!$H$4,"VOL-HIGH","VOL-NORMAL"))</f>
      </c>
      <c r="AA39" s="5">
        <f>IF(OR(N($E39)&lt;=0,N($N39)&lt;=0),"",IF(AND($O39="VOL-OK",$Z39="VOL-NORMAL"),"OK","NG"))</f>
      </c>
      <c r="AB39" s="5">
        <f>IF(OR(N($E39)&lt;=0,N($N39)&lt;=0,N($J39)&lt;=0,N($K39)&lt;=0),"",IF(AND($F39&gt;$J39,$G39&gt;$K39),"UP",IF(AND($F39&lt;$J39,$G39&lt;$K39),"DOWN","FLAT")))</f>
      </c>
      <c r="AC39" s="30">
        <f>IF($C39="","",_xll.RssMarket($C39&amp;"","売買代金"))</f>
      </c>
      <c r="AD39" s="31">
        <f>IFERROR(INDEX(ATRHIST_MS2!$H$2:$H$400,MATCH($C39,ATRHIST_MS2!$A$2:$A$400,0)),0)</f>
      </c>
    </row>
    <row r="40" spans="1:30" ht="25.95" customHeight="1">
      <c r="A40" s="10">
        <f>IF(C40="","",ROW()-2)</f>
      </c>
      <c r="B40" s="11">
        <f>IF(StockList_MS2!A39="","",HYPERLINK("https://kabutan.jp/stock/?code="&amp;StockList_MS2!A39,"株探"))</f>
      </c>
      <c r="C40" s="10">
        <f>IF(StockList_MS2!A39="","",StockList_MS2!A39)</f>
      </c>
      <c r="D40" s="12">
        <f>IF(StockList_MS2!A39="","",StockList_MS2!B39)</f>
      </c>
      <c r="E40" s="13">
        <f>_xll.RssMarket("7013","現在値")</f>
      </c>
      <c r="F40" s="13">
        <f>_xll.RssMarket("7013","高値")</f>
      </c>
      <c r="G40" s="13">
        <f>_xll.RssMarket("7013","安値")</f>
      </c>
      <c r="H40" s="13">
        <f>_xll.RssMarket("7013","終値")</f>
      </c>
      <c r="I40" s="20">
        <f>_xll.RssMarket("7013","出来高")</f>
      </c>
      <c r="J40" s="13">
        <v>2806.0</v>
      </c>
      <c r="K40" s="13">
        <v>2704.5</v>
      </c>
      <c r="L40" s="13">
        <f>_xll.RssMarket("7013","前日終値")</f>
      </c>
      <c r="M40" s="5">
        <f>IF(OR(N($E40)&lt;=0,N($L40)&lt;=0),"",IF($E40&gt;$L40,"BUY-DAY","SELL-DAY"))</f>
      </c>
      <c r="N40" s="9">
        <f>IF(OR(N($E40)&lt;=0,N($F40)&lt;=0,N($G40)&lt;=0),"",IF(AND($AD40&gt;0,'操作パネル_MS2'!$H$17=1),$AD40,MAX(0,$F40-$G40)/SQRT(MAX(1,'操作パネル_MS2'!$H$12))*'操作パネル_MS2'!$H$10))</f>
      </c>
      <c r="O40" s="5">
        <f>IF(OR(N($E40)&lt;=0,$AC40=""),"",IF(N($AC40)&gt;='操作パネル_MS2'!$H$3,"VOL-OK","VOL-NG"))</f>
      </c>
      <c r="P40" s="5">
        <f>IF(OR(N($E40)&lt;=0,N($J40)&lt;=0),"",IF($E40&gt;$J40,"ON","OFF"))</f>
      </c>
      <c r="Q40" s="5">
        <f>IF(OR(N($E40)&lt;=0,N($K40)&lt;=0),"",IF($E40&lt;$K40,"ON","OFF"))</f>
      </c>
      <c r="R40" s="5">
        <f>IF(OR(N($E40)&lt;=0,N($N40)&lt;=0),"",IF(AND($M40="BUY-DAY",$O40="VOL-OK",$P40="ON",$AA40="OK",$AB40&lt;&gt;"DOWN"),"BUY",IF(AND($M40="SELL-DAY",$O40="VOL-OK",$Q40="ON",$AA40="OK",$AB40&lt;&gt;"UP"),"SELL","")))</f>
      </c>
      <c r="S40" s="9">
        <f>IF($R40="","",$E40)</f>
      </c>
      <c r="T40" s="9">
        <f>IF($R40="","",IF($R40="BUY",$E40-$N40*'操作パネル_MS2'!$H$5,$E40+$N40*'操作パネル_MS2'!$H$5))</f>
      </c>
      <c r="U40" s="9">
        <f>IF($R40="","",IF($R40="BUY",$E40+$N40*'操作パネル_MS2'!$H$6,$E40-$N40*'操作パネル_MS2'!$H$6))</f>
      </c>
      <c r="V40" s="9">
        <f>IF($R40="","",IF($R40="BUY",$E40+$N40*'操作パネル_MS2'!$H$7,$E40-$N40*'操作パネル_MS2'!$H$7))</f>
      </c>
      <c r="W40" s="9">
        <f>IF($R40="","",IF($R40="BUY",$E40+$N40*'操作パネル_MS2'!$H$8,$E40-$N40*'操作パネル_MS2'!$H$8))</f>
      </c>
      <c r="X40" s="5">
        <f>IF(OR(N($E40)&lt;=0,N($N40)&lt;=0,N($L40)&lt;=0),"",IF(AND($E40&gt;$L40,ABS($E40-$L40)&lt;$N40*0.5),"2ND","1ST"))</f>
      </c>
      <c r="Y40" s="5">
        <f>IF(OR(N($E40)&lt;=0,N($N40)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0" s="5">
        <f>IF(OR(N($E40)&lt;=0,N($N40)&lt;=0),"",IF($N40&gt;$E40*'操作パネル_MS2'!$H$4,"VOL-HIGH","VOL-NORMAL"))</f>
      </c>
      <c r="AA40" s="5">
        <f>IF(OR(N($E40)&lt;=0,N($N40)&lt;=0),"",IF(AND($O40="VOL-OK",$Z40="VOL-NORMAL"),"OK","NG"))</f>
      </c>
      <c r="AB40" s="5">
        <f>IF(OR(N($E40)&lt;=0,N($N40)&lt;=0,N($J40)&lt;=0,N($K40)&lt;=0),"",IF(AND($F40&gt;$J40,$G40&gt;$K40),"UP",IF(AND($F40&lt;$J40,$G40&lt;$K40),"DOWN","FLAT")))</f>
      </c>
      <c r="AC40" s="30">
        <f>IF($C40="","",_xll.RssMarket($C40&amp;"","売買代金"))</f>
      </c>
      <c r="AD40" s="31">
        <f>IFERROR(INDEX(ATRHIST_MS2!$H$2:$H$400,MATCH($C40,ATRHIST_MS2!$A$2:$A$400,0)),0)</f>
      </c>
    </row>
    <row r="41" spans="1:30" ht="25.95" customHeight="1">
      <c r="A41" s="5">
        <f>IF(C41="","",ROW()-2)</f>
      </c>
      <c r="B41" s="6">
        <f>IF(StockList_MS2!A40="","",HYPERLINK("https://kabutan.jp/stock/?code="&amp;StockList_MS2!A40,"株探"))</f>
      </c>
      <c r="C41" s="5">
        <f>IF(StockList_MS2!A40="","",StockList_MS2!A40)</f>
      </c>
      <c r="D41" s="7">
        <f>IF(StockList_MS2!A40="","",StockList_MS2!B40)</f>
      </c>
      <c r="E41" s="8">
        <f>_xll.RssMarket("4005","現在値")</f>
      </c>
      <c r="F41" s="8">
        <f>_xll.RssMarket("4005","高値")</f>
      </c>
      <c r="G41" s="8">
        <f>_xll.RssMarket("4005","安値")</f>
      </c>
      <c r="H41" s="8">
        <f>_xll.RssMarket("4005","終値")</f>
      </c>
      <c r="I41" s="19">
        <f>_xll.RssMarket("4005","出来高")</f>
      </c>
      <c r="J41" s="8">
        <v>563.7</v>
      </c>
      <c r="K41" s="8">
        <v>553.9</v>
      </c>
      <c r="L41" s="8">
        <f>_xll.RssMarket("4005","前日終値")</f>
      </c>
      <c r="M41" s="5">
        <f>IF(OR(N($E41)&lt;=0,N($L41)&lt;=0),"",IF($E41&gt;$L41,"BUY-DAY","SELL-DAY"))</f>
      </c>
      <c r="N41" s="9">
        <f>IF(OR(N($E41)&lt;=0,N($F41)&lt;=0,N($G41)&lt;=0),"",IF(AND($AD41&gt;0,'操作パネル_MS2'!$H$17=1),$AD41,MAX(0,$F41-$G41)/SQRT(MAX(1,'操作パネル_MS2'!$H$12))*'操作パネル_MS2'!$H$10))</f>
      </c>
      <c r="O41" s="5">
        <f>IF(OR(N($E41)&lt;=0,$AC41=""),"",IF(N($AC41)&gt;='操作パネル_MS2'!$H$3,"VOL-OK","VOL-NG"))</f>
      </c>
      <c r="P41" s="5">
        <f>IF(OR(N($E41)&lt;=0,N($J41)&lt;=0),"",IF($E41&gt;$J41,"ON","OFF"))</f>
      </c>
      <c r="Q41" s="5">
        <f>IF(OR(N($E41)&lt;=0,N($K41)&lt;=0),"",IF($E41&lt;$K41,"ON","OFF"))</f>
      </c>
      <c r="R41" s="5">
        <f>IF(OR(N($E41)&lt;=0,N($N41)&lt;=0),"",IF(AND($M41="BUY-DAY",$O41="VOL-OK",$P41="ON",$AA41="OK",$AB41&lt;&gt;"DOWN"),"BUY",IF(AND($M41="SELL-DAY",$O41="VOL-OK",$Q41="ON",$AA41="OK",$AB41&lt;&gt;"UP"),"SELL","")))</f>
      </c>
      <c r="S41" s="9">
        <f>IF($R41="","",$E41)</f>
      </c>
      <c r="T41" s="9">
        <f>IF($R41="","",IF($R41="BUY",$E41-$N41*'操作パネル_MS2'!$H$5,$E41+$N41*'操作パネル_MS2'!$H$5))</f>
      </c>
      <c r="U41" s="9">
        <f>IF($R41="","",IF($R41="BUY",$E41+$N41*'操作パネル_MS2'!$H$6,$E41-$N41*'操作パネル_MS2'!$H$6))</f>
      </c>
      <c r="V41" s="9">
        <f>IF($R41="","",IF($R41="BUY",$E41+$N41*'操作パネル_MS2'!$H$7,$E41-$N41*'操作パネル_MS2'!$H$7))</f>
      </c>
      <c r="W41" s="9">
        <f>IF($R41="","",IF($R41="BUY",$E41+$N41*'操作パネル_MS2'!$H$8,$E41-$N41*'操作パネル_MS2'!$H$8))</f>
      </c>
      <c r="X41" s="5">
        <f>IF(OR(N($E41)&lt;=0,N($N41)&lt;=0,N($L41)&lt;=0),"",IF(AND($E41&gt;$L41,ABS($E41-$L41)&lt;$N41*0.5),"2ND","1ST"))</f>
      </c>
      <c r="Y41" s="5">
        <f>IF(OR(N($E41)&lt;=0,N($N41)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1" s="5">
        <f>IF(OR(N($E41)&lt;=0,N($N41)&lt;=0),"",IF($N41&gt;$E41*'操作パネル_MS2'!$H$4,"VOL-HIGH","VOL-NORMAL"))</f>
      </c>
      <c r="AA41" s="5">
        <f>IF(OR(N($E41)&lt;=0,N($N41)&lt;=0),"",IF(AND($O41="VOL-OK",$Z41="VOL-NORMAL"),"OK","NG"))</f>
      </c>
      <c r="AB41" s="5">
        <f>IF(OR(N($E41)&lt;=0,N($N41)&lt;=0,N($J41)&lt;=0,N($K41)&lt;=0),"",IF(AND($F41&gt;$J41,$G41&gt;$K41),"UP",IF(AND($F41&lt;$J41,$G41&lt;$K41),"DOWN","FLAT")))</f>
      </c>
      <c r="AC41" s="30">
        <f>IF($C41="","",_xll.RssMarket($C41&amp;"","売買代金"))</f>
      </c>
      <c r="AD41" s="31">
        <f>IFERROR(INDEX(ATRHIST_MS2!$H$2:$H$400,MATCH($C41,ATRHIST_MS2!$A$2:$A$400,0)),0)</f>
      </c>
    </row>
    <row r="42" spans="1:30" ht="25.95" customHeight="1">
      <c r="A42" s="10">
        <f>IF(C42="","",ROW()-2)</f>
      </c>
      <c r="B42" s="11">
        <f>IF(StockList_MS2!A41="","",HYPERLINK("https://kabutan.jp/stock/?code="&amp;StockList_MS2!A41,"株探"))</f>
      </c>
      <c r="C42" s="10">
        <f>IF(StockList_MS2!A41="","",StockList_MS2!A41)</f>
      </c>
      <c r="D42" s="12">
        <f>IF(StockList_MS2!A41="","",StockList_MS2!B41)</f>
      </c>
      <c r="E42" s="13">
        <f>_xll.RssMarket("4188","現在値")</f>
      </c>
      <c r="F42" s="13">
        <f>_xll.RssMarket("4188","高値")</f>
      </c>
      <c r="G42" s="13">
        <f>_xll.RssMarket("4188","安値")</f>
      </c>
      <c r="H42" s="13">
        <f>_xll.RssMarket("4188","終値")</f>
      </c>
      <c r="I42" s="20">
        <f>_xll.RssMarket("4188","出来高")</f>
      </c>
      <c r="J42" s="13">
        <v>1188.5</v>
      </c>
      <c r="K42" s="13">
        <v>1169.5</v>
      </c>
      <c r="L42" s="13">
        <f>_xll.RssMarket("4188","前日終値")</f>
      </c>
      <c r="M42" s="5">
        <f>IF(OR(N($E42)&lt;=0,N($L42)&lt;=0),"",IF($E42&gt;$L42,"BUY-DAY","SELL-DAY"))</f>
      </c>
      <c r="N42" s="9">
        <f>IF(OR(N($E42)&lt;=0,N($F42)&lt;=0,N($G42)&lt;=0),"",IF(AND($AD42&gt;0,'操作パネル_MS2'!$H$17=1),$AD42,MAX(0,$F42-$G42)/SQRT(MAX(1,'操作パネル_MS2'!$H$12))*'操作パネル_MS2'!$H$10))</f>
      </c>
      <c r="O42" s="5">
        <f>IF(OR(N($E42)&lt;=0,$AC42=""),"",IF(N($AC42)&gt;='操作パネル_MS2'!$H$3,"VOL-OK","VOL-NG"))</f>
      </c>
      <c r="P42" s="5">
        <f>IF(OR(N($E42)&lt;=0,N($J42)&lt;=0),"",IF($E42&gt;$J42,"ON","OFF"))</f>
      </c>
      <c r="Q42" s="5">
        <f>IF(OR(N($E42)&lt;=0,N($K42)&lt;=0),"",IF($E42&lt;$K42,"ON","OFF"))</f>
      </c>
      <c r="R42" s="5">
        <f>IF(OR(N($E42)&lt;=0,N($N42)&lt;=0),"",IF(AND($M42="BUY-DAY",$O42="VOL-OK",$P42="ON",$AA42="OK",$AB42&lt;&gt;"DOWN"),"BUY",IF(AND($M42="SELL-DAY",$O42="VOL-OK",$Q42="ON",$AA42="OK",$AB42&lt;&gt;"UP"),"SELL","")))</f>
      </c>
      <c r="S42" s="9">
        <f>IF($R42="","",$E42)</f>
      </c>
      <c r="T42" s="9">
        <f>IF($R42="","",IF($R42="BUY",$E42-$N42*'操作パネル_MS2'!$H$5,$E42+$N42*'操作パネル_MS2'!$H$5))</f>
      </c>
      <c r="U42" s="9">
        <f>IF($R42="","",IF($R42="BUY",$E42+$N42*'操作パネル_MS2'!$H$6,$E42-$N42*'操作パネル_MS2'!$H$6))</f>
      </c>
      <c r="V42" s="9">
        <f>IF($R42="","",IF($R42="BUY",$E42+$N42*'操作パネル_MS2'!$H$7,$E42-$N42*'操作パネル_MS2'!$H$7))</f>
      </c>
      <c r="W42" s="9">
        <f>IF($R42="","",IF($R42="BUY",$E42+$N42*'操作パネル_MS2'!$H$8,$E42-$N42*'操作パネル_MS2'!$H$8))</f>
      </c>
      <c r="X42" s="5">
        <f>IF(OR(N($E42)&lt;=0,N($N42)&lt;=0,N($L42)&lt;=0),"",IF(AND($E42&gt;$L42,ABS($E42-$L42)&lt;$N42*0.5),"2ND","1ST"))</f>
      </c>
      <c r="Y42" s="5">
        <f>IF(OR(N($E42)&lt;=0,N($N42)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2" s="5">
        <f>IF(OR(N($E42)&lt;=0,N($N42)&lt;=0),"",IF($N42&gt;$E42*'操作パネル_MS2'!$H$4,"VOL-HIGH","VOL-NORMAL"))</f>
      </c>
      <c r="AA42" s="5">
        <f>IF(OR(N($E42)&lt;=0,N($N42)&lt;=0),"",IF(AND($O42="VOL-OK",$Z42="VOL-NORMAL"),"OK","NG"))</f>
      </c>
      <c r="AB42" s="5">
        <f>IF(OR(N($E42)&lt;=0,N($N42)&lt;=0,N($J42)&lt;=0,N($K42)&lt;=0),"",IF(AND($F42&gt;$J42,$G42&gt;$K42),"UP",IF(AND($F42&lt;$J42,$G42&lt;$K42),"DOWN","FLAT")))</f>
      </c>
      <c r="AC42" s="30">
        <f>IF($C42="","",_xll.RssMarket($C42&amp;"","売買代金"))</f>
      </c>
      <c r="AD42" s="31">
        <f>IFERROR(INDEX(ATRHIST_MS2!$H$2:$H$400,MATCH($C42,ATRHIST_MS2!$A$2:$A$400,0)),0)</f>
      </c>
    </row>
    <row r="43" spans="1:30" ht="25.95" customHeight="1">
      <c r="A43" s="5">
        <f>IF(C43="","",ROW()-2)</f>
      </c>
      <c r="B43" s="6">
        <f>IF(StockList_MS2!A42="","",HYPERLINK("https://kabutan.jp/stock/?code="&amp;StockList_MS2!A42,"株探"))</f>
      </c>
      <c r="C43" s="5">
        <f>IF(StockList_MS2!A42="","",StockList_MS2!A42)</f>
      </c>
      <c r="D43" s="7">
        <f>IF(StockList_MS2!A42="","",StockList_MS2!B42)</f>
      </c>
      <c r="E43" s="8">
        <f>_xll.RssMarket("8035","現在値")</f>
      </c>
      <c r="F43" s="8">
        <f>_xll.RssMarket("8035","高値")</f>
      </c>
      <c r="G43" s="8">
        <f>_xll.RssMarket("8035","安値")</f>
      </c>
      <c r="H43" s="8">
        <f>_xll.RssMarket("8035","終値")</f>
      </c>
      <c r="I43" s="19">
        <f>_xll.RssMarket("8035","出来高")</f>
      </c>
      <c r="J43" s="8">
        <v>57520.0</v>
      </c>
      <c r="K43" s="8">
        <v>55900.0</v>
      </c>
      <c r="L43" s="8">
        <f>_xll.RssMarket("8035","前日終値")</f>
      </c>
      <c r="M43" s="5">
        <f>IF(OR(N($E43)&lt;=0,N($L43)&lt;=0),"",IF($E43&gt;$L43,"BUY-DAY","SELL-DAY"))</f>
      </c>
      <c r="N43" s="9">
        <f>IF(OR(N($E43)&lt;=0,N($F43)&lt;=0,N($G43)&lt;=0),"",IF(AND($AD43&gt;0,'操作パネル_MS2'!$H$17=1),$AD43,MAX(0,$F43-$G43)/SQRT(MAX(1,'操作パネル_MS2'!$H$12))*'操作パネル_MS2'!$H$10))</f>
      </c>
      <c r="O43" s="5">
        <f>IF(OR(N($E43)&lt;=0,$AC43=""),"",IF(N($AC43)&gt;='操作パネル_MS2'!$H$3,"VOL-OK","VOL-NG"))</f>
      </c>
      <c r="P43" s="5">
        <f>IF(OR(N($E43)&lt;=0,N($J43)&lt;=0),"",IF($E43&gt;$J43,"ON","OFF"))</f>
      </c>
      <c r="Q43" s="5">
        <f>IF(OR(N($E43)&lt;=0,N($K43)&lt;=0),"",IF($E43&lt;$K43,"ON","OFF"))</f>
      </c>
      <c r="R43" s="5">
        <f>IF(OR(N($E43)&lt;=0,N($N43)&lt;=0),"",IF(AND($M43="BUY-DAY",$O43="VOL-OK",$P43="ON",$AA43="OK",$AB43&lt;&gt;"DOWN"),"BUY",IF(AND($M43="SELL-DAY",$O43="VOL-OK",$Q43="ON",$AA43="OK",$AB43&lt;&gt;"UP"),"SELL","")))</f>
      </c>
      <c r="S43" s="9">
        <f>IF($R43="","",$E43)</f>
      </c>
      <c r="T43" s="9">
        <f>IF($R43="","",IF($R43="BUY",$E43-$N43*'操作パネル_MS2'!$H$5,$E43+$N43*'操作パネル_MS2'!$H$5))</f>
      </c>
      <c r="U43" s="9">
        <f>IF($R43="","",IF($R43="BUY",$E43+$N43*'操作パネル_MS2'!$H$6,$E43-$N43*'操作パネル_MS2'!$H$6))</f>
      </c>
      <c r="V43" s="9">
        <f>IF($R43="","",IF($R43="BUY",$E43+$N43*'操作パネル_MS2'!$H$7,$E43-$N43*'操作パネル_MS2'!$H$7))</f>
      </c>
      <c r="W43" s="9">
        <f>IF($R43="","",IF($R43="BUY",$E43+$N43*'操作パネル_MS2'!$H$8,$E43-$N43*'操作パネル_MS2'!$H$8))</f>
      </c>
      <c r="X43" s="5">
        <f>IF(OR(N($E43)&lt;=0,N($N43)&lt;=0,N($L43)&lt;=0),"",IF(AND($E43&gt;$L43,ABS($E43-$L43)&lt;$N43*0.5),"2ND","1ST"))</f>
      </c>
      <c r="Y43" s="5">
        <f>IF(OR(N($E43)&lt;=0,N($N43)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3" s="5">
        <f>IF(OR(N($E43)&lt;=0,N($N43)&lt;=0),"",IF($N43&gt;$E43*'操作パネル_MS2'!$H$4,"VOL-HIGH","VOL-NORMAL"))</f>
      </c>
      <c r="AA43" s="5">
        <f>IF(OR(N($E43)&lt;=0,N($N43)&lt;=0),"",IF(AND($O43="VOL-OK",$Z43="VOL-NORMAL"),"OK","NG"))</f>
      </c>
      <c r="AB43" s="5">
        <f>IF(OR(N($E43)&lt;=0,N($N43)&lt;=0,N($J43)&lt;=0,N($K43)&lt;=0),"",IF(AND($F43&gt;$J43,$G43&gt;$K43),"UP",IF(AND($F43&lt;$J43,$G43&lt;$K43),"DOWN","FLAT")))</f>
      </c>
      <c r="AC43" s="30">
        <f>IF($C43="","",_xll.RssMarket($C43&amp;"","売買代金"))</f>
      </c>
      <c r="AD43" s="31">
        <f>IFERROR(INDEX(ATRHIST_MS2!$H$2:$H$400,MATCH($C43,ATRHIST_MS2!$A$2:$A$400,0)),0)</f>
      </c>
    </row>
    <row r="44" spans="1:30" ht="25.95" customHeight="1">
      <c r="A44" s="10">
        <f>IF(C44="","",ROW()-2)</f>
      </c>
      <c r="B44" s="11">
        <f>IF(StockList_MS2!A43="","",HYPERLINK("https://kabutan.jp/stock/?code="&amp;StockList_MS2!A43,"株探"))</f>
      </c>
      <c r="C44" s="10">
        <f>IF(StockList_MS2!A43="","",StockList_MS2!A43)</f>
      </c>
      <c r="D44" s="12">
        <f>IF(StockList_MS2!A43="","",StockList_MS2!B43)</f>
      </c>
      <c r="E44" s="13">
        <f>_xll.RssMarket("8411","現在値")</f>
      </c>
      <c r="F44" s="13">
        <f>_xll.RssMarket("8411","高値")</f>
      </c>
      <c r="G44" s="13">
        <f>_xll.RssMarket("8411","安値")</f>
      </c>
      <c r="H44" s="13">
        <f>_xll.RssMarket("8411","終値")</f>
      </c>
      <c r="I44" s="20">
        <f>_xll.RssMarket("8411","出来高")</f>
      </c>
      <c r="J44" s="13">
        <v>8525.0</v>
      </c>
      <c r="K44" s="13">
        <v>8290.0</v>
      </c>
      <c r="L44" s="13">
        <f>_xll.RssMarket("8411","前日終値")</f>
      </c>
      <c r="M44" s="5">
        <f>IF(OR(N($E44)&lt;=0,N($L44)&lt;=0),"",IF($E44&gt;$L44,"BUY-DAY","SELL-DAY"))</f>
      </c>
      <c r="N44" s="9">
        <f>IF(OR(N($E44)&lt;=0,N($F44)&lt;=0,N($G44)&lt;=0),"",IF(AND($AD44&gt;0,'操作パネル_MS2'!$H$17=1),$AD44,MAX(0,$F44-$G44)/SQRT(MAX(1,'操作パネル_MS2'!$H$12))*'操作パネル_MS2'!$H$10))</f>
      </c>
      <c r="O44" s="5">
        <f>IF(OR(N($E44)&lt;=0,$AC44=""),"",IF(N($AC44)&gt;='操作パネル_MS2'!$H$3,"VOL-OK","VOL-NG"))</f>
      </c>
      <c r="P44" s="5">
        <f>IF(OR(N($E44)&lt;=0,N($J44)&lt;=0),"",IF($E44&gt;$J44,"ON","OFF"))</f>
      </c>
      <c r="Q44" s="5">
        <f>IF(OR(N($E44)&lt;=0,N($K44)&lt;=0),"",IF($E44&lt;$K44,"ON","OFF"))</f>
      </c>
      <c r="R44" s="5">
        <f>IF(OR(N($E44)&lt;=0,N($N44)&lt;=0),"",IF(AND($M44="BUY-DAY",$O44="VOL-OK",$P44="ON",$AA44="OK",$AB44&lt;&gt;"DOWN"),"BUY",IF(AND($M44="SELL-DAY",$O44="VOL-OK",$Q44="ON",$AA44="OK",$AB44&lt;&gt;"UP"),"SELL","")))</f>
      </c>
      <c r="S44" s="9">
        <f>IF($R44="","",$E44)</f>
      </c>
      <c r="T44" s="9">
        <f>IF($R44="","",IF($R44="BUY",$E44-$N44*'操作パネル_MS2'!$H$5,$E44+$N44*'操作パネル_MS2'!$H$5))</f>
      </c>
      <c r="U44" s="9">
        <f>IF($R44="","",IF($R44="BUY",$E44+$N44*'操作パネル_MS2'!$H$6,$E44-$N44*'操作パネル_MS2'!$H$6))</f>
      </c>
      <c r="V44" s="9">
        <f>IF($R44="","",IF($R44="BUY",$E44+$N44*'操作パネル_MS2'!$H$7,$E44-$N44*'操作パネル_MS2'!$H$7))</f>
      </c>
      <c r="W44" s="9">
        <f>IF($R44="","",IF($R44="BUY",$E44+$N44*'操作パネル_MS2'!$H$8,$E44-$N44*'操作パネル_MS2'!$H$8))</f>
      </c>
      <c r="X44" s="5">
        <f>IF(OR(N($E44)&lt;=0,N($N44)&lt;=0,N($L44)&lt;=0),"",IF(AND($E44&gt;$L44,ABS($E44-$L44)&lt;$N44*0.5),"2ND","1ST"))</f>
      </c>
      <c r="Y44" s="5">
        <f>IF(OR(N($E44)&lt;=0,N($N44)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4" s="5">
        <f>IF(OR(N($E44)&lt;=0,N($N44)&lt;=0),"",IF($N44&gt;$E44*'操作パネル_MS2'!$H$4,"VOL-HIGH","VOL-NORMAL"))</f>
      </c>
      <c r="AA44" s="5">
        <f>IF(OR(N($E44)&lt;=0,N($N44)&lt;=0),"",IF(AND($O44="VOL-OK",$Z44="VOL-NORMAL"),"OK","NG"))</f>
      </c>
      <c r="AB44" s="5">
        <f>IF(OR(N($E44)&lt;=0,N($N44)&lt;=0,N($J44)&lt;=0,N($K44)&lt;=0),"",IF(AND($F44&gt;$J44,$G44&gt;$K44),"UP",IF(AND($F44&lt;$J44,$G44&lt;$K44),"DOWN","FLAT")))</f>
      </c>
      <c r="AC44" s="30">
        <f>IF($C44="","",_xll.RssMarket($C44&amp;"","売買代金"))</f>
      </c>
      <c r="AD44" s="31">
        <f>IFERROR(INDEX(ATRHIST_MS2!$H$2:$H$400,MATCH($C44,ATRHIST_MS2!$A$2:$A$400,0)),0)</f>
      </c>
    </row>
    <row r="45" spans="1:30" ht="25.95" customHeight="1">
      <c r="A45" s="5">
        <f>IF(C45="","",ROW()-2)</f>
      </c>
      <c r="B45" s="6">
        <f>IF(StockList_MS2!A44="","",HYPERLINK("https://kabutan.jp/stock/?code="&amp;StockList_MS2!A44,"株探"))</f>
      </c>
      <c r="C45" s="5">
        <f>IF(StockList_MS2!A44="","",StockList_MS2!A44)</f>
      </c>
      <c r="D45" s="7">
        <f>IF(StockList_MS2!A44="","",StockList_MS2!B44)</f>
      </c>
      <c r="E45" s="8">
        <f>_xll.RssMarket("3436","現在値")</f>
      </c>
      <c r="F45" s="8">
        <f>_xll.RssMarket("3436","高値")</f>
      </c>
      <c r="G45" s="8">
        <f>_xll.RssMarket("3436","安値")</f>
      </c>
      <c r="H45" s="8">
        <f>_xll.RssMarket("3436","終値")</f>
      </c>
      <c r="I45" s="19">
        <f>_xll.RssMarket("3436","出来高")</f>
      </c>
      <c r="J45" s="8">
        <v>3623.0</v>
      </c>
      <c r="K45" s="8">
        <v>3401.0</v>
      </c>
      <c r="L45" s="8">
        <f>_xll.RssMarket("3436","前日終値")</f>
      </c>
      <c r="M45" s="5">
        <f>IF(OR(N($E45)&lt;=0,N($L45)&lt;=0),"",IF($E45&gt;$L45,"BUY-DAY","SELL-DAY"))</f>
      </c>
      <c r="N45" s="9">
        <f>IF(OR(N($E45)&lt;=0,N($F45)&lt;=0,N($G45)&lt;=0),"",IF(AND($AD45&gt;0,'操作パネル_MS2'!$H$17=1),$AD45,MAX(0,$F45-$G45)/SQRT(MAX(1,'操作パネル_MS2'!$H$12))*'操作パネル_MS2'!$H$10))</f>
      </c>
      <c r="O45" s="5">
        <f>IF(OR(N($E45)&lt;=0,$AC45=""),"",IF(N($AC45)&gt;='操作パネル_MS2'!$H$3,"VOL-OK","VOL-NG"))</f>
      </c>
      <c r="P45" s="5">
        <f>IF(OR(N($E45)&lt;=0,N($J45)&lt;=0),"",IF($E45&gt;$J45,"ON","OFF"))</f>
      </c>
      <c r="Q45" s="5">
        <f>IF(OR(N($E45)&lt;=0,N($K45)&lt;=0),"",IF($E45&lt;$K45,"ON","OFF"))</f>
      </c>
      <c r="R45" s="5">
        <f>IF(OR(N($E45)&lt;=0,N($N45)&lt;=0),"",IF(AND($M45="BUY-DAY",$O45="VOL-OK",$P45="ON",$AA45="OK",$AB45&lt;&gt;"DOWN"),"BUY",IF(AND($M45="SELL-DAY",$O45="VOL-OK",$Q45="ON",$AA45="OK",$AB45&lt;&gt;"UP"),"SELL","")))</f>
      </c>
      <c r="S45" s="9">
        <f>IF($R45="","",$E45)</f>
      </c>
      <c r="T45" s="9">
        <f>IF($R45="","",IF($R45="BUY",$E45-$N45*'操作パネル_MS2'!$H$5,$E45+$N45*'操作パネル_MS2'!$H$5))</f>
      </c>
      <c r="U45" s="9">
        <f>IF($R45="","",IF($R45="BUY",$E45+$N45*'操作パネル_MS2'!$H$6,$E45-$N45*'操作パネル_MS2'!$H$6))</f>
      </c>
      <c r="V45" s="9">
        <f>IF($R45="","",IF($R45="BUY",$E45+$N45*'操作パネル_MS2'!$H$7,$E45-$N45*'操作パネル_MS2'!$H$7))</f>
      </c>
      <c r="W45" s="9">
        <f>IF($R45="","",IF($R45="BUY",$E45+$N45*'操作パネル_MS2'!$H$8,$E45-$N45*'操作パネル_MS2'!$H$8))</f>
      </c>
      <c r="X45" s="5">
        <f>IF(OR(N($E45)&lt;=0,N($N45)&lt;=0,N($L45)&lt;=0),"",IF(AND($E45&gt;$L45,ABS($E45-$L45)&lt;$N45*0.5),"2ND","1ST"))</f>
      </c>
      <c r="Y45" s="5">
        <f>IF(OR(N($E45)&lt;=0,N($N45)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5" s="5">
        <f>IF(OR(N($E45)&lt;=0,N($N45)&lt;=0),"",IF($N45&gt;$E45*'操作パネル_MS2'!$H$4,"VOL-HIGH","VOL-NORMAL"))</f>
      </c>
      <c r="AA45" s="5">
        <f>IF(OR(N($E45)&lt;=0,N($N45)&lt;=0),"",IF(AND($O45="VOL-OK",$Z45="VOL-NORMAL"),"OK","NG"))</f>
      </c>
      <c r="AB45" s="5">
        <f>IF(OR(N($E45)&lt;=0,N($N45)&lt;=0,N($J45)&lt;=0,N($K45)&lt;=0),"",IF(AND($F45&gt;$J45,$G45&gt;$K45),"UP",IF(AND($F45&lt;$J45,$G45&lt;$K45),"DOWN","FLAT")))</f>
      </c>
      <c r="AC45" s="30">
        <f>IF($C45="","",_xll.RssMarket($C45&amp;"","売買代金"))</f>
      </c>
      <c r="AD45" s="31">
        <f>IFERROR(INDEX(ATRHIST_MS2!$H$2:$H$400,MATCH($C45,ATRHIST_MS2!$A$2:$A$400,0)),0)</f>
      </c>
    </row>
    <row r="46" spans="1:30" ht="25.95" customHeight="1">
      <c r="A46" s="10">
        <f>IF(C46="","",ROW()-2)</f>
      </c>
      <c r="B46" s="11">
        <f>IF(StockList_MS2!A45="","",HYPERLINK("https://kabutan.jp/stock/?code="&amp;StockList_MS2!A45,"株探"))</f>
      </c>
      <c r="C46" s="10">
        <f>IF(StockList_MS2!A45="","",StockList_MS2!A45)</f>
      </c>
      <c r="D46" s="12">
        <f>IF(StockList_MS2!A45="","",StockList_MS2!B45)</f>
      </c>
      <c r="E46" s="13">
        <f>_xll.RssMarket("9433","現在値")</f>
      </c>
      <c r="F46" s="13">
        <f>_xll.RssMarket("9433","高値")</f>
      </c>
      <c r="G46" s="13">
        <f>_xll.RssMarket("9433","安値")</f>
      </c>
      <c r="H46" s="13">
        <f>_xll.RssMarket("9433","終値")</f>
      </c>
      <c r="I46" s="20">
        <f>_xll.RssMarket("9433","出来高")</f>
      </c>
      <c r="J46" s="13">
        <v>2922.0</v>
      </c>
      <c r="K46" s="13">
        <v>2867.0</v>
      </c>
      <c r="L46" s="13">
        <f>_xll.RssMarket("9433","前日終値")</f>
      </c>
      <c r="M46" s="5">
        <f>IF(OR(N($E46)&lt;=0,N($L46)&lt;=0),"",IF($E46&gt;$L46,"BUY-DAY","SELL-DAY"))</f>
      </c>
      <c r="N46" s="9">
        <f>IF(OR(N($E46)&lt;=0,N($F46)&lt;=0,N($G46)&lt;=0),"",IF(AND($AD46&gt;0,'操作パネル_MS2'!$H$17=1),$AD46,MAX(0,$F46-$G46)/SQRT(MAX(1,'操作パネル_MS2'!$H$12))*'操作パネル_MS2'!$H$10))</f>
      </c>
      <c r="O46" s="5">
        <f>IF(OR(N($E46)&lt;=0,$AC46=""),"",IF(N($AC46)&gt;='操作パネル_MS2'!$H$3,"VOL-OK","VOL-NG"))</f>
      </c>
      <c r="P46" s="5">
        <f>IF(OR(N($E46)&lt;=0,N($J46)&lt;=0),"",IF($E46&gt;$J46,"ON","OFF"))</f>
      </c>
      <c r="Q46" s="5">
        <f>IF(OR(N($E46)&lt;=0,N($K46)&lt;=0),"",IF($E46&lt;$K46,"ON","OFF"))</f>
      </c>
      <c r="R46" s="5">
        <f>IF(OR(N($E46)&lt;=0,N($N46)&lt;=0),"",IF(AND($M46="BUY-DAY",$O46="VOL-OK",$P46="ON",$AA46="OK",$AB46&lt;&gt;"DOWN"),"BUY",IF(AND($M46="SELL-DAY",$O46="VOL-OK",$Q46="ON",$AA46="OK",$AB46&lt;&gt;"UP"),"SELL","")))</f>
      </c>
      <c r="S46" s="9">
        <f>IF($R46="","",$E46)</f>
      </c>
      <c r="T46" s="9">
        <f>IF($R46="","",IF($R46="BUY",$E46-$N46*'操作パネル_MS2'!$H$5,$E46+$N46*'操作パネル_MS2'!$H$5))</f>
      </c>
      <c r="U46" s="9">
        <f>IF($R46="","",IF($R46="BUY",$E46+$N46*'操作パネル_MS2'!$H$6,$E46-$N46*'操作パネル_MS2'!$H$6))</f>
      </c>
      <c r="V46" s="9">
        <f>IF($R46="","",IF($R46="BUY",$E46+$N46*'操作パネル_MS2'!$H$7,$E46-$N46*'操作パネル_MS2'!$H$7))</f>
      </c>
      <c r="W46" s="9">
        <f>IF($R46="","",IF($R46="BUY",$E46+$N46*'操作パネル_MS2'!$H$8,$E46-$N46*'操作パネル_MS2'!$H$8))</f>
      </c>
      <c r="X46" s="5">
        <f>IF(OR(N($E46)&lt;=0,N($N46)&lt;=0,N($L46)&lt;=0),"",IF(AND($E46&gt;$L46,ABS($E46-$L46)&lt;$N46*0.5),"2ND","1ST"))</f>
      </c>
      <c r="Y46" s="5">
        <f>IF(OR(N($E46)&lt;=0,N($N46)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6" s="5">
        <f>IF(OR(N($E46)&lt;=0,N($N46)&lt;=0),"",IF($N46&gt;$E46*'操作パネル_MS2'!$H$4,"VOL-HIGH","VOL-NORMAL"))</f>
      </c>
      <c r="AA46" s="5">
        <f>IF(OR(N($E46)&lt;=0,N($N46)&lt;=0),"",IF(AND($O46="VOL-OK",$Z46="VOL-NORMAL"),"OK","NG"))</f>
      </c>
      <c r="AB46" s="5">
        <f>IF(OR(N($E46)&lt;=0,N($N46)&lt;=0,N($J46)&lt;=0,N($K46)&lt;=0),"",IF(AND($F46&gt;$J46,$G46&gt;$K46),"UP",IF(AND($F46&lt;$J46,$G46&lt;$K46),"DOWN","FLAT")))</f>
      </c>
      <c r="AC46" s="30">
        <f>IF($C46="","",_xll.RssMarket($C46&amp;"","売買代金"))</f>
      </c>
      <c r="AD46" s="31">
        <f>IFERROR(INDEX(ATRHIST_MS2!$H$2:$H$400,MATCH($C46,ATRHIST_MS2!$A$2:$A$400,0)),0)</f>
      </c>
    </row>
    <row r="47" spans="1:30" ht="25.95" customHeight="1">
      <c r="A47" s="5">
        <f>IF(C47="","",ROW()-2)</f>
      </c>
      <c r="B47" s="6">
        <f>IF(StockList_MS2!A46="","",HYPERLINK("https://kabutan.jp/stock/?code="&amp;StockList_MS2!A46,"株探"))</f>
      </c>
      <c r="C47" s="5">
        <f>IF(StockList_MS2!A46="","",StockList_MS2!A46)</f>
      </c>
      <c r="D47" s="7">
        <f>IF(StockList_MS2!A46="","",StockList_MS2!B46)</f>
      </c>
      <c r="E47" s="8">
        <f>_xll.RssMarket("7532","現在値")</f>
      </c>
      <c r="F47" s="8">
        <f>_xll.RssMarket("7532","高値")</f>
      </c>
      <c r="G47" s="8">
        <f>_xll.RssMarket("7532","安値")</f>
      </c>
      <c r="H47" s="8">
        <f>_xll.RssMarket("7532","終値")</f>
      </c>
      <c r="I47" s="19">
        <f>_xll.RssMarket("7532","出来高")</f>
      </c>
      <c r="J47" s="8">
        <v>810.2</v>
      </c>
      <c r="K47" s="8">
        <v>798.6</v>
      </c>
      <c r="L47" s="8">
        <f>_xll.RssMarket("7532","前日終値")</f>
      </c>
      <c r="M47" s="5">
        <f>IF(OR(N($E47)&lt;=0,N($L47)&lt;=0),"",IF($E47&gt;$L47,"BUY-DAY","SELL-DAY"))</f>
      </c>
      <c r="N47" s="9">
        <f>IF(OR(N($E47)&lt;=0,N($F47)&lt;=0,N($G47)&lt;=0),"",IF(AND($AD47&gt;0,'操作パネル_MS2'!$H$17=1),$AD47,MAX(0,$F47-$G47)/SQRT(MAX(1,'操作パネル_MS2'!$H$12))*'操作パネル_MS2'!$H$10))</f>
      </c>
      <c r="O47" s="5">
        <f>IF(OR(N($E47)&lt;=0,$AC47=""),"",IF(N($AC47)&gt;='操作パネル_MS2'!$H$3,"VOL-OK","VOL-NG"))</f>
      </c>
      <c r="P47" s="5">
        <f>IF(OR(N($E47)&lt;=0,N($J47)&lt;=0),"",IF($E47&gt;$J47,"ON","OFF"))</f>
      </c>
      <c r="Q47" s="5">
        <f>IF(OR(N($E47)&lt;=0,N($K47)&lt;=0),"",IF($E47&lt;$K47,"ON","OFF"))</f>
      </c>
      <c r="R47" s="5">
        <f>IF(OR(N($E47)&lt;=0,N($N47)&lt;=0),"",IF(AND($M47="BUY-DAY",$O47="VOL-OK",$P47="ON",$AA47="OK",$AB47&lt;&gt;"DOWN"),"BUY",IF(AND($M47="SELL-DAY",$O47="VOL-OK",$Q47="ON",$AA47="OK",$AB47&lt;&gt;"UP"),"SELL","")))</f>
      </c>
      <c r="S47" s="9">
        <f>IF($R47="","",$E47)</f>
      </c>
      <c r="T47" s="9">
        <f>IF($R47="","",IF($R47="BUY",$E47-$N47*'操作パネル_MS2'!$H$5,$E47+$N47*'操作パネル_MS2'!$H$5))</f>
      </c>
      <c r="U47" s="9">
        <f>IF($R47="","",IF($R47="BUY",$E47+$N47*'操作パネル_MS2'!$H$6,$E47-$N47*'操作パネル_MS2'!$H$6))</f>
      </c>
      <c r="V47" s="9">
        <f>IF($R47="","",IF($R47="BUY",$E47+$N47*'操作パネル_MS2'!$H$7,$E47-$N47*'操作パネル_MS2'!$H$7))</f>
      </c>
      <c r="W47" s="9">
        <f>IF($R47="","",IF($R47="BUY",$E47+$N47*'操作パネル_MS2'!$H$8,$E47-$N47*'操作パネル_MS2'!$H$8))</f>
      </c>
      <c r="X47" s="5">
        <f>IF(OR(N($E47)&lt;=0,N($N47)&lt;=0,N($L47)&lt;=0),"",IF(AND($E47&gt;$L47,ABS($E47-$L47)&lt;$N47*0.5),"2ND","1ST"))</f>
      </c>
      <c r="Y47" s="5">
        <f>IF(OR(N($E47)&lt;=0,N($N47)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7" s="5">
        <f>IF(OR(N($E47)&lt;=0,N($N47)&lt;=0),"",IF($N47&gt;$E47*'操作パネル_MS2'!$H$4,"VOL-HIGH","VOL-NORMAL"))</f>
      </c>
      <c r="AA47" s="5">
        <f>IF(OR(N($E47)&lt;=0,N($N47)&lt;=0),"",IF(AND($O47="VOL-OK",$Z47="VOL-NORMAL"),"OK","NG"))</f>
      </c>
      <c r="AB47" s="5">
        <f>IF(OR(N($E47)&lt;=0,N($N47)&lt;=0,N($J47)&lt;=0,N($K47)&lt;=0),"",IF(AND($F47&gt;$J47,$G47&gt;$K47),"UP",IF(AND($F47&lt;$J47,$G47&lt;$K47),"DOWN","FLAT")))</f>
      </c>
      <c r="AC47" s="30">
        <f>IF($C47="","",_xll.RssMarket($C47&amp;"","売買代金"))</f>
      </c>
      <c r="AD47" s="31">
        <f>IFERROR(INDEX(ATRHIST_MS2!$H$2:$H$400,MATCH($C47,ATRHIST_MS2!$A$2:$A$400,0)),0)</f>
      </c>
    </row>
    <row r="48" spans="1:30" ht="25.95" customHeight="1">
      <c r="A48" s="10">
        <f>IF(C48="","",ROW()-2)</f>
      </c>
      <c r="B48" s="11">
        <f>IF(StockList_MS2!A47="","",HYPERLINK("https://kabutan.jp/stock/?code="&amp;StockList_MS2!A47,"株探"))</f>
      </c>
      <c r="C48" s="10">
        <f>IF(StockList_MS2!A47="","",StockList_MS2!A47)</f>
      </c>
      <c r="D48" s="12">
        <f>IF(StockList_MS2!A47="","",StockList_MS2!B47)</f>
      </c>
      <c r="E48" s="13">
        <f>_xll.RssMarket("8267","現在値")</f>
      </c>
      <c r="F48" s="13">
        <f>_xll.RssMarket("8267","高値")</f>
      </c>
      <c r="G48" s="13">
        <f>_xll.RssMarket("8267","安値")</f>
      </c>
      <c r="H48" s="13">
        <f>_xll.RssMarket("8267","終値")</f>
      </c>
      <c r="I48" s="20">
        <f>_xll.RssMarket("8267","出来高")</f>
      </c>
      <c r="J48" s="13">
        <v>1362.0</v>
      </c>
      <c r="K48" s="13">
        <v>1328.0</v>
      </c>
      <c r="L48" s="13">
        <f>_xll.RssMarket("8267","前日終値")</f>
      </c>
      <c r="M48" s="5">
        <f>IF(OR(N($E48)&lt;=0,N($L48)&lt;=0),"",IF($E48&gt;$L48,"BUY-DAY","SELL-DAY"))</f>
      </c>
      <c r="N48" s="9">
        <f>IF(OR(N($E48)&lt;=0,N($F48)&lt;=0,N($G48)&lt;=0),"",IF(AND($AD48&gt;0,'操作パネル_MS2'!$H$17=1),$AD48,MAX(0,$F48-$G48)/SQRT(MAX(1,'操作パネル_MS2'!$H$12))*'操作パネル_MS2'!$H$10))</f>
      </c>
      <c r="O48" s="5">
        <f>IF(OR(N($E48)&lt;=0,$AC48=""),"",IF(N($AC48)&gt;='操作パネル_MS2'!$H$3,"VOL-OK","VOL-NG"))</f>
      </c>
      <c r="P48" s="5">
        <f>IF(OR(N($E48)&lt;=0,N($J48)&lt;=0),"",IF($E48&gt;$J48,"ON","OFF"))</f>
      </c>
      <c r="Q48" s="5">
        <f>IF(OR(N($E48)&lt;=0,N($K48)&lt;=0),"",IF($E48&lt;$K48,"ON","OFF"))</f>
      </c>
      <c r="R48" s="5">
        <f>IF(OR(N($E48)&lt;=0,N($N48)&lt;=0),"",IF(AND($M48="BUY-DAY",$O48="VOL-OK",$P48="ON",$AA48="OK",$AB48&lt;&gt;"DOWN"),"BUY",IF(AND($M48="SELL-DAY",$O48="VOL-OK",$Q48="ON",$AA48="OK",$AB48&lt;&gt;"UP"),"SELL","")))</f>
      </c>
      <c r="S48" s="9">
        <f>IF($R48="","",$E48)</f>
      </c>
      <c r="T48" s="9">
        <f>IF($R48="","",IF($R48="BUY",$E48-$N48*'操作パネル_MS2'!$H$5,$E48+$N48*'操作パネル_MS2'!$H$5))</f>
      </c>
      <c r="U48" s="9">
        <f>IF($R48="","",IF($R48="BUY",$E48+$N48*'操作パネル_MS2'!$H$6,$E48-$N48*'操作パネル_MS2'!$H$6))</f>
      </c>
      <c r="V48" s="9">
        <f>IF($R48="","",IF($R48="BUY",$E48+$N48*'操作パネル_MS2'!$H$7,$E48-$N48*'操作パネル_MS2'!$H$7))</f>
      </c>
      <c r="W48" s="9">
        <f>IF($R48="","",IF($R48="BUY",$E48+$N48*'操作パネル_MS2'!$H$8,$E48-$N48*'操作パネル_MS2'!$H$8))</f>
      </c>
      <c r="X48" s="5">
        <f>IF(OR(N($E48)&lt;=0,N($N48)&lt;=0,N($L48)&lt;=0),"",IF(AND($E48&gt;$L48,ABS($E48-$L48)&lt;$N48*0.5),"2ND","1ST"))</f>
      </c>
      <c r="Y48" s="5">
        <f>IF(OR(N($E48)&lt;=0,N($N48)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8" s="5">
        <f>IF(OR(N($E48)&lt;=0,N($N48)&lt;=0),"",IF($N48&gt;$E48*'操作パネル_MS2'!$H$4,"VOL-HIGH","VOL-NORMAL"))</f>
      </c>
      <c r="AA48" s="5">
        <f>IF(OR(N($E48)&lt;=0,N($N48)&lt;=0),"",IF(AND($O48="VOL-OK",$Z48="VOL-NORMAL"),"OK","NG"))</f>
      </c>
      <c r="AB48" s="5">
        <f>IF(OR(N($E48)&lt;=0,N($N48)&lt;=0,N($J48)&lt;=0,N($K48)&lt;=0),"",IF(AND($F48&gt;$J48,$G48&gt;$K48),"UP",IF(AND($F48&lt;$J48,$G48&lt;$K48),"DOWN","FLAT")))</f>
      </c>
      <c r="AC48" s="30">
        <f>IF($C48="","",_xll.RssMarket($C48&amp;"","売買代金"))</f>
      </c>
      <c r="AD48" s="31">
        <f>IFERROR(INDEX(ATRHIST_MS2!$H$2:$H$400,MATCH($C48,ATRHIST_MS2!$A$2:$A$400,0)),0)</f>
      </c>
    </row>
    <row r="49" spans="1:30" ht="25.95" customHeight="1">
      <c r="A49" s="5">
        <f>IF(C49="","",ROW()-2)</f>
      </c>
      <c r="B49" s="6">
        <f>IF(StockList_MS2!A48="","",HYPERLINK("https://kabutan.jp/stock/?code="&amp;StockList_MS2!A48,"株探"))</f>
      </c>
      <c r="C49" s="5">
        <f>IF(StockList_MS2!A48="","",StockList_MS2!A48)</f>
      </c>
      <c r="D49" s="7">
        <f>IF(StockList_MS2!A48="","",StockList_MS2!B48)</f>
      </c>
      <c r="E49" s="8">
        <f>_xll.RssMarket("7012","現在値")</f>
      </c>
      <c r="F49" s="8">
        <f>_xll.RssMarket("7012","高値")</f>
      </c>
      <c r="G49" s="8">
        <f>_xll.RssMarket("7012","安値")</f>
      </c>
      <c r="H49" s="8">
        <f>_xll.RssMarket("7012","終値")</f>
      </c>
      <c r="I49" s="19">
        <f>_xll.RssMarket("7012","出来高")</f>
      </c>
      <c r="J49" s="8">
        <v>2647.0</v>
      </c>
      <c r="K49" s="8">
        <v>2601.0</v>
      </c>
      <c r="L49" s="8">
        <f>_xll.RssMarket("7012","前日終値")</f>
      </c>
      <c r="M49" s="5">
        <f>IF(OR(N($E49)&lt;=0,N($L49)&lt;=0),"",IF($E49&gt;$L49,"BUY-DAY","SELL-DAY"))</f>
      </c>
      <c r="N49" s="9">
        <f>IF(OR(N($E49)&lt;=0,N($F49)&lt;=0,N($G49)&lt;=0),"",IF(AND($AD49&gt;0,'操作パネル_MS2'!$H$17=1),$AD49,MAX(0,$F49-$G49)/SQRT(MAX(1,'操作パネル_MS2'!$H$12))*'操作パネル_MS2'!$H$10))</f>
      </c>
      <c r="O49" s="5">
        <f>IF(OR(N($E49)&lt;=0,$AC49=""),"",IF(N($AC49)&gt;='操作パネル_MS2'!$H$3,"VOL-OK","VOL-NG"))</f>
      </c>
      <c r="P49" s="5">
        <f>IF(OR(N($E49)&lt;=0,N($J49)&lt;=0),"",IF($E49&gt;$J49,"ON","OFF"))</f>
      </c>
      <c r="Q49" s="5">
        <f>IF(OR(N($E49)&lt;=0,N($K49)&lt;=0),"",IF($E49&lt;$K49,"ON","OFF"))</f>
      </c>
      <c r="R49" s="5">
        <f>IF(OR(N($E49)&lt;=0,N($N49)&lt;=0),"",IF(AND($M49="BUY-DAY",$O49="VOL-OK",$P49="ON",$AA49="OK",$AB49&lt;&gt;"DOWN"),"BUY",IF(AND($M49="SELL-DAY",$O49="VOL-OK",$Q49="ON",$AA49="OK",$AB49&lt;&gt;"UP"),"SELL","")))</f>
      </c>
      <c r="S49" s="9">
        <f>IF($R49="","",$E49)</f>
      </c>
      <c r="T49" s="9">
        <f>IF($R49="","",IF($R49="BUY",$E49-$N49*'操作パネル_MS2'!$H$5,$E49+$N49*'操作パネル_MS2'!$H$5))</f>
      </c>
      <c r="U49" s="9">
        <f>IF($R49="","",IF($R49="BUY",$E49+$N49*'操作パネル_MS2'!$H$6,$E49-$N49*'操作パネル_MS2'!$H$6))</f>
      </c>
      <c r="V49" s="9">
        <f>IF($R49="","",IF($R49="BUY",$E49+$N49*'操作パネル_MS2'!$H$7,$E49-$N49*'操作パネル_MS2'!$H$7))</f>
      </c>
      <c r="W49" s="9">
        <f>IF($R49="","",IF($R49="BUY",$E49+$N49*'操作パネル_MS2'!$H$8,$E49-$N49*'操作パネル_MS2'!$H$8))</f>
      </c>
      <c r="X49" s="5">
        <f>IF(OR(N($E49)&lt;=0,N($N49)&lt;=0,N($L49)&lt;=0),"",IF(AND($E49&gt;$L49,ABS($E49-$L49)&lt;$N49*0.5),"2ND","1ST"))</f>
      </c>
      <c r="Y49" s="5">
        <f>IF(OR(N($E49)&lt;=0,N($N49)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49" s="5">
        <f>IF(OR(N($E49)&lt;=0,N($N49)&lt;=0),"",IF($N49&gt;$E49*'操作パネル_MS2'!$H$4,"VOL-HIGH","VOL-NORMAL"))</f>
      </c>
      <c r="AA49" s="5">
        <f>IF(OR(N($E49)&lt;=0,N($N49)&lt;=0),"",IF(AND($O49="VOL-OK",$Z49="VOL-NORMAL"),"OK","NG"))</f>
      </c>
      <c r="AB49" s="5">
        <f>IF(OR(N($E49)&lt;=0,N($N49)&lt;=0,N($J49)&lt;=0,N($K49)&lt;=0),"",IF(AND($F49&gt;$J49,$G49&gt;$K49),"UP",IF(AND($F49&lt;$J49,$G49&lt;$K49),"DOWN","FLAT")))</f>
      </c>
      <c r="AC49" s="30">
        <f>IF($C49="","",_xll.RssMarket($C49&amp;"","売買代金"))</f>
      </c>
      <c r="AD49" s="31">
        <f>IFERROR(INDEX(ATRHIST_MS2!$H$2:$H$400,MATCH($C49,ATRHIST_MS2!$A$2:$A$400,0)),0)</f>
      </c>
    </row>
    <row r="50" spans="1:30" ht="25.95" customHeight="1">
      <c r="A50" s="10">
        <f>IF(C50="","",ROW()-2)</f>
      </c>
      <c r="B50" s="11">
        <f>IF(StockList_MS2!A49="","",HYPERLINK("https://kabutan.jp/stock/?code="&amp;StockList_MS2!A49,"株探"))</f>
      </c>
      <c r="C50" s="10">
        <f>IF(StockList_MS2!A49="","",StockList_MS2!A49)</f>
      </c>
      <c r="D50" s="12">
        <f>IF(StockList_MS2!A49="","",StockList_MS2!B49)</f>
      </c>
      <c r="E50" s="13">
        <f>_xll.RssMarket("8303","現在値")</f>
      </c>
      <c r="F50" s="13">
        <f>_xll.RssMarket("8303","高値")</f>
      </c>
      <c r="G50" s="13">
        <f>_xll.RssMarket("8303","安値")</f>
      </c>
      <c r="H50" s="13">
        <f>_xll.RssMarket("8303","終値")</f>
      </c>
      <c r="I50" s="20">
        <f>_xll.RssMarket("8303","出来高")</f>
      </c>
      <c r="J50" s="13">
        <v>1585.0</v>
      </c>
      <c r="K50" s="13">
        <v>1554.0</v>
      </c>
      <c r="L50" s="13">
        <f>_xll.RssMarket("8303","前日終値")</f>
      </c>
      <c r="M50" s="5">
        <f>IF(OR(N($E50)&lt;=0,N($L50)&lt;=0),"",IF($E50&gt;$L50,"BUY-DAY","SELL-DAY"))</f>
      </c>
      <c r="N50" s="9">
        <f>IF(OR(N($E50)&lt;=0,N($F50)&lt;=0,N($G50)&lt;=0),"",IF(AND($AD50&gt;0,'操作パネル_MS2'!$H$17=1),$AD50,MAX(0,$F50-$G50)/SQRT(MAX(1,'操作パネル_MS2'!$H$12))*'操作パネル_MS2'!$H$10))</f>
      </c>
      <c r="O50" s="5">
        <f>IF(OR(N($E50)&lt;=0,$AC50=""),"",IF(N($AC50)&gt;='操作パネル_MS2'!$H$3,"VOL-OK","VOL-NG"))</f>
      </c>
      <c r="P50" s="5">
        <f>IF(OR(N($E50)&lt;=0,N($J50)&lt;=0),"",IF($E50&gt;$J50,"ON","OFF"))</f>
      </c>
      <c r="Q50" s="5">
        <f>IF(OR(N($E50)&lt;=0,N($K50)&lt;=0),"",IF($E50&lt;$K50,"ON","OFF"))</f>
      </c>
      <c r="R50" s="5">
        <f>IF(OR(N($E50)&lt;=0,N($N50)&lt;=0),"",IF(AND($M50="BUY-DAY",$O50="VOL-OK",$P50="ON",$AA50="OK",$AB50&lt;&gt;"DOWN"),"BUY",IF(AND($M50="SELL-DAY",$O50="VOL-OK",$Q50="ON",$AA50="OK",$AB50&lt;&gt;"UP"),"SELL","")))</f>
      </c>
      <c r="S50" s="9">
        <f>IF($R50="","",$E50)</f>
      </c>
      <c r="T50" s="9">
        <f>IF($R50="","",IF($R50="BUY",$E50-$N50*'操作パネル_MS2'!$H$5,$E50+$N50*'操作パネル_MS2'!$H$5))</f>
      </c>
      <c r="U50" s="9">
        <f>IF($R50="","",IF($R50="BUY",$E50+$N50*'操作パネル_MS2'!$H$6,$E50-$N50*'操作パネル_MS2'!$H$6))</f>
      </c>
      <c r="V50" s="9">
        <f>IF($R50="","",IF($R50="BUY",$E50+$N50*'操作パネル_MS2'!$H$7,$E50-$N50*'操作パネル_MS2'!$H$7))</f>
      </c>
      <c r="W50" s="9">
        <f>IF($R50="","",IF($R50="BUY",$E50+$N50*'操作パネル_MS2'!$H$8,$E50-$N50*'操作パネル_MS2'!$H$8))</f>
      </c>
      <c r="X50" s="5">
        <f>IF(OR(N($E50)&lt;=0,N($N50)&lt;=0,N($L50)&lt;=0),"",IF(AND($E50&gt;$L50,ABS($E50-$L50)&lt;$N50*0.5),"2ND","1ST"))</f>
      </c>
      <c r="Y50" s="5">
        <f>IF(OR(N($E50)&lt;=0,N($N50)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0" s="5">
        <f>IF(OR(N($E50)&lt;=0,N($N50)&lt;=0),"",IF($N50&gt;$E50*'操作パネル_MS2'!$H$4,"VOL-HIGH","VOL-NORMAL"))</f>
      </c>
      <c r="AA50" s="5">
        <f>IF(OR(N($E50)&lt;=0,N($N50)&lt;=0),"",IF(AND($O50="VOL-OK",$Z50="VOL-NORMAL"),"OK","NG"))</f>
      </c>
      <c r="AB50" s="5">
        <f>IF(OR(N($E50)&lt;=0,N($N50)&lt;=0,N($J50)&lt;=0,N($K50)&lt;=0),"",IF(AND($F50&gt;$J50,$G50&gt;$K50),"UP",IF(AND($F50&lt;$J50,$G50&lt;$K50),"DOWN","FLAT")))</f>
      </c>
      <c r="AC50" s="30">
        <f>IF($C50="","",_xll.RssMarket($C50&amp;"","売買代金"))</f>
      </c>
      <c r="AD50" s="31">
        <f>IFERROR(INDEX(ATRHIST_MS2!$H$2:$H$400,MATCH($C50,ATRHIST_MS2!$A$2:$A$400,0)),0)</f>
      </c>
    </row>
    <row r="51" spans="1:30" ht="25.95" customHeight="1">
      <c r="A51" s="5">
        <f>IF(C51="","",ROW()-2)</f>
      </c>
      <c r="B51" s="6">
        <f>IF(StockList_MS2!A50="","",HYPERLINK("https://kabutan.jp/stock/?code="&amp;StockList_MS2!A50,"株探"))</f>
      </c>
      <c r="C51" s="5">
        <f>IF(StockList_MS2!A50="","",StockList_MS2!A50)</f>
      </c>
      <c r="D51" s="7">
        <f>IF(StockList_MS2!A50="","",StockList_MS2!B50)</f>
      </c>
      <c r="E51" s="8">
        <f>_xll.RssMarket("3407","現在値")</f>
      </c>
      <c r="F51" s="8">
        <f>_xll.RssMarket("3407","高値")</f>
      </c>
      <c r="G51" s="8">
        <f>_xll.RssMarket("3407","安値")</f>
      </c>
      <c r="H51" s="8">
        <f>_xll.RssMarket("3407","終値")</f>
      </c>
      <c r="I51" s="19">
        <f>_xll.RssMarket("3407","出来高")</f>
      </c>
      <c r="J51" s="8">
        <v>1651.5</v>
      </c>
      <c r="K51" s="8">
        <v>1610.0</v>
      </c>
      <c r="L51" s="8">
        <f>_xll.RssMarket("3407","前日終値")</f>
      </c>
      <c r="M51" s="5">
        <f>IF(OR(N($E51)&lt;=0,N($L51)&lt;=0),"",IF($E51&gt;$L51,"BUY-DAY","SELL-DAY"))</f>
      </c>
      <c r="N51" s="9">
        <f>IF(OR(N($E51)&lt;=0,N($F51)&lt;=0,N($G51)&lt;=0),"",IF(AND($AD51&gt;0,'操作パネル_MS2'!$H$17=1),$AD51,MAX(0,$F51-$G51)/SQRT(MAX(1,'操作パネル_MS2'!$H$12))*'操作パネル_MS2'!$H$10))</f>
      </c>
      <c r="O51" s="5">
        <f>IF(OR(N($E51)&lt;=0,$AC51=""),"",IF(N($AC51)&gt;='操作パネル_MS2'!$H$3,"VOL-OK","VOL-NG"))</f>
      </c>
      <c r="P51" s="5">
        <f>IF(OR(N($E51)&lt;=0,N($J51)&lt;=0),"",IF($E51&gt;$J51,"ON","OFF"))</f>
      </c>
      <c r="Q51" s="5">
        <f>IF(OR(N($E51)&lt;=0,N($K51)&lt;=0),"",IF($E51&lt;$K51,"ON","OFF"))</f>
      </c>
      <c r="R51" s="5">
        <f>IF(OR(N($E51)&lt;=0,N($N51)&lt;=0),"",IF(AND($M51="BUY-DAY",$O51="VOL-OK",$P51="ON",$AA51="OK",$AB51&lt;&gt;"DOWN"),"BUY",IF(AND($M51="SELL-DAY",$O51="VOL-OK",$Q51="ON",$AA51="OK",$AB51&lt;&gt;"UP"),"SELL","")))</f>
      </c>
      <c r="S51" s="9">
        <f>IF($R51="","",$E51)</f>
      </c>
      <c r="T51" s="9">
        <f>IF($R51="","",IF($R51="BUY",$E51-$N51*'操作パネル_MS2'!$H$5,$E51+$N51*'操作パネル_MS2'!$H$5))</f>
      </c>
      <c r="U51" s="9">
        <f>IF($R51="","",IF($R51="BUY",$E51+$N51*'操作パネル_MS2'!$H$6,$E51-$N51*'操作パネル_MS2'!$H$6))</f>
      </c>
      <c r="V51" s="9">
        <f>IF($R51="","",IF($R51="BUY",$E51+$N51*'操作パネル_MS2'!$H$7,$E51-$N51*'操作パネル_MS2'!$H$7))</f>
      </c>
      <c r="W51" s="9">
        <f>IF($R51="","",IF($R51="BUY",$E51+$N51*'操作パネル_MS2'!$H$8,$E51-$N51*'操作パネル_MS2'!$H$8))</f>
      </c>
      <c r="X51" s="5">
        <f>IF(OR(N($E51)&lt;=0,N($N51)&lt;=0,N($L51)&lt;=0),"",IF(AND($E51&gt;$L51,ABS($E51-$L51)&lt;$N51*0.5),"2ND","1ST"))</f>
      </c>
      <c r="Y51" s="5">
        <f>IF(OR(N($E51)&lt;=0,N($N51)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1" s="5">
        <f>IF(OR(N($E51)&lt;=0,N($N51)&lt;=0),"",IF($N51&gt;$E51*'操作パネル_MS2'!$H$4,"VOL-HIGH","VOL-NORMAL"))</f>
      </c>
      <c r="AA51" s="5">
        <f>IF(OR(N($E51)&lt;=0,N($N51)&lt;=0),"",IF(AND($O51="VOL-OK",$Z51="VOL-NORMAL"),"OK","NG"))</f>
      </c>
      <c r="AB51" s="5">
        <f>IF(OR(N($E51)&lt;=0,N($N51)&lt;=0,N($J51)&lt;=0,N($K51)&lt;=0),"",IF(AND($F51&gt;$J51,$G51&gt;$K51),"UP",IF(AND($F51&lt;$J51,$G51&lt;$K51),"DOWN","FLAT")))</f>
      </c>
      <c r="AC51" s="30">
        <f>IF($C51="","",_xll.RssMarket($C51&amp;"","売買代金"))</f>
      </c>
      <c r="AD51" s="31">
        <f>IFERROR(INDEX(ATRHIST_MS2!$H$2:$H$400,MATCH($C51,ATRHIST_MS2!$A$2:$A$400,0)),0)</f>
      </c>
    </row>
    <row r="52" spans="1:30" ht="25.95" customHeight="1">
      <c r="A52" s="10">
        <f>IF(C52="","",ROW()-2)</f>
      </c>
      <c r="B52" s="11">
        <f>IF(StockList_MS2!A51="","",HYPERLINK("https://kabutan.jp/stock/?code="&amp;StockList_MS2!A51,"株探"))</f>
      </c>
      <c r="C52" s="10">
        <f>IF(StockList_MS2!A51="","",StockList_MS2!A51)</f>
      </c>
      <c r="D52" s="12">
        <f>IF(StockList_MS2!A51="","",StockList_MS2!B51)</f>
      </c>
      <c r="E52" s="13">
        <f>_xll.RssMarket("8308","現在値")</f>
      </c>
      <c r="F52" s="13">
        <f>_xll.RssMarket("8308","高値")</f>
      </c>
      <c r="G52" s="13">
        <f>_xll.RssMarket("8308","安値")</f>
      </c>
      <c r="H52" s="13">
        <f>_xll.RssMarket("8308","終値")</f>
      </c>
      <c r="I52" s="20">
        <f>_xll.RssMarket("8308","出来高")</f>
      </c>
      <c r="J52" s="13">
        <v>2540.0</v>
      </c>
      <c r="K52" s="13">
        <v>2442.5</v>
      </c>
      <c r="L52" s="13">
        <f>_xll.RssMarket("8308","前日終値")</f>
      </c>
      <c r="M52" s="5">
        <f>IF(OR(N($E52)&lt;=0,N($L52)&lt;=0),"",IF($E52&gt;$L52,"BUY-DAY","SELL-DAY"))</f>
      </c>
      <c r="N52" s="9">
        <f>IF(OR(N($E52)&lt;=0,N($F52)&lt;=0,N($G52)&lt;=0),"",IF(AND($AD52&gt;0,'操作パネル_MS2'!$H$17=1),$AD52,MAX(0,$F52-$G52)/SQRT(MAX(1,'操作パネル_MS2'!$H$12))*'操作パネル_MS2'!$H$10))</f>
      </c>
      <c r="O52" s="5">
        <f>IF(OR(N($E52)&lt;=0,$AC52=""),"",IF(N($AC52)&gt;='操作パネル_MS2'!$H$3,"VOL-OK","VOL-NG"))</f>
      </c>
      <c r="P52" s="5">
        <f>IF(OR(N($E52)&lt;=0,N($J52)&lt;=0),"",IF($E52&gt;$J52,"ON","OFF"))</f>
      </c>
      <c r="Q52" s="5">
        <f>IF(OR(N($E52)&lt;=0,N($K52)&lt;=0),"",IF($E52&lt;$K52,"ON","OFF"))</f>
      </c>
      <c r="R52" s="5">
        <f>IF(OR(N($E52)&lt;=0,N($N52)&lt;=0),"",IF(AND($M52="BUY-DAY",$O52="VOL-OK",$P52="ON",$AA52="OK",$AB52&lt;&gt;"DOWN"),"BUY",IF(AND($M52="SELL-DAY",$O52="VOL-OK",$Q52="ON",$AA52="OK",$AB52&lt;&gt;"UP"),"SELL","")))</f>
      </c>
      <c r="S52" s="9">
        <f>IF($R52="","",$E52)</f>
      </c>
      <c r="T52" s="9">
        <f>IF($R52="","",IF($R52="BUY",$E52-$N52*'操作パネル_MS2'!$H$5,$E52+$N52*'操作パネル_MS2'!$H$5))</f>
      </c>
      <c r="U52" s="9">
        <f>IF($R52="","",IF($R52="BUY",$E52+$N52*'操作パネル_MS2'!$H$6,$E52-$N52*'操作パネル_MS2'!$H$6))</f>
      </c>
      <c r="V52" s="9">
        <f>IF($R52="","",IF($R52="BUY",$E52+$N52*'操作パネル_MS2'!$H$7,$E52-$N52*'操作パネル_MS2'!$H$7))</f>
      </c>
      <c r="W52" s="9">
        <f>IF($R52="","",IF($R52="BUY",$E52+$N52*'操作パネル_MS2'!$H$8,$E52-$N52*'操作パネル_MS2'!$H$8))</f>
      </c>
      <c r="X52" s="5">
        <f>IF(OR(N($E52)&lt;=0,N($N52)&lt;=0,N($L52)&lt;=0),"",IF(AND($E52&gt;$L52,ABS($E52-$L52)&lt;$N52*0.5),"2ND","1ST"))</f>
      </c>
      <c r="Y52" s="5">
        <f>IF(OR(N($E52)&lt;=0,N($N52)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2" s="5">
        <f>IF(OR(N($E52)&lt;=0,N($N52)&lt;=0),"",IF($N52&gt;$E52*'操作パネル_MS2'!$H$4,"VOL-HIGH","VOL-NORMAL"))</f>
      </c>
      <c r="AA52" s="5">
        <f>IF(OR(N($E52)&lt;=0,N($N52)&lt;=0),"",IF(AND($O52="VOL-OK",$Z52="VOL-NORMAL"),"OK","NG"))</f>
      </c>
      <c r="AB52" s="5">
        <f>IF(OR(N($E52)&lt;=0,N($N52)&lt;=0,N($J52)&lt;=0,N($K52)&lt;=0),"",IF(AND($F52&gt;$J52,$G52&gt;$K52),"UP",IF(AND($F52&lt;$J52,$G52&lt;$K52),"DOWN","FLAT")))</f>
      </c>
      <c r="AC52" s="30">
        <f>IF($C52="","",_xll.RssMarket($C52&amp;"","売買代金"))</f>
      </c>
      <c r="AD52" s="31">
        <f>IFERROR(INDEX(ATRHIST_MS2!$H$2:$H$400,MATCH($C52,ATRHIST_MS2!$A$2:$A$400,0)),0)</f>
      </c>
    </row>
    <row r="53" spans="1:30" ht="25.95" customHeight="1">
      <c r="A53" s="5">
        <f>IF(C53="","",ROW()-2)</f>
      </c>
      <c r="B53" s="6">
        <f>IF(StockList_MS2!A52="","",HYPERLINK("https://kabutan.jp/stock/?code="&amp;StockList_MS2!A52,"株探"))</f>
      </c>
      <c r="C53" s="5">
        <f>IF(StockList_MS2!A52="","",StockList_MS2!A52)</f>
      </c>
      <c r="D53" s="7">
        <f>IF(StockList_MS2!A52="","",StockList_MS2!B52)</f>
      </c>
      <c r="E53" s="8">
        <f>_xll.RssMarket("2914","現在値")</f>
      </c>
      <c r="F53" s="8">
        <f>_xll.RssMarket("2914","高値")</f>
      </c>
      <c r="G53" s="8">
        <f>_xll.RssMarket("2914","安値")</f>
      </c>
      <c r="H53" s="8">
        <f>_xll.RssMarket("2914","終値")</f>
      </c>
      <c r="I53" s="19">
        <f>_xll.RssMarket("2914","出来高")</f>
      </c>
      <c r="J53" s="8">
        <v>6996.0</v>
      </c>
      <c r="K53" s="8">
        <v>6926.0</v>
      </c>
      <c r="L53" s="8">
        <f>_xll.RssMarket("2914","前日終値")</f>
      </c>
      <c r="M53" s="5">
        <f>IF(OR(N($E53)&lt;=0,N($L53)&lt;=0),"",IF($E53&gt;$L53,"BUY-DAY","SELL-DAY"))</f>
      </c>
      <c r="N53" s="9">
        <f>IF(OR(N($E53)&lt;=0,N($F53)&lt;=0,N($G53)&lt;=0),"",IF(AND($AD53&gt;0,'操作パネル_MS2'!$H$17=1),$AD53,MAX(0,$F53-$G53)/SQRT(MAX(1,'操作パネル_MS2'!$H$12))*'操作パネル_MS2'!$H$10))</f>
      </c>
      <c r="O53" s="5">
        <f>IF(OR(N($E53)&lt;=0,$AC53=""),"",IF(N($AC53)&gt;='操作パネル_MS2'!$H$3,"VOL-OK","VOL-NG"))</f>
      </c>
      <c r="P53" s="5">
        <f>IF(OR(N($E53)&lt;=0,N($J53)&lt;=0),"",IF($E53&gt;$J53,"ON","OFF"))</f>
      </c>
      <c r="Q53" s="5">
        <f>IF(OR(N($E53)&lt;=0,N($K53)&lt;=0),"",IF($E53&lt;$K53,"ON","OFF"))</f>
      </c>
      <c r="R53" s="5">
        <f>IF(OR(N($E53)&lt;=0,N($N53)&lt;=0),"",IF(AND($M53="BUY-DAY",$O53="VOL-OK",$P53="ON",$AA53="OK",$AB53&lt;&gt;"DOWN"),"BUY",IF(AND($M53="SELL-DAY",$O53="VOL-OK",$Q53="ON",$AA53="OK",$AB53&lt;&gt;"UP"),"SELL","")))</f>
      </c>
      <c r="S53" s="9">
        <f>IF($R53="","",$E53)</f>
      </c>
      <c r="T53" s="9">
        <f>IF($R53="","",IF($R53="BUY",$E53-$N53*'操作パネル_MS2'!$H$5,$E53+$N53*'操作パネル_MS2'!$H$5))</f>
      </c>
      <c r="U53" s="9">
        <f>IF($R53="","",IF($R53="BUY",$E53+$N53*'操作パネル_MS2'!$H$6,$E53-$N53*'操作パネル_MS2'!$H$6))</f>
      </c>
      <c r="V53" s="9">
        <f>IF($R53="","",IF($R53="BUY",$E53+$N53*'操作パネル_MS2'!$H$7,$E53-$N53*'操作パネル_MS2'!$H$7))</f>
      </c>
      <c r="W53" s="9">
        <f>IF($R53="","",IF($R53="BUY",$E53+$N53*'操作パネル_MS2'!$H$8,$E53-$N53*'操作パネル_MS2'!$H$8))</f>
      </c>
      <c r="X53" s="5">
        <f>IF(OR(N($E53)&lt;=0,N($N53)&lt;=0,N($L53)&lt;=0),"",IF(AND($E53&gt;$L53,ABS($E53-$L53)&lt;$N53*0.5),"2ND","1ST"))</f>
      </c>
      <c r="Y53" s="5">
        <f>IF(OR(N($E53)&lt;=0,N($N53)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3" s="5">
        <f>IF(OR(N($E53)&lt;=0,N($N53)&lt;=0),"",IF($N53&gt;$E53*'操作パネル_MS2'!$H$4,"VOL-HIGH","VOL-NORMAL"))</f>
      </c>
      <c r="AA53" s="5">
        <f>IF(OR(N($E53)&lt;=0,N($N53)&lt;=0),"",IF(AND($O53="VOL-OK",$Z53="VOL-NORMAL"),"OK","NG"))</f>
      </c>
      <c r="AB53" s="5">
        <f>IF(OR(N($E53)&lt;=0,N($N53)&lt;=0,N($J53)&lt;=0,N($K53)&lt;=0),"",IF(AND($F53&gt;$J53,$G53&gt;$K53),"UP",IF(AND($F53&lt;$J53,$G53&lt;$K53),"DOWN","FLAT")))</f>
      </c>
      <c r="AC53" s="30">
        <f>IF($C53="","",_xll.RssMarket($C53&amp;"","売買代金"))</f>
      </c>
      <c r="AD53" s="31">
        <f>IFERROR(INDEX(ATRHIST_MS2!$H$2:$H$400,MATCH($C53,ATRHIST_MS2!$A$2:$A$400,0)),0)</f>
      </c>
    </row>
    <row r="54" spans="1:30" ht="25.95" customHeight="1">
      <c r="A54" s="10">
        <f>IF(C54="","",ROW()-2)</f>
      </c>
      <c r="B54" s="11">
        <f>IF(StockList_MS2!A53="","",HYPERLINK("https://kabutan.jp/stock/?code="&amp;StockList_MS2!A53,"株探"))</f>
      </c>
      <c r="C54" s="10">
        <f>IF(StockList_MS2!A53="","",StockList_MS2!A53)</f>
      </c>
      <c r="D54" s="12">
        <f>IF(StockList_MS2!A53="","",StockList_MS2!B53)</f>
      </c>
      <c r="E54" s="13">
        <f>_xll.RssMarket("8473","現在値")</f>
      </c>
      <c r="F54" s="13">
        <f>_xll.RssMarket("8473","高値")</f>
      </c>
      <c r="G54" s="13">
        <f>_xll.RssMarket("8473","安値")</f>
      </c>
      <c r="H54" s="13">
        <f>_xll.RssMarket("8473","終値")</f>
      </c>
      <c r="I54" s="20">
        <f>_xll.RssMarket("8473","出来高")</f>
      </c>
      <c r="J54" s="13">
        <v>3440.0</v>
      </c>
      <c r="K54" s="13">
        <v>3362.0</v>
      </c>
      <c r="L54" s="13">
        <f>_xll.RssMarket("8473","前日終値")</f>
      </c>
      <c r="M54" s="5">
        <f>IF(OR(N($E54)&lt;=0,N($L54)&lt;=0),"",IF($E54&gt;$L54,"BUY-DAY","SELL-DAY"))</f>
      </c>
      <c r="N54" s="9">
        <f>IF(OR(N($E54)&lt;=0,N($F54)&lt;=0,N($G54)&lt;=0),"",IF(AND($AD54&gt;0,'操作パネル_MS2'!$H$17=1),$AD54,MAX(0,$F54-$G54)/SQRT(MAX(1,'操作パネル_MS2'!$H$12))*'操作パネル_MS2'!$H$10))</f>
      </c>
      <c r="O54" s="5">
        <f>IF(OR(N($E54)&lt;=0,$AC54=""),"",IF(N($AC54)&gt;='操作パネル_MS2'!$H$3,"VOL-OK","VOL-NG"))</f>
      </c>
      <c r="P54" s="5">
        <f>IF(OR(N($E54)&lt;=0,N($J54)&lt;=0),"",IF($E54&gt;$J54,"ON","OFF"))</f>
      </c>
      <c r="Q54" s="5">
        <f>IF(OR(N($E54)&lt;=0,N($K54)&lt;=0),"",IF($E54&lt;$K54,"ON","OFF"))</f>
      </c>
      <c r="R54" s="5">
        <f>IF(OR(N($E54)&lt;=0,N($N54)&lt;=0),"",IF(AND($M54="BUY-DAY",$O54="VOL-OK",$P54="ON",$AA54="OK",$AB54&lt;&gt;"DOWN"),"BUY",IF(AND($M54="SELL-DAY",$O54="VOL-OK",$Q54="ON",$AA54="OK",$AB54&lt;&gt;"UP"),"SELL","")))</f>
      </c>
      <c r="S54" s="9">
        <f>IF($R54="","",$E54)</f>
      </c>
      <c r="T54" s="9">
        <f>IF($R54="","",IF($R54="BUY",$E54-$N54*'操作パネル_MS2'!$H$5,$E54+$N54*'操作パネル_MS2'!$H$5))</f>
      </c>
      <c r="U54" s="9">
        <f>IF($R54="","",IF($R54="BUY",$E54+$N54*'操作パネル_MS2'!$H$6,$E54-$N54*'操作パネル_MS2'!$H$6))</f>
      </c>
      <c r="V54" s="9">
        <f>IF($R54="","",IF($R54="BUY",$E54+$N54*'操作パネル_MS2'!$H$7,$E54-$N54*'操作パネル_MS2'!$H$7))</f>
      </c>
      <c r="W54" s="9">
        <f>IF($R54="","",IF($R54="BUY",$E54+$N54*'操作パネル_MS2'!$H$8,$E54-$N54*'操作パネル_MS2'!$H$8))</f>
      </c>
      <c r="X54" s="5">
        <f>IF(OR(N($E54)&lt;=0,N($N54)&lt;=0,N($L54)&lt;=0),"",IF(AND($E54&gt;$L54,ABS($E54-$L54)&lt;$N54*0.5),"2ND","1ST"))</f>
      </c>
      <c r="Y54" s="5">
        <f>IF(OR(N($E54)&lt;=0,N($N54)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4" s="5">
        <f>IF(OR(N($E54)&lt;=0,N($N54)&lt;=0),"",IF($N54&gt;$E54*'操作パネル_MS2'!$H$4,"VOL-HIGH","VOL-NORMAL"))</f>
      </c>
      <c r="AA54" s="5">
        <f>IF(OR(N($E54)&lt;=0,N($N54)&lt;=0),"",IF(AND($O54="VOL-OK",$Z54="VOL-NORMAL"),"OK","NG"))</f>
      </c>
      <c r="AB54" s="5">
        <f>IF(OR(N($E54)&lt;=0,N($N54)&lt;=0,N($J54)&lt;=0,N($K54)&lt;=0),"",IF(AND($F54&gt;$J54,$G54&gt;$K54),"UP",IF(AND($F54&lt;$J54,$G54&lt;$K54),"DOWN","FLAT")))</f>
      </c>
      <c r="AC54" s="30">
        <f>IF($C54="","",_xll.RssMarket($C54&amp;"","売買代金"))</f>
      </c>
      <c r="AD54" s="31">
        <f>IFERROR(INDEX(ATRHIST_MS2!$H$2:$H$400,MATCH($C54,ATRHIST_MS2!$A$2:$A$400,0)),0)</f>
      </c>
    </row>
    <row r="55" spans="1:30" ht="25.95" customHeight="1">
      <c r="A55" s="5">
        <f>IF(C55="","",ROW()-2)</f>
      </c>
      <c r="B55" s="6">
        <f>IF(StockList_MS2!A54="","",HYPERLINK("https://kabutan.jp/stock/?code="&amp;StockList_MS2!A54,"株探"))</f>
      </c>
      <c r="C55" s="5">
        <f>IF(StockList_MS2!A54="","",StockList_MS2!A54)</f>
      </c>
      <c r="D55" s="7">
        <f>IF(StockList_MS2!A54="","",StockList_MS2!B54)</f>
      </c>
      <c r="E55" s="8">
        <f>_xll.RssMarket("3231","現在値")</f>
      </c>
      <c r="F55" s="8">
        <f>_xll.RssMarket("3231","高値")</f>
      </c>
      <c r="G55" s="8">
        <f>_xll.RssMarket("3231","安値")</f>
      </c>
      <c r="H55" s="8">
        <f>_xll.RssMarket("3231","終値")</f>
      </c>
      <c r="I55" s="19">
        <f>_xll.RssMarket("3231","出来高")</f>
      </c>
      <c r="J55" s="8">
        <v>937.4</v>
      </c>
      <c r="K55" s="8">
        <v>928.0</v>
      </c>
      <c r="L55" s="8">
        <f>_xll.RssMarket("3231","前日終値")</f>
      </c>
      <c r="M55" s="5">
        <f>IF(OR(N($E55)&lt;=0,N($L55)&lt;=0),"",IF($E55&gt;$L55,"BUY-DAY","SELL-DAY"))</f>
      </c>
      <c r="N55" s="9">
        <f>IF(OR(N($E55)&lt;=0,N($F55)&lt;=0,N($G55)&lt;=0),"",IF(AND($AD55&gt;0,'操作パネル_MS2'!$H$17=1),$AD55,MAX(0,$F55-$G55)/SQRT(MAX(1,'操作パネル_MS2'!$H$12))*'操作パネル_MS2'!$H$10))</f>
      </c>
      <c r="O55" s="5">
        <f>IF(OR(N($E55)&lt;=0,$AC55=""),"",IF(N($AC55)&gt;='操作パネル_MS2'!$H$3,"VOL-OK","VOL-NG"))</f>
      </c>
      <c r="P55" s="5">
        <f>IF(OR(N($E55)&lt;=0,N($J55)&lt;=0),"",IF($E55&gt;$J55,"ON","OFF"))</f>
      </c>
      <c r="Q55" s="5">
        <f>IF(OR(N($E55)&lt;=0,N($K55)&lt;=0),"",IF($E55&lt;$K55,"ON","OFF"))</f>
      </c>
      <c r="R55" s="5">
        <f>IF(OR(N($E55)&lt;=0,N($N55)&lt;=0),"",IF(AND($M55="BUY-DAY",$O55="VOL-OK",$P55="ON",$AA55="OK",$AB55&lt;&gt;"DOWN"),"BUY",IF(AND($M55="SELL-DAY",$O55="VOL-OK",$Q55="ON",$AA55="OK",$AB55&lt;&gt;"UP"),"SELL","")))</f>
      </c>
      <c r="S55" s="9">
        <f>IF($R55="","",$E55)</f>
      </c>
      <c r="T55" s="9">
        <f>IF($R55="","",IF($R55="BUY",$E55-$N55*'操作パネル_MS2'!$H$5,$E55+$N55*'操作パネル_MS2'!$H$5))</f>
      </c>
      <c r="U55" s="9">
        <f>IF($R55="","",IF($R55="BUY",$E55+$N55*'操作パネル_MS2'!$H$6,$E55-$N55*'操作パネル_MS2'!$H$6))</f>
      </c>
      <c r="V55" s="9">
        <f>IF($R55="","",IF($R55="BUY",$E55+$N55*'操作パネル_MS2'!$H$7,$E55-$N55*'操作パネル_MS2'!$H$7))</f>
      </c>
      <c r="W55" s="9">
        <f>IF($R55="","",IF($R55="BUY",$E55+$N55*'操作パネル_MS2'!$H$8,$E55-$N55*'操作パネル_MS2'!$H$8))</f>
      </c>
      <c r="X55" s="5">
        <f>IF(OR(N($E55)&lt;=0,N($N55)&lt;=0,N($L55)&lt;=0),"",IF(AND($E55&gt;$L55,ABS($E55-$L55)&lt;$N55*0.5),"2ND","1ST"))</f>
      </c>
      <c r="Y55" s="5">
        <f>IF(OR(N($E55)&lt;=0,N($N55)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5" s="5">
        <f>IF(OR(N($E55)&lt;=0,N($N55)&lt;=0),"",IF($N55&gt;$E55*'操作パネル_MS2'!$H$4,"VOL-HIGH","VOL-NORMAL"))</f>
      </c>
      <c r="AA55" s="5">
        <f>IF(OR(N($E55)&lt;=0,N($N55)&lt;=0),"",IF(AND($O55="VOL-OK",$Z55="VOL-NORMAL"),"OK","NG"))</f>
      </c>
      <c r="AB55" s="5">
        <f>IF(OR(N($E55)&lt;=0,N($N55)&lt;=0,N($J55)&lt;=0,N($K55)&lt;=0),"",IF(AND($F55&gt;$J55,$G55&gt;$K55),"UP",IF(AND($F55&lt;$J55,$G55&lt;$K55),"DOWN","FLAT")))</f>
      </c>
      <c r="AC55" s="30">
        <f>IF($C55="","",_xll.RssMarket($C55&amp;"","売買代金"))</f>
      </c>
      <c r="AD55" s="31">
        <f>IFERROR(INDEX(ATRHIST_MS2!$H$2:$H$400,MATCH($C55,ATRHIST_MS2!$A$2:$A$400,0)),0)</f>
      </c>
    </row>
    <row r="56" spans="1:30" ht="25.95" customHeight="1">
      <c r="A56" s="10">
        <f>IF(C56="","",ROW()-2)</f>
      </c>
      <c r="B56" s="11">
        <f>IF(StockList_MS2!A55="","",HYPERLINK("https://kabutan.jp/stock/?code="&amp;StockList_MS2!A55,"株探"))</f>
      </c>
      <c r="C56" s="10">
        <f>IF(StockList_MS2!A55="","",StockList_MS2!A55)</f>
      </c>
      <c r="D56" s="12">
        <f>IF(StockList_MS2!A55="","",StockList_MS2!B55)</f>
      </c>
      <c r="E56" s="13">
        <f>_xll.RssMarket("4902","現在値")</f>
      </c>
      <c r="F56" s="13">
        <f>_xll.RssMarket("4902","高値")</f>
      </c>
      <c r="G56" s="13">
        <f>_xll.RssMarket("4902","安値")</f>
      </c>
      <c r="H56" s="13">
        <f>_xll.RssMarket("4902","終値")</f>
      </c>
      <c r="I56" s="20">
        <f>_xll.RssMarket("4902","出来高")</f>
      </c>
      <c r="J56" s="13">
        <v>666.4</v>
      </c>
      <c r="K56" s="13">
        <v>655.4</v>
      </c>
      <c r="L56" s="13">
        <f>_xll.RssMarket("4902","前日終値")</f>
      </c>
      <c r="M56" s="5">
        <f>IF(OR(N($E56)&lt;=0,N($L56)&lt;=0),"",IF($E56&gt;$L56,"BUY-DAY","SELL-DAY"))</f>
      </c>
      <c r="N56" s="9">
        <f>IF(OR(N($E56)&lt;=0,N($F56)&lt;=0,N($G56)&lt;=0),"",IF(AND($AD56&gt;0,'操作パネル_MS2'!$H$17=1),$AD56,MAX(0,$F56-$G56)/SQRT(MAX(1,'操作パネル_MS2'!$H$12))*'操作パネル_MS2'!$H$10))</f>
      </c>
      <c r="O56" s="5">
        <f>IF(OR(N($E56)&lt;=0,$AC56=""),"",IF(N($AC56)&gt;='操作パネル_MS2'!$H$3,"VOL-OK","VOL-NG"))</f>
      </c>
      <c r="P56" s="5">
        <f>IF(OR(N($E56)&lt;=0,N($J56)&lt;=0),"",IF($E56&gt;$J56,"ON","OFF"))</f>
      </c>
      <c r="Q56" s="5">
        <f>IF(OR(N($E56)&lt;=0,N($K56)&lt;=0),"",IF($E56&lt;$K56,"ON","OFF"))</f>
      </c>
      <c r="R56" s="5">
        <f>IF(OR(N($E56)&lt;=0,N($N56)&lt;=0),"",IF(AND($M56="BUY-DAY",$O56="VOL-OK",$P56="ON",$AA56="OK",$AB56&lt;&gt;"DOWN"),"BUY",IF(AND($M56="SELL-DAY",$O56="VOL-OK",$Q56="ON",$AA56="OK",$AB56&lt;&gt;"UP"),"SELL","")))</f>
      </c>
      <c r="S56" s="9">
        <f>IF($R56="","",$E56)</f>
      </c>
      <c r="T56" s="9">
        <f>IF($R56="","",IF($R56="BUY",$E56-$N56*'操作パネル_MS2'!$H$5,$E56+$N56*'操作パネル_MS2'!$H$5))</f>
      </c>
      <c r="U56" s="9">
        <f>IF($R56="","",IF($R56="BUY",$E56+$N56*'操作パネル_MS2'!$H$6,$E56-$N56*'操作パネル_MS2'!$H$6))</f>
      </c>
      <c r="V56" s="9">
        <f>IF($R56="","",IF($R56="BUY",$E56+$N56*'操作パネル_MS2'!$H$7,$E56-$N56*'操作パネル_MS2'!$H$7))</f>
      </c>
      <c r="W56" s="9">
        <f>IF($R56="","",IF($R56="BUY",$E56+$N56*'操作パネル_MS2'!$H$8,$E56-$N56*'操作パネル_MS2'!$H$8))</f>
      </c>
      <c r="X56" s="5">
        <f>IF(OR(N($E56)&lt;=0,N($N56)&lt;=0,N($L56)&lt;=0),"",IF(AND($E56&gt;$L56,ABS($E56-$L56)&lt;$N56*0.5),"2ND","1ST"))</f>
      </c>
      <c r="Y56" s="5">
        <f>IF(OR(N($E56)&lt;=0,N($N56)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6" s="5">
        <f>IF(OR(N($E56)&lt;=0,N($N56)&lt;=0),"",IF($N56&gt;$E56*'操作パネル_MS2'!$H$4,"VOL-HIGH","VOL-NORMAL"))</f>
      </c>
      <c r="AA56" s="5">
        <f>IF(OR(N($E56)&lt;=0,N($N56)&lt;=0),"",IF(AND($O56="VOL-OK",$Z56="VOL-NORMAL"),"OK","NG"))</f>
      </c>
      <c r="AB56" s="5">
        <f>IF(OR(N($E56)&lt;=0,N($N56)&lt;=0,N($J56)&lt;=0,N($K56)&lt;=0),"",IF(AND($F56&gt;$J56,$G56&gt;$K56),"UP",IF(AND($F56&lt;$J56,$G56&lt;$K56),"DOWN","FLAT")))</f>
      </c>
      <c r="AC56" s="30">
        <f>IF($C56="","",_xll.RssMarket($C56&amp;"","売買代金"))</f>
      </c>
      <c r="AD56" s="31">
        <f>IFERROR(INDEX(ATRHIST_MS2!$H$2:$H$400,MATCH($C56,ATRHIST_MS2!$A$2:$A$400,0)),0)</f>
      </c>
    </row>
    <row r="57" spans="1:30" ht="25.95" customHeight="1">
      <c r="A57" s="5">
        <f>IF(C57="","",ROW()-2)</f>
      </c>
      <c r="B57" s="6">
        <f>IF(StockList_MS2!A56="","",HYPERLINK("https://kabutan.jp/stock/?code="&amp;StockList_MS2!A56,"株探"))</f>
      </c>
      <c r="C57" s="5">
        <f>IF(StockList_MS2!A56="","",StockList_MS2!A56)</f>
      </c>
      <c r="D57" s="7">
        <f>IF(StockList_MS2!A56="","",StockList_MS2!B56)</f>
      </c>
      <c r="E57" s="8">
        <f>_xll.RssMarket("6701","現在値")</f>
      </c>
      <c r="F57" s="8">
        <f>_xll.RssMarket("6701","高値")</f>
      </c>
      <c r="G57" s="8">
        <f>_xll.RssMarket("6701","安値")</f>
      </c>
      <c r="H57" s="8">
        <f>_xll.RssMarket("6701","終値")</f>
      </c>
      <c r="I57" s="19">
        <f>_xll.RssMarket("6701","出来高")</f>
      </c>
      <c r="J57" s="8">
        <v>4963.0</v>
      </c>
      <c r="K57" s="8">
        <v>4866.0</v>
      </c>
      <c r="L57" s="8">
        <f>_xll.RssMarket("6701","前日終値")</f>
      </c>
      <c r="M57" s="5">
        <f>IF(OR(N($E57)&lt;=0,N($L57)&lt;=0),"",IF($E57&gt;$L57,"BUY-DAY","SELL-DAY"))</f>
      </c>
      <c r="N57" s="9">
        <f>IF(OR(N($E57)&lt;=0,N($F57)&lt;=0,N($G57)&lt;=0),"",IF(AND($AD57&gt;0,'操作パネル_MS2'!$H$17=1),$AD57,MAX(0,$F57-$G57)/SQRT(MAX(1,'操作パネル_MS2'!$H$12))*'操作パネル_MS2'!$H$10))</f>
      </c>
      <c r="O57" s="5">
        <f>IF(OR(N($E57)&lt;=0,$AC57=""),"",IF(N($AC57)&gt;='操作パネル_MS2'!$H$3,"VOL-OK","VOL-NG"))</f>
      </c>
      <c r="P57" s="5">
        <f>IF(OR(N($E57)&lt;=0,N($J57)&lt;=0),"",IF($E57&gt;$J57,"ON","OFF"))</f>
      </c>
      <c r="Q57" s="5">
        <f>IF(OR(N($E57)&lt;=0,N($K57)&lt;=0),"",IF($E57&lt;$K57,"ON","OFF"))</f>
      </c>
      <c r="R57" s="5">
        <f>IF(OR(N($E57)&lt;=0,N($N57)&lt;=0),"",IF(AND($M57="BUY-DAY",$O57="VOL-OK",$P57="ON",$AA57="OK",$AB57&lt;&gt;"DOWN"),"BUY",IF(AND($M57="SELL-DAY",$O57="VOL-OK",$Q57="ON",$AA57="OK",$AB57&lt;&gt;"UP"),"SELL","")))</f>
      </c>
      <c r="S57" s="9">
        <f>IF($R57="","",$E57)</f>
      </c>
      <c r="T57" s="9">
        <f>IF($R57="","",IF($R57="BUY",$E57-$N57*'操作パネル_MS2'!$H$5,$E57+$N57*'操作パネル_MS2'!$H$5))</f>
      </c>
      <c r="U57" s="9">
        <f>IF($R57="","",IF($R57="BUY",$E57+$N57*'操作パネル_MS2'!$H$6,$E57-$N57*'操作パネル_MS2'!$H$6))</f>
      </c>
      <c r="V57" s="9">
        <f>IF($R57="","",IF($R57="BUY",$E57+$N57*'操作パネル_MS2'!$H$7,$E57-$N57*'操作パネル_MS2'!$H$7))</f>
      </c>
      <c r="W57" s="9">
        <f>IF($R57="","",IF($R57="BUY",$E57+$N57*'操作パネル_MS2'!$H$8,$E57-$N57*'操作パネル_MS2'!$H$8))</f>
      </c>
      <c r="X57" s="5">
        <f>IF(OR(N($E57)&lt;=0,N($N57)&lt;=0,N($L57)&lt;=0),"",IF(AND($E57&gt;$L57,ABS($E57-$L57)&lt;$N57*0.5),"2ND","1ST"))</f>
      </c>
      <c r="Y57" s="5">
        <f>IF(OR(N($E57)&lt;=0,N($N57)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7" s="5">
        <f>IF(OR(N($E57)&lt;=0,N($N57)&lt;=0),"",IF($N57&gt;$E57*'操作パネル_MS2'!$H$4,"VOL-HIGH","VOL-NORMAL"))</f>
      </c>
      <c r="AA57" s="5">
        <f>IF(OR(N($E57)&lt;=0,N($N57)&lt;=0),"",IF(AND($O57="VOL-OK",$Z57="VOL-NORMAL"),"OK","NG"))</f>
      </c>
      <c r="AB57" s="5">
        <f>IF(OR(N($E57)&lt;=0,N($N57)&lt;=0,N($J57)&lt;=0,N($K57)&lt;=0),"",IF(AND($F57&gt;$J57,$G57&gt;$K57),"UP",IF(AND($F57&lt;$J57,$G57&lt;$K57),"DOWN","FLAT")))</f>
      </c>
      <c r="AC57" s="30">
        <f>IF($C57="","",_xll.RssMarket($C57&amp;"","売買代金"))</f>
      </c>
      <c r="AD57" s="31">
        <f>IFERROR(INDEX(ATRHIST_MS2!$H$2:$H$400,MATCH($C57,ATRHIST_MS2!$A$2:$A$400,0)),0)</f>
      </c>
    </row>
    <row r="58" spans="1:30" ht="25.95" customHeight="1">
      <c r="A58" s="10">
        <f>IF(C58="","",ROW()-2)</f>
      </c>
      <c r="B58" s="11">
        <f>IF(StockList_MS2!A57="","",HYPERLINK("https://kabutan.jp/stock/?code="&amp;StockList_MS2!A57,"株探"))</f>
      </c>
      <c r="C58" s="10">
        <f>IF(StockList_MS2!A57="","",StockList_MS2!A57)</f>
      </c>
      <c r="D58" s="12">
        <f>IF(StockList_MS2!A57="","",StockList_MS2!B57)</f>
      </c>
      <c r="E58" s="13">
        <f>_xll.RssMarket("7182","現在値")</f>
      </c>
      <c r="F58" s="13">
        <f>_xll.RssMarket("7182","高値")</f>
      </c>
      <c r="G58" s="13">
        <f>_xll.RssMarket("7182","安値")</f>
      </c>
      <c r="H58" s="13">
        <f>_xll.RssMarket("7182","終値")</f>
      </c>
      <c r="I58" s="20">
        <f>_xll.RssMarket("7182","出来高")</f>
      </c>
      <c r="J58" s="13">
        <v>3368.0</v>
      </c>
      <c r="K58" s="13">
        <v>3270.0</v>
      </c>
      <c r="L58" s="13">
        <f>_xll.RssMarket("7182","前日終値")</f>
      </c>
      <c r="M58" s="5">
        <f>IF(OR(N($E58)&lt;=0,N($L58)&lt;=0),"",IF($E58&gt;$L58,"BUY-DAY","SELL-DAY"))</f>
      </c>
      <c r="N58" s="9">
        <f>IF(OR(N($E58)&lt;=0,N($F58)&lt;=0,N($G58)&lt;=0),"",IF(AND($AD58&gt;0,'操作パネル_MS2'!$H$17=1),$AD58,MAX(0,$F58-$G58)/SQRT(MAX(1,'操作パネル_MS2'!$H$12))*'操作パネル_MS2'!$H$10))</f>
      </c>
      <c r="O58" s="5">
        <f>IF(OR(N($E58)&lt;=0,$AC58=""),"",IF(N($AC58)&gt;='操作パネル_MS2'!$H$3,"VOL-OK","VOL-NG"))</f>
      </c>
      <c r="P58" s="5">
        <f>IF(OR(N($E58)&lt;=0,N($J58)&lt;=0),"",IF($E58&gt;$J58,"ON","OFF"))</f>
      </c>
      <c r="Q58" s="5">
        <f>IF(OR(N($E58)&lt;=0,N($K58)&lt;=0),"",IF($E58&lt;$K58,"ON","OFF"))</f>
      </c>
      <c r="R58" s="5">
        <f>IF(OR(N($E58)&lt;=0,N($N58)&lt;=0),"",IF(AND($M58="BUY-DAY",$O58="VOL-OK",$P58="ON",$AA58="OK",$AB58&lt;&gt;"DOWN"),"BUY",IF(AND($M58="SELL-DAY",$O58="VOL-OK",$Q58="ON",$AA58="OK",$AB58&lt;&gt;"UP"),"SELL","")))</f>
      </c>
      <c r="S58" s="9">
        <f>IF($R58="","",$E58)</f>
      </c>
      <c r="T58" s="9">
        <f>IF($R58="","",IF($R58="BUY",$E58-$N58*'操作パネル_MS2'!$H$5,$E58+$N58*'操作パネル_MS2'!$H$5))</f>
      </c>
      <c r="U58" s="9">
        <f>IF($R58="","",IF($R58="BUY",$E58+$N58*'操作パネル_MS2'!$H$6,$E58-$N58*'操作パネル_MS2'!$H$6))</f>
      </c>
      <c r="V58" s="9">
        <f>IF($R58="","",IF($R58="BUY",$E58+$N58*'操作パネル_MS2'!$H$7,$E58-$N58*'操作パネル_MS2'!$H$7))</f>
      </c>
      <c r="W58" s="9">
        <f>IF($R58="","",IF($R58="BUY",$E58+$N58*'操作パネル_MS2'!$H$8,$E58-$N58*'操作パネル_MS2'!$H$8))</f>
      </c>
      <c r="X58" s="5">
        <f>IF(OR(N($E58)&lt;=0,N($N58)&lt;=0,N($L58)&lt;=0),"",IF(AND($E58&gt;$L58,ABS($E58-$L58)&lt;$N58*0.5),"2ND","1ST"))</f>
      </c>
      <c r="Y58" s="5">
        <f>IF(OR(N($E58)&lt;=0,N($N58)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8" s="5">
        <f>IF(OR(N($E58)&lt;=0,N($N58)&lt;=0),"",IF($N58&gt;$E58*'操作パネル_MS2'!$H$4,"VOL-HIGH","VOL-NORMAL"))</f>
      </c>
      <c r="AA58" s="5">
        <f>IF(OR(N($E58)&lt;=0,N($N58)&lt;=0),"",IF(AND($O58="VOL-OK",$Z58="VOL-NORMAL"),"OK","NG"))</f>
      </c>
      <c r="AB58" s="5">
        <f>IF(OR(N($E58)&lt;=0,N($N58)&lt;=0,N($J58)&lt;=0,N($K58)&lt;=0),"",IF(AND($F58&gt;$J58,$G58&gt;$K58),"UP",IF(AND($F58&lt;$J58,$G58&lt;$K58),"DOWN","FLAT")))</f>
      </c>
      <c r="AC58" s="30">
        <f>IF($C58="","",_xll.RssMarket($C58&amp;"","売買代金"))</f>
      </c>
      <c r="AD58" s="31">
        <f>IFERROR(INDEX(ATRHIST_MS2!$H$2:$H$400,MATCH($C58,ATRHIST_MS2!$A$2:$A$400,0)),0)</f>
      </c>
    </row>
    <row r="59" spans="1:30" ht="25.95" customHeight="1">
      <c r="A59" s="5">
        <f>IF(C59="","",ROW()-2)</f>
      </c>
      <c r="B59" s="6">
        <f>IF(StockList_MS2!A58="","",HYPERLINK("https://kabutan.jp/stock/?code="&amp;StockList_MS2!A58,"株探"))</f>
      </c>
      <c r="C59" s="5">
        <f>IF(StockList_MS2!A58="","",StockList_MS2!A58)</f>
      </c>
      <c r="D59" s="7">
        <f>IF(StockList_MS2!A58="","",StockList_MS2!B58)</f>
      </c>
      <c r="E59" s="8">
        <f>_xll.RssMarket("7211","現在値")</f>
      </c>
      <c r="F59" s="8">
        <f>_xll.RssMarket("7211","高値")</f>
      </c>
      <c r="G59" s="8">
        <f>_xll.RssMarket("7211","安値")</f>
      </c>
      <c r="H59" s="8">
        <f>_xll.RssMarket("7211","終値")</f>
      </c>
      <c r="I59" s="19">
        <f>_xll.RssMarket("7211","出来高")</f>
      </c>
      <c r="J59" s="8">
        <v>388.7</v>
      </c>
      <c r="K59" s="8">
        <v>371.0</v>
      </c>
      <c r="L59" s="8">
        <f>_xll.RssMarket("7211","前日終値")</f>
      </c>
      <c r="M59" s="5">
        <f>IF(OR(N($E59)&lt;=0,N($L59)&lt;=0),"",IF($E59&gt;$L59,"BUY-DAY","SELL-DAY"))</f>
      </c>
      <c r="N59" s="9">
        <f>IF(OR(N($E59)&lt;=0,N($F59)&lt;=0,N($G59)&lt;=0),"",IF(AND($AD59&gt;0,'操作パネル_MS2'!$H$17=1),$AD59,MAX(0,$F59-$G59)/SQRT(MAX(1,'操作パネル_MS2'!$H$12))*'操作パネル_MS2'!$H$10))</f>
      </c>
      <c r="O59" s="5">
        <f>IF(OR(N($E59)&lt;=0,$AC59=""),"",IF(N($AC59)&gt;='操作パネル_MS2'!$H$3,"VOL-OK","VOL-NG"))</f>
      </c>
      <c r="P59" s="5">
        <f>IF(OR(N($E59)&lt;=0,N($J59)&lt;=0),"",IF($E59&gt;$J59,"ON","OFF"))</f>
      </c>
      <c r="Q59" s="5">
        <f>IF(OR(N($E59)&lt;=0,N($K59)&lt;=0),"",IF($E59&lt;$K59,"ON","OFF"))</f>
      </c>
      <c r="R59" s="5">
        <f>IF(OR(N($E59)&lt;=0,N($N59)&lt;=0),"",IF(AND($M59="BUY-DAY",$O59="VOL-OK",$P59="ON",$AA59="OK",$AB59&lt;&gt;"DOWN"),"BUY",IF(AND($M59="SELL-DAY",$O59="VOL-OK",$Q59="ON",$AA59="OK",$AB59&lt;&gt;"UP"),"SELL","")))</f>
      </c>
      <c r="S59" s="9">
        <f>IF($R59="","",$E59)</f>
      </c>
      <c r="T59" s="9">
        <f>IF($R59="","",IF($R59="BUY",$E59-$N59*'操作パネル_MS2'!$H$5,$E59+$N59*'操作パネル_MS2'!$H$5))</f>
      </c>
      <c r="U59" s="9">
        <f>IF($R59="","",IF($R59="BUY",$E59+$N59*'操作パネル_MS2'!$H$6,$E59-$N59*'操作パネル_MS2'!$H$6))</f>
      </c>
      <c r="V59" s="9">
        <f>IF($R59="","",IF($R59="BUY",$E59+$N59*'操作パネル_MS2'!$H$7,$E59-$N59*'操作パネル_MS2'!$H$7))</f>
      </c>
      <c r="W59" s="9">
        <f>IF($R59="","",IF($R59="BUY",$E59+$N59*'操作パネル_MS2'!$H$8,$E59-$N59*'操作パネル_MS2'!$H$8))</f>
      </c>
      <c r="X59" s="5">
        <f>IF(OR(N($E59)&lt;=0,N($N59)&lt;=0,N($L59)&lt;=0),"",IF(AND($E59&gt;$L59,ABS($E59-$L59)&lt;$N59*0.5),"2ND","1ST"))</f>
      </c>
      <c r="Y59" s="5">
        <f>IF(OR(N($E59)&lt;=0,N($N59)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59" s="5">
        <f>IF(OR(N($E59)&lt;=0,N($N59)&lt;=0),"",IF($N59&gt;$E59*'操作パネル_MS2'!$H$4,"VOL-HIGH","VOL-NORMAL"))</f>
      </c>
      <c r="AA59" s="5">
        <f>IF(OR(N($E59)&lt;=0,N($N59)&lt;=0),"",IF(AND($O59="VOL-OK",$Z59="VOL-NORMAL"),"OK","NG"))</f>
      </c>
      <c r="AB59" s="5">
        <f>IF(OR(N($E59)&lt;=0,N($N59)&lt;=0,N($J59)&lt;=0,N($K59)&lt;=0),"",IF(AND($F59&gt;$J59,$G59&gt;$K59),"UP",IF(AND($F59&lt;$J59,$G59&lt;$K59),"DOWN","FLAT")))</f>
      </c>
      <c r="AC59" s="30">
        <f>IF($C59="","",_xll.RssMarket($C59&amp;"","売買代金"))</f>
      </c>
      <c r="AD59" s="31">
        <f>IFERROR(INDEX(ATRHIST_MS2!$H$2:$H$400,MATCH($C59,ATRHIST_MS2!$A$2:$A$400,0)),0)</f>
      </c>
    </row>
    <row r="60" spans="1:30" ht="25.95" customHeight="1">
      <c r="A60" s="10">
        <f>IF(C60="","",ROW()-2)</f>
      </c>
      <c r="B60" s="11">
        <f>IF(StockList_MS2!A59="","",HYPERLINK("https://kabutan.jp/stock/?code="&amp;StockList_MS2!A59,"株探"))</f>
      </c>
      <c r="C60" s="10">
        <f>IF(StockList_MS2!A59="","",StockList_MS2!A59)</f>
      </c>
      <c r="D60" s="12">
        <f>IF(StockList_MS2!A59="","",StockList_MS2!B59)</f>
      </c>
      <c r="E60" s="13">
        <f>_xll.RssMarket("8801","現在値")</f>
      </c>
      <c r="F60" s="13">
        <f>_xll.RssMarket("8801","高値")</f>
      </c>
      <c r="G60" s="13">
        <f>_xll.RssMarket("8801","安値")</f>
      </c>
      <c r="H60" s="13">
        <f>_xll.RssMarket("8801","終値")</f>
      </c>
      <c r="I60" s="20">
        <f>_xll.RssMarket("8801","出来高")</f>
      </c>
      <c r="J60" s="13">
        <v>1542.0</v>
      </c>
      <c r="K60" s="13">
        <v>1504.0</v>
      </c>
      <c r="L60" s="13">
        <f>_xll.RssMarket("8801","前日終値")</f>
      </c>
      <c r="M60" s="5">
        <f>IF(OR(N($E60)&lt;=0,N($L60)&lt;=0),"",IF($E60&gt;$L60,"BUY-DAY","SELL-DAY"))</f>
      </c>
      <c r="N60" s="9">
        <f>IF(OR(N($E60)&lt;=0,N($F60)&lt;=0,N($G60)&lt;=0),"",IF(AND($AD60&gt;0,'操作パネル_MS2'!$H$17=1),$AD60,MAX(0,$F60-$G60)/SQRT(MAX(1,'操作パネル_MS2'!$H$12))*'操作パネル_MS2'!$H$10))</f>
      </c>
      <c r="O60" s="5">
        <f>IF(OR(N($E60)&lt;=0,$AC60=""),"",IF(N($AC60)&gt;='操作パネル_MS2'!$H$3,"VOL-OK","VOL-NG"))</f>
      </c>
      <c r="P60" s="5">
        <f>IF(OR(N($E60)&lt;=0,N($J60)&lt;=0),"",IF($E60&gt;$J60,"ON","OFF"))</f>
      </c>
      <c r="Q60" s="5">
        <f>IF(OR(N($E60)&lt;=0,N($K60)&lt;=0),"",IF($E60&lt;$K60,"ON","OFF"))</f>
      </c>
      <c r="R60" s="5">
        <f>IF(OR(N($E60)&lt;=0,N($N60)&lt;=0),"",IF(AND($M60="BUY-DAY",$O60="VOL-OK",$P60="ON",$AA60="OK",$AB60&lt;&gt;"DOWN"),"BUY",IF(AND($M60="SELL-DAY",$O60="VOL-OK",$Q60="ON",$AA60="OK",$AB60&lt;&gt;"UP"),"SELL","")))</f>
      </c>
      <c r="S60" s="9">
        <f>IF($R60="","",$E60)</f>
      </c>
      <c r="T60" s="9">
        <f>IF($R60="","",IF($R60="BUY",$E60-$N60*'操作パネル_MS2'!$H$5,$E60+$N60*'操作パネル_MS2'!$H$5))</f>
      </c>
      <c r="U60" s="9">
        <f>IF($R60="","",IF($R60="BUY",$E60+$N60*'操作パネル_MS2'!$H$6,$E60-$N60*'操作パネル_MS2'!$H$6))</f>
      </c>
      <c r="V60" s="9">
        <f>IF($R60="","",IF($R60="BUY",$E60+$N60*'操作パネル_MS2'!$H$7,$E60-$N60*'操作パネル_MS2'!$H$7))</f>
      </c>
      <c r="W60" s="9">
        <f>IF($R60="","",IF($R60="BUY",$E60+$N60*'操作パネル_MS2'!$H$8,$E60-$N60*'操作パネル_MS2'!$H$8))</f>
      </c>
      <c r="X60" s="5">
        <f>IF(OR(N($E60)&lt;=0,N($N60)&lt;=0,N($L60)&lt;=0),"",IF(AND($E60&gt;$L60,ABS($E60-$L60)&lt;$N60*0.5),"2ND","1ST"))</f>
      </c>
      <c r="Y60" s="5">
        <f>IF(OR(N($E60)&lt;=0,N($N60)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0" s="5">
        <f>IF(OR(N($E60)&lt;=0,N($N60)&lt;=0),"",IF($N60&gt;$E60*'操作パネル_MS2'!$H$4,"VOL-HIGH","VOL-NORMAL"))</f>
      </c>
      <c r="AA60" s="5">
        <f>IF(OR(N($E60)&lt;=0,N($N60)&lt;=0),"",IF(AND($O60="VOL-OK",$Z60="VOL-NORMAL"),"OK","NG"))</f>
      </c>
      <c r="AB60" s="5">
        <f>IF(OR(N($E60)&lt;=0,N($N60)&lt;=0,N($J60)&lt;=0,N($K60)&lt;=0),"",IF(AND($F60&gt;$J60,$G60&gt;$K60),"UP",IF(AND($F60&lt;$J60,$G60&lt;$K60),"DOWN","FLAT")))</f>
      </c>
      <c r="AC60" s="30">
        <f>IF($C60="","",_xll.RssMarket($C60&amp;"","売買代金"))</f>
      </c>
      <c r="AD60" s="31">
        <f>IFERROR(INDEX(ATRHIST_MS2!$H$2:$H$400,MATCH($C60,ATRHIST_MS2!$A$2:$A$400,0)),0)</f>
      </c>
    </row>
    <row r="61" spans="1:30" ht="25.95" customHeight="1">
      <c r="A61" s="5">
        <f>IF(C61="","",ROW()-2)</f>
      </c>
      <c r="B61" s="6">
        <f>IF(StockList_MS2!A60="","",HYPERLINK("https://kabutan.jp/stock/?code="&amp;StockList_MS2!A60,"株探"))</f>
      </c>
      <c r="C61" s="5">
        <f>IF(StockList_MS2!A60="","",StockList_MS2!A60)</f>
      </c>
      <c r="D61" s="7">
        <f>IF(StockList_MS2!A60="","",StockList_MS2!B60)</f>
      </c>
      <c r="E61" s="8">
        <f>_xll.RssMarket("6971","現在値")</f>
      </c>
      <c r="F61" s="8">
        <f>_xll.RssMarket("6971","高値")</f>
      </c>
      <c r="G61" s="8">
        <f>_xll.RssMarket("6971","安値")</f>
      </c>
      <c r="H61" s="8">
        <f>_xll.RssMarket("6971","終値")</f>
      </c>
      <c r="I61" s="19">
        <f>_xll.RssMarket("6971","出来高")</f>
      </c>
      <c r="J61" s="8">
        <v>3661.0</v>
      </c>
      <c r="K61" s="8">
        <v>3621.0</v>
      </c>
      <c r="L61" s="8">
        <f>_xll.RssMarket("6971","前日終値")</f>
      </c>
      <c r="M61" s="5">
        <f>IF(OR(N($E61)&lt;=0,N($L61)&lt;=0),"",IF($E61&gt;$L61,"BUY-DAY","SELL-DAY"))</f>
      </c>
      <c r="N61" s="9">
        <f>IF(OR(N($E61)&lt;=0,N($F61)&lt;=0,N($G61)&lt;=0),"",IF(AND($AD61&gt;0,'操作パネル_MS2'!$H$17=1),$AD61,MAX(0,$F61-$G61)/SQRT(MAX(1,'操作パネル_MS2'!$H$12))*'操作パネル_MS2'!$H$10))</f>
      </c>
      <c r="O61" s="5">
        <f>IF(OR(N($E61)&lt;=0,$AC61=""),"",IF(N($AC61)&gt;='操作パネル_MS2'!$H$3,"VOL-OK","VOL-NG"))</f>
      </c>
      <c r="P61" s="5">
        <f>IF(OR(N($E61)&lt;=0,N($J61)&lt;=0),"",IF($E61&gt;$J61,"ON","OFF"))</f>
      </c>
      <c r="Q61" s="5">
        <f>IF(OR(N($E61)&lt;=0,N($K61)&lt;=0),"",IF($E61&lt;$K61,"ON","OFF"))</f>
      </c>
      <c r="R61" s="5">
        <f>IF(OR(N($E61)&lt;=0,N($N61)&lt;=0),"",IF(AND($M61="BUY-DAY",$O61="VOL-OK",$P61="ON",$AA61="OK",$AB61&lt;&gt;"DOWN"),"BUY",IF(AND($M61="SELL-DAY",$O61="VOL-OK",$Q61="ON",$AA61="OK",$AB61&lt;&gt;"UP"),"SELL","")))</f>
      </c>
      <c r="S61" s="9">
        <f>IF($R61="","",$E61)</f>
      </c>
      <c r="T61" s="9">
        <f>IF($R61="","",IF($R61="BUY",$E61-$N61*'操作パネル_MS2'!$H$5,$E61+$N61*'操作パネル_MS2'!$H$5))</f>
      </c>
      <c r="U61" s="9">
        <f>IF($R61="","",IF($R61="BUY",$E61+$N61*'操作パネル_MS2'!$H$6,$E61-$N61*'操作パネル_MS2'!$H$6))</f>
      </c>
      <c r="V61" s="9">
        <f>IF($R61="","",IF($R61="BUY",$E61+$N61*'操作パネル_MS2'!$H$7,$E61-$N61*'操作パネル_MS2'!$H$7))</f>
      </c>
      <c r="W61" s="9">
        <f>IF($R61="","",IF($R61="BUY",$E61+$N61*'操作パネル_MS2'!$H$8,$E61-$N61*'操作パネル_MS2'!$H$8))</f>
      </c>
      <c r="X61" s="5">
        <f>IF(OR(N($E61)&lt;=0,N($N61)&lt;=0,N($L61)&lt;=0),"",IF(AND($E61&gt;$L61,ABS($E61-$L61)&lt;$N61*0.5),"2ND","1ST"))</f>
      </c>
      <c r="Y61" s="5">
        <f>IF(OR(N($E61)&lt;=0,N($N61)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1" s="5">
        <f>IF(OR(N($E61)&lt;=0,N($N61)&lt;=0),"",IF($N61&gt;$E61*'操作パネル_MS2'!$H$4,"VOL-HIGH","VOL-NORMAL"))</f>
      </c>
      <c r="AA61" s="5">
        <f>IF(OR(N($E61)&lt;=0,N($N61)&lt;=0),"",IF(AND($O61="VOL-OK",$Z61="VOL-NORMAL"),"OK","NG"))</f>
      </c>
      <c r="AB61" s="5">
        <f>IF(OR(N($E61)&lt;=0,N($N61)&lt;=0,N($J61)&lt;=0,N($K61)&lt;=0),"",IF(AND($F61&gt;$J61,$G61&gt;$K61),"UP",IF(AND($F61&lt;$J61,$G61&lt;$K61),"DOWN","FLAT")))</f>
      </c>
      <c r="AC61" s="30">
        <f>IF($C61="","",_xll.RssMarket($C61&amp;"","売買代金"))</f>
      </c>
      <c r="AD61" s="31">
        <f>IFERROR(INDEX(ATRHIST_MS2!$H$2:$H$400,MATCH($C61,ATRHIST_MS2!$A$2:$A$400,0)),0)</f>
      </c>
    </row>
    <row r="62" spans="1:30" ht="25.95" customHeight="1">
      <c r="A62" s="10">
        <f>IF(C62="","",ROW()-2)</f>
      </c>
      <c r="B62" s="11">
        <f>IF(StockList_MS2!A61="","",HYPERLINK("https://kabutan.jp/stock/?code="&amp;StockList_MS2!A61,"株探"))</f>
      </c>
      <c r="C62" s="10">
        <f>IF(StockList_MS2!A61="","",StockList_MS2!A61)</f>
      </c>
      <c r="D62" s="12">
        <f>IF(StockList_MS2!A61="","",StockList_MS2!B61)</f>
      </c>
      <c r="E62" s="13">
        <f>_xll.RssMarket("6503","現在値")</f>
      </c>
      <c r="F62" s="13">
        <f>_xll.RssMarket("6503","高値")</f>
      </c>
      <c r="G62" s="13">
        <f>_xll.RssMarket("6503","安値")</f>
      </c>
      <c r="H62" s="13">
        <f>_xll.RssMarket("6503","終値")</f>
      </c>
      <c r="I62" s="20">
        <f>_xll.RssMarket("6503","出来高")</f>
      </c>
      <c r="J62" s="13">
        <v>5679.0</v>
      </c>
      <c r="K62" s="13">
        <v>5590.0</v>
      </c>
      <c r="L62" s="13">
        <f>_xll.RssMarket("6503","前日終値")</f>
      </c>
      <c r="M62" s="5">
        <f>IF(OR(N($E62)&lt;=0,N($L62)&lt;=0),"",IF($E62&gt;$L62,"BUY-DAY","SELL-DAY"))</f>
      </c>
      <c r="N62" s="9">
        <f>IF(OR(N($E62)&lt;=0,N($F62)&lt;=0,N($G62)&lt;=0),"",IF(AND($AD62&gt;0,'操作パネル_MS2'!$H$17=1),$AD62,MAX(0,$F62-$G62)/SQRT(MAX(1,'操作パネル_MS2'!$H$12))*'操作パネル_MS2'!$H$10))</f>
      </c>
      <c r="O62" s="5">
        <f>IF(OR(N($E62)&lt;=0,$AC62=""),"",IF(N($AC62)&gt;='操作パネル_MS2'!$H$3,"VOL-OK","VOL-NG"))</f>
      </c>
      <c r="P62" s="5">
        <f>IF(OR(N($E62)&lt;=0,N($J62)&lt;=0),"",IF($E62&gt;$J62,"ON","OFF"))</f>
      </c>
      <c r="Q62" s="5">
        <f>IF(OR(N($E62)&lt;=0,N($K62)&lt;=0),"",IF($E62&lt;$K62,"ON","OFF"))</f>
      </c>
      <c r="R62" s="5">
        <f>IF(OR(N($E62)&lt;=0,N($N62)&lt;=0),"",IF(AND($M62="BUY-DAY",$O62="VOL-OK",$P62="ON",$AA62="OK",$AB62&lt;&gt;"DOWN"),"BUY",IF(AND($M62="SELL-DAY",$O62="VOL-OK",$Q62="ON",$AA62="OK",$AB62&lt;&gt;"UP"),"SELL","")))</f>
      </c>
      <c r="S62" s="9">
        <f>IF($R62="","",$E62)</f>
      </c>
      <c r="T62" s="9">
        <f>IF($R62="","",IF($R62="BUY",$E62-$N62*'操作パネル_MS2'!$H$5,$E62+$N62*'操作パネル_MS2'!$H$5))</f>
      </c>
      <c r="U62" s="9">
        <f>IF($R62="","",IF($R62="BUY",$E62+$N62*'操作パネル_MS2'!$H$6,$E62-$N62*'操作パネル_MS2'!$H$6))</f>
      </c>
      <c r="V62" s="9">
        <f>IF($R62="","",IF($R62="BUY",$E62+$N62*'操作パネル_MS2'!$H$7,$E62-$N62*'操作パネル_MS2'!$H$7))</f>
      </c>
      <c r="W62" s="9">
        <f>IF($R62="","",IF($R62="BUY",$E62+$N62*'操作パネル_MS2'!$H$8,$E62-$N62*'操作パネル_MS2'!$H$8))</f>
      </c>
      <c r="X62" s="5">
        <f>IF(OR(N($E62)&lt;=0,N($N62)&lt;=0,N($L62)&lt;=0),"",IF(AND($E62&gt;$L62,ABS($E62-$L62)&lt;$N62*0.5),"2ND","1ST"))</f>
      </c>
      <c r="Y62" s="5">
        <f>IF(OR(N($E62)&lt;=0,N($N62)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2" s="5">
        <f>IF(OR(N($E62)&lt;=0,N($N62)&lt;=0),"",IF($N62&gt;$E62*'操作パネル_MS2'!$H$4,"VOL-HIGH","VOL-NORMAL"))</f>
      </c>
      <c r="AA62" s="5">
        <f>IF(OR(N($E62)&lt;=0,N($N62)&lt;=0),"",IF(AND($O62="VOL-OK",$Z62="VOL-NORMAL"),"OK","NG"))</f>
      </c>
      <c r="AB62" s="5">
        <f>IF(OR(N($E62)&lt;=0,N($N62)&lt;=0,N($J62)&lt;=0,N($K62)&lt;=0),"",IF(AND($F62&gt;$J62,$G62&gt;$K62),"UP",IF(AND($F62&lt;$J62,$G62&lt;$K62),"DOWN","FLAT")))</f>
      </c>
      <c r="AC62" s="30">
        <f>IF($C62="","",_xll.RssMarket($C62&amp;"","売買代金"))</f>
      </c>
      <c r="AD62" s="31">
        <f>IFERROR(INDEX(ATRHIST_MS2!$H$2:$H$400,MATCH($C62,ATRHIST_MS2!$A$2:$A$400,0)),0)</f>
      </c>
    </row>
    <row r="63" spans="1:30" ht="25.95" customHeight="1">
      <c r="A63" s="5">
        <f>IF(C63="","",ROW()-2)</f>
      </c>
      <c r="B63" s="6">
        <f>IF(StockList_MS2!A62="","",HYPERLINK("https://kabutan.jp/stock/?code="&amp;StockList_MS2!A62,"株探"))</f>
      </c>
      <c r="C63" s="5">
        <f>IF(StockList_MS2!A62="","",StockList_MS2!A62)</f>
      </c>
      <c r="D63" s="7">
        <f>IF(StockList_MS2!A62="","",StockList_MS2!B62)</f>
      </c>
      <c r="E63" s="8">
        <f>_xll.RssMarket("8410","現在値")</f>
      </c>
      <c r="F63" s="8">
        <f>_xll.RssMarket("8410","高値")</f>
      </c>
      <c r="G63" s="8">
        <f>_xll.RssMarket("8410","安値")</f>
      </c>
      <c r="H63" s="8">
        <f>_xll.RssMarket("8410","終値")</f>
      </c>
      <c r="I63" s="19">
        <f>_xll.RssMarket("8410","出来高")</f>
      </c>
      <c r="J63" s="8">
        <v>339.6</v>
      </c>
      <c r="K63" s="8">
        <v>334.2</v>
      </c>
      <c r="L63" s="8">
        <f>_xll.RssMarket("8410","前日終値")</f>
      </c>
      <c r="M63" s="5">
        <f>IF(OR(N($E63)&lt;=0,N($L63)&lt;=0),"",IF($E63&gt;$L63,"BUY-DAY","SELL-DAY"))</f>
      </c>
      <c r="N63" s="9">
        <f>IF(OR(N($E63)&lt;=0,N($F63)&lt;=0,N($G63)&lt;=0),"",IF(AND($AD63&gt;0,'操作パネル_MS2'!$H$17=1),$AD63,MAX(0,$F63-$G63)/SQRT(MAX(1,'操作パネル_MS2'!$H$12))*'操作パネル_MS2'!$H$10))</f>
      </c>
      <c r="O63" s="5">
        <f>IF(OR(N($E63)&lt;=0,$AC63=""),"",IF(N($AC63)&gt;='操作パネル_MS2'!$H$3,"VOL-OK","VOL-NG"))</f>
      </c>
      <c r="P63" s="5">
        <f>IF(OR(N($E63)&lt;=0,N($J63)&lt;=0),"",IF($E63&gt;$J63,"ON","OFF"))</f>
      </c>
      <c r="Q63" s="5">
        <f>IF(OR(N($E63)&lt;=0,N($K63)&lt;=0),"",IF($E63&lt;$K63,"ON","OFF"))</f>
      </c>
      <c r="R63" s="5">
        <f>IF(OR(N($E63)&lt;=0,N($N63)&lt;=0),"",IF(AND($M63="BUY-DAY",$O63="VOL-OK",$P63="ON",$AA63="OK",$AB63&lt;&gt;"DOWN"),"BUY",IF(AND($M63="SELL-DAY",$O63="VOL-OK",$Q63="ON",$AA63="OK",$AB63&lt;&gt;"UP"),"SELL","")))</f>
      </c>
      <c r="S63" s="9">
        <f>IF($R63="","",$E63)</f>
      </c>
      <c r="T63" s="9">
        <f>IF($R63="","",IF($R63="BUY",$E63-$N63*'操作パネル_MS2'!$H$5,$E63+$N63*'操作パネル_MS2'!$H$5))</f>
      </c>
      <c r="U63" s="9">
        <f>IF($R63="","",IF($R63="BUY",$E63+$N63*'操作パネル_MS2'!$H$6,$E63-$N63*'操作パネル_MS2'!$H$6))</f>
      </c>
      <c r="V63" s="9">
        <f>IF($R63="","",IF($R63="BUY",$E63+$N63*'操作パネル_MS2'!$H$7,$E63-$N63*'操作パネル_MS2'!$H$7))</f>
      </c>
      <c r="W63" s="9">
        <f>IF($R63="","",IF($R63="BUY",$E63+$N63*'操作パネル_MS2'!$H$8,$E63-$N63*'操作パネル_MS2'!$H$8))</f>
      </c>
      <c r="X63" s="5">
        <f>IF(OR(N($E63)&lt;=0,N($N63)&lt;=0,N($L63)&lt;=0),"",IF(AND($E63&gt;$L63,ABS($E63-$L63)&lt;$N63*0.5),"2ND","1ST"))</f>
      </c>
      <c r="Y63" s="5">
        <f>IF(OR(N($E63)&lt;=0,N($N63)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3" s="5">
        <f>IF(OR(N($E63)&lt;=0,N($N63)&lt;=0),"",IF($N63&gt;$E63*'操作パネル_MS2'!$H$4,"VOL-HIGH","VOL-NORMAL"))</f>
      </c>
      <c r="AA63" s="5">
        <f>IF(OR(N($E63)&lt;=0,N($N63)&lt;=0),"",IF(AND($O63="VOL-OK",$Z63="VOL-NORMAL"),"OK","NG"))</f>
      </c>
      <c r="AB63" s="5">
        <f>IF(OR(N($E63)&lt;=0,N($N63)&lt;=0,N($J63)&lt;=0,N($K63)&lt;=0),"",IF(AND($F63&gt;$J63,$G63&gt;$K63),"UP",IF(AND($F63&lt;$J63,$G63&lt;$K63),"DOWN","FLAT")))</f>
      </c>
      <c r="AC63" s="30">
        <f>IF($C63="","",_xll.RssMarket($C63&amp;"","売買代金"))</f>
      </c>
      <c r="AD63" s="31">
        <f>IFERROR(INDEX(ATRHIST_MS2!$H$2:$H$400,MATCH($C63,ATRHIST_MS2!$A$2:$A$400,0)),0)</f>
      </c>
    </row>
    <row r="64" spans="1:30" ht="25.95" customHeight="1">
      <c r="A64" s="10">
        <f>IF(C64="","",ROW()-2)</f>
      </c>
      <c r="B64" s="11">
        <f>IF(StockList_MS2!A63="","",HYPERLINK("https://kabutan.jp/stock/?code="&amp;StockList_MS2!A63,"株探"))</f>
      </c>
      <c r="C64" s="10">
        <f>IF(StockList_MS2!A63="","",StockList_MS2!A63)</f>
      </c>
      <c r="D64" s="12">
        <f>IF(StockList_MS2!A63="","",StockList_MS2!B63)</f>
      </c>
      <c r="E64" s="13">
        <f>_xll.RssMarket("2181","現在値")</f>
      </c>
      <c r="F64" s="13">
        <f>_xll.RssMarket("2181","高値")</f>
      </c>
      <c r="G64" s="13">
        <f>_xll.RssMarket("2181","安値")</f>
      </c>
      <c r="H64" s="13">
        <f>_xll.RssMarket("2181","終値")</f>
      </c>
      <c r="I64" s="20">
        <f>_xll.RssMarket("2181","出来高")</f>
      </c>
      <c r="J64" s="13">
        <v>299.9</v>
      </c>
      <c r="K64" s="13">
        <v>295.0</v>
      </c>
      <c r="L64" s="13">
        <f>_xll.RssMarket("2181","前日終値")</f>
      </c>
      <c r="M64" s="5">
        <f>IF(OR(N($E64)&lt;=0,N($L64)&lt;=0),"",IF($E64&gt;$L64,"BUY-DAY","SELL-DAY"))</f>
      </c>
      <c r="N64" s="9">
        <f>IF(OR(N($E64)&lt;=0,N($F64)&lt;=0,N($G64)&lt;=0),"",IF(AND($AD64&gt;0,'操作パネル_MS2'!$H$17=1),$AD64,MAX(0,$F64-$G64)/SQRT(MAX(1,'操作パネル_MS2'!$H$12))*'操作パネル_MS2'!$H$10))</f>
      </c>
      <c r="O64" s="5">
        <f>IF(OR(N($E64)&lt;=0,$AC64=""),"",IF(N($AC64)&gt;='操作パネル_MS2'!$H$3,"VOL-OK","VOL-NG"))</f>
      </c>
      <c r="P64" s="5">
        <f>IF(OR(N($E64)&lt;=0,N($J64)&lt;=0),"",IF($E64&gt;$J64,"ON","OFF"))</f>
      </c>
      <c r="Q64" s="5">
        <f>IF(OR(N($E64)&lt;=0,N($K64)&lt;=0),"",IF($E64&lt;$K64,"ON","OFF"))</f>
      </c>
      <c r="R64" s="5">
        <f>IF(OR(N($E64)&lt;=0,N($N64)&lt;=0),"",IF(AND($M64="BUY-DAY",$O64="VOL-OK",$P64="ON",$AA64="OK",$AB64&lt;&gt;"DOWN"),"BUY",IF(AND($M64="SELL-DAY",$O64="VOL-OK",$Q64="ON",$AA64="OK",$AB64&lt;&gt;"UP"),"SELL","")))</f>
      </c>
      <c r="S64" s="9">
        <f>IF($R64="","",$E64)</f>
      </c>
      <c r="T64" s="9">
        <f>IF($R64="","",IF($R64="BUY",$E64-$N64*'操作パネル_MS2'!$H$5,$E64+$N64*'操作パネル_MS2'!$H$5))</f>
      </c>
      <c r="U64" s="9">
        <f>IF($R64="","",IF($R64="BUY",$E64+$N64*'操作パネル_MS2'!$H$6,$E64-$N64*'操作パネル_MS2'!$H$6))</f>
      </c>
      <c r="V64" s="9">
        <f>IF($R64="","",IF($R64="BUY",$E64+$N64*'操作パネル_MS2'!$H$7,$E64-$N64*'操作パネル_MS2'!$H$7))</f>
      </c>
      <c r="W64" s="9">
        <f>IF($R64="","",IF($R64="BUY",$E64+$N64*'操作パネル_MS2'!$H$8,$E64-$N64*'操作パネル_MS2'!$H$8))</f>
      </c>
      <c r="X64" s="5">
        <f>IF(OR(N($E64)&lt;=0,N($N64)&lt;=0,N($L64)&lt;=0),"",IF(AND($E64&gt;$L64,ABS($E64-$L64)&lt;$N64*0.5),"2ND","1ST"))</f>
      </c>
      <c r="Y64" s="5">
        <f>IF(OR(N($E64)&lt;=0,N($N64)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4" s="5">
        <f>IF(OR(N($E64)&lt;=0,N($N64)&lt;=0),"",IF($N64&gt;$E64*'操作パネル_MS2'!$H$4,"VOL-HIGH","VOL-NORMAL"))</f>
      </c>
      <c r="AA64" s="5">
        <f>IF(OR(N($E64)&lt;=0,N($N64)&lt;=0),"",IF(AND($O64="VOL-OK",$Z64="VOL-NORMAL"),"OK","NG"))</f>
      </c>
      <c r="AB64" s="5">
        <f>IF(OR(N($E64)&lt;=0,N($N64)&lt;=0,N($J64)&lt;=0,N($K64)&lt;=0),"",IF(AND($F64&gt;$J64,$G64&gt;$K64),"UP",IF(AND($F64&lt;$J64,$G64&lt;$K64),"DOWN","FLAT")))</f>
      </c>
      <c r="AC64" s="30">
        <f>IF($C64="","",_xll.RssMarket($C64&amp;"","売買代金"))</f>
      </c>
      <c r="AD64" s="31">
        <f>IFERROR(INDEX(ATRHIST_MS2!$H$2:$H$400,MATCH($C64,ATRHIST_MS2!$A$2:$A$400,0)),0)</f>
      </c>
    </row>
    <row r="65" spans="1:30" ht="25.95" customHeight="1">
      <c r="A65" s="5">
        <f>IF(C65="","",ROW()-2)</f>
      </c>
      <c r="B65" s="6">
        <f>IF(StockList_MS2!A64="","",HYPERLINK("https://kabutan.jp/stock/?code="&amp;StockList_MS2!A64,"株探"))</f>
      </c>
      <c r="C65" s="5">
        <f>IF(StockList_MS2!A64="","",StockList_MS2!A64)</f>
      </c>
      <c r="D65" s="7">
        <f>IF(StockList_MS2!A64="","",StockList_MS2!B64)</f>
      </c>
      <c r="E65" s="8">
        <f>_xll.RssMarket("5020","現在値")</f>
      </c>
      <c r="F65" s="8">
        <f>_xll.RssMarket("5020","高値")</f>
      </c>
      <c r="G65" s="8">
        <f>_xll.RssMarket("5020","安値")</f>
      </c>
      <c r="H65" s="8">
        <f>_xll.RssMarket("5020","終値")</f>
      </c>
      <c r="I65" s="19">
        <f>_xll.RssMarket("5020","出来高")</f>
      </c>
      <c r="J65" s="8">
        <v>1345.0</v>
      </c>
      <c r="K65" s="8">
        <v>1321.5</v>
      </c>
      <c r="L65" s="8">
        <f>_xll.RssMarket("5020","前日終値")</f>
      </c>
      <c r="M65" s="5">
        <f>IF(OR(N($E65)&lt;=0,N($L65)&lt;=0),"",IF($E65&gt;$L65,"BUY-DAY","SELL-DAY"))</f>
      </c>
      <c r="N65" s="9">
        <f>IF(OR(N($E65)&lt;=0,N($F65)&lt;=0,N($G65)&lt;=0),"",IF(AND($AD65&gt;0,'操作パネル_MS2'!$H$17=1),$AD65,MAX(0,$F65-$G65)/SQRT(MAX(1,'操作パネル_MS2'!$H$12))*'操作パネル_MS2'!$H$10))</f>
      </c>
      <c r="O65" s="5">
        <f>IF(OR(N($E65)&lt;=0,$AC65=""),"",IF(N($AC65)&gt;='操作パネル_MS2'!$H$3,"VOL-OK","VOL-NG"))</f>
      </c>
      <c r="P65" s="5">
        <f>IF(OR(N($E65)&lt;=0,N($J65)&lt;=0),"",IF($E65&gt;$J65,"ON","OFF"))</f>
      </c>
      <c r="Q65" s="5">
        <f>IF(OR(N($E65)&lt;=0,N($K65)&lt;=0),"",IF($E65&lt;$K65,"ON","OFF"))</f>
      </c>
      <c r="R65" s="5">
        <f>IF(OR(N($E65)&lt;=0,N($N65)&lt;=0),"",IF(AND($M65="BUY-DAY",$O65="VOL-OK",$P65="ON",$AA65="OK",$AB65&lt;&gt;"DOWN"),"BUY",IF(AND($M65="SELL-DAY",$O65="VOL-OK",$Q65="ON",$AA65="OK",$AB65&lt;&gt;"UP"),"SELL","")))</f>
      </c>
      <c r="S65" s="9">
        <f>IF($R65="","",$E65)</f>
      </c>
      <c r="T65" s="9">
        <f>IF($R65="","",IF($R65="BUY",$E65-$N65*'操作パネル_MS2'!$H$5,$E65+$N65*'操作パネル_MS2'!$H$5))</f>
      </c>
      <c r="U65" s="9">
        <f>IF($R65="","",IF($R65="BUY",$E65+$N65*'操作パネル_MS2'!$H$6,$E65-$N65*'操作パネル_MS2'!$H$6))</f>
      </c>
      <c r="V65" s="9">
        <f>IF($R65="","",IF($R65="BUY",$E65+$N65*'操作パネル_MS2'!$H$7,$E65-$N65*'操作パネル_MS2'!$H$7))</f>
      </c>
      <c r="W65" s="9">
        <f>IF($R65="","",IF($R65="BUY",$E65+$N65*'操作パネル_MS2'!$H$8,$E65-$N65*'操作パネル_MS2'!$H$8))</f>
      </c>
      <c r="X65" s="5">
        <f>IF(OR(N($E65)&lt;=0,N($N65)&lt;=0,N($L65)&lt;=0),"",IF(AND($E65&gt;$L65,ABS($E65-$L65)&lt;$N65*0.5),"2ND","1ST"))</f>
      </c>
      <c r="Y65" s="5">
        <f>IF(OR(N($E65)&lt;=0,N($N65)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5" s="5">
        <f>IF(OR(N($E65)&lt;=0,N($N65)&lt;=0),"",IF($N65&gt;$E65*'操作パネル_MS2'!$H$4,"VOL-HIGH","VOL-NORMAL"))</f>
      </c>
      <c r="AA65" s="5">
        <f>IF(OR(N($E65)&lt;=0,N($N65)&lt;=0),"",IF(AND($O65="VOL-OK",$Z65="VOL-NORMAL"),"OK","NG"))</f>
      </c>
      <c r="AB65" s="5">
        <f>IF(OR(N($E65)&lt;=0,N($N65)&lt;=0,N($J65)&lt;=0,N($K65)&lt;=0),"",IF(AND($F65&gt;$J65,$G65&gt;$K65),"UP",IF(AND($F65&lt;$J65,$G65&lt;$K65),"DOWN","FLAT")))</f>
      </c>
      <c r="AC65" s="30">
        <f>IF($C65="","",_xll.RssMarket($C65&amp;"","売買代金"))</f>
      </c>
      <c r="AD65" s="31">
        <f>IFERROR(INDEX(ATRHIST_MS2!$H$2:$H$400,MATCH($C65,ATRHIST_MS2!$A$2:$A$400,0)),0)</f>
      </c>
    </row>
    <row r="66" spans="1:30" ht="25.95" customHeight="1">
      <c r="A66" s="10">
        <f>IF(C66="","",ROW()-2)</f>
      </c>
      <c r="B66" s="11">
        <f>IF(StockList_MS2!A65="","",HYPERLINK("https://kabutan.jp/stock/?code="&amp;StockList_MS2!A65,"株探"))</f>
      </c>
      <c r="C66" s="10">
        <f>IF(StockList_MS2!A65="","",StockList_MS2!A65)</f>
      </c>
      <c r="D66" s="12">
        <f>IF(StockList_MS2!A65="","",StockList_MS2!B65)</f>
      </c>
      <c r="E66" s="13">
        <f>_xll.RssMarket("2502","現在値")</f>
      </c>
      <c r="F66" s="13">
        <f>_xll.RssMarket("2502","高値")</f>
      </c>
      <c r="G66" s="13">
        <f>_xll.RssMarket("2502","安値")</f>
      </c>
      <c r="H66" s="13">
        <f>_xll.RssMarket("2502","終値")</f>
      </c>
      <c r="I66" s="20">
        <f>_xll.RssMarket("2502","出来高")</f>
      </c>
      <c r="J66" s="13">
        <v>1670.5</v>
      </c>
      <c r="K66" s="13">
        <v>1637.0</v>
      </c>
      <c r="L66" s="13">
        <f>_xll.RssMarket("2502","前日終値")</f>
      </c>
      <c r="M66" s="5">
        <f>IF(OR(N($E66)&lt;=0,N($L66)&lt;=0),"",IF($E66&gt;$L66,"BUY-DAY","SELL-DAY"))</f>
      </c>
      <c r="N66" s="9">
        <f>IF(OR(N($E66)&lt;=0,N($F66)&lt;=0,N($G66)&lt;=0),"",IF(AND($AD66&gt;0,'操作パネル_MS2'!$H$17=1),$AD66,MAX(0,$F66-$G66)/SQRT(MAX(1,'操作パネル_MS2'!$H$12))*'操作パネル_MS2'!$H$10))</f>
      </c>
      <c r="O66" s="5">
        <f>IF(OR(N($E66)&lt;=0,$AC66=""),"",IF(N($AC66)&gt;='操作パネル_MS2'!$H$3,"VOL-OK","VOL-NG"))</f>
      </c>
      <c r="P66" s="5">
        <f>IF(OR(N($E66)&lt;=0,N($J66)&lt;=0),"",IF($E66&gt;$J66,"ON","OFF"))</f>
      </c>
      <c r="Q66" s="5">
        <f>IF(OR(N($E66)&lt;=0,N($K66)&lt;=0),"",IF($E66&lt;$K66,"ON","OFF"))</f>
      </c>
      <c r="R66" s="5">
        <f>IF(OR(N($E66)&lt;=0,N($N66)&lt;=0),"",IF(AND($M66="BUY-DAY",$O66="VOL-OK",$P66="ON",$AA66="OK",$AB66&lt;&gt;"DOWN"),"BUY",IF(AND($M66="SELL-DAY",$O66="VOL-OK",$Q66="ON",$AA66="OK",$AB66&lt;&gt;"UP"),"SELL","")))</f>
      </c>
      <c r="S66" s="9">
        <f>IF($R66="","",$E66)</f>
      </c>
      <c r="T66" s="9">
        <f>IF($R66="","",IF($R66="BUY",$E66-$N66*'操作パネル_MS2'!$H$5,$E66+$N66*'操作パネル_MS2'!$H$5))</f>
      </c>
      <c r="U66" s="9">
        <f>IF($R66="","",IF($R66="BUY",$E66+$N66*'操作パネル_MS2'!$H$6,$E66-$N66*'操作パネル_MS2'!$H$6))</f>
      </c>
      <c r="V66" s="9">
        <f>IF($R66="","",IF($R66="BUY",$E66+$N66*'操作パネル_MS2'!$H$7,$E66-$N66*'操作パネル_MS2'!$H$7))</f>
      </c>
      <c r="W66" s="9">
        <f>IF($R66="","",IF($R66="BUY",$E66+$N66*'操作パネル_MS2'!$H$8,$E66-$N66*'操作パネル_MS2'!$H$8))</f>
      </c>
      <c r="X66" s="5">
        <f>IF(OR(N($E66)&lt;=0,N($N66)&lt;=0,N($L66)&lt;=0),"",IF(AND($E66&gt;$L66,ABS($E66-$L66)&lt;$N66*0.5),"2ND","1ST"))</f>
      </c>
      <c r="Y66" s="5">
        <f>IF(OR(N($E66)&lt;=0,N($N66)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6" s="5">
        <f>IF(OR(N($E66)&lt;=0,N($N66)&lt;=0),"",IF($N66&gt;$E66*'操作パネル_MS2'!$H$4,"VOL-HIGH","VOL-NORMAL"))</f>
      </c>
      <c r="AA66" s="5">
        <f>IF(OR(N($E66)&lt;=0,N($N66)&lt;=0),"",IF(AND($O66="VOL-OK",$Z66="VOL-NORMAL"),"OK","NG"))</f>
      </c>
      <c r="AB66" s="5">
        <f>IF(OR(N($E66)&lt;=0,N($N66)&lt;=0,N($J66)&lt;=0,N($K66)&lt;=0),"",IF(AND($F66&gt;$J66,$G66&gt;$K66),"UP",IF(AND($F66&lt;$J66,$G66&lt;$K66),"DOWN","FLAT")))</f>
      </c>
      <c r="AC66" s="30">
        <f>IF($C66="","",_xll.RssMarket($C66&amp;"","売買代金"))</f>
      </c>
      <c r="AD66" s="31">
        <f>IFERROR(INDEX(ATRHIST_MS2!$H$2:$H$400,MATCH($C66,ATRHIST_MS2!$A$2:$A$400,0)),0)</f>
      </c>
    </row>
    <row r="67" spans="1:30" ht="25.95" customHeight="1">
      <c r="A67" s="5">
        <f>IF(C67="","",ROW()-2)</f>
      </c>
      <c r="B67" s="6">
        <f>IF(StockList_MS2!A66="","",HYPERLINK("https://kabutan.jp/stock/?code="&amp;StockList_MS2!A66,"株探"))</f>
      </c>
      <c r="C67" s="5">
        <f>IF(StockList_MS2!A66="","",StockList_MS2!A66)</f>
      </c>
      <c r="D67" s="7">
        <f>IF(StockList_MS2!A66="","",StockList_MS2!B66)</f>
      </c>
      <c r="E67" s="8">
        <f>_xll.RssMarket("6954","現在値")</f>
      </c>
      <c r="F67" s="8">
        <f>_xll.RssMarket("6954","高値")</f>
      </c>
      <c r="G67" s="8">
        <f>_xll.RssMarket("6954","安値")</f>
      </c>
      <c r="H67" s="8">
        <f>_xll.RssMarket("6954","終値")</f>
      </c>
      <c r="I67" s="19">
        <f>_xll.RssMarket("6954","出来高")</f>
      </c>
      <c r="J67" s="8">
        <v>6147.0</v>
      </c>
      <c r="K67" s="8">
        <v>6031.0</v>
      </c>
      <c r="L67" s="8">
        <f>_xll.RssMarket("6954","前日終値")</f>
      </c>
      <c r="M67" s="5">
        <f>IF(OR(N($E67)&lt;=0,N($L67)&lt;=0),"",IF($E67&gt;$L67,"BUY-DAY","SELL-DAY"))</f>
      </c>
      <c r="N67" s="9">
        <f>IF(OR(N($E67)&lt;=0,N($F67)&lt;=0,N($G67)&lt;=0),"",IF(AND($AD67&gt;0,'操作パネル_MS2'!$H$17=1),$AD67,MAX(0,$F67-$G67)/SQRT(MAX(1,'操作パネル_MS2'!$H$12))*'操作パネル_MS2'!$H$10))</f>
      </c>
      <c r="O67" s="5">
        <f>IF(OR(N($E67)&lt;=0,$AC67=""),"",IF(N($AC67)&gt;='操作パネル_MS2'!$H$3,"VOL-OK","VOL-NG"))</f>
      </c>
      <c r="P67" s="5">
        <f>IF(OR(N($E67)&lt;=0,N($J67)&lt;=0),"",IF($E67&gt;$J67,"ON","OFF"))</f>
      </c>
      <c r="Q67" s="5">
        <f>IF(OR(N($E67)&lt;=0,N($K67)&lt;=0),"",IF($E67&lt;$K67,"ON","OFF"))</f>
      </c>
      <c r="R67" s="5">
        <f>IF(OR(N($E67)&lt;=0,N($N67)&lt;=0),"",IF(AND($M67="BUY-DAY",$O67="VOL-OK",$P67="ON",$AA67="OK",$AB67&lt;&gt;"DOWN"),"BUY",IF(AND($M67="SELL-DAY",$O67="VOL-OK",$Q67="ON",$AA67="OK",$AB67&lt;&gt;"UP"),"SELL","")))</f>
      </c>
      <c r="S67" s="9">
        <f>IF($R67="","",$E67)</f>
      </c>
      <c r="T67" s="9">
        <f>IF($R67="","",IF($R67="BUY",$E67-$N67*'操作パネル_MS2'!$H$5,$E67+$N67*'操作パネル_MS2'!$H$5))</f>
      </c>
      <c r="U67" s="9">
        <f>IF($R67="","",IF($R67="BUY",$E67+$N67*'操作パネル_MS2'!$H$6,$E67-$N67*'操作パネル_MS2'!$H$6))</f>
      </c>
      <c r="V67" s="9">
        <f>IF($R67="","",IF($R67="BUY",$E67+$N67*'操作パネル_MS2'!$H$7,$E67-$N67*'操作パネル_MS2'!$H$7))</f>
      </c>
      <c r="W67" s="9">
        <f>IF($R67="","",IF($R67="BUY",$E67+$N67*'操作パネル_MS2'!$H$8,$E67-$N67*'操作パネル_MS2'!$H$8))</f>
      </c>
      <c r="X67" s="5">
        <f>IF(OR(N($E67)&lt;=0,N($N67)&lt;=0,N($L67)&lt;=0),"",IF(AND($E67&gt;$L67,ABS($E67-$L67)&lt;$N67*0.5),"2ND","1ST"))</f>
      </c>
      <c r="Y67" s="5">
        <f>IF(OR(N($E67)&lt;=0,N($N67)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7" s="5">
        <f>IF(OR(N($E67)&lt;=0,N($N67)&lt;=0),"",IF($N67&gt;$E67*'操作パネル_MS2'!$H$4,"VOL-HIGH","VOL-NORMAL"))</f>
      </c>
      <c r="AA67" s="5">
        <f>IF(OR(N($E67)&lt;=0,N($N67)&lt;=0),"",IF(AND($O67="VOL-OK",$Z67="VOL-NORMAL"),"OK","NG"))</f>
      </c>
      <c r="AB67" s="5">
        <f>IF(OR(N($E67)&lt;=0,N($N67)&lt;=0,N($J67)&lt;=0,N($K67)&lt;=0),"",IF(AND($F67&gt;$J67,$G67&gt;$K67),"UP",IF(AND($F67&lt;$J67,$G67&lt;$K67),"DOWN","FLAT")))</f>
      </c>
      <c r="AC67" s="30">
        <f>IF($C67="","",_xll.RssMarket($C67&amp;"","売買代金"))</f>
      </c>
      <c r="AD67" s="31">
        <f>IFERROR(INDEX(ATRHIST_MS2!$H$2:$H$400,MATCH($C67,ATRHIST_MS2!$A$2:$A$400,0)),0)</f>
      </c>
    </row>
    <row r="68" spans="1:30" ht="25.95" customHeight="1">
      <c r="A68" s="10">
        <f>IF(C68="","",ROW()-2)</f>
      </c>
      <c r="B68" s="11">
        <f>IF(StockList_MS2!A67="","",HYPERLINK("https://kabutan.jp/stock/?code="&amp;StockList_MS2!A67,"株探"))</f>
      </c>
      <c r="C68" s="10">
        <f>IF(StockList_MS2!A67="","",StockList_MS2!A67)</f>
      </c>
      <c r="D68" s="12">
        <f>IF(StockList_MS2!A67="","",StockList_MS2!B67)</f>
      </c>
      <c r="E68" s="13">
        <f>_xll.RssMarket("2127","現在値")</f>
      </c>
      <c r="F68" s="13">
        <f>_xll.RssMarket("2127","高値")</f>
      </c>
      <c r="G68" s="13">
        <f>_xll.RssMarket("2127","安値")</f>
      </c>
      <c r="H68" s="13">
        <f>_xll.RssMarket("2127","終値")</f>
      </c>
      <c r="I68" s="20">
        <f>_xll.RssMarket("2127","出来高")</f>
      </c>
      <c r="J68" s="13">
        <v>691.6</v>
      </c>
      <c r="K68" s="13">
        <v>679.2</v>
      </c>
      <c r="L68" s="13">
        <f>_xll.RssMarket("2127","前日終値")</f>
      </c>
      <c r="M68" s="5">
        <f>IF(OR(N($E68)&lt;=0,N($L68)&lt;=0),"",IF($E68&gt;$L68,"BUY-DAY","SELL-DAY"))</f>
      </c>
      <c r="N68" s="9">
        <f>IF(OR(N($E68)&lt;=0,N($F68)&lt;=0,N($G68)&lt;=0),"",IF(AND($AD68&gt;0,'操作パネル_MS2'!$H$17=1),$AD68,MAX(0,$F68-$G68)/SQRT(MAX(1,'操作パネル_MS2'!$H$12))*'操作パネル_MS2'!$H$10))</f>
      </c>
      <c r="O68" s="5">
        <f>IF(OR(N($E68)&lt;=0,$AC68=""),"",IF(N($AC68)&gt;='操作パネル_MS2'!$H$3,"VOL-OK","VOL-NG"))</f>
      </c>
      <c r="P68" s="5">
        <f>IF(OR(N($E68)&lt;=0,N($J68)&lt;=0),"",IF($E68&gt;$J68,"ON","OFF"))</f>
      </c>
      <c r="Q68" s="5">
        <f>IF(OR(N($E68)&lt;=0,N($K68)&lt;=0),"",IF($E68&lt;$K68,"ON","OFF"))</f>
      </c>
      <c r="R68" s="5">
        <f>IF(OR(N($E68)&lt;=0,N($N68)&lt;=0),"",IF(AND($M68="BUY-DAY",$O68="VOL-OK",$P68="ON",$AA68="OK",$AB68&lt;&gt;"DOWN"),"BUY",IF(AND($M68="SELL-DAY",$O68="VOL-OK",$Q68="ON",$AA68="OK",$AB68&lt;&gt;"UP"),"SELL","")))</f>
      </c>
      <c r="S68" s="9">
        <f>IF($R68="","",$E68)</f>
      </c>
      <c r="T68" s="9">
        <f>IF($R68="","",IF($R68="BUY",$E68-$N68*'操作パネル_MS2'!$H$5,$E68+$N68*'操作パネル_MS2'!$H$5))</f>
      </c>
      <c r="U68" s="9">
        <f>IF($R68="","",IF($R68="BUY",$E68+$N68*'操作パネル_MS2'!$H$6,$E68-$N68*'操作パネル_MS2'!$H$6))</f>
      </c>
      <c r="V68" s="9">
        <f>IF($R68="","",IF($R68="BUY",$E68+$N68*'操作パネル_MS2'!$H$7,$E68-$N68*'操作パネル_MS2'!$H$7))</f>
      </c>
      <c r="W68" s="9">
        <f>IF($R68="","",IF($R68="BUY",$E68+$N68*'操作パネル_MS2'!$H$8,$E68-$N68*'操作パネル_MS2'!$H$8))</f>
      </c>
      <c r="X68" s="5">
        <f>IF(OR(N($E68)&lt;=0,N($N68)&lt;=0,N($L68)&lt;=0),"",IF(AND($E68&gt;$L68,ABS($E68-$L68)&lt;$N68*0.5),"2ND","1ST"))</f>
      </c>
      <c r="Y68" s="5">
        <f>IF(OR(N($E68)&lt;=0,N($N68)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8" s="5">
        <f>IF(OR(N($E68)&lt;=0,N($N68)&lt;=0),"",IF($N68&gt;$E68*'操作パネル_MS2'!$H$4,"VOL-HIGH","VOL-NORMAL"))</f>
      </c>
      <c r="AA68" s="5">
        <f>IF(OR(N($E68)&lt;=0,N($N68)&lt;=0),"",IF(AND($O68="VOL-OK",$Z68="VOL-NORMAL"),"OK","NG"))</f>
      </c>
      <c r="AB68" s="5">
        <f>IF(OR(N($E68)&lt;=0,N($N68)&lt;=0,N($J68)&lt;=0,N($K68)&lt;=0),"",IF(AND($F68&gt;$J68,$G68&gt;$K68),"UP",IF(AND($F68&lt;$J68,$G68&lt;$K68),"DOWN","FLAT")))</f>
      </c>
      <c r="AC68" s="30">
        <f>IF($C68="","",_xll.RssMarket($C68&amp;"","売買代金"))</f>
      </c>
      <c r="AD68" s="31">
        <f>IFERROR(INDEX(ATRHIST_MS2!$H$2:$H$400,MATCH($C68,ATRHIST_MS2!$A$2:$A$400,0)),0)</f>
      </c>
    </row>
    <row r="69" spans="1:30" ht="25.95" customHeight="1">
      <c r="A69" s="5">
        <f>IF(C69="","",ROW()-2)</f>
      </c>
      <c r="B69" s="6">
        <f>IF(StockList_MS2!A68="","",HYPERLINK("https://kabutan.jp/stock/?code="&amp;StockList_MS2!A68,"株探"))</f>
      </c>
      <c r="C69" s="5">
        <f>IF(StockList_MS2!A68="","",StockList_MS2!A68)</f>
      </c>
      <c r="D69" s="7">
        <f>IF(StockList_MS2!A68="","",StockList_MS2!B68)</f>
      </c>
      <c r="E69" s="8">
        <f>_xll.RssMarket("8058","現在値")</f>
      </c>
      <c r="F69" s="8">
        <f>_xll.RssMarket("8058","高値")</f>
      </c>
      <c r="G69" s="8">
        <f>_xll.RssMarket("8058","安値")</f>
      </c>
      <c r="H69" s="8">
        <f>_xll.RssMarket("8058","終値")</f>
      </c>
      <c r="I69" s="19">
        <f>_xll.RssMarket("8058","出来高")</f>
      </c>
      <c r="J69" s="8">
        <v>4810.0</v>
      </c>
      <c r="K69" s="8">
        <v>4708.0</v>
      </c>
      <c r="L69" s="8">
        <f>_xll.RssMarket("8058","前日終値")</f>
      </c>
      <c r="M69" s="5">
        <f>IF(OR(N($E69)&lt;=0,N($L69)&lt;=0),"",IF($E69&gt;$L69,"BUY-DAY","SELL-DAY"))</f>
      </c>
      <c r="N69" s="9">
        <f>IF(OR(N($E69)&lt;=0,N($F69)&lt;=0,N($G69)&lt;=0),"",IF(AND($AD69&gt;0,'操作パネル_MS2'!$H$17=1),$AD69,MAX(0,$F69-$G69)/SQRT(MAX(1,'操作パネル_MS2'!$H$12))*'操作パネル_MS2'!$H$10))</f>
      </c>
      <c r="O69" s="5">
        <f>IF(OR(N($E69)&lt;=0,$AC69=""),"",IF(N($AC69)&gt;='操作パネル_MS2'!$H$3,"VOL-OK","VOL-NG"))</f>
      </c>
      <c r="P69" s="5">
        <f>IF(OR(N($E69)&lt;=0,N($J69)&lt;=0),"",IF($E69&gt;$J69,"ON","OFF"))</f>
      </c>
      <c r="Q69" s="5">
        <f>IF(OR(N($E69)&lt;=0,N($K69)&lt;=0),"",IF($E69&lt;$K69,"ON","OFF"))</f>
      </c>
      <c r="R69" s="5">
        <f>IF(OR(N($E69)&lt;=0,N($N69)&lt;=0),"",IF(AND($M69="BUY-DAY",$O69="VOL-OK",$P69="ON",$AA69="OK",$AB69&lt;&gt;"DOWN"),"BUY",IF(AND($M69="SELL-DAY",$O69="VOL-OK",$Q69="ON",$AA69="OK",$AB69&lt;&gt;"UP"),"SELL","")))</f>
      </c>
      <c r="S69" s="9">
        <f>IF($R69="","",$E69)</f>
      </c>
      <c r="T69" s="9">
        <f>IF($R69="","",IF($R69="BUY",$E69-$N69*'操作パネル_MS2'!$H$5,$E69+$N69*'操作パネル_MS2'!$H$5))</f>
      </c>
      <c r="U69" s="9">
        <f>IF($R69="","",IF($R69="BUY",$E69+$N69*'操作パネル_MS2'!$H$6,$E69-$N69*'操作パネル_MS2'!$H$6))</f>
      </c>
      <c r="V69" s="9">
        <f>IF($R69="","",IF($R69="BUY",$E69+$N69*'操作パネル_MS2'!$H$7,$E69-$N69*'操作パネル_MS2'!$H$7))</f>
      </c>
      <c r="W69" s="9">
        <f>IF($R69="","",IF($R69="BUY",$E69+$N69*'操作パネル_MS2'!$H$8,$E69-$N69*'操作パネル_MS2'!$H$8))</f>
      </c>
      <c r="X69" s="5">
        <f>IF(OR(N($E69)&lt;=0,N($N69)&lt;=0,N($L69)&lt;=0),"",IF(AND($E69&gt;$L69,ABS($E69-$L69)&lt;$N69*0.5),"2ND","1ST"))</f>
      </c>
      <c r="Y69" s="5">
        <f>IF(OR(N($E69)&lt;=0,N($N69)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69" s="5">
        <f>IF(OR(N($E69)&lt;=0,N($N69)&lt;=0),"",IF($N69&gt;$E69*'操作パネル_MS2'!$H$4,"VOL-HIGH","VOL-NORMAL"))</f>
      </c>
      <c r="AA69" s="5">
        <f>IF(OR(N($E69)&lt;=0,N($N69)&lt;=0),"",IF(AND($O69="VOL-OK",$Z69="VOL-NORMAL"),"OK","NG"))</f>
      </c>
      <c r="AB69" s="5">
        <f>IF(OR(N($E69)&lt;=0,N($N69)&lt;=0,N($J69)&lt;=0,N($K69)&lt;=0),"",IF(AND($F69&gt;$J69,$G69&gt;$K69),"UP",IF(AND($F69&lt;$J69,$G69&lt;$K69),"DOWN","FLAT")))</f>
      </c>
      <c r="AC69" s="30">
        <f>IF($C69="","",_xll.RssMarket($C69&amp;"","売買代金"))</f>
      </c>
      <c r="AD69" s="31">
        <f>IFERROR(INDEX(ATRHIST_MS2!$H$2:$H$400,MATCH($C69,ATRHIST_MS2!$A$2:$A$400,0)),0)</f>
      </c>
    </row>
    <row r="70" spans="1:30" ht="25.95" customHeight="1">
      <c r="A70" s="10">
        <f>IF(C70="","",ROW()-2)</f>
      </c>
      <c r="B70" s="11">
        <f>IF(StockList_MS2!A69="","",HYPERLINK("https://kabutan.jp/stock/?code="&amp;StockList_MS2!A69,"株探"))</f>
      </c>
      <c r="C70" s="10">
        <f>IF(StockList_MS2!A69="","",StockList_MS2!A69)</f>
      </c>
      <c r="D70" s="12">
        <f>IF(StockList_MS2!A69="","",StockList_MS2!B69)</f>
      </c>
      <c r="E70" s="13">
        <f>_xll.RssMarket("3382","現在値")</f>
      </c>
      <c r="F70" s="13">
        <f>_xll.RssMarket("3382","高値")</f>
      </c>
      <c r="G70" s="13">
        <f>_xll.RssMarket("3382","安値")</f>
      </c>
      <c r="H70" s="13">
        <f>_xll.RssMarket("3382","終値")</f>
      </c>
      <c r="I70" s="20">
        <f>_xll.RssMarket("3382","出来高")</f>
      </c>
      <c r="J70" s="13">
        <v>2001.5</v>
      </c>
      <c r="K70" s="13">
        <v>1957.5</v>
      </c>
      <c r="L70" s="13">
        <f>_xll.RssMarket("3382","前日終値")</f>
      </c>
      <c r="M70" s="5">
        <f>IF(OR(N($E70)&lt;=0,N($L70)&lt;=0),"",IF($E70&gt;$L70,"BUY-DAY","SELL-DAY"))</f>
      </c>
      <c r="N70" s="9">
        <f>IF(OR(N($E70)&lt;=0,N($F70)&lt;=0,N($G70)&lt;=0),"",IF(AND($AD70&gt;0,'操作パネル_MS2'!$H$17=1),$AD70,MAX(0,$F70-$G70)/SQRT(MAX(1,'操作パネル_MS2'!$H$12))*'操作パネル_MS2'!$H$10))</f>
      </c>
      <c r="O70" s="5">
        <f>IF(OR(N($E70)&lt;=0,$AC70=""),"",IF(N($AC70)&gt;='操作パネル_MS2'!$H$3,"VOL-OK","VOL-NG"))</f>
      </c>
      <c r="P70" s="5">
        <f>IF(OR(N($E70)&lt;=0,N($J70)&lt;=0),"",IF($E70&gt;$J70,"ON","OFF"))</f>
      </c>
      <c r="Q70" s="5">
        <f>IF(OR(N($E70)&lt;=0,N($K70)&lt;=0),"",IF($E70&lt;$K70,"ON","OFF"))</f>
      </c>
      <c r="R70" s="5">
        <f>IF(OR(N($E70)&lt;=0,N($N70)&lt;=0),"",IF(AND($M70="BUY-DAY",$O70="VOL-OK",$P70="ON",$AA70="OK",$AB70&lt;&gt;"DOWN"),"BUY",IF(AND($M70="SELL-DAY",$O70="VOL-OK",$Q70="ON",$AA70="OK",$AB70&lt;&gt;"UP"),"SELL","")))</f>
      </c>
      <c r="S70" s="9">
        <f>IF($R70="","",$E70)</f>
      </c>
      <c r="T70" s="9">
        <f>IF($R70="","",IF($R70="BUY",$E70-$N70*'操作パネル_MS2'!$H$5,$E70+$N70*'操作パネル_MS2'!$H$5))</f>
      </c>
      <c r="U70" s="9">
        <f>IF($R70="","",IF($R70="BUY",$E70+$N70*'操作パネル_MS2'!$H$6,$E70-$N70*'操作パネル_MS2'!$H$6))</f>
      </c>
      <c r="V70" s="9">
        <f>IF($R70="","",IF($R70="BUY",$E70+$N70*'操作パネル_MS2'!$H$7,$E70-$N70*'操作パネル_MS2'!$H$7))</f>
      </c>
      <c r="W70" s="9">
        <f>IF($R70="","",IF($R70="BUY",$E70+$N70*'操作パネル_MS2'!$H$8,$E70-$N70*'操作パネル_MS2'!$H$8))</f>
      </c>
      <c r="X70" s="5">
        <f>IF(OR(N($E70)&lt;=0,N($N70)&lt;=0,N($L70)&lt;=0),"",IF(AND($E70&gt;$L70,ABS($E70-$L70)&lt;$N70*0.5),"2ND","1ST"))</f>
      </c>
      <c r="Y70" s="5">
        <f>IF(OR(N($E70)&lt;=0,N($N70)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0" s="5">
        <f>IF(OR(N($E70)&lt;=0,N($N70)&lt;=0),"",IF($N70&gt;$E70*'操作パネル_MS2'!$H$4,"VOL-HIGH","VOL-NORMAL"))</f>
      </c>
      <c r="AA70" s="5">
        <f>IF(OR(N($E70)&lt;=0,N($N70)&lt;=0),"",IF(AND($O70="VOL-OK",$Z70="VOL-NORMAL"),"OK","NG"))</f>
      </c>
      <c r="AB70" s="5">
        <f>IF(OR(N($E70)&lt;=0,N($N70)&lt;=0,N($J70)&lt;=0,N($K70)&lt;=0),"",IF(AND($F70&gt;$J70,$G70&gt;$K70),"UP",IF(AND($F70&lt;$J70,$G70&lt;$K70),"DOWN","FLAT")))</f>
      </c>
      <c r="AC70" s="30">
        <f>IF($C70="","",_xll.RssMarket($C70&amp;"","売買代金"))</f>
      </c>
      <c r="AD70" s="31">
        <f>IFERROR(INDEX(ATRHIST_MS2!$H$2:$H$400,MATCH($C70,ATRHIST_MS2!$A$2:$A$400,0)),0)</f>
      </c>
    </row>
    <row r="71" spans="1:30" ht="25.95" customHeight="1">
      <c r="A71" s="5">
        <f>IF(C71="","",ROW()-2)</f>
      </c>
      <c r="B71" s="6">
        <f>IF(StockList_MS2!A70="","",HYPERLINK("https://kabutan.jp/stock/?code="&amp;StockList_MS2!A70,"株探"))</f>
      </c>
      <c r="C71" s="5">
        <f>IF(StockList_MS2!A70="","",StockList_MS2!A70)</f>
      </c>
      <c r="D71" s="7">
        <f>IF(StockList_MS2!A70="","",StockList_MS2!B70)</f>
      </c>
      <c r="E71" s="8">
        <f>_xll.RssMarket("8750","現在値")</f>
      </c>
      <c r="F71" s="8">
        <f>_xll.RssMarket("8750","高値")</f>
      </c>
      <c r="G71" s="8">
        <f>_xll.RssMarket("8750","安値")</f>
      </c>
      <c r="H71" s="8">
        <f>_xll.RssMarket("8750","終値")</f>
      </c>
      <c r="I71" s="19">
        <f>_xll.RssMarket("8750","出来高")</f>
      </c>
      <c r="J71" s="8">
        <v>1857.0</v>
      </c>
      <c r="K71" s="8">
        <v>1810.5</v>
      </c>
      <c r="L71" s="8">
        <f>_xll.RssMarket("8750","前日終値")</f>
      </c>
      <c r="M71" s="5">
        <f>IF(OR(N($E71)&lt;=0,N($L71)&lt;=0),"",IF($E71&gt;$L71,"BUY-DAY","SELL-DAY"))</f>
      </c>
      <c r="N71" s="9">
        <f>IF(OR(N($E71)&lt;=0,N($F71)&lt;=0,N($G71)&lt;=0),"",IF(AND($AD71&gt;0,'操作パネル_MS2'!$H$17=1),$AD71,MAX(0,$F71-$G71)/SQRT(MAX(1,'操作パネル_MS2'!$H$12))*'操作パネル_MS2'!$H$10))</f>
      </c>
      <c r="O71" s="5">
        <f>IF(OR(N($E71)&lt;=0,$AC71=""),"",IF(N($AC71)&gt;='操作パネル_MS2'!$H$3,"VOL-OK","VOL-NG"))</f>
      </c>
      <c r="P71" s="5">
        <f>IF(OR(N($E71)&lt;=0,N($J71)&lt;=0),"",IF($E71&gt;$J71,"ON","OFF"))</f>
      </c>
      <c r="Q71" s="5">
        <f>IF(OR(N($E71)&lt;=0,N($K71)&lt;=0),"",IF($E71&lt;$K71,"ON","OFF"))</f>
      </c>
      <c r="R71" s="5">
        <f>IF(OR(N($E71)&lt;=0,N($N71)&lt;=0),"",IF(AND($M71="BUY-DAY",$O71="VOL-OK",$P71="ON",$AA71="OK",$AB71&lt;&gt;"DOWN"),"BUY",IF(AND($M71="SELL-DAY",$O71="VOL-OK",$Q71="ON",$AA71="OK",$AB71&lt;&gt;"UP"),"SELL","")))</f>
      </c>
      <c r="S71" s="9">
        <f>IF($R71="","",$E71)</f>
      </c>
      <c r="T71" s="9">
        <f>IF($R71="","",IF($R71="BUY",$E71-$N71*'操作パネル_MS2'!$H$5,$E71+$N71*'操作パネル_MS2'!$H$5))</f>
      </c>
      <c r="U71" s="9">
        <f>IF($R71="","",IF($R71="BUY",$E71+$N71*'操作パネル_MS2'!$H$6,$E71-$N71*'操作パネル_MS2'!$H$6))</f>
      </c>
      <c r="V71" s="9">
        <f>IF($R71="","",IF($R71="BUY",$E71+$N71*'操作パネル_MS2'!$H$7,$E71-$N71*'操作パネル_MS2'!$H$7))</f>
      </c>
      <c r="W71" s="9">
        <f>IF($R71="","",IF($R71="BUY",$E71+$N71*'操作パネル_MS2'!$H$8,$E71-$N71*'操作パネル_MS2'!$H$8))</f>
      </c>
      <c r="X71" s="5">
        <f>IF(OR(N($E71)&lt;=0,N($N71)&lt;=0,N($L71)&lt;=0),"",IF(AND($E71&gt;$L71,ABS($E71-$L71)&lt;$N71*0.5),"2ND","1ST"))</f>
      </c>
      <c r="Y71" s="5">
        <f>IF(OR(N($E71)&lt;=0,N($N71)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1" s="5">
        <f>IF(OR(N($E71)&lt;=0,N($N71)&lt;=0),"",IF($N71&gt;$E71*'操作パネル_MS2'!$H$4,"VOL-HIGH","VOL-NORMAL"))</f>
      </c>
      <c r="AA71" s="5">
        <f>IF(OR(N($E71)&lt;=0,N($N71)&lt;=0),"",IF(AND($O71="VOL-OK",$Z71="VOL-NORMAL"),"OK","NG"))</f>
      </c>
      <c r="AB71" s="5">
        <f>IF(OR(N($E71)&lt;=0,N($N71)&lt;=0,N($J71)&lt;=0,N($K71)&lt;=0),"",IF(AND($F71&gt;$J71,$G71&gt;$K71),"UP",IF(AND($F71&lt;$J71,$G71&lt;$K71),"DOWN","FLAT")))</f>
      </c>
      <c r="AC71" s="30">
        <f>IF($C71="","",_xll.RssMarket($C71&amp;"","売買代金"))</f>
      </c>
      <c r="AD71" s="31">
        <f>IFERROR(INDEX(ATRHIST_MS2!$H$2:$H$400,MATCH($C71,ATRHIST_MS2!$A$2:$A$400,0)),0)</f>
      </c>
    </row>
    <row r="72" spans="1:30" ht="25.95" customHeight="1">
      <c r="A72" s="10">
        <f>IF(C72="","",ROW()-2)</f>
      </c>
      <c r="B72" s="11">
        <f>IF(StockList_MS2!A71="","",HYPERLINK("https://kabutan.jp/stock/?code="&amp;StockList_MS2!A71,"株探"))</f>
      </c>
      <c r="C72" s="10">
        <f>IF(StockList_MS2!A71="","",StockList_MS2!A71)</f>
      </c>
      <c r="D72" s="12">
        <f>IF(StockList_MS2!A71="","",StockList_MS2!B71)</f>
      </c>
      <c r="E72" s="13">
        <f>_xll.RssMarket("7269","現在値")</f>
      </c>
      <c r="F72" s="13">
        <f>_xll.RssMarket("7269","高値")</f>
      </c>
      <c r="G72" s="13">
        <f>_xll.RssMarket("7269","安値")</f>
      </c>
      <c r="H72" s="13">
        <f>_xll.RssMarket("7269","終値")</f>
      </c>
      <c r="I72" s="20">
        <f>_xll.RssMarket("7269","出来高")</f>
      </c>
      <c r="J72" s="13">
        <v>2173.0</v>
      </c>
      <c r="K72" s="13">
        <v>2142.0</v>
      </c>
      <c r="L72" s="13">
        <f>_xll.RssMarket("7269","前日終値")</f>
      </c>
      <c r="M72" s="5">
        <f>IF(OR(N($E72)&lt;=0,N($L72)&lt;=0),"",IF($E72&gt;$L72,"BUY-DAY","SELL-DAY"))</f>
      </c>
      <c r="N72" s="9">
        <f>IF(OR(N($E72)&lt;=0,N($F72)&lt;=0,N($G72)&lt;=0),"",IF(AND($AD72&gt;0,'操作パネル_MS2'!$H$17=1),$AD72,MAX(0,$F72-$G72)/SQRT(MAX(1,'操作パネル_MS2'!$H$12))*'操作パネル_MS2'!$H$10))</f>
      </c>
      <c r="O72" s="5">
        <f>IF(OR(N($E72)&lt;=0,$AC72=""),"",IF(N($AC72)&gt;='操作パネル_MS2'!$H$3,"VOL-OK","VOL-NG"))</f>
      </c>
      <c r="P72" s="5">
        <f>IF(OR(N($E72)&lt;=0,N($J72)&lt;=0),"",IF($E72&gt;$J72,"ON","OFF"))</f>
      </c>
      <c r="Q72" s="5">
        <f>IF(OR(N($E72)&lt;=0,N($K72)&lt;=0),"",IF($E72&lt;$K72,"ON","OFF"))</f>
      </c>
      <c r="R72" s="5">
        <f>IF(OR(N($E72)&lt;=0,N($N72)&lt;=0),"",IF(AND($M72="BUY-DAY",$O72="VOL-OK",$P72="ON",$AA72="OK",$AB72&lt;&gt;"DOWN"),"BUY",IF(AND($M72="SELL-DAY",$O72="VOL-OK",$Q72="ON",$AA72="OK",$AB72&lt;&gt;"UP"),"SELL","")))</f>
      </c>
      <c r="S72" s="9">
        <f>IF($R72="","",$E72)</f>
      </c>
      <c r="T72" s="9">
        <f>IF($R72="","",IF($R72="BUY",$E72-$N72*'操作パネル_MS2'!$H$5,$E72+$N72*'操作パネル_MS2'!$H$5))</f>
      </c>
      <c r="U72" s="9">
        <f>IF($R72="","",IF($R72="BUY",$E72+$N72*'操作パネル_MS2'!$H$6,$E72-$N72*'操作パネル_MS2'!$H$6))</f>
      </c>
      <c r="V72" s="9">
        <f>IF($R72="","",IF($R72="BUY",$E72+$N72*'操作パネル_MS2'!$H$7,$E72-$N72*'操作パネル_MS2'!$H$7))</f>
      </c>
      <c r="W72" s="9">
        <f>IF($R72="","",IF($R72="BUY",$E72+$N72*'操作パネル_MS2'!$H$8,$E72-$N72*'操作パネル_MS2'!$H$8))</f>
      </c>
      <c r="X72" s="5">
        <f>IF(OR(N($E72)&lt;=0,N($N72)&lt;=0,N($L72)&lt;=0),"",IF(AND($E72&gt;$L72,ABS($E72-$L72)&lt;$N72*0.5),"2ND","1ST"))</f>
      </c>
      <c r="Y72" s="5">
        <f>IF(OR(N($E72)&lt;=0,N($N72)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2" s="5">
        <f>IF(OR(N($E72)&lt;=0,N($N72)&lt;=0),"",IF($N72&gt;$E72*'操作パネル_MS2'!$H$4,"VOL-HIGH","VOL-NORMAL"))</f>
      </c>
      <c r="AA72" s="5">
        <f>IF(OR(N($E72)&lt;=0,N($N72)&lt;=0),"",IF(AND($O72="VOL-OK",$Z72="VOL-NORMAL"),"OK","NG"))</f>
      </c>
      <c r="AB72" s="5">
        <f>IF(OR(N($E72)&lt;=0,N($N72)&lt;=0,N($J72)&lt;=0,N($K72)&lt;=0),"",IF(AND($F72&gt;$J72,$G72&gt;$K72),"UP",IF(AND($F72&lt;$J72,$G72&lt;$K72),"DOWN","FLAT")))</f>
      </c>
      <c r="AC72" s="30">
        <f>IF($C72="","",_xll.RssMarket($C72&amp;"","売買代金"))</f>
      </c>
      <c r="AD72" s="31">
        <f>IFERROR(INDEX(ATRHIST_MS2!$H$2:$H$400,MATCH($C72,ATRHIST_MS2!$A$2:$A$400,0)),0)</f>
      </c>
    </row>
    <row r="73" spans="1:30" ht="25.95" customHeight="1">
      <c r="A73" s="5">
        <f>IF(C73="","",ROW()-2)</f>
      </c>
      <c r="B73" s="6">
        <f>IF(StockList_MS2!A72="","",HYPERLINK("https://kabutan.jp/stock/?code="&amp;StockList_MS2!A72,"株探"))</f>
      </c>
      <c r="C73" s="5">
        <f>IF(StockList_MS2!A72="","",StockList_MS2!A72)</f>
      </c>
      <c r="D73" s="7">
        <f>IF(StockList_MS2!A72="","",StockList_MS2!B72)</f>
      </c>
      <c r="E73" s="8">
        <f>_xll.RssMarket("7751","現在値")</f>
      </c>
      <c r="F73" s="8">
        <f>_xll.RssMarket("7751","高値")</f>
      </c>
      <c r="G73" s="8">
        <f>_xll.RssMarket("7751","安値")</f>
      </c>
      <c r="H73" s="8">
        <f>_xll.RssMarket("7751","終値")</f>
      </c>
      <c r="I73" s="19">
        <f>_xll.RssMarket("7751","出来高")</f>
      </c>
      <c r="J73" s="8">
        <v>4721.0</v>
      </c>
      <c r="K73" s="8">
        <v>4671.0</v>
      </c>
      <c r="L73" s="8">
        <f>_xll.RssMarket("7751","前日終値")</f>
      </c>
      <c r="M73" s="5">
        <f>IF(OR(N($E73)&lt;=0,N($L73)&lt;=0),"",IF($E73&gt;$L73,"BUY-DAY","SELL-DAY"))</f>
      </c>
      <c r="N73" s="9">
        <f>IF(OR(N($E73)&lt;=0,N($F73)&lt;=0,N($G73)&lt;=0),"",IF(AND($AD73&gt;0,'操作パネル_MS2'!$H$17=1),$AD73,MAX(0,$F73-$G73)/SQRT(MAX(1,'操作パネル_MS2'!$H$12))*'操作パネル_MS2'!$H$10))</f>
      </c>
      <c r="O73" s="5">
        <f>IF(OR(N($E73)&lt;=0,$AC73=""),"",IF(N($AC73)&gt;='操作パネル_MS2'!$H$3,"VOL-OK","VOL-NG"))</f>
      </c>
      <c r="P73" s="5">
        <f>IF(OR(N($E73)&lt;=0,N($J73)&lt;=0),"",IF($E73&gt;$J73,"ON","OFF"))</f>
      </c>
      <c r="Q73" s="5">
        <f>IF(OR(N($E73)&lt;=0,N($K73)&lt;=0),"",IF($E73&lt;$K73,"ON","OFF"))</f>
      </c>
      <c r="R73" s="5">
        <f>IF(OR(N($E73)&lt;=0,N($N73)&lt;=0),"",IF(AND($M73="BUY-DAY",$O73="VOL-OK",$P73="ON",$AA73="OK",$AB73&lt;&gt;"DOWN"),"BUY",IF(AND($M73="SELL-DAY",$O73="VOL-OK",$Q73="ON",$AA73="OK",$AB73&lt;&gt;"UP"),"SELL","")))</f>
      </c>
      <c r="S73" s="9">
        <f>IF($R73="","",$E73)</f>
      </c>
      <c r="T73" s="9">
        <f>IF($R73="","",IF($R73="BUY",$E73-$N73*'操作パネル_MS2'!$H$5,$E73+$N73*'操作パネル_MS2'!$H$5))</f>
      </c>
      <c r="U73" s="9">
        <f>IF($R73="","",IF($R73="BUY",$E73+$N73*'操作パネル_MS2'!$H$6,$E73-$N73*'操作パネル_MS2'!$H$6))</f>
      </c>
      <c r="V73" s="9">
        <f>IF($R73="","",IF($R73="BUY",$E73+$N73*'操作パネル_MS2'!$H$7,$E73-$N73*'操作パネル_MS2'!$H$7))</f>
      </c>
      <c r="W73" s="9">
        <f>IF($R73="","",IF($R73="BUY",$E73+$N73*'操作パネル_MS2'!$H$8,$E73-$N73*'操作パネル_MS2'!$H$8))</f>
      </c>
      <c r="X73" s="5">
        <f>IF(OR(N($E73)&lt;=0,N($N73)&lt;=0,N($L73)&lt;=0),"",IF(AND($E73&gt;$L73,ABS($E73-$L73)&lt;$N73*0.5),"2ND","1ST"))</f>
      </c>
      <c r="Y73" s="5">
        <f>IF(OR(N($E73)&lt;=0,N($N73)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3" s="5">
        <f>IF(OR(N($E73)&lt;=0,N($N73)&lt;=0),"",IF($N73&gt;$E73*'操作パネル_MS2'!$H$4,"VOL-HIGH","VOL-NORMAL"))</f>
      </c>
      <c r="AA73" s="5">
        <f>IF(OR(N($E73)&lt;=0,N($N73)&lt;=0),"",IF(AND($O73="VOL-OK",$Z73="VOL-NORMAL"),"OK","NG"))</f>
      </c>
      <c r="AB73" s="5">
        <f>IF(OR(N($E73)&lt;=0,N($N73)&lt;=0,N($J73)&lt;=0,N($K73)&lt;=0),"",IF(AND($F73&gt;$J73,$G73&gt;$K73),"UP",IF(AND($F73&lt;$J73,$G73&lt;$K73),"DOWN","FLAT")))</f>
      </c>
      <c r="AC73" s="30">
        <f>IF($C73="","",_xll.RssMarket($C73&amp;"","売買代金"))</f>
      </c>
      <c r="AD73" s="31">
        <f>IFERROR(INDEX(ATRHIST_MS2!$H$2:$H$400,MATCH($C73,ATRHIST_MS2!$A$2:$A$400,0)),0)</f>
      </c>
    </row>
    <row r="74" spans="1:30" ht="25.95" customHeight="1">
      <c r="A74" s="10">
        <f>IF(C74="","",ROW()-2)</f>
      </c>
      <c r="B74" s="11">
        <f>IF(StockList_MS2!A73="","",HYPERLINK("https://kabutan.jp/stock/?code="&amp;StockList_MS2!A73,"株探"))</f>
      </c>
      <c r="C74" s="10">
        <f>IF(StockList_MS2!A73="","",StockList_MS2!A73)</f>
      </c>
      <c r="D74" s="12">
        <f>IF(StockList_MS2!A73="","",StockList_MS2!B73)</f>
      </c>
      <c r="E74" s="13">
        <f>_xll.RssMarket("8113","現在値")</f>
      </c>
      <c r="F74" s="13">
        <f>_xll.RssMarket("8113","高値")</f>
      </c>
      <c r="G74" s="13">
        <f>_xll.RssMarket("8113","安値")</f>
      </c>
      <c r="H74" s="13">
        <f>_xll.RssMarket("8113","終値")</f>
      </c>
      <c r="I74" s="20">
        <f>_xll.RssMarket("8113","出来高")</f>
      </c>
      <c r="J74" s="13">
        <v>987.6</v>
      </c>
      <c r="K74" s="13">
        <v>974.2</v>
      </c>
      <c r="L74" s="13">
        <f>_xll.RssMarket("8113","前日終値")</f>
      </c>
      <c r="M74" s="5">
        <f>IF(OR(N($E74)&lt;=0,N($L74)&lt;=0),"",IF($E74&gt;$L74,"BUY-DAY","SELL-DAY"))</f>
      </c>
      <c r="N74" s="9">
        <f>IF(OR(N($E74)&lt;=0,N($F74)&lt;=0,N($G74)&lt;=0),"",IF(AND($AD74&gt;0,'操作パネル_MS2'!$H$17=1),$AD74,MAX(0,$F74-$G74)/SQRT(MAX(1,'操作パネル_MS2'!$H$12))*'操作パネル_MS2'!$H$10))</f>
      </c>
      <c r="O74" s="5">
        <f>IF(OR(N($E74)&lt;=0,$AC74=""),"",IF(N($AC74)&gt;='操作パネル_MS2'!$H$3,"VOL-OK","VOL-NG"))</f>
      </c>
      <c r="P74" s="5">
        <f>IF(OR(N($E74)&lt;=0,N($J74)&lt;=0),"",IF($E74&gt;$J74,"ON","OFF"))</f>
      </c>
      <c r="Q74" s="5">
        <f>IF(OR(N($E74)&lt;=0,N($K74)&lt;=0),"",IF($E74&lt;$K74,"ON","OFF"))</f>
      </c>
      <c r="R74" s="5">
        <f>IF(OR(N($E74)&lt;=0,N($N74)&lt;=0),"",IF(AND($M74="BUY-DAY",$O74="VOL-OK",$P74="ON",$AA74="OK",$AB74&lt;&gt;"DOWN"),"BUY",IF(AND($M74="SELL-DAY",$O74="VOL-OK",$Q74="ON",$AA74="OK",$AB74&lt;&gt;"UP"),"SELL","")))</f>
      </c>
      <c r="S74" s="9">
        <f>IF($R74="","",$E74)</f>
      </c>
      <c r="T74" s="9">
        <f>IF($R74="","",IF($R74="BUY",$E74-$N74*'操作パネル_MS2'!$H$5,$E74+$N74*'操作パネル_MS2'!$H$5))</f>
      </c>
      <c r="U74" s="9">
        <f>IF($R74="","",IF($R74="BUY",$E74+$N74*'操作パネル_MS2'!$H$6,$E74-$N74*'操作パネル_MS2'!$H$6))</f>
      </c>
      <c r="V74" s="9">
        <f>IF($R74="","",IF($R74="BUY",$E74+$N74*'操作パネル_MS2'!$H$7,$E74-$N74*'操作パネル_MS2'!$H$7))</f>
      </c>
      <c r="W74" s="9">
        <f>IF($R74="","",IF($R74="BUY",$E74+$N74*'操作パネル_MS2'!$H$8,$E74-$N74*'操作パネル_MS2'!$H$8))</f>
      </c>
      <c r="X74" s="5">
        <f>IF(OR(N($E74)&lt;=0,N($N74)&lt;=0,N($L74)&lt;=0),"",IF(AND($E74&gt;$L74,ABS($E74-$L74)&lt;$N74*0.5),"2ND","1ST"))</f>
      </c>
      <c r="Y74" s="5">
        <f>IF(OR(N($E74)&lt;=0,N($N74)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4" s="5">
        <f>IF(OR(N($E74)&lt;=0,N($N74)&lt;=0),"",IF($N74&gt;$E74*'操作パネル_MS2'!$H$4,"VOL-HIGH","VOL-NORMAL"))</f>
      </c>
      <c r="AA74" s="5">
        <f>IF(OR(N($E74)&lt;=0,N($N74)&lt;=0),"",IF(AND($O74="VOL-OK",$Z74="VOL-NORMAL"),"OK","NG"))</f>
      </c>
      <c r="AB74" s="5">
        <f>IF(OR(N($E74)&lt;=0,N($N74)&lt;=0,N($J74)&lt;=0,N($K74)&lt;=0),"",IF(AND($F74&gt;$J74,$G74&gt;$K74),"UP",IF(AND($F74&lt;$J74,$G74&lt;$K74),"DOWN","FLAT")))</f>
      </c>
      <c r="AC74" s="30">
        <f>IF($C74="","",_xll.RssMarket($C74&amp;"","売買代金"))</f>
      </c>
      <c r="AD74" s="31">
        <f>IFERROR(INDEX(ATRHIST_MS2!$H$2:$H$400,MATCH($C74,ATRHIST_MS2!$A$2:$A$400,0)),0)</f>
      </c>
    </row>
    <row r="75" spans="1:30" ht="25.95" customHeight="1">
      <c r="A75" s="5">
        <f>IF(C75="","",ROW()-2)</f>
      </c>
      <c r="B75" s="6">
        <f>IF(StockList_MS2!A74="","",HYPERLINK("https://kabutan.jp/stock/?code="&amp;StockList_MS2!A74,"株探"))</f>
      </c>
      <c r="C75" s="5">
        <f>IF(StockList_MS2!A74="","",StockList_MS2!A74)</f>
      </c>
      <c r="D75" s="7">
        <f>IF(StockList_MS2!A74="","",StockList_MS2!B74)</f>
      </c>
      <c r="E75" s="8">
        <f>_xll.RssMarket("7735","現在値")</f>
      </c>
      <c r="F75" s="8">
        <f>_xll.RssMarket("7735","高値")</f>
      </c>
      <c r="G75" s="8">
        <f>_xll.RssMarket("7735","安値")</f>
      </c>
      <c r="H75" s="8">
        <f>_xll.RssMarket("7735","終値")</f>
      </c>
      <c r="I75" s="19">
        <f>_xll.RssMarket("7735","出来高")</f>
      </c>
      <c r="J75" s="8">
        <v>14025.0</v>
      </c>
      <c r="K75" s="8">
        <v>13525.0</v>
      </c>
      <c r="L75" s="8">
        <f>_xll.RssMarket("7735","前日終値")</f>
      </c>
      <c r="M75" s="5">
        <f>IF(OR(N($E75)&lt;=0,N($L75)&lt;=0),"",IF($E75&gt;$L75,"BUY-DAY","SELL-DAY"))</f>
      </c>
      <c r="N75" s="9">
        <f>IF(OR(N($E75)&lt;=0,N($F75)&lt;=0,N($G75)&lt;=0),"",IF(AND($AD75&gt;0,'操作パネル_MS2'!$H$17=1),$AD75,MAX(0,$F75-$G75)/SQRT(MAX(1,'操作パネル_MS2'!$H$12))*'操作パネル_MS2'!$H$10))</f>
      </c>
      <c r="O75" s="5">
        <f>IF(OR(N($E75)&lt;=0,$AC75=""),"",IF(N($AC75)&gt;='操作パネル_MS2'!$H$3,"VOL-OK","VOL-NG"))</f>
      </c>
      <c r="P75" s="5">
        <f>IF(OR(N($E75)&lt;=0,N($J75)&lt;=0),"",IF($E75&gt;$J75,"ON","OFF"))</f>
      </c>
      <c r="Q75" s="5">
        <f>IF(OR(N($E75)&lt;=0,N($K75)&lt;=0),"",IF($E75&lt;$K75,"ON","OFF"))</f>
      </c>
      <c r="R75" s="5">
        <f>IF(OR(N($E75)&lt;=0,N($N75)&lt;=0),"",IF(AND($M75="BUY-DAY",$O75="VOL-OK",$P75="ON",$AA75="OK",$AB75&lt;&gt;"DOWN"),"BUY",IF(AND($M75="SELL-DAY",$O75="VOL-OK",$Q75="ON",$AA75="OK",$AB75&lt;&gt;"UP"),"SELL","")))</f>
      </c>
      <c r="S75" s="9">
        <f>IF($R75="","",$E75)</f>
      </c>
      <c r="T75" s="9">
        <f>IF($R75="","",IF($R75="BUY",$E75-$N75*'操作パネル_MS2'!$H$5,$E75+$N75*'操作パネル_MS2'!$H$5))</f>
      </c>
      <c r="U75" s="9">
        <f>IF($R75="","",IF($R75="BUY",$E75+$N75*'操作パネル_MS2'!$H$6,$E75-$N75*'操作パネル_MS2'!$H$6))</f>
      </c>
      <c r="V75" s="9">
        <f>IF($R75="","",IF($R75="BUY",$E75+$N75*'操作パネル_MS2'!$H$7,$E75-$N75*'操作パネル_MS2'!$H$7))</f>
      </c>
      <c r="W75" s="9">
        <f>IF($R75="","",IF($R75="BUY",$E75+$N75*'操作パネル_MS2'!$H$8,$E75-$N75*'操作パネル_MS2'!$H$8))</f>
      </c>
      <c r="X75" s="5">
        <f>IF(OR(N($E75)&lt;=0,N($N75)&lt;=0,N($L75)&lt;=0),"",IF(AND($E75&gt;$L75,ABS($E75-$L75)&lt;$N75*0.5),"2ND","1ST"))</f>
      </c>
      <c r="Y75" s="5">
        <f>IF(OR(N($E75)&lt;=0,N($N75)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5" s="5">
        <f>IF(OR(N($E75)&lt;=0,N($N75)&lt;=0),"",IF($N75&gt;$E75*'操作パネル_MS2'!$H$4,"VOL-HIGH","VOL-NORMAL"))</f>
      </c>
      <c r="AA75" s="5">
        <f>IF(OR(N($E75)&lt;=0,N($N75)&lt;=0),"",IF(AND($O75="VOL-OK",$Z75="VOL-NORMAL"),"OK","NG"))</f>
      </c>
      <c r="AB75" s="5">
        <f>IF(OR(N($E75)&lt;=0,N($N75)&lt;=0,N($J75)&lt;=0,N($K75)&lt;=0),"",IF(AND($F75&gt;$J75,$G75&gt;$K75),"UP",IF(AND($F75&lt;$J75,$G75&lt;$K75),"DOWN","FLAT")))</f>
      </c>
      <c r="AC75" s="30">
        <f>IF($C75="","",_xll.RssMarket($C75&amp;"","売買代金"))</f>
      </c>
      <c r="AD75" s="31">
        <f>IFERROR(INDEX(ATRHIST_MS2!$H$2:$H$400,MATCH($C75,ATRHIST_MS2!$A$2:$A$400,0)),0)</f>
      </c>
    </row>
    <row r="76" spans="1:30" ht="25.95" customHeight="1">
      <c r="A76" s="10">
        <f>IF(C76="","",ROW()-2)</f>
      </c>
      <c r="B76" s="11">
        <f>IF(StockList_MS2!A75="","",HYPERLINK("https://kabutan.jp/stock/?code="&amp;StockList_MS2!A75,"株探"))</f>
      </c>
      <c r="C76" s="10">
        <f>IF(StockList_MS2!A75="","",StockList_MS2!A75)</f>
      </c>
      <c r="D76" s="12">
        <f>IF(StockList_MS2!A75="","",StockList_MS2!B75)</f>
      </c>
      <c r="E76" s="13">
        <f>_xll.RssMarket("6506","現在値")</f>
      </c>
      <c r="F76" s="13">
        <f>_xll.RssMarket("6506","高値")</f>
      </c>
      <c r="G76" s="13">
        <f>_xll.RssMarket("6506","安値")</f>
      </c>
      <c r="H76" s="13">
        <f>_xll.RssMarket("6506","終値")</f>
      </c>
      <c r="I76" s="20">
        <f>_xll.RssMarket("6506","出来高")</f>
      </c>
      <c r="J76" s="13">
        <v>4889.0</v>
      </c>
      <c r="K76" s="13">
        <v>4773.0</v>
      </c>
      <c r="L76" s="13">
        <f>_xll.RssMarket("6506","前日終値")</f>
      </c>
      <c r="M76" s="5">
        <f>IF(OR(N($E76)&lt;=0,N($L76)&lt;=0),"",IF($E76&gt;$L76,"BUY-DAY","SELL-DAY"))</f>
      </c>
      <c r="N76" s="9">
        <f>IF(OR(N($E76)&lt;=0,N($F76)&lt;=0,N($G76)&lt;=0),"",IF(AND($AD76&gt;0,'操作パネル_MS2'!$H$17=1),$AD76,MAX(0,$F76-$G76)/SQRT(MAX(1,'操作パネル_MS2'!$H$12))*'操作パネル_MS2'!$H$10))</f>
      </c>
      <c r="O76" s="5">
        <f>IF(OR(N($E76)&lt;=0,$AC76=""),"",IF(N($AC76)&gt;='操作パネル_MS2'!$H$3,"VOL-OK","VOL-NG"))</f>
      </c>
      <c r="P76" s="5">
        <f>IF(OR(N($E76)&lt;=0,N($J76)&lt;=0),"",IF($E76&gt;$J76,"ON","OFF"))</f>
      </c>
      <c r="Q76" s="5">
        <f>IF(OR(N($E76)&lt;=0,N($K76)&lt;=0),"",IF($E76&lt;$K76,"ON","OFF"))</f>
      </c>
      <c r="R76" s="5">
        <f>IF(OR(N($E76)&lt;=0,N($N76)&lt;=0),"",IF(AND($M76="BUY-DAY",$O76="VOL-OK",$P76="ON",$AA76="OK",$AB76&lt;&gt;"DOWN"),"BUY",IF(AND($M76="SELL-DAY",$O76="VOL-OK",$Q76="ON",$AA76="OK",$AB76&lt;&gt;"UP"),"SELL","")))</f>
      </c>
      <c r="S76" s="9">
        <f>IF($R76="","",$E76)</f>
      </c>
      <c r="T76" s="9">
        <f>IF($R76="","",IF($R76="BUY",$E76-$N76*'操作パネル_MS2'!$H$5,$E76+$N76*'操作パネル_MS2'!$H$5))</f>
      </c>
      <c r="U76" s="9">
        <f>IF($R76="","",IF($R76="BUY",$E76+$N76*'操作パネル_MS2'!$H$6,$E76-$N76*'操作パネル_MS2'!$H$6))</f>
      </c>
      <c r="V76" s="9">
        <f>IF($R76="","",IF($R76="BUY",$E76+$N76*'操作パネル_MS2'!$H$7,$E76-$N76*'操作パネル_MS2'!$H$7))</f>
      </c>
      <c r="W76" s="9">
        <f>IF($R76="","",IF($R76="BUY",$E76+$N76*'操作パネル_MS2'!$H$8,$E76-$N76*'操作パネル_MS2'!$H$8))</f>
      </c>
      <c r="X76" s="5">
        <f>IF(OR(N($E76)&lt;=0,N($N76)&lt;=0,N($L76)&lt;=0),"",IF(AND($E76&gt;$L76,ABS($E76-$L76)&lt;$N76*0.5),"2ND","1ST"))</f>
      </c>
      <c r="Y76" s="5">
        <f>IF(OR(N($E76)&lt;=0,N($N76)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6" s="5">
        <f>IF(OR(N($E76)&lt;=0,N($N76)&lt;=0),"",IF($N76&gt;$E76*'操作パネル_MS2'!$H$4,"VOL-HIGH","VOL-NORMAL"))</f>
      </c>
      <c r="AA76" s="5">
        <f>IF(OR(N($E76)&lt;=0,N($N76)&lt;=0),"",IF(AND($O76="VOL-OK",$Z76="VOL-NORMAL"),"OK","NG"))</f>
      </c>
      <c r="AB76" s="5">
        <f>IF(OR(N($E76)&lt;=0,N($N76)&lt;=0,N($J76)&lt;=0,N($K76)&lt;=0),"",IF(AND($F76&gt;$J76,$G76&gt;$K76),"UP",IF(AND($F76&lt;$J76,$G76&lt;$K76),"DOWN","FLAT")))</f>
      </c>
      <c r="AC76" s="30">
        <f>IF($C76="","",_xll.RssMarket($C76&amp;"","売買代金"))</f>
      </c>
      <c r="AD76" s="31">
        <f>IFERROR(INDEX(ATRHIST_MS2!$H$2:$H$400,MATCH($C76,ATRHIST_MS2!$A$2:$A$400,0)),0)</f>
      </c>
    </row>
    <row r="77" spans="1:30" ht="25.95" customHeight="1">
      <c r="A77" s="5">
        <f>IF(C77="","",ROW()-2)</f>
      </c>
      <c r="B77" s="6">
        <f>IF(StockList_MS2!A76="","",HYPERLINK("https://kabutan.jp/stock/?code="&amp;StockList_MS2!A76,"株探"))</f>
      </c>
      <c r="C77" s="5">
        <f>IF(StockList_MS2!A76="","",StockList_MS2!A76)</f>
      </c>
      <c r="D77" s="7">
        <f>IF(StockList_MS2!A76="","",StockList_MS2!B76)</f>
      </c>
      <c r="E77" s="8">
        <f>_xll.RssMarket("6963","現在値")</f>
      </c>
      <c r="F77" s="8">
        <f>_xll.RssMarket("6963","高値")</f>
      </c>
      <c r="G77" s="8">
        <f>_xll.RssMarket("6963","安値")</f>
      </c>
      <c r="H77" s="8">
        <f>_xll.RssMarket("6963","終値")</f>
      </c>
      <c r="I77" s="19">
        <f>_xll.RssMarket("6963","出来高")</f>
      </c>
      <c r="J77" s="8">
        <v>4975.0</v>
      </c>
      <c r="K77" s="8">
        <v>4788.0</v>
      </c>
      <c r="L77" s="8">
        <f>_xll.RssMarket("6963","前日終値")</f>
      </c>
      <c r="M77" s="5">
        <f>IF(OR(N($E77)&lt;=0,N($L77)&lt;=0),"",IF($E77&gt;$L77,"BUY-DAY","SELL-DAY"))</f>
      </c>
      <c r="N77" s="9">
        <f>IF(OR(N($E77)&lt;=0,N($F77)&lt;=0,N($G77)&lt;=0),"",IF(AND($AD77&gt;0,'操作パネル_MS2'!$H$17=1),$AD77,MAX(0,$F77-$G77)/SQRT(MAX(1,'操作パネル_MS2'!$H$12))*'操作パネル_MS2'!$H$10))</f>
      </c>
      <c r="O77" s="5">
        <f>IF(OR(N($E77)&lt;=0,$AC77=""),"",IF(N($AC77)&gt;='操作パネル_MS2'!$H$3,"VOL-OK","VOL-NG"))</f>
      </c>
      <c r="P77" s="5">
        <f>IF(OR(N($E77)&lt;=0,N($J77)&lt;=0),"",IF($E77&gt;$J77,"ON","OFF"))</f>
      </c>
      <c r="Q77" s="5">
        <f>IF(OR(N($E77)&lt;=0,N($K77)&lt;=0),"",IF($E77&lt;$K77,"ON","OFF"))</f>
      </c>
      <c r="R77" s="5">
        <f>IF(OR(N($E77)&lt;=0,N($N77)&lt;=0),"",IF(AND($M77="BUY-DAY",$O77="VOL-OK",$P77="ON",$AA77="OK",$AB77&lt;&gt;"DOWN"),"BUY",IF(AND($M77="SELL-DAY",$O77="VOL-OK",$Q77="ON",$AA77="OK",$AB77&lt;&gt;"UP"),"SELL","")))</f>
      </c>
      <c r="S77" s="9">
        <f>IF($R77="","",$E77)</f>
      </c>
      <c r="T77" s="9">
        <f>IF($R77="","",IF($R77="BUY",$E77-$N77*'操作パネル_MS2'!$H$5,$E77+$N77*'操作パネル_MS2'!$H$5))</f>
      </c>
      <c r="U77" s="9">
        <f>IF($R77="","",IF($R77="BUY",$E77+$N77*'操作パネル_MS2'!$H$6,$E77-$N77*'操作パネル_MS2'!$H$6))</f>
      </c>
      <c r="V77" s="9">
        <f>IF($R77="","",IF($R77="BUY",$E77+$N77*'操作パネル_MS2'!$H$7,$E77-$N77*'操作パネル_MS2'!$H$7))</f>
      </c>
      <c r="W77" s="9">
        <f>IF($R77="","",IF($R77="BUY",$E77+$N77*'操作パネル_MS2'!$H$8,$E77-$N77*'操作パネル_MS2'!$H$8))</f>
      </c>
      <c r="X77" s="5">
        <f>IF(OR(N($E77)&lt;=0,N($N77)&lt;=0,N($L77)&lt;=0),"",IF(AND($E77&gt;$L77,ABS($E77-$L77)&lt;$N77*0.5),"2ND","1ST"))</f>
      </c>
      <c r="Y77" s="5">
        <f>IF(OR(N($E77)&lt;=0,N($N77)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7" s="5">
        <f>IF(OR(N($E77)&lt;=0,N($N77)&lt;=0),"",IF($N77&gt;$E77*'操作パネル_MS2'!$H$4,"VOL-HIGH","VOL-NORMAL"))</f>
      </c>
      <c r="AA77" s="5">
        <f>IF(OR(N($E77)&lt;=0,N($N77)&lt;=0),"",IF(AND($O77="VOL-OK",$Z77="VOL-NORMAL"),"OK","NG"))</f>
      </c>
      <c r="AB77" s="5">
        <f>IF(OR(N($E77)&lt;=0,N($N77)&lt;=0,N($J77)&lt;=0,N($K77)&lt;=0),"",IF(AND($F77&gt;$J77,$G77&gt;$K77),"UP",IF(AND($F77&lt;$J77,$G77&lt;$K77),"DOWN","FLAT")))</f>
      </c>
      <c r="AC77" s="30">
        <f>IF($C77="","",_xll.RssMarket($C77&amp;"","売買代金"))</f>
      </c>
      <c r="AD77" s="31">
        <f>IFERROR(INDEX(ATRHIST_MS2!$H$2:$H$400,MATCH($C77,ATRHIST_MS2!$A$2:$A$400,0)),0)</f>
      </c>
    </row>
    <row r="78" spans="1:30" ht="25.95" customHeight="1">
      <c r="A78" s="10">
        <f>IF(C78="","",ROW()-2)</f>
      </c>
      <c r="B78" s="11">
        <f>IF(StockList_MS2!A77="","",HYPERLINK("https://kabutan.jp/stock/?code="&amp;StockList_MS2!A77,"株探"))</f>
      </c>
      <c r="C78" s="10">
        <f>IF(StockList_MS2!A77="","",StockList_MS2!A77)</f>
      </c>
      <c r="D78" s="12">
        <f>IF(StockList_MS2!A77="","",StockList_MS2!B77)</f>
      </c>
      <c r="E78" s="13">
        <f>_xll.RssMarket("3697","現在値")</f>
      </c>
      <c r="F78" s="13">
        <f>_xll.RssMarket("3697","高値")</f>
      </c>
      <c r="G78" s="13">
        <f>_xll.RssMarket("3697","安値")</f>
      </c>
      <c r="H78" s="13">
        <f>_xll.RssMarket("3697","終値")</f>
      </c>
      <c r="I78" s="20">
        <f>_xll.RssMarket("3697","出来高")</f>
      </c>
      <c r="J78" s="13">
        <v>1021.0</v>
      </c>
      <c r="K78" s="13">
        <v>960.1</v>
      </c>
      <c r="L78" s="13">
        <f>_xll.RssMarket("3697","前日終値")</f>
      </c>
      <c r="M78" s="5">
        <f>IF(OR(N($E78)&lt;=0,N($L78)&lt;=0),"",IF($E78&gt;$L78,"BUY-DAY","SELL-DAY"))</f>
      </c>
      <c r="N78" s="9">
        <f>IF(OR(N($E78)&lt;=0,N($F78)&lt;=0,N($G78)&lt;=0),"",IF(AND($AD78&gt;0,'操作パネル_MS2'!$H$17=1),$AD78,MAX(0,$F78-$G78)/SQRT(MAX(1,'操作パネル_MS2'!$H$12))*'操作パネル_MS2'!$H$10))</f>
      </c>
      <c r="O78" s="5">
        <f>IF(OR(N($E78)&lt;=0,$AC78=""),"",IF(N($AC78)&gt;='操作パネル_MS2'!$H$3,"VOL-OK","VOL-NG"))</f>
      </c>
      <c r="P78" s="5">
        <f>IF(OR(N($E78)&lt;=0,N($J78)&lt;=0),"",IF($E78&gt;$J78,"ON","OFF"))</f>
      </c>
      <c r="Q78" s="5">
        <f>IF(OR(N($E78)&lt;=0,N($K78)&lt;=0),"",IF($E78&lt;$K78,"ON","OFF"))</f>
      </c>
      <c r="R78" s="5">
        <f>IF(OR(N($E78)&lt;=0,N($N78)&lt;=0),"",IF(AND($M78="BUY-DAY",$O78="VOL-OK",$P78="ON",$AA78="OK",$AB78&lt;&gt;"DOWN"),"BUY",IF(AND($M78="SELL-DAY",$O78="VOL-OK",$Q78="ON",$AA78="OK",$AB78&lt;&gt;"UP"),"SELL","")))</f>
      </c>
      <c r="S78" s="9">
        <f>IF($R78="","",$E78)</f>
      </c>
      <c r="T78" s="9">
        <f>IF($R78="","",IF($R78="BUY",$E78-$N78*'操作パネル_MS2'!$H$5,$E78+$N78*'操作パネル_MS2'!$H$5))</f>
      </c>
      <c r="U78" s="9">
        <f>IF($R78="","",IF($R78="BUY",$E78+$N78*'操作パネル_MS2'!$H$6,$E78-$N78*'操作パネル_MS2'!$H$6))</f>
      </c>
      <c r="V78" s="9">
        <f>IF($R78="","",IF($R78="BUY",$E78+$N78*'操作パネル_MS2'!$H$7,$E78-$N78*'操作パネル_MS2'!$H$7))</f>
      </c>
      <c r="W78" s="9">
        <f>IF($R78="","",IF($R78="BUY",$E78+$N78*'操作パネル_MS2'!$H$8,$E78-$N78*'操作パネル_MS2'!$H$8))</f>
      </c>
      <c r="X78" s="5">
        <f>IF(OR(N($E78)&lt;=0,N($N78)&lt;=0,N($L78)&lt;=0),"",IF(AND($E78&gt;$L78,ABS($E78-$L78)&lt;$N78*0.5),"2ND","1ST"))</f>
      </c>
      <c r="Y78" s="5">
        <f>IF(OR(N($E78)&lt;=0,N($N78)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8" s="5">
        <f>IF(OR(N($E78)&lt;=0,N($N78)&lt;=0),"",IF($N78&gt;$E78*'操作パネル_MS2'!$H$4,"VOL-HIGH","VOL-NORMAL"))</f>
      </c>
      <c r="AA78" s="5">
        <f>IF(OR(N($E78)&lt;=0,N($N78)&lt;=0),"",IF(AND($O78="VOL-OK",$Z78="VOL-NORMAL"),"OK","NG"))</f>
      </c>
      <c r="AB78" s="5">
        <f>IF(OR(N($E78)&lt;=0,N($N78)&lt;=0,N($J78)&lt;=0,N($K78)&lt;=0),"",IF(AND($F78&gt;$J78,$G78&gt;$K78),"UP",IF(AND($F78&lt;$J78,$G78&lt;$K78),"DOWN","FLAT")))</f>
      </c>
      <c r="AC78" s="30">
        <f>IF($C78="","",_xll.RssMarket($C78&amp;"","売買代金"))</f>
      </c>
      <c r="AD78" s="31">
        <f>IFERROR(INDEX(ATRHIST_MS2!$H$2:$H$400,MATCH($C78,ATRHIST_MS2!$A$2:$A$400,0)),0)</f>
      </c>
    </row>
    <row r="79" spans="1:30" ht="25.95" customHeight="1">
      <c r="A79" s="5">
        <f>IF(C79="","",ROW()-2)</f>
      </c>
      <c r="B79" s="6">
        <f>IF(StockList_MS2!A78="","",HYPERLINK("https://kabutan.jp/stock/?code="&amp;StockList_MS2!A78,"株探"))</f>
      </c>
      <c r="C79" s="5">
        <f>IF(StockList_MS2!A78="","",StockList_MS2!A78)</f>
      </c>
      <c r="D79" s="7">
        <f>IF(StockList_MS2!A78="","",StockList_MS2!B78)</f>
      </c>
      <c r="E79" s="8">
        <f>_xll.RssMarket("6315","現在値")</f>
      </c>
      <c r="F79" s="8">
        <f>_xll.RssMarket("6315","高値")</f>
      </c>
      <c r="G79" s="8">
        <f>_xll.RssMarket("6315","安値")</f>
      </c>
      <c r="H79" s="8">
        <f>_xll.RssMarket("6315","終値")</f>
      </c>
      <c r="I79" s="19">
        <f>_xll.RssMarket("6315","出来高")</f>
      </c>
      <c r="J79" s="8">
        <v>2361.0</v>
      </c>
      <c r="K79" s="8">
        <v>2300.0</v>
      </c>
      <c r="L79" s="8">
        <f>_xll.RssMarket("6315","前日終値")</f>
      </c>
      <c r="M79" s="5">
        <f>IF(OR(N($E79)&lt;=0,N($L79)&lt;=0),"",IF($E79&gt;$L79,"BUY-DAY","SELL-DAY"))</f>
      </c>
      <c r="N79" s="9">
        <f>IF(OR(N($E79)&lt;=0,N($F79)&lt;=0,N($G79)&lt;=0),"",IF(AND($AD79&gt;0,'操作パネル_MS2'!$H$17=1),$AD79,MAX(0,$F79-$G79)/SQRT(MAX(1,'操作パネル_MS2'!$H$12))*'操作パネル_MS2'!$H$10))</f>
      </c>
      <c r="O79" s="5">
        <f>IF(OR(N($E79)&lt;=0,$AC79=""),"",IF(N($AC79)&gt;='操作パネル_MS2'!$H$3,"VOL-OK","VOL-NG"))</f>
      </c>
      <c r="P79" s="5">
        <f>IF(OR(N($E79)&lt;=0,N($J79)&lt;=0),"",IF($E79&gt;$J79,"ON","OFF"))</f>
      </c>
      <c r="Q79" s="5">
        <f>IF(OR(N($E79)&lt;=0,N($K79)&lt;=0),"",IF($E79&lt;$K79,"ON","OFF"))</f>
      </c>
      <c r="R79" s="5">
        <f>IF(OR(N($E79)&lt;=0,N($N79)&lt;=0),"",IF(AND($M79="BUY-DAY",$O79="VOL-OK",$P79="ON",$AA79="OK",$AB79&lt;&gt;"DOWN"),"BUY",IF(AND($M79="SELL-DAY",$O79="VOL-OK",$Q79="ON",$AA79="OK",$AB79&lt;&gt;"UP"),"SELL","")))</f>
      </c>
      <c r="S79" s="9">
        <f>IF($R79="","",$E79)</f>
      </c>
      <c r="T79" s="9">
        <f>IF($R79="","",IF($R79="BUY",$E79-$N79*'操作パネル_MS2'!$H$5,$E79+$N79*'操作パネル_MS2'!$H$5))</f>
      </c>
      <c r="U79" s="9">
        <f>IF($R79="","",IF($R79="BUY",$E79+$N79*'操作パネル_MS2'!$H$6,$E79-$N79*'操作パネル_MS2'!$H$6))</f>
      </c>
      <c r="V79" s="9">
        <f>IF($R79="","",IF($R79="BUY",$E79+$N79*'操作パネル_MS2'!$H$7,$E79-$N79*'操作パネル_MS2'!$H$7))</f>
      </c>
      <c r="W79" s="9">
        <f>IF($R79="","",IF($R79="BUY",$E79+$N79*'操作パネル_MS2'!$H$8,$E79-$N79*'操作パネル_MS2'!$H$8))</f>
      </c>
      <c r="X79" s="5">
        <f>IF(OR(N($E79)&lt;=0,N($N79)&lt;=0,N($L79)&lt;=0),"",IF(AND($E79&gt;$L79,ABS($E79-$L79)&lt;$N79*0.5),"2ND","1ST"))</f>
      </c>
      <c r="Y79" s="5">
        <f>IF(OR(N($E79)&lt;=0,N($N79)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79" s="5">
        <f>IF(OR(N($E79)&lt;=0,N($N79)&lt;=0),"",IF($N79&gt;$E79*'操作パネル_MS2'!$H$4,"VOL-HIGH","VOL-NORMAL"))</f>
      </c>
      <c r="AA79" s="5">
        <f>IF(OR(N($E79)&lt;=0,N($N79)&lt;=0),"",IF(AND($O79="VOL-OK",$Z79="VOL-NORMAL"),"OK","NG"))</f>
      </c>
      <c r="AB79" s="5">
        <f>IF(OR(N($E79)&lt;=0,N($N79)&lt;=0,N($J79)&lt;=0,N($K79)&lt;=0),"",IF(AND($F79&gt;$J79,$G79&gt;$K79),"UP",IF(AND($F79&lt;$J79,$G79&lt;$K79),"DOWN","FLAT")))</f>
      </c>
      <c r="AC79" s="30">
        <f>IF($C79="","",_xll.RssMarket($C79&amp;"","売買代金"))</f>
      </c>
      <c r="AD79" s="31">
        <f>IFERROR(INDEX(ATRHIST_MS2!$H$2:$H$400,MATCH($C79,ATRHIST_MS2!$A$2:$A$400,0)),0)</f>
      </c>
    </row>
    <row r="80" spans="1:30" ht="25.95" customHeight="1">
      <c r="A80" s="10">
        <f>IF(C80="","",ROW()-2)</f>
      </c>
      <c r="B80" s="11">
        <f>IF(StockList_MS2!A79="","",HYPERLINK("https://kabutan.jp/stock/?code="&amp;StockList_MS2!A79,"株探"))</f>
      </c>
      <c r="C80" s="10">
        <f>IF(StockList_MS2!A79="","",StockList_MS2!A79)</f>
      </c>
      <c r="D80" s="12">
        <f>IF(StockList_MS2!A79="","",StockList_MS2!B79)</f>
      </c>
      <c r="E80" s="13">
        <f>_xll.RssMarket("4503","現在値")</f>
      </c>
      <c r="F80" s="13">
        <f>_xll.RssMarket("4503","高値")</f>
      </c>
      <c r="G80" s="13">
        <f>_xll.RssMarket("4503","安値")</f>
      </c>
      <c r="H80" s="13">
        <f>_xll.RssMarket("4503","終値")</f>
      </c>
      <c r="I80" s="20">
        <f>_xll.RssMarket("4503","出来高")</f>
      </c>
      <c r="J80" s="13">
        <v>2404.0</v>
      </c>
      <c r="K80" s="13">
        <v>2364.0</v>
      </c>
      <c r="L80" s="13">
        <f>_xll.RssMarket("4503","前日終値")</f>
      </c>
      <c r="M80" s="5">
        <f>IF(OR(N($E80)&lt;=0,N($L80)&lt;=0),"",IF($E80&gt;$L80,"BUY-DAY","SELL-DAY"))</f>
      </c>
      <c r="N80" s="9">
        <f>IF(OR(N($E80)&lt;=0,N($F80)&lt;=0,N($G80)&lt;=0),"",IF(AND($AD80&gt;0,'操作パネル_MS2'!$H$17=1),$AD80,MAX(0,$F80-$G80)/SQRT(MAX(1,'操作パネル_MS2'!$H$12))*'操作パネル_MS2'!$H$10))</f>
      </c>
      <c r="O80" s="5">
        <f>IF(OR(N($E80)&lt;=0,$AC80=""),"",IF(N($AC80)&gt;='操作パネル_MS2'!$H$3,"VOL-OK","VOL-NG"))</f>
      </c>
      <c r="P80" s="5">
        <f>IF(OR(N($E80)&lt;=0,N($J80)&lt;=0),"",IF($E80&gt;$J80,"ON","OFF"))</f>
      </c>
      <c r="Q80" s="5">
        <f>IF(OR(N($E80)&lt;=0,N($K80)&lt;=0),"",IF($E80&lt;$K80,"ON","OFF"))</f>
      </c>
      <c r="R80" s="5">
        <f>IF(OR(N($E80)&lt;=0,N($N80)&lt;=0),"",IF(AND($M80="BUY-DAY",$O80="VOL-OK",$P80="ON",$AA80="OK",$AB80&lt;&gt;"DOWN"),"BUY",IF(AND($M80="SELL-DAY",$O80="VOL-OK",$Q80="ON",$AA80="OK",$AB80&lt;&gt;"UP"),"SELL","")))</f>
      </c>
      <c r="S80" s="9">
        <f>IF($R80="","",$E80)</f>
      </c>
      <c r="T80" s="9">
        <f>IF($R80="","",IF($R80="BUY",$E80-$N80*'操作パネル_MS2'!$H$5,$E80+$N80*'操作パネル_MS2'!$H$5))</f>
      </c>
      <c r="U80" s="9">
        <f>IF($R80="","",IF($R80="BUY",$E80+$N80*'操作パネル_MS2'!$H$6,$E80-$N80*'操作パネル_MS2'!$H$6))</f>
      </c>
      <c r="V80" s="9">
        <f>IF($R80="","",IF($R80="BUY",$E80+$N80*'操作パネル_MS2'!$H$7,$E80-$N80*'操作パネル_MS2'!$H$7))</f>
      </c>
      <c r="W80" s="9">
        <f>IF($R80="","",IF($R80="BUY",$E80+$N80*'操作パネル_MS2'!$H$8,$E80-$N80*'操作パネル_MS2'!$H$8))</f>
      </c>
      <c r="X80" s="5">
        <f>IF(OR(N($E80)&lt;=0,N($N80)&lt;=0,N($L80)&lt;=0),"",IF(AND($E80&gt;$L80,ABS($E80-$L80)&lt;$N80*0.5),"2ND","1ST"))</f>
      </c>
      <c r="Y80" s="5">
        <f>IF(OR(N($E80)&lt;=0,N($N80)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0" s="5">
        <f>IF(OR(N($E80)&lt;=0,N($N80)&lt;=0),"",IF($N80&gt;$E80*'操作パネル_MS2'!$H$4,"VOL-HIGH","VOL-NORMAL"))</f>
      </c>
      <c r="AA80" s="5">
        <f>IF(OR(N($E80)&lt;=0,N($N80)&lt;=0),"",IF(AND($O80="VOL-OK",$Z80="VOL-NORMAL"),"OK","NG"))</f>
      </c>
      <c r="AB80" s="5">
        <f>IF(OR(N($E80)&lt;=0,N($N80)&lt;=0,N($J80)&lt;=0,N($K80)&lt;=0),"",IF(AND($F80&gt;$J80,$G80&gt;$K80),"UP",IF(AND($F80&lt;$J80,$G80&lt;$K80),"DOWN","FLAT")))</f>
      </c>
      <c r="AC80" s="30">
        <f>IF($C80="","",_xll.RssMarket($C80&amp;"","売買代金"))</f>
      </c>
      <c r="AD80" s="31">
        <f>IFERROR(INDEX(ATRHIST_MS2!$H$2:$H$400,MATCH($C80,ATRHIST_MS2!$A$2:$A$400,0)),0)</f>
      </c>
    </row>
    <row r="81" spans="1:30" ht="25.95" customHeight="1">
      <c r="A81" s="5">
        <f>IF(C81="","",ROW()-2)</f>
      </c>
      <c r="B81" s="6">
        <f>IF(StockList_MS2!A80="","",HYPERLINK("https://kabutan.jp/stock/?code="&amp;StockList_MS2!A80,"株探"))</f>
      </c>
      <c r="C81" s="5">
        <f>IF(StockList_MS2!A80="","",StockList_MS2!A80)</f>
      </c>
      <c r="D81" s="7">
        <f>IF(StockList_MS2!A80="","",StockList_MS2!B80)</f>
      </c>
      <c r="E81" s="8">
        <f>_xll.RssMarket("2146","現在値")</f>
      </c>
      <c r="F81" s="8">
        <f>_xll.RssMarket("2146","高値")</f>
      </c>
      <c r="G81" s="8">
        <f>_xll.RssMarket("2146","安値")</f>
      </c>
      <c r="H81" s="8">
        <f>_xll.RssMarket("2146","終値")</f>
      </c>
      <c r="I81" s="19">
        <f>_xll.RssMarket("2146","出来高")</f>
      </c>
      <c r="J81" s="8">
        <v>236.0</v>
      </c>
      <c r="K81" s="8">
        <v>230.0</v>
      </c>
      <c r="L81" s="8">
        <f>_xll.RssMarket("2146","前日終値")</f>
      </c>
      <c r="M81" s="5">
        <f>IF(OR(N($E81)&lt;=0,N($L81)&lt;=0),"",IF($E81&gt;$L81,"BUY-DAY","SELL-DAY"))</f>
      </c>
      <c r="N81" s="9">
        <f>IF(OR(N($E81)&lt;=0,N($F81)&lt;=0,N($G81)&lt;=0),"",IF(AND($AD81&gt;0,'操作パネル_MS2'!$H$17=1),$AD81,MAX(0,$F81-$G81)/SQRT(MAX(1,'操作パネル_MS2'!$H$12))*'操作パネル_MS2'!$H$10))</f>
      </c>
      <c r="O81" s="5">
        <f>IF(OR(N($E81)&lt;=0,$AC81=""),"",IF(N($AC81)&gt;='操作パネル_MS2'!$H$3,"VOL-OK","VOL-NG"))</f>
      </c>
      <c r="P81" s="5">
        <f>IF(OR(N($E81)&lt;=0,N($J81)&lt;=0),"",IF($E81&gt;$J81,"ON","OFF"))</f>
      </c>
      <c r="Q81" s="5">
        <f>IF(OR(N($E81)&lt;=0,N($K81)&lt;=0),"",IF($E81&lt;$K81,"ON","OFF"))</f>
      </c>
      <c r="R81" s="5">
        <f>IF(OR(N($E81)&lt;=0,N($N81)&lt;=0),"",IF(AND($M81="BUY-DAY",$O81="VOL-OK",$P81="ON",$AA81="OK",$AB81&lt;&gt;"DOWN"),"BUY",IF(AND($M81="SELL-DAY",$O81="VOL-OK",$Q81="ON",$AA81="OK",$AB81&lt;&gt;"UP"),"SELL","")))</f>
      </c>
      <c r="S81" s="9">
        <f>IF($R81="","",$E81)</f>
      </c>
      <c r="T81" s="9">
        <f>IF($R81="","",IF($R81="BUY",$E81-$N81*'操作パネル_MS2'!$H$5,$E81+$N81*'操作パネル_MS2'!$H$5))</f>
      </c>
      <c r="U81" s="9">
        <f>IF($R81="","",IF($R81="BUY",$E81+$N81*'操作パネル_MS2'!$H$6,$E81-$N81*'操作パネル_MS2'!$H$6))</f>
      </c>
      <c r="V81" s="9">
        <f>IF($R81="","",IF($R81="BUY",$E81+$N81*'操作パネル_MS2'!$H$7,$E81-$N81*'操作パネル_MS2'!$H$7))</f>
      </c>
      <c r="W81" s="9">
        <f>IF($R81="","",IF($R81="BUY",$E81+$N81*'操作パネル_MS2'!$H$8,$E81-$N81*'操作パネル_MS2'!$H$8))</f>
      </c>
      <c r="X81" s="5">
        <f>IF(OR(N($E81)&lt;=0,N($N81)&lt;=0,N($L81)&lt;=0),"",IF(AND($E81&gt;$L81,ABS($E81-$L81)&lt;$N81*0.5),"2ND","1ST"))</f>
      </c>
      <c r="Y81" s="5">
        <f>IF(OR(N($E81)&lt;=0,N($N81)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1" s="5">
        <f>IF(OR(N($E81)&lt;=0,N($N81)&lt;=0),"",IF($N81&gt;$E81*'操作パネル_MS2'!$H$4,"VOL-HIGH","VOL-NORMAL"))</f>
      </c>
      <c r="AA81" s="5">
        <f>IF(OR(N($E81)&lt;=0,N($N81)&lt;=0),"",IF(AND($O81="VOL-OK",$Z81="VOL-NORMAL"),"OK","NG"))</f>
      </c>
      <c r="AB81" s="5">
        <f>IF(OR(N($E81)&lt;=0,N($N81)&lt;=0,N($J81)&lt;=0,N($K81)&lt;=0),"",IF(AND($F81&gt;$J81,$G81&gt;$K81),"UP",IF(AND($F81&lt;$J81,$G81&lt;$K81),"DOWN","FLAT")))</f>
      </c>
      <c r="AC81" s="30">
        <f>IF($C81="","",_xll.RssMarket($C81&amp;"","売買代金"))</f>
      </c>
      <c r="AD81" s="31">
        <f>IFERROR(INDEX(ATRHIST_MS2!$H$2:$H$400,MATCH($C81,ATRHIST_MS2!$A$2:$A$400,0)),0)</f>
      </c>
    </row>
    <row r="82" spans="1:30" ht="25.95" customHeight="1">
      <c r="A82" s="10">
        <f>IF(C82="","",ROW()-2)</f>
      </c>
      <c r="B82" s="11">
        <f>IF(StockList_MS2!A81="","",HYPERLINK("https://kabutan.jp/stock/?code="&amp;StockList_MS2!A81,"株探"))</f>
      </c>
      <c r="C82" s="10">
        <f>IF(StockList_MS2!A81="","",StockList_MS2!A81)</f>
      </c>
      <c r="D82" s="12">
        <f>IF(StockList_MS2!A81="","",StockList_MS2!B81)</f>
      </c>
      <c r="E82" s="13">
        <f>_xll.RssMarket("3861","現在値")</f>
      </c>
      <c r="F82" s="13">
        <f>_xll.RssMarket("3861","高値")</f>
      </c>
      <c r="G82" s="13">
        <f>_xll.RssMarket("3861","安値")</f>
      </c>
      <c r="H82" s="13">
        <f>_xll.RssMarket("3861","終値")</f>
      </c>
      <c r="I82" s="20">
        <f>_xll.RssMarket("3861","出来高")</f>
      </c>
      <c r="J82" s="13">
        <v>881.5</v>
      </c>
      <c r="K82" s="13">
        <v>873.5</v>
      </c>
      <c r="L82" s="13">
        <f>_xll.RssMarket("3861","前日終値")</f>
      </c>
      <c r="M82" s="5">
        <f>IF(OR(N($E82)&lt;=0,N($L82)&lt;=0),"",IF($E82&gt;$L82,"BUY-DAY","SELL-DAY"))</f>
      </c>
      <c r="N82" s="9">
        <f>IF(OR(N($E82)&lt;=0,N($F82)&lt;=0,N($G82)&lt;=0),"",IF(AND($AD82&gt;0,'操作パネル_MS2'!$H$17=1),$AD82,MAX(0,$F82-$G82)/SQRT(MAX(1,'操作パネル_MS2'!$H$12))*'操作パネル_MS2'!$H$10))</f>
      </c>
      <c r="O82" s="5">
        <f>IF(OR(N($E82)&lt;=0,$AC82=""),"",IF(N($AC82)&gt;='操作パネル_MS2'!$H$3,"VOL-OK","VOL-NG"))</f>
      </c>
      <c r="P82" s="5">
        <f>IF(OR(N($E82)&lt;=0,N($J82)&lt;=0),"",IF($E82&gt;$J82,"ON","OFF"))</f>
      </c>
      <c r="Q82" s="5">
        <f>IF(OR(N($E82)&lt;=0,N($K82)&lt;=0),"",IF($E82&lt;$K82,"ON","OFF"))</f>
      </c>
      <c r="R82" s="5">
        <f>IF(OR(N($E82)&lt;=0,N($N82)&lt;=0),"",IF(AND($M82="BUY-DAY",$O82="VOL-OK",$P82="ON",$AA82="OK",$AB82&lt;&gt;"DOWN"),"BUY",IF(AND($M82="SELL-DAY",$O82="VOL-OK",$Q82="ON",$AA82="OK",$AB82&lt;&gt;"UP"),"SELL","")))</f>
      </c>
      <c r="S82" s="9">
        <f>IF($R82="","",$E82)</f>
      </c>
      <c r="T82" s="9">
        <f>IF($R82="","",IF($R82="BUY",$E82-$N82*'操作パネル_MS2'!$H$5,$E82+$N82*'操作パネル_MS2'!$H$5))</f>
      </c>
      <c r="U82" s="9">
        <f>IF($R82="","",IF($R82="BUY",$E82+$N82*'操作パネル_MS2'!$H$6,$E82-$N82*'操作パネル_MS2'!$H$6))</f>
      </c>
      <c r="V82" s="9">
        <f>IF($R82="","",IF($R82="BUY",$E82+$N82*'操作パネル_MS2'!$H$7,$E82-$N82*'操作パネル_MS2'!$H$7))</f>
      </c>
      <c r="W82" s="9">
        <f>IF($R82="","",IF($R82="BUY",$E82+$N82*'操作パネル_MS2'!$H$8,$E82-$N82*'操作パネル_MS2'!$H$8))</f>
      </c>
      <c r="X82" s="5">
        <f>IF(OR(N($E82)&lt;=0,N($N82)&lt;=0,N($L82)&lt;=0),"",IF(AND($E82&gt;$L82,ABS($E82-$L82)&lt;$N82*0.5),"2ND","1ST"))</f>
      </c>
      <c r="Y82" s="5">
        <f>IF(OR(N($E82)&lt;=0,N($N82)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2" s="5">
        <f>IF(OR(N($E82)&lt;=0,N($N82)&lt;=0),"",IF($N82&gt;$E82*'操作パネル_MS2'!$H$4,"VOL-HIGH","VOL-NORMAL"))</f>
      </c>
      <c r="AA82" s="5">
        <f>IF(OR(N($E82)&lt;=0,N($N82)&lt;=0),"",IF(AND($O82="VOL-OK",$Z82="VOL-NORMAL"),"OK","NG"))</f>
      </c>
      <c r="AB82" s="5">
        <f>IF(OR(N($E82)&lt;=0,N($N82)&lt;=0,N($J82)&lt;=0,N($K82)&lt;=0),"",IF(AND($F82&gt;$J82,$G82&gt;$K82),"UP",IF(AND($F82&lt;$J82,$G82&lt;$K82),"DOWN","FLAT")))</f>
      </c>
      <c r="AC82" s="30">
        <f>IF($C82="","",_xll.RssMarket($C82&amp;"","売買代金"))</f>
      </c>
      <c r="AD82" s="31">
        <f>IFERROR(INDEX(ATRHIST_MS2!$H$2:$H$400,MATCH($C82,ATRHIST_MS2!$A$2:$A$400,0)),0)</f>
      </c>
    </row>
    <row r="83" spans="1:30" ht="25.95" customHeight="1">
      <c r="A83" s="5">
        <f>IF(C83="","",ROW()-2)</f>
      </c>
      <c r="B83" s="6">
        <f>IF(StockList_MS2!A82="","",HYPERLINK("https://kabutan.jp/stock/?code="&amp;StockList_MS2!A82,"株探"))</f>
      </c>
      <c r="C83" s="5">
        <f>IF(StockList_MS2!A82="","",StockList_MS2!A82)</f>
      </c>
      <c r="D83" s="7">
        <f>IF(StockList_MS2!A82="","",StockList_MS2!B82)</f>
      </c>
      <c r="E83" s="8">
        <f>_xll.RssMarket("5411","現在値")</f>
      </c>
      <c r="F83" s="8">
        <f>_xll.RssMarket("5411","高値")</f>
      </c>
      <c r="G83" s="8">
        <f>_xll.RssMarket("5411","安値")</f>
      </c>
      <c r="H83" s="8">
        <f>_xll.RssMarket("5411","終値")</f>
      </c>
      <c r="I83" s="19">
        <f>_xll.RssMarket("5411","出来高")</f>
      </c>
      <c r="J83" s="8">
        <v>1862.5</v>
      </c>
      <c r="K83" s="8">
        <v>1836.5</v>
      </c>
      <c r="L83" s="8">
        <f>_xll.RssMarket("5411","前日終値")</f>
      </c>
      <c r="M83" s="5">
        <f>IF(OR(N($E83)&lt;=0,N($L83)&lt;=0),"",IF($E83&gt;$L83,"BUY-DAY","SELL-DAY"))</f>
      </c>
      <c r="N83" s="9">
        <f>IF(OR(N($E83)&lt;=0,N($F83)&lt;=0,N($G83)&lt;=0),"",IF(AND($AD83&gt;0,'操作パネル_MS2'!$H$17=1),$AD83,MAX(0,$F83-$G83)/SQRT(MAX(1,'操作パネル_MS2'!$H$12))*'操作パネル_MS2'!$H$10))</f>
      </c>
      <c r="O83" s="5">
        <f>IF(OR(N($E83)&lt;=0,$AC83=""),"",IF(N($AC83)&gt;='操作パネル_MS2'!$H$3,"VOL-OK","VOL-NG"))</f>
      </c>
      <c r="P83" s="5">
        <f>IF(OR(N($E83)&lt;=0,N($J83)&lt;=0),"",IF($E83&gt;$J83,"ON","OFF"))</f>
      </c>
      <c r="Q83" s="5">
        <f>IF(OR(N($E83)&lt;=0,N($K83)&lt;=0),"",IF($E83&lt;$K83,"ON","OFF"))</f>
      </c>
      <c r="R83" s="5">
        <f>IF(OR(N($E83)&lt;=0,N($N83)&lt;=0),"",IF(AND($M83="BUY-DAY",$O83="VOL-OK",$P83="ON",$AA83="OK",$AB83&lt;&gt;"DOWN"),"BUY",IF(AND($M83="SELL-DAY",$O83="VOL-OK",$Q83="ON",$AA83="OK",$AB83&lt;&gt;"UP"),"SELL","")))</f>
      </c>
      <c r="S83" s="9">
        <f>IF($R83="","",$E83)</f>
      </c>
      <c r="T83" s="9">
        <f>IF($R83="","",IF($R83="BUY",$E83-$N83*'操作パネル_MS2'!$H$5,$E83+$N83*'操作パネル_MS2'!$H$5))</f>
      </c>
      <c r="U83" s="9">
        <f>IF($R83="","",IF($R83="BUY",$E83+$N83*'操作パネル_MS2'!$H$6,$E83-$N83*'操作パネル_MS2'!$H$6))</f>
      </c>
      <c r="V83" s="9">
        <f>IF($R83="","",IF($R83="BUY",$E83+$N83*'操作パネル_MS2'!$H$7,$E83-$N83*'操作パネル_MS2'!$H$7))</f>
      </c>
      <c r="W83" s="9">
        <f>IF($R83="","",IF($R83="BUY",$E83+$N83*'操作パネル_MS2'!$H$8,$E83-$N83*'操作パネル_MS2'!$H$8))</f>
      </c>
      <c r="X83" s="5">
        <f>IF(OR(N($E83)&lt;=0,N($N83)&lt;=0,N($L83)&lt;=0),"",IF(AND($E83&gt;$L83,ABS($E83-$L83)&lt;$N83*0.5),"2ND","1ST"))</f>
      </c>
      <c r="Y83" s="5">
        <f>IF(OR(N($E83)&lt;=0,N($N83)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3" s="5">
        <f>IF(OR(N($E83)&lt;=0,N($N83)&lt;=0),"",IF($N83&gt;$E83*'操作パネル_MS2'!$H$4,"VOL-HIGH","VOL-NORMAL"))</f>
      </c>
      <c r="AA83" s="5">
        <f>IF(OR(N($E83)&lt;=0,N($N83)&lt;=0),"",IF(AND($O83="VOL-OK",$Z83="VOL-NORMAL"),"OK","NG"))</f>
      </c>
      <c r="AB83" s="5">
        <f>IF(OR(N($E83)&lt;=0,N($N83)&lt;=0,N($J83)&lt;=0,N($K83)&lt;=0),"",IF(AND($F83&gt;$J83,$G83&gt;$K83),"UP",IF(AND($F83&lt;$J83,$G83&lt;$K83),"DOWN","FLAT")))</f>
      </c>
      <c r="AC83" s="30">
        <f>IF($C83="","",_xll.RssMarket($C83&amp;"","売買代金"))</f>
      </c>
      <c r="AD83" s="31">
        <f>IFERROR(INDEX(ATRHIST_MS2!$H$2:$H$400,MATCH($C83,ATRHIST_MS2!$A$2:$A$400,0)),0)</f>
      </c>
    </row>
    <row r="84" spans="1:30" ht="25.95" customHeight="1">
      <c r="A84" s="10">
        <f>IF(C84="","",ROW()-2)</f>
      </c>
      <c r="B84" s="11">
        <f>IF(StockList_MS2!A83="","",HYPERLINK("https://kabutan.jp/stock/?code="&amp;StockList_MS2!A83,"株探"))</f>
      </c>
      <c r="C84" s="10">
        <f>IF(StockList_MS2!A83="","",StockList_MS2!A83)</f>
      </c>
      <c r="D84" s="12">
        <f>IF(StockList_MS2!A83="","",StockList_MS2!B83)</f>
      </c>
      <c r="E84" s="13">
        <f>_xll.RssMarket("7261","現在値")</f>
      </c>
      <c r="F84" s="13">
        <f>_xll.RssMarket("7261","高値")</f>
      </c>
      <c r="G84" s="13">
        <f>_xll.RssMarket("7261","安値")</f>
      </c>
      <c r="H84" s="13">
        <f>_xll.RssMarket("7261","終値")</f>
      </c>
      <c r="I84" s="20">
        <f>_xll.RssMarket("7261","出来高")</f>
      </c>
      <c r="J84" s="13">
        <v>1224.0</v>
      </c>
      <c r="K84" s="13">
        <v>1201.0</v>
      </c>
      <c r="L84" s="13">
        <f>_xll.RssMarket("7261","前日終値")</f>
      </c>
      <c r="M84" s="5">
        <f>IF(OR(N($E84)&lt;=0,N($L84)&lt;=0),"",IF($E84&gt;$L84,"BUY-DAY","SELL-DAY"))</f>
      </c>
      <c r="N84" s="9">
        <f>IF(OR(N($E84)&lt;=0,N($F84)&lt;=0,N($G84)&lt;=0),"",IF(AND($AD84&gt;0,'操作パネル_MS2'!$H$17=1),$AD84,MAX(0,$F84-$G84)/SQRT(MAX(1,'操作パネル_MS2'!$H$12))*'操作パネル_MS2'!$H$10))</f>
      </c>
      <c r="O84" s="5">
        <f>IF(OR(N($E84)&lt;=0,$AC84=""),"",IF(N($AC84)&gt;='操作パネル_MS2'!$H$3,"VOL-OK","VOL-NG"))</f>
      </c>
      <c r="P84" s="5">
        <f>IF(OR(N($E84)&lt;=0,N($J84)&lt;=0),"",IF($E84&gt;$J84,"ON","OFF"))</f>
      </c>
      <c r="Q84" s="5">
        <f>IF(OR(N($E84)&lt;=0,N($K84)&lt;=0),"",IF($E84&lt;$K84,"ON","OFF"))</f>
      </c>
      <c r="R84" s="5">
        <f>IF(OR(N($E84)&lt;=0,N($N84)&lt;=0),"",IF(AND($M84="BUY-DAY",$O84="VOL-OK",$P84="ON",$AA84="OK",$AB84&lt;&gt;"DOWN"),"BUY",IF(AND($M84="SELL-DAY",$O84="VOL-OK",$Q84="ON",$AA84="OK",$AB84&lt;&gt;"UP"),"SELL","")))</f>
      </c>
      <c r="S84" s="9">
        <f>IF($R84="","",$E84)</f>
      </c>
      <c r="T84" s="9">
        <f>IF($R84="","",IF($R84="BUY",$E84-$N84*'操作パネル_MS2'!$H$5,$E84+$N84*'操作パネル_MS2'!$H$5))</f>
      </c>
      <c r="U84" s="9">
        <f>IF($R84="","",IF($R84="BUY",$E84+$N84*'操作パネル_MS2'!$H$6,$E84-$N84*'操作パネル_MS2'!$H$6))</f>
      </c>
      <c r="V84" s="9">
        <f>IF($R84="","",IF($R84="BUY",$E84+$N84*'操作パネル_MS2'!$H$7,$E84-$N84*'操作パネル_MS2'!$H$7))</f>
      </c>
      <c r="W84" s="9">
        <f>IF($R84="","",IF($R84="BUY",$E84+$N84*'操作パネル_MS2'!$H$8,$E84-$N84*'操作パネル_MS2'!$H$8))</f>
      </c>
      <c r="X84" s="5">
        <f>IF(OR(N($E84)&lt;=0,N($N84)&lt;=0,N($L84)&lt;=0),"",IF(AND($E84&gt;$L84,ABS($E84-$L84)&lt;$N84*0.5),"2ND","1ST"))</f>
      </c>
      <c r="Y84" s="5">
        <f>IF(OR(N($E84)&lt;=0,N($N84)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4" s="5">
        <f>IF(OR(N($E84)&lt;=0,N($N84)&lt;=0),"",IF($N84&gt;$E84*'操作パネル_MS2'!$H$4,"VOL-HIGH","VOL-NORMAL"))</f>
      </c>
      <c r="AA84" s="5">
        <f>IF(OR(N($E84)&lt;=0,N($N84)&lt;=0),"",IF(AND($O84="VOL-OK",$Z84="VOL-NORMAL"),"OK","NG"))</f>
      </c>
      <c r="AB84" s="5">
        <f>IF(OR(N($E84)&lt;=0,N($N84)&lt;=0,N($J84)&lt;=0,N($K84)&lt;=0),"",IF(AND($F84&gt;$J84,$G84&gt;$K84),"UP",IF(AND($F84&lt;$J84,$G84&lt;$K84),"DOWN","FLAT")))</f>
      </c>
      <c r="AC84" s="30">
        <f>IF($C84="","",_xll.RssMarket($C84&amp;"","売買代金"))</f>
      </c>
      <c r="AD84" s="31">
        <f>IFERROR(INDEX(ATRHIST_MS2!$H$2:$H$400,MATCH($C84,ATRHIST_MS2!$A$2:$A$400,0)),0)</f>
      </c>
    </row>
    <row r="85" spans="1:30" ht="25.95" customHeight="1">
      <c r="A85" s="5">
        <f>IF(C85="","",ROW()-2)</f>
      </c>
      <c r="B85" s="6">
        <f>IF(StockList_MS2!A84="","",HYPERLINK("https://kabutan.jp/stock/?code="&amp;StockList_MS2!A84,"株探"))</f>
      </c>
      <c r="C85" s="5">
        <f>IF(StockList_MS2!A84="","",StockList_MS2!A84)</f>
      </c>
      <c r="D85" s="7">
        <f>IF(StockList_MS2!A84="","",StockList_MS2!B84)</f>
      </c>
      <c r="E85" s="8">
        <f>_xll.RssMarket("8601","現在値")</f>
      </c>
      <c r="F85" s="8">
        <f>_xll.RssMarket("8601","高値")</f>
      </c>
      <c r="G85" s="8">
        <f>_xll.RssMarket("8601","安値")</f>
      </c>
      <c r="H85" s="8">
        <f>_xll.RssMarket("8601","終値")</f>
      </c>
      <c r="I85" s="19">
        <f>_xll.RssMarket("8601","出来高")</f>
      </c>
      <c r="J85" s="8">
        <v>1874.0</v>
      </c>
      <c r="K85" s="8">
        <v>1823.5</v>
      </c>
      <c r="L85" s="8">
        <f>_xll.RssMarket("8601","前日終値")</f>
      </c>
      <c r="M85" s="5">
        <f>IF(OR(N($E85)&lt;=0,N($L85)&lt;=0),"",IF($E85&gt;$L85,"BUY-DAY","SELL-DAY"))</f>
      </c>
      <c r="N85" s="9">
        <f>IF(OR(N($E85)&lt;=0,N($F85)&lt;=0,N($G85)&lt;=0),"",IF(AND($AD85&gt;0,'操作パネル_MS2'!$H$17=1),$AD85,MAX(0,$F85-$G85)/SQRT(MAX(1,'操作パネル_MS2'!$H$12))*'操作パネル_MS2'!$H$10))</f>
      </c>
      <c r="O85" s="5">
        <f>IF(OR(N($E85)&lt;=0,$AC85=""),"",IF(N($AC85)&gt;='操作パネル_MS2'!$H$3,"VOL-OK","VOL-NG"))</f>
      </c>
      <c r="P85" s="5">
        <f>IF(OR(N($E85)&lt;=0,N($J85)&lt;=0),"",IF($E85&gt;$J85,"ON","OFF"))</f>
      </c>
      <c r="Q85" s="5">
        <f>IF(OR(N($E85)&lt;=0,N($K85)&lt;=0),"",IF($E85&lt;$K85,"ON","OFF"))</f>
      </c>
      <c r="R85" s="5">
        <f>IF(OR(N($E85)&lt;=0,N($N85)&lt;=0),"",IF(AND($M85="BUY-DAY",$O85="VOL-OK",$P85="ON",$AA85="OK",$AB85&lt;&gt;"DOWN"),"BUY",IF(AND($M85="SELL-DAY",$O85="VOL-OK",$Q85="ON",$AA85="OK",$AB85&lt;&gt;"UP"),"SELL","")))</f>
      </c>
      <c r="S85" s="9">
        <f>IF($R85="","",$E85)</f>
      </c>
      <c r="T85" s="9">
        <f>IF($R85="","",IF($R85="BUY",$E85-$N85*'操作パネル_MS2'!$H$5,$E85+$N85*'操作パネル_MS2'!$H$5))</f>
      </c>
      <c r="U85" s="9">
        <f>IF($R85="","",IF($R85="BUY",$E85+$N85*'操作パネル_MS2'!$H$6,$E85-$N85*'操作パネル_MS2'!$H$6))</f>
      </c>
      <c r="V85" s="9">
        <f>IF($R85="","",IF($R85="BUY",$E85+$N85*'操作パネル_MS2'!$H$7,$E85-$N85*'操作パネル_MS2'!$H$7))</f>
      </c>
      <c r="W85" s="9">
        <f>IF($R85="","",IF($R85="BUY",$E85+$N85*'操作パネル_MS2'!$H$8,$E85-$N85*'操作パネル_MS2'!$H$8))</f>
      </c>
      <c r="X85" s="5">
        <f>IF(OR(N($E85)&lt;=0,N($N85)&lt;=0,N($L85)&lt;=0),"",IF(AND($E85&gt;$L85,ABS($E85-$L85)&lt;$N85*0.5),"2ND","1ST"))</f>
      </c>
      <c r="Y85" s="5">
        <f>IF(OR(N($E85)&lt;=0,N($N85)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5" s="5">
        <f>IF(OR(N($E85)&lt;=0,N($N85)&lt;=0),"",IF($N85&gt;$E85*'操作パネル_MS2'!$H$4,"VOL-HIGH","VOL-NORMAL"))</f>
      </c>
      <c r="AA85" s="5">
        <f>IF(OR(N($E85)&lt;=0,N($N85)&lt;=0),"",IF(AND($O85="VOL-OK",$Z85="VOL-NORMAL"),"OK","NG"))</f>
      </c>
      <c r="AB85" s="5">
        <f>IF(OR(N($E85)&lt;=0,N($N85)&lt;=0,N($J85)&lt;=0,N($K85)&lt;=0),"",IF(AND($F85&gt;$J85,$G85&gt;$K85),"UP",IF(AND($F85&lt;$J85,$G85&lt;$K85),"DOWN","FLAT")))</f>
      </c>
      <c r="AC85" s="30">
        <f>IF($C85="","",_xll.RssMarket($C85&amp;"","売買代金"))</f>
      </c>
      <c r="AD85" s="31">
        <f>IFERROR(INDEX(ATRHIST_MS2!$H$2:$H$400,MATCH($C85,ATRHIST_MS2!$A$2:$A$400,0)),0)</f>
      </c>
    </row>
    <row r="86" spans="1:30" ht="25.95" customHeight="1">
      <c r="A86" s="10">
        <f>IF(C86="","",ROW()-2)</f>
      </c>
      <c r="B86" s="11">
        <f>IF(StockList_MS2!A85="","",HYPERLINK("https://kabutan.jp/stock/?code="&amp;StockList_MS2!A85,"株探"))</f>
      </c>
      <c r="C86" s="10">
        <f>IF(StockList_MS2!A85="","",StockList_MS2!A85)</f>
      </c>
      <c r="D86" s="12">
        <f>IF(StockList_MS2!A85="","",StockList_MS2!B85)</f>
      </c>
      <c r="E86" s="13">
        <f>_xll.RssMarket("6471","現在値")</f>
      </c>
      <c r="F86" s="13">
        <f>_xll.RssMarket("6471","高値")</f>
      </c>
      <c r="G86" s="13">
        <f>_xll.RssMarket("6471","安値")</f>
      </c>
      <c r="H86" s="13">
        <f>_xll.RssMarket("6471","終値")</f>
      </c>
      <c r="I86" s="20">
        <f>_xll.RssMarket("6471","出来高")</f>
      </c>
      <c r="J86" s="13">
        <v>1119.0</v>
      </c>
      <c r="K86" s="13">
        <v>1096.5</v>
      </c>
      <c r="L86" s="13">
        <f>_xll.RssMarket("6471","前日終値")</f>
      </c>
      <c r="M86" s="5">
        <f>IF(OR(N($E86)&lt;=0,N($L86)&lt;=0),"",IF($E86&gt;$L86,"BUY-DAY","SELL-DAY"))</f>
      </c>
      <c r="N86" s="9">
        <f>IF(OR(N($E86)&lt;=0,N($F86)&lt;=0,N($G86)&lt;=0),"",IF(AND($AD86&gt;0,'操作パネル_MS2'!$H$17=1),$AD86,MAX(0,$F86-$G86)/SQRT(MAX(1,'操作パネル_MS2'!$H$12))*'操作パネル_MS2'!$H$10))</f>
      </c>
      <c r="O86" s="5">
        <f>IF(OR(N($E86)&lt;=0,$AC86=""),"",IF(N($AC86)&gt;='操作パネル_MS2'!$H$3,"VOL-OK","VOL-NG"))</f>
      </c>
      <c r="P86" s="5">
        <f>IF(OR(N($E86)&lt;=0,N($J86)&lt;=0),"",IF($E86&gt;$J86,"ON","OFF"))</f>
      </c>
      <c r="Q86" s="5">
        <f>IF(OR(N($E86)&lt;=0,N($K86)&lt;=0),"",IF($E86&lt;$K86,"ON","OFF"))</f>
      </c>
      <c r="R86" s="5">
        <f>IF(OR(N($E86)&lt;=0,N($N86)&lt;=0),"",IF(AND($M86="BUY-DAY",$O86="VOL-OK",$P86="ON",$AA86="OK",$AB86&lt;&gt;"DOWN"),"BUY",IF(AND($M86="SELL-DAY",$O86="VOL-OK",$Q86="ON",$AA86="OK",$AB86&lt;&gt;"UP"),"SELL","")))</f>
      </c>
      <c r="S86" s="9">
        <f>IF($R86="","",$E86)</f>
      </c>
      <c r="T86" s="9">
        <f>IF($R86="","",IF($R86="BUY",$E86-$N86*'操作パネル_MS2'!$H$5,$E86+$N86*'操作パネル_MS2'!$H$5))</f>
      </c>
      <c r="U86" s="9">
        <f>IF($R86="","",IF($R86="BUY",$E86+$N86*'操作パネル_MS2'!$H$6,$E86-$N86*'操作パネル_MS2'!$H$6))</f>
      </c>
      <c r="V86" s="9">
        <f>IF($R86="","",IF($R86="BUY",$E86+$N86*'操作パネル_MS2'!$H$7,$E86-$N86*'操作パネル_MS2'!$H$7))</f>
      </c>
      <c r="W86" s="9">
        <f>IF($R86="","",IF($R86="BUY",$E86+$N86*'操作パネル_MS2'!$H$8,$E86-$N86*'操作パネル_MS2'!$H$8))</f>
      </c>
      <c r="X86" s="5">
        <f>IF(OR(N($E86)&lt;=0,N($N86)&lt;=0,N($L86)&lt;=0),"",IF(AND($E86&gt;$L86,ABS($E86-$L86)&lt;$N86*0.5),"2ND","1ST"))</f>
      </c>
      <c r="Y86" s="5">
        <f>IF(OR(N($E86)&lt;=0,N($N86)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6" s="5">
        <f>IF(OR(N($E86)&lt;=0,N($N86)&lt;=0),"",IF($N86&gt;$E86*'操作パネル_MS2'!$H$4,"VOL-HIGH","VOL-NORMAL"))</f>
      </c>
      <c r="AA86" s="5">
        <f>IF(OR(N($E86)&lt;=0,N($N86)&lt;=0),"",IF(AND($O86="VOL-OK",$Z86="VOL-NORMAL"),"OK","NG"))</f>
      </c>
      <c r="AB86" s="5">
        <f>IF(OR(N($E86)&lt;=0,N($N86)&lt;=0,N($J86)&lt;=0,N($K86)&lt;=0),"",IF(AND($F86&gt;$J86,$G86&gt;$K86),"UP",IF(AND($F86&lt;$J86,$G86&lt;$K86),"DOWN","FLAT")))</f>
      </c>
      <c r="AC86" s="30">
        <f>IF($C86="","",_xll.RssMarket($C86&amp;"","売買代金"))</f>
      </c>
      <c r="AD86" s="31">
        <f>IFERROR(INDEX(ATRHIST_MS2!$H$2:$H$400,MATCH($C86,ATRHIST_MS2!$A$2:$A$400,0)),0)</f>
      </c>
    </row>
    <row r="87" spans="1:30" ht="25.95" customHeight="1">
      <c r="A87" s="5">
        <f>IF(C87="","",ROW()-2)</f>
      </c>
      <c r="B87" s="6">
        <f>IF(StockList_MS2!A86="","",HYPERLINK("https://kabutan.jp/stock/?code="&amp;StockList_MS2!A86,"株探"))</f>
      </c>
      <c r="C87" s="5">
        <f>IF(StockList_MS2!A86="","",StockList_MS2!A86)</f>
      </c>
      <c r="D87" s="7">
        <f>IF(StockList_MS2!A86="","",StockList_MS2!B86)</f>
      </c>
      <c r="E87" s="8">
        <f>_xll.RssMarket("2413","現在値")</f>
      </c>
      <c r="F87" s="8">
        <f>_xll.RssMarket("2413","高値")</f>
      </c>
      <c r="G87" s="8">
        <f>_xll.RssMarket("2413","安値")</f>
      </c>
      <c r="H87" s="8">
        <f>_xll.RssMarket("2413","終値")</f>
      </c>
      <c r="I87" s="19">
        <f>_xll.RssMarket("2413","出来高")</f>
      </c>
      <c r="J87" s="8">
        <v>1870.0</v>
      </c>
      <c r="K87" s="8">
        <v>1780.0</v>
      </c>
      <c r="L87" s="8">
        <f>_xll.RssMarket("2413","前日終値")</f>
      </c>
      <c r="M87" s="5">
        <f>IF(OR(N($E87)&lt;=0,N($L87)&lt;=0),"",IF($E87&gt;$L87,"BUY-DAY","SELL-DAY"))</f>
      </c>
      <c r="N87" s="9">
        <f>IF(OR(N($E87)&lt;=0,N($F87)&lt;=0,N($G87)&lt;=0),"",IF(AND($AD87&gt;0,'操作パネル_MS2'!$H$17=1),$AD87,MAX(0,$F87-$G87)/SQRT(MAX(1,'操作パネル_MS2'!$H$12))*'操作パネル_MS2'!$H$10))</f>
      </c>
      <c r="O87" s="5">
        <f>IF(OR(N($E87)&lt;=0,$AC87=""),"",IF(N($AC87)&gt;='操作パネル_MS2'!$H$3,"VOL-OK","VOL-NG"))</f>
      </c>
      <c r="P87" s="5">
        <f>IF(OR(N($E87)&lt;=0,N($J87)&lt;=0),"",IF($E87&gt;$J87,"ON","OFF"))</f>
      </c>
      <c r="Q87" s="5">
        <f>IF(OR(N($E87)&lt;=0,N($K87)&lt;=0),"",IF($E87&lt;$K87,"ON","OFF"))</f>
      </c>
      <c r="R87" s="5">
        <f>IF(OR(N($E87)&lt;=0,N($N87)&lt;=0),"",IF(AND($M87="BUY-DAY",$O87="VOL-OK",$P87="ON",$AA87="OK",$AB87&lt;&gt;"DOWN"),"BUY",IF(AND($M87="SELL-DAY",$O87="VOL-OK",$Q87="ON",$AA87="OK",$AB87&lt;&gt;"UP"),"SELL","")))</f>
      </c>
      <c r="S87" s="9">
        <f>IF($R87="","",$E87)</f>
      </c>
      <c r="T87" s="9">
        <f>IF($R87="","",IF($R87="BUY",$E87-$N87*'操作パネル_MS2'!$H$5,$E87+$N87*'操作パネル_MS2'!$H$5))</f>
      </c>
      <c r="U87" s="9">
        <f>IF($R87="","",IF($R87="BUY",$E87+$N87*'操作パネル_MS2'!$H$6,$E87-$N87*'操作パネル_MS2'!$H$6))</f>
      </c>
      <c r="V87" s="9">
        <f>IF($R87="","",IF($R87="BUY",$E87+$N87*'操作パネル_MS2'!$H$7,$E87-$N87*'操作パネル_MS2'!$H$7))</f>
      </c>
      <c r="W87" s="9">
        <f>IF($R87="","",IF($R87="BUY",$E87+$N87*'操作パネル_MS2'!$H$8,$E87-$N87*'操作パネル_MS2'!$H$8))</f>
      </c>
      <c r="X87" s="5">
        <f>IF(OR(N($E87)&lt;=0,N($N87)&lt;=0,N($L87)&lt;=0),"",IF(AND($E87&gt;$L87,ABS($E87-$L87)&lt;$N87*0.5),"2ND","1ST"))</f>
      </c>
      <c r="Y87" s="5">
        <f>IF(OR(N($E87)&lt;=0,N($N87)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7" s="5">
        <f>IF(OR(N($E87)&lt;=0,N($N87)&lt;=0),"",IF($N87&gt;$E87*'操作パネル_MS2'!$H$4,"VOL-HIGH","VOL-NORMAL"))</f>
      </c>
      <c r="AA87" s="5">
        <f>IF(OR(N($E87)&lt;=0,N($N87)&lt;=0),"",IF(AND($O87="VOL-OK",$Z87="VOL-NORMAL"),"OK","NG"))</f>
      </c>
      <c r="AB87" s="5">
        <f>IF(OR(N($E87)&lt;=0,N($N87)&lt;=0,N($J87)&lt;=0,N($K87)&lt;=0),"",IF(AND($F87&gt;$J87,$G87&gt;$K87),"UP",IF(AND($F87&lt;$J87,$G87&lt;$K87),"DOWN","FLAT")))</f>
      </c>
      <c r="AC87" s="30">
        <f>IF($C87="","",_xll.RssMarket($C87&amp;"","売買代金"))</f>
      </c>
      <c r="AD87" s="31">
        <f>IFERROR(INDEX(ATRHIST_MS2!$H$2:$H$400,MATCH($C87,ATRHIST_MS2!$A$2:$A$400,0)),0)</f>
      </c>
    </row>
    <row r="88" spans="1:30" ht="25.95" customHeight="1">
      <c r="A88" s="10">
        <f>IF(C88="","",ROW()-2)</f>
      </c>
      <c r="B88" s="11">
        <f>IF(StockList_MS2!A87="","",HYPERLINK("https://kabutan.jp/stock/?code="&amp;StockList_MS2!A87,"株探"))</f>
      </c>
      <c r="C88" s="10">
        <f>IF(StockList_MS2!A87="","",StockList_MS2!A87)</f>
      </c>
      <c r="D88" s="12">
        <f>IF(StockList_MS2!A87="","",StockList_MS2!B87)</f>
      </c>
      <c r="E88" s="13">
        <f>_xll.RssMarket("4502","現在値")</f>
      </c>
      <c r="F88" s="13">
        <f>_xll.RssMarket("4502","高値")</f>
      </c>
      <c r="G88" s="13">
        <f>_xll.RssMarket("4502","安値")</f>
      </c>
      <c r="H88" s="13">
        <f>_xll.RssMarket("4502","終値")</f>
      </c>
      <c r="I88" s="20">
        <f>_xll.RssMarket("4502","出来高")</f>
      </c>
      <c r="J88" s="13">
        <v>5849.0</v>
      </c>
      <c r="K88" s="13">
        <v>5781.0</v>
      </c>
      <c r="L88" s="13">
        <f>_xll.RssMarket("4502","前日終値")</f>
      </c>
      <c r="M88" s="5">
        <f>IF(OR(N($E88)&lt;=0,N($L88)&lt;=0),"",IF($E88&gt;$L88,"BUY-DAY","SELL-DAY"))</f>
      </c>
      <c r="N88" s="9">
        <f>IF(OR(N($E88)&lt;=0,N($F88)&lt;=0,N($G88)&lt;=0),"",IF(AND($AD88&gt;0,'操作パネル_MS2'!$H$17=1),$AD88,MAX(0,$F88-$G88)/SQRT(MAX(1,'操作パネル_MS2'!$H$12))*'操作パネル_MS2'!$H$10))</f>
      </c>
      <c r="O88" s="5">
        <f>IF(OR(N($E88)&lt;=0,$AC88=""),"",IF(N($AC88)&gt;='操作パネル_MS2'!$H$3,"VOL-OK","VOL-NG"))</f>
      </c>
      <c r="P88" s="5">
        <f>IF(OR(N($E88)&lt;=0,N($J88)&lt;=0),"",IF($E88&gt;$J88,"ON","OFF"))</f>
      </c>
      <c r="Q88" s="5">
        <f>IF(OR(N($E88)&lt;=0,N($K88)&lt;=0),"",IF($E88&lt;$K88,"ON","OFF"))</f>
      </c>
      <c r="R88" s="5">
        <f>IF(OR(N($E88)&lt;=0,N($N88)&lt;=0),"",IF(AND($M88="BUY-DAY",$O88="VOL-OK",$P88="ON",$AA88="OK",$AB88&lt;&gt;"DOWN"),"BUY",IF(AND($M88="SELL-DAY",$O88="VOL-OK",$Q88="ON",$AA88="OK",$AB88&lt;&gt;"UP"),"SELL","")))</f>
      </c>
      <c r="S88" s="9">
        <f>IF($R88="","",$E88)</f>
      </c>
      <c r="T88" s="9">
        <f>IF($R88="","",IF($R88="BUY",$E88-$N88*'操作パネル_MS2'!$H$5,$E88+$N88*'操作パネル_MS2'!$H$5))</f>
      </c>
      <c r="U88" s="9">
        <f>IF($R88="","",IF($R88="BUY",$E88+$N88*'操作パネル_MS2'!$H$6,$E88-$N88*'操作パネル_MS2'!$H$6))</f>
      </c>
      <c r="V88" s="9">
        <f>IF($R88="","",IF($R88="BUY",$E88+$N88*'操作パネル_MS2'!$H$7,$E88-$N88*'操作パネル_MS2'!$H$7))</f>
      </c>
      <c r="W88" s="9">
        <f>IF($R88="","",IF($R88="BUY",$E88+$N88*'操作パネル_MS2'!$H$8,$E88-$N88*'操作パネル_MS2'!$H$8))</f>
      </c>
      <c r="X88" s="5">
        <f>IF(OR(N($E88)&lt;=0,N($N88)&lt;=0,N($L88)&lt;=0),"",IF(AND($E88&gt;$L88,ABS($E88-$L88)&lt;$N88*0.5),"2ND","1ST"))</f>
      </c>
      <c r="Y88" s="5">
        <f>IF(OR(N($E88)&lt;=0,N($N88)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8" s="5">
        <f>IF(OR(N($E88)&lt;=0,N($N88)&lt;=0),"",IF($N88&gt;$E88*'操作パネル_MS2'!$H$4,"VOL-HIGH","VOL-NORMAL"))</f>
      </c>
      <c r="AA88" s="5">
        <f>IF(OR(N($E88)&lt;=0,N($N88)&lt;=0),"",IF(AND($O88="VOL-OK",$Z88="VOL-NORMAL"),"OK","NG"))</f>
      </c>
      <c r="AB88" s="5">
        <f>IF(OR(N($E88)&lt;=0,N($N88)&lt;=0,N($J88)&lt;=0,N($K88)&lt;=0),"",IF(AND($F88&gt;$J88,$G88&gt;$K88),"UP",IF(AND($F88&lt;$J88,$G88&lt;$K88),"DOWN","FLAT")))</f>
      </c>
      <c r="AC88" s="30">
        <f>IF($C88="","",_xll.RssMarket($C88&amp;"","売買代金"))</f>
      </c>
      <c r="AD88" s="31">
        <f>IFERROR(INDEX(ATRHIST_MS2!$H$2:$H$400,MATCH($C88,ATRHIST_MS2!$A$2:$A$400,0)),0)</f>
      </c>
    </row>
    <row r="89" spans="1:30" ht="25.95" customHeight="1">
      <c r="A89" s="5">
        <f>IF(C89="","",ROW()-2)</f>
      </c>
      <c r="B89" s="6">
        <f>IF(StockList_MS2!A88="","",HYPERLINK("https://kabutan.jp/stock/?code="&amp;StockList_MS2!A88,"株探"))</f>
      </c>
      <c r="C89" s="5">
        <f>IF(StockList_MS2!A88="","",StockList_MS2!A88)</f>
      </c>
      <c r="D89" s="7">
        <f>IF(StockList_MS2!A88="","",StockList_MS2!B88)</f>
      </c>
      <c r="E89" s="8">
        <f>_xll.RssMarket("4307","現在値")</f>
      </c>
      <c r="F89" s="8">
        <f>_xll.RssMarket("4307","高値")</f>
      </c>
      <c r="G89" s="8">
        <f>_xll.RssMarket("4307","安値")</f>
      </c>
      <c r="H89" s="8">
        <f>_xll.RssMarket("4307","終値")</f>
      </c>
      <c r="I89" s="19">
        <f>_xll.RssMarket("4307","出来高")</f>
      </c>
      <c r="J89" s="8">
        <v>5315.0</v>
      </c>
      <c r="K89" s="8">
        <v>5076.0</v>
      </c>
      <c r="L89" s="8">
        <f>_xll.RssMarket("4307","前日終値")</f>
      </c>
      <c r="M89" s="5">
        <f>IF(OR(N($E89)&lt;=0,N($L89)&lt;=0),"",IF($E89&gt;$L89,"BUY-DAY","SELL-DAY"))</f>
      </c>
      <c r="N89" s="9">
        <f>IF(OR(N($E89)&lt;=0,N($F89)&lt;=0,N($G89)&lt;=0),"",IF(AND($AD89&gt;0,'操作パネル_MS2'!$H$17=1),$AD89,MAX(0,$F89-$G89)/SQRT(MAX(1,'操作パネル_MS2'!$H$12))*'操作パネル_MS2'!$H$10))</f>
      </c>
      <c r="O89" s="5">
        <f>IF(OR(N($E89)&lt;=0,$AC89=""),"",IF(N($AC89)&gt;='操作パネル_MS2'!$H$3,"VOL-OK","VOL-NG"))</f>
      </c>
      <c r="P89" s="5">
        <f>IF(OR(N($E89)&lt;=0,N($J89)&lt;=0),"",IF($E89&gt;$J89,"ON","OFF"))</f>
      </c>
      <c r="Q89" s="5">
        <f>IF(OR(N($E89)&lt;=0,N($K89)&lt;=0),"",IF($E89&lt;$K89,"ON","OFF"))</f>
      </c>
      <c r="R89" s="5">
        <f>IF(OR(N($E89)&lt;=0,N($N89)&lt;=0),"",IF(AND($M89="BUY-DAY",$O89="VOL-OK",$P89="ON",$AA89="OK",$AB89&lt;&gt;"DOWN"),"BUY",IF(AND($M89="SELL-DAY",$O89="VOL-OK",$Q89="ON",$AA89="OK",$AB89&lt;&gt;"UP"),"SELL","")))</f>
      </c>
      <c r="S89" s="9">
        <f>IF($R89="","",$E89)</f>
      </c>
      <c r="T89" s="9">
        <f>IF($R89="","",IF($R89="BUY",$E89-$N89*'操作パネル_MS2'!$H$5,$E89+$N89*'操作パネル_MS2'!$H$5))</f>
      </c>
      <c r="U89" s="9">
        <f>IF($R89="","",IF($R89="BUY",$E89+$N89*'操作パネル_MS2'!$H$6,$E89-$N89*'操作パネル_MS2'!$H$6))</f>
      </c>
      <c r="V89" s="9">
        <f>IF($R89="","",IF($R89="BUY",$E89+$N89*'操作パネル_MS2'!$H$7,$E89-$N89*'操作パネル_MS2'!$H$7))</f>
      </c>
      <c r="W89" s="9">
        <f>IF($R89="","",IF($R89="BUY",$E89+$N89*'操作パネル_MS2'!$H$8,$E89-$N89*'操作パネル_MS2'!$H$8))</f>
      </c>
      <c r="X89" s="5">
        <f>IF(OR(N($E89)&lt;=0,N($N89)&lt;=0,N($L89)&lt;=0),"",IF(AND($E89&gt;$L89,ABS($E89-$L89)&lt;$N89*0.5),"2ND","1ST"))</f>
      </c>
      <c r="Y89" s="5">
        <f>IF(OR(N($E89)&lt;=0,N($N89)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89" s="5">
        <f>IF(OR(N($E89)&lt;=0,N($N89)&lt;=0),"",IF($N89&gt;$E89*'操作パネル_MS2'!$H$4,"VOL-HIGH","VOL-NORMAL"))</f>
      </c>
      <c r="AA89" s="5">
        <f>IF(OR(N($E89)&lt;=0,N($N89)&lt;=0),"",IF(AND($O89="VOL-OK",$Z89="VOL-NORMAL"),"OK","NG"))</f>
      </c>
      <c r="AB89" s="5">
        <f>IF(OR(N($E89)&lt;=0,N($N89)&lt;=0,N($J89)&lt;=0,N($K89)&lt;=0),"",IF(AND($F89&gt;$J89,$G89&gt;$K89),"UP",IF(AND($F89&lt;$J89,$G89&lt;$K89),"DOWN","FLAT")))</f>
      </c>
      <c r="AC89" s="30">
        <f>IF($C89="","",_xll.RssMarket($C89&amp;"","売買代金"))</f>
      </c>
      <c r="AD89" s="31">
        <f>IFERROR(INDEX(ATRHIST_MS2!$H$2:$H$400,MATCH($C89,ATRHIST_MS2!$A$2:$A$400,0)),0)</f>
      </c>
    </row>
    <row r="90" spans="1:30" ht="25.95" customHeight="1">
      <c r="A90" s="10">
        <f>IF(C90="","",ROW()-2)</f>
      </c>
      <c r="B90" s="11">
        <f>IF(StockList_MS2!A89="","",HYPERLINK("https://kabutan.jp/stock/?code="&amp;StockList_MS2!A89,"株探"))</f>
      </c>
      <c r="C90" s="10">
        <f>IF(StockList_MS2!A89="","",StockList_MS2!A89)</f>
      </c>
      <c r="D90" s="12">
        <f>IF(StockList_MS2!A89="","",StockList_MS2!B89)</f>
      </c>
      <c r="E90" s="13">
        <f>_xll.RssMarket("3110","現在値")</f>
      </c>
      <c r="F90" s="13">
        <f>_xll.RssMarket("3110","高値")</f>
      </c>
      <c r="G90" s="13">
        <f>_xll.RssMarket("3110","安値")</f>
      </c>
      <c r="H90" s="13">
        <f>_xll.RssMarket("3110","終値")</f>
      </c>
      <c r="I90" s="20">
        <f>_xll.RssMarket("3110","出来高")</f>
      </c>
      <c r="J90" s="13">
        <v>3085.0</v>
      </c>
      <c r="K90" s="13">
        <v>2981.0</v>
      </c>
      <c r="L90" s="13">
        <f>_xll.RssMarket("3110","前日終値")</f>
      </c>
      <c r="M90" s="5">
        <f>IF(OR(N($E90)&lt;=0,N($L90)&lt;=0),"",IF($E90&gt;$L90,"BUY-DAY","SELL-DAY"))</f>
      </c>
      <c r="N90" s="9">
        <f>IF(OR(N($E90)&lt;=0,N($F90)&lt;=0,N($G90)&lt;=0),"",IF(AND($AD90&gt;0,'操作パネル_MS2'!$H$17=1),$AD90,MAX(0,$F90-$G90)/SQRT(MAX(1,'操作パネル_MS2'!$H$12))*'操作パネル_MS2'!$H$10))</f>
      </c>
      <c r="O90" s="5">
        <f>IF(OR(N($E90)&lt;=0,$AC90=""),"",IF(N($AC90)&gt;='操作パネル_MS2'!$H$3,"VOL-OK","VOL-NG"))</f>
      </c>
      <c r="P90" s="5">
        <f>IF(OR(N($E90)&lt;=0,N($J90)&lt;=0),"",IF($E90&gt;$J90,"ON","OFF"))</f>
      </c>
      <c r="Q90" s="5">
        <f>IF(OR(N($E90)&lt;=0,N($K90)&lt;=0),"",IF($E90&lt;$K90,"ON","OFF"))</f>
      </c>
      <c r="R90" s="5">
        <f>IF(OR(N($E90)&lt;=0,N($N90)&lt;=0),"",IF(AND($M90="BUY-DAY",$O90="VOL-OK",$P90="ON",$AA90="OK",$AB90&lt;&gt;"DOWN"),"BUY",IF(AND($M90="SELL-DAY",$O90="VOL-OK",$Q90="ON",$AA90="OK",$AB90&lt;&gt;"UP"),"SELL","")))</f>
      </c>
      <c r="S90" s="9">
        <f>IF($R90="","",$E90)</f>
      </c>
      <c r="T90" s="9">
        <f>IF($R90="","",IF($R90="BUY",$E90-$N90*'操作パネル_MS2'!$H$5,$E90+$N90*'操作パネル_MS2'!$H$5))</f>
      </c>
      <c r="U90" s="9">
        <f>IF($R90="","",IF($R90="BUY",$E90+$N90*'操作パネル_MS2'!$H$6,$E90-$N90*'操作パネル_MS2'!$H$6))</f>
      </c>
      <c r="V90" s="9">
        <f>IF($R90="","",IF($R90="BUY",$E90+$N90*'操作パネル_MS2'!$H$7,$E90-$N90*'操作パネル_MS2'!$H$7))</f>
      </c>
      <c r="W90" s="9">
        <f>IF($R90="","",IF($R90="BUY",$E90+$N90*'操作パネル_MS2'!$H$8,$E90-$N90*'操作パネル_MS2'!$H$8))</f>
      </c>
      <c r="X90" s="5">
        <f>IF(OR(N($E90)&lt;=0,N($N90)&lt;=0,N($L90)&lt;=0),"",IF(AND($E90&gt;$L90,ABS($E90-$L90)&lt;$N90*0.5),"2ND","1ST"))</f>
      </c>
      <c r="Y90" s="5">
        <f>IF(OR(N($E90)&lt;=0,N($N90)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0" s="5">
        <f>IF(OR(N($E90)&lt;=0,N($N90)&lt;=0),"",IF($N90&gt;$E90*'操作パネル_MS2'!$H$4,"VOL-HIGH","VOL-NORMAL"))</f>
      </c>
      <c r="AA90" s="5">
        <f>IF(OR(N($E90)&lt;=0,N($N90)&lt;=0),"",IF(AND($O90="VOL-OK",$Z90="VOL-NORMAL"),"OK","NG"))</f>
      </c>
      <c r="AB90" s="5">
        <f>IF(OR(N($E90)&lt;=0,N($N90)&lt;=0,N($J90)&lt;=0,N($K90)&lt;=0),"",IF(AND($F90&gt;$J90,$G90&gt;$K90),"UP",IF(AND($F90&lt;$J90,$G90&lt;$K90),"DOWN","FLAT")))</f>
      </c>
      <c r="AC90" s="30">
        <f>IF($C90="","",_xll.RssMarket($C90&amp;"","売買代金"))</f>
      </c>
      <c r="AD90" s="31">
        <f>IFERROR(INDEX(ATRHIST_MS2!$H$2:$H$400,MATCH($C90,ATRHIST_MS2!$A$2:$A$400,0)),0)</f>
      </c>
    </row>
    <row r="91" spans="1:30" ht="25.95" customHeight="1">
      <c r="A91" s="5">
        <f>IF(C91="","",ROW()-2)</f>
      </c>
      <c r="B91" s="6">
        <f>IF(StockList_MS2!A90="","",HYPERLINK("https://kabutan.jp/stock/?code="&amp;StockList_MS2!A90,"株探"))</f>
      </c>
      <c r="C91" s="5">
        <f>IF(StockList_MS2!A90="","",StockList_MS2!A90)</f>
      </c>
      <c r="D91" s="7">
        <f>IF(StockList_MS2!A90="","",StockList_MS2!B90)</f>
      </c>
      <c r="E91" s="8">
        <f>_xll.RssMarket("8593","現在値")</f>
      </c>
      <c r="F91" s="8">
        <f>_xll.RssMarket("8593","高値")</f>
      </c>
      <c r="G91" s="8">
        <f>_xll.RssMarket("8593","安値")</f>
      </c>
      <c r="H91" s="8">
        <f>_xll.RssMarket("8593","終値")</f>
      </c>
      <c r="I91" s="19">
        <f>_xll.RssMarket("8593","出来高")</f>
      </c>
      <c r="J91" s="8">
        <v>1404.5</v>
      </c>
      <c r="K91" s="8">
        <v>1390.0</v>
      </c>
      <c r="L91" s="8">
        <f>_xll.RssMarket("8593","前日終値")</f>
      </c>
      <c r="M91" s="5">
        <f>IF(OR(N($E91)&lt;=0,N($L91)&lt;=0),"",IF($E91&gt;$L91,"BUY-DAY","SELL-DAY"))</f>
      </c>
      <c r="N91" s="9">
        <f>IF(OR(N($E91)&lt;=0,N($F91)&lt;=0,N($G91)&lt;=0),"",IF(AND($AD91&gt;0,'操作パネル_MS2'!$H$17=1),$AD91,MAX(0,$F91-$G91)/SQRT(MAX(1,'操作パネル_MS2'!$H$12))*'操作パネル_MS2'!$H$10))</f>
      </c>
      <c r="O91" s="5">
        <f>IF(OR(N($E91)&lt;=0,$AC91=""),"",IF(N($AC91)&gt;='操作パネル_MS2'!$H$3,"VOL-OK","VOL-NG"))</f>
      </c>
      <c r="P91" s="5">
        <f>IF(OR(N($E91)&lt;=0,N($J91)&lt;=0),"",IF($E91&gt;$J91,"ON","OFF"))</f>
      </c>
      <c r="Q91" s="5">
        <f>IF(OR(N($E91)&lt;=0,N($K91)&lt;=0),"",IF($E91&lt;$K91,"ON","OFF"))</f>
      </c>
      <c r="R91" s="5">
        <f>IF(OR(N($E91)&lt;=0,N($N91)&lt;=0),"",IF(AND($M91="BUY-DAY",$O91="VOL-OK",$P91="ON",$AA91="OK",$AB91&lt;&gt;"DOWN"),"BUY",IF(AND($M91="SELL-DAY",$O91="VOL-OK",$Q91="ON",$AA91="OK",$AB91&lt;&gt;"UP"),"SELL","")))</f>
      </c>
      <c r="S91" s="9">
        <f>IF($R91="","",$E91)</f>
      </c>
      <c r="T91" s="9">
        <f>IF($R91="","",IF($R91="BUY",$E91-$N91*'操作パネル_MS2'!$H$5,$E91+$N91*'操作パネル_MS2'!$H$5))</f>
      </c>
      <c r="U91" s="9">
        <f>IF($R91="","",IF($R91="BUY",$E91+$N91*'操作パネル_MS2'!$H$6,$E91-$N91*'操作パネル_MS2'!$H$6))</f>
      </c>
      <c r="V91" s="9">
        <f>IF($R91="","",IF($R91="BUY",$E91+$N91*'操作パネル_MS2'!$H$7,$E91-$N91*'操作パネル_MS2'!$H$7))</f>
      </c>
      <c r="W91" s="9">
        <f>IF($R91="","",IF($R91="BUY",$E91+$N91*'操作パネル_MS2'!$H$8,$E91-$N91*'操作パネル_MS2'!$H$8))</f>
      </c>
      <c r="X91" s="5">
        <f>IF(OR(N($E91)&lt;=0,N($N91)&lt;=0,N($L91)&lt;=0),"",IF(AND($E91&gt;$L91,ABS($E91-$L91)&lt;$N91*0.5),"2ND","1ST"))</f>
      </c>
      <c r="Y91" s="5">
        <f>IF(OR(N($E91)&lt;=0,N($N91)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1" s="5">
        <f>IF(OR(N($E91)&lt;=0,N($N91)&lt;=0),"",IF($N91&gt;$E91*'操作パネル_MS2'!$H$4,"VOL-HIGH","VOL-NORMAL"))</f>
      </c>
      <c r="AA91" s="5">
        <f>IF(OR(N($E91)&lt;=0,N($N91)&lt;=0),"",IF(AND($O91="VOL-OK",$Z91="VOL-NORMAL"),"OK","NG"))</f>
      </c>
      <c r="AB91" s="5">
        <f>IF(OR(N($E91)&lt;=0,N($N91)&lt;=0,N($J91)&lt;=0,N($K91)&lt;=0),"",IF(AND($F91&gt;$J91,$G91&gt;$K91),"UP",IF(AND($F91&lt;$J91,$G91&lt;$K91),"DOWN","FLAT")))</f>
      </c>
      <c r="AC91" s="30">
        <f>IF($C91="","",_xll.RssMarket($C91&amp;"","売買代金"))</f>
      </c>
      <c r="AD91" s="31">
        <f>IFERROR(INDEX(ATRHIST_MS2!$H$2:$H$400,MATCH($C91,ATRHIST_MS2!$A$2:$A$400,0)),0)</f>
      </c>
    </row>
    <row r="92" spans="1:30" ht="25.95" customHeight="1">
      <c r="A92" s="10">
        <f>IF(C92="","",ROW()-2)</f>
      </c>
      <c r="B92" s="11">
        <f>IF(StockList_MS2!A91="","",HYPERLINK("https://kabutan.jp/stock/?code="&amp;StockList_MS2!A91,"株探"))</f>
      </c>
      <c r="C92" s="10">
        <f>IF(StockList_MS2!A91="","",StockList_MS2!A91)</f>
      </c>
      <c r="D92" s="12">
        <f>IF(StockList_MS2!A91="","",StockList_MS2!B91)</f>
      </c>
      <c r="E92" s="13">
        <f>_xll.RssMarket("1942","現在値")</f>
      </c>
      <c r="F92" s="13">
        <f>_xll.RssMarket("1942","高値")</f>
      </c>
      <c r="G92" s="13">
        <f>_xll.RssMarket("1942","安値")</f>
      </c>
      <c r="H92" s="13">
        <f>_xll.RssMarket("1942","終値")</f>
      </c>
      <c r="I92" s="20">
        <f>_xll.RssMarket("1942","出来高")</f>
      </c>
      <c r="J92" s="13">
        <v>5484.0</v>
      </c>
      <c r="K92" s="13">
        <v>5396.0</v>
      </c>
      <c r="L92" s="13">
        <f>_xll.RssMarket("1942","前日終値")</f>
      </c>
      <c r="M92" s="5">
        <f>IF(OR(N($E92)&lt;=0,N($L92)&lt;=0),"",IF($E92&gt;$L92,"BUY-DAY","SELL-DAY"))</f>
      </c>
      <c r="N92" s="9">
        <f>IF(OR(N($E92)&lt;=0,N($F92)&lt;=0,N($G92)&lt;=0),"",IF(AND($AD92&gt;0,'操作パネル_MS2'!$H$17=1),$AD92,MAX(0,$F92-$G92)/SQRT(MAX(1,'操作パネル_MS2'!$H$12))*'操作パネル_MS2'!$H$10))</f>
      </c>
      <c r="O92" s="5">
        <f>IF(OR(N($E92)&lt;=0,$AC92=""),"",IF(N($AC92)&gt;='操作パネル_MS2'!$H$3,"VOL-OK","VOL-NG"))</f>
      </c>
      <c r="P92" s="5">
        <f>IF(OR(N($E92)&lt;=0,N($J92)&lt;=0),"",IF($E92&gt;$J92,"ON","OFF"))</f>
      </c>
      <c r="Q92" s="5">
        <f>IF(OR(N($E92)&lt;=0,N($K92)&lt;=0),"",IF($E92&lt;$K92,"ON","OFF"))</f>
      </c>
      <c r="R92" s="5">
        <f>IF(OR(N($E92)&lt;=0,N($N92)&lt;=0),"",IF(AND($M92="BUY-DAY",$O92="VOL-OK",$P92="ON",$AA92="OK",$AB92&lt;&gt;"DOWN"),"BUY",IF(AND($M92="SELL-DAY",$O92="VOL-OK",$Q92="ON",$AA92="OK",$AB92&lt;&gt;"UP"),"SELL","")))</f>
      </c>
      <c r="S92" s="9">
        <f>IF($R92="","",$E92)</f>
      </c>
      <c r="T92" s="9">
        <f>IF($R92="","",IF($R92="BUY",$E92-$N92*'操作パネル_MS2'!$H$5,$E92+$N92*'操作パネル_MS2'!$H$5))</f>
      </c>
      <c r="U92" s="9">
        <f>IF($R92="","",IF($R92="BUY",$E92+$N92*'操作パネル_MS2'!$H$6,$E92-$N92*'操作パネル_MS2'!$H$6))</f>
      </c>
      <c r="V92" s="9">
        <f>IF($R92="","",IF($R92="BUY",$E92+$N92*'操作パネル_MS2'!$H$7,$E92-$N92*'操作パネル_MS2'!$H$7))</f>
      </c>
      <c r="W92" s="9">
        <f>IF($R92="","",IF($R92="BUY",$E92+$N92*'操作パネル_MS2'!$H$8,$E92-$N92*'操作パネル_MS2'!$H$8))</f>
      </c>
      <c r="X92" s="5">
        <f>IF(OR(N($E92)&lt;=0,N($N92)&lt;=0,N($L92)&lt;=0),"",IF(AND($E92&gt;$L92,ABS($E92-$L92)&lt;$N92*0.5),"2ND","1ST"))</f>
      </c>
      <c r="Y92" s="5">
        <f>IF(OR(N($E92)&lt;=0,N($N92)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2" s="5">
        <f>IF(OR(N($E92)&lt;=0,N($N92)&lt;=0),"",IF($N92&gt;$E92*'操作パネル_MS2'!$H$4,"VOL-HIGH","VOL-NORMAL"))</f>
      </c>
      <c r="AA92" s="5">
        <f>IF(OR(N($E92)&lt;=0,N($N92)&lt;=0),"",IF(AND($O92="VOL-OK",$Z92="VOL-NORMAL"),"OK","NG"))</f>
      </c>
      <c r="AB92" s="5">
        <f>IF(OR(N($E92)&lt;=0,N($N92)&lt;=0,N($J92)&lt;=0,N($K92)&lt;=0),"",IF(AND($F92&gt;$J92,$G92&gt;$K92),"UP",IF(AND($F92&lt;$J92,$G92&lt;$K92),"DOWN","FLAT")))</f>
      </c>
      <c r="AC92" s="30">
        <f>IF($C92="","",_xll.RssMarket($C92&amp;"","売買代金"))</f>
      </c>
      <c r="AD92" s="31">
        <f>IFERROR(INDEX(ATRHIST_MS2!$H$2:$H$400,MATCH($C92,ATRHIST_MS2!$A$2:$A$400,0)),0)</f>
      </c>
    </row>
    <row r="93" spans="1:30" ht="25.95" customHeight="1">
      <c r="A93" s="5">
        <f>IF(C93="","",ROW()-2)</f>
      </c>
      <c r="B93" s="6">
        <f>IF(StockList_MS2!A92="","",HYPERLINK("https://kabutan.jp/stock/?code="&amp;StockList_MS2!A92,"株探"))</f>
      </c>
      <c r="C93" s="5">
        <f>IF(StockList_MS2!A92="","",StockList_MS2!A92)</f>
      </c>
      <c r="D93" s="7">
        <f>IF(StockList_MS2!A92="","",StockList_MS2!B92)</f>
      </c>
      <c r="E93" s="8">
        <f>_xll.RssMarket("2802","現在値")</f>
      </c>
      <c r="F93" s="8">
        <f>_xll.RssMarket("2802","高値")</f>
      </c>
      <c r="G93" s="8">
        <f>_xll.RssMarket("2802","安値")</f>
      </c>
      <c r="H93" s="8">
        <f>_xll.RssMarket("2802","終値")</f>
      </c>
      <c r="I93" s="19">
        <f>_xll.RssMarket("2802","出来高")</f>
      </c>
      <c r="J93" s="8">
        <v>5509.0</v>
      </c>
      <c r="K93" s="8">
        <v>5401.0</v>
      </c>
      <c r="L93" s="8">
        <f>_xll.RssMarket("2802","前日終値")</f>
      </c>
      <c r="M93" s="5">
        <f>IF(OR(N($E93)&lt;=0,N($L93)&lt;=0),"",IF($E93&gt;$L93,"BUY-DAY","SELL-DAY"))</f>
      </c>
      <c r="N93" s="9">
        <f>IF(OR(N($E93)&lt;=0,N($F93)&lt;=0,N($G93)&lt;=0),"",IF(AND($AD93&gt;0,'操作パネル_MS2'!$H$17=1),$AD93,MAX(0,$F93-$G93)/SQRT(MAX(1,'操作パネル_MS2'!$H$12))*'操作パネル_MS2'!$H$10))</f>
      </c>
      <c r="O93" s="5">
        <f>IF(OR(N($E93)&lt;=0,$AC93=""),"",IF(N($AC93)&gt;='操作パネル_MS2'!$H$3,"VOL-OK","VOL-NG"))</f>
      </c>
      <c r="P93" s="5">
        <f>IF(OR(N($E93)&lt;=0,N($J93)&lt;=0),"",IF($E93&gt;$J93,"ON","OFF"))</f>
      </c>
      <c r="Q93" s="5">
        <f>IF(OR(N($E93)&lt;=0,N($K93)&lt;=0),"",IF($E93&lt;$K93,"ON","OFF"))</f>
      </c>
      <c r="R93" s="5">
        <f>IF(OR(N($E93)&lt;=0,N($N93)&lt;=0),"",IF(AND($M93="BUY-DAY",$O93="VOL-OK",$P93="ON",$AA93="OK",$AB93&lt;&gt;"DOWN"),"BUY",IF(AND($M93="SELL-DAY",$O93="VOL-OK",$Q93="ON",$AA93="OK",$AB93&lt;&gt;"UP"),"SELL","")))</f>
      </c>
      <c r="S93" s="9">
        <f>IF($R93="","",$E93)</f>
      </c>
      <c r="T93" s="9">
        <f>IF($R93="","",IF($R93="BUY",$E93-$N93*'操作パネル_MS2'!$H$5,$E93+$N93*'操作パネル_MS2'!$H$5))</f>
      </c>
      <c r="U93" s="9">
        <f>IF($R93="","",IF($R93="BUY",$E93+$N93*'操作パネル_MS2'!$H$6,$E93-$N93*'操作パネル_MS2'!$H$6))</f>
      </c>
      <c r="V93" s="9">
        <f>IF($R93="","",IF($R93="BUY",$E93+$N93*'操作パネル_MS2'!$H$7,$E93-$N93*'操作パネル_MS2'!$H$7))</f>
      </c>
      <c r="W93" s="9">
        <f>IF($R93="","",IF($R93="BUY",$E93+$N93*'操作パネル_MS2'!$H$8,$E93-$N93*'操作パネル_MS2'!$H$8))</f>
      </c>
      <c r="X93" s="5">
        <f>IF(OR(N($E93)&lt;=0,N($N93)&lt;=0,N($L93)&lt;=0),"",IF(AND($E93&gt;$L93,ABS($E93-$L93)&lt;$N93*0.5),"2ND","1ST"))</f>
      </c>
      <c r="Y93" s="5">
        <f>IF(OR(N($E93)&lt;=0,N($N93)&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3" s="5">
        <f>IF(OR(N($E93)&lt;=0,N($N93)&lt;=0),"",IF($N93&gt;$E93*'操作パネル_MS2'!$H$4,"VOL-HIGH","VOL-NORMAL"))</f>
      </c>
      <c r="AA93" s="5">
        <f>IF(OR(N($E93)&lt;=0,N($N93)&lt;=0),"",IF(AND($O93="VOL-OK",$Z93="VOL-NORMAL"),"OK","NG"))</f>
      </c>
      <c r="AB93" s="5">
        <f>IF(OR(N($E93)&lt;=0,N($N93)&lt;=0,N($J93)&lt;=0,N($K93)&lt;=0),"",IF(AND($F93&gt;$J93,$G93&gt;$K93),"UP",IF(AND($F93&lt;$J93,$G93&lt;$K93),"DOWN","FLAT")))</f>
      </c>
      <c r="AC93" s="30">
        <f>IF($C93="","",_xll.RssMarket($C93&amp;"","売買代金"))</f>
      </c>
      <c r="AD93" s="31">
        <f>IFERROR(INDEX(ATRHIST_MS2!$H$2:$H$400,MATCH($C93,ATRHIST_MS2!$A$2:$A$400,0)),0)</f>
      </c>
    </row>
    <row r="94" spans="1:30" ht="25.95" customHeight="1">
      <c r="A94" s="10">
        <f>IF(C94="","",ROW()-2)</f>
      </c>
      <c r="B94" s="11">
        <f>IF(StockList_MS2!A93="","",HYPERLINK("https://kabutan.jp/stock/?code="&amp;StockList_MS2!A93,"株探"))</f>
      </c>
      <c r="C94" s="10">
        <f>IF(StockList_MS2!A93="","",StockList_MS2!A93)</f>
      </c>
      <c r="D94" s="12">
        <f>IF(StockList_MS2!A93="","",StockList_MS2!B93)</f>
      </c>
      <c r="E94" s="13">
        <f>_xll.RssMarket("7259","現在値")</f>
      </c>
      <c r="F94" s="13">
        <f>_xll.RssMarket("7259","高値")</f>
      </c>
      <c r="G94" s="13">
        <f>_xll.RssMarket("7259","安値")</f>
      </c>
      <c r="H94" s="13">
        <f>_xll.RssMarket("7259","終値")</f>
      </c>
      <c r="I94" s="20">
        <f>_xll.RssMarket("7259","出来高")</f>
      </c>
      <c r="J94" s="13">
        <v>2249.5</v>
      </c>
      <c r="K94" s="13">
        <v>2224.5</v>
      </c>
      <c r="L94" s="13">
        <f>_xll.RssMarket("7259","前日終値")</f>
      </c>
      <c r="M94" s="5">
        <f>IF(OR(N($E94)&lt;=0,N($L94)&lt;=0),"",IF($E94&gt;$L94,"BUY-DAY","SELL-DAY"))</f>
      </c>
      <c r="N94" s="9">
        <f>IF(OR(N($E94)&lt;=0,N($F94)&lt;=0,N($G94)&lt;=0),"",IF(AND($AD94&gt;0,'操作パネル_MS2'!$H$17=1),$AD94,MAX(0,$F94-$G94)/SQRT(MAX(1,'操作パネル_MS2'!$H$12))*'操作パネル_MS2'!$H$10))</f>
      </c>
      <c r="O94" s="5">
        <f>IF(OR(N($E94)&lt;=0,$AC94=""),"",IF(N($AC94)&gt;='操作パネル_MS2'!$H$3,"VOL-OK","VOL-NG"))</f>
      </c>
      <c r="P94" s="5">
        <f>IF(OR(N($E94)&lt;=0,N($J94)&lt;=0),"",IF($E94&gt;$J94,"ON","OFF"))</f>
      </c>
      <c r="Q94" s="5">
        <f>IF(OR(N($E94)&lt;=0,N($K94)&lt;=0),"",IF($E94&lt;$K94,"ON","OFF"))</f>
      </c>
      <c r="R94" s="5">
        <f>IF(OR(N($E94)&lt;=0,N($N94)&lt;=0),"",IF(AND($M94="BUY-DAY",$O94="VOL-OK",$P94="ON",$AA94="OK",$AB94&lt;&gt;"DOWN"),"BUY",IF(AND($M94="SELL-DAY",$O94="VOL-OK",$Q94="ON",$AA94="OK",$AB94&lt;&gt;"UP"),"SELL","")))</f>
      </c>
      <c r="S94" s="9">
        <f>IF($R94="","",$E94)</f>
      </c>
      <c r="T94" s="9">
        <f>IF($R94="","",IF($R94="BUY",$E94-$N94*'操作パネル_MS2'!$H$5,$E94+$N94*'操作パネル_MS2'!$H$5))</f>
      </c>
      <c r="U94" s="9">
        <f>IF($R94="","",IF($R94="BUY",$E94+$N94*'操作パネル_MS2'!$H$6,$E94-$N94*'操作パネル_MS2'!$H$6))</f>
      </c>
      <c r="V94" s="9">
        <f>IF($R94="","",IF($R94="BUY",$E94+$N94*'操作パネル_MS2'!$H$7,$E94-$N94*'操作パネル_MS2'!$H$7))</f>
      </c>
      <c r="W94" s="9">
        <f>IF($R94="","",IF($R94="BUY",$E94+$N94*'操作パネル_MS2'!$H$8,$E94-$N94*'操作パネル_MS2'!$H$8))</f>
      </c>
      <c r="X94" s="5">
        <f>IF(OR(N($E94)&lt;=0,N($N94)&lt;=0,N($L94)&lt;=0),"",IF(AND($E94&gt;$L94,ABS($E94-$L94)&lt;$N94*0.5),"2ND","1ST"))</f>
      </c>
      <c r="Y94" s="5">
        <f>IF(OR(N($E94)&lt;=0,N($N94)&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4" s="5">
        <f>IF(OR(N($E94)&lt;=0,N($N94)&lt;=0),"",IF($N94&gt;$E94*'操作パネル_MS2'!$H$4,"VOL-HIGH","VOL-NORMAL"))</f>
      </c>
      <c r="AA94" s="5">
        <f>IF(OR(N($E94)&lt;=0,N($N94)&lt;=0),"",IF(AND($O94="VOL-OK",$Z94="VOL-NORMAL"),"OK","NG"))</f>
      </c>
      <c r="AB94" s="5">
        <f>IF(OR(N($E94)&lt;=0,N($N94)&lt;=0,N($J94)&lt;=0,N($K94)&lt;=0),"",IF(AND($F94&gt;$J94,$G94&gt;$K94),"UP",IF(AND($F94&lt;$J94,$G94&lt;$K94),"DOWN","FLAT")))</f>
      </c>
      <c r="AC94" s="30">
        <f>IF($C94="","",_xll.RssMarket($C94&amp;"","売買代金"))</f>
      </c>
      <c r="AD94" s="31">
        <f>IFERROR(INDEX(ATRHIST_MS2!$H$2:$H$400,MATCH($C94,ATRHIST_MS2!$A$2:$A$400,0)),0)</f>
      </c>
    </row>
    <row r="95" spans="1:30" ht="25.95" customHeight="1">
      <c r="A95" s="5">
        <f>IF(C95="","",ROW()-2)</f>
      </c>
      <c r="B95" s="6">
        <f>IF(StockList_MS2!A94="","",HYPERLINK("https://kabutan.jp/stock/?code="&amp;StockList_MS2!A94,"株探"))</f>
      </c>
      <c r="C95" s="5">
        <f>IF(StockList_MS2!A94="","",StockList_MS2!A94)</f>
      </c>
      <c r="D95" s="7">
        <f>IF(StockList_MS2!A94="","",StockList_MS2!B94)</f>
      </c>
      <c r="E95" s="8">
        <f>_xll.RssMarket("6178","現在値")</f>
      </c>
      <c r="F95" s="8">
        <f>_xll.RssMarket("6178","高値")</f>
      </c>
      <c r="G95" s="8">
        <f>_xll.RssMarket("6178","安値")</f>
      </c>
      <c r="H95" s="8">
        <f>_xll.RssMarket("6178","終値")</f>
      </c>
      <c r="I95" s="19">
        <f>_xll.RssMarket("6178","出来高")</f>
      </c>
      <c r="J95" s="8">
        <v>2442.0</v>
      </c>
      <c r="K95" s="8">
        <v>2370.5</v>
      </c>
      <c r="L95" s="8">
        <f>_xll.RssMarket("6178","前日終値")</f>
      </c>
      <c r="M95" s="5">
        <f>IF(OR(N($E95)&lt;=0,N($L95)&lt;=0),"",IF($E95&gt;$L95,"BUY-DAY","SELL-DAY"))</f>
      </c>
      <c r="N95" s="9">
        <f>IF(OR(N($E95)&lt;=0,N($F95)&lt;=0,N($G95)&lt;=0),"",IF(AND($AD95&gt;0,'操作パネル_MS2'!$H$17=1),$AD95,MAX(0,$F95-$G95)/SQRT(MAX(1,'操作パネル_MS2'!$H$12))*'操作パネル_MS2'!$H$10))</f>
      </c>
      <c r="O95" s="5">
        <f>IF(OR(N($E95)&lt;=0,$AC95=""),"",IF(N($AC95)&gt;='操作パネル_MS2'!$H$3,"VOL-OK","VOL-NG"))</f>
      </c>
      <c r="P95" s="5">
        <f>IF(OR(N($E95)&lt;=0,N($J95)&lt;=0),"",IF($E95&gt;$J95,"ON","OFF"))</f>
      </c>
      <c r="Q95" s="5">
        <f>IF(OR(N($E95)&lt;=0,N($K95)&lt;=0),"",IF($E95&lt;$K95,"ON","OFF"))</f>
      </c>
      <c r="R95" s="5">
        <f>IF(OR(N($E95)&lt;=0,N($N95)&lt;=0),"",IF(AND($M95="BUY-DAY",$O95="VOL-OK",$P95="ON",$AA95="OK",$AB95&lt;&gt;"DOWN"),"BUY",IF(AND($M95="SELL-DAY",$O95="VOL-OK",$Q95="ON",$AA95="OK",$AB95&lt;&gt;"UP"),"SELL","")))</f>
      </c>
      <c r="S95" s="9">
        <f>IF($R95="","",$E95)</f>
      </c>
      <c r="T95" s="9">
        <f>IF($R95="","",IF($R95="BUY",$E95-$N95*'操作パネル_MS2'!$H$5,$E95+$N95*'操作パネル_MS2'!$H$5))</f>
      </c>
      <c r="U95" s="9">
        <f>IF($R95="","",IF($R95="BUY",$E95+$N95*'操作パネル_MS2'!$H$6,$E95-$N95*'操作パネル_MS2'!$H$6))</f>
      </c>
      <c r="V95" s="9">
        <f>IF($R95="","",IF($R95="BUY",$E95+$N95*'操作パネル_MS2'!$H$7,$E95-$N95*'操作パネル_MS2'!$H$7))</f>
      </c>
      <c r="W95" s="9">
        <f>IF($R95="","",IF($R95="BUY",$E95+$N95*'操作パネル_MS2'!$H$8,$E95-$N95*'操作パネル_MS2'!$H$8))</f>
      </c>
      <c r="X95" s="5">
        <f>IF(OR(N($E95)&lt;=0,N($N95)&lt;=0,N($L95)&lt;=0),"",IF(AND($E95&gt;$L95,ABS($E95-$L95)&lt;$N95*0.5),"2ND","1ST"))</f>
      </c>
      <c r="Y95" s="5">
        <f>IF(OR(N($E95)&lt;=0,N($N95)&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5" s="5">
        <f>IF(OR(N($E95)&lt;=0,N($N95)&lt;=0),"",IF($N95&gt;$E95*'操作パネル_MS2'!$H$4,"VOL-HIGH","VOL-NORMAL"))</f>
      </c>
      <c r="AA95" s="5">
        <f>IF(OR(N($E95)&lt;=0,N($N95)&lt;=0),"",IF(AND($O95="VOL-OK",$Z95="VOL-NORMAL"),"OK","NG"))</f>
      </c>
      <c r="AB95" s="5">
        <f>IF(OR(N($E95)&lt;=0,N($N95)&lt;=0,N($J95)&lt;=0,N($K95)&lt;=0),"",IF(AND($F95&gt;$J95,$G95&gt;$K95),"UP",IF(AND($F95&lt;$J95,$G95&lt;$K95),"DOWN","FLAT")))</f>
      </c>
      <c r="AC95" s="30">
        <f>IF($C95="","",_xll.RssMarket($C95&amp;"","売買代金"))</f>
      </c>
      <c r="AD95" s="31">
        <f>IFERROR(INDEX(ATRHIST_MS2!$H$2:$H$400,MATCH($C95,ATRHIST_MS2!$A$2:$A$400,0)),0)</f>
      </c>
    </row>
    <row r="96" spans="1:30" ht="25.95" customHeight="1">
      <c r="A96" s="10">
        <f>IF(C96="","",ROW()-2)</f>
      </c>
      <c r="B96" s="11">
        <f>IF(StockList_MS2!A95="","",HYPERLINK("https://kabutan.jp/stock/?code="&amp;StockList_MS2!A95,"株探"))</f>
      </c>
      <c r="C96" s="10">
        <f>IF(StockList_MS2!A95="","",StockList_MS2!A95)</f>
      </c>
      <c r="D96" s="12">
        <f>IF(StockList_MS2!A95="","",StockList_MS2!B95)</f>
      </c>
      <c r="E96" s="13">
        <f>_xll.RssMarket("7272","現在値")</f>
      </c>
      <c r="F96" s="13">
        <f>_xll.RssMarket("7272","高値")</f>
      </c>
      <c r="G96" s="13">
        <f>_xll.RssMarket("7272","安値")</f>
      </c>
      <c r="H96" s="13">
        <f>_xll.RssMarket("7272","終値")</f>
      </c>
      <c r="I96" s="20">
        <f>_xll.RssMarket("7272","出来高")</f>
      </c>
      <c r="J96" s="13">
        <v>1945.5</v>
      </c>
      <c r="K96" s="13">
        <v>1889.0</v>
      </c>
      <c r="L96" s="13">
        <f>_xll.RssMarket("7272","前日終値")</f>
      </c>
      <c r="M96" s="5">
        <f>IF(OR(N($E96)&lt;=0,N($L96)&lt;=0),"",IF($E96&gt;$L96,"BUY-DAY","SELL-DAY"))</f>
      </c>
      <c r="N96" s="9">
        <f>IF(OR(N($E96)&lt;=0,N($F96)&lt;=0,N($G96)&lt;=0),"",IF(AND($AD96&gt;0,'操作パネル_MS2'!$H$17=1),$AD96,MAX(0,$F96-$G96)/SQRT(MAX(1,'操作パネル_MS2'!$H$12))*'操作パネル_MS2'!$H$10))</f>
      </c>
      <c r="O96" s="5">
        <f>IF(OR(N($E96)&lt;=0,$AC96=""),"",IF(N($AC96)&gt;='操作パネル_MS2'!$H$3,"VOL-OK","VOL-NG"))</f>
      </c>
      <c r="P96" s="5">
        <f>IF(OR(N($E96)&lt;=0,N($J96)&lt;=0),"",IF($E96&gt;$J96,"ON","OFF"))</f>
      </c>
      <c r="Q96" s="5">
        <f>IF(OR(N($E96)&lt;=0,N($K96)&lt;=0),"",IF($E96&lt;$K96,"ON","OFF"))</f>
      </c>
      <c r="R96" s="5">
        <f>IF(OR(N($E96)&lt;=0,N($N96)&lt;=0),"",IF(AND($M96="BUY-DAY",$O96="VOL-OK",$P96="ON",$AA96="OK",$AB96&lt;&gt;"DOWN"),"BUY",IF(AND($M96="SELL-DAY",$O96="VOL-OK",$Q96="ON",$AA96="OK",$AB96&lt;&gt;"UP"),"SELL","")))</f>
      </c>
      <c r="S96" s="9">
        <f>IF($R96="","",$E96)</f>
      </c>
      <c r="T96" s="9">
        <f>IF($R96="","",IF($R96="BUY",$E96-$N96*'操作パネル_MS2'!$H$5,$E96+$N96*'操作パネル_MS2'!$H$5))</f>
      </c>
      <c r="U96" s="9">
        <f>IF($R96="","",IF($R96="BUY",$E96+$N96*'操作パネル_MS2'!$H$6,$E96-$N96*'操作パネル_MS2'!$H$6))</f>
      </c>
      <c r="V96" s="9">
        <f>IF($R96="","",IF($R96="BUY",$E96+$N96*'操作パネル_MS2'!$H$7,$E96-$N96*'操作パネル_MS2'!$H$7))</f>
      </c>
      <c r="W96" s="9">
        <f>IF($R96="","",IF($R96="BUY",$E96+$N96*'操作パネル_MS2'!$H$8,$E96-$N96*'操作パネル_MS2'!$H$8))</f>
      </c>
      <c r="X96" s="5">
        <f>IF(OR(N($E96)&lt;=0,N($N96)&lt;=0,N($L96)&lt;=0),"",IF(AND($E96&gt;$L96,ABS($E96-$L96)&lt;$N96*0.5),"2ND","1ST"))</f>
      </c>
      <c r="Y96" s="5">
        <f>IF(OR(N($E96)&lt;=0,N($N96)&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6" s="5">
        <f>IF(OR(N($E96)&lt;=0,N($N96)&lt;=0),"",IF($N96&gt;$E96*'操作パネル_MS2'!$H$4,"VOL-HIGH","VOL-NORMAL"))</f>
      </c>
      <c r="AA96" s="5">
        <f>IF(OR(N($E96)&lt;=0,N($N96)&lt;=0),"",IF(AND($O96="VOL-OK",$Z96="VOL-NORMAL"),"OK","NG"))</f>
      </c>
      <c r="AB96" s="5">
        <f>IF(OR(N($E96)&lt;=0,N($N96)&lt;=0,N($J96)&lt;=0,N($K96)&lt;=0),"",IF(AND($F96&gt;$J96,$G96&gt;$K96),"UP",IF(AND($F96&lt;$J96,$G96&lt;$K96),"DOWN","FLAT")))</f>
      </c>
      <c r="AC96" s="30">
        <f>IF($C96="","",_xll.RssMarket($C96&amp;"","売買代金"))</f>
      </c>
      <c r="AD96" s="31">
        <f>IFERROR(INDEX(ATRHIST_MS2!$H$2:$H$400,MATCH($C96,ATRHIST_MS2!$A$2:$A$400,0)),0)</f>
      </c>
    </row>
    <row r="97" spans="1:30" ht="25.95" customHeight="1">
      <c r="A97" s="5">
        <f>IF(C97="","",ROW()-2)</f>
      </c>
      <c r="B97" s="6">
        <f>IF(StockList_MS2!A96="","",HYPERLINK("https://kabutan.jp/stock/?code="&amp;StockList_MS2!A96,"株探"))</f>
      </c>
      <c r="C97" s="5">
        <f>IF(StockList_MS2!A96="","",StockList_MS2!A96)</f>
      </c>
      <c r="D97" s="7">
        <f>IF(StockList_MS2!A96="","",StockList_MS2!B96)</f>
      </c>
      <c r="E97" s="8">
        <f>_xll.RssMarket("8697","現在値")</f>
      </c>
      <c r="F97" s="8">
        <f>_xll.RssMarket("8697","高値")</f>
      </c>
      <c r="G97" s="8">
        <f>_xll.RssMarket("8697","安値")</f>
      </c>
      <c r="H97" s="8">
        <f>_xll.RssMarket("8697","終値")</f>
      </c>
      <c r="I97" s="19">
        <f>_xll.RssMarket("8697","出来高")</f>
      </c>
      <c r="J97" s="8">
        <v>2313.0</v>
      </c>
      <c r="K97" s="8">
        <v>2280.0</v>
      </c>
      <c r="L97" s="8">
        <f>_xll.RssMarket("8697","前日終値")</f>
      </c>
      <c r="M97" s="5">
        <f>IF(OR(N($E97)&lt;=0,N($L97)&lt;=0),"",IF($E97&gt;$L97,"BUY-DAY","SELL-DAY"))</f>
      </c>
      <c r="N97" s="9">
        <f>IF(OR(N($E97)&lt;=0,N($F97)&lt;=0,N($G97)&lt;=0),"",IF(AND($AD97&gt;0,'操作パネル_MS2'!$H$17=1),$AD97,MAX(0,$F97-$G97)/SQRT(MAX(1,'操作パネル_MS2'!$H$12))*'操作パネル_MS2'!$H$10))</f>
      </c>
      <c r="O97" s="5">
        <f>IF(OR(N($E97)&lt;=0,$AC97=""),"",IF(N($AC97)&gt;='操作パネル_MS2'!$H$3,"VOL-OK","VOL-NG"))</f>
      </c>
      <c r="P97" s="5">
        <f>IF(OR(N($E97)&lt;=0,N($J97)&lt;=0),"",IF($E97&gt;$J97,"ON","OFF"))</f>
      </c>
      <c r="Q97" s="5">
        <f>IF(OR(N($E97)&lt;=0,N($K97)&lt;=0),"",IF($E97&lt;$K97,"ON","OFF"))</f>
      </c>
      <c r="R97" s="5">
        <f>IF(OR(N($E97)&lt;=0,N($N97)&lt;=0),"",IF(AND($M97="BUY-DAY",$O97="VOL-OK",$P97="ON",$AA97="OK",$AB97&lt;&gt;"DOWN"),"BUY",IF(AND($M97="SELL-DAY",$O97="VOL-OK",$Q97="ON",$AA97="OK",$AB97&lt;&gt;"UP"),"SELL","")))</f>
      </c>
      <c r="S97" s="9">
        <f>IF($R97="","",$E97)</f>
      </c>
      <c r="T97" s="9">
        <f>IF($R97="","",IF($R97="BUY",$E97-$N97*'操作パネル_MS2'!$H$5,$E97+$N97*'操作パネル_MS2'!$H$5))</f>
      </c>
      <c r="U97" s="9">
        <f>IF($R97="","",IF($R97="BUY",$E97+$N97*'操作パネル_MS2'!$H$6,$E97-$N97*'操作パネル_MS2'!$H$6))</f>
      </c>
      <c r="V97" s="9">
        <f>IF($R97="","",IF($R97="BUY",$E97+$N97*'操作パネル_MS2'!$H$7,$E97-$N97*'操作パネル_MS2'!$H$7))</f>
      </c>
      <c r="W97" s="9">
        <f>IF($R97="","",IF($R97="BUY",$E97+$N97*'操作パネル_MS2'!$H$8,$E97-$N97*'操作パネル_MS2'!$H$8))</f>
      </c>
      <c r="X97" s="5">
        <f>IF(OR(N($E97)&lt;=0,N($N97)&lt;=0,N($L97)&lt;=0),"",IF(AND($E97&gt;$L97,ABS($E97-$L97)&lt;$N97*0.5),"2ND","1ST"))</f>
      </c>
      <c r="Y97" s="5">
        <f>IF(OR(N($E97)&lt;=0,N($N97)&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7" s="5">
        <f>IF(OR(N($E97)&lt;=0,N($N97)&lt;=0),"",IF($N97&gt;$E97*'操作パネル_MS2'!$H$4,"VOL-HIGH","VOL-NORMAL"))</f>
      </c>
      <c r="AA97" s="5">
        <f>IF(OR(N($E97)&lt;=0,N($N97)&lt;=0),"",IF(AND($O97="VOL-OK",$Z97="VOL-NORMAL"),"OK","NG"))</f>
      </c>
      <c r="AB97" s="5">
        <f>IF(OR(N($E97)&lt;=0,N($N97)&lt;=0,N($J97)&lt;=0,N($K97)&lt;=0),"",IF(AND($F97&gt;$J97,$G97&gt;$K97),"UP",IF(AND($F97&lt;$J97,$G97&lt;$K97),"DOWN","FLAT")))</f>
      </c>
      <c r="AC97" s="30">
        <f>IF($C97="","",_xll.RssMarket($C97&amp;"","売買代金"))</f>
      </c>
      <c r="AD97" s="31">
        <f>IFERROR(INDEX(ATRHIST_MS2!$H$2:$H$400,MATCH($C97,ATRHIST_MS2!$A$2:$A$400,0)),0)</f>
      </c>
    </row>
    <row r="98" spans="1:30" ht="25.95" customHeight="1">
      <c r="A98" s="10">
        <f>IF(C98="","",ROW()-2)</f>
      </c>
      <c r="B98" s="11">
        <f>IF(StockList_MS2!A97="","",HYPERLINK("https://kabutan.jp/stock/?code="&amp;StockList_MS2!A97,"株探"))</f>
      </c>
      <c r="C98" s="10">
        <f>IF(StockList_MS2!A97="","",StockList_MS2!A97)</f>
      </c>
      <c r="D98" s="12">
        <f>IF(StockList_MS2!A97="","",StockList_MS2!B97)</f>
      </c>
      <c r="E98" s="13">
        <f>_xll.RssMarket("6920","現在値")</f>
      </c>
      <c r="F98" s="13">
        <f>_xll.RssMarket("6920","高値")</f>
      </c>
      <c r="G98" s="13">
        <f>_xll.RssMarket("6920","安値")</f>
      </c>
      <c r="H98" s="13">
        <f>_xll.RssMarket("6920","終値")</f>
      </c>
      <c r="I98" s="20">
        <f>_xll.RssMarket("6920","出来高")</f>
      </c>
      <c r="J98" s="13">
        <v>35430.0</v>
      </c>
      <c r="K98" s="13">
        <v>34500.0</v>
      </c>
      <c r="L98" s="13">
        <f>_xll.RssMarket("6920","前日終値")</f>
      </c>
      <c r="M98" s="5">
        <f>IF(OR(N($E98)&lt;=0,N($L98)&lt;=0),"",IF($E98&gt;$L98,"BUY-DAY","SELL-DAY"))</f>
      </c>
      <c r="N98" s="9">
        <f>IF(OR(N($E98)&lt;=0,N($F98)&lt;=0,N($G98)&lt;=0),"",IF(AND($AD98&gt;0,'操作パネル_MS2'!$H$17=1),$AD98,MAX(0,$F98-$G98)/SQRT(MAX(1,'操作パネル_MS2'!$H$12))*'操作パネル_MS2'!$H$10))</f>
      </c>
      <c r="O98" s="5">
        <f>IF(OR(N($E98)&lt;=0,$AC98=""),"",IF(N($AC98)&gt;='操作パネル_MS2'!$H$3,"VOL-OK","VOL-NG"))</f>
      </c>
      <c r="P98" s="5">
        <f>IF(OR(N($E98)&lt;=0,N($J98)&lt;=0),"",IF($E98&gt;$J98,"ON","OFF"))</f>
      </c>
      <c r="Q98" s="5">
        <f>IF(OR(N($E98)&lt;=0,N($K98)&lt;=0),"",IF($E98&lt;$K98,"ON","OFF"))</f>
      </c>
      <c r="R98" s="5">
        <f>IF(OR(N($E98)&lt;=0,N($N98)&lt;=0),"",IF(AND($M98="BUY-DAY",$O98="VOL-OK",$P98="ON",$AA98="OK",$AB98&lt;&gt;"DOWN"),"BUY",IF(AND($M98="SELL-DAY",$O98="VOL-OK",$Q98="ON",$AA98="OK",$AB98&lt;&gt;"UP"),"SELL","")))</f>
      </c>
      <c r="S98" s="9">
        <f>IF($R98="","",$E98)</f>
      </c>
      <c r="T98" s="9">
        <f>IF($R98="","",IF($R98="BUY",$E98-$N98*'操作パネル_MS2'!$H$5,$E98+$N98*'操作パネル_MS2'!$H$5))</f>
      </c>
      <c r="U98" s="9">
        <f>IF($R98="","",IF($R98="BUY",$E98+$N98*'操作パネル_MS2'!$H$6,$E98-$N98*'操作パネル_MS2'!$H$6))</f>
      </c>
      <c r="V98" s="9">
        <f>IF($R98="","",IF($R98="BUY",$E98+$N98*'操作パネル_MS2'!$H$7,$E98-$N98*'操作パネル_MS2'!$H$7))</f>
      </c>
      <c r="W98" s="9">
        <f>IF($R98="","",IF($R98="BUY",$E98+$N98*'操作パネル_MS2'!$H$8,$E98-$N98*'操作パネル_MS2'!$H$8))</f>
      </c>
      <c r="X98" s="5">
        <f>IF(OR(N($E98)&lt;=0,N($N98)&lt;=0,N($L98)&lt;=0),"",IF(AND($E98&gt;$L98,ABS($E98-$L98)&lt;$N98*0.5),"2ND","1ST"))</f>
      </c>
      <c r="Y98" s="5">
        <f>IF(OR(N($E98)&lt;=0,N($N98)&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8" s="5">
        <f>IF(OR(N($E98)&lt;=0,N($N98)&lt;=0),"",IF($N98&gt;$E98*'操作パネル_MS2'!$H$4,"VOL-HIGH","VOL-NORMAL"))</f>
      </c>
      <c r="AA98" s="5">
        <f>IF(OR(N($E98)&lt;=0,N($N98)&lt;=0),"",IF(AND($O98="VOL-OK",$Z98="VOL-NORMAL"),"OK","NG"))</f>
      </c>
      <c r="AB98" s="5">
        <f>IF(OR(N($E98)&lt;=0,N($N98)&lt;=0,N($J98)&lt;=0,N($K98)&lt;=0),"",IF(AND($F98&gt;$J98,$G98&gt;$K98),"UP",IF(AND($F98&lt;$J98,$G98&lt;$K98),"DOWN","FLAT")))</f>
      </c>
      <c r="AC98" s="30">
        <f>IF($C98="","",_xll.RssMarket($C98&amp;"","売買代金"))</f>
      </c>
      <c r="AD98" s="31">
        <f>IFERROR(INDEX(ATRHIST_MS2!$H$2:$H$400,MATCH($C98,ATRHIST_MS2!$A$2:$A$400,0)),0)</f>
      </c>
    </row>
    <row r="99" spans="1:30" ht="25.95" customHeight="1">
      <c r="A99" s="5">
        <f>IF(C99="","",ROW()-2)</f>
      </c>
      <c r="B99" s="6">
        <f>IF(StockList_MS2!A98="","",HYPERLINK("https://kabutan.jp/stock/?code="&amp;StockList_MS2!A98,"株探"))</f>
      </c>
      <c r="C99" s="5">
        <f>IF(StockList_MS2!A98="","",StockList_MS2!A98)</f>
      </c>
      <c r="D99" s="7">
        <f>IF(StockList_MS2!A98="","",StockList_MS2!B98)</f>
      </c>
      <c r="E99" s="8">
        <f>_xll.RssMarket("1803","現在値")</f>
      </c>
      <c r="F99" s="8">
        <f>_xll.RssMarket("1803","高値")</f>
      </c>
      <c r="G99" s="8">
        <f>_xll.RssMarket("1803","安値")</f>
      </c>
      <c r="H99" s="8">
        <f>_xll.RssMarket("1803","終値")</f>
      </c>
      <c r="I99" s="19">
        <f>_xll.RssMarket("1803","出来高")</f>
      </c>
      <c r="J99" s="8">
        <v>2408.0</v>
      </c>
      <c r="K99" s="8">
        <v>2375.5</v>
      </c>
      <c r="L99" s="8">
        <f>_xll.RssMarket("1803","前日終値")</f>
      </c>
      <c r="M99" s="5">
        <f>IF(OR(N($E99)&lt;=0,N($L99)&lt;=0),"",IF($E99&gt;$L99,"BUY-DAY","SELL-DAY"))</f>
      </c>
      <c r="N99" s="9">
        <f>IF(OR(N($E99)&lt;=0,N($F99)&lt;=0,N($G99)&lt;=0),"",IF(AND($AD99&gt;0,'操作パネル_MS2'!$H$17=1),$AD99,MAX(0,$F99-$G99)/SQRT(MAX(1,'操作パネル_MS2'!$H$12))*'操作パネル_MS2'!$H$10))</f>
      </c>
      <c r="O99" s="5">
        <f>IF(OR(N($E99)&lt;=0,$AC99=""),"",IF(N($AC99)&gt;='操作パネル_MS2'!$H$3,"VOL-OK","VOL-NG"))</f>
      </c>
      <c r="P99" s="5">
        <f>IF(OR(N($E99)&lt;=0,N($J99)&lt;=0),"",IF($E99&gt;$J99,"ON","OFF"))</f>
      </c>
      <c r="Q99" s="5">
        <f>IF(OR(N($E99)&lt;=0,N($K99)&lt;=0),"",IF($E99&lt;$K99,"ON","OFF"))</f>
      </c>
      <c r="R99" s="5">
        <f>IF(OR(N($E99)&lt;=0,N($N99)&lt;=0),"",IF(AND($M99="BUY-DAY",$O99="VOL-OK",$P99="ON",$AA99="OK",$AB99&lt;&gt;"DOWN"),"BUY",IF(AND($M99="SELL-DAY",$O99="VOL-OK",$Q99="ON",$AA99="OK",$AB99&lt;&gt;"UP"),"SELL","")))</f>
      </c>
      <c r="S99" s="9">
        <f>IF($R99="","",$E99)</f>
      </c>
      <c r="T99" s="9">
        <f>IF($R99="","",IF($R99="BUY",$E99-$N99*'操作パネル_MS2'!$H$5,$E99+$N99*'操作パネル_MS2'!$H$5))</f>
      </c>
      <c r="U99" s="9">
        <f>IF($R99="","",IF($R99="BUY",$E99+$N99*'操作パネル_MS2'!$H$6,$E99-$N99*'操作パネル_MS2'!$H$6))</f>
      </c>
      <c r="V99" s="9">
        <f>IF($R99="","",IF($R99="BUY",$E99+$N99*'操作パネル_MS2'!$H$7,$E99-$N99*'操作パネル_MS2'!$H$7))</f>
      </c>
      <c r="W99" s="9">
        <f>IF($R99="","",IF($R99="BUY",$E99+$N99*'操作パネル_MS2'!$H$8,$E99-$N99*'操作パネル_MS2'!$H$8))</f>
      </c>
      <c r="X99" s="5">
        <f>IF(OR(N($E99)&lt;=0,N($N99)&lt;=0,N($L99)&lt;=0),"",IF(AND($E99&gt;$L99,ABS($E99-$L99)&lt;$N99*0.5),"2ND","1ST"))</f>
      </c>
      <c r="Y99" s="5">
        <f>IF(OR(N($E99)&lt;=0,N($N99)&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99" s="5">
        <f>IF(OR(N($E99)&lt;=0,N($N99)&lt;=0),"",IF($N99&gt;$E99*'操作パネル_MS2'!$H$4,"VOL-HIGH","VOL-NORMAL"))</f>
      </c>
      <c r="AA99" s="5">
        <f>IF(OR(N($E99)&lt;=0,N($N99)&lt;=0),"",IF(AND($O99="VOL-OK",$Z99="VOL-NORMAL"),"OK","NG"))</f>
      </c>
      <c r="AB99" s="5">
        <f>IF(OR(N($E99)&lt;=0,N($N99)&lt;=0,N($J99)&lt;=0,N($K99)&lt;=0),"",IF(AND($F99&gt;$J99,$G99&gt;$K99),"UP",IF(AND($F99&lt;$J99,$G99&lt;$K99),"DOWN","FLAT")))</f>
      </c>
      <c r="AC99" s="30">
        <f>IF($C99="","",_xll.RssMarket($C99&amp;"","売買代金"))</f>
      </c>
      <c r="AD99" s="31">
        <f>IFERROR(INDEX(ATRHIST_MS2!$H$2:$H$400,MATCH($C99,ATRHIST_MS2!$A$2:$A$400,0)),0)</f>
      </c>
    </row>
    <row r="100" spans="1:30" ht="25.95" customHeight="1">
      <c r="A100" s="10">
        <f>IF(C100="","",ROW()-2)</f>
      </c>
      <c r="B100" s="11">
        <f>IF(StockList_MS2!A99="","",HYPERLINK("https://kabutan.jp/stock/?code="&amp;StockList_MS2!A99,"株探"))</f>
      </c>
      <c r="C100" s="10">
        <f>IF(StockList_MS2!A99="","",StockList_MS2!A99)</f>
      </c>
      <c r="D100" s="12">
        <f>IF(StockList_MS2!A99="","",StockList_MS2!B99)</f>
      </c>
      <c r="E100" s="13">
        <f>_xll.RssMarket("8031","現在値")</f>
      </c>
      <c r="F100" s="13">
        <f>_xll.RssMarket("8031","高値")</f>
      </c>
      <c r="G100" s="13">
        <f>_xll.RssMarket("8031","安値")</f>
      </c>
      <c r="H100" s="13">
        <f>_xll.RssMarket("8031","終値")</f>
      </c>
      <c r="I100" s="20">
        <f>_xll.RssMarket("8031","出来高")</f>
      </c>
      <c r="J100" s="13">
        <v>4988.0</v>
      </c>
      <c r="K100" s="13">
        <v>4888.0</v>
      </c>
      <c r="L100" s="13">
        <f>_xll.RssMarket("8031","前日終値")</f>
      </c>
      <c r="M100" s="5">
        <f>IF(OR(N($E100)&lt;=0,N($L100)&lt;=0),"",IF($E100&gt;$L100,"BUY-DAY","SELL-DAY"))</f>
      </c>
      <c r="N100" s="9">
        <f>IF(OR(N($E100)&lt;=0,N($F100)&lt;=0,N($G100)&lt;=0),"",IF(AND($AD100&gt;0,'操作パネル_MS2'!$H$17=1),$AD100,MAX(0,$F100-$G100)/SQRT(MAX(1,'操作パネル_MS2'!$H$12))*'操作パネル_MS2'!$H$10))</f>
      </c>
      <c r="O100" s="5">
        <f>IF(OR(N($E100)&lt;=0,$AC100=""),"",IF(N($AC100)&gt;='操作パネル_MS2'!$H$3,"VOL-OK","VOL-NG"))</f>
      </c>
      <c r="P100" s="5">
        <f>IF(OR(N($E100)&lt;=0,N($J100)&lt;=0),"",IF($E100&gt;$J100,"ON","OFF"))</f>
      </c>
      <c r="Q100" s="5">
        <f>IF(OR(N($E100)&lt;=0,N($K100)&lt;=0),"",IF($E100&lt;$K100,"ON","OFF"))</f>
      </c>
      <c r="R100" s="5">
        <f>IF(OR(N($E100)&lt;=0,N($N100)&lt;=0),"",IF(AND($M100="BUY-DAY",$O100="VOL-OK",$P100="ON",$AA100="OK",$AB100&lt;&gt;"DOWN"),"BUY",IF(AND($M100="SELL-DAY",$O100="VOL-OK",$Q100="ON",$AA100="OK",$AB100&lt;&gt;"UP"),"SELL","")))</f>
      </c>
      <c r="S100" s="9">
        <f>IF($R100="","",$E100)</f>
      </c>
      <c r="T100" s="9">
        <f>IF($R100="","",IF($R100="BUY",$E100-$N100*'操作パネル_MS2'!$H$5,$E100+$N100*'操作パネル_MS2'!$H$5))</f>
      </c>
      <c r="U100" s="9">
        <f>IF($R100="","",IF($R100="BUY",$E100+$N100*'操作パネル_MS2'!$H$6,$E100-$N100*'操作パネル_MS2'!$H$6))</f>
      </c>
      <c r="V100" s="9">
        <f>IF($R100="","",IF($R100="BUY",$E100+$N100*'操作パネル_MS2'!$H$7,$E100-$N100*'操作パネル_MS2'!$H$7))</f>
      </c>
      <c r="W100" s="9">
        <f>IF($R100="","",IF($R100="BUY",$E100+$N100*'操作パネル_MS2'!$H$8,$E100-$N100*'操作パネル_MS2'!$H$8))</f>
      </c>
      <c r="X100" s="5">
        <f>IF(OR(N($E100)&lt;=0,N($N100)&lt;=0,N($L100)&lt;=0),"",IF(AND($E100&gt;$L100,ABS($E100-$L100)&lt;$N100*0.5),"2ND","1ST"))</f>
      </c>
      <c r="Y100" s="5">
        <f>IF(OR(N($E100)&lt;=0,N($N100)&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00" s="5">
        <f>IF(OR(N($E100)&lt;=0,N($N100)&lt;=0),"",IF($N100&gt;$E100*'操作パネル_MS2'!$H$4,"VOL-HIGH","VOL-NORMAL"))</f>
      </c>
      <c r="AA100" s="5">
        <f>IF(OR(N($E100)&lt;=0,N($N100)&lt;=0),"",IF(AND($O100="VOL-OK",$Z100="VOL-NORMAL"),"OK","NG"))</f>
      </c>
      <c r="AB100" s="5">
        <f>IF(OR(N($E100)&lt;=0,N($N100)&lt;=0,N($J100)&lt;=0,N($K100)&lt;=0),"",IF(AND($F100&gt;$J100,$G100&gt;$K100),"UP",IF(AND($F100&lt;$J100,$G100&lt;$K100),"DOWN","FLAT")))</f>
      </c>
      <c r="AC100" s="30">
        <f>IF($C100="","",_xll.RssMarket($C100&amp;"","売買代金"))</f>
      </c>
      <c r="AD100" s="31">
        <f>IFERROR(INDEX(ATRHIST_MS2!$H$2:$H$400,MATCH($C100,ATRHIST_MS2!$A$2:$A$400,0)),0)</f>
      </c>
    </row>
    <row r="101" spans="1:30" ht="25.95" customHeight="1">
      <c r="A101" s="5">
        <f>IF(C101="","",ROW()-2)</f>
      </c>
      <c r="B101" s="6">
        <f>IF(StockList_MS2!A100="","",HYPERLINK("https://kabutan.jp/stock/?code="&amp;StockList_MS2!A100,"株探"))</f>
      </c>
      <c r="C101" s="5">
        <f>IF(StockList_MS2!A100="","",StockList_MS2!A100)</f>
      </c>
      <c r="D101" s="7">
        <f>IF(StockList_MS2!A100="","",StockList_MS2!B100)</f>
      </c>
      <c r="E101" s="8">
        <f>_xll.RssMarket("6472","現在値")</f>
      </c>
      <c r="F101" s="8">
        <f>_xll.RssMarket("6472","高値")</f>
      </c>
      <c r="G101" s="8">
        <f>_xll.RssMarket("6472","安値")</f>
      </c>
      <c r="H101" s="8">
        <f>_xll.RssMarket("6472","終値")</f>
      </c>
      <c r="I101" s="19">
        <f>_xll.RssMarket("6472","出来高")</f>
      </c>
      <c r="J101" s="8">
        <v>376.4</v>
      </c>
      <c r="K101" s="8">
        <v>371.6</v>
      </c>
      <c r="L101" s="8">
        <f>_xll.RssMarket("6472","前日終値")</f>
      </c>
      <c r="M101" s="5">
        <f>IF(OR(N($E101)&lt;=0,N($L101)&lt;=0),"",IF($E101&gt;$L101,"BUY-DAY","SELL-DAY"))</f>
      </c>
      <c r="N101" s="9">
        <f>IF(OR(N($E101)&lt;=0,N($F101)&lt;=0,N($G101)&lt;=0),"",IF(AND($AD101&gt;0,'操作パネル_MS2'!$H$17=1),$AD101,MAX(0,$F101-$G101)/SQRT(MAX(1,'操作パネル_MS2'!$H$12))*'操作パネル_MS2'!$H$10))</f>
      </c>
      <c r="O101" s="5">
        <f>IF(OR(N($E101)&lt;=0,$AC101=""),"",IF(N($AC101)&gt;='操作パネル_MS2'!$H$3,"VOL-OK","VOL-NG"))</f>
      </c>
      <c r="P101" s="5">
        <f>IF(OR(N($E101)&lt;=0,N($J101)&lt;=0),"",IF($E101&gt;$J101,"ON","OFF"))</f>
      </c>
      <c r="Q101" s="5">
        <f>IF(OR(N($E101)&lt;=0,N($K101)&lt;=0),"",IF($E101&lt;$K101,"ON","OFF"))</f>
      </c>
      <c r="R101" s="5">
        <f>IF(OR(N($E101)&lt;=0,N($N101)&lt;=0),"",IF(AND($M101="BUY-DAY",$O101="VOL-OK",$P101="ON",$AA101="OK",$AB101&lt;&gt;"DOWN"),"BUY",IF(AND($M101="SELL-DAY",$O101="VOL-OK",$Q101="ON",$AA101="OK",$AB101&lt;&gt;"UP"),"SELL","")))</f>
      </c>
      <c r="S101" s="9">
        <f>IF($R101="","",$E101)</f>
      </c>
      <c r="T101" s="9">
        <f>IF($R101="","",IF($R101="BUY",$E101-$N101*'操作パネル_MS2'!$H$5,$E101+$N101*'操作パネル_MS2'!$H$5))</f>
      </c>
      <c r="U101" s="9">
        <f>IF($R101="","",IF($R101="BUY",$E101+$N101*'操作パネル_MS2'!$H$6,$E101-$N101*'操作パネル_MS2'!$H$6))</f>
      </c>
      <c r="V101" s="9">
        <f>IF($R101="","",IF($R101="BUY",$E101+$N101*'操作パネル_MS2'!$H$7,$E101-$N101*'操作パネル_MS2'!$H$7))</f>
      </c>
      <c r="W101" s="9">
        <f>IF($R101="","",IF($R101="BUY",$E101+$N101*'操作パネル_MS2'!$H$8,$E101-$N101*'操作パネル_MS2'!$H$8))</f>
      </c>
      <c r="X101" s="5">
        <f>IF(OR(N($E101)&lt;=0,N($N101)&lt;=0,N($L101)&lt;=0),"",IF(AND($E101&gt;$L101,ABS($E101-$L101)&lt;$N101*0.5),"2ND","1ST"))</f>
      </c>
      <c r="Y101" s="5">
        <f>IF(OR(N($E101)&lt;=0,N($N101)&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01" s="5">
        <f>IF(OR(N($E101)&lt;=0,N($N101)&lt;=0),"",IF($N101&gt;$E101*'操作パネル_MS2'!$H$4,"VOL-HIGH","VOL-NORMAL"))</f>
      </c>
      <c r="AA101" s="5">
        <f>IF(OR(N($E101)&lt;=0,N($N101)&lt;=0),"",IF(AND($O101="VOL-OK",$Z101="VOL-NORMAL"),"OK","NG"))</f>
      </c>
      <c r="AB101" s="5">
        <f>IF(OR(N($E101)&lt;=0,N($N101)&lt;=0,N($J101)&lt;=0,N($K101)&lt;=0),"",IF(AND($F101&gt;$J101,$G101&gt;$K101),"UP",IF(AND($F101&lt;$J101,$G101&lt;$K101),"DOWN","FLAT")))</f>
      </c>
      <c r="AC101" s="30">
        <f>IF($C101="","",_xll.RssMarket($C101&amp;"","売買代金"))</f>
      </c>
      <c r="AD101" s="31">
        <f>IFERROR(INDEX(ATRHIST_MS2!$H$2:$H$400,MATCH($C101,ATRHIST_MS2!$A$2:$A$400,0)),0)</f>
      </c>
    </row>
    <row r="102" spans="1:30" ht="25.95" customHeight="1">
      <c r="A102" s="10">
        <f>IF(C102="","",ROW()-2)</f>
      </c>
      <c r="B102" s="11">
        <f>IF(StockList_MS2!A101="","",HYPERLINK("https://kabutan.jp/stock/?code="&amp;StockList_MS2!A101,"株探"))</f>
      </c>
      <c r="C102" s="10">
        <f>IF(StockList_MS2!A101="","",StockList_MS2!A101)</f>
      </c>
      <c r="D102" s="12">
        <f>IF(StockList_MS2!A101="","",StockList_MS2!B101)</f>
      </c>
      <c r="E102" s="13">
        <f>_xll.RssMarket("5938","現在値")</f>
      </c>
      <c r="F102" s="13">
        <f>_xll.RssMarket("5938","高値")</f>
      </c>
      <c r="G102" s="13">
        <f>_xll.RssMarket("5938","安値")</f>
      </c>
      <c r="H102" s="13">
        <f>_xll.RssMarket("5938","終値")</f>
      </c>
      <c r="I102" s="20">
        <f>_xll.RssMarket("5938","出来高")</f>
      </c>
      <c r="J102" s="13">
        <v>1778.5</v>
      </c>
      <c r="K102" s="13">
        <v>1758.5</v>
      </c>
      <c r="L102" s="13">
        <f>_xll.RssMarket("5938","前日終値")</f>
      </c>
      <c r="M102" s="5">
        <f>IF(OR(N($E102)&lt;=0,N($L102)&lt;=0),"",IF($E102&gt;$L102,"BUY-DAY","SELL-DAY"))</f>
      </c>
      <c r="N102" s="9">
        <f>IF(OR(N($E102)&lt;=0,N($F102)&lt;=0,N($G102)&lt;=0),"",IF(AND($AD102&gt;0,'操作パネル_MS2'!$H$17=1),$AD102,MAX(0,$F102-$G102)/SQRT(MAX(1,'操作パネル_MS2'!$H$12))*'操作パネル_MS2'!$H$10))</f>
      </c>
      <c r="O102" s="5">
        <f>IF(OR(N($E102)&lt;=0,$AC102=""),"",IF(N($AC102)&gt;='操作パネル_MS2'!$H$3,"VOL-OK","VOL-NG"))</f>
      </c>
      <c r="P102" s="5">
        <f>IF(OR(N($E102)&lt;=0,N($J102)&lt;=0),"",IF($E102&gt;$J102,"ON","OFF"))</f>
      </c>
      <c r="Q102" s="5">
        <f>IF(OR(N($E102)&lt;=0,N($K102)&lt;=0),"",IF($E102&lt;$K102,"ON","OFF"))</f>
      </c>
      <c r="R102" s="5">
        <f>IF(OR(N($E102)&lt;=0,N($N102)&lt;=0),"",IF(AND($M102="BUY-DAY",$O102="VOL-OK",$P102="ON",$AA102="OK",$AB102&lt;&gt;"DOWN"),"BUY",IF(AND($M102="SELL-DAY",$O102="VOL-OK",$Q102="ON",$AA102="OK",$AB102&lt;&gt;"UP"),"SELL","")))</f>
      </c>
      <c r="S102" s="9">
        <f>IF($R102="","",$E102)</f>
      </c>
      <c r="T102" s="9">
        <f>IF($R102="","",IF($R102="BUY",$E102-$N102*'操作パネル_MS2'!$H$5,$E102+$N102*'操作パネル_MS2'!$H$5))</f>
      </c>
      <c r="U102" s="9">
        <f>IF($R102="","",IF($R102="BUY",$E102+$N102*'操作パネル_MS2'!$H$6,$E102-$N102*'操作パネル_MS2'!$H$6))</f>
      </c>
      <c r="V102" s="9">
        <f>IF($R102="","",IF($R102="BUY",$E102+$N102*'操作パネル_MS2'!$H$7,$E102-$N102*'操作パネル_MS2'!$H$7))</f>
      </c>
      <c r="W102" s="9">
        <f>IF($R102="","",IF($R102="BUY",$E102+$N102*'操作パネル_MS2'!$H$8,$E102-$N102*'操作パネル_MS2'!$H$8))</f>
      </c>
      <c r="X102" s="5">
        <f>IF(OR(N($E102)&lt;=0,N($N102)&lt;=0,N($L102)&lt;=0),"",IF(AND($E102&gt;$L102,ABS($E102-$L102)&lt;$N102*0.5),"2ND","1ST"))</f>
      </c>
      <c r="Y102" s="5">
        <f>IF(OR(N($E102)&lt;=0,N($N102)&lt;=0),"",IF(AND('操作パネル_MS2'!$H$15&gt;="09:00",'操作パネル_MS2'!$H$15&lt;="09:30"),"寄り付き",IF(AND('操作パネル_MS2'!$H$15&gt;"09:30",'操作パネル_MS2'!$H$15&lt;="11:30"),"前場",IF(AND('操作パネル_MS2'!$H$15&gt;="12:30",'操作パネル_MS2'!$H$15&lt;="14:30"),"後場",IF(AND('操作パネル_MS2'!$H$15&gt;"14:30",'操作パネル_MS2'!$H$15&lt;="15:30"),"引け前","その他")))))</f>
      </c>
      <c r="Z102" s="5">
        <f>IF(OR(N($E102)&lt;=0,N($N102)&lt;=0),"",IF($N102&gt;$E102*'操作パネル_MS2'!$H$4,"VOL-HIGH","VOL-NORMAL"))</f>
      </c>
      <c r="AA102" s="5">
        <f>IF(OR(N($E102)&lt;=0,N($N102)&lt;=0),"",IF(AND($O102="VOL-OK",$Z102="VOL-NORMAL"),"OK","NG"))</f>
      </c>
      <c r="AB102" s="5">
        <f>IF(OR(N($E102)&lt;=0,N($N102)&lt;=0,N($J102)&lt;=0,N($K102)&lt;=0),"",IF(AND($F102&gt;$J102,$G102&gt;$K102),"UP",IF(AND($F102&lt;$J102,$G102&lt;$K102),"DOWN","FLAT")))</f>
      </c>
      <c r="AC102" s="30">
        <f>IF($C102="","",_xll.RssMarket($C102&amp;"","売買代金"))</f>
      </c>
      <c r="AD102" s="31">
        <f>IFERROR(INDEX(ATRHIST_MS2!$H$2:$H$400,MATCH($C102,ATRHIST_MS2!$A$2:$A$400,0)),0)</f>
      </c>
    </row>
  </sheetData>
  <autoFilter ref="A2:AD2" xr:uid="{00000000-0009-0000-0000-000002000000}"/>
  <mergeCells count="1">
    <mergeCell ref="A1:AD1"/>
  </mergeCells>
  <phoneticPr fontId="1"/>
  <pageMargins left="0.75" right="0.75" top="1" bottom="1" header="0.5" footer="0.5"/>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400"/>
  <sheetViews>
    <sheetView workbookViewId="0">
      <pane ySplit="1" topLeftCell="A2" activePane="bottomLeft" state="frozen"/>
      <selection pane="bottomLeft" activeCell="A6" sqref="A6"/>
    </sheetView>
  </sheetViews>
  <sheetFormatPr defaultRowHeight="22.2"/>
  <cols>
    <col min="1" max="1" width="25.15234375" style="1" customWidth="1"/>
    <col min="2" max="2" width="13" style="1" customWidth="1"/>
    <col min="3" max="3" width="25.61328125" style="1" customWidth="1"/>
    <col min="4" max="11" width="13" style="1" customWidth="1"/>
    <col min="12" max="13" width="15.3828125" style="1" bestFit="1" customWidth="1"/>
    <col min="14" max="14" width="20.53515625" bestFit="1" customWidth="1"/>
    <col min="15" max="15" width="15.61328125" style="66" bestFit="1" customWidth="1"/>
    <col min="16" max="16" width="7.69140625" bestFit="1" customWidth="1"/>
    <col min="18" max="18" width="26.23046875" bestFit="1" customWidth="1"/>
    <col min="19" max="19" width="7.07421875" bestFit="1" customWidth="1"/>
  </cols>
  <sheetData>
    <row r="1" spans="1:21" ht="46.2" customHeight="1">
      <c r="A1" s="86" t="s">
        <v>3</v>
      </c>
      <c r="B1" s="3" t="s">
        <v>0</v>
      </c>
      <c r="C1" s="3" t="s">
        <v>1</v>
      </c>
      <c r="D1" s="3" t="s">
        <v>6</v>
      </c>
      <c r="E1" s="3" t="s">
        <v>7</v>
      </c>
      <c r="F1" s="3" t="s">
        <v>8</v>
      </c>
      <c r="G1" s="3" t="s">
        <v>48</v>
      </c>
      <c r="H1" s="3" t="s">
        <v>10</v>
      </c>
      <c r="I1" s="3" t="s">
        <v>11</v>
      </c>
      <c r="J1" s="3" t="s">
        <v>13</v>
      </c>
      <c r="K1" s="3" t="s">
        <v>14</v>
      </c>
      <c r="L1" s="3" t="s">
        <v>15</v>
      </c>
      <c r="M1" s="3" t="s">
        <v>16</v>
      </c>
      <c r="N1" s="3" t="s">
        <v>179</v>
      </c>
      <c r="O1" s="65" t="s">
        <v>180</v>
      </c>
      <c r="P1" s="3" t="s">
        <v>181</v>
      </c>
      <c r="Q1" s="3" t="inlineStr">
        <is>
          <t>同日決済</t>
        </is>
      </c>
      <c r="R1" s="60" t="inlineStr">
        <is>
          <t>◆ 100株換算サマリー（同日決済のみ）</t>
        </is>
      </c>
      <c r="U1" s="3" t="inlineStr">
        <is>
          <t>同日損益(内部)</t>
        </is>
      </c>
    </row>
    <row r="2" spans="1:21">
      <c r="A2" s="1">
        <v>1</v>
      </c>
      <c r="B2" s="1">
        <v>8729</v>
      </c>
      <c r="C2" s="1" t="str">
        <f>IFERROR(INDEX(StockList_MS2!$B$2:$B$400,MATCH($B2,StockList_MS2!$A$2:$A$400,0)),"")</f>
        <v>ソニーフィナンシャルグループ</v>
      </c>
      <c r="D2" s="1" t="s">
        <v>73</v>
      </c>
      <c r="E2" s="1">
        <v>156</v>
      </c>
      <c r="F2" s="1">
        <v>154.6006254099913</v>
      </c>
      <c r="G2" s="1">
        <v>157.39936116006206</v>
      </c>
      <c r="H2" s="1">
        <v>157.86580081098796</v>
      </c>
      <c r="I2" s="1">
        <v>158.79867627637464</v>
      </c>
      <c r="J2" s="1" t="s">
        <v>8</v>
      </c>
      <c r="K2" s="1">
        <v>-1.3993745900087049</v>
      </c>
      <c r="L2" s="35">
        <v>46244.459421296298</v>
      </c>
      <c r="M2" s="35">
        <v>46246.486770833333</v>
      </c>
      <c r="N2" s="58">
        <f>IF($E2="","",ROUND($E2*'操作パネル_MS2'!$H$13,0))</f>
      </c>
      <c r="O2" s="66">
        <f>IF($K2="","",ROUND($K2*'操作パネル_MS2'!$H$13,0))</f>
      </c>
      <c r="P2" s="59">
        <f>IF(OR($K2="",$E2="",$F2="",$E2=$F2),"",$K2/ABS($E2-$F2))</f>
      </c>
      <c r="Q2" s="61">
        <f>IF(OR($B2="",$J2=""),"",IF(AND($J2&lt;&gt;"EXPIRED",ISNUMBER($L2),ISNUMBER($M2),INT($L2)=INT($M2)),1,0))</f>
      </c>
      <c r="R2" t="s">
        <v>183</v>
      </c>
      <c r="S2" s="61">
        <f>COUNTIFS($Q$2:$Q$400,1)</f>
      </c>
      <c r="U2" s="58">
        <f>IF($Q2=1,$O2,"")</f>
      </c>
    </row>
    <row r="3" spans="1:21" ht="28.8">
      <c r="A3" s="2">
        <v>2</v>
      </c>
      <c r="B3" s="1">
        <v>7201</v>
      </c>
      <c r="C3" s="1" t="str">
        <f>IFERROR(INDEX(StockList_MS2!$B$2:$B$400,MATCH($B3,StockList_MS2!$A$2:$A$400,0)),"")</f>
        <v>日産自動車</v>
      </c>
      <c r="D3" s="1" t="s">
        <v>73</v>
      </c>
      <c r="E3" s="1">
        <v>349.9</v>
      </c>
      <c r="F3" s="1">
        <v>347.13195662341576</v>
      </c>
      <c r="G3" s="1">
        <v>352.66801491977856</v>
      </c>
      <c r="H3" s="1">
        <v>353.59065620649409</v>
      </c>
      <c r="I3" s="1">
        <v>355.43593878128689</v>
      </c>
      <c r="J3" s="1" t="s">
        <v>8</v>
      </c>
      <c r="K3" s="1">
        <v>-2.7680433765842167</v>
      </c>
      <c r="L3" s="35">
        <v>46244.459444444445</v>
      </c>
      <c r="M3" s="35">
        <v>46246.46533564815</v>
      </c>
      <c r="N3" s="58">
        <f>IF($E3="","",ROUND($E3*'操作パネル_MS2'!$H$13,0))</f>
      </c>
      <c r="O3" s="66">
        <f>IF($K3="","",ROUND($K3*'操作パネル_MS2'!$H$13,0))</f>
      </c>
      <c r="P3" s="59">
        <f>IF(OR($K3="",$E3="",$F3="",$E3=$F3),"",$K3/ABS($E3-$F3))</f>
      </c>
      <c r="Q3" s="61">
        <f>IF(OR($B3="",$J3=""),"",IF(AND($J3&lt;&gt;"EXPIRED",ISNUMBER($L3),ISNUMBER($M3),INT($L3)=INT($M3)),1,0))</f>
      </c>
      <c r="R3" t="s">
        <v>184</v>
      </c>
      <c r="S3" s="58">
        <f>SUMIFS($O$2:$O$400,$Q$2:$Q$400,1)</f>
      </c>
      <c r="U3" s="58">
        <f>IF($Q3=1,$O3,"")</f>
      </c>
    </row>
    <row r="4" spans="1:21">
      <c r="A4" s="1">
        <v>3</v>
      </c>
      <c r="B4" s="1">
        <v>8306</v>
      </c>
      <c r="C4" s="1" t="str">
        <f>IFERROR(INDEX(StockList_MS2!$B$2:$B$400,MATCH($B4,StockList_MS2!$A$2:$A$400,0)),"")</f>
        <v>三菱ＵＦＪフィナンシャルＧ</v>
      </c>
      <c r="D4" s="1" t="s">
        <v>74</v>
      </c>
      <c r="E4" s="1">
        <v>3515</v>
      </c>
      <c r="F4" s="1">
        <v>3536.8988413577813</v>
      </c>
      <c r="G4" s="1">
        <v>3493.1013537177437</v>
      </c>
      <c r="H4" s="1">
        <v>3485.8020650494836</v>
      </c>
      <c r="I4" s="1">
        <v>3471.2034276862328</v>
      </c>
      <c r="J4" s="1" t="s">
        <v>8</v>
      </c>
      <c r="K4" s="1">
        <v>-21.898841357781293</v>
      </c>
      <c r="L4" s="35">
        <v>46244.459456018521</v>
      </c>
      <c r="M4" s="35">
        <v>46246.46533564815</v>
      </c>
      <c r="N4" s="58">
        <f>IF($E4="","",ROUND($E4*'操作パネル_MS2'!$H$13,0))</f>
      </c>
      <c r="O4" s="66">
        <f>IF($K4="","",ROUND($K4*'操作パネル_MS2'!$H$13,0))</f>
      </c>
      <c r="P4" s="59">
        <f>IF(OR($K4="",$E4="",$F4="",$E4=$F4),"",$K4/ABS($E4-$F4))</f>
      </c>
      <c r="Q4" s="61">
        <f>IF(OR($B4="",$J4=""),"",IF(AND($J4&lt;&gt;"EXPIRED",ISNUMBER($L4),ISNUMBER($M4),INT($L4)=INT($M4)),1,0))</f>
      </c>
      <c r="R4" t="s">
        <v>185</v>
      </c>
      <c r="S4" s="58">
        <f>IF(S2=0,0,ROUND(S3/S2,0))</f>
      </c>
      <c r="U4" s="58">
        <f>IF($Q4=1,$O4,"")</f>
      </c>
    </row>
    <row r="5" spans="1:21">
      <c r="A5" s="1">
        <v>4</v>
      </c>
      <c r="B5" s="1">
        <v>8053</v>
      </c>
      <c r="C5" s="1" t="str">
        <f>IFERROR(INDEX(StockList_MS2!$B$2:$B$400,MATCH($B5,StockList_MS2!$A$2:$A$400,0)),"")</f>
        <v>住友商事</v>
      </c>
      <c r="D5" s="1" t="s">
        <v>73</v>
      </c>
      <c r="E5" s="1">
        <v>1798</v>
      </c>
      <c r="F5" s="1">
        <v>1785.6831086032089</v>
      </c>
      <c r="G5" s="1">
        <v>1810.3167901376075</v>
      </c>
      <c r="H5" s="1">
        <v>1814.4222405901055</v>
      </c>
      <c r="I5" s="1">
        <v>1822.6331583761357</v>
      </c>
      <c r="J5" s="1" t="s">
        <v>8</v>
      </c>
      <c r="K5" s="1">
        <v>-12.316891396791107</v>
      </c>
      <c r="L5" s="35">
        <v>46244.459479166668</v>
      </c>
      <c r="M5" s="35">
        <v>46246.46533564815</v>
      </c>
      <c r="N5" s="58">
        <f>IF($E5="","",ROUND($E5*'操作パネル_MS2'!$H$13,0))</f>
      </c>
      <c r="O5" s="66">
        <f>IF($K5="","",ROUND($K5*'操作パネル_MS2'!$H$13,0))</f>
      </c>
      <c r="P5" s="59">
        <f>IF(OR($K5="",$E5="",$F5="",$E5=$F5),"",$K5/ABS($E5-$F5))</f>
      </c>
      <c r="Q5" s="61">
        <f>IF(OR($B5="",$J5=""),"",IF(AND($J5&lt;&gt;"EXPIRED",ISNUMBER($L5),ISNUMBER($M5),INT($L5)=INT($M5)),1,0))</f>
      </c>
      <c r="R5" t="s">
        <v>186</v>
      </c>
      <c r="S5" s="58">
        <f>IF(S2=0,0,MIN($U$2:$U$400))</f>
      </c>
      <c r="U5" s="58">
        <f>IF($Q5=1,$O5,"")</f>
      </c>
    </row>
    <row r="6" spans="1:21">
      <c r="A6" s="1">
        <v>5</v>
      </c>
      <c r="B6" s="1">
        <v>3350</v>
      </c>
      <c r="C6" s="1" t="str">
        <f>IFERROR(INDEX(StockList_MS2!$B$2:$B$400,MATCH($B6,StockList_MS2!$A$2:$A$400,0)),"")</f>
        <v>メタプラネット</v>
      </c>
      <c r="D6" s="1" t="s">
        <v>73</v>
      </c>
      <c r="E6" s="1">
        <v>235</v>
      </c>
      <c r="F6" s="1">
        <v>230.13457423710994</v>
      </c>
      <c r="G6" s="1">
        <v>239.86539243677188</v>
      </c>
      <c r="H6" s="1">
        <v>241.48713659500029</v>
      </c>
      <c r="I6" s="1">
        <v>244.73061824915433</v>
      </c>
      <c r="J6" s="1" t="s">
        <v>8</v>
      </c>
      <c r="K6" s="1">
        <v>-4.8654257628900552</v>
      </c>
      <c r="L6" s="35">
        <v>46244.459490740737</v>
      </c>
      <c r="M6" s="35">
        <v>46246.46534722222</v>
      </c>
      <c r="N6" s="58">
        <f>IF($E6="","",ROUND($E6*'操作パネル_MS2'!$H$13,0))</f>
      </c>
      <c r="O6" s="66">
        <f>IF($K6="","",ROUND($K6*'操作パネル_MS2'!$H$13,0))</f>
      </c>
      <c r="P6" s="59">
        <f>IF(OR($K6="",$E6="",$F6="",$E6=$F6),"",$K6/ABS($E6-$F6))</f>
      </c>
      <c r="Q6" s="61">
        <f>IF(OR($B6="",$J6=""),"",IF(AND($J6&lt;&gt;"EXPIRED",ISNUMBER($L6),ISNUMBER($M6),INT($L6)=INT($M6)),1,0))</f>
      </c>
      <c r="R6" t="s">
        <v>87</v>
      </c>
      <c r="S6" s="62">
        <f>IF(S2=0,0,COUNTIFS($O$2:$O$400,"&gt;0",$Q$2:$Q$400,1)/S2)</f>
      </c>
      <c r="U6" s="58">
        <f>IF($Q6=1,$O6,"")</f>
      </c>
    </row>
    <row r="7" spans="1:21">
      <c r="A7" s="1">
        <v>6</v>
      </c>
      <c r="B7" s="1">
        <v>6723</v>
      </c>
      <c r="C7" s="1" t="str">
        <f>IFERROR(INDEX(StockList_MS2!$B$2:$B$400,MATCH($B7,StockList_MS2!$A$2:$A$400,0)),"")</f>
        <v>ルネサスエレクトロニクス</v>
      </c>
      <c r="D7" s="1" t="s">
        <v>73</v>
      </c>
      <c r="E7" s="1">
        <v>3851</v>
      </c>
      <c r="F7" s="1">
        <v>3811.776265968238</v>
      </c>
      <c r="G7" s="1">
        <v>3890.2234385565689</v>
      </c>
      <c r="H7" s="1">
        <v>3903.2975599307883</v>
      </c>
      <c r="I7" s="1">
        <v>3929.4456415336799</v>
      </c>
      <c r="J7" s="1" t="s">
        <v>8</v>
      </c>
      <c r="K7" s="1">
        <v>-39.223734031761978</v>
      </c>
      <c r="L7" s="35">
        <v>46244.459502314814</v>
      </c>
      <c r="M7" s="35">
        <v>46246.46534722222</v>
      </c>
      <c r="N7" s="58">
        <f>IF($E7="","",ROUND($E7*'操作パネル_MS2'!$H$13,0))</f>
      </c>
      <c r="O7" s="66">
        <f>IF($K7="","",ROUND($K7*'操作パネル_MS2'!$H$13,0))</f>
      </c>
      <c r="P7" s="59">
        <f>IF(OR($K7="",$E7="",$F7="",$E7=$F7),"",$K7/ABS($E7-$F7))</f>
      </c>
      <c r="Q7" s="61">
        <f>IF(OR($B7="",$J7=""),"",IF(AND($J7&lt;&gt;"EXPIRED",ISNUMBER($L7),ISNUMBER($M7),INT($L7)=INT($M7)),1,0))</f>
      </c>
      <c r="R7" t="inlineStr">
        <is>
          <t>日跨ぎ除外（無効）件数</t>
        </is>
      </c>
      <c r="S7" s="61">
        <f>COUNTIFS($Q$2:$Q$400,0)</f>
      </c>
      <c r="U7" s="58">
        <f>IF($Q7=1,$O7,"")</f>
      </c>
    </row>
    <row r="8" spans="1:21">
      <c r="A8" s="1">
        <v>7</v>
      </c>
      <c r="B8" s="1">
        <v>4689</v>
      </c>
      <c r="C8" s="1" t="str">
        <f>IFERROR(INDEX(StockList_MS2!$B$2:$B$400,MATCH($B8,StockList_MS2!$A$2:$A$400,0)),"")</f>
        <v>ＬＩＮＥヤフー</v>
      </c>
      <c r="D8" s="1" t="s">
        <v>73</v>
      </c>
      <c r="E8" s="1">
        <v>489</v>
      </c>
      <c r="F8" s="1">
        <v>484.22671961893212</v>
      </c>
      <c r="G8" s="1">
        <v>493.77323789408405</v>
      </c>
      <c r="H8" s="1">
        <v>495.36427361704273</v>
      </c>
      <c r="I8" s="1">
        <v>498.54634506389175</v>
      </c>
      <c r="J8" s="1" t="s">
        <v>9</v>
      </c>
      <c r="K8" s="1">
        <v>4.7732378940840476</v>
      </c>
      <c r="L8" s="35">
        <v>46244.45952546296</v>
      </c>
      <c r="M8" s="35">
        <v>46246.46534722222</v>
      </c>
      <c r="N8" s="58">
        <f>IF($E8="","",ROUND($E8*'操作パネル_MS2'!$H$13,0))</f>
      </c>
      <c r="O8" s="66">
        <f>IF($K8="","",ROUND($K8*'操作パネル_MS2'!$H$13,0))</f>
      </c>
      <c r="P8" s="59">
        <f>IF(OR($K8="",$E8="",$F8="",$E8=$F8),"",$K8/ABS($E8-$F8))</f>
      </c>
      <c r="Q8" s="61">
        <f>IF(OR($B8="",$J8=""),"",IF(AND($J8&lt;&gt;"EXPIRED",ISNUMBER($L8),ISNUMBER($M8),INT($L8)=INT($M8)),1,0))</f>
      </c>
      <c r="U8" s="58">
        <f>IF($Q8=1,$O8,"")</f>
      </c>
    </row>
    <row r="9" spans="1:21">
      <c r="A9" s="1">
        <v>8</v>
      </c>
      <c r="B9" s="1">
        <v>8136</v>
      </c>
      <c r="C9" s="1" t="str">
        <f>IFERROR(INDEX(StockList_MS2!$B$2:$B$400,MATCH($B9,StockList_MS2!$A$2:$A$400,0)),"")</f>
        <v>サンリオ</v>
      </c>
      <c r="D9" s="1" t="s">
        <v>73</v>
      </c>
      <c r="E9" s="1">
        <v>1460.5</v>
      </c>
      <c r="F9" s="1">
        <v>1433.7479083314356</v>
      </c>
      <c r="G9" s="1">
        <v>1487.2519085352719</v>
      </c>
      <c r="H9" s="1">
        <v>1496.1688939546698</v>
      </c>
      <c r="I9" s="1">
        <v>1514.0029746804169</v>
      </c>
      <c r="J9" s="1" t="s">
        <v>8</v>
      </c>
      <c r="K9" s="1">
        <v>-26.75209166856439</v>
      </c>
      <c r="L9" s="35">
        <v>46244.459537037037</v>
      </c>
      <c r="M9" s="35">
        <v>46246.465358796297</v>
      </c>
      <c r="N9" s="58">
        <f>IF($E9="","",ROUND($E9*'操作パネル_MS2'!$H$13,0))</f>
      </c>
      <c r="O9" s="66">
        <f>IF($K9="","",ROUND($K9*'操作パネル_MS2'!$H$13,0))</f>
      </c>
      <c r="P9" s="59">
        <f>IF(OR($K9="",$E9="",$F9="",$E9=$F9),"",$K9/ABS($E9-$F9))</f>
      </c>
      <c r="Q9" s="61">
        <f>IF(OR($B9="",$J9=""),"",IF(AND($J9&lt;&gt;"EXPIRED",ISNUMBER($L9),ISNUMBER($M9),INT($L9)=INT($M9)),1,0))</f>
      </c>
      <c r="U9" s="58">
        <f>IF($Q9=1,$O9,"")</f>
      </c>
    </row>
    <row r="10" spans="1:21">
      <c r="A10" s="1">
        <v>9</v>
      </c>
      <c r="B10" s="1">
        <v>4661</v>
      </c>
      <c r="C10" s="1" t="str">
        <f>IFERROR(INDEX(StockList_MS2!$B$2:$B$400,MATCH($B10,StockList_MS2!$A$2:$A$400,0)),"")</f>
        <v>オリエンタルランド</v>
      </c>
      <c r="D10" s="1" t="s">
        <v>73</v>
      </c>
      <c r="E10" s="1">
        <v>3036</v>
      </c>
      <c r="F10" s="1">
        <v>3011.2263401549249</v>
      </c>
      <c r="G10" s="1">
        <v>3060.7734902874049</v>
      </c>
      <c r="H10" s="1">
        <v>3069.0310264900427</v>
      </c>
      <c r="I10" s="1">
        <v>3085.5460649983829</v>
      </c>
      <c r="J10" s="1" t="s">
        <v>8</v>
      </c>
      <c r="K10" s="1">
        <v>-24.773659845075144</v>
      </c>
      <c r="L10" s="35">
        <v>46244.459560185183</v>
      </c>
      <c r="M10" s="35">
        <v>46246.465358796297</v>
      </c>
      <c r="N10" s="58">
        <f>IF($E10="","",ROUND($E10*'操作パネル_MS2'!$H$13,0))</f>
      </c>
      <c r="O10" s="66">
        <f>IF($K10="","",ROUND($K10*'操作パネル_MS2'!$H$13,0))</f>
      </c>
      <c r="P10" s="59">
        <f>IF(OR($K10="",$E10="",$F10="",$E10=$F10),"",$K10/ABS($E10-$F10))</f>
      </c>
      <c r="Q10" s="61">
        <f>IF(OR($B10="",$J10=""),"",IF(AND($J10&lt;&gt;"EXPIRED",ISNUMBER($L10),ISNUMBER($M10),INT($L10)=INT($M10)),1,0))</f>
      </c>
      <c r="U10" s="58">
        <f>IF($Q10=1,$O10,"")</f>
      </c>
    </row>
    <row r="11" spans="1:21">
      <c r="A11" s="1">
        <v>10</v>
      </c>
      <c r="B11" s="1">
        <v>8604</v>
      </c>
      <c r="C11" s="1" t="str">
        <f>IFERROR(INDEX(StockList_MS2!$B$2:$B$400,MATCH($B11,StockList_MS2!$A$2:$A$400,0)),"")</f>
        <v>野村ホールディングス</v>
      </c>
      <c r="D11" s="1" t="s">
        <v>74</v>
      </c>
      <c r="E11" s="1">
        <v>1542</v>
      </c>
      <c r="F11" s="1">
        <v>1549.9025016686051</v>
      </c>
      <c r="G11" s="1">
        <v>1534.0975632232974</v>
      </c>
      <c r="H11" s="1">
        <v>1531.4635113608012</v>
      </c>
      <c r="I11" s="1">
        <v>1526.1953860039325</v>
      </c>
      <c r="J11" s="1" t="s">
        <v>8</v>
      </c>
      <c r="K11" s="1">
        <v>-7.9025016686050549</v>
      </c>
      <c r="L11" s="35">
        <v>46244.45957175926</v>
      </c>
      <c r="M11" s="35">
        <v>46246.465358796297</v>
      </c>
      <c r="N11" s="58">
        <f>IF($E11="","",ROUND($E11*'操作パネル_MS2'!$H$13,0))</f>
      </c>
      <c r="O11" s="66">
        <f>IF($K11="","",ROUND($K11*'操作パネル_MS2'!$H$13,0))</f>
      </c>
      <c r="P11" s="59">
        <f>IF(OR($K11="",$E11="",$F11="",$E11=$F11),"",$K11/ABS($E11-$F11))</f>
      </c>
      <c r="Q11" s="61">
        <f>IF(OR($B11="",$J11=""),"",IF(AND($J11&lt;&gt;"EXPIRED",ISNUMBER($L11),ISNUMBER($M11),INT($L11)=INT($M11)),1,0))</f>
      </c>
      <c r="U11" s="58">
        <f>IF($Q11=1,$O11,"")</f>
      </c>
    </row>
    <row r="12" spans="1:21">
      <c r="A12" s="1">
        <v>11</v>
      </c>
      <c r="B12" s="1">
        <v>6501</v>
      </c>
      <c r="C12" s="1" t="str">
        <f>IFERROR(INDEX(StockList_MS2!$B$2:$B$400,MATCH($B12,StockList_MS2!$A$2:$A$400,0)),"")</f>
        <v>日立</v>
      </c>
      <c r="D12" s="1" t="s">
        <v>73</v>
      </c>
      <c r="E12" s="1">
        <v>5679</v>
      </c>
      <c r="F12" s="1">
        <v>5644.3540071510706</v>
      </c>
      <c r="G12" s="1">
        <v>5713.6457795187434</v>
      </c>
      <c r="H12" s="1">
        <v>5725.19380382295</v>
      </c>
      <c r="I12" s="1">
        <v>5748.2902316947639</v>
      </c>
      <c r="J12" s="1" t="s">
        <v>8</v>
      </c>
      <c r="K12" s="1">
        <v>-34.645992848929382</v>
      </c>
      <c r="L12" s="35">
        <v>46244.459594907406</v>
      </c>
      <c r="M12" s="35">
        <v>46264.053263888891</v>
      </c>
      <c r="N12" s="58">
        <f>IF($E12="","",ROUND($E12*'操作パネル_MS2'!$H$13,0))</f>
      </c>
      <c r="O12" s="66">
        <f>IF($K12="","",ROUND($K12*'操作パネル_MS2'!$H$13,0))</f>
      </c>
      <c r="P12" s="59">
        <f>IF(OR($K12="",$E12="",$F12="",$E12=$F12),"",$K12/ABS($E12-$F12))</f>
      </c>
      <c r="Q12" s="61">
        <f>IF(OR($B12="",$J12=""),"",IF(AND($J12&lt;&gt;"EXPIRED",ISNUMBER($L12),ISNUMBER($M12),INT($L12)=INT($M12)),1,0))</f>
      </c>
      <c r="U12" s="58">
        <f>IF($Q12=1,$O12,"")</f>
      </c>
    </row>
    <row r="13" spans="1:21">
      <c r="A13" s="1">
        <v>12</v>
      </c>
      <c r="B13" s="1">
        <v>4063</v>
      </c>
      <c r="C13" s="1" t="str">
        <f>IFERROR(INDEX(StockList_MS2!$B$2:$B$400,MATCH($B13,StockList_MS2!$A$2:$A$400,0)),"")</f>
        <v>信越化学</v>
      </c>
      <c r="D13" s="1" t="s">
        <v>73</v>
      </c>
      <c r="E13" s="1">
        <v>6302</v>
      </c>
      <c r="F13" s="1">
        <v>6262.49530347986</v>
      </c>
      <c r="G13" s="1">
        <v>6341.5043722547289</v>
      </c>
      <c r="H13" s="1">
        <v>6354.6721000217703</v>
      </c>
      <c r="I13" s="1">
        <v>6381.0073934489274</v>
      </c>
      <c r="J13" s="1" t="s">
        <v>9</v>
      </c>
      <c r="K13" s="1">
        <v>39.504372254728878</v>
      </c>
      <c r="L13" s="35">
        <v>46244.459606481483</v>
      </c>
      <c r="M13" s="35">
        <v>46246.465358796297</v>
      </c>
      <c r="N13" s="58">
        <f>IF($E13="","",ROUND($E13*'操作パネル_MS2'!$H$13,0))</f>
      </c>
      <c r="O13" s="66">
        <f>IF($K13="","",ROUND($K13*'操作パネル_MS2'!$H$13,0))</f>
      </c>
      <c r="P13" s="59">
        <f>IF(OR($K13="",$E13="",$F13="",$E13=$F13),"",$K13/ABS($E13-$F13))</f>
      </c>
      <c r="Q13" s="61">
        <f>IF(OR($B13="",$J13=""),"",IF(AND($J13&lt;&gt;"EXPIRED",ISNUMBER($L13),ISNUMBER($M13),INT($L13)=INT($M13)),1,0))</f>
      </c>
      <c r="U13" s="58">
        <f>IF($Q13=1,$O13,"")</f>
      </c>
    </row>
    <row r="14" spans="1:21">
      <c r="A14" s="1">
        <v>13</v>
      </c>
      <c r="B14" s="1">
        <v>4568</v>
      </c>
      <c r="C14" s="1" t="str">
        <f>IFERROR(INDEX(StockList_MS2!$B$2:$B$400,MATCH($B14,StockList_MS2!$A$2:$A$400,0)),"")</f>
        <v>第一三共</v>
      </c>
      <c r="D14" s="1" t="s">
        <v>73</v>
      </c>
      <c r="E14" s="1">
        <v>2802</v>
      </c>
      <c r="F14" s="1">
        <v>2775.7166995893476</v>
      </c>
      <c r="G14" s="1">
        <v>2828.2831026858598</v>
      </c>
      <c r="H14" s="1">
        <v>2837.0438253551265</v>
      </c>
      <c r="I14" s="1">
        <v>2854.5653785497839</v>
      </c>
      <c r="J14" s="1" t="s">
        <v>8</v>
      </c>
      <c r="K14" s="1">
        <v>-26.283300410652373</v>
      </c>
      <c r="L14" s="35">
        <v>46244.459618055553</v>
      </c>
      <c r="M14" s="35">
        <v>46246.465370370373</v>
      </c>
      <c r="N14" s="58">
        <f>IF($E14="","",ROUND($E14*'操作パネル_MS2'!$H$13,0))</f>
      </c>
      <c r="O14" s="66">
        <f>IF($K14="","",ROUND($K14*'操作パネル_MS2'!$H$13,0))</f>
      </c>
      <c r="P14" s="59">
        <f>IF(OR($K14="",$E14="",$F14="",$E14=$F14),"",$K14/ABS($E14-$F14))</f>
      </c>
      <c r="Q14" s="61">
        <f>IF(OR($B14="",$J14=""),"",IF(AND($J14&lt;&gt;"EXPIRED",ISNUMBER($L14),ISNUMBER($M14),INT($L14)=INT($M14)),1,0))</f>
      </c>
      <c r="U14" s="58">
        <f>IF($Q14=1,$O14,"")</f>
      </c>
    </row>
    <row r="15" spans="1:21">
      <c r="A15" s="1">
        <v>14</v>
      </c>
      <c r="B15" s="1">
        <v>8001</v>
      </c>
      <c r="C15" s="1" t="str">
        <f>IFERROR(INDEX(StockList_MS2!$B$2:$B$400,MATCH($B15,StockList_MS2!$A$2:$A$400,0)),"")</f>
        <v>伊藤忠</v>
      </c>
      <c r="D15" s="1" t="s">
        <v>73</v>
      </c>
      <c r="E15" s="1">
        <v>2095.5</v>
      </c>
      <c r="F15" s="1">
        <v>2081.9798277587593</v>
      </c>
      <c r="G15" s="1">
        <v>2109.0200705507605</v>
      </c>
      <c r="H15" s="1">
        <v>2113.5266374756029</v>
      </c>
      <c r="I15" s="1">
        <v>2122.539752841205</v>
      </c>
      <c r="J15" s="1" t="s">
        <v>9</v>
      </c>
      <c r="K15" s="1">
        <v>13.520070550760465</v>
      </c>
      <c r="L15" s="35">
        <v>46244.459641203706</v>
      </c>
      <c r="M15" s="35">
        <v>46264.053263888891</v>
      </c>
      <c r="N15" s="58">
        <f>IF($E15="","",ROUND($E15*'操作パネル_MS2'!$H$13,0))</f>
      </c>
      <c r="O15" s="66">
        <f>IF($K15="","",ROUND($K15*'操作パネル_MS2'!$H$13,0))</f>
      </c>
      <c r="P15" s="59">
        <f>IF(OR($K15="",$E15="",$F15="",$E15=$F15),"",$K15/ABS($E15-$F15))</f>
      </c>
      <c r="Q15" s="61">
        <f>IF(OR($B15="",$J15=""),"",IF(AND($J15&lt;&gt;"EXPIRED",ISNUMBER($L15),ISNUMBER($M15),INT($L15)=INT($M15)),1,0))</f>
      </c>
      <c r="U15" s="58">
        <f>IF($Q15=1,$O15,"")</f>
      </c>
    </row>
    <row r="16" spans="1:21">
      <c r="A16" s="1">
        <v>15</v>
      </c>
      <c r="B16" s="1">
        <v>6857</v>
      </c>
      <c r="C16" s="1" t="str">
        <f>IFERROR(INDEX(StockList_MS2!$B$2:$B$400,MATCH($B16,StockList_MS2!$A$2:$A$400,0)),"")</f>
        <v>アドバンテスト</v>
      </c>
      <c r="D16" s="1" t="s">
        <v>73</v>
      </c>
      <c r="E16" s="1">
        <v>33660</v>
      </c>
      <c r="F16" s="1">
        <v>33271.141583238299</v>
      </c>
      <c r="G16" s="1">
        <v>34048.856024214096</v>
      </c>
      <c r="H16" s="1">
        <v>34178.470091194031</v>
      </c>
      <c r="I16" s="1">
        <v>34437.698225371598</v>
      </c>
      <c r="J16" s="1" t="s">
        <v>9</v>
      </c>
      <c r="K16" s="1">
        <v>388.85602421409567</v>
      </c>
      <c r="L16" s="35">
        <v>46244.459652777776</v>
      </c>
      <c r="M16" s="35">
        <v>46246.465370370373</v>
      </c>
      <c r="N16" s="58">
        <f>IF($E16="","",ROUND($E16*'操作パネル_MS2'!$H$13,0))</f>
      </c>
      <c r="O16" s="66">
        <f>IF($K16="","",ROUND($K16*'操作パネル_MS2'!$H$13,0))</f>
      </c>
      <c r="P16" s="59">
        <f>IF(OR($K16="",$E16="",$F16="",$E16=$F16),"",$K16/ABS($E16-$F16))</f>
      </c>
      <c r="Q16" s="61">
        <f>IF(OR($B16="",$J16=""),"",IF(AND($J16&lt;&gt;"EXPIRED",ISNUMBER($L16),ISNUMBER($M16),INT($L16)=INT($M16)),1,0))</f>
      </c>
      <c r="U16" s="58">
        <f>IF($Q16=1,$O16,"")</f>
      </c>
    </row>
    <row r="17" spans="1:21">
      <c r="A17" s="1">
        <v>16</v>
      </c>
      <c r="B17" s="1">
        <v>7974</v>
      </c>
      <c r="C17" s="1" t="str">
        <f>IFERROR(INDEX(StockList_MS2!$B$2:$B$400,MATCH($B17,StockList_MS2!$A$2:$A$400,0)),"")</f>
        <v>任天堂</v>
      </c>
      <c r="D17" s="1" t="s">
        <v>73</v>
      </c>
      <c r="E17" s="1">
        <v>8198</v>
      </c>
      <c r="F17" s="1">
        <v>8129.0447067316272</v>
      </c>
      <c r="G17" s="1">
        <v>8266.9546805605933</v>
      </c>
      <c r="H17" s="1">
        <v>8289.9388828319661</v>
      </c>
      <c r="I17" s="1">
        <v>8335.9073816599812</v>
      </c>
      <c r="J17" s="1" t="s">
        <v>9</v>
      </c>
      <c r="K17" s="1">
        <v>68.95468056059326</v>
      </c>
      <c r="L17" s="35">
        <v>46244.459664351853</v>
      </c>
      <c r="M17" s="35">
        <v>46246.465370370373</v>
      </c>
      <c r="N17" s="58">
        <f>IF($E17="","",ROUND($E17*'操作パネル_MS2'!$H$13,0))</f>
      </c>
      <c r="O17" s="66">
        <f>IF($K17="","",ROUND($K17*'操作パネル_MS2'!$H$13,0))</f>
      </c>
      <c r="P17" s="59">
        <f>IF(OR($K17="",$E17="",$F17="",$E17=$F17),"",$K17/ABS($E17-$F17))</f>
      </c>
      <c r="Q17" s="61">
        <f>IF(OR($B17="",$J17=""),"",IF(AND($J17&lt;&gt;"EXPIRED",ISNUMBER($L17),ISNUMBER($M17),INT($L17)=INT($M17)),1,0))</f>
      </c>
      <c r="U17" s="58">
        <f>IF($Q17=1,$O17,"")</f>
      </c>
    </row>
    <row r="18" spans="1:21">
      <c r="A18" s="1">
        <v>17</v>
      </c>
      <c r="B18" s="1">
        <v>6702</v>
      </c>
      <c r="C18" s="1" t="str">
        <f>IFERROR(INDEX(StockList_MS2!$B$2:$B$400,MATCH($B18,StockList_MS2!$A$2:$A$400,0)),"")</f>
        <v>富士通</v>
      </c>
      <c r="D18" s="1" t="s">
        <v>73</v>
      </c>
      <c r="E18" s="1">
        <v>3746</v>
      </c>
      <c r="F18" s="1">
        <v>3713.1962600898723</v>
      </c>
      <c r="G18" s="1">
        <v>3778.8035157363952</v>
      </c>
      <c r="H18" s="1">
        <v>3789.7376922013605</v>
      </c>
      <c r="I18" s="1">
        <v>3811.6060899738782</v>
      </c>
      <c r="J18" s="1" t="s">
        <v>8</v>
      </c>
      <c r="K18" s="1">
        <v>-32.803739910127661</v>
      </c>
      <c r="L18" s="35">
        <v>46244.459687499999</v>
      </c>
      <c r="M18" s="35">
        <v>46246.486770833333</v>
      </c>
      <c r="N18" s="58">
        <f>IF($E18="","",ROUND($E18*'操作パネル_MS2'!$H$13,0))</f>
      </c>
      <c r="O18" s="66">
        <f>IF($K18="","",ROUND($K18*'操作パネル_MS2'!$H$13,0))</f>
      </c>
      <c r="P18" s="59">
        <f>IF(OR($K18="",$E18="",$F18="",$E18=$F18),"",$K18/ABS($E18-$F18))</f>
      </c>
      <c r="Q18" s="61">
        <f>IF(OR($B18="",$J18=""),"",IF(AND($J18&lt;&gt;"EXPIRED",ISNUMBER($L18),ISNUMBER($M18),INT($L18)=INT($M18)),1,0))</f>
      </c>
      <c r="U18" s="58">
        <f>IF($Q18=1,$O18,"")</f>
      </c>
    </row>
    <row r="19" spans="1:21">
      <c r="A19" s="1">
        <v>18</v>
      </c>
      <c r="B19" s="1">
        <v>8316</v>
      </c>
      <c r="C19" s="1" t="str">
        <f>IFERROR(INDEX(StockList_MS2!$B$2:$B$400,MATCH($B19,StockList_MS2!$A$2:$A$400,0)),"")</f>
        <v>三井住友フィナンシャルＧ</v>
      </c>
      <c r="D19" s="1" t="s">
        <v>74</v>
      </c>
      <c r="E19" s="1">
        <v>6677</v>
      </c>
      <c r="F19" s="1">
        <v>6728.3270080636257</v>
      </c>
      <c r="G19" s="1">
        <v>6625.6733426289675</v>
      </c>
      <c r="H19" s="1">
        <v>6608.5650646917511</v>
      </c>
      <c r="I19" s="1">
        <v>6574.3483685228466</v>
      </c>
      <c r="J19" s="1" t="s">
        <v>8</v>
      </c>
      <c r="K19" s="1">
        <v>-51.327008063625726</v>
      </c>
      <c r="L19" s="35">
        <v>46244.459699074076</v>
      </c>
      <c r="M19" s="35">
        <v>46246.465381944443</v>
      </c>
      <c r="N19" s="58">
        <f>IF($E19="","",ROUND($E19*'操作パネル_MS2'!$H$13,0))</f>
      </c>
      <c r="O19" s="66">
        <f>IF($K19="","",ROUND($K19*'操作パネル_MS2'!$H$13,0))</f>
      </c>
      <c r="P19" s="59">
        <f>IF(OR($K19="",$E19="",$F19="",$E19=$F19),"",$K19/ABS($E19-$F19))</f>
      </c>
      <c r="Q19" s="61">
        <f>IF(OR($B19="",$J19=""),"",IF(AND($J19&lt;&gt;"EXPIRED",ISNUMBER($L19),ISNUMBER($M19),INT($L19)=INT($M19)),1,0))</f>
      </c>
      <c r="U19" s="58">
        <f>IF($Q19=1,$O19,"")</f>
      </c>
    </row>
    <row r="20" spans="1:21">
      <c r="A20" s="1">
        <v>19</v>
      </c>
      <c r="B20" s="1">
        <v>4005</v>
      </c>
      <c r="C20" s="1" t="str">
        <f>IFERROR(INDEX(StockList_MS2!$B$2:$B$400,MATCH($B20,StockList_MS2!$A$2:$A$400,0)),"")</f>
        <v>住友化学</v>
      </c>
      <c r="D20" s="1" t="s">
        <v>73</v>
      </c>
      <c r="E20" s="1">
        <v>517.79999999999995</v>
      </c>
      <c r="F20" s="1">
        <v>514.79356367403977</v>
      </c>
      <c r="G20" s="1">
        <v>520.80641373476055</v>
      </c>
      <c r="H20" s="1">
        <v>521.80851604889062</v>
      </c>
      <c r="I20" s="1">
        <v>523.81272478573271</v>
      </c>
      <c r="J20" s="1" t="s">
        <v>9</v>
      </c>
      <c r="K20" s="1">
        <v>3.0064137347605993</v>
      </c>
      <c r="L20" s="35">
        <v>46244.459722222222</v>
      </c>
      <c r="M20" s="35">
        <v>46246.465381944443</v>
      </c>
      <c r="N20" s="58">
        <f>IF($E20="","",ROUND($E20*'操作パネル_MS2'!$H$13,0))</f>
      </c>
      <c r="O20" s="66">
        <f>IF($K20="","",ROUND($K20*'操作パネル_MS2'!$H$13,0))</f>
      </c>
      <c r="P20" s="59">
        <f>IF(OR($K20="",$E20="",$F20="",$E20=$F20),"",$K20/ABS($E20-$F20))</f>
      </c>
      <c r="Q20" s="61">
        <f>IF(OR($B20="",$J20=""),"",IF(AND($J20&lt;&gt;"EXPIRED",ISNUMBER($L20),ISNUMBER($M20),INT($L20)=INT($M20)),1,0))</f>
      </c>
      <c r="U20" s="58">
        <f>IF($Q20=1,$O20,"")</f>
      </c>
    </row>
    <row r="21" spans="1:21">
      <c r="A21" s="1">
        <v>20</v>
      </c>
      <c r="B21" s="1">
        <v>4188</v>
      </c>
      <c r="C21" s="1" t="str">
        <f>IFERROR(INDEX(StockList_MS2!$B$2:$B$400,MATCH($B21,StockList_MS2!$A$2:$A$400,0)),"")</f>
        <v>三菱ケミカルグループ</v>
      </c>
      <c r="D21" s="1" t="s">
        <v>73</v>
      </c>
      <c r="E21" s="1">
        <v>1239</v>
      </c>
      <c r="F21" s="1">
        <v>1229.1313700090541</v>
      </c>
      <c r="G21" s="1">
        <v>1248.8685356300841</v>
      </c>
      <c r="H21" s="1">
        <v>1252.1579396683435</v>
      </c>
      <c r="I21" s="1">
        <v>1258.7367612287251</v>
      </c>
      <c r="J21" s="1" t="s">
        <v>8</v>
      </c>
      <c r="K21" s="1">
        <v>-9.8686299909459194</v>
      </c>
      <c r="L21" s="35">
        <v>46244.459733796299</v>
      </c>
      <c r="M21" s="35">
        <v>46246.486770833333</v>
      </c>
      <c r="N21" s="58">
        <f>IF($E21="","",ROUND($E21*'操作パネル_MS2'!$H$13,0))</f>
      </c>
      <c r="O21" s="66">
        <f>IF($K21="","",ROUND($K21*'操作パネル_MS2'!$H$13,0))</f>
      </c>
      <c r="P21" s="59">
        <f>IF(OR($K21="",$E21="",$F21="",$E21=$F21),"",$K21/ABS($E21-$F21))</f>
      </c>
      <c r="Q21" s="61">
        <f>IF(OR($B21="",$J21=""),"",IF(AND($J21&lt;&gt;"EXPIRED",ISNUMBER($L21),ISNUMBER($M21),INT($L21)=INT($M21)),1,0))</f>
      </c>
      <c r="U21" s="58">
        <f>IF($Q21=1,$O21,"")</f>
      </c>
    </row>
    <row r="22" spans="1:21">
      <c r="A22" s="1">
        <v>21</v>
      </c>
      <c r="B22" s="1">
        <v>8411</v>
      </c>
      <c r="C22" s="1" t="str">
        <f>IFERROR(INDEX(StockList_MS2!$B$2:$B$400,MATCH($B22,StockList_MS2!$A$2:$A$400,0)),"")</f>
        <v>みずほフィナンシャルＧ</v>
      </c>
      <c r="D22" s="1" t="s">
        <v>74</v>
      </c>
      <c r="E22" s="1">
        <v>8315</v>
      </c>
      <c r="F22" s="1">
        <v>8387.8688705332897</v>
      </c>
      <c r="G22" s="1">
        <v>8242.1316768068318</v>
      </c>
      <c r="H22" s="1">
        <v>8217.8428991718811</v>
      </c>
      <c r="I22" s="1">
        <v>8169.2657419241432</v>
      </c>
      <c r="J22" s="1" t="s">
        <v>8</v>
      </c>
      <c r="K22" s="1">
        <v>-72.868870533289737</v>
      </c>
      <c r="L22" s="35">
        <v>46244.459756944445</v>
      </c>
      <c r="M22" s="35">
        <v>46246.465381944443</v>
      </c>
      <c r="N22" s="58">
        <f>IF($E22="","",ROUND($E22*'操作パネル_MS2'!$H$13,0))</f>
      </c>
      <c r="O22" s="66">
        <f>IF($K22="","",ROUND($K22*'操作パネル_MS2'!$H$13,0))</f>
      </c>
      <c r="P22" s="59">
        <f>IF(OR($K22="",$E22="",$F22="",$E22=$F22),"",$K22/ABS($E22-$F22))</f>
      </c>
      <c r="Q22" s="61">
        <f>IF(OR($B22="",$J22=""),"",IF(AND($J22&lt;&gt;"EXPIRED",ISNUMBER($L22),ISNUMBER($M22),INT($L22)=INT($M22)),1,0))</f>
      </c>
      <c r="U22" s="58">
        <f>IF($Q22=1,$O22,"")</f>
      </c>
    </row>
    <row r="23" spans="1:21">
      <c r="A23" s="1">
        <v>22</v>
      </c>
      <c r="B23" s="1">
        <v>9433</v>
      </c>
      <c r="C23" s="1" t="str">
        <f>IFERROR(INDEX(StockList_MS2!$B$2:$B$400,MATCH($B23,StockList_MS2!$A$2:$A$400,0)),"")</f>
        <v>ＫＤＤＩ</v>
      </c>
      <c r="D23" s="1" t="s">
        <v>74</v>
      </c>
      <c r="E23" s="1">
        <v>2820.5</v>
      </c>
      <c r="F23" s="1">
        <v>2837.6528248986756</v>
      </c>
      <c r="G23" s="1">
        <v>2803.3473156262912</v>
      </c>
      <c r="H23" s="1">
        <v>2797.6299415294247</v>
      </c>
      <c r="I23" s="1">
        <v>2786.1952167491309</v>
      </c>
      <c r="J23" s="1" t="s">
        <v>8</v>
      </c>
      <c r="K23" s="1">
        <v>-17.15282489867559</v>
      </c>
      <c r="L23" s="35">
        <v>46244.459768518522</v>
      </c>
      <c r="M23" s="35">
        <v>46246.46539351852</v>
      </c>
      <c r="N23" s="58">
        <f>IF($E23="","",ROUND($E23*'操作パネル_MS2'!$H$13,0))</f>
      </c>
      <c r="O23" s="66">
        <f>IF($K23="","",ROUND($K23*'操作パネル_MS2'!$H$13,0))</f>
      </c>
      <c r="P23" s="59">
        <f>IF(OR($K23="",$E23="",$F23="",$E23=$F23),"",$K23/ABS($E23-$F23))</f>
      </c>
      <c r="Q23" s="61">
        <f>IF(OR($B23="",$J23=""),"",IF(AND($J23&lt;&gt;"EXPIRED",ISNUMBER($L23),ISNUMBER($M23),INT($L23)=INT($M23)),1,0))</f>
      </c>
      <c r="U23" s="58">
        <f>IF($Q23=1,$O23,"")</f>
      </c>
    </row>
    <row r="24" spans="1:21">
      <c r="A24" s="1">
        <v>23</v>
      </c>
      <c r="B24" s="1">
        <v>7532</v>
      </c>
      <c r="C24" s="1" t="str">
        <f>IFERROR(INDEX(StockList_MS2!$B$2:$B$400,MATCH($B24,StockList_MS2!$A$2:$A$400,0)),"")</f>
        <v>パンパシフィックＨＤ</v>
      </c>
      <c r="D24" s="1" t="s">
        <v>73</v>
      </c>
      <c r="E24" s="1">
        <v>927.7</v>
      </c>
      <c r="F24" s="1">
        <v>919.80742976294732</v>
      </c>
      <c r="G24" s="1">
        <v>935.59250558983763</v>
      </c>
      <c r="H24" s="1">
        <v>938.22326895760318</v>
      </c>
      <c r="I24" s="1">
        <v>943.48477414712158</v>
      </c>
      <c r="J24" s="1" t="s">
        <v>8</v>
      </c>
      <c r="K24" s="1">
        <v>-7.8925702370527233</v>
      </c>
      <c r="L24" s="35">
        <v>46244.459780092591</v>
      </c>
      <c r="M24" s="35">
        <v>46264.053263888891</v>
      </c>
      <c r="N24" s="58">
        <f>IF($E24="","",ROUND($E24*'操作パネル_MS2'!$H$13,0))</f>
      </c>
      <c r="O24" s="66">
        <f>IF($K24="","",ROUND($K24*'操作パネル_MS2'!$H$13,0))</f>
      </c>
      <c r="P24" s="59">
        <f>IF(OR($K24="",$E24="",$F24="",$E24=$F24),"",$K24/ABS($E24-$F24))</f>
      </c>
      <c r="Q24" s="61">
        <f>IF(OR($B24="",$J24=""),"",IF(AND($J24&lt;&gt;"EXPIRED",ISNUMBER($L24),ISNUMBER($M24),INT($L24)=INT($M24)),1,0))</f>
      </c>
      <c r="U24" s="58">
        <f>IF($Q24=1,$O24,"")</f>
      </c>
    </row>
    <row r="25" spans="1:21">
      <c r="A25" s="1">
        <v>24</v>
      </c>
      <c r="B25" s="1">
        <v>7012</v>
      </c>
      <c r="C25" s="1" t="str">
        <f>IFERROR(INDEX(StockList_MS2!$B$2:$B$400,MATCH($B25,StockList_MS2!$A$2:$A$400,0)),"")</f>
        <v>川崎重工業</v>
      </c>
      <c r="D25" s="1" t="s">
        <v>74</v>
      </c>
      <c r="E25" s="1">
        <v>2674</v>
      </c>
      <c r="F25" s="1">
        <v>2711.4859730593448</v>
      </c>
      <c r="G25" s="1">
        <v>2636.5143339231445</v>
      </c>
      <c r="H25" s="1">
        <v>2624.0195553069375</v>
      </c>
      <c r="I25" s="1">
        <v>2599.0298957342116</v>
      </c>
      <c r="J25" s="1" t="s">
        <v>8</v>
      </c>
      <c r="K25" s="1">
        <v>-37.485973059344815</v>
      </c>
      <c r="L25" s="35">
        <v>46244.459803240738</v>
      </c>
      <c r="M25" s="35">
        <v>46246.46539351852</v>
      </c>
      <c r="N25" s="58">
        <f>IF($E25="","",ROUND($E25*'操作パネル_MS2'!$H$13,0))</f>
      </c>
      <c r="O25" s="66">
        <f>IF($K25="","",ROUND($K25*'操作パネル_MS2'!$H$13,0))</f>
      </c>
      <c r="P25" s="59">
        <f>IF(OR($K25="",$E25="",$F25="",$E25=$F25),"",$K25/ABS($E25-$F25))</f>
      </c>
      <c r="Q25" s="61">
        <f>IF(OR($B25="",$J25=""),"",IF(AND($J25&lt;&gt;"EXPIRED",ISNUMBER($L25),ISNUMBER($M25),INT($L25)=INT($M25)),1,0))</f>
      </c>
      <c r="U25" s="58">
        <f>IF($Q25=1,$O25,"")</f>
      </c>
    </row>
    <row r="26" spans="1:21">
      <c r="A26" s="1">
        <v>25</v>
      </c>
      <c r="B26" s="1">
        <v>8308</v>
      </c>
      <c r="C26" s="1" t="str">
        <f>IFERROR(INDEX(StockList_MS2!$B$2:$B$400,MATCH($B26,StockList_MS2!$A$2:$A$400,0)),"")</f>
        <v>りそなホールディングス</v>
      </c>
      <c r="D26" s="1" t="s">
        <v>74</v>
      </c>
      <c r="E26" s="1">
        <v>2303</v>
      </c>
      <c r="F26" s="1">
        <v>2314.9882545368723</v>
      </c>
      <c r="G26" s="1">
        <v>2291.0118354397764</v>
      </c>
      <c r="H26" s="1">
        <v>2287.0159005518472</v>
      </c>
      <c r="I26" s="1">
        <v>2279.0240307719364</v>
      </c>
      <c r="J26" s="1" t="s">
        <v>8</v>
      </c>
      <c r="K26" s="1">
        <v>-11.988254536872319</v>
      </c>
      <c r="L26" s="35">
        <v>46244.459814814814</v>
      </c>
      <c r="M26" s="35">
        <v>46246.46539351852</v>
      </c>
      <c r="N26" s="58">
        <f>IF($E26="","",ROUND($E26*'操作パネル_MS2'!$H$13,0))</f>
      </c>
      <c r="O26" s="66">
        <f>IF($K26="","",ROUND($K26*'操作パネル_MS2'!$H$13,0))</f>
      </c>
      <c r="P26" s="59">
        <f>IF(OR($K26="",$E26="",$F26="",$E26=$F26),"",$K26/ABS($E26-$F26))</f>
      </c>
      <c r="Q26" s="61">
        <f>IF(OR($B26="",$J26=""),"",IF(AND($J26&lt;&gt;"EXPIRED",ISNUMBER($L26),ISNUMBER($M26),INT($L26)=INT($M26)),1,0))</f>
      </c>
      <c r="U26" s="58">
        <f>IF($Q26=1,$O26,"")</f>
      </c>
    </row>
    <row r="27" spans="1:21">
      <c r="A27" s="1">
        <v>26</v>
      </c>
      <c r="B27" s="1">
        <v>7182</v>
      </c>
      <c r="C27" s="1" t="str">
        <f>IFERROR(INDEX(StockList_MS2!$B$2:$B$400,MATCH($B27,StockList_MS2!$A$2:$A$400,0)),"")</f>
        <v>ゆうちょ銀行</v>
      </c>
      <c r="D27" s="1" t="s">
        <v>74</v>
      </c>
      <c r="E27" s="1">
        <v>3088</v>
      </c>
      <c r="F27" s="1">
        <v>3136.8589515182666</v>
      </c>
      <c r="G27" s="1">
        <v>3039.141481776026</v>
      </c>
      <c r="H27" s="1">
        <v>3022.8558423097802</v>
      </c>
      <c r="I27" s="1">
        <v>2990.2845633534544</v>
      </c>
      <c r="J27" s="1" t="s">
        <v>8</v>
      </c>
      <c r="K27" s="1">
        <v>-48.858951518266622</v>
      </c>
      <c r="L27" s="35">
        <v>46244.459837962961</v>
      </c>
      <c r="M27" s="35">
        <v>46264.053263888891</v>
      </c>
      <c r="N27" s="58">
        <f>IF($E27="","",ROUND($E27*'操作パネル_MS2'!$H$13,0))</f>
      </c>
      <c r="O27" s="66">
        <f>IF($K27="","",ROUND($K27*'操作パネル_MS2'!$H$13,0))</f>
      </c>
      <c r="P27" s="59">
        <f>IF(OR($K27="",$E27="",$F27="",$E27=$F27),"",$K27/ABS($E27-$F27))</f>
      </c>
      <c r="Q27" s="61">
        <f>IF(OR($B27="",$J27=""),"",IF(AND($J27&lt;&gt;"EXPIRED",ISNUMBER($L27),ISNUMBER($M27),INT($L27)=INT($M27)),1,0))</f>
      </c>
      <c r="U27" s="58">
        <f>IF($Q27=1,$O27,"")</f>
      </c>
    </row>
    <row r="28" spans="1:21">
      <c r="A28" s="1">
        <v>27</v>
      </c>
      <c r="B28" s="1">
        <v>8801</v>
      </c>
      <c r="C28" s="1" t="str">
        <f>IFERROR(INDEX(StockList_MS2!$B$2:$B$400,MATCH($B28,StockList_MS2!$A$2:$A$400,0)),"")</f>
        <v>三井不動産</v>
      </c>
      <c r="D28" s="1" t="s">
        <v>74</v>
      </c>
      <c r="E28" s="1">
        <v>1478</v>
      </c>
      <c r="F28" s="1">
        <v>1488.7721595338342</v>
      </c>
      <c r="G28" s="1">
        <v>1467.2279359777431</v>
      </c>
      <c r="H28" s="1">
        <v>1463.6373557240925</v>
      </c>
      <c r="I28" s="1">
        <v>1456.4561805201906</v>
      </c>
      <c r="J28" s="1" t="s">
        <v>9</v>
      </c>
      <c r="K28" s="1">
        <v>10.772064022256927</v>
      </c>
      <c r="L28" s="35">
        <v>46244.459849537037</v>
      </c>
      <c r="M28" s="35">
        <v>46246.46539351852</v>
      </c>
      <c r="N28" s="58">
        <f>IF($E28="","",ROUND($E28*'操作パネル_MS2'!$H$13,0))</f>
      </c>
      <c r="O28" s="66">
        <f>IF($K28="","",ROUND($K28*'操作パネル_MS2'!$H$13,0))</f>
      </c>
      <c r="P28" s="59">
        <f>IF(OR($K28="",$E28="",$F28="",$E28=$F28),"",$K28/ABS($E28-$F28))</f>
      </c>
      <c r="Q28" s="61">
        <f>IF(OR($B28="",$J28=""),"",IF(AND($J28&lt;&gt;"EXPIRED",ISNUMBER($L28),ISNUMBER($M28),INT($L28)=INT($M28)),1,0))</f>
      </c>
      <c r="U28" s="58">
        <f>IF($Q28=1,$O28,"")</f>
      </c>
    </row>
    <row r="29" spans="1:21">
      <c r="A29" s="1">
        <v>28</v>
      </c>
      <c r="B29" s="1">
        <v>6503</v>
      </c>
      <c r="C29" s="1" t="str">
        <f>IFERROR(INDEX(StockList_MS2!$B$2:$B$400,MATCH($B29,StockList_MS2!$A$2:$A$400,0)),"")</f>
        <v>三菱電機</v>
      </c>
      <c r="D29" s="1" t="s">
        <v>73</v>
      </c>
      <c r="E29" s="1">
        <v>5916</v>
      </c>
      <c r="F29" s="1">
        <v>5886.2656707982251</v>
      </c>
      <c r="G29" s="1">
        <v>5945.7340453377756</v>
      </c>
      <c r="H29" s="1">
        <v>5955.6449882762163</v>
      </c>
      <c r="I29" s="1">
        <v>5975.4670363677824</v>
      </c>
      <c r="J29" s="1" t="s">
        <v>8</v>
      </c>
      <c r="K29" s="1">
        <v>-29.734329201774926</v>
      </c>
      <c r="L29" s="35">
        <v>46244.459872685184</v>
      </c>
      <c r="M29" s="35">
        <v>46246.465405092589</v>
      </c>
      <c r="N29" s="58">
        <f>IF($E29="","",ROUND($E29*'操作パネル_MS2'!$H$13,0))</f>
      </c>
      <c r="O29" s="66">
        <f>IF($K29="","",ROUND($K29*'操作パネル_MS2'!$H$13,0))</f>
      </c>
      <c r="P29" s="59">
        <f>IF(OR($K29="",$E29="",$F29="",$E29=$F29),"",$K29/ABS($E29-$F29))</f>
      </c>
      <c r="Q29" s="61">
        <f>IF(OR($B29="",$J29=""),"",IF(AND($J29&lt;&gt;"EXPIRED",ISNUMBER($L29),ISNUMBER($M29),INT($L29)=INT($M29)),1,0))</f>
      </c>
      <c r="U29" s="58">
        <f>IF($Q29=1,$O29,"")</f>
      </c>
    </row>
    <row r="30" spans="1:21">
      <c r="A30" s="1">
        <v>29</v>
      </c>
      <c r="B30" s="1">
        <v>8410</v>
      </c>
      <c r="C30" s="1" t="str">
        <f>IFERROR(INDEX(StockList_MS2!$B$2:$B$400,MATCH($B30,StockList_MS2!$A$2:$A$400,0)),"")</f>
        <v>セブン銀行</v>
      </c>
      <c r="D30" s="1" t="s">
        <v>73</v>
      </c>
      <c r="E30" s="1">
        <v>337.5</v>
      </c>
      <c r="F30" s="1">
        <v>333.46501469648592</v>
      </c>
      <c r="G30" s="1">
        <v>341.53495229195602</v>
      </c>
      <c r="H30" s="1">
        <v>342.87989604291761</v>
      </c>
      <c r="I30" s="1">
        <v>345.56977254288694</v>
      </c>
      <c r="J30" s="1" t="s">
        <v>8</v>
      </c>
      <c r="K30" s="1">
        <v>-4.0349853035140768</v>
      </c>
      <c r="L30" s="35">
        <v>46244.45988425926</v>
      </c>
      <c r="M30" s="35">
        <v>46246.465405092589</v>
      </c>
      <c r="N30" s="58">
        <f>IF($E30="","",ROUND($E30*'操作パネル_MS2'!$H$13,0))</f>
      </c>
      <c r="O30" s="66">
        <f>IF($K30="","",ROUND($K30*'操作パネル_MS2'!$H$13,0))</f>
      </c>
      <c r="P30" s="59">
        <f>IF(OR($K30="",$E30="",$F30="",$E30=$F30),"",$K30/ABS($E30-$F30))</f>
      </c>
      <c r="Q30" s="61">
        <f>IF(OR($B30="",$J30=""),"",IF(AND($J30&lt;&gt;"EXPIRED",ISNUMBER($L30),ISNUMBER($M30),INT($L30)=INT($M30)),1,0))</f>
      </c>
      <c r="U30" s="58">
        <f>IF($Q30=1,$O30,"")</f>
      </c>
    </row>
    <row r="31" spans="1:21">
      <c r="A31" s="1">
        <v>30</v>
      </c>
      <c r="B31" s="1">
        <v>2181</v>
      </c>
      <c r="C31" s="1" t="str">
        <f>IFERROR(INDEX(StockList_MS2!$B$2:$B$400,MATCH($B31,StockList_MS2!$A$2:$A$400,0)),"")</f>
        <v>パーソルホールディングス</v>
      </c>
      <c r="D31" s="1" t="s">
        <v>73</v>
      </c>
      <c r="E31" s="1">
        <v>280.89999999999998</v>
      </c>
      <c r="F31" s="1">
        <v>277.25975671845003</v>
      </c>
      <c r="G31" s="1">
        <v>284.54021846788572</v>
      </c>
      <c r="H31" s="1">
        <v>285.75359153963859</v>
      </c>
      <c r="I31" s="1">
        <v>288.18031783438624</v>
      </c>
      <c r="J31" s="1" t="s">
        <v>9</v>
      </c>
      <c r="K31" s="1">
        <v>3.6402184678857452</v>
      </c>
      <c r="L31" s="35">
        <v>46244.45989583333</v>
      </c>
      <c r="M31" s="35">
        <v>46264.053263888891</v>
      </c>
      <c r="N31" s="58">
        <f>IF($E31="","",ROUND($E31*'操作パネル_MS2'!$H$13,0))</f>
      </c>
      <c r="O31" s="66">
        <f>IF($K31="","",ROUND($K31*'操作パネル_MS2'!$H$13,0))</f>
      </c>
      <c r="P31" s="59">
        <f>IF(OR($K31="",$E31="",$F31="",$E31=$F31),"",$K31/ABS($E31-$F31))</f>
      </c>
      <c r="Q31" s="61">
        <f>IF(OR($B31="",$J31=""),"",IF(AND($J31&lt;&gt;"EXPIRED",ISNUMBER($L31),ISNUMBER($M31),INT($L31)=INT($M31)),1,0))</f>
      </c>
      <c r="U31" s="58">
        <f>IF($Q31=1,$O31,"")</f>
      </c>
    </row>
    <row r="32" spans="1:21">
      <c r="A32" s="1">
        <v>31</v>
      </c>
      <c r="B32" s="1">
        <v>5020</v>
      </c>
      <c r="C32" s="1" t="str">
        <f>IFERROR(INDEX(StockList_MS2!$B$2:$B$400,MATCH($B32,StockList_MS2!$A$2:$A$400,0)),"")</f>
        <v>ＥＮＥＯＳホールディングス</v>
      </c>
      <c r="D32" s="1" t="s">
        <v>74</v>
      </c>
      <c r="E32" s="1">
        <v>1276</v>
      </c>
      <c r="F32" s="1">
        <v>1296.62602074644</v>
      </c>
      <c r="G32" s="1">
        <v>1255.37414793681</v>
      </c>
      <c r="H32" s="1">
        <v>1248.4990325941974</v>
      </c>
      <c r="I32" s="1">
        <v>1234.7488862433113</v>
      </c>
      <c r="J32" s="1" t="s">
        <v>8</v>
      </c>
      <c r="K32" s="1">
        <v>-20.626020746439963</v>
      </c>
      <c r="L32" s="35">
        <v>46244.459918981483</v>
      </c>
      <c r="M32" s="35">
        <v>46264.053263888891</v>
      </c>
      <c r="N32" s="58">
        <f>IF($E32="","",ROUND($E32*'操作パネル_MS2'!$H$13,0))</f>
      </c>
      <c r="O32" s="66">
        <f>IF($K32="","",ROUND($K32*'操作パネル_MS2'!$H$13,0))</f>
      </c>
      <c r="P32" s="59">
        <f>IF(OR($K32="",$E32="",$F32="",$E32=$F32),"",$K32/ABS($E32-$F32))</f>
      </c>
      <c r="Q32" s="61">
        <f>IF(OR($B32="",$J32=""),"",IF(AND($J32&lt;&gt;"EXPIRED",ISNUMBER($L32),ISNUMBER($M32),INT($L32)=INT($M32)),1,0))</f>
      </c>
      <c r="U32" s="58">
        <f>IF($Q32=1,$O32,"")</f>
      </c>
    </row>
    <row r="33" spans="1:21">
      <c r="A33" s="1">
        <v>32</v>
      </c>
      <c r="B33" s="1">
        <v>8750</v>
      </c>
      <c r="C33" s="1" t="str">
        <f>IFERROR(INDEX(StockList_MS2!$B$2:$B$400,MATCH($B33,StockList_MS2!$A$2:$A$400,0)),"")</f>
        <v>第一ライフグループ</v>
      </c>
      <c r="D33" s="1" t="s">
        <v>74</v>
      </c>
      <c r="E33" s="1">
        <v>1859</v>
      </c>
      <c r="F33" s="1">
        <v>1877.652661623059</v>
      </c>
      <c r="G33" s="1">
        <v>1840.347503601462</v>
      </c>
      <c r="H33" s="1">
        <v>1834.1301912060858</v>
      </c>
      <c r="I33" s="1">
        <v>1821.6955664074485</v>
      </c>
      <c r="J33" s="1" t="s">
        <v>214</v>
      </c>
      <c r="K33" s="1">
        <v>16</v>
      </c>
      <c r="L33" s="35">
        <v>46244.459930555553</v>
      </c>
      <c r="M33" s="35">
        <v>46264.053263888891</v>
      </c>
      <c r="N33" s="58">
        <f>IF($E33="","",ROUND($E33*'操作パネル_MS2'!$H$13,0))</f>
      </c>
      <c r="O33" s="66">
        <f>IF($K33="","",ROUND($K33*'操作パネル_MS2'!$H$13,0))</f>
      </c>
      <c r="P33" s="59">
        <f>IF(OR($K33="",$E33="",$F33="",$E33=$F33),"",$K33/ABS($E33-$F33))</f>
      </c>
      <c r="Q33" s="61">
        <f>IF(OR($B33="",$J33=""),"",IF(AND($J33&lt;&gt;"EXPIRED",ISNUMBER($L33),ISNUMBER($M33),INT($L33)=INT($M33)),1,0))</f>
      </c>
      <c r="U33" s="58">
        <f>IF($Q33=1,$O33,"")</f>
      </c>
    </row>
    <row r="34" spans="1:21">
      <c r="A34" s="1">
        <v>33</v>
      </c>
      <c r="B34" s="1">
        <v>7269</v>
      </c>
      <c r="C34" s="1" t="str">
        <f>IFERROR(INDEX(StockList_MS2!$B$2:$B$400,MATCH($B34,StockList_MS2!$A$2:$A$400,0)),"")</f>
        <v>スズキ</v>
      </c>
      <c r="D34" s="1" t="s">
        <v>73</v>
      </c>
      <c r="E34" s="1">
        <v>2026</v>
      </c>
      <c r="F34" s="1">
        <v>2004.3165127593099</v>
      </c>
      <c r="G34" s="1">
        <v>2047.6833247498187</v>
      </c>
      <c r="H34" s="1">
        <v>2054.9107845405206</v>
      </c>
      <c r="I34" s="1">
        <v>2069.3658518469706</v>
      </c>
      <c r="J34" s="1" t="s">
        <v>8</v>
      </c>
      <c r="K34" s="1">
        <v>-21.683487240690056</v>
      </c>
      <c r="L34" s="35">
        <v>46244.459953703707</v>
      </c>
      <c r="M34" s="35">
        <v>46246.542187500003</v>
      </c>
      <c r="N34" s="58">
        <f>IF($E34="","",ROUND($E34*'操作パネル_MS2'!$H$13,0))</f>
      </c>
      <c r="O34" s="66">
        <f>IF($K34="","",ROUND($K34*'操作パネル_MS2'!$H$13,0))</f>
      </c>
      <c r="P34" s="59">
        <f>IF(OR($K34="",$E34="",$F34="",$E34=$F34),"",$K34/ABS($E34-$F34))</f>
      </c>
      <c r="Q34" s="61">
        <f>IF(OR($B34="",$J34=""),"",IF(AND($J34&lt;&gt;"EXPIRED",ISNUMBER($L34),ISNUMBER($M34),INT($L34)=INT($M34)),1,0))</f>
      </c>
      <c r="U34" s="58">
        <f>IF($Q34=1,$O34,"")</f>
      </c>
    </row>
    <row r="35" spans="1:21">
      <c r="A35" s="1">
        <v>34</v>
      </c>
      <c r="B35" s="1">
        <v>8113</v>
      </c>
      <c r="C35" s="1" t="str">
        <f>IFERROR(INDEX(StockList_MS2!$B$2:$B$400,MATCH($B35,StockList_MS2!$A$2:$A$400,0)),"")</f>
        <v>ユニ・チヤ－ム</v>
      </c>
      <c r="D35" s="1" t="s">
        <v>73</v>
      </c>
      <c r="E35" s="1">
        <v>1037.5</v>
      </c>
      <c r="F35" s="1">
        <v>1031.7385196206512</v>
      </c>
      <c r="G35" s="1">
        <v>1043.2614372126611</v>
      </c>
      <c r="H35" s="1">
        <v>1045.1818482648312</v>
      </c>
      <c r="I35" s="1">
        <v>1049.0226939159941</v>
      </c>
      <c r="J35" s="1" t="s">
        <v>8</v>
      </c>
      <c r="K35" s="1">
        <v>-5.7614803793487681</v>
      </c>
      <c r="L35" s="35">
        <v>46244.459965277776</v>
      </c>
      <c r="M35" s="35">
        <v>46246.465405092589</v>
      </c>
      <c r="N35" s="58">
        <f>IF($E35="","",ROUND($E35*'操作パネル_MS2'!$H$13,0))</f>
      </c>
      <c r="O35" s="66">
        <f>IF($K35="","",ROUND($K35*'操作パネル_MS2'!$H$13,0))</f>
      </c>
      <c r="P35" s="59">
        <f>IF(OR($K35="",$E35="",$F35="",$E35=$F35),"",$K35/ABS($E35-$F35))</f>
      </c>
      <c r="Q35" s="61">
        <f>IF(OR($B35="",$J35=""),"",IF(AND($J35&lt;&gt;"EXPIRED",ISNUMBER($L35),ISNUMBER($M35),INT($L35)=INT($M35)),1,0))</f>
      </c>
      <c r="U35" s="58">
        <f>IF($Q35=1,$O35,"")</f>
      </c>
    </row>
    <row r="36" spans="1:21">
      <c r="A36" s="1">
        <v>35</v>
      </c>
      <c r="B36" s="1">
        <v>6963</v>
      </c>
      <c r="C36" s="1" t="str">
        <f>IFERROR(INDEX(StockList_MS2!$B$2:$B$400,MATCH($B36,StockList_MS2!$A$2:$A$400,0)),"")</f>
        <v>ローム</v>
      </c>
      <c r="D36" s="1" t="s">
        <v>73</v>
      </c>
      <c r="E36" s="1">
        <v>4723</v>
      </c>
      <c r="F36" s="1">
        <v>4671.7583134454235</v>
      </c>
      <c r="G36" s="1">
        <v>4774.2413027143348</v>
      </c>
      <c r="H36" s="1">
        <v>4791.3212251769583</v>
      </c>
      <c r="I36" s="1">
        <v>4825.4810701194556</v>
      </c>
      <c r="J36" s="1" t="s">
        <v>9</v>
      </c>
      <c r="K36" s="1">
        <v>51.241302714334779</v>
      </c>
      <c r="L36" s="35">
        <v>46244.459988425922</v>
      </c>
      <c r="M36" s="35">
        <v>46246.542187500003</v>
      </c>
      <c r="N36" s="58">
        <f>IF($E36="","",ROUND($E36*'操作パネル_MS2'!$H$13,0))</f>
      </c>
      <c r="O36" s="66">
        <f>IF($K36="","",ROUND($K36*'操作パネル_MS2'!$H$13,0))</f>
      </c>
      <c r="P36" s="59">
        <f>IF(OR($K36="",$E36="",$F36="",$E36=$F36),"",$K36/ABS($E36-$F36))</f>
      </c>
      <c r="Q36" s="61">
        <f>IF(OR($B36="",$J36=""),"",IF(AND($J36&lt;&gt;"EXPIRED",ISNUMBER($L36),ISNUMBER($M36),INT($L36)=INT($M36)),1,0))</f>
      </c>
      <c r="U36" s="58">
        <f>IF($Q36=1,$O36,"")</f>
      </c>
    </row>
    <row r="37" spans="1:21">
      <c r="A37" s="1">
        <v>36</v>
      </c>
      <c r="B37" s="1">
        <v>3697</v>
      </c>
      <c r="C37" s="1" t="str">
        <f>IFERROR(INDEX(StockList_MS2!$B$2:$B$400,MATCH($B37,StockList_MS2!$A$2:$A$400,0)),"")</f>
        <v>ＳＨＩＦＴ</v>
      </c>
      <c r="D37" s="1" t="s">
        <v>73</v>
      </c>
      <c r="E37" s="1">
        <v>907.7</v>
      </c>
      <c r="F37" s="1">
        <v>894.14803592472731</v>
      </c>
      <c r="G37" s="1">
        <v>921.25185335296771</v>
      </c>
      <c r="H37" s="1">
        <v>925.76899017860865</v>
      </c>
      <c r="I37" s="1">
        <v>934.80324538197647</v>
      </c>
      <c r="J37" s="1" t="s">
        <v>9</v>
      </c>
      <c r="K37" s="1">
        <v>13.551853352967669</v>
      </c>
      <c r="L37" s="35">
        <v>46244.46</v>
      </c>
      <c r="M37" s="35">
        <v>46264.053263888891</v>
      </c>
      <c r="N37" s="58">
        <f>IF($E37="","",ROUND($E37*'操作パネル_MS2'!$H$13,0))</f>
      </c>
      <c r="O37" s="66">
        <f>IF($K37="","",ROUND($K37*'操作パネル_MS2'!$H$13,0))</f>
      </c>
      <c r="P37" s="59">
        <f>IF(OR($K37="",$E37="",$F37="",$E37=$F37),"",$K37/ABS($E37-$F37))</f>
      </c>
      <c r="Q37" s="61">
        <f>IF(OR($B37="",$J37=""),"",IF(AND($J37&lt;&gt;"EXPIRED",ISNUMBER($L37),ISNUMBER($M37),INT($L37)=INT($M37)),1,0))</f>
      </c>
      <c r="U37" s="58">
        <f>IF($Q37=1,$O37,"")</f>
      </c>
    </row>
    <row r="38" spans="1:21">
      <c r="A38" s="1">
        <v>37</v>
      </c>
      <c r="B38" s="1">
        <v>4503</v>
      </c>
      <c r="C38" s="1" t="str">
        <f>IFERROR(INDEX(StockList_MS2!$B$2:$B$400,MATCH($B38,StockList_MS2!$A$2:$A$400,0)),"")</f>
        <v>アステラス製薬</v>
      </c>
      <c r="D38" s="1" t="s">
        <v>73</v>
      </c>
      <c r="E38" s="1">
        <v>2362.5</v>
      </c>
      <c r="F38" s="1">
        <v>2342.1892177510008</v>
      </c>
      <c r="G38" s="1">
        <v>2382.8106163394013</v>
      </c>
      <c r="H38" s="1">
        <v>2389.5806190119433</v>
      </c>
      <c r="I38" s="1">
        <v>2403.1205967125657</v>
      </c>
      <c r="J38" s="1" t="s">
        <v>8</v>
      </c>
      <c r="K38" s="1">
        <v>-20.310782248999203</v>
      </c>
      <c r="L38" s="35">
        <v>46244.460011574076</v>
      </c>
      <c r="M38" s="35">
        <v>46246.465416666666</v>
      </c>
      <c r="N38" s="58">
        <f>IF($E38="","",ROUND($E38*'操作パネル_MS2'!$H$13,0))</f>
      </c>
      <c r="O38" s="66">
        <f>IF($K38="","",ROUND($K38*'操作パネル_MS2'!$H$13,0))</f>
      </c>
      <c r="P38" s="59">
        <f>IF(OR($K38="",$E38="",$F38="",$E38=$F38),"",$K38/ABS($E38-$F38))</f>
      </c>
      <c r="Q38" s="61">
        <f>IF(OR($B38="",$J38=""),"",IF(AND($J38&lt;&gt;"EXPIRED",ISNUMBER($L38),ISNUMBER($M38),INT($L38)=INT($M38)),1,0))</f>
      </c>
      <c r="U38" s="58">
        <f>IF($Q38=1,$O38,"")</f>
      </c>
    </row>
    <row r="39" spans="1:21">
      <c r="A39" s="1">
        <v>38</v>
      </c>
      <c r="B39" s="1">
        <v>8601</v>
      </c>
      <c r="C39" s="1" t="str">
        <f>IFERROR(INDEX(StockList_MS2!$B$2:$B$400,MATCH($B39,StockList_MS2!$A$2:$A$400,0)),"")</f>
        <v>大和証券Ｇ本社</v>
      </c>
      <c r="D39" s="1" t="s">
        <v>74</v>
      </c>
      <c r="E39" s="1">
        <v>1803.5</v>
      </c>
      <c r="F39" s="1">
        <v>1813.5028376526363</v>
      </c>
      <c r="G39" s="1">
        <v>1793.4972440400068</v>
      </c>
      <c r="H39" s="1">
        <v>1790.1631191276995</v>
      </c>
      <c r="I39" s="1">
        <v>1783.4948420690182</v>
      </c>
      <c r="J39" s="1" t="s">
        <v>8</v>
      </c>
      <c r="K39" s="1">
        <v>-10.002837652636345</v>
      </c>
      <c r="L39" s="35">
        <v>46244.460034722222</v>
      </c>
      <c r="M39" s="35">
        <v>46264.053263888891</v>
      </c>
      <c r="N39" s="58">
        <f>IF($E39="","",ROUND($E39*'操作パネル_MS2'!$H$13,0))</f>
      </c>
      <c r="O39" s="66">
        <f>IF($K39="","",ROUND($K39*'操作パネル_MS2'!$H$13,0))</f>
      </c>
      <c r="P39" s="59">
        <f>IF(OR($K39="",$E39="",$F39="",$E39=$F39),"",$K39/ABS($E39-$F39))</f>
      </c>
      <c r="Q39" s="61">
        <f>IF(OR($B39="",$J39=""),"",IF(AND($J39&lt;&gt;"EXPIRED",ISNUMBER($L39),ISNUMBER($M39),INT($L39)=INT($M39)),1,0))</f>
      </c>
      <c r="U39" s="58">
        <f>IF($Q39=1,$O39,"")</f>
      </c>
    </row>
    <row r="40" spans="1:21">
      <c r="A40" s="1">
        <v>39</v>
      </c>
      <c r="B40" s="1">
        <v>4502</v>
      </c>
      <c r="C40" s="1" t="str">
        <f>IFERROR(INDEX(StockList_MS2!$B$2:$B$400,MATCH($B40,StockList_MS2!$A$2:$A$400,0)),"")</f>
        <v>武田薬品</v>
      </c>
      <c r="D40" s="1" t="s">
        <v>73</v>
      </c>
      <c r="E40" s="1">
        <v>5575</v>
      </c>
      <c r="F40" s="1">
        <v>5552.2686140216438</v>
      </c>
      <c r="G40" s="1">
        <v>5597.7312003695133</v>
      </c>
      <c r="H40" s="1">
        <v>5605.3080403102867</v>
      </c>
      <c r="I40" s="1">
        <v>5620.4616892671156</v>
      </c>
      <c r="J40" s="1" t="s">
        <v>8</v>
      </c>
      <c r="K40" s="1">
        <v>-22.731385978356229</v>
      </c>
      <c r="L40" s="35">
        <v>46244.460046296299</v>
      </c>
      <c r="M40" s="35">
        <v>46246.465416666666</v>
      </c>
      <c r="N40" s="58">
        <f>IF($E40="","",ROUND($E40*'操作パネル_MS2'!$H$13,0))</f>
      </c>
      <c r="O40" s="66">
        <f>IF($K40="","",ROUND($K40*'操作パネル_MS2'!$H$13,0))</f>
      </c>
      <c r="P40" s="59">
        <f>IF(OR($K40="",$E40="",$F40="",$E40=$F40),"",$K40/ABS($E40-$F40))</f>
      </c>
      <c r="Q40" s="61">
        <f>IF(OR($B40="",$J40=""),"",IF(AND($J40&lt;&gt;"EXPIRED",ISNUMBER($L40),ISNUMBER($M40),INT($L40)=INT($M40)),1,0))</f>
      </c>
      <c r="U40" s="58">
        <f>IF($Q40=1,$O40,"")</f>
      </c>
    </row>
    <row r="41" spans="1:21">
      <c r="A41" s="1">
        <v>40</v>
      </c>
      <c r="B41" s="1">
        <v>8593</v>
      </c>
      <c r="C41" s="1" t="str">
        <f>IFERROR(INDEX(StockList_MS2!$B$2:$B$400,MATCH($B41,StockList_MS2!$A$2:$A$400,0)),"")</f>
        <v>三菱ＨＣキャピタル</v>
      </c>
      <c r="D41" s="1" t="s">
        <v>74</v>
      </c>
      <c r="E41" s="1">
        <v>1383</v>
      </c>
      <c r="F41" s="1">
        <v>1396.0313578849739</v>
      </c>
      <c r="G41" s="1">
        <v>1369.9687750943845</v>
      </c>
      <c r="H41" s="1">
        <v>1365.625187118834</v>
      </c>
      <c r="I41" s="1">
        <v>1356.9379934337173</v>
      </c>
      <c r="J41" s="1" t="s">
        <v>8</v>
      </c>
      <c r="K41" s="1">
        <v>-13.031357884973886</v>
      </c>
      <c r="L41" s="35">
        <v>46244.460069444445</v>
      </c>
      <c r="M41" s="35">
        <v>46246.465416666666</v>
      </c>
      <c r="N41" s="58">
        <f>IF($E41="","",ROUND($E41*'操作パネル_MS2'!$H$13,0))</f>
      </c>
      <c r="O41" s="66">
        <f>IF($K41="","",ROUND($K41*'操作パネル_MS2'!$H$13,0))</f>
      </c>
      <c r="P41" s="59">
        <f>IF(OR($K41="",$E41="",$F41="",$E41=$F41),"",$K41/ABS($E41-$F41))</f>
      </c>
      <c r="Q41" s="61">
        <f>IF(OR($B41="",$J41=""),"",IF(AND($J41&lt;&gt;"EXPIRED",ISNUMBER($L41),ISNUMBER($M41),INT($L41)=INT($M41)),1,0))</f>
      </c>
      <c r="U41" s="58">
        <f>IF($Q41=1,$O41,"")</f>
      </c>
    </row>
    <row r="42" spans="1:21">
      <c r="A42" s="1">
        <v>41</v>
      </c>
      <c r="B42" s="1">
        <v>1942</v>
      </c>
      <c r="C42" s="1" t="str">
        <f>IFERROR(INDEX(StockList_MS2!$B$2:$B$400,MATCH($B42,StockList_MS2!$A$2:$A$400,0)),"")</f>
        <v>関電工</v>
      </c>
      <c r="D42" s="1" t="s">
        <v>74</v>
      </c>
      <c r="E42" s="1">
        <v>5404</v>
      </c>
      <c r="F42" s="1">
        <v>5449.150563104422</v>
      </c>
      <c r="G42" s="1">
        <v>5358.8498361239372</v>
      </c>
      <c r="H42" s="1">
        <v>5343.8002728422507</v>
      </c>
      <c r="I42" s="1">
        <v>5313.7011462646906</v>
      </c>
      <c r="J42" s="1" t="s">
        <v>8</v>
      </c>
      <c r="K42" s="1">
        <v>-45.150563104421963</v>
      </c>
      <c r="L42" s="35">
        <v>46244.460081018522</v>
      </c>
      <c r="M42" s="35">
        <v>46264.053263888891</v>
      </c>
      <c r="N42" s="58">
        <f>IF($E42="","",ROUND($E42*'操作パネル_MS2'!$H$13,0))</f>
      </c>
      <c r="O42" s="66">
        <f>IF($K42="","",ROUND($K42*'操作パネル_MS2'!$H$13,0))</f>
      </c>
      <c r="P42" s="59">
        <f>IF(OR($K42="",$E42="",$F42="",$E42=$F42),"",$K42/ABS($E42-$F42))</f>
      </c>
      <c r="Q42" s="61">
        <f>IF(OR($B42="",$J42=""),"",IF(AND($J42&lt;&gt;"EXPIRED",ISNUMBER($L42),ISNUMBER($M42),INT($L42)=INT($M42)),1,0))</f>
      </c>
      <c r="U42" s="58">
        <f>IF($Q42=1,$O42,"")</f>
      </c>
    </row>
    <row r="43" spans="1:21">
      <c r="A43" s="1">
        <v>42</v>
      </c>
      <c r="B43" s="1">
        <v>6178</v>
      </c>
      <c r="C43" s="1" t="str">
        <f>IFERROR(INDEX(StockList_MS2!$B$2:$B$400,MATCH($B43,StockList_MS2!$A$2:$A$400,0)),"")</f>
        <v>日本郵政</v>
      </c>
      <c r="D43" s="1" t="s">
        <v>74</v>
      </c>
      <c r="E43" s="1">
        <v>2347</v>
      </c>
      <c r="F43" s="1">
        <v>2370.3304452759489</v>
      </c>
      <c r="G43" s="1">
        <v>2323.6698720279251</v>
      </c>
      <c r="H43" s="1">
        <v>2315.8934165392457</v>
      </c>
      <c r="I43" s="1">
        <v>2300.3404738229506</v>
      </c>
      <c r="J43" s="1" t="s">
        <v>8</v>
      </c>
      <c r="K43" s="1">
        <v>-23.330445275948932</v>
      </c>
      <c r="L43" s="35">
        <v>46244.460104166668</v>
      </c>
      <c r="M43" s="35">
        <v>46264.053263888891</v>
      </c>
      <c r="N43" s="58">
        <f>IF($E43="","",ROUND($E43*'操作パネル_MS2'!$H$13,0))</f>
      </c>
      <c r="O43" s="66">
        <f>IF($K43="","",ROUND($K43*'操作パネル_MS2'!$H$13,0))</f>
      </c>
      <c r="P43" s="59">
        <f>IF(OR($K43="",$E43="",$F43="",$E43=$F43),"",$K43/ABS($E43-$F43))</f>
      </c>
      <c r="Q43" s="61">
        <f>IF(OR($B43="",$J43=""),"",IF(AND($J43&lt;&gt;"EXPIRED",ISNUMBER($L43),ISNUMBER($M43),INT($L43)=INT($M43)),1,0))</f>
      </c>
      <c r="U43" s="58">
        <f>IF($Q43=1,$O43,"")</f>
      </c>
    </row>
    <row r="44" spans="1:21">
      <c r="A44" s="1">
        <v>43</v>
      </c>
      <c r="B44" s="1">
        <v>7272</v>
      </c>
      <c r="C44" s="1" t="str">
        <f>IFERROR(INDEX(StockList_MS2!$B$2:$B$400,MATCH($B44,StockList_MS2!$A$2:$A$400,0)),"")</f>
        <v>ヤマハ発動機</v>
      </c>
      <c r="D44" s="1" t="s">
        <v>73</v>
      </c>
      <c r="E44" s="1">
        <v>1954</v>
      </c>
      <c r="F44" s="1">
        <v>1919.0079964431757</v>
      </c>
      <c r="G44" s="1">
        <v>1988.9916942818559</v>
      </c>
      <c r="H44" s="1">
        <v>2000.6550531414948</v>
      </c>
      <c r="I44" s="1">
        <v>2023.9820563534101</v>
      </c>
      <c r="J44" s="1" t="s">
        <v>8</v>
      </c>
      <c r="K44" s="1">
        <v>-34.992003556824329</v>
      </c>
      <c r="L44" s="35">
        <v>46244.460127314815</v>
      </c>
      <c r="M44" s="35">
        <v>46246.465428240743</v>
      </c>
      <c r="N44" s="58">
        <f>IF($E44="","",ROUND($E44*'操作パネル_MS2'!$H$13,0))</f>
      </c>
      <c r="O44" s="66">
        <f>IF($K44="","",ROUND($K44*'操作パネル_MS2'!$H$13,0))</f>
      </c>
      <c r="P44" s="59">
        <f>IF(OR($K44="",$E44="",$F44="",$E44=$F44),"",$K44/ABS($E44-$F44))</f>
      </c>
      <c r="Q44" s="61">
        <f>IF(OR($B44="",$J44=""),"",IF(AND($J44&lt;&gt;"EXPIRED",ISNUMBER($L44),ISNUMBER($M44),INT($L44)=INT($M44)),1,0))</f>
      </c>
      <c r="U44" s="58">
        <f>IF($Q44=1,$O44,"")</f>
      </c>
    </row>
    <row r="45" spans="1:21">
      <c r="A45" s="1">
        <v>44</v>
      </c>
      <c r="B45" s="1">
        <v>5938</v>
      </c>
      <c r="C45" s="1" t="str">
        <f>IFERROR(INDEX(StockList_MS2!$B$2:$B$400,MATCH($B45,StockList_MS2!$A$2:$A$400,0)),"")</f>
        <v>ＬＩＸＩＬ</v>
      </c>
      <c r="D45" s="1" t="s">
        <v>73</v>
      </c>
      <c r="E45" s="1">
        <v>1815.5</v>
      </c>
      <c r="F45" s="1">
        <v>1808.0782156994887</v>
      </c>
      <c r="G45" s="1">
        <v>1822.9217136718673</v>
      </c>
      <c r="H45" s="1">
        <v>1825.39554423919</v>
      </c>
      <c r="I45" s="1">
        <v>1830.3432053763249</v>
      </c>
      <c r="J45" s="1" t="s">
        <v>8</v>
      </c>
      <c r="K45" s="1">
        <v>-7.4217843005112627</v>
      </c>
      <c r="L45" s="35">
        <v>46244.460138888891</v>
      </c>
      <c r="M45" s="35">
        <v>46246.465428240743</v>
      </c>
      <c r="N45" s="58">
        <f>IF($E45="","",ROUND($E45*'操作パネル_MS2'!$H$13,0))</f>
      </c>
      <c r="O45" s="66">
        <f>IF($K45="","",ROUND($K45*'操作パネル_MS2'!$H$13,0))</f>
      </c>
      <c r="P45" s="59">
        <f>IF(OR($K45="",$E45="",$F45="",$E45=$F45),"",$K45/ABS($E45-$F45))</f>
      </c>
      <c r="Q45" s="61">
        <f>IF(OR($B45="",$J45=""),"",IF(AND($J45&lt;&gt;"EXPIRED",ISNUMBER($L45),ISNUMBER($M45),INT($L45)=INT($M45)),1,0))</f>
      </c>
      <c r="U45" s="58">
        <f>IF($Q45=1,$O45,"")</f>
      </c>
    </row>
    <row r="46" spans="1:21">
      <c r="A46" s="1">
        <v>45</v>
      </c>
      <c r="B46" s="1">
        <v>5802</v>
      </c>
      <c r="C46" s="1" t="str">
        <f>IFERROR(INDEX(StockList_MS2!$B$2:$B$400,MATCH($B46,StockList_MS2!$A$2:$A$400,0)),"")</f>
        <v>住友電工</v>
      </c>
      <c r="D46" s="1" t="s">
        <v>73</v>
      </c>
      <c r="E46" s="1">
        <v>2182</v>
      </c>
      <c r="F46" s="1">
        <v>2155.9649886949646</v>
      </c>
      <c r="G46" s="1">
        <v>2208.0347461935453</v>
      </c>
      <c r="H46" s="1">
        <v>2216.7126178911517</v>
      </c>
      <c r="I46" s="1">
        <v>2234.0683966494425</v>
      </c>
      <c r="J46" s="1" t="s">
        <v>9</v>
      </c>
      <c r="K46" s="1">
        <v>26.034746193545288</v>
      </c>
      <c r="L46" s="35">
        <v>46244.46025462963</v>
      </c>
      <c r="M46" s="35">
        <v>46246.542187500003</v>
      </c>
      <c r="N46" s="58">
        <f>IF($E46="","",ROUND($E46*'操作パネル_MS2'!$H$13,0))</f>
      </c>
      <c r="O46" s="66">
        <f>IF($K46="","",ROUND($K46*'操作パネル_MS2'!$H$13,0))</f>
      </c>
      <c r="P46" s="59">
        <f>IF(OR($K46="",$E46="",$F46="",$E46=$F46),"",$K46/ABS($E46-$F46))</f>
      </c>
      <c r="Q46" s="61">
        <f>IF(OR($B46="",$J46=""),"",IF(AND($J46&lt;&gt;"EXPIRED",ISNUMBER($L46),ISNUMBER($M46),INT($L46)=INT($M46)),1,0))</f>
      </c>
      <c r="U46" s="58">
        <f>IF($Q46=1,$O46,"")</f>
      </c>
    </row>
    <row r="47" spans="1:21">
      <c r="A47" s="1">
        <v>46</v>
      </c>
      <c r="B47" s="1">
        <v>6758</v>
      </c>
      <c r="C47" s="1" t="str">
        <f>IFERROR(INDEX(StockList_MS2!$B$2:$B$400,MATCH($B47,StockList_MS2!$A$2:$A$400,0)),"")</f>
        <v>ソニーグループ</v>
      </c>
      <c r="D47" s="1" t="s">
        <v>73</v>
      </c>
      <c r="E47" s="1">
        <v>3771</v>
      </c>
      <c r="F47" s="1">
        <v>3731.0438417015885</v>
      </c>
      <c r="G47" s="1">
        <v>3810.9558057589529</v>
      </c>
      <c r="H47" s="1">
        <v>3824.2740461083131</v>
      </c>
      <c r="I47" s="1">
        <v>3850.910255651725</v>
      </c>
      <c r="J47" s="1" t="s">
        <v>9</v>
      </c>
      <c r="K47" s="1">
        <v>39.95580575895292</v>
      </c>
      <c r="L47" s="35">
        <v>46244.460266203707</v>
      </c>
      <c r="M47" s="35">
        <v>46264.053263888891</v>
      </c>
      <c r="N47" s="58">
        <f>IF($E47="","",ROUND($E47*'操作パネル_MS2'!$H$13,0))</f>
      </c>
      <c r="O47" s="66">
        <f>IF($K47="","",ROUND($K47*'操作パネル_MS2'!$H$13,0))</f>
      </c>
      <c r="P47" s="59">
        <f>IF(OR($K47="",$E47="",$F47="",$E47=$F47),"",$K47/ABS($E47-$F47))</f>
      </c>
      <c r="Q47" s="61">
        <f>IF(OR($B47="",$J47=""),"",IF(AND($J47&lt;&gt;"EXPIRED",ISNUMBER($L47),ISNUMBER($M47),INT($L47)=INT($M47)),1,0))</f>
      </c>
      <c r="U47" s="58">
        <f>IF($Q47=1,$O47,"")</f>
      </c>
    </row>
    <row r="48" spans="1:21">
      <c r="A48" s="1">
        <v>47</v>
      </c>
      <c r="B48" s="1">
        <v>7203</v>
      </c>
      <c r="C48" s="1" t="str">
        <f>IFERROR(INDEX(StockList_MS2!$B$2:$B$400,MATCH($B48,StockList_MS2!$A$2:$A$400,0)),"")</f>
        <v>トヨタ自動車</v>
      </c>
      <c r="D48" s="1" t="s">
        <v>73</v>
      </c>
      <c r="E48" s="1">
        <v>3005</v>
      </c>
      <c r="F48" s="1">
        <v>2998.440357464277</v>
      </c>
      <c r="G48" s="1">
        <v>3011.559642535723</v>
      </c>
      <c r="H48" s="1">
        <v>3013.7461900476305</v>
      </c>
      <c r="I48" s="1">
        <v>3018.119285071446</v>
      </c>
      <c r="J48" s="1" t="s">
        <v>8</v>
      </c>
      <c r="K48" s="1">
        <v>-6.5596425357230146</v>
      </c>
      <c r="L48" s="35">
        <v>46246.464618055557</v>
      </c>
      <c r="M48" s="35">
        <v>46246.48678240741</v>
      </c>
      <c r="N48" s="58">
        <f>IF($E48="","",ROUND($E48*'操作パネル_MS2'!$H$13,0))</f>
      </c>
      <c r="O48" s="66">
        <f>IF($K48="","",ROUND($K48*'操作パネル_MS2'!$H$13,0))</f>
      </c>
      <c r="P48" s="59">
        <f>IF(OR($K48="",$E48="",$F48="",$E48=$F48),"",$K48/ABS($E48-$F48))</f>
      </c>
      <c r="Q48" s="61">
        <f>IF(OR($B48="",$J48=""),"",IF(AND($J48&lt;&gt;"EXPIRED",ISNUMBER($L48),ISNUMBER($M48),INT($L48)=INT($M48)),1,0))</f>
      </c>
      <c r="U48" s="58">
        <f>IF($Q48=1,$O48,"")</f>
      </c>
    </row>
    <row r="49" spans="1:21">
      <c r="A49" s="1">
        <v>48</v>
      </c>
      <c r="B49" s="1">
        <v>7011</v>
      </c>
      <c r="C49" s="1" t="str">
        <f>IFERROR(INDEX(StockList_MS2!$B$2:$B$400,MATCH($B49,StockList_MS2!$A$2:$A$400,0)),"")</f>
        <v>三菱重工業</v>
      </c>
      <c r="D49" s="1" t="s">
        <v>73</v>
      </c>
      <c r="E49" s="1">
        <v>4074</v>
      </c>
      <c r="F49" s="1">
        <v>4057.2435123916753</v>
      </c>
      <c r="G49" s="1">
        <v>4090.7564876083247</v>
      </c>
      <c r="H49" s="1">
        <v>4096.3419834777669</v>
      </c>
      <c r="I49" s="1">
        <v>4107.5129752166495</v>
      </c>
      <c r="J49" s="1" t="s">
        <v>8</v>
      </c>
      <c r="K49" s="1">
        <v>-16.756487608324733</v>
      </c>
      <c r="L49" s="35">
        <v>46246.464629629627</v>
      </c>
      <c r="M49" s="35">
        <v>46264.053263888891</v>
      </c>
      <c r="N49" s="58">
        <f>IF($E49="","",ROUND($E49*'操作パネル_MS2'!$H$13,0))</f>
      </c>
      <c r="O49" s="66">
        <f>IF($K49="","",ROUND($K49*'操作パネル_MS2'!$H$13,0))</f>
      </c>
      <c r="P49" s="59">
        <f>IF(OR($K49="",$E49="",$F49="",$E49=$F49),"",$K49/ABS($E49-$F49))</f>
      </c>
      <c r="Q49" s="61">
        <f>IF(OR($B49="",$J49=""),"",IF(AND($J49&lt;&gt;"EXPIRED",ISNUMBER($L49),ISNUMBER($M49),INT($L49)=INT($M49)),1,0))</f>
      </c>
      <c r="U49" s="58">
        <f>IF($Q49=1,$O49,"")</f>
      </c>
    </row>
    <row r="50" spans="1:21">
      <c r="A50" s="1">
        <v>49</v>
      </c>
      <c r="B50" s="1">
        <v>8309</v>
      </c>
      <c r="C50" s="1" t="str">
        <f>IFERROR(INDEX(StockList_MS2!$B$2:$B$400,MATCH($B50,StockList_MS2!$A$2:$A$400,0)),"")</f>
        <v>三井住友トラストグルー</v>
      </c>
      <c r="D50" s="1" t="s">
        <v>73</v>
      </c>
      <c r="E50" s="1">
        <v>1697</v>
      </c>
      <c r="F50" s="1">
        <v>1690.7890415594875</v>
      </c>
      <c r="G50" s="1">
        <v>1703.2109584405125</v>
      </c>
      <c r="H50" s="1">
        <v>1705.2812779206834</v>
      </c>
      <c r="I50" s="1">
        <v>1709.421916881025</v>
      </c>
      <c r="J50" s="1" t="s">
        <v>9</v>
      </c>
      <c r="K50" s="1">
        <v>6.2109584405125133</v>
      </c>
      <c r="L50" s="35">
        <v>46246.464641203704</v>
      </c>
      <c r="M50" s="35">
        <v>46246.542187500003</v>
      </c>
      <c r="N50" s="58">
        <f>IF($E50="","",ROUND($E50*'操作パネル_MS2'!$H$13,0))</f>
      </c>
      <c r="O50" s="66">
        <f>IF($K50="","",ROUND($K50*'操作パネル_MS2'!$H$13,0))</f>
      </c>
      <c r="P50" s="59">
        <f>IF(OR($K50="",$E50="",$F50="",$E50=$F50),"",$K50/ABS($E50-$F50))</f>
      </c>
      <c r="Q50" s="61">
        <f>IF(OR($B50="",$J50=""),"",IF(AND($J50&lt;&gt;"EXPIRED",ISNUMBER($L50),ISNUMBER($M50),INT($L50)=INT($M50)),1,0))</f>
      </c>
      <c r="U50" s="58">
        <f>IF($Q50=1,$O50,"")</f>
      </c>
    </row>
    <row r="51" spans="1:21">
      <c r="A51" s="1">
        <v>50</v>
      </c>
      <c r="B51" s="1">
        <v>7013</v>
      </c>
      <c r="C51" s="1" t="str">
        <f>IFERROR(INDEX(StockList_MS2!$B$2:$B$400,MATCH($B51,StockList_MS2!$A$2:$A$400,0)),"")</f>
        <v>ＩＨＩ</v>
      </c>
      <c r="D51" s="1" t="s">
        <v>73</v>
      </c>
      <c r="E51" s="1">
        <v>2896</v>
      </c>
      <c r="F51" s="1">
        <v>2880.4702373642335</v>
      </c>
      <c r="G51" s="1">
        <v>2911.5297626357665</v>
      </c>
      <c r="H51" s="1">
        <v>2916.7063501810217</v>
      </c>
      <c r="I51" s="1">
        <v>2927.0595252715329</v>
      </c>
      <c r="J51" s="1" t="s">
        <v>8</v>
      </c>
      <c r="K51" s="1">
        <v>-15.529762635766474</v>
      </c>
      <c r="L51" s="35">
        <v>46246.46465277778</v>
      </c>
      <c r="M51" s="35">
        <v>46264.053263888891</v>
      </c>
      <c r="N51" s="58">
        <f>IF($E51="","",ROUND($E51*'操作パネル_MS2'!$H$13,0))</f>
      </c>
      <c r="O51" s="66">
        <f>IF($K51="","",ROUND($K51*'操作パネル_MS2'!$H$13,0))</f>
      </c>
      <c r="P51" s="59">
        <f>IF(OR($K51="",$E51="",$F51="",$E51=$F51),"",$K51/ABS($E51-$F51))</f>
      </c>
      <c r="Q51" s="61">
        <f>IF(OR($B51="",$J51=""),"",IF(AND($J51&lt;&gt;"EXPIRED",ISNUMBER($L51),ISNUMBER($M51),INT($L51)=INT($M51)),1,0))</f>
      </c>
      <c r="U51" s="58">
        <f>IF($Q51=1,$O51,"")</f>
      </c>
    </row>
    <row r="52" spans="1:21">
      <c r="A52" s="1">
        <v>51</v>
      </c>
      <c r="B52" s="1">
        <v>8035</v>
      </c>
      <c r="C52" s="1" t="str">
        <f>IFERROR(INDEX(StockList_MS2!$B$2:$B$400,MATCH($B52,StockList_MS2!$A$2:$A$400,0)),"")</f>
        <v>東京エレクトロン</v>
      </c>
      <c r="D52" s="1" t="s">
        <v>73</v>
      </c>
      <c r="E52" s="1">
        <v>57340</v>
      </c>
      <c r="F52" s="1">
        <v>57050.419575038526</v>
      </c>
      <c r="G52" s="1">
        <v>57629.580424961474</v>
      </c>
      <c r="H52" s="1">
        <v>57726.10723328196</v>
      </c>
      <c r="I52" s="1">
        <v>57919.160849922941</v>
      </c>
      <c r="J52" s="1" t="s">
        <v>9</v>
      </c>
      <c r="K52" s="1">
        <v>289.58042496147391</v>
      </c>
      <c r="L52" s="35">
        <v>46246.46466435185</v>
      </c>
      <c r="M52" s="35">
        <v>46246.542199074072</v>
      </c>
      <c r="N52" s="58">
        <f>IF($E52="","",ROUND($E52*'操作パネル_MS2'!$H$13,0))</f>
      </c>
      <c r="O52" s="66">
        <f>IF($K52="","",ROUND($K52*'操作パネル_MS2'!$H$13,0))</f>
      </c>
      <c r="P52" s="59">
        <f>IF(OR($K52="",$E52="",$F52="",$E52=$F52),"",$K52/ABS($E52-$F52))</f>
      </c>
      <c r="Q52" s="61">
        <f>IF(OR($B52="",$J52=""),"",IF(AND($J52&lt;&gt;"EXPIRED",ISNUMBER($L52),ISNUMBER($M52),INT($L52)=INT($M52)),1,0))</f>
      </c>
      <c r="U52" s="58">
        <f>IF($Q52=1,$O52,"")</f>
      </c>
    </row>
    <row r="53" spans="1:21">
      <c r="A53" s="1">
        <v>52</v>
      </c>
      <c r="B53" s="1">
        <v>3407</v>
      </c>
      <c r="C53" s="1" t="str">
        <f>IFERROR(INDEX(StockList_MS2!$B$2:$B$400,MATCH($B53,StockList_MS2!$A$2:$A$400,0)),"")</f>
        <v>旭化成</v>
      </c>
      <c r="D53" s="1" t="s">
        <v>73</v>
      </c>
      <c r="E53" s="1">
        <v>1724</v>
      </c>
      <c r="F53" s="1">
        <v>1718.6605906402181</v>
      </c>
      <c r="G53" s="1">
        <v>1729.3394093597819</v>
      </c>
      <c r="H53" s="1">
        <v>1731.1192124797092</v>
      </c>
      <c r="I53" s="1">
        <v>1734.6788187195637</v>
      </c>
      <c r="J53" s="1" t="s">
        <v>8</v>
      </c>
      <c r="K53" s="1">
        <v>-5.3394093597819392</v>
      </c>
      <c r="L53" s="35">
        <v>46246.464675925927</v>
      </c>
      <c r="M53" s="35">
        <v>46264.053263888891</v>
      </c>
      <c r="N53" s="58">
        <f>IF($E53="","",ROUND($E53*'操作パネル_MS2'!$H$13,0))</f>
      </c>
      <c r="O53" s="66">
        <f>IF($K53="","",ROUND($K53*'操作パネル_MS2'!$H$13,0))</f>
      </c>
      <c r="P53" s="59">
        <f>IF(OR($K53="",$E53="",$F53="",$E53=$F53),"",$K53/ABS($E53-$F53))</f>
      </c>
      <c r="Q53" s="61">
        <f>IF(OR($B53="",$J53=""),"",IF(AND($J53&lt;&gt;"EXPIRED",ISNUMBER($L53),ISNUMBER($M53),INT($L53)=INT($M53)),1,0))</f>
      </c>
      <c r="U53" s="58">
        <f>IF($Q53=1,$O53,"")</f>
      </c>
    </row>
    <row r="54" spans="1:21">
      <c r="A54" s="1">
        <v>53</v>
      </c>
      <c r="B54" s="1">
        <v>2914</v>
      </c>
      <c r="C54" s="1" t="str">
        <f>IFERROR(INDEX(StockList_MS2!$B$2:$B$400,MATCH($B54,StockList_MS2!$A$2:$A$400,0)),"")</f>
        <v>日本たばこ産業</v>
      </c>
      <c r="D54" s="1" t="s">
        <v>74</v>
      </c>
      <c r="E54" s="1">
        <v>7020</v>
      </c>
      <c r="F54" s="1">
        <v>7036.5888285459232</v>
      </c>
      <c r="G54" s="1">
        <v>7003.4111714540768</v>
      </c>
      <c r="H54" s="1">
        <v>6997.8815619387697</v>
      </c>
      <c r="I54" s="1">
        <v>6986.8223429081536</v>
      </c>
      <c r="J54" s="1" t="s">
        <v>9</v>
      </c>
      <c r="K54" s="1">
        <v>16.588828545923207</v>
      </c>
      <c r="L54" s="35">
        <v>46246.464699074073</v>
      </c>
      <c r="M54" s="35">
        <v>46246.48678240741</v>
      </c>
      <c r="N54" s="58">
        <f>IF($E54="","",ROUND($E54*'操作パネル_MS2'!$H$13,0))</f>
      </c>
      <c r="O54" s="66">
        <f>IF($K54="","",ROUND($K54*'操作パネル_MS2'!$H$13,0))</f>
      </c>
      <c r="P54" s="59">
        <f>IF(OR($K54="",$E54="",$F54="",$E54=$F54),"",$K54/ABS($E54-$F54))</f>
      </c>
      <c r="Q54" s="61">
        <f>IF(OR($B54="",$J54=""),"",IF(AND($J54&lt;&gt;"EXPIRED",ISNUMBER($L54),ISNUMBER($M54),INT($L54)=INT($M54)),1,0))</f>
      </c>
      <c r="U54" s="58">
        <f>IF($Q54=1,$O54,"")</f>
      </c>
    </row>
    <row r="55" spans="1:21">
      <c r="A55" s="1">
        <v>54</v>
      </c>
      <c r="B55" s="1">
        <v>8473</v>
      </c>
      <c r="C55" s="1" t="str">
        <f>IFERROR(INDEX(StockList_MS2!$B$2:$B$400,MATCH($B55,StockList_MS2!$A$2:$A$400,0)),"")</f>
        <v>ＳＢＩホールディングス</v>
      </c>
      <c r="D55" s="1" t="s">
        <v>73</v>
      </c>
      <c r="E55" s="1">
        <v>3052</v>
      </c>
      <c r="F55" s="1">
        <v>3042.7156577947308</v>
      </c>
      <c r="G55" s="1">
        <v>3061.2843422052692</v>
      </c>
      <c r="H55" s="1">
        <v>3064.3791229403587</v>
      </c>
      <c r="I55" s="1">
        <v>3070.568684410538</v>
      </c>
      <c r="J55" s="1" t="s">
        <v>9</v>
      </c>
      <c r="K55" s="1">
        <v>9.2843422052692404</v>
      </c>
      <c r="L55" s="35">
        <v>46246.46471064815</v>
      </c>
      <c r="M55" s="35">
        <v>46264.053263888891</v>
      </c>
      <c r="N55" s="58">
        <f>IF($E55="","",ROUND($E55*'操作パネル_MS2'!$H$13,0))</f>
      </c>
      <c r="O55" s="66">
        <f>IF($K55="","",ROUND($K55*'操作パネル_MS2'!$H$13,0))</f>
      </c>
      <c r="P55" s="59">
        <f>IF(OR($K55="",$E55="",$F55="",$E55=$F55),"",$K55/ABS($E55-$F55))</f>
      </c>
      <c r="Q55" s="61">
        <f>IF(OR($B55="",$J55=""),"",IF(AND($J55&lt;&gt;"EXPIRED",ISNUMBER($L55),ISNUMBER($M55),INT($L55)=INT($M55)),1,0))</f>
      </c>
      <c r="U55" s="58">
        <f>IF($Q55=1,$O55,"")</f>
      </c>
    </row>
    <row r="56" spans="1:21">
      <c r="A56" s="1">
        <v>55</v>
      </c>
      <c r="B56" s="1">
        <v>6701</v>
      </c>
      <c r="C56" s="1" t="str">
        <f>IFERROR(INDEX(StockList_MS2!$B$2:$B$400,MATCH($B56,StockList_MS2!$A$2:$A$400,0)),"")</f>
        <v>日本電気</v>
      </c>
      <c r="D56" s="1" t="s">
        <v>73</v>
      </c>
      <c r="E56" s="1">
        <v>4937</v>
      </c>
      <c r="F56" s="1">
        <v>4911.1736309322578</v>
      </c>
      <c r="G56" s="1">
        <v>4962.8263690677422</v>
      </c>
      <c r="H56" s="1">
        <v>4971.435158756989</v>
      </c>
      <c r="I56" s="1">
        <v>4988.6527381354836</v>
      </c>
      <c r="J56" s="1" t="s">
        <v>8</v>
      </c>
      <c r="K56" s="1">
        <v>-25.826369067742235</v>
      </c>
      <c r="L56" s="35">
        <v>46246.464722222219</v>
      </c>
      <c r="M56" s="35">
        <v>46264.053263888891</v>
      </c>
      <c r="N56" s="58">
        <f>IF($E56="","",ROUND($E56*'操作パネル_MS2'!$H$13,0))</f>
      </c>
      <c r="O56" s="66">
        <f>IF($K56="","",ROUND($K56*'操作パネル_MS2'!$H$13,0))</f>
      </c>
      <c r="P56" s="59">
        <f>IF(OR($K56="",$E56="",$F56="",$E56=$F56),"",$K56/ABS($E56-$F56))</f>
      </c>
      <c r="Q56" s="61">
        <f>IF(OR($B56="",$J56=""),"",IF(AND($J56&lt;&gt;"EXPIRED",ISNUMBER($L56),ISNUMBER($M56),INT($L56)=INT($M56)),1,0))</f>
      </c>
      <c r="U56" s="58">
        <f>IF($Q56=1,$O56,"")</f>
      </c>
    </row>
    <row r="57" spans="1:21">
      <c r="A57" s="1">
        <v>56</v>
      </c>
      <c r="B57" s="1">
        <v>3861</v>
      </c>
      <c r="C57" s="1" t="str">
        <f>IFERROR(INDEX(StockList_MS2!$B$2:$B$400,MATCH($B57,StockList_MS2!$A$2:$A$400,0)),"")</f>
        <v>王子ホールディングス</v>
      </c>
      <c r="D57" s="1" t="s">
        <v>74</v>
      </c>
      <c r="E57" s="1">
        <v>872.3</v>
      </c>
      <c r="F57" s="1">
        <v>874.45113654479474</v>
      </c>
      <c r="G57" s="1">
        <v>870.14886345520517</v>
      </c>
      <c r="H57" s="1">
        <v>869.43181794027362</v>
      </c>
      <c r="I57" s="1">
        <v>867.99772691041039</v>
      </c>
      <c r="J57" s="1" t="s">
        <v>8</v>
      </c>
      <c r="K57" s="1">
        <v>-2.151136544794781</v>
      </c>
      <c r="L57" s="35">
        <v>46246.464733796296</v>
      </c>
      <c r="M57" s="35">
        <v>46264.053263888891</v>
      </c>
      <c r="N57" s="58">
        <f>IF($E57="","",ROUND($E57*'操作パネル_MS2'!$H$13,0))</f>
      </c>
      <c r="O57" s="66">
        <f>IF($K57="","",ROUND($K57*'操作パネル_MS2'!$H$13,0))</f>
      </c>
      <c r="P57" s="59">
        <f>IF(OR($K57="",$E57="",$F57="",$E57=$F57),"",$K57/ABS($E57-$F57))</f>
      </c>
      <c r="Q57" s="61">
        <f>IF(OR($B57="",$J57=""),"",IF(AND($J57&lt;&gt;"EXPIRED",ISNUMBER($L57),ISNUMBER($M57),INT($L57)=INT($M57)),1,0))</f>
      </c>
      <c r="U57" s="58">
        <f>IF($Q57=1,$O57,"")</f>
      </c>
    </row>
    <row r="58" spans="1:21">
      <c r="A58" s="1">
        <v>57</v>
      </c>
      <c r="B58" s="1">
        <v>2413</v>
      </c>
      <c r="C58" s="1" t="str">
        <f>IFERROR(INDEX(StockList_MS2!$B$2:$B$400,MATCH($B58,StockList_MS2!$A$2:$A$400,0)),"")</f>
        <v>エムスリー</v>
      </c>
      <c r="D58" s="1" t="s">
        <v>73</v>
      </c>
      <c r="E58" s="1">
        <v>1697</v>
      </c>
      <c r="F58" s="1">
        <v>1680.1734739292865</v>
      </c>
      <c r="G58" s="1">
        <v>1713.8265260707135</v>
      </c>
      <c r="H58" s="1">
        <v>1719.4353680942847</v>
      </c>
      <c r="I58" s="1">
        <v>1730.653052141427</v>
      </c>
      <c r="J58" s="1" t="s">
        <v>8</v>
      </c>
      <c r="K58" s="1">
        <v>-16.826526070713498</v>
      </c>
      <c r="L58" s="35">
        <v>46246.464756944442</v>
      </c>
      <c r="M58" s="35">
        <v>46246.542199074072</v>
      </c>
      <c r="N58" s="58">
        <f>IF($E58="","",ROUND($E58*'操作パネル_MS2'!$H$13,0))</f>
      </c>
      <c r="O58" s="66">
        <f>IF($K58="","",ROUND($K58*'操作パネル_MS2'!$H$13,0))</f>
      </c>
      <c r="P58" s="59">
        <f>IF(OR($K58="",$E58="",$F58="",$E58=$F58),"",$K58/ABS($E58-$F58))</f>
      </c>
      <c r="Q58" s="61">
        <f>IF(OR($B58="",$J58=""),"",IF(AND($J58&lt;&gt;"EXPIRED",ISNUMBER($L58),ISNUMBER($M58),INT($L58)=INT($M58)),1,0))</f>
      </c>
      <c r="U58" s="58">
        <f>IF($Q58=1,$O58,"")</f>
      </c>
    </row>
    <row r="59" spans="1:21">
      <c r="A59" s="1">
        <v>58</v>
      </c>
      <c r="B59" s="1">
        <v>4307</v>
      </c>
      <c r="C59" s="1" t="str">
        <f>IFERROR(INDEX(StockList_MS2!$B$2:$B$400,MATCH($B59,StockList_MS2!$A$2:$A$400,0)),"")</f>
        <v>野村総合研究所</v>
      </c>
      <c r="D59" s="1" t="s">
        <v>73</v>
      </c>
      <c r="E59" s="1">
        <v>4986</v>
      </c>
      <c r="F59" s="1">
        <v>4965.5552062086626</v>
      </c>
      <c r="G59" s="1">
        <v>5006.4447937913374</v>
      </c>
      <c r="H59" s="1">
        <v>5013.2597250551171</v>
      </c>
      <c r="I59" s="1">
        <v>5026.8895875826747</v>
      </c>
      <c r="J59" s="1" t="s">
        <v>8</v>
      </c>
      <c r="K59" s="1">
        <v>-20.444793791337361</v>
      </c>
      <c r="L59" s="35">
        <v>46246.464768518519</v>
      </c>
      <c r="M59" s="35">
        <v>46246.542199074072</v>
      </c>
      <c r="N59" s="58">
        <f>IF($E59="","",ROUND($E59*'操作パネル_MS2'!$H$13,0))</f>
      </c>
      <c r="O59" s="66">
        <f>IF($K59="","",ROUND($K59*'操作パネル_MS2'!$H$13,0))</f>
      </c>
      <c r="P59" s="59">
        <f>IF(OR($K59="",$E59="",$F59="",$E59=$F59),"",$K59/ABS($E59-$F59))</f>
      </c>
      <c r="Q59" s="61">
        <f>IF(OR($B59="",$J59=""),"",IF(AND($J59&lt;&gt;"EXPIRED",ISNUMBER($L59),ISNUMBER($M59),INT($L59)=INT($M59)),1,0))</f>
      </c>
      <c r="U59" s="58">
        <f>IF($Q59=1,$O59,"")</f>
      </c>
    </row>
    <row r="60" spans="1:21">
      <c r="A60" s="1">
        <v>59</v>
      </c>
      <c r="B60" s="1">
        <v>3110</v>
      </c>
      <c r="C60" s="1" t="str">
        <f>IFERROR(INDEX(StockList_MS2!$B$2:$B$400,MATCH($B60,StockList_MS2!$A$2:$A$400,0)),"")</f>
        <v>日東紡績</v>
      </c>
      <c r="D60" s="1" t="s">
        <v>73</v>
      </c>
      <c r="E60" s="1">
        <v>3035</v>
      </c>
      <c r="F60" s="1">
        <v>3007.0948766842348</v>
      </c>
      <c r="G60" s="1">
        <v>3062.9051233157652</v>
      </c>
      <c r="H60" s="1">
        <v>3072.2068310876866</v>
      </c>
      <c r="I60" s="1">
        <v>3090.8102466315304</v>
      </c>
      <c r="J60" s="1" t="s">
        <v>9</v>
      </c>
      <c r="K60" s="1">
        <v>27.905123315765195</v>
      </c>
      <c r="L60" s="35">
        <v>46246.464780092596</v>
      </c>
      <c r="M60" s="35">
        <v>46246.542210648149</v>
      </c>
      <c r="N60" s="58">
        <f>IF($E60="","",ROUND($E60*'操作パネル_MS2'!$H$13,0))</f>
      </c>
      <c r="O60" s="66">
        <f>IF($K60="","",ROUND($K60*'操作パネル_MS2'!$H$13,0))</f>
      </c>
      <c r="P60" s="59">
        <f>IF(OR($K60="",$E60="",$F60="",$E60=$F60),"",$K60/ABS($E60-$F60))</f>
      </c>
      <c r="Q60" s="61">
        <f>IF(OR($B60="",$J60=""),"",IF(AND($J60&lt;&gt;"EXPIRED",ISNUMBER($L60),ISNUMBER($M60),INT($L60)=INT($M60)),1,0))</f>
      </c>
      <c r="U60" s="58">
        <f>IF($Q60=1,$O60,"")</f>
      </c>
    </row>
    <row r="61" spans="1:21">
      <c r="A61" s="1">
        <v>60</v>
      </c>
      <c r="B61" s="1">
        <v>2802</v>
      </c>
      <c r="C61" s="1" t="str">
        <f>IFERROR(INDEX(StockList_MS2!$B$2:$B$400,MATCH($B61,StockList_MS2!$A$2:$A$400,0)),"")</f>
        <v>味の素</v>
      </c>
      <c r="D61" s="1" t="s">
        <v>73</v>
      </c>
      <c r="E61" s="1">
        <v>5453</v>
      </c>
      <c r="F61" s="1">
        <v>5421.4518675668342</v>
      </c>
      <c r="G61" s="1">
        <v>5484.5481324331658</v>
      </c>
      <c r="H61" s="1">
        <v>5495.0641765775545</v>
      </c>
      <c r="I61" s="1">
        <v>5516.0962648663308</v>
      </c>
      <c r="J61" s="1" t="s">
        <v>9</v>
      </c>
      <c r="K61" s="1">
        <v>31.548132433165847</v>
      </c>
      <c r="L61" s="35">
        <v>46246.464791666665</v>
      </c>
      <c r="M61" s="35">
        <v>46246.542210648149</v>
      </c>
      <c r="N61" s="58">
        <f>IF($E61="","",ROUND($E61*'操作パネル_MS2'!$H$13,0))</f>
      </c>
      <c r="O61" s="66">
        <f>IF($K61="","",ROUND($K61*'操作パネル_MS2'!$H$13,0))</f>
      </c>
      <c r="P61" s="59">
        <f>IF(OR($K61="",$E61="",$F61="",$E61=$F61),"",$K61/ABS($E61-$F61))</f>
      </c>
      <c r="Q61" s="61">
        <f>IF(OR($B61="",$J61=""),"",IF(AND($J61&lt;&gt;"EXPIRED",ISNUMBER($L61),ISNUMBER($M61),INT($L61)=INT($M61)),1,0))</f>
      </c>
      <c r="U61" s="58">
        <f>IF($Q61=1,$O61,"")</f>
      </c>
    </row>
    <row r="62" spans="1:21">
      <c r="A62" s="1">
        <v>61</v>
      </c>
      <c r="B62" s="1">
        <v>6762</v>
      </c>
      <c r="C62" s="1" t="str">
        <f>IFERROR(INDEX(StockList_MS2!$B$2:$B$400,MATCH($B62,StockList_MS2!$A$2:$A$400,0)),"")</f>
        <v>ＴＤＫ</v>
      </c>
      <c r="D62" s="1" t="s">
        <v>73</v>
      </c>
      <c r="E62" s="1">
        <v>3086</v>
      </c>
      <c r="F62" s="1">
        <v>3070.8391757438876</v>
      </c>
      <c r="G62" s="1">
        <v>3101.1608242561124</v>
      </c>
      <c r="H62" s="1">
        <v>3106.2144323414832</v>
      </c>
      <c r="I62" s="1">
        <v>3116.3216485122248</v>
      </c>
      <c r="J62" s="1" t="s">
        <v>9</v>
      </c>
      <c r="K62" s="1">
        <v>15.160824256112392</v>
      </c>
      <c r="L62" s="35">
        <v>46246.464803240742</v>
      </c>
      <c r="M62" s="35">
        <v>46246.542210648149</v>
      </c>
      <c r="N62" s="58">
        <f>IF($E62="","",ROUND($E62*'操作パネル_MS2'!$H$13,0))</f>
      </c>
      <c r="O62" s="66">
        <f>IF($K62="","",ROUND($K62*'操作パネル_MS2'!$H$13,0))</f>
      </c>
      <c r="P62" s="59">
        <f>IF(OR($K62="",$E62="",$F62="",$E62=$F62),"",$K62/ABS($E62-$F62))</f>
      </c>
      <c r="Q62" s="61">
        <f>IF(OR($B62="",$J62=""),"",IF(AND($J62&lt;&gt;"EXPIRED",ISNUMBER($L62),ISNUMBER($M62),INT($L62)=INT($M62)),1,0))</f>
      </c>
      <c r="U62" s="58">
        <f>IF($Q62=1,$O62,"")</f>
      </c>
    </row>
    <row r="63" spans="1:21">
      <c r="A63" s="1">
        <v>62</v>
      </c>
      <c r="B63" s="1">
        <v>3436</v>
      </c>
      <c r="C63" s="1" t="str">
        <f>IFERROR(INDEX(StockList_MS2!$B$2:$B$400,MATCH($B63,StockList_MS2!$A$2:$A$400,0)),"")</f>
        <v>ＳＵＭＣＯ</v>
      </c>
      <c r="D63" s="1" t="s">
        <v>73</v>
      </c>
      <c r="E63" s="1">
        <v>3616</v>
      </c>
      <c r="F63" s="1">
        <v>3574.4861676953087</v>
      </c>
      <c r="G63" s="1">
        <v>3657.5138323046913</v>
      </c>
      <c r="H63" s="1">
        <v>3671.3517764062549</v>
      </c>
      <c r="I63" s="1">
        <v>3699.0276646093821</v>
      </c>
      <c r="J63" s="1" t="s">
        <v>9</v>
      </c>
      <c r="K63" s="1">
        <v>41.513832304691277</v>
      </c>
      <c r="L63" s="35">
        <v>46246.464826388888</v>
      </c>
      <c r="M63" s="35">
        <v>46246.542210648149</v>
      </c>
      <c r="N63" s="58">
        <f>IF($E63="","",ROUND($E63*'操作パネル_MS2'!$H$13,0))</f>
      </c>
      <c r="O63" s="66">
        <f>IF($K63="","",ROUND($K63*'操作パネル_MS2'!$H$13,0))</f>
      </c>
      <c r="P63" s="59">
        <f>IF(OR($K63="",$E63="",$F63="",$E63=$F63),"",$K63/ABS($E63-$F63))</f>
      </c>
      <c r="Q63" s="61">
        <f>IF(OR($B63="",$J63=""),"",IF(AND($J63&lt;&gt;"EXPIRED",ISNUMBER($L63),ISNUMBER($M63),INT($L63)=INT($M63)),1,0))</f>
      </c>
      <c r="U63" s="58">
        <f>IF($Q63=1,$O63,"")</f>
      </c>
    </row>
    <row r="64" spans="1:21">
      <c r="A64" s="1">
        <v>63</v>
      </c>
      <c r="B64" s="1">
        <v>8303</v>
      </c>
      <c r="C64" s="1" t="str">
        <f>IFERROR(INDEX(StockList_MS2!$B$2:$B$400,MATCH($B64,StockList_MS2!$A$2:$A$400,0)),"")</f>
        <v>ＳＢＩ新生銀行</v>
      </c>
      <c r="D64" s="1" t="s">
        <v>73</v>
      </c>
      <c r="E64" s="1">
        <v>1575.5</v>
      </c>
      <c r="F64" s="1">
        <v>1569.5557391256423</v>
      </c>
      <c r="G64" s="1">
        <v>1581.4442608743577</v>
      </c>
      <c r="H64" s="1">
        <v>1583.4256811658104</v>
      </c>
      <c r="I64" s="1">
        <v>1587.3885217487157</v>
      </c>
      <c r="J64" s="1" t="s">
        <v>8</v>
      </c>
      <c r="K64" s="1">
        <v>-5.9442608743577239</v>
      </c>
      <c r="L64" s="35">
        <v>46246.464837962965</v>
      </c>
      <c r="M64" s="35">
        <v>46246.542222222219</v>
      </c>
      <c r="N64" s="58">
        <f>IF($E64="","",ROUND($E64*'操作パネル_MS2'!$H$13,0))</f>
      </c>
      <c r="O64" s="66">
        <f>IF($K64="","",ROUND($K64*'操作パネル_MS2'!$H$13,0))</f>
      </c>
      <c r="P64" s="59">
        <f>IF(OR($K64="",$E64="",$F64="",$E64=$F64),"",$K64/ABS($E64-$F64))</f>
      </c>
      <c r="Q64" s="61">
        <f>IF(OR($B64="",$J64=""),"",IF(AND($J64&lt;&gt;"EXPIRED",ISNUMBER($L64),ISNUMBER($M64),INT($L64)=INT($M64)),1,0))</f>
      </c>
      <c r="U64" s="58">
        <f>IF($Q64=1,$O64,"")</f>
      </c>
    </row>
    <row r="65" spans="1:21">
      <c r="A65" s="1">
        <v>64</v>
      </c>
      <c r="B65" s="1">
        <v>7735</v>
      </c>
      <c r="C65" s="1" t="str">
        <f>IFERROR(INDEX(StockList_MS2!$B$2:$B$400,MATCH($B65,StockList_MS2!$A$2:$A$400,0)),"")</f>
        <v>ＳＣＲＥＥＮホールディングス</v>
      </c>
      <c r="D65" s="1" t="s">
        <v>73</v>
      </c>
      <c r="E65" s="1">
        <v>13565</v>
      </c>
      <c r="F65" s="1">
        <v>13465.438750072106</v>
      </c>
      <c r="G65" s="1">
        <v>13664.561249927894</v>
      </c>
      <c r="H65" s="1">
        <v>13697.748333237192</v>
      </c>
      <c r="I65" s="1">
        <v>13764.122499855786</v>
      </c>
      <c r="J65" s="1" t="s">
        <v>9</v>
      </c>
      <c r="K65" s="1">
        <v>99.561249927894096</v>
      </c>
      <c r="L65" s="35">
        <v>46246.464849537035</v>
      </c>
      <c r="M65" s="35">
        <v>46246.542222222219</v>
      </c>
      <c r="N65" s="58">
        <f>IF($E65="","",ROUND($E65*'操作パネル_MS2'!$H$13,0))</f>
      </c>
      <c r="O65" s="66">
        <f>IF($K65="","",ROUND($K65*'操作パネル_MS2'!$H$13,0))</f>
      </c>
      <c r="P65" s="59">
        <f>IF(OR($K65="",$E65="",$F65="",$E65=$F65),"",$K65/ABS($E65-$F65))</f>
      </c>
      <c r="Q65" s="61">
        <f>IF(OR($B65="",$J65=""),"",IF(AND($J65&lt;&gt;"EXPIRED",ISNUMBER($L65),ISNUMBER($M65),INT($L65)=INT($M65)),1,0))</f>
      </c>
      <c r="U65" s="58">
        <f>IF($Q65=1,$O65,"")</f>
      </c>
    </row>
    <row r="66" spans="1:21">
      <c r="A66" s="1">
        <v>65</v>
      </c>
      <c r="B66" s="1">
        <v>6506</v>
      </c>
      <c r="C66" s="1" t="str">
        <f>IFERROR(INDEX(StockList_MS2!$B$2:$B$400,MATCH($B66,StockList_MS2!$A$2:$A$400,0)),"")</f>
        <v>安川電機</v>
      </c>
      <c r="D66" s="1" t="s">
        <v>73</v>
      </c>
      <c r="E66" s="1">
        <v>5453</v>
      </c>
      <c r="F66" s="1">
        <v>5422.9962909041087</v>
      </c>
      <c r="G66" s="1">
        <v>5483.0037090958913</v>
      </c>
      <c r="H66" s="1">
        <v>5493.004945461189</v>
      </c>
      <c r="I66" s="1">
        <v>5513.0074181917835</v>
      </c>
      <c r="J66" s="1" t="s">
        <v>8</v>
      </c>
      <c r="K66" s="1">
        <v>-30.003709095891281</v>
      </c>
      <c r="L66" s="35">
        <v>46246.464861111112</v>
      </c>
      <c r="M66" s="35">
        <v>46264.053263888891</v>
      </c>
      <c r="N66" s="58">
        <f>IF($E66="","",ROUND($E66*'操作パネル_MS2'!$H$13,0))</f>
      </c>
      <c r="O66" s="66">
        <f>IF($K66="","",ROUND($K66*'操作パネル_MS2'!$H$13,0))</f>
      </c>
      <c r="P66" s="59">
        <f>IF(OR($K66="",$E66="",$F66="",$E66=$F66),"",$K66/ABS($E66-$F66))</f>
      </c>
      <c r="Q66" s="61">
        <f>IF(OR($B66="",$J66=""),"",IF(AND($J66&lt;&gt;"EXPIRED",ISNUMBER($L66),ISNUMBER($M66),INT($L66)=INT($M66)),1,0))</f>
      </c>
      <c r="U66" s="58">
        <f>IF($Q66=1,$O66,"")</f>
      </c>
    </row>
    <row r="67" spans="1:21">
      <c r="A67" s="1">
        <v>66</v>
      </c>
      <c r="B67" s="1">
        <v>4755</v>
      </c>
      <c r="C67" s="1" t="str">
        <f>IFERROR(INDEX(StockList_MS2!$B$2:$B$400,MATCH($B67,StockList_MS2!$A$2:$A$400,0)),"")</f>
        <v>楽天グループ</v>
      </c>
      <c r="D67" s="1" t="s">
        <v>74</v>
      </c>
      <c r="E67" s="1">
        <v>764.2</v>
      </c>
      <c r="F67" s="1">
        <v>769.13445746669572</v>
      </c>
      <c r="G67" s="1">
        <v>759.26554253330437</v>
      </c>
      <c r="H67" s="1">
        <v>757.62072337773918</v>
      </c>
      <c r="I67" s="1">
        <v>754.33108506660869</v>
      </c>
      <c r="J67" s="1" t="s">
        <v>9</v>
      </c>
      <c r="K67" s="1">
        <v>4.934457466695676</v>
      </c>
      <c r="L67" s="35">
        <v>46246.464884259258</v>
      </c>
      <c r="M67" s="35">
        <v>46246.542222222219</v>
      </c>
      <c r="N67" s="58">
        <f>IF($E67="","",ROUND($E67*'操作パネル_MS2'!$H$13,0))</f>
      </c>
      <c r="O67" s="66">
        <f>IF($K67="","",ROUND($K67*'操作パネル_MS2'!$H$13,0))</f>
      </c>
      <c r="P67" s="59">
        <f>IF(OR($K67="",$E67="",$F67="",$E67=$F67),"",$K67/ABS($E67-$F67))</f>
      </c>
      <c r="Q67" s="61">
        <f>IF(OR($B67="",$J67=""),"",IF(AND($J67&lt;&gt;"EXPIRED",ISNUMBER($L67),ISNUMBER($M67),INT($L67)=INT($M67)),1,0))</f>
      </c>
      <c r="U67" s="58">
        <f>IF($Q67=1,$O67,"")</f>
      </c>
    </row>
    <row r="68" spans="1:21">
      <c r="A68" s="1">
        <v>67</v>
      </c>
      <c r="B68" s="1">
        <v>6971</v>
      </c>
      <c r="C68" s="1" t="str">
        <f>IFERROR(INDEX(StockList_MS2!$B$2:$B$400,MATCH($B68,StockList_MS2!$A$2:$A$400,0)),"")</f>
        <v>京セラ</v>
      </c>
      <c r="D68" s="1" t="s">
        <v>74</v>
      </c>
      <c r="E68" s="1">
        <v>3755</v>
      </c>
      <c r="F68" s="1">
        <v>3769.4422681936189</v>
      </c>
      <c r="G68" s="1">
        <v>3740.5577318063811</v>
      </c>
      <c r="H68" s="1">
        <v>3735.7436424085081</v>
      </c>
      <c r="I68" s="1">
        <v>3726.1154636127617</v>
      </c>
      <c r="J68" s="1" t="s">
        <v>9</v>
      </c>
      <c r="K68" s="1">
        <v>14.442268193618929</v>
      </c>
      <c r="L68" s="35">
        <v>46246.464895833335</v>
      </c>
      <c r="M68" s="35">
        <v>46264.053263888891</v>
      </c>
      <c r="N68" s="58">
        <f>IF($E68="","",ROUND($E68*'操作パネル_MS2'!$H$13,0))</f>
      </c>
      <c r="O68" s="66">
        <f>IF($K68="","",ROUND($K68*'操作パネル_MS2'!$H$13,0))</f>
      </c>
      <c r="P68" s="59">
        <f>IF(OR($K68="",$E68="",$F68="",$E68=$F68),"",$K68/ABS($E68-$F68))</f>
      </c>
      <c r="Q68" s="61">
        <f>IF(OR($B68="",$J68=""),"",IF(AND($J68&lt;&gt;"EXPIRED",ISNUMBER($L68),ISNUMBER($M68),INT($L68)=INT($M68)),1,0))</f>
      </c>
      <c r="U68" s="58">
        <f>IF($Q68=1,$O68,"")</f>
      </c>
    </row>
    <row r="69" spans="1:21">
      <c r="A69" s="1">
        <v>68</v>
      </c>
      <c r="B69" s="1">
        <v>3382</v>
      </c>
      <c r="C69" s="1" t="str">
        <f>IFERROR(INDEX(StockList_MS2!$B$2:$B$400,MATCH($B69,StockList_MS2!$A$2:$A$400,0)),"")</f>
        <v>セブン＆アイ・ＨＬＤＧＳ</v>
      </c>
      <c r="D69" s="1" t="s">
        <v>74</v>
      </c>
      <c r="E69" s="1">
        <v>2068</v>
      </c>
      <c r="F69" s="1">
        <v>2075.6406361975828</v>
      </c>
      <c r="G69" s="1">
        <v>2060.3593638024172</v>
      </c>
      <c r="H69" s="1">
        <v>2057.8124850698891</v>
      </c>
      <c r="I69" s="1">
        <v>2052.7187276048339</v>
      </c>
      <c r="J69" s="1" t="s">
        <v>9</v>
      </c>
      <c r="K69" s="1">
        <v>7.6406361975828077</v>
      </c>
      <c r="L69" s="35">
        <v>46246.464907407404</v>
      </c>
      <c r="M69" s="35">
        <v>46246.542233796295</v>
      </c>
      <c r="N69" s="58">
        <f>IF($E69="","",ROUND($E69*'操作パネル_MS2'!$H$13,0))</f>
      </c>
      <c r="O69" s="66">
        <f>IF($K69="","",ROUND($K69*'操作パネル_MS2'!$H$13,0))</f>
      </c>
      <c r="P69" s="59">
        <f>IF(OR($K69="",$E69="",$F69="",$E69=$F69),"",$K69/ABS($E69-$F69))</f>
      </c>
      <c r="Q69" s="61">
        <f>IF(OR($B69="",$J69=""),"",IF(AND($J69&lt;&gt;"EXPIRED",ISNUMBER($L69),ISNUMBER($M69),INT($L69)=INT($M69)),1,0))</f>
      </c>
      <c r="U69" s="58">
        <f>IF($Q69=1,$O69,"")</f>
      </c>
    </row>
    <row r="70" spans="1:21">
      <c r="A70" s="1">
        <v>69</v>
      </c>
      <c r="B70" s="1">
        <v>5411</v>
      </c>
      <c r="C70" s="1" t="str">
        <f>IFERROR(INDEX(StockList_MS2!$B$2:$B$400,MATCH($B70,StockList_MS2!$A$2:$A$400,0)),"")</f>
        <v>ＪＦＥホールディングス</v>
      </c>
      <c r="D70" s="1" t="s">
        <v>74</v>
      </c>
      <c r="E70" s="1">
        <v>1826</v>
      </c>
      <c r="F70" s="1">
        <v>1830.7349576898416</v>
      </c>
      <c r="G70" s="1">
        <v>1821.2650423101584</v>
      </c>
      <c r="H70" s="1">
        <v>1819.6867230802113</v>
      </c>
      <c r="I70" s="1">
        <v>1816.5300846203168</v>
      </c>
      <c r="J70" s="1" t="s">
        <v>9</v>
      </c>
      <c r="K70" s="1">
        <v>4.7349576898416217</v>
      </c>
      <c r="L70" s="35">
        <v>46246.464918981481</v>
      </c>
      <c r="M70" s="35">
        <v>46246.48678240741</v>
      </c>
      <c r="N70" s="58">
        <f>IF($E70="","",ROUND($E70*'操作パネル_MS2'!$H$13,0))</f>
      </c>
      <c r="O70" s="66">
        <f>IF($K70="","",ROUND($K70*'操作パネル_MS2'!$H$13,0))</f>
      </c>
      <c r="P70" s="59">
        <f>IF(OR($K70="",$E70="",$F70="",$E70=$F70),"",$K70/ABS($E70-$F70))</f>
      </c>
      <c r="Q70" s="61">
        <f>IF(OR($B70="",$J70=""),"",IF(AND($J70&lt;&gt;"EXPIRED",ISNUMBER($L70),ISNUMBER($M70),INT($L70)=INT($M70)),1,0))</f>
      </c>
      <c r="U70" s="58">
        <f>IF($Q70=1,$O70,"")</f>
      </c>
    </row>
    <row r="71" spans="1:21">
      <c r="A71" s="1">
        <v>70</v>
      </c>
      <c r="B71" s="1">
        <v>8306</v>
      </c>
      <c r="C71" s="1" t="str">
        <f>IFERROR(INDEX(StockList_MS2!$B$2:$B$400,MATCH($B71,StockList_MS2!$A$2:$A$400,0)),"")</f>
        <v>三菱ＵＦＪフィナンシャルＧ</v>
      </c>
      <c r="D71" s="1" t="s">
        <v>73</v>
      </c>
      <c r="E71" s="1">
        <v>3575</v>
      </c>
      <c r="F71" s="1">
        <v>3563.5149708028953</v>
      </c>
      <c r="G71" s="1">
        <v>3586.4850291971047</v>
      </c>
      <c r="H71" s="1">
        <v>3590.3133722628063</v>
      </c>
      <c r="I71" s="1">
        <v>3597.970058394209</v>
      </c>
      <c r="J71" s="1" t="s">
        <v>9</v>
      </c>
      <c r="K71" s="1">
        <v>11.485029197104723</v>
      </c>
      <c r="L71" s="35">
        <v>46246.486388888887</v>
      </c>
      <c r="M71" s="35">
        <v>46246.542233796295</v>
      </c>
      <c r="N71" s="58">
        <f>IF($E71="","",ROUND($E71*'操作パネル_MS2'!$H$13,0))</f>
      </c>
      <c r="O71" s="66">
        <f>IF($K71="","",ROUND($K71*'操作パネル_MS2'!$H$13,0))</f>
      </c>
      <c r="P71" s="59">
        <f>IF(OR($K71="",$E71="",$F71="",$E71=$F71),"",$K71/ABS($E71-$F71))</f>
      </c>
      <c r="Q71" s="61">
        <f>IF(OR($B71="",$J71=""),"",IF(AND($J71&lt;&gt;"EXPIRED",ISNUMBER($L71),ISNUMBER($M71),INT($L71)=INT($M71)),1,0))</f>
      </c>
      <c r="U71" s="58">
        <f>IF($Q71=1,$O71,"")</f>
      </c>
    </row>
    <row r="72" spans="1:21">
      <c r="A72" s="1">
        <v>71</v>
      </c>
      <c r="B72" s="1">
        <v>9501</v>
      </c>
      <c r="C72" s="1" t="str">
        <f>IFERROR(INDEX(StockList_MS2!$B$2:$B$400,MATCH($B72,StockList_MS2!$A$2:$A$400,0)),"")</f>
        <v>東京電力ＨＤ</v>
      </c>
      <c r="D72" s="1" t="s">
        <v>74</v>
      </c>
      <c r="E72" s="1">
        <v>517.1</v>
      </c>
      <c r="F72" s="1">
        <v>519.15020640970033</v>
      </c>
      <c r="G72" s="1">
        <v>515.04979359029971</v>
      </c>
      <c r="H72" s="1">
        <v>514.36639145373306</v>
      </c>
      <c r="I72" s="1">
        <v>512.99958718059952</v>
      </c>
      <c r="J72" s="1" t="s">
        <v>8</v>
      </c>
      <c r="K72" s="1">
        <v>-2.0502064097003085</v>
      </c>
      <c r="L72" s="35">
        <v>46246.486400462964</v>
      </c>
      <c r="M72" s="35">
        <v>46264.053263888891</v>
      </c>
      <c r="N72" s="58">
        <f>IF($E72="","",ROUND($E72*'操作パネル_MS2'!$H$13,0))</f>
      </c>
      <c r="O72" s="66">
        <f>IF($K72="","",ROUND($K72*'操作パネル_MS2'!$H$13,0))</f>
      </c>
      <c r="P72" s="59">
        <f>IF(OR($K72="",$E72="",$F72="",$E72=$F72),"",$K72/ABS($E72-$F72))</f>
      </c>
      <c r="Q72" s="61">
        <f>IF(OR($B72="",$J72=""),"",IF(AND($J72&lt;&gt;"EXPIRED",ISNUMBER($L72),ISNUMBER($M72),INT($L72)=INT($M72)),1,0))</f>
      </c>
      <c r="U72" s="58">
        <f>IF($Q72=1,$O72,"")</f>
      </c>
    </row>
    <row r="73" spans="1:21">
      <c r="A73" s="1">
        <v>72</v>
      </c>
      <c r="B73" s="1">
        <v>5401</v>
      </c>
      <c r="C73" s="1" t="str">
        <f>IFERROR(INDEX(StockList_MS2!$B$2:$B$400,MATCH($B73,StockList_MS2!$A$2:$A$400,0)),"")</f>
        <v>日本製鉄</v>
      </c>
      <c r="D73" s="1" t="s">
        <v>74</v>
      </c>
      <c r="E73" s="1">
        <v>685.2</v>
      </c>
      <c r="F73" s="1">
        <v>687.20975071340945</v>
      </c>
      <c r="G73" s="1">
        <v>683.19024928659064</v>
      </c>
      <c r="H73" s="1">
        <v>682.52033238212084</v>
      </c>
      <c r="I73" s="1">
        <v>681.18049857318124</v>
      </c>
      <c r="J73" s="1" t="s">
        <v>8</v>
      </c>
      <c r="K73" s="1">
        <v>-2.009750713409403</v>
      </c>
      <c r="L73" s="35">
        <v>46246.48641203704</v>
      </c>
      <c r="M73" s="35">
        <v>46246.542233796295</v>
      </c>
      <c r="N73" s="58">
        <f>IF($E73="","",ROUND($E73*'操作パネル_MS2'!$H$13,0))</f>
      </c>
      <c r="O73" s="66">
        <f>IF($K73="","",ROUND($K73*'操作パネル_MS2'!$H$13,0))</f>
      </c>
      <c r="P73" s="59">
        <f>IF(OR($K73="",$E73="",$F73="",$E73=$F73),"",$K73/ABS($E73-$F73))</f>
      </c>
      <c r="Q73" s="61">
        <f>IF(OR($B73="",$J73=""),"",IF(AND($J73&lt;&gt;"EXPIRED",ISNUMBER($L73),ISNUMBER($M73),INT($L73)=INT($M73)),1,0))</f>
      </c>
      <c r="U73" s="58">
        <f>IF($Q73=1,$O73,"")</f>
      </c>
    </row>
    <row r="74" spans="1:21">
      <c r="A74" s="1">
        <v>73</v>
      </c>
      <c r="B74" s="1">
        <v>4689</v>
      </c>
      <c r="C74" s="1" t="str">
        <f>IFERROR(INDEX(StockList_MS2!$B$2:$B$400,MATCH($B74,StockList_MS2!$A$2:$A$400,0)),"")</f>
        <v>ＬＩＮＥヤフー</v>
      </c>
      <c r="D74" s="1" t="s">
        <v>73</v>
      </c>
      <c r="E74" s="1">
        <v>495.9</v>
      </c>
      <c r="F74" s="1">
        <v>494.00931530164905</v>
      </c>
      <c r="G74" s="1">
        <v>497.7906846983509</v>
      </c>
      <c r="H74" s="1">
        <v>498.42091293113458</v>
      </c>
      <c r="I74" s="1">
        <v>499.68136939670183</v>
      </c>
      <c r="J74" s="1" t="s">
        <v>9</v>
      </c>
      <c r="K74" s="1">
        <v>1.890684698350924</v>
      </c>
      <c r="L74" s="35">
        <v>46246.486435185187</v>
      </c>
      <c r="M74" s="35">
        <v>46264.053263888891</v>
      </c>
      <c r="N74" s="58">
        <f>IF($E74="","",ROUND($E74*'操作パネル_MS2'!$H$13,0))</f>
      </c>
      <c r="O74" s="66">
        <f>IF($K74="","",ROUND($K74*'操作パネル_MS2'!$H$13,0))</f>
      </c>
      <c r="P74" s="59">
        <f>IF(OR($K74="",$E74="",$F74="",$E74=$F74),"",$K74/ABS($E74-$F74))</f>
      </c>
      <c r="Q74" s="61">
        <f>IF(OR($B74="",$J74=""),"",IF(AND($J74&lt;&gt;"EXPIRED",ISNUMBER($L74),ISNUMBER($M74),INT($L74)=INT($M74)),1,0))</f>
      </c>
      <c r="U74" s="58">
        <f>IF($Q74=1,$O74,"")</f>
      </c>
    </row>
    <row r="75" spans="1:21">
      <c r="A75" s="1">
        <v>74</v>
      </c>
      <c r="B75" s="1">
        <v>4063</v>
      </c>
      <c r="C75" s="1" t="str">
        <f>IFERROR(INDEX(StockList_MS2!$B$2:$B$400,MATCH($B75,StockList_MS2!$A$2:$A$400,0)),"")</f>
        <v>信越化学</v>
      </c>
      <c r="D75" s="1" t="s">
        <v>73</v>
      </c>
      <c r="E75" s="1">
        <v>6351</v>
      </c>
      <c r="F75" s="1">
        <v>6332.3903128913271</v>
      </c>
      <c r="G75" s="1">
        <v>6369.6096871086729</v>
      </c>
      <c r="H75" s="1">
        <v>6375.8129161448978</v>
      </c>
      <c r="I75" s="1">
        <v>6388.2193742173458</v>
      </c>
      <c r="J75" s="1" t="s">
        <v>9</v>
      </c>
      <c r="K75" s="1">
        <v>18.609687108672915</v>
      </c>
      <c r="L75" s="35">
        <v>46246.486446759256</v>
      </c>
      <c r="M75" s="35">
        <v>46246.542233796295</v>
      </c>
      <c r="N75" s="58">
        <f>IF($E75="","",ROUND($E75*'操作パネル_MS2'!$H$13,0))</f>
      </c>
      <c r="O75" s="66">
        <f>IF($K75="","",ROUND($K75*'操作パネル_MS2'!$H$13,0))</f>
      </c>
      <c r="P75" s="59">
        <f>IF(OR($K75="",$E75="",$F75="",$E75=$F75),"",$K75/ABS($E75-$F75))</f>
      </c>
      <c r="Q75" s="61">
        <f>IF(OR($B75="",$J75=""),"",IF(AND($J75&lt;&gt;"EXPIRED",ISNUMBER($L75),ISNUMBER($M75),INT($L75)=INT($M75)),1,0))</f>
      </c>
      <c r="U75" s="58">
        <f>IF($Q75=1,$O75,"")</f>
      </c>
    </row>
    <row r="76" spans="1:21">
      <c r="A76" s="1">
        <v>75</v>
      </c>
      <c r="B76" s="1">
        <v>6857</v>
      </c>
      <c r="C76" s="1" t="str">
        <f>IFERROR(INDEX(StockList_MS2!$B$2:$B$400,MATCH($B76,StockList_MS2!$A$2:$A$400,0)),"")</f>
        <v>アドバンテスト</v>
      </c>
      <c r="D76" s="1" t="s">
        <v>73</v>
      </c>
      <c r="E76" s="1">
        <v>34420</v>
      </c>
      <c r="F76" s="1">
        <v>34206.95749763721</v>
      </c>
      <c r="G76" s="1">
        <v>34633.04250236279</v>
      </c>
      <c r="H76" s="1">
        <v>34704.056669817051</v>
      </c>
      <c r="I76" s="1">
        <v>34846.085004725574</v>
      </c>
      <c r="J76" s="1" t="s">
        <v>9</v>
      </c>
      <c r="K76" s="1">
        <v>213.0425023627904</v>
      </c>
      <c r="L76" s="35">
        <v>46246.486458333333</v>
      </c>
      <c r="M76" s="35">
        <v>46246.542245370372</v>
      </c>
      <c r="N76" s="58">
        <f>IF($E76="","",ROUND($E76*'操作パネル_MS2'!$H$13,0))</f>
      </c>
      <c r="O76" s="66">
        <f>IF($K76="","",ROUND($K76*'操作パネル_MS2'!$H$13,0))</f>
      </c>
      <c r="P76" s="59">
        <f>IF(OR($K76="",$E76="",$F76="",$E76=$F76),"",$K76/ABS($E76-$F76))</f>
      </c>
      <c r="Q76" s="61">
        <f>IF(OR($B76="",$J76=""),"",IF(AND($J76&lt;&gt;"EXPIRED",ISNUMBER($L76),ISNUMBER($M76),INT($L76)=INT($M76)),1,0))</f>
      </c>
      <c r="U76" s="58">
        <f>IF($Q76=1,$O76,"")</f>
      </c>
    </row>
    <row r="77" spans="1:21">
      <c r="A77" s="1">
        <v>76</v>
      </c>
      <c r="B77" s="1">
        <v>7974</v>
      </c>
      <c r="C77" s="1" t="str">
        <f>IFERROR(INDEX(StockList_MS2!$B$2:$B$400,MATCH($B77,StockList_MS2!$A$2:$A$400,0)),"")</f>
        <v>任天堂</v>
      </c>
      <c r="D77" s="1" t="s">
        <v>73</v>
      </c>
      <c r="E77" s="1">
        <v>8475</v>
      </c>
      <c r="F77" s="1">
        <v>8439.3557242129627</v>
      </c>
      <c r="G77" s="1">
        <v>8510.6442757870373</v>
      </c>
      <c r="H77" s="1">
        <v>8522.5257010493824</v>
      </c>
      <c r="I77" s="1">
        <v>8546.2885515740745</v>
      </c>
      <c r="J77" s="1" t="s">
        <v>8</v>
      </c>
      <c r="K77" s="1">
        <v>-35.644275787037259</v>
      </c>
      <c r="L77" s="35">
        <v>46246.486481481479</v>
      </c>
      <c r="M77" s="35">
        <v>46246.542245370372</v>
      </c>
      <c r="N77" s="58">
        <f>IF($E77="","",ROUND($E77*'操作パネル_MS2'!$H$13,0))</f>
      </c>
      <c r="O77" s="66">
        <f>IF($K77="","",ROUND($K77*'操作パネル_MS2'!$H$13,0))</f>
      </c>
      <c r="P77" s="59">
        <f>IF(OR($K77="",$E77="",$F77="",$E77=$F77),"",$K77/ABS($E77-$F77))</f>
      </c>
      <c r="Q77" s="61">
        <f>IF(OR($B77="",$J77=""),"",IF(AND($J77&lt;&gt;"EXPIRED",ISNUMBER($L77),ISNUMBER($M77),INT($L77)=INT($M77)),1,0))</f>
      </c>
      <c r="U77" s="58">
        <f>IF($Q77=1,$O77,"")</f>
      </c>
    </row>
    <row r="78" spans="1:21">
      <c r="A78" s="1">
        <v>77</v>
      </c>
      <c r="B78" s="1">
        <v>8316</v>
      </c>
      <c r="C78" s="1" t="str">
        <f>IFERROR(INDEX(StockList_MS2!$B$2:$B$400,MATCH($B78,StockList_MS2!$A$2:$A$400,0)),"")</f>
        <v>三井住友フィナンシャルＧ</v>
      </c>
      <c r="D78" s="1" t="s">
        <v>73</v>
      </c>
      <c r="E78" s="1">
        <v>6804</v>
      </c>
      <c r="F78" s="1">
        <v>6780.8850462140863</v>
      </c>
      <c r="G78" s="1">
        <v>6827.1149537859137</v>
      </c>
      <c r="H78" s="1">
        <v>6834.819938381218</v>
      </c>
      <c r="I78" s="1">
        <v>6850.2299075718274</v>
      </c>
      <c r="J78" s="1" t="s">
        <v>9</v>
      </c>
      <c r="K78" s="1">
        <v>23.114953785913713</v>
      </c>
      <c r="L78" s="35">
        <v>46246.486493055556</v>
      </c>
      <c r="M78" s="35">
        <v>46246.542245370372</v>
      </c>
      <c r="N78" s="58">
        <f>IF($E78="","",ROUND($E78*'操作パネル_MS2'!$H$13,0))</f>
      </c>
      <c r="O78" s="66">
        <f>IF($K78="","",ROUND($K78*'操作パネル_MS2'!$H$13,0))</f>
      </c>
      <c r="P78" s="59">
        <f>IF(OR($K78="",$E78="",$F78="",$E78=$F78),"",$K78/ABS($E78-$F78))</f>
      </c>
      <c r="Q78" s="61">
        <f>IF(OR($B78="",$J78=""),"",IF(AND($J78&lt;&gt;"EXPIRED",ISNUMBER($L78),ISNUMBER($M78),INT($L78)=INT($M78)),1,0))</f>
      </c>
      <c r="U78" s="58">
        <f>IF($Q78=1,$O78,"")</f>
      </c>
    </row>
    <row r="79" spans="1:21">
      <c r="A79" s="1">
        <v>78</v>
      </c>
      <c r="B79" s="1">
        <v>8308</v>
      </c>
      <c r="C79" s="1" t="str">
        <f>IFERROR(INDEX(StockList_MS2!$B$2:$B$400,MATCH($B79,StockList_MS2!$A$2:$A$400,0)),"")</f>
        <v>りそなホールディングス</v>
      </c>
      <c r="D79" s="1" t="s">
        <v>73</v>
      </c>
      <c r="E79" s="1">
        <v>2315</v>
      </c>
      <c r="F79" s="1">
        <v>2304.7305973570647</v>
      </c>
      <c r="G79" s="1">
        <v>2325.2694026429353</v>
      </c>
      <c r="H79" s="1">
        <v>2328.692536857247</v>
      </c>
      <c r="I79" s="1">
        <v>2335.5388052858702</v>
      </c>
      <c r="J79" s="1" t="s">
        <v>9</v>
      </c>
      <c r="K79" s="1">
        <v>10.269402642935347</v>
      </c>
      <c r="L79" s="35">
        <v>46246.486516203702</v>
      </c>
      <c r="M79" s="35">
        <v>46246.542256944442</v>
      </c>
      <c r="N79" s="58">
        <f>IF($E79="","",ROUND($E79*'操作パネル_MS2'!$H$13,0))</f>
      </c>
      <c r="O79" s="66">
        <f>IF($K79="","",ROUND($K79*'操作パネル_MS2'!$H$13,0))</f>
      </c>
      <c r="P79" s="59">
        <f>IF(OR($K79="",$E79="",$F79="",$E79=$F79),"",$K79/ABS($E79-$F79))</f>
      </c>
      <c r="Q79" s="61">
        <f>IF(OR($B79="",$J79=""),"",IF(AND($J79&lt;&gt;"EXPIRED",ISNUMBER($L79),ISNUMBER($M79),INT($L79)=INT($M79)),1,0))</f>
      </c>
      <c r="U79" s="58">
        <f>IF($Q79=1,$O79,"")</f>
      </c>
    </row>
    <row r="80" spans="1:21">
      <c r="A80" s="1">
        <v>79</v>
      </c>
      <c r="B80" s="1">
        <v>8593</v>
      </c>
      <c r="C80" s="1" t="str">
        <f>IFERROR(INDEX(StockList_MS2!$B$2:$B$400,MATCH($B80,StockList_MS2!$A$2:$A$400,0)),"")</f>
        <v>三菱ＨＣキャピタル</v>
      </c>
      <c r="D80" s="1" t="s">
        <v>73</v>
      </c>
      <c r="E80" s="1">
        <v>1399</v>
      </c>
      <c r="F80" s="1">
        <v>1395.8996673967542</v>
      </c>
      <c r="G80" s="1">
        <v>1402.1003326032458</v>
      </c>
      <c r="H80" s="1">
        <v>1403.1337768043277</v>
      </c>
      <c r="I80" s="1">
        <v>1405.2006652064915</v>
      </c>
      <c r="J80" s="1" t="s">
        <v>9</v>
      </c>
      <c r="K80" s="1">
        <v>3.1003326032457608</v>
      </c>
      <c r="L80" s="35">
        <v>46246.486527777779</v>
      </c>
      <c r="M80" s="35">
        <v>46264.053263888891</v>
      </c>
      <c r="N80" s="58">
        <f>IF($E80="","",ROUND($E80*'操作パネル_MS2'!$H$13,0))</f>
      </c>
      <c r="O80" s="66">
        <f>IF($K80="","",ROUND($K80*'操作パネル_MS2'!$H$13,0))</f>
      </c>
      <c r="P80" s="59">
        <f>IF(OR($K80="",$E80="",$F80="",$E80=$F80),"",$K80/ABS($E80-$F80))</f>
      </c>
      <c r="Q80" s="61">
        <f>IF(OR($B80="",$J80=""),"",IF(AND($J80&lt;&gt;"EXPIRED",ISNUMBER($L80),ISNUMBER($M80),INT($L80)=INT($M80)),1,0))</f>
      </c>
      <c r="U80" s="58">
        <f>IF($Q80=1,$O80,"")</f>
      </c>
    </row>
    <row r="81" spans="1:21">
      <c r="A81" s="1">
        <v>80</v>
      </c>
      <c r="B81" s="1">
        <v>7201</v>
      </c>
      <c r="C81" s="1" t="str">
        <f>IFERROR(INDEX(StockList_MS2!$B$2:$B$400,MATCH($B81,StockList_MS2!$A$2:$A$400,0)),"")</f>
        <v>日産自動車</v>
      </c>
      <c r="D81" s="1" t="s">
        <v>74</v>
      </c>
      <c r="E81" s="1">
        <v>338.4</v>
      </c>
      <c r="F81" s="1">
        <v>339.53036082340896</v>
      </c>
      <c r="G81" s="1">
        <v>337.269639176591</v>
      </c>
      <c r="H81" s="1">
        <v>336.89285223545471</v>
      </c>
      <c r="I81" s="1">
        <v>336.13927835318208</v>
      </c>
      <c r="J81" s="1" t="s">
        <v>9</v>
      </c>
      <c r="K81" s="1">
        <v>1.1303608234089779</v>
      </c>
      <c r="L81" s="35">
        <v>46246.486539351848</v>
      </c>
      <c r="M81" s="35">
        <v>46264.053263888891</v>
      </c>
      <c r="N81" s="58">
        <f>IF($E81="","",ROUND($E81*'操作パネル_MS2'!$H$13,0))</f>
      </c>
      <c r="O81" s="66">
        <f>IF($K81="","",ROUND($K81*'操作パネル_MS2'!$H$13,0))</f>
      </c>
      <c r="P81" s="59">
        <f>IF(OR($K81="",$E81="",$F81="",$E81=$F81),"",$K81/ABS($E81-$F81))</f>
      </c>
      <c r="Q81" s="61">
        <f>IF(OR($B81="",$J81=""),"",IF(AND($J81&lt;&gt;"EXPIRED",ISNUMBER($L81),ISNUMBER($M81),INT($L81)=INT($M81)),1,0))</f>
      </c>
      <c r="U81" s="58">
        <f>IF($Q81=1,$O81,"")</f>
      </c>
    </row>
    <row r="82" spans="1:21">
      <c r="A82" s="1">
        <v>81</v>
      </c>
      <c r="B82" s="1">
        <v>7751</v>
      </c>
      <c r="C82" s="1" t="str">
        <f>IFERROR(INDEX(StockList_MS2!$B$2:$B$400,MATCH($B82,StockList_MS2!$A$2:$A$400,0)),"")</f>
        <v>キヤノン</v>
      </c>
      <c r="D82" s="1" t="s">
        <v>74</v>
      </c>
      <c r="E82" s="1">
        <v>4559</v>
      </c>
      <c r="F82" s="1">
        <v>4570.3631794933008</v>
      </c>
      <c r="G82" s="1">
        <v>4547.6368205066992</v>
      </c>
      <c r="H82" s="1">
        <v>4543.8490940089314</v>
      </c>
      <c r="I82" s="1">
        <v>4536.2736410133975</v>
      </c>
      <c r="J82" s="1" t="s">
        <v>8</v>
      </c>
      <c r="K82" s="1">
        <v>-11.363179493300777</v>
      </c>
      <c r="L82" s="35">
        <v>46246.486562500002</v>
      </c>
      <c r="M82" s="35">
        <v>46264.053263888891</v>
      </c>
      <c r="N82" s="58">
        <f>IF($E82="","",ROUND($E82*'操作パネル_MS2'!$H$13,0))</f>
      </c>
      <c r="O82" s="66">
        <f>IF($K82="","",ROUND($K82*'操作パネル_MS2'!$H$13,0))</f>
      </c>
      <c r="P82" s="59">
        <f>IF(OR($K82="",$E82="",$F82="",$E82=$F82),"",$K82/ABS($E82-$F82))</f>
      </c>
      <c r="Q82" s="61">
        <f>IF(OR($B82="",$J82=""),"",IF(AND($J82&lt;&gt;"EXPIRED",ISNUMBER($L82),ISNUMBER($M82),INT($L82)=INT($M82)),1,0))</f>
      </c>
      <c r="U82" s="58">
        <f>IF($Q82=1,$O82,"")</f>
      </c>
    </row>
    <row r="83" spans="1:21">
      <c r="A83" s="1">
        <v>82</v>
      </c>
      <c r="B83" s="1">
        <v>3350</v>
      </c>
      <c r="C83" s="1" t="str">
        <f>IFERROR(INDEX(StockList_MS2!$B$2:$B$400,MATCH($B83,StockList_MS2!$A$2:$A$400,0)),"")</f>
        <v>メタプラネット</v>
      </c>
      <c r="D83" s="1" t="s">
        <v>74</v>
      </c>
      <c r="E83" s="1">
        <v>218</v>
      </c>
      <c r="F83" s="1">
        <v>220.05453107002538</v>
      </c>
      <c r="G83" s="1">
        <v>215.94546892997462</v>
      </c>
      <c r="H83" s="1">
        <v>215.26062523996615</v>
      </c>
      <c r="I83" s="1">
        <v>213.89093785994922</v>
      </c>
      <c r="J83" s="1" t="s">
        <v>8</v>
      </c>
      <c r="K83" s="1">
        <v>-2.0545310700253765</v>
      </c>
      <c r="L83" s="35">
        <v>46246.486574074072</v>
      </c>
      <c r="M83" s="35">
        <v>46264.053263888891</v>
      </c>
      <c r="N83" s="58">
        <f>IF($E83="","",ROUND($E83*'操作パネル_MS2'!$H$13,0))</f>
      </c>
      <c r="O83" s="66">
        <f>IF($K83="","",ROUND($K83*'操作パネル_MS2'!$H$13,0))</f>
      </c>
      <c r="P83" s="59">
        <f>IF(OR($K83="",$E83="",$F83="",$E83=$F83),"",$K83/ABS($E83-$F83))</f>
      </c>
      <c r="Q83" s="61">
        <f>IF(OR($B83="",$J83=""),"",IF(AND($J83&lt;&gt;"EXPIRED",ISNUMBER($L83),ISNUMBER($M83),INT($L83)=INT($M83)),1,0))</f>
      </c>
      <c r="U83" s="58">
        <f>IF($Q83=1,$O83,"")</f>
      </c>
    </row>
    <row r="84" spans="1:21">
      <c r="A84" s="1">
        <v>83</v>
      </c>
      <c r="B84" s="1">
        <v>8136</v>
      </c>
      <c r="C84" s="1" t="str">
        <f>IFERROR(INDEX(StockList_MS2!$B$2:$B$400,MATCH($B84,StockList_MS2!$A$2:$A$400,0)),"")</f>
        <v>サンリオ</v>
      </c>
      <c r="D84" s="1" t="s">
        <v>74</v>
      </c>
      <c r="E84" s="1">
        <v>1199</v>
      </c>
      <c r="F84" s="1">
        <v>1216.0530131090902</v>
      </c>
      <c r="G84" s="1">
        <v>1181.9469868909098</v>
      </c>
      <c r="H84" s="1">
        <v>1176.2626491878796</v>
      </c>
      <c r="I84" s="1">
        <v>1164.8939737818193</v>
      </c>
      <c r="J84" s="1" t="s">
        <v>8</v>
      </c>
      <c r="K84" s="1">
        <v>-17.053013109090216</v>
      </c>
      <c r="L84" s="35">
        <v>46246.486597222225</v>
      </c>
      <c r="M84" s="35">
        <v>46264.053263888891</v>
      </c>
      <c r="N84" s="58">
        <f>IF($E84="","",ROUND($E84*'操作パネル_MS2'!$H$13,0))</f>
      </c>
      <c r="O84" s="66">
        <f>IF($K84="","",ROUND($K84*'操作パネル_MS2'!$H$13,0))</f>
      </c>
      <c r="P84" s="59">
        <f>IF(OR($K84="",$E84="",$F84="",$E84=$F84),"",$K84/ABS($E84-$F84))</f>
      </c>
      <c r="Q84" s="61">
        <f>IF(OR($B84="",$J84=""),"",IF(AND($J84&lt;&gt;"EXPIRED",ISNUMBER($L84),ISNUMBER($M84),INT($L84)=INT($M84)),1,0))</f>
      </c>
      <c r="U84" s="58">
        <f>IF($Q84=1,$O84,"")</f>
      </c>
    </row>
    <row r="85" spans="1:21">
      <c r="A85" s="1">
        <v>84</v>
      </c>
      <c r="B85" s="1">
        <v>8801</v>
      </c>
      <c r="C85" s="1" t="str">
        <f>IFERROR(INDEX(StockList_MS2!$B$2:$B$400,MATCH($B85,StockList_MS2!$A$2:$A$400,0)),"")</f>
        <v>三井不動産</v>
      </c>
      <c r="D85" s="1" t="s">
        <v>74</v>
      </c>
      <c r="E85" s="1">
        <v>1452</v>
      </c>
      <c r="F85" s="1">
        <v>1456.5312812329164</v>
      </c>
      <c r="G85" s="1">
        <v>1447.4687187670836</v>
      </c>
      <c r="H85" s="1">
        <v>1445.9582916894446</v>
      </c>
      <c r="I85" s="1">
        <v>1442.937437534167</v>
      </c>
      <c r="J85" s="1" t="s">
        <v>8</v>
      </c>
      <c r="K85" s="1">
        <v>-4.5312812329163989</v>
      </c>
      <c r="L85" s="35">
        <v>46246.486608796295</v>
      </c>
      <c r="M85" s="35">
        <v>46264.053263888891</v>
      </c>
      <c r="N85" s="58">
        <f>IF($E85="","",ROUND($E85*'操作パネル_MS2'!$H$13,0))</f>
      </c>
      <c r="O85" s="66">
        <f>IF($K85="","",ROUND($K85*'操作パネル_MS2'!$H$13,0))</f>
      </c>
      <c r="P85" s="59">
        <f>IF(OR($K85="",$E85="",$F85="",$E85=$F85),"",$K85/ABS($E85-$F85))</f>
      </c>
      <c r="Q85" s="61">
        <f>IF(OR($B85="",$J85=""),"",IF(AND($J85&lt;&gt;"EXPIRED",ISNUMBER($L85),ISNUMBER($M85),INT($L85)=INT($M85)),1,0))</f>
      </c>
      <c r="U85" s="58">
        <f>IF($Q85=1,$O85,"")</f>
      </c>
    </row>
    <row r="86" spans="1:21">
      <c r="A86" s="1">
        <v>85</v>
      </c>
      <c r="B86" s="1">
        <v>6954</v>
      </c>
      <c r="C86" s="1" t="str">
        <f>IFERROR(INDEX(StockList_MS2!$B$2:$B$400,MATCH($B86,StockList_MS2!$A$2:$A$400,0)),"")</f>
        <v>ファナック</v>
      </c>
      <c r="D86" s="1" t="s">
        <v>73</v>
      </c>
      <c r="E86" s="1">
        <v>6646</v>
      </c>
      <c r="F86" s="1">
        <v>6615.5698865292143</v>
      </c>
      <c r="G86" s="1">
        <v>6676.4301134707857</v>
      </c>
      <c r="H86" s="1">
        <v>6686.5734846277137</v>
      </c>
      <c r="I86" s="1">
        <v>6706.8602269415705</v>
      </c>
      <c r="J86" s="1" t="s">
        <v>8</v>
      </c>
      <c r="K86" s="1">
        <v>-30.430113470785727</v>
      </c>
      <c r="L86" s="35">
        <v>46246.486620370371</v>
      </c>
      <c r="M86" s="35">
        <v>46264.053263888891</v>
      </c>
      <c r="N86" s="58">
        <f>IF($E86="","",ROUND($E86*'操作パネル_MS2'!$H$13,0))</f>
      </c>
      <c r="O86" s="66">
        <f>IF($K86="","",ROUND($K86*'操作パネル_MS2'!$H$13,0))</f>
      </c>
      <c r="P86" s="59">
        <f>IF(OR($K86="",$E86="",$F86="",$E86=$F86),"",$K86/ABS($E86-$F86))</f>
      </c>
      <c r="Q86" s="61">
        <f>IF(OR($B86="",$J86=""),"",IF(AND($J86&lt;&gt;"EXPIRED",ISNUMBER($L86),ISNUMBER($M86),INT($L86)=INT($M86)),1,0))</f>
      </c>
      <c r="U86" s="58">
        <f>IF($Q86=1,$O86,"")</f>
      </c>
    </row>
    <row r="87" spans="1:21">
      <c r="A87" s="1">
        <v>86</v>
      </c>
      <c r="B87" s="1">
        <v>8113</v>
      </c>
      <c r="C87" s="1" t="str">
        <f>IFERROR(INDEX(StockList_MS2!$B$2:$B$400,MATCH($B87,StockList_MS2!$A$2:$A$400,0)),"")</f>
        <v>ユニ・チヤ－ム</v>
      </c>
      <c r="D87" s="1" t="s">
        <v>74</v>
      </c>
      <c r="E87" s="1">
        <v>999.9</v>
      </c>
      <c r="F87" s="1">
        <v>1003.7172314939107</v>
      </c>
      <c r="G87" s="1">
        <v>996.08276850608922</v>
      </c>
      <c r="H87" s="1">
        <v>994.81035800811901</v>
      </c>
      <c r="I87" s="1">
        <v>992.26553701217847</v>
      </c>
      <c r="J87" s="1" t="s">
        <v>9</v>
      </c>
      <c r="K87" s="1">
        <v>3.8172314939107537</v>
      </c>
      <c r="L87" s="35">
        <v>46246.486643518518</v>
      </c>
      <c r="M87" s="35">
        <v>46264.053263888891</v>
      </c>
      <c r="N87" s="58">
        <f>IF($E87="","",ROUND($E87*'操作パネル_MS2'!$H$13,0))</f>
      </c>
      <c r="O87" s="66">
        <f>IF($K87="","",ROUND($K87*'操作パネル_MS2'!$H$13,0))</f>
      </c>
      <c r="P87" s="59">
        <f>IF(OR($K87="",$E87="",$F87="",$E87=$F87),"",$K87/ABS($E87-$F87))</f>
      </c>
      <c r="Q87" s="61">
        <f>IF(OR($B87="",$J87=""),"",IF(AND($J87&lt;&gt;"EXPIRED",ISNUMBER($L87),ISNUMBER($M87),INT($L87)=INT($M87)),1,0))</f>
      </c>
      <c r="U87" s="58">
        <f>IF($Q87=1,$O87,"")</f>
      </c>
    </row>
    <row r="88" spans="1:21">
      <c r="A88" s="1">
        <v>87</v>
      </c>
      <c r="B88" s="1">
        <v>8604</v>
      </c>
      <c r="C88" s="1" t="str">
        <f>IFERROR(INDEX(StockList_MS2!$B$2:$B$400,MATCH($B88,StockList_MS2!$A$2:$A$400,0)),"")</f>
        <v>野村ホールディングス</v>
      </c>
      <c r="D88" s="1" t="s">
        <v>73</v>
      </c>
      <c r="E88" s="1">
        <v>1558.5</v>
      </c>
      <c r="F88" s="1">
        <v>1554.9939479720315</v>
      </c>
      <c r="G88" s="1">
        <v>1562.0060520279685</v>
      </c>
      <c r="H88" s="1">
        <v>1563.1747360372915</v>
      </c>
      <c r="I88" s="1">
        <v>1565.5121040559372</v>
      </c>
      <c r="J88" s="1" t="s">
        <v>9</v>
      </c>
      <c r="K88" s="1">
        <v>3.5060520279685079</v>
      </c>
      <c r="L88" s="35">
        <v>46246.542071759257</v>
      </c>
      <c r="M88" s="35">
        <v>46264.053263888891</v>
      </c>
      <c r="N88" s="58">
        <f>IF($E88="","",ROUND($E88*'操作パネル_MS2'!$H$13,0))</f>
      </c>
      <c r="O88" s="66">
        <f>IF($K88="","",ROUND($K88*'操作パネル_MS2'!$H$13,0))</f>
      </c>
      <c r="P88" s="59">
        <f>IF(OR($K88="",$E88="",$F88="",$E88=$F88),"",$K88/ABS($E88-$F88))</f>
      </c>
      <c r="Q88" s="61">
        <f>IF(OR($B88="",$J88=""),"",IF(AND($J88&lt;&gt;"EXPIRED",ISNUMBER($L88),ISNUMBER($M88),INT($L88)=INT($M88)),1,0))</f>
      </c>
      <c r="U88" s="58">
        <f>IF($Q88=1,$O88,"")</f>
      </c>
    </row>
    <row r="89" spans="1:21">
      <c r="A89" s="1">
        <v>88</v>
      </c>
      <c r="B89" s="1">
        <v>4005</v>
      </c>
      <c r="C89" s="1" t="str">
        <f>IFERROR(INDEX(StockList_MS2!$B$2:$B$400,MATCH($B89,StockList_MS2!$A$2:$A$400,0)),"")</f>
        <v>住友化学</v>
      </c>
      <c r="D89" s="1" t="s">
        <v>73</v>
      </c>
      <c r="E89" s="1">
        <v>524.79999999999995</v>
      </c>
      <c r="F89" s="1">
        <v>523.06302377325164</v>
      </c>
      <c r="G89" s="1">
        <v>526.53697622674827</v>
      </c>
      <c r="H89" s="1">
        <v>527.115968302331</v>
      </c>
      <c r="I89" s="1">
        <v>528.27395245349646</v>
      </c>
      <c r="J89" s="1" t="s">
        <v>9</v>
      </c>
      <c r="K89" s="1">
        <v>1.7369762267483111</v>
      </c>
      <c r="L89" s="35">
        <v>46246.542094907411</v>
      </c>
      <c r="M89" s="35">
        <v>46264.053263888891</v>
      </c>
      <c r="N89" s="58">
        <f>IF($E89="","",ROUND($E89*'操作パネル_MS2'!$H$13,0))</f>
      </c>
      <c r="O89" s="66">
        <f>IF($K89="","",ROUND($K89*'操作パネル_MS2'!$H$13,0))</f>
      </c>
      <c r="P89" s="59">
        <f>IF(OR($K89="",$E89="",$F89="",$E89=$F89),"",$K89/ABS($E89-$F89))</f>
      </c>
      <c r="Q89" s="61">
        <f>IF(OR($B89="",$J89=""),"",IF(AND($J89&lt;&gt;"EXPIRED",ISNUMBER($L89),ISNUMBER($M89),INT($L89)=INT($M89)),1,0))</f>
      </c>
      <c r="U89" s="58">
        <f>IF($Q89=1,$O89,"")</f>
      </c>
    </row>
    <row r="90" spans="1:21">
      <c r="A90" s="1">
        <v>89</v>
      </c>
      <c r="B90" s="1">
        <v>5803</v>
      </c>
      <c r="C90" s="1" t="str">
        <f>IFERROR(INDEX(StockList_MS2!$B$2:$B$400,MATCH($B90,StockList_MS2!$A$2:$A$400,0)),"")</f>
        <v>フジクラ</v>
      </c>
      <c r="D90" s="1" t="s">
        <v>73</v>
      </c>
      <c r="E90" s="1">
        <v>5746</v>
      </c>
      <c r="F90" s="1">
        <v>5689.8441879579077</v>
      </c>
      <c r="G90" s="1">
        <v>5802.1558120420923</v>
      </c>
      <c r="H90" s="1">
        <v>5820.8744160561237</v>
      </c>
      <c r="I90" s="1">
        <v>5858.3116240841855</v>
      </c>
      <c r="J90" s="1" t="s">
        <v>8</v>
      </c>
      <c r="K90" s="1">
        <v>-56.155812042092293</v>
      </c>
      <c r="L90" s="35">
        <v>46246.54210648148</v>
      </c>
      <c r="M90" s="35">
        <v>46264.053263888891</v>
      </c>
      <c r="N90" s="58">
        <f>IF($E90="","",ROUND($E90*'操作パネル_MS2'!$H$13,0))</f>
      </c>
      <c r="O90" s="66">
        <f>IF($K90="","",ROUND($K90*'操作パネル_MS2'!$H$13,0))</f>
      </c>
      <c r="P90" s="59">
        <f>IF(OR($K90="",$E90="",$F90="",$E90=$F90),"",$K90/ABS($E90-$F90))</f>
      </c>
      <c r="Q90" s="61">
        <f>IF(OR($B90="",$J90=""),"",IF(AND($J90&lt;&gt;"EXPIRED",ISNUMBER($L90),ISNUMBER($M90),INT($L90)=INT($M90)),1,0))</f>
      </c>
      <c r="U90" s="58">
        <f>IF($Q90=1,$O90,"")</f>
      </c>
    </row>
    <row r="91" spans="1:21">
      <c r="A91" s="1">
        <v>90</v>
      </c>
      <c r="B91" s="1">
        <v>8411</v>
      </c>
      <c r="C91" s="1" t="str">
        <f>IFERROR(INDEX(StockList_MS2!$B$2:$B$400,MATCH($B91,StockList_MS2!$A$2:$A$400,0)),"")</f>
        <v>みずほフィナンシャルＧ</v>
      </c>
      <c r="D91" s="1" t="s">
        <v>73</v>
      </c>
      <c r="E91" s="1">
        <v>8487</v>
      </c>
      <c r="F91" s="1">
        <v>8456.0779712426374</v>
      </c>
      <c r="G91" s="1">
        <v>8517.9220287573626</v>
      </c>
      <c r="H91" s="1">
        <v>8528.2293716764834</v>
      </c>
      <c r="I91" s="1">
        <v>8548.8440575147251</v>
      </c>
      <c r="J91" s="1" t="s">
        <v>214</v>
      </c>
      <c r="K91" s="1">
        <v>-1</v>
      </c>
      <c r="L91" s="35">
        <v>46246.542118055557</v>
      </c>
      <c r="M91" s="35">
        <v>46264.053263888891</v>
      </c>
      <c r="N91" s="58">
        <f>IF($E91="","",ROUND($E91*'操作パネル_MS2'!$H$13,0))</f>
      </c>
      <c r="O91" s="66">
        <f>IF($K91="","",ROUND($K91*'操作パネル_MS2'!$H$13,0))</f>
      </c>
      <c r="P91" s="59">
        <f>IF(OR($K91="",$E91="",$F91="",$E91=$F91),"",$K91/ABS($E91-$F91))</f>
      </c>
      <c r="Q91" s="61">
        <f>IF(OR($B91="",$J91=""),"",IF(AND($J91&lt;&gt;"EXPIRED",ISNUMBER($L91),ISNUMBER($M91),INT($L91)=INT($M91)),1,0))</f>
      </c>
      <c r="U91" s="58">
        <f>IF($Q91=1,$O91,"")</f>
      </c>
    </row>
    <row r="92" spans="1:21">
      <c r="A92" s="1">
        <v>91</v>
      </c>
      <c r="B92" s="1">
        <v>7211</v>
      </c>
      <c r="C92" s="1" t="str">
        <f>IFERROR(INDEX(StockList_MS2!$B$2:$B$400,MATCH($B92,StockList_MS2!$A$2:$A$400,0)),"")</f>
        <v>三菱自動車工業</v>
      </c>
      <c r="D92" s="1" t="s">
        <v>74</v>
      </c>
      <c r="E92" s="1">
        <v>344.8</v>
      </c>
      <c r="F92" s="1">
        <v>345.86681903828043</v>
      </c>
      <c r="G92" s="1">
        <v>343.7331809617196</v>
      </c>
      <c r="H92" s="1">
        <v>343.37757461562614</v>
      </c>
      <c r="I92" s="1">
        <v>342.66636192343924</v>
      </c>
      <c r="J92" s="1" t="s">
        <v>8</v>
      </c>
      <c r="K92" s="1">
        <v>-1.0668190382804141</v>
      </c>
      <c r="L92" s="35">
        <v>46246.542129629626</v>
      </c>
      <c r="M92" s="35">
        <v>46264.053263888891</v>
      </c>
      <c r="N92" s="58">
        <f>IF($E92="","",ROUND($E92*'操作パネル_MS2'!$H$13,0))</f>
      </c>
      <c r="O92" s="66">
        <f>IF($K92="","",ROUND($K92*'操作パネル_MS2'!$H$13,0))</f>
      </c>
      <c r="P92" s="59">
        <f>IF(OR($K92="",$E92="",$F92="",$E92=$F92),"",$K92/ABS($E92-$F92))</f>
      </c>
      <c r="Q92" s="61">
        <f>IF(OR($B92="",$J92=""),"",IF(AND($J92&lt;&gt;"EXPIRED",ISNUMBER($L92),ISNUMBER($M92),INT($L92)=INT($M92)),1,0))</f>
      </c>
      <c r="U92" s="58">
        <f>IF($Q92=1,$O92,"")</f>
      </c>
    </row>
    <row r="93" spans="14:21">
      <c r="N93" s="58">
        <f>IF($E93="","",ROUND($E93*'操作パネル_MS2'!$H$13,0))</f>
      </c>
      <c r="O93" s="66">
        <f>IF($K93="","",ROUND($K93*'操作パネル_MS2'!$H$13,0))</f>
      </c>
      <c r="P93" s="59">
        <f>IF(OR($K93="",$E93="",$F93="",$E93=$F93),"",$K93/ABS($E93-$F93))</f>
      </c>
      <c r="Q93" s="61">
        <f>IF(OR($B93="",$J93=""),"",IF(AND($J93&lt;&gt;"EXPIRED",ISNUMBER($L93),ISNUMBER($M93),INT($L93)=INT($M93)),1,0))</f>
      </c>
      <c r="U93" s="58">
        <f>IF($Q93=1,$O93,"")</f>
      </c>
    </row>
    <row r="94" spans="14:21">
      <c r="N94" s="58">
        <f>IF($E94="","",ROUND($E94*'操作パネル_MS2'!$H$13,0))</f>
      </c>
      <c r="O94" s="66">
        <f>IF($K94="","",ROUND($K94*'操作パネル_MS2'!$H$13,0))</f>
      </c>
      <c r="P94" s="59">
        <f>IF(OR($K94="",$E94="",$F94="",$E94=$F94),"",$K94/ABS($E94-$F94))</f>
      </c>
      <c r="Q94" s="61">
        <f>IF(OR($B94="",$J94=""),"",IF(AND($J94&lt;&gt;"EXPIRED",ISNUMBER($L94),ISNUMBER($M94),INT($L94)=INT($M94)),1,0))</f>
      </c>
      <c r="U94" s="58">
        <f>IF($Q94=1,$O94,"")</f>
      </c>
    </row>
    <row r="95" spans="14:21">
      <c r="N95" s="58">
        <f>IF($E95="","",ROUND($E95*'操作パネル_MS2'!$H$13,0))</f>
      </c>
      <c r="O95" s="66">
        <f>IF($K95="","",ROUND($K95*'操作パネル_MS2'!$H$13,0))</f>
      </c>
      <c r="P95" s="59">
        <f>IF(OR($K95="",$E95="",$F95="",$E95=$F95),"",$K95/ABS($E95-$F95))</f>
      </c>
      <c r="Q95" s="61">
        <f>IF(OR($B95="",$J95=""),"",IF(AND($J95&lt;&gt;"EXPIRED",ISNUMBER($L95),ISNUMBER($M95),INT($L95)=INT($M95)),1,0))</f>
      </c>
      <c r="U95" s="58">
        <f>IF($Q95=1,$O95,"")</f>
      </c>
    </row>
    <row r="96" spans="14:21">
      <c r="N96" s="58">
        <f>IF($E96="","",ROUND($E96*'操作パネル_MS2'!$H$13,0))</f>
      </c>
      <c r="O96" s="66">
        <f>IF($K96="","",ROUND($K96*'操作パネル_MS2'!$H$13,0))</f>
      </c>
      <c r="P96" s="59">
        <f>IF(OR($K96="",$E96="",$F96="",$E96=$F96),"",$K96/ABS($E96-$F96))</f>
      </c>
      <c r="Q96" s="61">
        <f>IF(OR($B96="",$J96=""),"",IF(AND($J96&lt;&gt;"EXPIRED",ISNUMBER($L96),ISNUMBER($M96),INT($L96)=INT($M96)),1,0))</f>
      </c>
      <c r="U96" s="58">
        <f>IF($Q96=1,$O96,"")</f>
      </c>
    </row>
    <row r="97" spans="14:21">
      <c r="N97" s="58">
        <f>IF($E97="","",ROUND($E97*'操作パネル_MS2'!$H$13,0))</f>
      </c>
      <c r="O97" s="66">
        <f>IF($K97="","",ROUND($K97*'操作パネル_MS2'!$H$13,0))</f>
      </c>
      <c r="P97" s="59">
        <f>IF(OR($K97="",$E97="",$F97="",$E97=$F97),"",$K97/ABS($E97-$F97))</f>
      </c>
      <c r="Q97" s="61">
        <f>IF(OR($B97="",$J97=""),"",IF(AND($J97&lt;&gt;"EXPIRED",ISNUMBER($L97),ISNUMBER($M97),INT($L97)=INT($M97)),1,0))</f>
      </c>
      <c r="U97" s="58">
        <f>IF($Q97=1,$O97,"")</f>
      </c>
    </row>
    <row r="98" spans="14:21">
      <c r="N98" s="58">
        <f>IF($E98="","",ROUND($E98*'操作パネル_MS2'!$H$13,0))</f>
      </c>
      <c r="O98" s="66">
        <f>IF($K98="","",ROUND($K98*'操作パネル_MS2'!$H$13,0))</f>
      </c>
      <c r="P98" s="59">
        <f>IF(OR($K98="",$E98="",$F98="",$E98=$F98),"",$K98/ABS($E98-$F98))</f>
      </c>
      <c r="Q98" s="61">
        <f>IF(OR($B98="",$J98=""),"",IF(AND($J98&lt;&gt;"EXPIRED",ISNUMBER($L98),ISNUMBER($M98),INT($L98)=INT($M98)),1,0))</f>
      </c>
      <c r="U98" s="58">
        <f>IF($Q98=1,$O98,"")</f>
      </c>
    </row>
    <row r="99" spans="14:21">
      <c r="N99" s="58">
        <f>IF($E99="","",ROUND($E99*'操作パネル_MS2'!$H$13,0))</f>
      </c>
      <c r="O99" s="66">
        <f>IF($K99="","",ROUND($K99*'操作パネル_MS2'!$H$13,0))</f>
      </c>
      <c r="P99" s="59">
        <f>IF(OR($K99="",$E99="",$F99="",$E99=$F99),"",$K99/ABS($E99-$F99))</f>
      </c>
      <c r="Q99" s="61">
        <f>IF(OR($B99="",$J99=""),"",IF(AND($J99&lt;&gt;"EXPIRED",ISNUMBER($L99),ISNUMBER($M99),INT($L99)=INT($M99)),1,0))</f>
      </c>
      <c r="U99" s="58">
        <f>IF($Q99=1,$O99,"")</f>
      </c>
    </row>
    <row r="100" spans="14:21">
      <c r="N100" s="58">
        <f>IF($E100="","",ROUND($E100*'操作パネル_MS2'!$H$13,0))</f>
      </c>
      <c r="O100" s="66">
        <f>IF($K100="","",ROUND($K100*'操作パネル_MS2'!$H$13,0))</f>
      </c>
      <c r="P100" s="59">
        <f>IF(OR($K100="",$E100="",$F100="",$E100=$F100),"",$K100/ABS($E100-$F100))</f>
      </c>
      <c r="Q100" s="61">
        <f>IF(OR($B100="",$J100=""),"",IF(AND($J100&lt;&gt;"EXPIRED",ISNUMBER($L100),ISNUMBER($M100),INT($L100)=INT($M100)),1,0))</f>
      </c>
      <c r="U100" s="58">
        <f>IF($Q100=1,$O100,"")</f>
      </c>
    </row>
    <row r="101" spans="14:21">
      <c r="N101" s="58">
        <f>IF($E101="","",ROUND($E101*'操作パネル_MS2'!$H$13,0))</f>
      </c>
      <c r="O101" s="66">
        <f>IF($K101="","",ROUND($K101*'操作パネル_MS2'!$H$13,0))</f>
      </c>
      <c r="P101" s="59">
        <f>IF(OR($K101="",$E101="",$F101="",$E101=$F101),"",$K101/ABS($E101-$F101))</f>
      </c>
      <c r="Q101" s="61">
        <f>IF(OR($B101="",$J101=""),"",IF(AND($J101&lt;&gt;"EXPIRED",ISNUMBER($L101),ISNUMBER($M101),INT($L101)=INT($M101)),1,0))</f>
      </c>
      <c r="U101" s="58">
        <f>IF($Q101=1,$O101,"")</f>
      </c>
    </row>
    <row r="102" spans="14:21">
      <c r="N102" s="58">
        <f>IF($E102="","",ROUND($E102*'操作パネル_MS2'!$H$13,0))</f>
      </c>
      <c r="O102" s="66">
        <f>IF($K102="","",ROUND($K102*'操作パネル_MS2'!$H$13,0))</f>
      </c>
      <c r="P102" s="59">
        <f>IF(OR($K102="",$E102="",$F102="",$E102=$F102),"",$K102/ABS($E102-$F102))</f>
      </c>
      <c r="Q102" s="61">
        <f>IF(OR($B102="",$J102=""),"",IF(AND($J102&lt;&gt;"EXPIRED",ISNUMBER($L102),ISNUMBER($M102),INT($L102)=INT($M102)),1,0))</f>
      </c>
      <c r="U102" s="58">
        <f>IF($Q102=1,$O102,"")</f>
      </c>
    </row>
    <row r="103" spans="14:21">
      <c r="N103" s="58">
        <f>IF($E103="","",ROUND($E103*'操作パネル_MS2'!$H$13,0))</f>
      </c>
      <c r="O103" s="66">
        <f>IF($K103="","",ROUND($K103*'操作パネル_MS2'!$H$13,0))</f>
      </c>
      <c r="P103" s="59">
        <f>IF(OR($K103="",$E103="",$F103="",$E103=$F103),"",$K103/ABS($E103-$F103))</f>
      </c>
      <c r="Q103" s="61">
        <f>IF(OR($B103="",$J103=""),"",IF(AND($J103&lt;&gt;"EXPIRED",ISNUMBER($L103),ISNUMBER($M103),INT($L103)=INT($M103)),1,0))</f>
      </c>
      <c r="U103" s="58">
        <f>IF($Q103=1,$O103,"")</f>
      </c>
    </row>
    <row r="104" spans="14:21">
      <c r="N104" s="58">
        <f>IF($E104="","",ROUND($E104*'操作パネル_MS2'!$H$13,0))</f>
      </c>
      <c r="O104" s="66">
        <f>IF($K104="","",ROUND($K104*'操作パネル_MS2'!$H$13,0))</f>
      </c>
      <c r="P104" s="59">
        <f>IF(OR($K104="",$E104="",$F104="",$E104=$F104),"",$K104/ABS($E104-$F104))</f>
      </c>
      <c r="Q104" s="61">
        <f>IF(OR($B104="",$J104=""),"",IF(AND($J104&lt;&gt;"EXPIRED",ISNUMBER($L104),ISNUMBER($M104),INT($L104)=INT($M104)),1,0))</f>
      </c>
      <c r="U104" s="58">
        <f>IF($Q104=1,$O104,"")</f>
      </c>
    </row>
    <row r="105" spans="14:21">
      <c r="N105" s="58">
        <f>IF($E105="","",ROUND($E105*'操作パネル_MS2'!$H$13,0))</f>
      </c>
      <c r="O105" s="66">
        <f>IF($K105="","",ROUND($K105*'操作パネル_MS2'!$H$13,0))</f>
      </c>
      <c r="P105" s="59">
        <f>IF(OR($K105="",$E105="",$F105="",$E105=$F105),"",$K105/ABS($E105-$F105))</f>
      </c>
      <c r="Q105" s="61">
        <f>IF(OR($B105="",$J105=""),"",IF(AND($J105&lt;&gt;"EXPIRED",ISNUMBER($L105),ISNUMBER($M105),INT($L105)=INT($M105)),1,0))</f>
      </c>
      <c r="U105" s="58">
        <f>IF($Q105=1,$O105,"")</f>
      </c>
    </row>
    <row r="106" spans="14:21">
      <c r="N106" s="58">
        <f>IF($E106="","",ROUND($E106*'操作パネル_MS2'!$H$13,0))</f>
      </c>
      <c r="O106" s="66">
        <f>IF($K106="","",ROUND($K106*'操作パネル_MS2'!$H$13,0))</f>
      </c>
      <c r="P106" s="59">
        <f>IF(OR($K106="",$E106="",$F106="",$E106=$F106),"",$K106/ABS($E106-$F106))</f>
      </c>
      <c r="Q106" s="61">
        <f>IF(OR($B106="",$J106=""),"",IF(AND($J106&lt;&gt;"EXPIRED",ISNUMBER($L106),ISNUMBER($M106),INT($L106)=INT($M106)),1,0))</f>
      </c>
      <c r="U106" s="58">
        <f>IF($Q106=1,$O106,"")</f>
      </c>
    </row>
    <row r="107" spans="14:21">
      <c r="N107" s="58">
        <f>IF($E107="","",ROUND($E107*'操作パネル_MS2'!$H$13,0))</f>
      </c>
      <c r="O107" s="66">
        <f>IF($K107="","",ROUND($K107*'操作パネル_MS2'!$H$13,0))</f>
      </c>
      <c r="P107" s="59">
        <f>IF(OR($K107="",$E107="",$F107="",$E107=$F107),"",$K107/ABS($E107-$F107))</f>
      </c>
      <c r="Q107" s="61">
        <f>IF(OR($B107="",$J107=""),"",IF(AND($J107&lt;&gt;"EXPIRED",ISNUMBER($L107),ISNUMBER($M107),INT($L107)=INT($M107)),1,0))</f>
      </c>
      <c r="U107" s="58">
        <f>IF($Q107=1,$O107,"")</f>
      </c>
    </row>
    <row r="108" spans="14:21">
      <c r="N108" s="58">
        <f>IF($E108="","",ROUND($E108*'操作パネル_MS2'!$H$13,0))</f>
      </c>
      <c r="O108" s="66">
        <f>IF($K108="","",ROUND($K108*'操作パネル_MS2'!$H$13,0))</f>
      </c>
      <c r="P108" s="59">
        <f>IF(OR($K108="",$E108="",$F108="",$E108=$F108),"",$K108/ABS($E108-$F108))</f>
      </c>
      <c r="Q108" s="61">
        <f>IF(OR($B108="",$J108=""),"",IF(AND($J108&lt;&gt;"EXPIRED",ISNUMBER($L108),ISNUMBER($M108),INT($L108)=INT($M108)),1,0))</f>
      </c>
      <c r="U108" s="58">
        <f>IF($Q108=1,$O108,"")</f>
      </c>
    </row>
    <row r="109" spans="14:21">
      <c r="N109" s="58">
        <f>IF($E109="","",ROUND($E109*'操作パネル_MS2'!$H$13,0))</f>
      </c>
      <c r="O109" s="66">
        <f>IF($K109="","",ROUND($K109*'操作パネル_MS2'!$H$13,0))</f>
      </c>
      <c r="P109" s="59">
        <f>IF(OR($K109="",$E109="",$F109="",$E109=$F109),"",$K109/ABS($E109-$F109))</f>
      </c>
      <c r="Q109" s="61">
        <f>IF(OR($B109="",$J109=""),"",IF(AND($J109&lt;&gt;"EXPIRED",ISNUMBER($L109),ISNUMBER($M109),INT($L109)=INT($M109)),1,0))</f>
      </c>
      <c r="U109" s="58">
        <f>IF($Q109=1,$O109,"")</f>
      </c>
    </row>
    <row r="110" spans="14:21">
      <c r="N110" s="58">
        <f>IF($E110="","",ROUND($E110*'操作パネル_MS2'!$H$13,0))</f>
      </c>
      <c r="O110" s="66">
        <f>IF($K110="","",ROUND($K110*'操作パネル_MS2'!$H$13,0))</f>
      </c>
      <c r="P110" s="59">
        <f>IF(OR($K110="",$E110="",$F110="",$E110=$F110),"",$K110/ABS($E110-$F110))</f>
      </c>
      <c r="Q110" s="61">
        <f>IF(OR($B110="",$J110=""),"",IF(AND($J110&lt;&gt;"EXPIRED",ISNUMBER($L110),ISNUMBER($M110),INT($L110)=INT($M110)),1,0))</f>
      </c>
      <c r="U110" s="58">
        <f>IF($Q110=1,$O110,"")</f>
      </c>
    </row>
    <row r="111" spans="14:21">
      <c r="N111" s="58">
        <f>IF($E111="","",ROUND($E111*'操作パネル_MS2'!$H$13,0))</f>
      </c>
      <c r="O111" s="66">
        <f>IF($K111="","",ROUND($K111*'操作パネル_MS2'!$H$13,0))</f>
      </c>
      <c r="P111" s="59">
        <f>IF(OR($K111="",$E111="",$F111="",$E111=$F111),"",$K111/ABS($E111-$F111))</f>
      </c>
      <c r="Q111" s="61">
        <f>IF(OR($B111="",$J111=""),"",IF(AND($J111&lt;&gt;"EXPIRED",ISNUMBER($L111),ISNUMBER($M111),INT($L111)=INT($M111)),1,0))</f>
      </c>
      <c r="U111" s="58">
        <f>IF($Q111=1,$O111,"")</f>
      </c>
    </row>
    <row r="112" spans="14:21">
      <c r="N112" s="58">
        <f>IF($E112="","",ROUND($E112*'操作パネル_MS2'!$H$13,0))</f>
      </c>
      <c r="O112" s="66">
        <f>IF($K112="","",ROUND($K112*'操作パネル_MS2'!$H$13,0))</f>
      </c>
      <c r="P112" s="59">
        <f>IF(OR($K112="",$E112="",$F112="",$E112=$F112),"",$K112/ABS($E112-$F112))</f>
      </c>
      <c r="Q112" s="61">
        <f>IF(OR($B112="",$J112=""),"",IF(AND($J112&lt;&gt;"EXPIRED",ISNUMBER($L112),ISNUMBER($M112),INT($L112)=INT($M112)),1,0))</f>
      </c>
      <c r="U112" s="58">
        <f>IF($Q112=1,$O112,"")</f>
      </c>
    </row>
    <row r="113" spans="14:21">
      <c r="N113" s="58">
        <f>IF($E113="","",ROUND($E113*'操作パネル_MS2'!$H$13,0))</f>
      </c>
      <c r="O113" s="66">
        <f>IF($K113="","",ROUND($K113*'操作パネル_MS2'!$H$13,0))</f>
      </c>
      <c r="P113" s="59">
        <f>IF(OR($K113="",$E113="",$F113="",$E113=$F113),"",$K113/ABS($E113-$F113))</f>
      </c>
      <c r="Q113" s="61">
        <f>IF(OR($B113="",$J113=""),"",IF(AND($J113&lt;&gt;"EXPIRED",ISNUMBER($L113),ISNUMBER($M113),INT($L113)=INT($M113)),1,0))</f>
      </c>
      <c r="U113" s="58">
        <f>IF($Q113=1,$O113,"")</f>
      </c>
    </row>
    <row r="114" spans="14:21">
      <c r="N114" s="58">
        <f>IF($E114="","",ROUND($E114*'操作パネル_MS2'!$H$13,0))</f>
      </c>
      <c r="O114" s="66">
        <f>IF($K114="","",ROUND($K114*'操作パネル_MS2'!$H$13,0))</f>
      </c>
      <c r="P114" s="59">
        <f>IF(OR($K114="",$E114="",$F114="",$E114=$F114),"",$K114/ABS($E114-$F114))</f>
      </c>
      <c r="Q114" s="61">
        <f>IF(OR($B114="",$J114=""),"",IF(AND($J114&lt;&gt;"EXPIRED",ISNUMBER($L114),ISNUMBER($M114),INT($L114)=INT($M114)),1,0))</f>
      </c>
      <c r="U114" s="58">
        <f>IF($Q114=1,$O114,"")</f>
      </c>
    </row>
    <row r="115" spans="14:21">
      <c r="N115" s="58">
        <f>IF($E115="","",ROUND($E115*'操作パネル_MS2'!$H$13,0))</f>
      </c>
      <c r="O115" s="66">
        <f>IF($K115="","",ROUND($K115*'操作パネル_MS2'!$H$13,0))</f>
      </c>
      <c r="P115" s="59">
        <f>IF(OR($K115="",$E115="",$F115="",$E115=$F115),"",$K115/ABS($E115-$F115))</f>
      </c>
      <c r="Q115" s="61">
        <f>IF(OR($B115="",$J115=""),"",IF(AND($J115&lt;&gt;"EXPIRED",ISNUMBER($L115),ISNUMBER($M115),INT($L115)=INT($M115)),1,0))</f>
      </c>
      <c r="U115" s="58">
        <f>IF($Q115=1,$O115,"")</f>
      </c>
    </row>
    <row r="116" spans="14:21">
      <c r="N116" s="58">
        <f>IF($E116="","",ROUND($E116*'操作パネル_MS2'!$H$13,0))</f>
      </c>
      <c r="O116" s="66">
        <f>IF($K116="","",ROUND($K116*'操作パネル_MS2'!$H$13,0))</f>
      </c>
      <c r="P116" s="59">
        <f>IF(OR($K116="",$E116="",$F116="",$E116=$F116),"",$K116/ABS($E116-$F116))</f>
      </c>
      <c r="Q116" s="61">
        <f>IF(OR($B116="",$J116=""),"",IF(AND($J116&lt;&gt;"EXPIRED",ISNUMBER($L116),ISNUMBER($M116),INT($L116)=INT($M116)),1,0))</f>
      </c>
      <c r="U116" s="58">
        <f>IF($Q116=1,$O116,"")</f>
      </c>
    </row>
    <row r="117" spans="14:21">
      <c r="N117" s="58">
        <f>IF($E117="","",ROUND($E117*'操作パネル_MS2'!$H$13,0))</f>
      </c>
      <c r="O117" s="66">
        <f>IF($K117="","",ROUND($K117*'操作パネル_MS2'!$H$13,0))</f>
      </c>
      <c r="P117" s="59">
        <f>IF(OR($K117="",$E117="",$F117="",$E117=$F117),"",$K117/ABS($E117-$F117))</f>
      </c>
      <c r="Q117" s="61">
        <f>IF(OR($B117="",$J117=""),"",IF(AND($J117&lt;&gt;"EXPIRED",ISNUMBER($L117),ISNUMBER($M117),INT($L117)=INT($M117)),1,0))</f>
      </c>
      <c r="U117" s="58">
        <f>IF($Q117=1,$O117,"")</f>
      </c>
    </row>
    <row r="118" spans="14:21">
      <c r="N118" s="58">
        <f>IF($E118="","",ROUND($E118*'操作パネル_MS2'!$H$13,0))</f>
      </c>
      <c r="O118" s="66">
        <f>IF($K118="","",ROUND($K118*'操作パネル_MS2'!$H$13,0))</f>
      </c>
      <c r="P118" s="59">
        <f>IF(OR($K118="",$E118="",$F118="",$E118=$F118),"",$K118/ABS($E118-$F118))</f>
      </c>
      <c r="Q118" s="61">
        <f>IF(OR($B118="",$J118=""),"",IF(AND($J118&lt;&gt;"EXPIRED",ISNUMBER($L118),ISNUMBER($M118),INT($L118)=INT($M118)),1,0))</f>
      </c>
      <c r="U118" s="58">
        <f>IF($Q118=1,$O118,"")</f>
      </c>
    </row>
    <row r="119" spans="14:21">
      <c r="N119" s="58">
        <f>IF($E119="","",ROUND($E119*'操作パネル_MS2'!$H$13,0))</f>
      </c>
      <c r="O119" s="66">
        <f>IF($K119="","",ROUND($K119*'操作パネル_MS2'!$H$13,0))</f>
      </c>
      <c r="P119" s="59">
        <f>IF(OR($K119="",$E119="",$F119="",$E119=$F119),"",$K119/ABS($E119-$F119))</f>
      </c>
      <c r="Q119" s="61">
        <f>IF(OR($B119="",$J119=""),"",IF(AND($J119&lt;&gt;"EXPIRED",ISNUMBER($L119),ISNUMBER($M119),INT($L119)=INT($M119)),1,0))</f>
      </c>
      <c r="U119" s="58">
        <f>IF($Q119=1,$O119,"")</f>
      </c>
    </row>
    <row r="120" spans="14:21">
      <c r="N120" s="58">
        <f>IF($E120="","",ROUND($E120*'操作パネル_MS2'!$H$13,0))</f>
      </c>
      <c r="O120" s="66">
        <f>IF($K120="","",ROUND($K120*'操作パネル_MS2'!$H$13,0))</f>
      </c>
      <c r="P120" s="59">
        <f>IF(OR($K120="",$E120="",$F120="",$E120=$F120),"",$K120/ABS($E120-$F120))</f>
      </c>
      <c r="Q120" s="61">
        <f>IF(OR($B120="",$J120=""),"",IF(AND($J120&lt;&gt;"EXPIRED",ISNUMBER($L120),ISNUMBER($M120),INT($L120)=INT($M120)),1,0))</f>
      </c>
      <c r="U120" s="58">
        <f>IF($Q120=1,$O120,"")</f>
      </c>
    </row>
    <row r="121" spans="14:21">
      <c r="N121" s="58">
        <f>IF($E121="","",ROUND($E121*'操作パネル_MS2'!$H$13,0))</f>
      </c>
      <c r="O121" s="66">
        <f>IF($K121="","",ROUND($K121*'操作パネル_MS2'!$H$13,0))</f>
      </c>
      <c r="P121" s="59">
        <f>IF(OR($K121="",$E121="",$F121="",$E121=$F121),"",$K121/ABS($E121-$F121))</f>
      </c>
      <c r="Q121" s="61">
        <f>IF(OR($B121="",$J121=""),"",IF(AND($J121&lt;&gt;"EXPIRED",ISNUMBER($L121),ISNUMBER($M121),INT($L121)=INT($M121)),1,0))</f>
      </c>
      <c r="U121" s="58">
        <f>IF($Q121=1,$O121,"")</f>
      </c>
    </row>
    <row r="122" spans="14:21">
      <c r="N122" s="58">
        <f>IF($E122="","",ROUND($E122*'操作パネル_MS2'!$H$13,0))</f>
      </c>
      <c r="O122" s="66">
        <f>IF($K122="","",ROUND($K122*'操作パネル_MS2'!$H$13,0))</f>
      </c>
      <c r="P122" s="59">
        <f>IF(OR($K122="",$E122="",$F122="",$E122=$F122),"",$K122/ABS($E122-$F122))</f>
      </c>
      <c r="Q122" s="61">
        <f>IF(OR($B122="",$J122=""),"",IF(AND($J122&lt;&gt;"EXPIRED",ISNUMBER($L122),ISNUMBER($M122),INT($L122)=INT($M122)),1,0))</f>
      </c>
      <c r="U122" s="58">
        <f>IF($Q122=1,$O122,"")</f>
      </c>
    </row>
    <row r="123" spans="14:21">
      <c r="N123" s="58">
        <f>IF($E123="","",ROUND($E123*'操作パネル_MS2'!$H$13,0))</f>
      </c>
      <c r="O123" s="66">
        <f>IF($K123="","",ROUND($K123*'操作パネル_MS2'!$H$13,0))</f>
      </c>
      <c r="P123" s="59">
        <f>IF(OR($K123="",$E123="",$F123="",$E123=$F123),"",$K123/ABS($E123-$F123))</f>
      </c>
      <c r="Q123" s="61">
        <f>IF(OR($B123="",$J123=""),"",IF(AND($J123&lt;&gt;"EXPIRED",ISNUMBER($L123),ISNUMBER($M123),INT($L123)=INT($M123)),1,0))</f>
      </c>
      <c r="U123" s="58">
        <f>IF($Q123=1,$O123,"")</f>
      </c>
    </row>
    <row r="124" spans="14:21">
      <c r="N124" s="58">
        <f>IF($E124="","",ROUND($E124*'操作パネル_MS2'!$H$13,0))</f>
      </c>
      <c r="O124" s="66">
        <f>IF($K124="","",ROUND($K124*'操作パネル_MS2'!$H$13,0))</f>
      </c>
      <c r="P124" s="59">
        <f>IF(OR($K124="",$E124="",$F124="",$E124=$F124),"",$K124/ABS($E124-$F124))</f>
      </c>
      <c r="Q124" s="61">
        <f>IF(OR($B124="",$J124=""),"",IF(AND($J124&lt;&gt;"EXPIRED",ISNUMBER($L124),ISNUMBER($M124),INT($L124)=INT($M124)),1,0))</f>
      </c>
      <c r="U124" s="58">
        <f>IF($Q124=1,$O124,"")</f>
      </c>
    </row>
    <row r="125" spans="14:21">
      <c r="N125" s="58">
        <f>IF($E125="","",ROUND($E125*'操作パネル_MS2'!$H$13,0))</f>
      </c>
      <c r="O125" s="66">
        <f>IF($K125="","",ROUND($K125*'操作パネル_MS2'!$H$13,0))</f>
      </c>
      <c r="P125" s="59">
        <f>IF(OR($K125="",$E125="",$F125="",$E125=$F125),"",$K125/ABS($E125-$F125))</f>
      </c>
      <c r="Q125" s="61">
        <f>IF(OR($B125="",$J125=""),"",IF(AND($J125&lt;&gt;"EXPIRED",ISNUMBER($L125),ISNUMBER($M125),INT($L125)=INT($M125)),1,0))</f>
      </c>
      <c r="U125" s="58">
        <f>IF($Q125=1,$O125,"")</f>
      </c>
    </row>
    <row r="126" spans="14:21">
      <c r="N126" s="58">
        <f>IF($E126="","",ROUND($E126*'操作パネル_MS2'!$H$13,0))</f>
      </c>
      <c r="O126" s="66">
        <f>IF($K126="","",ROUND($K126*'操作パネル_MS2'!$H$13,0))</f>
      </c>
      <c r="P126" s="59">
        <f>IF(OR($K126="",$E126="",$F126="",$E126=$F126),"",$K126/ABS($E126-$F126))</f>
      </c>
      <c r="Q126" s="61">
        <f>IF(OR($B126="",$J126=""),"",IF(AND($J126&lt;&gt;"EXPIRED",ISNUMBER($L126),ISNUMBER($M126),INT($L126)=INT($M126)),1,0))</f>
      </c>
      <c r="U126" s="58">
        <f>IF($Q126=1,$O126,"")</f>
      </c>
    </row>
    <row r="127" spans="14:21">
      <c r="N127" s="58">
        <f>IF($E127="","",ROUND($E127*'操作パネル_MS2'!$H$13,0))</f>
      </c>
      <c r="O127" s="66">
        <f>IF($K127="","",ROUND($K127*'操作パネル_MS2'!$H$13,0))</f>
      </c>
      <c r="P127" s="59">
        <f>IF(OR($K127="",$E127="",$F127="",$E127=$F127),"",$K127/ABS($E127-$F127))</f>
      </c>
      <c r="Q127" s="61">
        <f>IF(OR($B127="",$J127=""),"",IF(AND($J127&lt;&gt;"EXPIRED",ISNUMBER($L127),ISNUMBER($M127),INT($L127)=INT($M127)),1,0))</f>
      </c>
      <c r="U127" s="58">
        <f>IF($Q127=1,$O127,"")</f>
      </c>
    </row>
    <row r="128" spans="14:21">
      <c r="N128" s="58">
        <f>IF($E128="","",ROUND($E128*'操作パネル_MS2'!$H$13,0))</f>
      </c>
      <c r="O128" s="66">
        <f>IF($K128="","",ROUND($K128*'操作パネル_MS2'!$H$13,0))</f>
      </c>
      <c r="P128" s="59">
        <f>IF(OR($K128="",$E128="",$F128="",$E128=$F128),"",$K128/ABS($E128-$F128))</f>
      </c>
      <c r="Q128" s="61">
        <f>IF(OR($B128="",$J128=""),"",IF(AND($J128&lt;&gt;"EXPIRED",ISNUMBER($L128),ISNUMBER($M128),INT($L128)=INT($M128)),1,0))</f>
      </c>
      <c r="U128" s="58">
        <f>IF($Q128=1,$O128,"")</f>
      </c>
    </row>
    <row r="129" spans="14:21">
      <c r="N129" s="58">
        <f>IF($E129="","",ROUND($E129*'操作パネル_MS2'!$H$13,0))</f>
      </c>
      <c r="O129" s="66">
        <f>IF($K129="","",ROUND($K129*'操作パネル_MS2'!$H$13,0))</f>
      </c>
      <c r="P129" s="59">
        <f>IF(OR($K129="",$E129="",$F129="",$E129=$F129),"",$K129/ABS($E129-$F129))</f>
      </c>
      <c r="Q129" s="61">
        <f>IF(OR($B129="",$J129=""),"",IF(AND($J129&lt;&gt;"EXPIRED",ISNUMBER($L129),ISNUMBER($M129),INT($L129)=INT($M129)),1,0))</f>
      </c>
      <c r="U129" s="58">
        <f>IF($Q129=1,$O129,"")</f>
      </c>
    </row>
    <row r="130" spans="14:21">
      <c r="N130" s="58">
        <f>IF($E130="","",ROUND($E130*'操作パネル_MS2'!$H$13,0))</f>
      </c>
      <c r="O130" s="66">
        <f>IF($K130="","",ROUND($K130*'操作パネル_MS2'!$H$13,0))</f>
      </c>
      <c r="P130" s="59">
        <f>IF(OR($K130="",$E130="",$F130="",$E130=$F130),"",$K130/ABS($E130-$F130))</f>
      </c>
      <c r="Q130" s="61">
        <f>IF(OR($B130="",$J130=""),"",IF(AND($J130&lt;&gt;"EXPIRED",ISNUMBER($L130),ISNUMBER($M130),INT($L130)=INT($M130)),1,0))</f>
      </c>
      <c r="U130" s="58">
        <f>IF($Q130=1,$O130,"")</f>
      </c>
    </row>
    <row r="131" spans="14:21">
      <c r="N131" s="58">
        <f>IF($E131="","",ROUND($E131*'操作パネル_MS2'!$H$13,0))</f>
      </c>
      <c r="O131" s="66">
        <f>IF($K131="","",ROUND($K131*'操作パネル_MS2'!$H$13,0))</f>
      </c>
      <c r="P131" s="59">
        <f>IF(OR($K131="",$E131="",$F131="",$E131=$F131),"",$K131/ABS($E131-$F131))</f>
      </c>
      <c r="Q131" s="61">
        <f>IF(OR($B131="",$J131=""),"",IF(AND($J131&lt;&gt;"EXPIRED",ISNUMBER($L131),ISNUMBER($M131),INT($L131)=INT($M131)),1,0))</f>
      </c>
      <c r="U131" s="58">
        <f>IF($Q131=1,$O131,"")</f>
      </c>
    </row>
    <row r="132" spans="14:21">
      <c r="N132" s="58">
        <f>IF($E132="","",ROUND($E132*'操作パネル_MS2'!$H$13,0))</f>
      </c>
      <c r="O132" s="66">
        <f>IF($K132="","",ROUND($K132*'操作パネル_MS2'!$H$13,0))</f>
      </c>
      <c r="P132" s="59">
        <f>IF(OR($K132="",$E132="",$F132="",$E132=$F132),"",$K132/ABS($E132-$F132))</f>
      </c>
      <c r="Q132" s="61">
        <f>IF(OR($B132="",$J132=""),"",IF(AND($J132&lt;&gt;"EXPIRED",ISNUMBER($L132),ISNUMBER($M132),INT($L132)=INT($M132)),1,0))</f>
      </c>
      <c r="U132" s="58">
        <f>IF($Q132=1,$O132,"")</f>
      </c>
    </row>
    <row r="133" spans="14:21">
      <c r="N133" s="58">
        <f>IF($E133="","",ROUND($E133*'操作パネル_MS2'!$H$13,0))</f>
      </c>
      <c r="O133" s="66">
        <f>IF($K133="","",ROUND($K133*'操作パネル_MS2'!$H$13,0))</f>
      </c>
      <c r="P133" s="59">
        <f>IF(OR($K133="",$E133="",$F133="",$E133=$F133),"",$K133/ABS($E133-$F133))</f>
      </c>
      <c r="Q133" s="61">
        <f>IF(OR($B133="",$J133=""),"",IF(AND($J133&lt;&gt;"EXPIRED",ISNUMBER($L133),ISNUMBER($M133),INT($L133)=INT($M133)),1,0))</f>
      </c>
      <c r="U133" s="58">
        <f>IF($Q133=1,$O133,"")</f>
      </c>
    </row>
    <row r="134" spans="14:21">
      <c r="N134" s="58">
        <f>IF($E134="","",ROUND($E134*'操作パネル_MS2'!$H$13,0))</f>
      </c>
      <c r="O134" s="66">
        <f>IF($K134="","",ROUND($K134*'操作パネル_MS2'!$H$13,0))</f>
      </c>
      <c r="P134" s="59">
        <f>IF(OR($K134="",$E134="",$F134="",$E134=$F134),"",$K134/ABS($E134-$F134))</f>
      </c>
      <c r="Q134" s="61">
        <f>IF(OR($B134="",$J134=""),"",IF(AND($J134&lt;&gt;"EXPIRED",ISNUMBER($L134),ISNUMBER($M134),INT($L134)=INT($M134)),1,0))</f>
      </c>
      <c r="U134" s="58">
        <f>IF($Q134=1,$O134,"")</f>
      </c>
    </row>
    <row r="135" spans="14:21">
      <c r="N135" s="58">
        <f>IF($E135="","",ROUND($E135*'操作パネル_MS2'!$H$13,0))</f>
      </c>
      <c r="O135" s="66">
        <f>IF($K135="","",ROUND($K135*'操作パネル_MS2'!$H$13,0))</f>
      </c>
      <c r="P135" s="59">
        <f>IF(OR($K135="",$E135="",$F135="",$E135=$F135),"",$K135/ABS($E135-$F135))</f>
      </c>
      <c r="Q135" s="61">
        <f>IF(OR($B135="",$J135=""),"",IF(AND($J135&lt;&gt;"EXPIRED",ISNUMBER($L135),ISNUMBER($M135),INT($L135)=INT($M135)),1,0))</f>
      </c>
      <c r="U135" s="58">
        <f>IF($Q135=1,$O135,"")</f>
      </c>
    </row>
    <row r="136" spans="14:21">
      <c r="N136" s="58">
        <f>IF($E136="","",ROUND($E136*'操作パネル_MS2'!$H$13,0))</f>
      </c>
      <c r="O136" s="66">
        <f>IF($K136="","",ROUND($K136*'操作パネル_MS2'!$H$13,0))</f>
      </c>
      <c r="P136" s="59">
        <f>IF(OR($K136="",$E136="",$F136="",$E136=$F136),"",$K136/ABS($E136-$F136))</f>
      </c>
      <c r="Q136" s="61">
        <f>IF(OR($B136="",$J136=""),"",IF(AND($J136&lt;&gt;"EXPIRED",ISNUMBER($L136),ISNUMBER($M136),INT($L136)=INT($M136)),1,0))</f>
      </c>
      <c r="U136" s="58">
        <f>IF($Q136=1,$O136,"")</f>
      </c>
    </row>
    <row r="137" spans="14:21">
      <c r="N137" s="58">
        <f>IF($E137="","",ROUND($E137*'操作パネル_MS2'!$H$13,0))</f>
      </c>
      <c r="O137" s="66">
        <f>IF($K137="","",ROUND($K137*'操作パネル_MS2'!$H$13,0))</f>
      </c>
      <c r="P137" s="59">
        <f>IF(OR($K137="",$E137="",$F137="",$E137=$F137),"",$K137/ABS($E137-$F137))</f>
      </c>
      <c r="Q137" s="61">
        <f>IF(OR($B137="",$J137=""),"",IF(AND($J137&lt;&gt;"EXPIRED",ISNUMBER($L137),ISNUMBER($M137),INT($L137)=INT($M137)),1,0))</f>
      </c>
      <c r="U137" s="58">
        <f>IF($Q137=1,$O137,"")</f>
      </c>
    </row>
    <row r="138" spans="14:21">
      <c r="N138" s="58">
        <f>IF($E138="","",ROUND($E138*'操作パネル_MS2'!$H$13,0))</f>
      </c>
      <c r="O138" s="66">
        <f>IF($K138="","",ROUND($K138*'操作パネル_MS2'!$H$13,0))</f>
      </c>
      <c r="P138" s="59">
        <f>IF(OR($K138="",$E138="",$F138="",$E138=$F138),"",$K138/ABS($E138-$F138))</f>
      </c>
      <c r="Q138" s="61">
        <f>IF(OR($B138="",$J138=""),"",IF(AND($J138&lt;&gt;"EXPIRED",ISNUMBER($L138),ISNUMBER($M138),INT($L138)=INT($M138)),1,0))</f>
      </c>
      <c r="U138" s="58">
        <f>IF($Q138=1,$O138,"")</f>
      </c>
    </row>
    <row r="139" spans="14:21">
      <c r="N139" s="58">
        <f>IF($E139="","",ROUND($E139*'操作パネル_MS2'!$H$13,0))</f>
      </c>
      <c r="O139" s="66">
        <f>IF($K139="","",ROUND($K139*'操作パネル_MS2'!$H$13,0))</f>
      </c>
      <c r="P139" s="59">
        <f>IF(OR($K139="",$E139="",$F139="",$E139=$F139),"",$K139/ABS($E139-$F139))</f>
      </c>
      <c r="Q139" s="61">
        <f>IF(OR($B139="",$J139=""),"",IF(AND($J139&lt;&gt;"EXPIRED",ISNUMBER($L139),ISNUMBER($M139),INT($L139)=INT($M139)),1,0))</f>
      </c>
      <c r="U139" s="58">
        <f>IF($Q139=1,$O139,"")</f>
      </c>
    </row>
    <row r="140" spans="14:21">
      <c r="N140" s="58">
        <f>IF($E140="","",ROUND($E140*'操作パネル_MS2'!$H$13,0))</f>
      </c>
      <c r="O140" s="66">
        <f>IF($K140="","",ROUND($K140*'操作パネル_MS2'!$H$13,0))</f>
      </c>
      <c r="P140" s="59">
        <f>IF(OR($K140="",$E140="",$F140="",$E140=$F140),"",$K140/ABS($E140-$F140))</f>
      </c>
      <c r="Q140" s="61">
        <f>IF(OR($B140="",$J140=""),"",IF(AND($J140&lt;&gt;"EXPIRED",ISNUMBER($L140),ISNUMBER($M140),INT($L140)=INT($M140)),1,0))</f>
      </c>
      <c r="U140" s="58">
        <f>IF($Q140=1,$O140,"")</f>
      </c>
    </row>
    <row r="141" spans="14:21">
      <c r="N141" s="58">
        <f>IF($E141="","",ROUND($E141*'操作パネル_MS2'!$H$13,0))</f>
      </c>
      <c r="O141" s="66">
        <f>IF($K141="","",ROUND($K141*'操作パネル_MS2'!$H$13,0))</f>
      </c>
      <c r="P141" s="59">
        <f>IF(OR($K141="",$E141="",$F141="",$E141=$F141),"",$K141/ABS($E141-$F141))</f>
      </c>
      <c r="Q141" s="61">
        <f>IF(OR($B141="",$J141=""),"",IF(AND($J141&lt;&gt;"EXPIRED",ISNUMBER($L141),ISNUMBER($M141),INT($L141)=INT($M141)),1,0))</f>
      </c>
      <c r="U141" s="58">
        <f>IF($Q141=1,$O141,"")</f>
      </c>
    </row>
    <row r="142" spans="14:21">
      <c r="N142" s="58">
        <f>IF($E142="","",ROUND($E142*'操作パネル_MS2'!$H$13,0))</f>
      </c>
      <c r="O142" s="66">
        <f>IF($K142="","",ROUND($K142*'操作パネル_MS2'!$H$13,0))</f>
      </c>
      <c r="P142" s="59">
        <f>IF(OR($K142="",$E142="",$F142="",$E142=$F142),"",$K142/ABS($E142-$F142))</f>
      </c>
      <c r="Q142" s="61">
        <f>IF(OR($B142="",$J142=""),"",IF(AND($J142&lt;&gt;"EXPIRED",ISNUMBER($L142),ISNUMBER($M142),INT($L142)=INT($M142)),1,0))</f>
      </c>
      <c r="U142" s="58">
        <f>IF($Q142=1,$O142,"")</f>
      </c>
    </row>
    <row r="143" spans="14:21">
      <c r="N143" s="58">
        <f>IF($E143="","",ROUND($E143*'操作パネル_MS2'!$H$13,0))</f>
      </c>
      <c r="O143" s="66">
        <f>IF($K143="","",ROUND($K143*'操作パネル_MS2'!$H$13,0))</f>
      </c>
      <c r="P143" s="59">
        <f>IF(OR($K143="",$E143="",$F143="",$E143=$F143),"",$K143/ABS($E143-$F143))</f>
      </c>
      <c r="Q143" s="61">
        <f>IF(OR($B143="",$J143=""),"",IF(AND($J143&lt;&gt;"EXPIRED",ISNUMBER($L143),ISNUMBER($M143),INT($L143)=INT($M143)),1,0))</f>
      </c>
      <c r="U143" s="58">
        <f>IF($Q143=1,$O143,"")</f>
      </c>
    </row>
    <row r="144" spans="14:21">
      <c r="N144" s="58">
        <f>IF($E144="","",ROUND($E144*'操作パネル_MS2'!$H$13,0))</f>
      </c>
      <c r="O144" s="66">
        <f>IF($K144="","",ROUND($K144*'操作パネル_MS2'!$H$13,0))</f>
      </c>
      <c r="P144" s="59">
        <f>IF(OR($K144="",$E144="",$F144="",$E144=$F144),"",$K144/ABS($E144-$F144))</f>
      </c>
      <c r="Q144" s="61">
        <f>IF(OR($B144="",$J144=""),"",IF(AND($J144&lt;&gt;"EXPIRED",ISNUMBER($L144),ISNUMBER($M144),INT($L144)=INT($M144)),1,0))</f>
      </c>
      <c r="U144" s="58">
        <f>IF($Q144=1,$O144,"")</f>
      </c>
    </row>
    <row r="145" spans="14:21">
      <c r="N145" s="58">
        <f>IF($E145="","",ROUND($E145*'操作パネル_MS2'!$H$13,0))</f>
      </c>
      <c r="O145" s="66">
        <f>IF($K145="","",ROUND($K145*'操作パネル_MS2'!$H$13,0))</f>
      </c>
      <c r="P145" s="59">
        <f>IF(OR($K145="",$E145="",$F145="",$E145=$F145),"",$K145/ABS($E145-$F145))</f>
      </c>
      <c r="Q145" s="61">
        <f>IF(OR($B145="",$J145=""),"",IF(AND($J145&lt;&gt;"EXPIRED",ISNUMBER($L145),ISNUMBER($M145),INT($L145)=INT($M145)),1,0))</f>
      </c>
      <c r="U145" s="58">
        <f>IF($Q145=1,$O145,"")</f>
      </c>
    </row>
    <row r="146" spans="14:21">
      <c r="N146" s="58">
        <f>IF($E146="","",ROUND($E146*'操作パネル_MS2'!$H$13,0))</f>
      </c>
      <c r="O146" s="66">
        <f>IF($K146="","",ROUND($K146*'操作パネル_MS2'!$H$13,0))</f>
      </c>
      <c r="P146" s="59">
        <f>IF(OR($K146="",$E146="",$F146="",$E146=$F146),"",$K146/ABS($E146-$F146))</f>
      </c>
      <c r="Q146" s="61">
        <f>IF(OR($B146="",$J146=""),"",IF(AND($J146&lt;&gt;"EXPIRED",ISNUMBER($L146),ISNUMBER($M146),INT($L146)=INT($M146)),1,0))</f>
      </c>
      <c r="U146" s="58">
        <f>IF($Q146=1,$O146,"")</f>
      </c>
    </row>
    <row r="147" spans="14:21">
      <c r="N147" s="58">
        <f>IF($E147="","",ROUND($E147*'操作パネル_MS2'!$H$13,0))</f>
      </c>
      <c r="O147" s="66">
        <f>IF($K147="","",ROUND($K147*'操作パネル_MS2'!$H$13,0))</f>
      </c>
      <c r="P147" s="59">
        <f>IF(OR($K147="",$E147="",$F147="",$E147=$F147),"",$K147/ABS($E147-$F147))</f>
      </c>
      <c r="Q147" s="61">
        <f>IF(OR($B147="",$J147=""),"",IF(AND($J147&lt;&gt;"EXPIRED",ISNUMBER($L147),ISNUMBER($M147),INT($L147)=INT($M147)),1,0))</f>
      </c>
      <c r="U147" s="58">
        <f>IF($Q147=1,$O147,"")</f>
      </c>
    </row>
    <row r="148" spans="14:21">
      <c r="N148" s="58">
        <f>IF($E148="","",ROUND($E148*'操作パネル_MS2'!$H$13,0))</f>
      </c>
      <c r="O148" s="66">
        <f>IF($K148="","",ROUND($K148*'操作パネル_MS2'!$H$13,0))</f>
      </c>
      <c r="P148" s="59">
        <f>IF(OR($K148="",$E148="",$F148="",$E148=$F148),"",$K148/ABS($E148-$F148))</f>
      </c>
      <c r="Q148" s="61">
        <f>IF(OR($B148="",$J148=""),"",IF(AND($J148&lt;&gt;"EXPIRED",ISNUMBER($L148),ISNUMBER($M148),INT($L148)=INT($M148)),1,0))</f>
      </c>
      <c r="U148" s="58">
        <f>IF($Q148=1,$O148,"")</f>
      </c>
    </row>
    <row r="149" spans="14:21">
      <c r="N149" s="58">
        <f>IF($E149="","",ROUND($E149*'操作パネル_MS2'!$H$13,0))</f>
      </c>
      <c r="O149" s="66">
        <f>IF($K149="","",ROUND($K149*'操作パネル_MS2'!$H$13,0))</f>
      </c>
      <c r="P149" s="59">
        <f>IF(OR($K149="",$E149="",$F149="",$E149=$F149),"",$K149/ABS($E149-$F149))</f>
      </c>
      <c r="Q149" s="61">
        <f>IF(OR($B149="",$J149=""),"",IF(AND($J149&lt;&gt;"EXPIRED",ISNUMBER($L149),ISNUMBER($M149),INT($L149)=INT($M149)),1,0))</f>
      </c>
      <c r="U149" s="58">
        <f>IF($Q149=1,$O149,"")</f>
      </c>
    </row>
    <row r="150" spans="14:21">
      <c r="N150" s="58">
        <f>IF($E150="","",ROUND($E150*'操作パネル_MS2'!$H$13,0))</f>
      </c>
      <c r="O150" s="66">
        <f>IF($K150="","",ROUND($K150*'操作パネル_MS2'!$H$13,0))</f>
      </c>
      <c r="P150" s="59">
        <f>IF(OR($K150="",$E150="",$F150="",$E150=$F150),"",$K150/ABS($E150-$F150))</f>
      </c>
      <c r="Q150" s="61">
        <f>IF(OR($B150="",$J150=""),"",IF(AND($J150&lt;&gt;"EXPIRED",ISNUMBER($L150),ISNUMBER($M150),INT($L150)=INT($M150)),1,0))</f>
      </c>
      <c r="U150" s="58">
        <f>IF($Q150=1,$O150,"")</f>
      </c>
    </row>
    <row r="151" spans="14:21">
      <c r="N151" s="58">
        <f>IF($E151="","",ROUND($E151*'操作パネル_MS2'!$H$13,0))</f>
      </c>
      <c r="O151" s="66">
        <f>IF($K151="","",ROUND($K151*'操作パネル_MS2'!$H$13,0))</f>
      </c>
      <c r="P151" s="59">
        <f>IF(OR($K151="",$E151="",$F151="",$E151=$F151),"",$K151/ABS($E151-$F151))</f>
      </c>
      <c r="Q151" s="61">
        <f>IF(OR($B151="",$J151=""),"",IF(AND($J151&lt;&gt;"EXPIRED",ISNUMBER($L151),ISNUMBER($M151),INT($L151)=INT($M151)),1,0))</f>
      </c>
      <c r="U151" s="58">
        <f>IF($Q151=1,$O151,"")</f>
      </c>
    </row>
    <row r="152" spans="14:21">
      <c r="N152" s="58">
        <f>IF($E152="","",ROUND($E152*'操作パネル_MS2'!$H$13,0))</f>
      </c>
      <c r="O152" s="66">
        <f>IF($K152="","",ROUND($K152*'操作パネル_MS2'!$H$13,0))</f>
      </c>
      <c r="P152" s="59">
        <f>IF(OR($K152="",$E152="",$F152="",$E152=$F152),"",$K152/ABS($E152-$F152))</f>
      </c>
      <c r="Q152" s="61">
        <f>IF(OR($B152="",$J152=""),"",IF(AND($J152&lt;&gt;"EXPIRED",ISNUMBER($L152),ISNUMBER($M152),INT($L152)=INT($M152)),1,0))</f>
      </c>
      <c r="U152" s="58">
        <f>IF($Q152=1,$O152,"")</f>
      </c>
    </row>
    <row r="153" spans="14:21">
      <c r="N153" s="58">
        <f>IF($E153="","",ROUND($E153*'操作パネル_MS2'!$H$13,0))</f>
      </c>
      <c r="O153" s="66">
        <f>IF($K153="","",ROUND($K153*'操作パネル_MS2'!$H$13,0))</f>
      </c>
      <c r="P153" s="59">
        <f>IF(OR($K153="",$E153="",$F153="",$E153=$F153),"",$K153/ABS($E153-$F153))</f>
      </c>
      <c r="Q153" s="61">
        <f>IF(OR($B153="",$J153=""),"",IF(AND($J153&lt;&gt;"EXPIRED",ISNUMBER($L153),ISNUMBER($M153),INT($L153)=INT($M153)),1,0))</f>
      </c>
      <c r="U153" s="58">
        <f>IF($Q153=1,$O153,"")</f>
      </c>
    </row>
    <row r="154" spans="14:21">
      <c r="N154" s="58">
        <f>IF($E154="","",ROUND($E154*'操作パネル_MS2'!$H$13,0))</f>
      </c>
      <c r="O154" s="66">
        <f>IF($K154="","",ROUND($K154*'操作パネル_MS2'!$H$13,0))</f>
      </c>
      <c r="P154" s="59">
        <f>IF(OR($K154="",$E154="",$F154="",$E154=$F154),"",$K154/ABS($E154-$F154))</f>
      </c>
      <c r="Q154" s="61">
        <f>IF(OR($B154="",$J154=""),"",IF(AND($J154&lt;&gt;"EXPIRED",ISNUMBER($L154),ISNUMBER($M154),INT($L154)=INT($M154)),1,0))</f>
      </c>
      <c r="U154" s="58">
        <f>IF($Q154=1,$O154,"")</f>
      </c>
    </row>
    <row r="155" spans="14:21">
      <c r="N155" s="58">
        <f>IF($E155="","",ROUND($E155*'操作パネル_MS2'!$H$13,0))</f>
      </c>
      <c r="O155" s="66">
        <f>IF($K155="","",ROUND($K155*'操作パネル_MS2'!$H$13,0))</f>
      </c>
      <c r="P155" s="59">
        <f>IF(OR($K155="",$E155="",$F155="",$E155=$F155),"",$K155/ABS($E155-$F155))</f>
      </c>
      <c r="Q155" s="61">
        <f>IF(OR($B155="",$J155=""),"",IF(AND($J155&lt;&gt;"EXPIRED",ISNUMBER($L155),ISNUMBER($M155),INT($L155)=INT($M155)),1,0))</f>
      </c>
      <c r="U155" s="58">
        <f>IF($Q155=1,$O155,"")</f>
      </c>
    </row>
    <row r="156" spans="14:21">
      <c r="N156" s="58">
        <f>IF($E156="","",ROUND($E156*'操作パネル_MS2'!$H$13,0))</f>
      </c>
      <c r="O156" s="66">
        <f>IF($K156="","",ROUND($K156*'操作パネル_MS2'!$H$13,0))</f>
      </c>
      <c r="P156" s="59">
        <f>IF(OR($K156="",$E156="",$F156="",$E156=$F156),"",$K156/ABS($E156-$F156))</f>
      </c>
      <c r="Q156" s="61">
        <f>IF(OR($B156="",$J156=""),"",IF(AND($J156&lt;&gt;"EXPIRED",ISNUMBER($L156),ISNUMBER($M156),INT($L156)=INT($M156)),1,0))</f>
      </c>
      <c r="U156" s="58">
        <f>IF($Q156=1,$O156,"")</f>
      </c>
    </row>
    <row r="157" spans="14:21">
      <c r="N157" s="58">
        <f>IF($E157="","",ROUND($E157*'操作パネル_MS2'!$H$13,0))</f>
      </c>
      <c r="O157" s="66">
        <f>IF($K157="","",ROUND($K157*'操作パネル_MS2'!$H$13,0))</f>
      </c>
      <c r="P157" s="59">
        <f>IF(OR($K157="",$E157="",$F157="",$E157=$F157),"",$K157/ABS($E157-$F157))</f>
      </c>
      <c r="Q157" s="61">
        <f>IF(OR($B157="",$J157=""),"",IF(AND($J157&lt;&gt;"EXPIRED",ISNUMBER($L157),ISNUMBER($M157),INT($L157)=INT($M157)),1,0))</f>
      </c>
      <c r="U157" s="58">
        <f>IF($Q157=1,$O157,"")</f>
      </c>
    </row>
    <row r="158" spans="14:21">
      <c r="N158" s="58">
        <f>IF($E158="","",ROUND($E158*'操作パネル_MS2'!$H$13,0))</f>
      </c>
      <c r="O158" s="66">
        <f>IF($K158="","",ROUND($K158*'操作パネル_MS2'!$H$13,0))</f>
      </c>
      <c r="P158" s="59">
        <f>IF(OR($K158="",$E158="",$F158="",$E158=$F158),"",$K158/ABS($E158-$F158))</f>
      </c>
      <c r="Q158" s="61">
        <f>IF(OR($B158="",$J158=""),"",IF(AND($J158&lt;&gt;"EXPIRED",ISNUMBER($L158),ISNUMBER($M158),INT($L158)=INT($M158)),1,0))</f>
      </c>
      <c r="U158" s="58">
        <f>IF($Q158=1,$O158,"")</f>
      </c>
    </row>
    <row r="159" spans="14:21">
      <c r="N159" s="58">
        <f>IF($E159="","",ROUND($E159*'操作パネル_MS2'!$H$13,0))</f>
      </c>
      <c r="O159" s="66">
        <f>IF($K159="","",ROUND($K159*'操作パネル_MS2'!$H$13,0))</f>
      </c>
      <c r="P159" s="59">
        <f>IF(OR($K159="",$E159="",$F159="",$E159=$F159),"",$K159/ABS($E159-$F159))</f>
      </c>
      <c r="Q159" s="61">
        <f>IF(OR($B159="",$J159=""),"",IF(AND($J159&lt;&gt;"EXPIRED",ISNUMBER($L159),ISNUMBER($M159),INT($L159)=INT($M159)),1,0))</f>
      </c>
      <c r="U159" s="58">
        <f>IF($Q159=1,$O159,"")</f>
      </c>
    </row>
    <row r="160" spans="14:21">
      <c r="N160" s="58">
        <f>IF($E160="","",ROUND($E160*'操作パネル_MS2'!$H$13,0))</f>
      </c>
      <c r="O160" s="66">
        <f>IF($K160="","",ROUND($K160*'操作パネル_MS2'!$H$13,0))</f>
      </c>
      <c r="P160" s="59">
        <f>IF(OR($K160="",$E160="",$F160="",$E160=$F160),"",$K160/ABS($E160-$F160))</f>
      </c>
      <c r="Q160" s="61">
        <f>IF(OR($B160="",$J160=""),"",IF(AND($J160&lt;&gt;"EXPIRED",ISNUMBER($L160),ISNUMBER($M160),INT($L160)=INT($M160)),1,0))</f>
      </c>
      <c r="U160" s="58">
        <f>IF($Q160=1,$O160,"")</f>
      </c>
    </row>
    <row r="161" spans="14:21">
      <c r="N161" s="58">
        <f>IF($E161="","",ROUND($E161*'操作パネル_MS2'!$H$13,0))</f>
      </c>
      <c r="O161" s="66">
        <f>IF($K161="","",ROUND($K161*'操作パネル_MS2'!$H$13,0))</f>
      </c>
      <c r="P161" s="59">
        <f>IF(OR($K161="",$E161="",$F161="",$E161=$F161),"",$K161/ABS($E161-$F161))</f>
      </c>
      <c r="Q161" s="61">
        <f>IF(OR($B161="",$J161=""),"",IF(AND($J161&lt;&gt;"EXPIRED",ISNUMBER($L161),ISNUMBER($M161),INT($L161)=INT($M161)),1,0))</f>
      </c>
      <c r="U161" s="58">
        <f>IF($Q161=1,$O161,"")</f>
      </c>
    </row>
    <row r="162" spans="14:21">
      <c r="N162" s="58">
        <f>IF($E162="","",ROUND($E162*'操作パネル_MS2'!$H$13,0))</f>
      </c>
      <c r="O162" s="66">
        <f>IF($K162="","",ROUND($K162*'操作パネル_MS2'!$H$13,0))</f>
      </c>
      <c r="P162" s="59">
        <f>IF(OR($K162="",$E162="",$F162="",$E162=$F162),"",$K162/ABS($E162-$F162))</f>
      </c>
      <c r="Q162" s="61">
        <f>IF(OR($B162="",$J162=""),"",IF(AND($J162&lt;&gt;"EXPIRED",ISNUMBER($L162),ISNUMBER($M162),INT($L162)=INT($M162)),1,0))</f>
      </c>
      <c r="U162" s="58">
        <f>IF($Q162=1,$O162,"")</f>
      </c>
    </row>
    <row r="163" spans="14:21">
      <c r="N163" s="58">
        <f>IF($E163="","",ROUND($E163*'操作パネル_MS2'!$H$13,0))</f>
      </c>
      <c r="O163" s="66">
        <f>IF($K163="","",ROUND($K163*'操作パネル_MS2'!$H$13,0))</f>
      </c>
      <c r="P163" s="59">
        <f>IF(OR($K163="",$E163="",$F163="",$E163=$F163),"",$K163/ABS($E163-$F163))</f>
      </c>
      <c r="Q163" s="61">
        <f>IF(OR($B163="",$J163=""),"",IF(AND($J163&lt;&gt;"EXPIRED",ISNUMBER($L163),ISNUMBER($M163),INT($L163)=INT($M163)),1,0))</f>
      </c>
      <c r="U163" s="58">
        <f>IF($Q163=1,$O163,"")</f>
      </c>
    </row>
    <row r="164" spans="14:21">
      <c r="N164" s="58">
        <f>IF($E164="","",ROUND($E164*'操作パネル_MS2'!$H$13,0))</f>
      </c>
      <c r="O164" s="66">
        <f>IF($K164="","",ROUND($K164*'操作パネル_MS2'!$H$13,0))</f>
      </c>
      <c r="P164" s="59">
        <f>IF(OR($K164="",$E164="",$F164="",$E164=$F164),"",$K164/ABS($E164-$F164))</f>
      </c>
      <c r="Q164" s="61">
        <f>IF(OR($B164="",$J164=""),"",IF(AND($J164&lt;&gt;"EXPIRED",ISNUMBER($L164),ISNUMBER($M164),INT($L164)=INT($M164)),1,0))</f>
      </c>
      <c r="U164" s="58">
        <f>IF($Q164=1,$O164,"")</f>
      </c>
    </row>
    <row r="165" spans="14:21">
      <c r="N165" s="58">
        <f>IF($E165="","",ROUND($E165*'操作パネル_MS2'!$H$13,0))</f>
      </c>
      <c r="O165" s="66">
        <f>IF($K165="","",ROUND($K165*'操作パネル_MS2'!$H$13,0))</f>
      </c>
      <c r="P165" s="59">
        <f>IF(OR($K165="",$E165="",$F165="",$E165=$F165),"",$K165/ABS($E165-$F165))</f>
      </c>
      <c r="Q165" s="61">
        <f>IF(OR($B165="",$J165=""),"",IF(AND($J165&lt;&gt;"EXPIRED",ISNUMBER($L165),ISNUMBER($M165),INT($L165)=INT($M165)),1,0))</f>
      </c>
      <c r="U165" s="58">
        <f>IF($Q165=1,$O165,"")</f>
      </c>
    </row>
    <row r="166" spans="14:21">
      <c r="N166" s="58">
        <f>IF($E166="","",ROUND($E166*'操作パネル_MS2'!$H$13,0))</f>
      </c>
      <c r="O166" s="66">
        <f>IF($K166="","",ROUND($K166*'操作パネル_MS2'!$H$13,0))</f>
      </c>
      <c r="P166" s="59">
        <f>IF(OR($K166="",$E166="",$F166="",$E166=$F166),"",$K166/ABS($E166-$F166))</f>
      </c>
      <c r="Q166" s="61">
        <f>IF(OR($B166="",$J166=""),"",IF(AND($J166&lt;&gt;"EXPIRED",ISNUMBER($L166),ISNUMBER($M166),INT($L166)=INT($M166)),1,0))</f>
      </c>
      <c r="U166" s="58">
        <f>IF($Q166=1,$O166,"")</f>
      </c>
    </row>
    <row r="167" spans="14:21">
      <c r="N167" s="58">
        <f>IF($E167="","",ROUND($E167*'操作パネル_MS2'!$H$13,0))</f>
      </c>
      <c r="O167" s="66">
        <f>IF($K167="","",ROUND($K167*'操作パネル_MS2'!$H$13,0))</f>
      </c>
      <c r="P167" s="59">
        <f>IF(OR($K167="",$E167="",$F167="",$E167=$F167),"",$K167/ABS($E167-$F167))</f>
      </c>
      <c r="Q167" s="61">
        <f>IF(OR($B167="",$J167=""),"",IF(AND($J167&lt;&gt;"EXPIRED",ISNUMBER($L167),ISNUMBER($M167),INT($L167)=INT($M167)),1,0))</f>
      </c>
      <c r="U167" s="58">
        <f>IF($Q167=1,$O167,"")</f>
      </c>
    </row>
    <row r="168" spans="14:21">
      <c r="N168" s="58">
        <f>IF($E168="","",ROUND($E168*'操作パネル_MS2'!$H$13,0))</f>
      </c>
      <c r="O168" s="66">
        <f>IF($K168="","",ROUND($K168*'操作パネル_MS2'!$H$13,0))</f>
      </c>
      <c r="P168" s="59">
        <f>IF(OR($K168="",$E168="",$F168="",$E168=$F168),"",$K168/ABS($E168-$F168))</f>
      </c>
      <c r="Q168" s="61">
        <f>IF(OR($B168="",$J168=""),"",IF(AND($J168&lt;&gt;"EXPIRED",ISNUMBER($L168),ISNUMBER($M168),INT($L168)=INT($M168)),1,0))</f>
      </c>
      <c r="U168" s="58">
        <f>IF($Q168=1,$O168,"")</f>
      </c>
    </row>
    <row r="169" spans="14:21">
      <c r="N169" s="58">
        <f>IF($E169="","",ROUND($E169*'操作パネル_MS2'!$H$13,0))</f>
      </c>
      <c r="O169" s="66">
        <f>IF($K169="","",ROUND($K169*'操作パネル_MS2'!$H$13,0))</f>
      </c>
      <c r="P169" s="59">
        <f>IF(OR($K169="",$E169="",$F169="",$E169=$F169),"",$K169/ABS($E169-$F169))</f>
      </c>
      <c r="Q169" s="61">
        <f>IF(OR($B169="",$J169=""),"",IF(AND($J169&lt;&gt;"EXPIRED",ISNUMBER($L169),ISNUMBER($M169),INT($L169)=INT($M169)),1,0))</f>
      </c>
      <c r="U169" s="58">
        <f>IF($Q169=1,$O169,"")</f>
      </c>
    </row>
    <row r="170" spans="14:21">
      <c r="N170" s="58">
        <f>IF($E170="","",ROUND($E170*'操作パネル_MS2'!$H$13,0))</f>
      </c>
      <c r="O170" s="66">
        <f>IF($K170="","",ROUND($K170*'操作パネル_MS2'!$H$13,0))</f>
      </c>
      <c r="P170" s="59">
        <f>IF(OR($K170="",$E170="",$F170="",$E170=$F170),"",$K170/ABS($E170-$F170))</f>
      </c>
      <c r="Q170" s="61">
        <f>IF(OR($B170="",$J170=""),"",IF(AND($J170&lt;&gt;"EXPIRED",ISNUMBER($L170),ISNUMBER($M170),INT($L170)=INT($M170)),1,0))</f>
      </c>
      <c r="U170" s="58">
        <f>IF($Q170=1,$O170,"")</f>
      </c>
    </row>
    <row r="171" spans="14:21">
      <c r="N171" s="58">
        <f>IF($E171="","",ROUND($E171*'操作パネル_MS2'!$H$13,0))</f>
      </c>
      <c r="O171" s="66">
        <f>IF($K171="","",ROUND($K171*'操作パネル_MS2'!$H$13,0))</f>
      </c>
      <c r="P171" s="59">
        <f>IF(OR($K171="",$E171="",$F171="",$E171=$F171),"",$K171/ABS($E171-$F171))</f>
      </c>
      <c r="Q171" s="61">
        <f>IF(OR($B171="",$J171=""),"",IF(AND($J171&lt;&gt;"EXPIRED",ISNUMBER($L171),ISNUMBER($M171),INT($L171)=INT($M171)),1,0))</f>
      </c>
      <c r="U171" s="58">
        <f>IF($Q171=1,$O171,"")</f>
      </c>
    </row>
    <row r="172" spans="14:21">
      <c r="N172" s="58">
        <f>IF($E172="","",ROUND($E172*'操作パネル_MS2'!$H$13,0))</f>
      </c>
      <c r="O172" s="66">
        <f>IF($K172="","",ROUND($K172*'操作パネル_MS2'!$H$13,0))</f>
      </c>
      <c r="P172" s="59">
        <f>IF(OR($K172="",$E172="",$F172="",$E172=$F172),"",$K172/ABS($E172-$F172))</f>
      </c>
      <c r="Q172" s="61">
        <f>IF(OR($B172="",$J172=""),"",IF(AND($J172&lt;&gt;"EXPIRED",ISNUMBER($L172),ISNUMBER($M172),INT($L172)=INT($M172)),1,0))</f>
      </c>
      <c r="U172" s="58">
        <f>IF($Q172=1,$O172,"")</f>
      </c>
    </row>
    <row r="173" spans="14:21">
      <c r="N173" s="58">
        <f>IF($E173="","",ROUND($E173*'操作パネル_MS2'!$H$13,0))</f>
      </c>
      <c r="O173" s="66">
        <f>IF($K173="","",ROUND($K173*'操作パネル_MS2'!$H$13,0))</f>
      </c>
      <c r="P173" s="59">
        <f>IF(OR($K173="",$E173="",$F173="",$E173=$F173),"",$K173/ABS($E173-$F173))</f>
      </c>
      <c r="Q173" s="61">
        <f>IF(OR($B173="",$J173=""),"",IF(AND($J173&lt;&gt;"EXPIRED",ISNUMBER($L173),ISNUMBER($M173),INT($L173)=INT($M173)),1,0))</f>
      </c>
      <c r="U173" s="58">
        <f>IF($Q173=1,$O173,"")</f>
      </c>
    </row>
    <row r="174" spans="14:21">
      <c r="N174" s="58">
        <f>IF($E174="","",ROUND($E174*'操作パネル_MS2'!$H$13,0))</f>
      </c>
      <c r="O174" s="66">
        <f>IF($K174="","",ROUND($K174*'操作パネル_MS2'!$H$13,0))</f>
      </c>
      <c r="P174" s="59">
        <f>IF(OR($K174="",$E174="",$F174="",$E174=$F174),"",$K174/ABS($E174-$F174))</f>
      </c>
      <c r="Q174" s="61">
        <f>IF(OR($B174="",$J174=""),"",IF(AND($J174&lt;&gt;"EXPIRED",ISNUMBER($L174),ISNUMBER($M174),INT($L174)=INT($M174)),1,0))</f>
      </c>
      <c r="U174" s="58">
        <f>IF($Q174=1,$O174,"")</f>
      </c>
    </row>
    <row r="175" spans="14:21">
      <c r="N175" s="58">
        <f>IF($E175="","",ROUND($E175*'操作パネル_MS2'!$H$13,0))</f>
      </c>
      <c r="O175" s="66">
        <f>IF($K175="","",ROUND($K175*'操作パネル_MS2'!$H$13,0))</f>
      </c>
      <c r="P175" s="59">
        <f>IF(OR($K175="",$E175="",$F175="",$E175=$F175),"",$K175/ABS($E175-$F175))</f>
      </c>
      <c r="Q175" s="61">
        <f>IF(OR($B175="",$J175=""),"",IF(AND($J175&lt;&gt;"EXPIRED",ISNUMBER($L175),ISNUMBER($M175),INT($L175)=INT($M175)),1,0))</f>
      </c>
      <c r="U175" s="58">
        <f>IF($Q175=1,$O175,"")</f>
      </c>
    </row>
    <row r="176" spans="14:21">
      <c r="N176" s="58">
        <f>IF($E176="","",ROUND($E176*'操作パネル_MS2'!$H$13,0))</f>
      </c>
      <c r="O176" s="66">
        <f>IF($K176="","",ROUND($K176*'操作パネル_MS2'!$H$13,0))</f>
      </c>
      <c r="P176" s="59">
        <f>IF(OR($K176="",$E176="",$F176="",$E176=$F176),"",$K176/ABS($E176-$F176))</f>
      </c>
      <c r="Q176" s="61">
        <f>IF(OR($B176="",$J176=""),"",IF(AND($J176&lt;&gt;"EXPIRED",ISNUMBER($L176),ISNUMBER($M176),INT($L176)=INT($M176)),1,0))</f>
      </c>
      <c r="U176" s="58">
        <f>IF($Q176=1,$O176,"")</f>
      </c>
    </row>
    <row r="177" spans="14:21">
      <c r="N177" s="58">
        <f>IF($E177="","",ROUND($E177*'操作パネル_MS2'!$H$13,0))</f>
      </c>
      <c r="O177" s="66">
        <f>IF($K177="","",ROUND($K177*'操作パネル_MS2'!$H$13,0))</f>
      </c>
      <c r="P177" s="59">
        <f>IF(OR($K177="",$E177="",$F177="",$E177=$F177),"",$K177/ABS($E177-$F177))</f>
      </c>
      <c r="Q177" s="61">
        <f>IF(OR($B177="",$J177=""),"",IF(AND($J177&lt;&gt;"EXPIRED",ISNUMBER($L177),ISNUMBER($M177),INT($L177)=INT($M177)),1,0))</f>
      </c>
      <c r="U177" s="58">
        <f>IF($Q177=1,$O177,"")</f>
      </c>
    </row>
    <row r="178" spans="14:21">
      <c r="N178" s="58">
        <f>IF($E178="","",ROUND($E178*'操作パネル_MS2'!$H$13,0))</f>
      </c>
      <c r="O178" s="66">
        <f>IF($K178="","",ROUND($K178*'操作パネル_MS2'!$H$13,0))</f>
      </c>
      <c r="P178" s="59">
        <f>IF(OR($K178="",$E178="",$F178="",$E178=$F178),"",$K178/ABS($E178-$F178))</f>
      </c>
      <c r="Q178" s="61">
        <f>IF(OR($B178="",$J178=""),"",IF(AND($J178&lt;&gt;"EXPIRED",ISNUMBER($L178),ISNUMBER($M178),INT($L178)=INT($M178)),1,0))</f>
      </c>
      <c r="U178" s="58">
        <f>IF($Q178=1,$O178,"")</f>
      </c>
    </row>
    <row r="179" spans="14:21">
      <c r="N179" s="58">
        <f>IF($E179="","",ROUND($E179*'操作パネル_MS2'!$H$13,0))</f>
      </c>
      <c r="O179" s="66">
        <f>IF($K179="","",ROUND($K179*'操作パネル_MS2'!$H$13,0))</f>
      </c>
      <c r="P179" s="59">
        <f>IF(OR($K179="",$E179="",$F179="",$E179=$F179),"",$K179/ABS($E179-$F179))</f>
      </c>
      <c r="Q179" s="61">
        <f>IF(OR($B179="",$J179=""),"",IF(AND($J179&lt;&gt;"EXPIRED",ISNUMBER($L179),ISNUMBER($M179),INT($L179)=INT($M179)),1,0))</f>
      </c>
      <c r="U179" s="58">
        <f>IF($Q179=1,$O179,"")</f>
      </c>
    </row>
    <row r="180" spans="14:21">
      <c r="N180" s="58">
        <f>IF($E180="","",ROUND($E180*'操作パネル_MS2'!$H$13,0))</f>
      </c>
      <c r="O180" s="66">
        <f>IF($K180="","",ROUND($K180*'操作パネル_MS2'!$H$13,0))</f>
      </c>
      <c r="P180" s="59">
        <f>IF(OR($K180="",$E180="",$F180="",$E180=$F180),"",$K180/ABS($E180-$F180))</f>
      </c>
      <c r="Q180" s="61">
        <f>IF(OR($B180="",$J180=""),"",IF(AND($J180&lt;&gt;"EXPIRED",ISNUMBER($L180),ISNUMBER($M180),INT($L180)=INT($M180)),1,0))</f>
      </c>
      <c r="U180" s="58">
        <f>IF($Q180=1,$O180,"")</f>
      </c>
    </row>
    <row r="181" spans="14:21">
      <c r="N181" s="58">
        <f>IF($E181="","",ROUND($E181*'操作パネル_MS2'!$H$13,0))</f>
      </c>
      <c r="O181" s="66">
        <f>IF($K181="","",ROUND($K181*'操作パネル_MS2'!$H$13,0))</f>
      </c>
      <c r="P181" s="59">
        <f>IF(OR($K181="",$E181="",$F181="",$E181=$F181),"",$K181/ABS($E181-$F181))</f>
      </c>
      <c r="Q181" s="61">
        <f>IF(OR($B181="",$J181=""),"",IF(AND($J181&lt;&gt;"EXPIRED",ISNUMBER($L181),ISNUMBER($M181),INT($L181)=INT($M181)),1,0))</f>
      </c>
      <c r="U181" s="58">
        <f>IF($Q181=1,$O181,"")</f>
      </c>
    </row>
    <row r="182" spans="14:21">
      <c r="N182" s="58">
        <f>IF($E182="","",ROUND($E182*'操作パネル_MS2'!$H$13,0))</f>
      </c>
      <c r="O182" s="66">
        <f>IF($K182="","",ROUND($K182*'操作パネル_MS2'!$H$13,0))</f>
      </c>
      <c r="P182" s="59">
        <f>IF(OR($K182="",$E182="",$F182="",$E182=$F182),"",$K182/ABS($E182-$F182))</f>
      </c>
      <c r="Q182" s="61">
        <f>IF(OR($B182="",$J182=""),"",IF(AND($J182&lt;&gt;"EXPIRED",ISNUMBER($L182),ISNUMBER($M182),INT($L182)=INT($M182)),1,0))</f>
      </c>
      <c r="U182" s="58">
        <f>IF($Q182=1,$O182,"")</f>
      </c>
    </row>
    <row r="183" spans="14:21">
      <c r="N183" s="58">
        <f>IF($E183="","",ROUND($E183*'操作パネル_MS2'!$H$13,0))</f>
      </c>
      <c r="O183" s="66">
        <f>IF($K183="","",ROUND($K183*'操作パネル_MS2'!$H$13,0))</f>
      </c>
      <c r="P183" s="59">
        <f>IF(OR($K183="",$E183="",$F183="",$E183=$F183),"",$K183/ABS($E183-$F183))</f>
      </c>
      <c r="Q183" s="61">
        <f>IF(OR($B183="",$J183=""),"",IF(AND($J183&lt;&gt;"EXPIRED",ISNUMBER($L183),ISNUMBER($M183),INT($L183)=INT($M183)),1,0))</f>
      </c>
      <c r="U183" s="58">
        <f>IF($Q183=1,$O183,"")</f>
      </c>
    </row>
    <row r="184" spans="14:21">
      <c r="N184" s="58">
        <f>IF($E184="","",ROUND($E184*'操作パネル_MS2'!$H$13,0))</f>
      </c>
      <c r="O184" s="66">
        <f>IF($K184="","",ROUND($K184*'操作パネル_MS2'!$H$13,0))</f>
      </c>
      <c r="P184" s="59">
        <f>IF(OR($K184="",$E184="",$F184="",$E184=$F184),"",$K184/ABS($E184-$F184))</f>
      </c>
      <c r="Q184" s="61">
        <f>IF(OR($B184="",$J184=""),"",IF(AND($J184&lt;&gt;"EXPIRED",ISNUMBER($L184),ISNUMBER($M184),INT($L184)=INT($M184)),1,0))</f>
      </c>
      <c r="U184" s="58">
        <f>IF($Q184=1,$O184,"")</f>
      </c>
    </row>
    <row r="185" spans="14:21">
      <c r="N185" s="58">
        <f>IF($E185="","",ROUND($E185*'操作パネル_MS2'!$H$13,0))</f>
      </c>
      <c r="O185" s="66">
        <f>IF($K185="","",ROUND($K185*'操作パネル_MS2'!$H$13,0))</f>
      </c>
      <c r="P185" s="59">
        <f>IF(OR($K185="",$E185="",$F185="",$E185=$F185),"",$K185/ABS($E185-$F185))</f>
      </c>
      <c r="Q185" s="61">
        <f>IF(OR($B185="",$J185=""),"",IF(AND($J185&lt;&gt;"EXPIRED",ISNUMBER($L185),ISNUMBER($M185),INT($L185)=INT($M185)),1,0))</f>
      </c>
      <c r="U185" s="58">
        <f>IF($Q185=1,$O185,"")</f>
      </c>
    </row>
    <row r="186" spans="14:21">
      <c r="N186" s="58">
        <f>IF($E186="","",ROUND($E186*'操作パネル_MS2'!$H$13,0))</f>
      </c>
      <c r="O186" s="66">
        <f>IF($K186="","",ROUND($K186*'操作パネル_MS2'!$H$13,0))</f>
      </c>
      <c r="P186" s="59">
        <f>IF(OR($K186="",$E186="",$F186="",$E186=$F186),"",$K186/ABS($E186-$F186))</f>
      </c>
      <c r="Q186" s="61">
        <f>IF(OR($B186="",$J186=""),"",IF(AND($J186&lt;&gt;"EXPIRED",ISNUMBER($L186),ISNUMBER($M186),INT($L186)=INT($M186)),1,0))</f>
      </c>
      <c r="U186" s="58">
        <f>IF($Q186=1,$O186,"")</f>
      </c>
    </row>
    <row r="187" spans="14:21">
      <c r="N187" s="58">
        <f>IF($E187="","",ROUND($E187*'操作パネル_MS2'!$H$13,0))</f>
      </c>
      <c r="O187" s="66">
        <f>IF($K187="","",ROUND($K187*'操作パネル_MS2'!$H$13,0))</f>
      </c>
      <c r="P187" s="59">
        <f>IF(OR($K187="",$E187="",$F187="",$E187=$F187),"",$K187/ABS($E187-$F187))</f>
      </c>
      <c r="Q187" s="61">
        <f>IF(OR($B187="",$J187=""),"",IF(AND($J187&lt;&gt;"EXPIRED",ISNUMBER($L187),ISNUMBER($M187),INT($L187)=INT($M187)),1,0))</f>
      </c>
      <c r="U187" s="58">
        <f>IF($Q187=1,$O187,"")</f>
      </c>
    </row>
    <row r="188" spans="14:21">
      <c r="N188" s="58">
        <f>IF($E188="","",ROUND($E188*'操作パネル_MS2'!$H$13,0))</f>
      </c>
      <c r="O188" s="66">
        <f>IF($K188="","",ROUND($K188*'操作パネル_MS2'!$H$13,0))</f>
      </c>
      <c r="P188" s="59">
        <f>IF(OR($K188="",$E188="",$F188="",$E188=$F188),"",$K188/ABS($E188-$F188))</f>
      </c>
      <c r="Q188" s="61">
        <f>IF(OR($B188="",$J188=""),"",IF(AND($J188&lt;&gt;"EXPIRED",ISNUMBER($L188),ISNUMBER($M188),INT($L188)=INT($M188)),1,0))</f>
      </c>
      <c r="U188" s="58">
        <f>IF($Q188=1,$O188,"")</f>
      </c>
    </row>
    <row r="189" spans="14:21">
      <c r="N189" s="58">
        <f>IF($E189="","",ROUND($E189*'操作パネル_MS2'!$H$13,0))</f>
      </c>
      <c r="O189" s="66">
        <f>IF($K189="","",ROUND($K189*'操作パネル_MS2'!$H$13,0))</f>
      </c>
      <c r="P189" s="59">
        <f>IF(OR($K189="",$E189="",$F189="",$E189=$F189),"",$K189/ABS($E189-$F189))</f>
      </c>
      <c r="Q189" s="61">
        <f>IF(OR($B189="",$J189=""),"",IF(AND($J189&lt;&gt;"EXPIRED",ISNUMBER($L189),ISNUMBER($M189),INT($L189)=INT($M189)),1,0))</f>
      </c>
      <c r="U189" s="58">
        <f>IF($Q189=1,$O189,"")</f>
      </c>
    </row>
    <row r="190" spans="14:21">
      <c r="N190" s="58">
        <f>IF($E190="","",ROUND($E190*'操作パネル_MS2'!$H$13,0))</f>
      </c>
      <c r="O190" s="66">
        <f>IF($K190="","",ROUND($K190*'操作パネル_MS2'!$H$13,0))</f>
      </c>
      <c r="P190" s="59">
        <f>IF(OR($K190="",$E190="",$F190="",$E190=$F190),"",$K190/ABS($E190-$F190))</f>
      </c>
      <c r="Q190" s="61">
        <f>IF(OR($B190="",$J190=""),"",IF(AND($J190&lt;&gt;"EXPIRED",ISNUMBER($L190),ISNUMBER($M190),INT($L190)=INT($M190)),1,0))</f>
      </c>
      <c r="U190" s="58">
        <f>IF($Q190=1,$O190,"")</f>
      </c>
    </row>
    <row r="191" spans="14:21">
      <c r="N191" s="58">
        <f>IF($E191="","",ROUND($E191*'操作パネル_MS2'!$H$13,0))</f>
      </c>
      <c r="O191" s="66">
        <f>IF($K191="","",ROUND($K191*'操作パネル_MS2'!$H$13,0))</f>
      </c>
      <c r="P191" s="59">
        <f>IF(OR($K191="",$E191="",$F191="",$E191=$F191),"",$K191/ABS($E191-$F191))</f>
      </c>
      <c r="Q191" s="61">
        <f>IF(OR($B191="",$J191=""),"",IF(AND($J191&lt;&gt;"EXPIRED",ISNUMBER($L191),ISNUMBER($M191),INT($L191)=INT($M191)),1,0))</f>
      </c>
      <c r="U191" s="58">
        <f>IF($Q191=1,$O191,"")</f>
      </c>
    </row>
    <row r="192" spans="14:21">
      <c r="N192" s="58">
        <f>IF($E192="","",ROUND($E192*'操作パネル_MS2'!$H$13,0))</f>
      </c>
      <c r="O192" s="66">
        <f>IF($K192="","",ROUND($K192*'操作パネル_MS2'!$H$13,0))</f>
      </c>
      <c r="P192" s="59">
        <f>IF(OR($K192="",$E192="",$F192="",$E192=$F192),"",$K192/ABS($E192-$F192))</f>
      </c>
      <c r="Q192" s="61">
        <f>IF(OR($B192="",$J192=""),"",IF(AND($J192&lt;&gt;"EXPIRED",ISNUMBER($L192),ISNUMBER($M192),INT($L192)=INT($M192)),1,0))</f>
      </c>
      <c r="U192" s="58">
        <f>IF($Q192=1,$O192,"")</f>
      </c>
    </row>
    <row r="193" spans="14:21">
      <c r="N193" s="58">
        <f>IF($E193="","",ROUND($E193*'操作パネル_MS2'!$H$13,0))</f>
      </c>
      <c r="O193" s="66">
        <f>IF($K193="","",ROUND($K193*'操作パネル_MS2'!$H$13,0))</f>
      </c>
      <c r="P193" s="59">
        <f>IF(OR($K193="",$E193="",$F193="",$E193=$F193),"",$K193/ABS($E193-$F193))</f>
      </c>
      <c r="Q193" s="61">
        <f>IF(OR($B193="",$J193=""),"",IF(AND($J193&lt;&gt;"EXPIRED",ISNUMBER($L193),ISNUMBER($M193),INT($L193)=INT($M193)),1,0))</f>
      </c>
      <c r="U193" s="58">
        <f>IF($Q193=1,$O193,"")</f>
      </c>
    </row>
    <row r="194" spans="14:21">
      <c r="N194" s="58">
        <f>IF($E194="","",ROUND($E194*'操作パネル_MS2'!$H$13,0))</f>
      </c>
      <c r="O194" s="66">
        <f>IF($K194="","",ROUND($K194*'操作パネル_MS2'!$H$13,0))</f>
      </c>
      <c r="P194" s="59">
        <f>IF(OR($K194="",$E194="",$F194="",$E194=$F194),"",$K194/ABS($E194-$F194))</f>
      </c>
      <c r="Q194" s="61">
        <f>IF(OR($B194="",$J194=""),"",IF(AND($J194&lt;&gt;"EXPIRED",ISNUMBER($L194),ISNUMBER($M194),INT($L194)=INT($M194)),1,0))</f>
      </c>
      <c r="U194" s="58">
        <f>IF($Q194=1,$O194,"")</f>
      </c>
    </row>
    <row r="195" spans="14:21">
      <c r="N195" s="58">
        <f>IF($E195="","",ROUND($E195*'操作パネル_MS2'!$H$13,0))</f>
      </c>
      <c r="O195" s="66">
        <f>IF($K195="","",ROUND($K195*'操作パネル_MS2'!$H$13,0))</f>
      </c>
      <c r="P195" s="59">
        <f>IF(OR($K195="",$E195="",$F195="",$E195=$F195),"",$K195/ABS($E195-$F195))</f>
      </c>
      <c r="Q195" s="61">
        <f>IF(OR($B195="",$J195=""),"",IF(AND($J195&lt;&gt;"EXPIRED",ISNUMBER($L195),ISNUMBER($M195),INT($L195)=INT($M195)),1,0))</f>
      </c>
      <c r="U195" s="58">
        <f>IF($Q195=1,$O195,"")</f>
      </c>
    </row>
    <row r="196" spans="14:21">
      <c r="N196" s="58">
        <f>IF($E196="","",ROUND($E196*'操作パネル_MS2'!$H$13,0))</f>
      </c>
      <c r="O196" s="66">
        <f>IF($K196="","",ROUND($K196*'操作パネル_MS2'!$H$13,0))</f>
      </c>
      <c r="P196" s="59">
        <f>IF(OR($K196="",$E196="",$F196="",$E196=$F196),"",$K196/ABS($E196-$F196))</f>
      </c>
      <c r="Q196" s="61">
        <f>IF(OR($B196="",$J196=""),"",IF(AND($J196&lt;&gt;"EXPIRED",ISNUMBER($L196),ISNUMBER($M196),INT($L196)=INT($M196)),1,0))</f>
      </c>
      <c r="U196" s="58">
        <f>IF($Q196=1,$O196,"")</f>
      </c>
    </row>
    <row r="197" spans="14:21">
      <c r="N197" s="58">
        <f>IF($E197="","",ROUND($E197*'操作パネル_MS2'!$H$13,0))</f>
      </c>
      <c r="O197" s="66">
        <f>IF($K197="","",ROUND($K197*'操作パネル_MS2'!$H$13,0))</f>
      </c>
      <c r="P197" s="59">
        <f>IF(OR($K197="",$E197="",$F197="",$E197=$F197),"",$K197/ABS($E197-$F197))</f>
      </c>
      <c r="Q197" s="61">
        <f>IF(OR($B197="",$J197=""),"",IF(AND($J197&lt;&gt;"EXPIRED",ISNUMBER($L197),ISNUMBER($M197),INT($L197)=INT($M197)),1,0))</f>
      </c>
      <c r="U197" s="58">
        <f>IF($Q197=1,$O197,"")</f>
      </c>
    </row>
    <row r="198" spans="14:21">
      <c r="N198" s="58">
        <f>IF($E198="","",ROUND($E198*'操作パネル_MS2'!$H$13,0))</f>
      </c>
      <c r="O198" s="66">
        <f>IF($K198="","",ROUND($K198*'操作パネル_MS2'!$H$13,0))</f>
      </c>
      <c r="P198" s="59">
        <f>IF(OR($K198="",$E198="",$F198="",$E198=$F198),"",$K198/ABS($E198-$F198))</f>
      </c>
      <c r="Q198" s="61">
        <f>IF(OR($B198="",$J198=""),"",IF(AND($J198&lt;&gt;"EXPIRED",ISNUMBER($L198),ISNUMBER($M198),INT($L198)=INT($M198)),1,0))</f>
      </c>
      <c r="U198" s="58">
        <f>IF($Q198=1,$O198,"")</f>
      </c>
    </row>
    <row r="199" spans="14:21">
      <c r="N199" s="58">
        <f>IF($E199="","",ROUND($E199*'操作パネル_MS2'!$H$13,0))</f>
      </c>
      <c r="O199" s="66">
        <f>IF($K199="","",ROUND($K199*'操作パネル_MS2'!$H$13,0))</f>
      </c>
      <c r="P199" s="59">
        <f>IF(OR($K199="",$E199="",$F199="",$E199=$F199),"",$K199/ABS($E199-$F199))</f>
      </c>
      <c r="Q199" s="61">
        <f>IF(OR($B199="",$J199=""),"",IF(AND($J199&lt;&gt;"EXPIRED",ISNUMBER($L199),ISNUMBER($M199),INT($L199)=INT($M199)),1,0))</f>
      </c>
      <c r="U199" s="58">
        <f>IF($Q199=1,$O199,"")</f>
      </c>
    </row>
    <row r="200" spans="14:21">
      <c r="N200" s="58">
        <f>IF($E200="","",ROUND($E200*'操作パネル_MS2'!$H$13,0))</f>
      </c>
      <c r="O200" s="66">
        <f>IF($K200="","",ROUND($K200*'操作パネル_MS2'!$H$13,0))</f>
      </c>
      <c r="P200" s="59">
        <f>IF(OR($K200="",$E200="",$F200="",$E200=$F200),"",$K200/ABS($E200-$F200))</f>
      </c>
      <c r="Q200" s="61">
        <f>IF(OR($B200="",$J200=""),"",IF(AND($J200&lt;&gt;"EXPIRED",ISNUMBER($L200),ISNUMBER($M200),INT($L200)=INT($M200)),1,0))</f>
      </c>
      <c r="U200" s="58">
        <f>IF($Q200=1,$O200,"")</f>
      </c>
    </row>
    <row r="201" spans="14:21">
      <c r="N201" s="58">
        <f>IF($E201="","",ROUND($E201*'操作パネル_MS2'!$H$13,0))</f>
      </c>
      <c r="O201" s="66">
        <f>IF($K201="","",ROUND($K201*'操作パネル_MS2'!$H$13,0))</f>
      </c>
      <c r="P201" s="59">
        <f>IF(OR($K201="",$E201="",$F201="",$E201=$F201),"",$K201/ABS($E201-$F201))</f>
      </c>
      <c r="Q201" s="61">
        <f>IF(OR($B201="",$J201=""),"",IF(AND($J201&lt;&gt;"EXPIRED",ISNUMBER($L201),ISNUMBER($M201),INT($L201)=INT($M201)),1,0))</f>
      </c>
      <c r="U201" s="58">
        <f>IF($Q201=1,$O201,"")</f>
      </c>
    </row>
    <row r="202" spans="14:21">
      <c r="N202" s="58">
        <f>IF($E202="","",ROUND($E202*'操作パネル_MS2'!$H$13,0))</f>
      </c>
      <c r="O202" s="66">
        <f>IF($K202="","",ROUND($K202*'操作パネル_MS2'!$H$13,0))</f>
      </c>
      <c r="P202" s="59">
        <f>IF(OR($K202="",$E202="",$F202="",$E202=$F202),"",$K202/ABS($E202-$F202))</f>
      </c>
      <c r="Q202" s="61">
        <f>IF(OR($B202="",$J202=""),"",IF(AND($J202&lt;&gt;"EXPIRED",ISNUMBER($L202),ISNUMBER($M202),INT($L202)=INT($M202)),1,0))</f>
      </c>
      <c r="U202" s="58">
        <f>IF($Q202=1,$O202,"")</f>
      </c>
    </row>
    <row r="203" spans="14:21">
      <c r="N203" s="58">
        <f>IF($E203="","",ROUND($E203*'操作パネル_MS2'!$H$13,0))</f>
      </c>
      <c r="O203" s="66">
        <f>IF($K203="","",ROUND($K203*'操作パネル_MS2'!$H$13,0))</f>
      </c>
      <c r="P203" s="59">
        <f>IF(OR($K203="",$E203="",$F203="",$E203=$F203),"",$K203/ABS($E203-$F203))</f>
      </c>
      <c r="Q203" s="61">
        <f>IF(OR($B203="",$J203=""),"",IF(AND($J203&lt;&gt;"EXPIRED",ISNUMBER($L203),ISNUMBER($M203),INT($L203)=INT($M203)),1,0))</f>
      </c>
      <c r="U203" s="58">
        <f>IF($Q203=1,$O203,"")</f>
      </c>
    </row>
    <row r="204" spans="14:21">
      <c r="N204" s="58">
        <f>IF($E204="","",ROUND($E204*'操作パネル_MS2'!$H$13,0))</f>
      </c>
      <c r="O204" s="66">
        <f>IF($K204="","",ROUND($K204*'操作パネル_MS2'!$H$13,0))</f>
      </c>
      <c r="P204" s="59">
        <f>IF(OR($K204="",$E204="",$F204="",$E204=$F204),"",$K204/ABS($E204-$F204))</f>
      </c>
      <c r="Q204" s="61">
        <f>IF(OR($B204="",$J204=""),"",IF(AND($J204&lt;&gt;"EXPIRED",ISNUMBER($L204),ISNUMBER($M204),INT($L204)=INT($M204)),1,0))</f>
      </c>
      <c r="U204" s="58">
        <f>IF($Q204=1,$O204,"")</f>
      </c>
    </row>
    <row r="205" spans="14:21">
      <c r="N205" s="58">
        <f>IF($E205="","",ROUND($E205*'操作パネル_MS2'!$H$13,0))</f>
      </c>
      <c r="O205" s="66">
        <f>IF($K205="","",ROUND($K205*'操作パネル_MS2'!$H$13,0))</f>
      </c>
      <c r="P205" s="59">
        <f>IF(OR($K205="",$E205="",$F205="",$E205=$F205),"",$K205/ABS($E205-$F205))</f>
      </c>
      <c r="Q205" s="61">
        <f>IF(OR($B205="",$J205=""),"",IF(AND($J205&lt;&gt;"EXPIRED",ISNUMBER($L205),ISNUMBER($M205),INT($L205)=INT($M205)),1,0))</f>
      </c>
      <c r="U205" s="58">
        <f>IF($Q205=1,$O205,"")</f>
      </c>
    </row>
    <row r="206" spans="14:21">
      <c r="N206" s="58">
        <f>IF($E206="","",ROUND($E206*'操作パネル_MS2'!$H$13,0))</f>
      </c>
      <c r="O206" s="66">
        <f>IF($K206="","",ROUND($K206*'操作パネル_MS2'!$H$13,0))</f>
      </c>
      <c r="P206" s="59">
        <f>IF(OR($K206="",$E206="",$F206="",$E206=$F206),"",$K206/ABS($E206-$F206))</f>
      </c>
      <c r="Q206" s="61">
        <f>IF(OR($B206="",$J206=""),"",IF(AND($J206&lt;&gt;"EXPIRED",ISNUMBER($L206),ISNUMBER($M206),INT($L206)=INT($M206)),1,0))</f>
      </c>
      <c r="U206" s="58">
        <f>IF($Q206=1,$O206,"")</f>
      </c>
    </row>
    <row r="207" spans="14:21">
      <c r="N207" s="58">
        <f>IF($E207="","",ROUND($E207*'操作パネル_MS2'!$H$13,0))</f>
      </c>
      <c r="O207" s="66">
        <f>IF($K207="","",ROUND($K207*'操作パネル_MS2'!$H$13,0))</f>
      </c>
      <c r="P207" s="59">
        <f>IF(OR($K207="",$E207="",$F207="",$E207=$F207),"",$K207/ABS($E207-$F207))</f>
      </c>
      <c r="Q207" s="61">
        <f>IF(OR($B207="",$J207=""),"",IF(AND($J207&lt;&gt;"EXPIRED",ISNUMBER($L207),ISNUMBER($M207),INT($L207)=INT($M207)),1,0))</f>
      </c>
      <c r="U207" s="58">
        <f>IF($Q207=1,$O207,"")</f>
      </c>
    </row>
    <row r="208" spans="14:21">
      <c r="N208" s="58">
        <f>IF($E208="","",ROUND($E208*'操作パネル_MS2'!$H$13,0))</f>
      </c>
      <c r="O208" s="66">
        <f>IF($K208="","",ROUND($K208*'操作パネル_MS2'!$H$13,0))</f>
      </c>
      <c r="P208" s="59">
        <f>IF(OR($K208="",$E208="",$F208="",$E208=$F208),"",$K208/ABS($E208-$F208))</f>
      </c>
      <c r="Q208" s="61">
        <f>IF(OR($B208="",$J208=""),"",IF(AND($J208&lt;&gt;"EXPIRED",ISNUMBER($L208),ISNUMBER($M208),INT($L208)=INT($M208)),1,0))</f>
      </c>
      <c r="U208" s="58">
        <f>IF($Q208=1,$O208,"")</f>
      </c>
    </row>
    <row r="209" spans="14:21">
      <c r="N209" s="58">
        <f>IF($E209="","",ROUND($E209*'操作パネル_MS2'!$H$13,0))</f>
      </c>
      <c r="O209" s="66">
        <f>IF($K209="","",ROUND($K209*'操作パネル_MS2'!$H$13,0))</f>
      </c>
      <c r="P209" s="59">
        <f>IF(OR($K209="",$E209="",$F209="",$E209=$F209),"",$K209/ABS($E209-$F209))</f>
      </c>
      <c r="Q209" s="61">
        <f>IF(OR($B209="",$J209=""),"",IF(AND($J209&lt;&gt;"EXPIRED",ISNUMBER($L209),ISNUMBER($M209),INT($L209)=INT($M209)),1,0))</f>
      </c>
      <c r="U209" s="58">
        <f>IF($Q209=1,$O209,"")</f>
      </c>
    </row>
    <row r="210" spans="14:21">
      <c r="N210" s="58">
        <f>IF($E210="","",ROUND($E210*'操作パネル_MS2'!$H$13,0))</f>
      </c>
      <c r="O210" s="66">
        <f>IF($K210="","",ROUND($K210*'操作パネル_MS2'!$H$13,0))</f>
      </c>
      <c r="P210" s="59">
        <f>IF(OR($K210="",$E210="",$F210="",$E210=$F210),"",$K210/ABS($E210-$F210))</f>
      </c>
      <c r="Q210" s="61">
        <f>IF(OR($B210="",$J210=""),"",IF(AND($J210&lt;&gt;"EXPIRED",ISNUMBER($L210),ISNUMBER($M210),INT($L210)=INT($M210)),1,0))</f>
      </c>
      <c r="U210" s="58">
        <f>IF($Q210=1,$O210,"")</f>
      </c>
    </row>
    <row r="211" spans="14:21">
      <c r="N211" s="58">
        <f>IF($E211="","",ROUND($E211*'操作パネル_MS2'!$H$13,0))</f>
      </c>
      <c r="O211" s="66">
        <f>IF($K211="","",ROUND($K211*'操作パネル_MS2'!$H$13,0))</f>
      </c>
      <c r="P211" s="59">
        <f>IF(OR($K211="",$E211="",$F211="",$E211=$F211),"",$K211/ABS($E211-$F211))</f>
      </c>
      <c r="Q211" s="61">
        <f>IF(OR($B211="",$J211=""),"",IF(AND($J211&lt;&gt;"EXPIRED",ISNUMBER($L211),ISNUMBER($M211),INT($L211)=INT($M211)),1,0))</f>
      </c>
      <c r="U211" s="58">
        <f>IF($Q211=1,$O211,"")</f>
      </c>
    </row>
    <row r="212" spans="14:21">
      <c r="N212" s="58">
        <f>IF($E212="","",ROUND($E212*'操作パネル_MS2'!$H$13,0))</f>
      </c>
      <c r="O212" s="66">
        <f>IF($K212="","",ROUND($K212*'操作パネル_MS2'!$H$13,0))</f>
      </c>
      <c r="P212" s="59">
        <f>IF(OR($K212="",$E212="",$F212="",$E212=$F212),"",$K212/ABS($E212-$F212))</f>
      </c>
      <c r="Q212" s="61">
        <f>IF(OR($B212="",$J212=""),"",IF(AND($J212&lt;&gt;"EXPIRED",ISNUMBER($L212),ISNUMBER($M212),INT($L212)=INT($M212)),1,0))</f>
      </c>
      <c r="U212" s="58">
        <f>IF($Q212=1,$O212,"")</f>
      </c>
    </row>
    <row r="213" spans="14:21">
      <c r="N213" s="58">
        <f>IF($E213="","",ROUND($E213*'操作パネル_MS2'!$H$13,0))</f>
      </c>
      <c r="O213" s="66">
        <f>IF($K213="","",ROUND($K213*'操作パネル_MS2'!$H$13,0))</f>
      </c>
      <c r="P213" s="59">
        <f>IF(OR($K213="",$E213="",$F213="",$E213=$F213),"",$K213/ABS($E213-$F213))</f>
      </c>
      <c r="Q213" s="61">
        <f>IF(OR($B213="",$J213=""),"",IF(AND($J213&lt;&gt;"EXPIRED",ISNUMBER($L213),ISNUMBER($M213),INT($L213)=INT($M213)),1,0))</f>
      </c>
      <c r="U213" s="58">
        <f>IF($Q213=1,$O213,"")</f>
      </c>
    </row>
    <row r="214" spans="14:21">
      <c r="N214" s="58">
        <f>IF($E214="","",ROUND($E214*'操作パネル_MS2'!$H$13,0))</f>
      </c>
      <c r="O214" s="66">
        <f>IF($K214="","",ROUND($K214*'操作パネル_MS2'!$H$13,0))</f>
      </c>
      <c r="P214" s="59">
        <f>IF(OR($K214="",$E214="",$F214="",$E214=$F214),"",$K214/ABS($E214-$F214))</f>
      </c>
      <c r="Q214" s="61">
        <f>IF(OR($B214="",$J214=""),"",IF(AND($J214&lt;&gt;"EXPIRED",ISNUMBER($L214),ISNUMBER($M214),INT($L214)=INT($M214)),1,0))</f>
      </c>
      <c r="U214" s="58">
        <f>IF($Q214=1,$O214,"")</f>
      </c>
    </row>
    <row r="215" spans="14:21">
      <c r="N215" s="58">
        <f>IF($E215="","",ROUND($E215*'操作パネル_MS2'!$H$13,0))</f>
      </c>
      <c r="O215" s="66">
        <f>IF($K215="","",ROUND($K215*'操作パネル_MS2'!$H$13,0))</f>
      </c>
      <c r="P215" s="59">
        <f>IF(OR($K215="",$E215="",$F215="",$E215=$F215),"",$K215/ABS($E215-$F215))</f>
      </c>
      <c r="Q215" s="61">
        <f>IF(OR($B215="",$J215=""),"",IF(AND($J215&lt;&gt;"EXPIRED",ISNUMBER($L215),ISNUMBER($M215),INT($L215)=INT($M215)),1,0))</f>
      </c>
      <c r="U215" s="58">
        <f>IF($Q215=1,$O215,"")</f>
      </c>
    </row>
    <row r="216" spans="14:21">
      <c r="N216" s="58">
        <f>IF($E216="","",ROUND($E216*'操作パネル_MS2'!$H$13,0))</f>
      </c>
      <c r="O216" s="66">
        <f>IF($K216="","",ROUND($K216*'操作パネル_MS2'!$H$13,0))</f>
      </c>
      <c r="P216" s="59">
        <f>IF(OR($K216="",$E216="",$F216="",$E216=$F216),"",$K216/ABS($E216-$F216))</f>
      </c>
      <c r="Q216" s="61">
        <f>IF(OR($B216="",$J216=""),"",IF(AND($J216&lt;&gt;"EXPIRED",ISNUMBER($L216),ISNUMBER($M216),INT($L216)=INT($M216)),1,0))</f>
      </c>
      <c r="U216" s="58">
        <f>IF($Q216=1,$O216,"")</f>
      </c>
    </row>
    <row r="217" spans="14:21">
      <c r="N217" s="58">
        <f>IF($E217="","",ROUND($E217*'操作パネル_MS2'!$H$13,0))</f>
      </c>
      <c r="O217" s="66">
        <f>IF($K217="","",ROUND($K217*'操作パネル_MS2'!$H$13,0))</f>
      </c>
      <c r="P217" s="59">
        <f>IF(OR($K217="",$E217="",$F217="",$E217=$F217),"",$K217/ABS($E217-$F217))</f>
      </c>
      <c r="Q217" s="61">
        <f>IF(OR($B217="",$J217=""),"",IF(AND($J217&lt;&gt;"EXPIRED",ISNUMBER($L217),ISNUMBER($M217),INT($L217)=INT($M217)),1,0))</f>
      </c>
      <c r="U217" s="58">
        <f>IF($Q217=1,$O217,"")</f>
      </c>
    </row>
    <row r="218" spans="14:21">
      <c r="N218" s="58">
        <f>IF($E218="","",ROUND($E218*'操作パネル_MS2'!$H$13,0))</f>
      </c>
      <c r="O218" s="66">
        <f>IF($K218="","",ROUND($K218*'操作パネル_MS2'!$H$13,0))</f>
      </c>
      <c r="P218" s="59">
        <f>IF(OR($K218="",$E218="",$F218="",$E218=$F218),"",$K218/ABS($E218-$F218))</f>
      </c>
      <c r="Q218" s="61">
        <f>IF(OR($B218="",$J218=""),"",IF(AND($J218&lt;&gt;"EXPIRED",ISNUMBER($L218),ISNUMBER($M218),INT($L218)=INT($M218)),1,0))</f>
      </c>
      <c r="U218" s="58">
        <f>IF($Q218=1,$O218,"")</f>
      </c>
    </row>
    <row r="219" spans="14:21">
      <c r="N219" s="58">
        <f>IF($E219="","",ROUND($E219*'操作パネル_MS2'!$H$13,0))</f>
      </c>
      <c r="O219" s="66">
        <f>IF($K219="","",ROUND($K219*'操作パネル_MS2'!$H$13,0))</f>
      </c>
      <c r="P219" s="59">
        <f>IF(OR($K219="",$E219="",$F219="",$E219=$F219),"",$K219/ABS($E219-$F219))</f>
      </c>
      <c r="Q219" s="61">
        <f>IF(OR($B219="",$J219=""),"",IF(AND($J219&lt;&gt;"EXPIRED",ISNUMBER($L219),ISNUMBER($M219),INT($L219)=INT($M219)),1,0))</f>
      </c>
      <c r="U219" s="58">
        <f>IF($Q219=1,$O219,"")</f>
      </c>
    </row>
    <row r="220" spans="14:21">
      <c r="N220" s="58">
        <f>IF($E220="","",ROUND($E220*'操作パネル_MS2'!$H$13,0))</f>
      </c>
      <c r="O220" s="66">
        <f>IF($K220="","",ROUND($K220*'操作パネル_MS2'!$H$13,0))</f>
      </c>
      <c r="P220" s="59">
        <f>IF(OR($K220="",$E220="",$F220="",$E220=$F220),"",$K220/ABS($E220-$F220))</f>
      </c>
      <c r="Q220" s="61">
        <f>IF(OR($B220="",$J220=""),"",IF(AND($J220&lt;&gt;"EXPIRED",ISNUMBER($L220),ISNUMBER($M220),INT($L220)=INT($M220)),1,0))</f>
      </c>
      <c r="U220" s="58">
        <f>IF($Q220=1,$O220,"")</f>
      </c>
    </row>
    <row r="221" spans="14:21">
      <c r="N221" s="58">
        <f>IF($E221="","",ROUND($E221*'操作パネル_MS2'!$H$13,0))</f>
      </c>
      <c r="O221" s="66">
        <f>IF($K221="","",ROUND($K221*'操作パネル_MS2'!$H$13,0))</f>
      </c>
      <c r="P221" s="59">
        <f>IF(OR($K221="",$E221="",$F221="",$E221=$F221),"",$K221/ABS($E221-$F221))</f>
      </c>
      <c r="Q221" s="61">
        <f>IF(OR($B221="",$J221=""),"",IF(AND($J221&lt;&gt;"EXPIRED",ISNUMBER($L221),ISNUMBER($M221),INT($L221)=INT($M221)),1,0))</f>
      </c>
      <c r="U221" s="58">
        <f>IF($Q221=1,$O221,"")</f>
      </c>
    </row>
    <row r="222" spans="14:21">
      <c r="N222" s="58">
        <f>IF($E222="","",ROUND($E222*'操作パネル_MS2'!$H$13,0))</f>
      </c>
      <c r="O222" s="66">
        <f>IF($K222="","",ROUND($K222*'操作パネル_MS2'!$H$13,0))</f>
      </c>
      <c r="P222" s="59">
        <f>IF(OR($K222="",$E222="",$F222="",$E222=$F222),"",$K222/ABS($E222-$F222))</f>
      </c>
      <c r="Q222" s="61">
        <f>IF(OR($B222="",$J222=""),"",IF(AND($J222&lt;&gt;"EXPIRED",ISNUMBER($L222),ISNUMBER($M222),INT($L222)=INT($M222)),1,0))</f>
      </c>
      <c r="U222" s="58">
        <f>IF($Q222=1,$O222,"")</f>
      </c>
    </row>
    <row r="223" spans="14:21">
      <c r="N223" s="58">
        <f>IF($E223="","",ROUND($E223*'操作パネル_MS2'!$H$13,0))</f>
      </c>
      <c r="O223" s="66">
        <f>IF($K223="","",ROUND($K223*'操作パネル_MS2'!$H$13,0))</f>
      </c>
      <c r="P223" s="59">
        <f>IF(OR($K223="",$E223="",$F223="",$E223=$F223),"",$K223/ABS($E223-$F223))</f>
      </c>
      <c r="Q223" s="61">
        <f>IF(OR($B223="",$J223=""),"",IF(AND($J223&lt;&gt;"EXPIRED",ISNUMBER($L223),ISNUMBER($M223),INT($L223)=INT($M223)),1,0))</f>
      </c>
      <c r="U223" s="58">
        <f>IF($Q223=1,$O223,"")</f>
      </c>
    </row>
    <row r="224" spans="14:21">
      <c r="N224" s="58">
        <f>IF($E224="","",ROUND($E224*'操作パネル_MS2'!$H$13,0))</f>
      </c>
      <c r="O224" s="66">
        <f>IF($K224="","",ROUND($K224*'操作パネル_MS2'!$H$13,0))</f>
      </c>
      <c r="P224" s="59">
        <f>IF(OR($K224="",$E224="",$F224="",$E224=$F224),"",$K224/ABS($E224-$F224))</f>
      </c>
      <c r="Q224" s="61">
        <f>IF(OR($B224="",$J224=""),"",IF(AND($J224&lt;&gt;"EXPIRED",ISNUMBER($L224),ISNUMBER($M224),INT($L224)=INT($M224)),1,0))</f>
      </c>
      <c r="U224" s="58">
        <f>IF($Q224=1,$O224,"")</f>
      </c>
    </row>
    <row r="225" spans="14:21">
      <c r="N225" s="58">
        <f>IF($E225="","",ROUND($E225*'操作パネル_MS2'!$H$13,0))</f>
      </c>
      <c r="O225" s="66">
        <f>IF($K225="","",ROUND($K225*'操作パネル_MS2'!$H$13,0))</f>
      </c>
      <c r="P225" s="59">
        <f>IF(OR($K225="",$E225="",$F225="",$E225=$F225),"",$K225/ABS($E225-$F225))</f>
      </c>
      <c r="Q225" s="61">
        <f>IF(OR($B225="",$J225=""),"",IF(AND($J225&lt;&gt;"EXPIRED",ISNUMBER($L225),ISNUMBER($M225),INT($L225)=INT($M225)),1,0))</f>
      </c>
      <c r="U225" s="58">
        <f>IF($Q225=1,$O225,"")</f>
      </c>
    </row>
    <row r="226" spans="14:21">
      <c r="N226" s="58">
        <f>IF($E226="","",ROUND($E226*'操作パネル_MS2'!$H$13,0))</f>
      </c>
      <c r="O226" s="66">
        <f>IF($K226="","",ROUND($K226*'操作パネル_MS2'!$H$13,0))</f>
      </c>
      <c r="P226" s="59">
        <f>IF(OR($K226="",$E226="",$F226="",$E226=$F226),"",$K226/ABS($E226-$F226))</f>
      </c>
      <c r="Q226" s="61">
        <f>IF(OR($B226="",$J226=""),"",IF(AND($J226&lt;&gt;"EXPIRED",ISNUMBER($L226),ISNUMBER($M226),INT($L226)=INT($M226)),1,0))</f>
      </c>
      <c r="U226" s="58">
        <f>IF($Q226=1,$O226,"")</f>
      </c>
    </row>
    <row r="227" spans="14:21">
      <c r="N227" s="58">
        <f>IF($E227="","",ROUND($E227*'操作パネル_MS2'!$H$13,0))</f>
      </c>
      <c r="O227" s="66">
        <f>IF($K227="","",ROUND($K227*'操作パネル_MS2'!$H$13,0))</f>
      </c>
      <c r="P227" s="59">
        <f>IF(OR($K227="",$E227="",$F227="",$E227=$F227),"",$K227/ABS($E227-$F227))</f>
      </c>
      <c r="Q227" s="61">
        <f>IF(OR($B227="",$J227=""),"",IF(AND($J227&lt;&gt;"EXPIRED",ISNUMBER($L227),ISNUMBER($M227),INT($L227)=INT($M227)),1,0))</f>
      </c>
      <c r="U227" s="58">
        <f>IF($Q227=1,$O227,"")</f>
      </c>
    </row>
    <row r="228" spans="14:21">
      <c r="N228" s="58">
        <f>IF($E228="","",ROUND($E228*'操作パネル_MS2'!$H$13,0))</f>
      </c>
      <c r="O228" s="66">
        <f>IF($K228="","",ROUND($K228*'操作パネル_MS2'!$H$13,0))</f>
      </c>
      <c r="P228" s="59">
        <f>IF(OR($K228="",$E228="",$F228="",$E228=$F228),"",$K228/ABS($E228-$F228))</f>
      </c>
      <c r="Q228" s="61">
        <f>IF(OR($B228="",$J228=""),"",IF(AND($J228&lt;&gt;"EXPIRED",ISNUMBER($L228),ISNUMBER($M228),INT($L228)=INT($M228)),1,0))</f>
      </c>
      <c r="U228" s="58">
        <f>IF($Q228=1,$O228,"")</f>
      </c>
    </row>
    <row r="229" spans="14:21">
      <c r="N229" s="58">
        <f>IF($E229="","",ROUND($E229*'操作パネル_MS2'!$H$13,0))</f>
      </c>
      <c r="O229" s="66">
        <f>IF($K229="","",ROUND($K229*'操作パネル_MS2'!$H$13,0))</f>
      </c>
      <c r="P229" s="59">
        <f>IF(OR($K229="",$E229="",$F229="",$E229=$F229),"",$K229/ABS($E229-$F229))</f>
      </c>
      <c r="Q229" s="61">
        <f>IF(OR($B229="",$J229=""),"",IF(AND($J229&lt;&gt;"EXPIRED",ISNUMBER($L229),ISNUMBER($M229),INT($L229)=INT($M229)),1,0))</f>
      </c>
      <c r="U229" s="58">
        <f>IF($Q229=1,$O229,"")</f>
      </c>
    </row>
    <row r="230" spans="14:21">
      <c r="N230" s="58">
        <f>IF($E230="","",ROUND($E230*'操作パネル_MS2'!$H$13,0))</f>
      </c>
      <c r="O230" s="66">
        <f>IF($K230="","",ROUND($K230*'操作パネル_MS2'!$H$13,0))</f>
      </c>
      <c r="P230" s="59">
        <f>IF(OR($K230="",$E230="",$F230="",$E230=$F230),"",$K230/ABS($E230-$F230))</f>
      </c>
      <c r="Q230" s="61">
        <f>IF(OR($B230="",$J230=""),"",IF(AND($J230&lt;&gt;"EXPIRED",ISNUMBER($L230),ISNUMBER($M230),INT($L230)=INT($M230)),1,0))</f>
      </c>
      <c r="U230" s="58">
        <f>IF($Q230=1,$O230,"")</f>
      </c>
    </row>
    <row r="231" spans="14:21">
      <c r="N231" s="58">
        <f>IF($E231="","",ROUND($E231*'操作パネル_MS2'!$H$13,0))</f>
      </c>
      <c r="O231" s="66">
        <f>IF($K231="","",ROUND($K231*'操作パネル_MS2'!$H$13,0))</f>
      </c>
      <c r="P231" s="59">
        <f>IF(OR($K231="",$E231="",$F231="",$E231=$F231),"",$K231/ABS($E231-$F231))</f>
      </c>
      <c r="Q231" s="61">
        <f>IF(OR($B231="",$J231=""),"",IF(AND($J231&lt;&gt;"EXPIRED",ISNUMBER($L231),ISNUMBER($M231),INT($L231)=INT($M231)),1,0))</f>
      </c>
      <c r="U231" s="58">
        <f>IF($Q231=1,$O231,"")</f>
      </c>
    </row>
    <row r="232" spans="14:21">
      <c r="N232" s="58">
        <f>IF($E232="","",ROUND($E232*'操作パネル_MS2'!$H$13,0))</f>
      </c>
      <c r="O232" s="66">
        <f>IF($K232="","",ROUND($K232*'操作パネル_MS2'!$H$13,0))</f>
      </c>
      <c r="P232" s="59">
        <f>IF(OR($K232="",$E232="",$F232="",$E232=$F232),"",$K232/ABS($E232-$F232))</f>
      </c>
      <c r="Q232" s="61">
        <f>IF(OR($B232="",$J232=""),"",IF(AND($J232&lt;&gt;"EXPIRED",ISNUMBER($L232),ISNUMBER($M232),INT($L232)=INT($M232)),1,0))</f>
      </c>
      <c r="U232" s="58">
        <f>IF($Q232=1,$O232,"")</f>
      </c>
    </row>
    <row r="233" spans="14:21">
      <c r="N233" s="58">
        <f>IF($E233="","",ROUND($E233*'操作パネル_MS2'!$H$13,0))</f>
      </c>
      <c r="O233" s="66">
        <f>IF($K233="","",ROUND($K233*'操作パネル_MS2'!$H$13,0))</f>
      </c>
      <c r="P233" s="59">
        <f>IF(OR($K233="",$E233="",$F233="",$E233=$F233),"",$K233/ABS($E233-$F233))</f>
      </c>
      <c r="Q233" s="61">
        <f>IF(OR($B233="",$J233=""),"",IF(AND($J233&lt;&gt;"EXPIRED",ISNUMBER($L233),ISNUMBER($M233),INT($L233)=INT($M233)),1,0))</f>
      </c>
      <c r="U233" s="58">
        <f>IF($Q233=1,$O233,"")</f>
      </c>
    </row>
    <row r="234" spans="14:21">
      <c r="N234" s="58">
        <f>IF($E234="","",ROUND($E234*'操作パネル_MS2'!$H$13,0))</f>
      </c>
      <c r="O234" s="66">
        <f>IF($K234="","",ROUND($K234*'操作パネル_MS2'!$H$13,0))</f>
      </c>
      <c r="P234" s="59">
        <f>IF(OR($K234="",$E234="",$F234="",$E234=$F234),"",$K234/ABS($E234-$F234))</f>
      </c>
      <c r="Q234" s="61">
        <f>IF(OR($B234="",$J234=""),"",IF(AND($J234&lt;&gt;"EXPIRED",ISNUMBER($L234),ISNUMBER($M234),INT($L234)=INT($M234)),1,0))</f>
      </c>
      <c r="U234" s="58">
        <f>IF($Q234=1,$O234,"")</f>
      </c>
    </row>
    <row r="235" spans="14:21">
      <c r="N235" s="58">
        <f>IF($E235="","",ROUND($E235*'操作パネル_MS2'!$H$13,0))</f>
      </c>
      <c r="O235" s="66">
        <f>IF($K235="","",ROUND($K235*'操作パネル_MS2'!$H$13,0))</f>
      </c>
      <c r="P235" s="59">
        <f>IF(OR($K235="",$E235="",$F235="",$E235=$F235),"",$K235/ABS($E235-$F235))</f>
      </c>
      <c r="Q235" s="61">
        <f>IF(OR($B235="",$J235=""),"",IF(AND($J235&lt;&gt;"EXPIRED",ISNUMBER($L235),ISNUMBER($M235),INT($L235)=INT($M235)),1,0))</f>
      </c>
      <c r="U235" s="58">
        <f>IF($Q235=1,$O235,"")</f>
      </c>
    </row>
    <row r="236" spans="14:21">
      <c r="N236" s="58">
        <f>IF($E236="","",ROUND($E236*'操作パネル_MS2'!$H$13,0))</f>
      </c>
      <c r="O236" s="66">
        <f>IF($K236="","",ROUND($K236*'操作パネル_MS2'!$H$13,0))</f>
      </c>
      <c r="P236" s="59">
        <f>IF(OR($K236="",$E236="",$F236="",$E236=$F236),"",$K236/ABS($E236-$F236))</f>
      </c>
      <c r="Q236" s="61">
        <f>IF(OR($B236="",$J236=""),"",IF(AND($J236&lt;&gt;"EXPIRED",ISNUMBER($L236),ISNUMBER($M236),INT($L236)=INT($M236)),1,0))</f>
      </c>
      <c r="U236" s="58">
        <f>IF($Q236=1,$O236,"")</f>
      </c>
    </row>
    <row r="237" spans="14:21">
      <c r="N237" s="58">
        <f>IF($E237="","",ROUND($E237*'操作パネル_MS2'!$H$13,0))</f>
      </c>
      <c r="O237" s="66">
        <f>IF($K237="","",ROUND($K237*'操作パネル_MS2'!$H$13,0))</f>
      </c>
      <c r="P237" s="59">
        <f>IF(OR($K237="",$E237="",$F237="",$E237=$F237),"",$K237/ABS($E237-$F237))</f>
      </c>
      <c r="Q237" s="61">
        <f>IF(OR($B237="",$J237=""),"",IF(AND($J237&lt;&gt;"EXPIRED",ISNUMBER($L237),ISNUMBER($M237),INT($L237)=INT($M237)),1,0))</f>
      </c>
      <c r="U237" s="58">
        <f>IF($Q237=1,$O237,"")</f>
      </c>
    </row>
    <row r="238" spans="14:21">
      <c r="N238" s="58">
        <f>IF($E238="","",ROUND($E238*'操作パネル_MS2'!$H$13,0))</f>
      </c>
      <c r="O238" s="66">
        <f>IF($K238="","",ROUND($K238*'操作パネル_MS2'!$H$13,0))</f>
      </c>
      <c r="P238" s="59">
        <f>IF(OR($K238="",$E238="",$F238="",$E238=$F238),"",$K238/ABS($E238-$F238))</f>
      </c>
      <c r="Q238" s="61">
        <f>IF(OR($B238="",$J238=""),"",IF(AND($J238&lt;&gt;"EXPIRED",ISNUMBER($L238),ISNUMBER($M238),INT($L238)=INT($M238)),1,0))</f>
      </c>
      <c r="U238" s="58">
        <f>IF($Q238=1,$O238,"")</f>
      </c>
    </row>
    <row r="239" spans="14:21">
      <c r="N239" s="58">
        <f>IF($E239="","",ROUND($E239*'操作パネル_MS2'!$H$13,0))</f>
      </c>
      <c r="O239" s="66">
        <f>IF($K239="","",ROUND($K239*'操作パネル_MS2'!$H$13,0))</f>
      </c>
      <c r="P239" s="59">
        <f>IF(OR($K239="",$E239="",$F239="",$E239=$F239),"",$K239/ABS($E239-$F239))</f>
      </c>
      <c r="Q239" s="61">
        <f>IF(OR($B239="",$J239=""),"",IF(AND($J239&lt;&gt;"EXPIRED",ISNUMBER($L239),ISNUMBER($M239),INT($L239)=INT($M239)),1,0))</f>
      </c>
      <c r="U239" s="58">
        <f>IF($Q239=1,$O239,"")</f>
      </c>
    </row>
    <row r="240" spans="14:21">
      <c r="N240" s="58">
        <f>IF($E240="","",ROUND($E240*'操作パネル_MS2'!$H$13,0))</f>
      </c>
      <c r="O240" s="66">
        <f>IF($K240="","",ROUND($K240*'操作パネル_MS2'!$H$13,0))</f>
      </c>
      <c r="P240" s="59">
        <f>IF(OR($K240="",$E240="",$F240="",$E240=$F240),"",$K240/ABS($E240-$F240))</f>
      </c>
      <c r="Q240" s="61">
        <f>IF(OR($B240="",$J240=""),"",IF(AND($J240&lt;&gt;"EXPIRED",ISNUMBER($L240),ISNUMBER($M240),INT($L240)=INT($M240)),1,0))</f>
      </c>
      <c r="U240" s="58">
        <f>IF($Q240=1,$O240,"")</f>
      </c>
    </row>
    <row r="241" spans="14:21">
      <c r="N241" s="58">
        <f>IF($E241="","",ROUND($E241*'操作パネル_MS2'!$H$13,0))</f>
      </c>
      <c r="O241" s="66">
        <f>IF($K241="","",ROUND($K241*'操作パネル_MS2'!$H$13,0))</f>
      </c>
      <c r="P241" s="59">
        <f>IF(OR($K241="",$E241="",$F241="",$E241=$F241),"",$K241/ABS($E241-$F241))</f>
      </c>
      <c r="Q241" s="61">
        <f>IF(OR($B241="",$J241=""),"",IF(AND($J241&lt;&gt;"EXPIRED",ISNUMBER($L241),ISNUMBER($M241),INT($L241)=INT($M241)),1,0))</f>
      </c>
      <c r="U241" s="58">
        <f>IF($Q241=1,$O241,"")</f>
      </c>
    </row>
    <row r="242" spans="14:21">
      <c r="N242" s="58">
        <f>IF($E242="","",ROUND($E242*'操作パネル_MS2'!$H$13,0))</f>
      </c>
      <c r="O242" s="66">
        <f>IF($K242="","",ROUND($K242*'操作パネル_MS2'!$H$13,0))</f>
      </c>
      <c r="P242" s="59">
        <f>IF(OR($K242="",$E242="",$F242="",$E242=$F242),"",$K242/ABS($E242-$F242))</f>
      </c>
      <c r="Q242" s="61">
        <f>IF(OR($B242="",$J242=""),"",IF(AND($J242&lt;&gt;"EXPIRED",ISNUMBER($L242),ISNUMBER($M242),INT($L242)=INT($M242)),1,0))</f>
      </c>
      <c r="U242" s="58">
        <f>IF($Q242=1,$O242,"")</f>
      </c>
    </row>
    <row r="243" spans="14:21">
      <c r="N243" s="58">
        <f>IF($E243="","",ROUND($E243*'操作パネル_MS2'!$H$13,0))</f>
      </c>
      <c r="O243" s="66">
        <f>IF($K243="","",ROUND($K243*'操作パネル_MS2'!$H$13,0))</f>
      </c>
      <c r="P243" s="59">
        <f>IF(OR($K243="",$E243="",$F243="",$E243=$F243),"",$K243/ABS($E243-$F243))</f>
      </c>
      <c r="Q243" s="61">
        <f>IF(OR($B243="",$J243=""),"",IF(AND($J243&lt;&gt;"EXPIRED",ISNUMBER($L243),ISNUMBER($M243),INT($L243)=INT($M243)),1,0))</f>
      </c>
      <c r="U243" s="58">
        <f>IF($Q243=1,$O243,"")</f>
      </c>
    </row>
    <row r="244" spans="14:21">
      <c r="N244" s="58">
        <f>IF($E244="","",ROUND($E244*'操作パネル_MS2'!$H$13,0))</f>
      </c>
      <c r="O244" s="66">
        <f>IF($K244="","",ROUND($K244*'操作パネル_MS2'!$H$13,0))</f>
      </c>
      <c r="P244" s="59">
        <f>IF(OR($K244="",$E244="",$F244="",$E244=$F244),"",$K244/ABS($E244-$F244))</f>
      </c>
      <c r="Q244" s="61">
        <f>IF(OR($B244="",$J244=""),"",IF(AND($J244&lt;&gt;"EXPIRED",ISNUMBER($L244),ISNUMBER($M244),INT($L244)=INT($M244)),1,0))</f>
      </c>
      <c r="U244" s="58">
        <f>IF($Q244=1,$O244,"")</f>
      </c>
    </row>
    <row r="245" spans="14:21">
      <c r="N245" s="58">
        <f>IF($E245="","",ROUND($E245*'操作パネル_MS2'!$H$13,0))</f>
      </c>
      <c r="O245" s="66">
        <f>IF($K245="","",ROUND($K245*'操作パネル_MS2'!$H$13,0))</f>
      </c>
      <c r="P245" s="59">
        <f>IF(OR($K245="",$E245="",$F245="",$E245=$F245),"",$K245/ABS($E245-$F245))</f>
      </c>
      <c r="Q245" s="61">
        <f>IF(OR($B245="",$J245=""),"",IF(AND($J245&lt;&gt;"EXPIRED",ISNUMBER($L245),ISNUMBER($M245),INT($L245)=INT($M245)),1,0))</f>
      </c>
      <c r="U245" s="58">
        <f>IF($Q245=1,$O245,"")</f>
      </c>
    </row>
    <row r="246" spans="14:21">
      <c r="N246" s="58">
        <f>IF($E246="","",ROUND($E246*'操作パネル_MS2'!$H$13,0))</f>
      </c>
      <c r="O246" s="66">
        <f>IF($K246="","",ROUND($K246*'操作パネル_MS2'!$H$13,0))</f>
      </c>
      <c r="P246" s="59">
        <f>IF(OR($K246="",$E246="",$F246="",$E246=$F246),"",$K246/ABS($E246-$F246))</f>
      </c>
      <c r="Q246" s="61">
        <f>IF(OR($B246="",$J246=""),"",IF(AND($J246&lt;&gt;"EXPIRED",ISNUMBER($L246),ISNUMBER($M246),INT($L246)=INT($M246)),1,0))</f>
      </c>
      <c r="U246" s="58">
        <f>IF($Q246=1,$O246,"")</f>
      </c>
    </row>
    <row r="247" spans="14:21">
      <c r="N247" s="58">
        <f>IF($E247="","",ROUND($E247*'操作パネル_MS2'!$H$13,0))</f>
      </c>
      <c r="O247" s="66">
        <f>IF($K247="","",ROUND($K247*'操作パネル_MS2'!$H$13,0))</f>
      </c>
      <c r="P247" s="59">
        <f>IF(OR($K247="",$E247="",$F247="",$E247=$F247),"",$K247/ABS($E247-$F247))</f>
      </c>
      <c r="Q247" s="61">
        <f>IF(OR($B247="",$J247=""),"",IF(AND($J247&lt;&gt;"EXPIRED",ISNUMBER($L247),ISNUMBER($M247),INT($L247)=INT($M247)),1,0))</f>
      </c>
      <c r="U247" s="58">
        <f>IF($Q247=1,$O247,"")</f>
      </c>
    </row>
    <row r="248" spans="14:21">
      <c r="N248" s="58">
        <f>IF($E248="","",ROUND($E248*'操作パネル_MS2'!$H$13,0))</f>
      </c>
      <c r="O248" s="66">
        <f>IF($K248="","",ROUND($K248*'操作パネル_MS2'!$H$13,0))</f>
      </c>
      <c r="P248" s="59">
        <f>IF(OR($K248="",$E248="",$F248="",$E248=$F248),"",$K248/ABS($E248-$F248))</f>
      </c>
      <c r="Q248" s="61">
        <f>IF(OR($B248="",$J248=""),"",IF(AND($J248&lt;&gt;"EXPIRED",ISNUMBER($L248),ISNUMBER($M248),INT($L248)=INT($M248)),1,0))</f>
      </c>
      <c r="U248" s="58">
        <f>IF($Q248=1,$O248,"")</f>
      </c>
    </row>
    <row r="249" spans="14:21">
      <c r="N249" s="58">
        <f>IF($E249="","",ROUND($E249*'操作パネル_MS2'!$H$13,0))</f>
      </c>
      <c r="O249" s="66">
        <f>IF($K249="","",ROUND($K249*'操作パネル_MS2'!$H$13,0))</f>
      </c>
      <c r="P249" s="59">
        <f>IF(OR($K249="",$E249="",$F249="",$E249=$F249),"",$K249/ABS($E249-$F249))</f>
      </c>
      <c r="Q249" s="61">
        <f>IF(OR($B249="",$J249=""),"",IF(AND($J249&lt;&gt;"EXPIRED",ISNUMBER($L249),ISNUMBER($M249),INT($L249)=INT($M249)),1,0))</f>
      </c>
      <c r="U249" s="58">
        <f>IF($Q249=1,$O249,"")</f>
      </c>
    </row>
    <row r="250" spans="14:21">
      <c r="N250" s="58">
        <f>IF($E250="","",ROUND($E250*'操作パネル_MS2'!$H$13,0))</f>
      </c>
      <c r="O250" s="66">
        <f>IF($K250="","",ROUND($K250*'操作パネル_MS2'!$H$13,0))</f>
      </c>
      <c r="P250" s="59">
        <f>IF(OR($K250="",$E250="",$F250="",$E250=$F250),"",$K250/ABS($E250-$F250))</f>
      </c>
      <c r="Q250" s="61">
        <f>IF(OR($B250="",$J250=""),"",IF(AND($J250&lt;&gt;"EXPIRED",ISNUMBER($L250),ISNUMBER($M250),INT($L250)=INT($M250)),1,0))</f>
      </c>
      <c r="U250" s="58">
        <f>IF($Q250=1,$O250,"")</f>
      </c>
    </row>
    <row r="251" spans="14:21">
      <c r="N251" s="58">
        <f>IF($E251="","",ROUND($E251*'操作パネル_MS2'!$H$13,0))</f>
      </c>
      <c r="O251" s="66">
        <f>IF($K251="","",ROUND($K251*'操作パネル_MS2'!$H$13,0))</f>
      </c>
      <c r="P251" s="59">
        <f>IF(OR($K251="",$E251="",$F251="",$E251=$F251),"",$K251/ABS($E251-$F251))</f>
      </c>
      <c r="Q251" s="61">
        <f>IF(OR($B251="",$J251=""),"",IF(AND($J251&lt;&gt;"EXPIRED",ISNUMBER($L251),ISNUMBER($M251),INT($L251)=INT($M251)),1,0))</f>
      </c>
      <c r="U251" s="58">
        <f>IF($Q251=1,$O251,"")</f>
      </c>
    </row>
    <row r="252" spans="14:21">
      <c r="N252" s="58">
        <f>IF($E252="","",ROUND($E252*'操作パネル_MS2'!$H$13,0))</f>
      </c>
      <c r="O252" s="66">
        <f>IF($K252="","",ROUND($K252*'操作パネル_MS2'!$H$13,0))</f>
      </c>
      <c r="P252" s="59">
        <f>IF(OR($K252="",$E252="",$F252="",$E252=$F252),"",$K252/ABS($E252-$F252))</f>
      </c>
      <c r="Q252" s="61">
        <f>IF(OR($B252="",$J252=""),"",IF(AND($J252&lt;&gt;"EXPIRED",ISNUMBER($L252),ISNUMBER($M252),INT($L252)=INT($M252)),1,0))</f>
      </c>
      <c r="U252" s="58">
        <f>IF($Q252=1,$O252,"")</f>
      </c>
    </row>
    <row r="253" spans="14:21">
      <c r="N253" s="58">
        <f>IF($E253="","",ROUND($E253*'操作パネル_MS2'!$H$13,0))</f>
      </c>
      <c r="O253" s="66">
        <f>IF($K253="","",ROUND($K253*'操作パネル_MS2'!$H$13,0))</f>
      </c>
      <c r="P253" s="59">
        <f>IF(OR($K253="",$E253="",$F253="",$E253=$F253),"",$K253/ABS($E253-$F253))</f>
      </c>
      <c r="Q253" s="61">
        <f>IF(OR($B253="",$J253=""),"",IF(AND($J253&lt;&gt;"EXPIRED",ISNUMBER($L253),ISNUMBER($M253),INT($L253)=INT($M253)),1,0))</f>
      </c>
      <c r="U253" s="58">
        <f>IF($Q253=1,$O253,"")</f>
      </c>
    </row>
    <row r="254" spans="14:21">
      <c r="N254" s="58">
        <f>IF($E254="","",ROUND($E254*'操作パネル_MS2'!$H$13,0))</f>
      </c>
      <c r="O254" s="66">
        <f>IF($K254="","",ROUND($K254*'操作パネル_MS2'!$H$13,0))</f>
      </c>
      <c r="P254" s="59">
        <f>IF(OR($K254="",$E254="",$F254="",$E254=$F254),"",$K254/ABS($E254-$F254))</f>
      </c>
      <c r="Q254" s="61">
        <f>IF(OR($B254="",$J254=""),"",IF(AND($J254&lt;&gt;"EXPIRED",ISNUMBER($L254),ISNUMBER($M254),INT($L254)=INT($M254)),1,0))</f>
      </c>
      <c r="U254" s="58">
        <f>IF($Q254=1,$O254,"")</f>
      </c>
    </row>
    <row r="255" spans="14:21">
      <c r="N255" s="58">
        <f>IF($E255="","",ROUND($E255*'操作パネル_MS2'!$H$13,0))</f>
      </c>
      <c r="O255" s="66">
        <f>IF($K255="","",ROUND($K255*'操作パネル_MS2'!$H$13,0))</f>
      </c>
      <c r="P255" s="59">
        <f>IF(OR($K255="",$E255="",$F255="",$E255=$F255),"",$K255/ABS($E255-$F255))</f>
      </c>
      <c r="Q255" s="61">
        <f>IF(OR($B255="",$J255=""),"",IF(AND($J255&lt;&gt;"EXPIRED",ISNUMBER($L255),ISNUMBER($M255),INT($L255)=INT($M255)),1,0))</f>
      </c>
      <c r="U255" s="58">
        <f>IF($Q255=1,$O255,"")</f>
      </c>
    </row>
    <row r="256" spans="14:21">
      <c r="N256" s="58">
        <f>IF($E256="","",ROUND($E256*'操作パネル_MS2'!$H$13,0))</f>
      </c>
      <c r="O256" s="66">
        <f>IF($K256="","",ROUND($K256*'操作パネル_MS2'!$H$13,0))</f>
      </c>
      <c r="P256" s="59">
        <f>IF(OR($K256="",$E256="",$F256="",$E256=$F256),"",$K256/ABS($E256-$F256))</f>
      </c>
      <c r="Q256" s="61">
        <f>IF(OR($B256="",$J256=""),"",IF(AND($J256&lt;&gt;"EXPIRED",ISNUMBER($L256),ISNUMBER($M256),INT($L256)=INT($M256)),1,0))</f>
      </c>
      <c r="U256" s="58">
        <f>IF($Q256=1,$O256,"")</f>
      </c>
    </row>
    <row r="257" spans="14:21">
      <c r="N257" s="58">
        <f>IF($E257="","",ROUND($E257*'操作パネル_MS2'!$H$13,0))</f>
      </c>
      <c r="O257" s="66">
        <f>IF($K257="","",ROUND($K257*'操作パネル_MS2'!$H$13,0))</f>
      </c>
      <c r="P257" s="59">
        <f>IF(OR($K257="",$E257="",$F257="",$E257=$F257),"",$K257/ABS($E257-$F257))</f>
      </c>
      <c r="Q257" s="61">
        <f>IF(OR($B257="",$J257=""),"",IF(AND($J257&lt;&gt;"EXPIRED",ISNUMBER($L257),ISNUMBER($M257),INT($L257)=INT($M257)),1,0))</f>
      </c>
      <c r="U257" s="58">
        <f>IF($Q257=1,$O257,"")</f>
      </c>
    </row>
    <row r="258" spans="14:21">
      <c r="N258" s="58">
        <f>IF($E258="","",ROUND($E258*'操作パネル_MS2'!$H$13,0))</f>
      </c>
      <c r="O258" s="66">
        <f>IF($K258="","",ROUND($K258*'操作パネル_MS2'!$H$13,0))</f>
      </c>
      <c r="P258" s="59">
        <f>IF(OR($K258="",$E258="",$F258="",$E258=$F258),"",$K258/ABS($E258-$F258))</f>
      </c>
      <c r="Q258" s="61">
        <f>IF(OR($B258="",$J258=""),"",IF(AND($J258&lt;&gt;"EXPIRED",ISNUMBER($L258),ISNUMBER($M258),INT($L258)=INT($M258)),1,0))</f>
      </c>
      <c r="U258" s="58">
        <f>IF($Q258=1,$O258,"")</f>
      </c>
    </row>
    <row r="259" spans="14:21">
      <c r="N259" s="58">
        <f>IF($E259="","",ROUND($E259*'操作パネル_MS2'!$H$13,0))</f>
      </c>
      <c r="O259" s="66">
        <f>IF($K259="","",ROUND($K259*'操作パネル_MS2'!$H$13,0))</f>
      </c>
      <c r="P259" s="59">
        <f>IF(OR($K259="",$E259="",$F259="",$E259=$F259),"",$K259/ABS($E259-$F259))</f>
      </c>
      <c r="Q259" s="61">
        <f>IF(OR($B259="",$J259=""),"",IF(AND($J259&lt;&gt;"EXPIRED",ISNUMBER($L259),ISNUMBER($M259),INT($L259)=INT($M259)),1,0))</f>
      </c>
      <c r="U259" s="58">
        <f>IF($Q259=1,$O259,"")</f>
      </c>
    </row>
    <row r="260" spans="14:21">
      <c r="N260" s="58">
        <f>IF($E260="","",ROUND($E260*'操作パネル_MS2'!$H$13,0))</f>
      </c>
      <c r="O260" s="66">
        <f>IF($K260="","",ROUND($K260*'操作パネル_MS2'!$H$13,0))</f>
      </c>
      <c r="P260" s="59">
        <f>IF(OR($K260="",$E260="",$F260="",$E260=$F260),"",$K260/ABS($E260-$F260))</f>
      </c>
      <c r="Q260" s="61">
        <f>IF(OR($B260="",$J260=""),"",IF(AND($J260&lt;&gt;"EXPIRED",ISNUMBER($L260),ISNUMBER($M260),INT($L260)=INT($M260)),1,0))</f>
      </c>
      <c r="U260" s="58">
        <f>IF($Q260=1,$O260,"")</f>
      </c>
    </row>
    <row r="261" spans="14:21">
      <c r="N261" s="58">
        <f>IF($E261="","",ROUND($E261*'操作パネル_MS2'!$H$13,0))</f>
      </c>
      <c r="O261" s="66">
        <f>IF($K261="","",ROUND($K261*'操作パネル_MS2'!$H$13,0))</f>
      </c>
      <c r="P261" s="59">
        <f>IF(OR($K261="",$E261="",$F261="",$E261=$F261),"",$K261/ABS($E261-$F261))</f>
      </c>
      <c r="Q261" s="61">
        <f>IF(OR($B261="",$J261=""),"",IF(AND($J261&lt;&gt;"EXPIRED",ISNUMBER($L261),ISNUMBER($M261),INT($L261)=INT($M261)),1,0))</f>
      </c>
      <c r="U261" s="58">
        <f>IF($Q261=1,$O261,"")</f>
      </c>
    </row>
    <row r="262" spans="14:21">
      <c r="N262" s="58">
        <f>IF($E262="","",ROUND($E262*'操作パネル_MS2'!$H$13,0))</f>
      </c>
      <c r="O262" s="66">
        <f>IF($K262="","",ROUND($K262*'操作パネル_MS2'!$H$13,0))</f>
      </c>
      <c r="P262" s="59">
        <f>IF(OR($K262="",$E262="",$F262="",$E262=$F262),"",$K262/ABS($E262-$F262))</f>
      </c>
      <c r="Q262" s="61">
        <f>IF(OR($B262="",$J262=""),"",IF(AND($J262&lt;&gt;"EXPIRED",ISNUMBER($L262),ISNUMBER($M262),INT($L262)=INT($M262)),1,0))</f>
      </c>
      <c r="U262" s="58">
        <f>IF($Q262=1,$O262,"")</f>
      </c>
    </row>
    <row r="263" spans="14:21">
      <c r="N263" s="58">
        <f>IF($E263="","",ROUND($E263*'操作パネル_MS2'!$H$13,0))</f>
      </c>
      <c r="O263" s="66">
        <f>IF($K263="","",ROUND($K263*'操作パネル_MS2'!$H$13,0))</f>
      </c>
      <c r="P263" s="59">
        <f>IF(OR($K263="",$E263="",$F263="",$E263=$F263),"",$K263/ABS($E263-$F263))</f>
      </c>
      <c r="Q263" s="61">
        <f>IF(OR($B263="",$J263=""),"",IF(AND($J263&lt;&gt;"EXPIRED",ISNUMBER($L263),ISNUMBER($M263),INT($L263)=INT($M263)),1,0))</f>
      </c>
      <c r="U263" s="58">
        <f>IF($Q263=1,$O263,"")</f>
      </c>
    </row>
    <row r="264" spans="14:21">
      <c r="N264" s="58">
        <f>IF($E264="","",ROUND($E264*'操作パネル_MS2'!$H$13,0))</f>
      </c>
      <c r="O264" s="66">
        <f>IF($K264="","",ROUND($K264*'操作パネル_MS2'!$H$13,0))</f>
      </c>
      <c r="P264" s="59">
        <f>IF(OR($K264="",$E264="",$F264="",$E264=$F264),"",$K264/ABS($E264-$F264))</f>
      </c>
      <c r="Q264" s="61">
        <f>IF(OR($B264="",$J264=""),"",IF(AND($J264&lt;&gt;"EXPIRED",ISNUMBER($L264),ISNUMBER($M264),INT($L264)=INT($M264)),1,0))</f>
      </c>
      <c r="U264" s="58">
        <f>IF($Q264=1,$O264,"")</f>
      </c>
    </row>
    <row r="265" spans="14:21">
      <c r="N265" s="58">
        <f>IF($E265="","",ROUND($E265*'操作パネル_MS2'!$H$13,0))</f>
      </c>
      <c r="O265" s="66">
        <f>IF($K265="","",ROUND($K265*'操作パネル_MS2'!$H$13,0))</f>
      </c>
      <c r="P265" s="59">
        <f>IF(OR($K265="",$E265="",$F265="",$E265=$F265),"",$K265/ABS($E265-$F265))</f>
      </c>
      <c r="Q265" s="61">
        <f>IF(OR($B265="",$J265=""),"",IF(AND($J265&lt;&gt;"EXPIRED",ISNUMBER($L265),ISNUMBER($M265),INT($L265)=INT($M265)),1,0))</f>
      </c>
      <c r="U265" s="58">
        <f>IF($Q265=1,$O265,"")</f>
      </c>
    </row>
    <row r="266" spans="14:21">
      <c r="N266" s="58">
        <f>IF($E266="","",ROUND($E266*'操作パネル_MS2'!$H$13,0))</f>
      </c>
      <c r="O266" s="66">
        <f>IF($K266="","",ROUND($K266*'操作パネル_MS2'!$H$13,0))</f>
      </c>
      <c r="P266" s="59">
        <f>IF(OR($K266="",$E266="",$F266="",$E266=$F266),"",$K266/ABS($E266-$F266))</f>
      </c>
      <c r="Q266" s="61">
        <f>IF(OR($B266="",$J266=""),"",IF(AND($J266&lt;&gt;"EXPIRED",ISNUMBER($L266),ISNUMBER($M266),INT($L266)=INT($M266)),1,0))</f>
      </c>
      <c r="U266" s="58">
        <f>IF($Q266=1,$O266,"")</f>
      </c>
    </row>
    <row r="267" spans="14:21">
      <c r="N267" s="58">
        <f>IF($E267="","",ROUND($E267*'操作パネル_MS2'!$H$13,0))</f>
      </c>
      <c r="O267" s="66">
        <f>IF($K267="","",ROUND($K267*'操作パネル_MS2'!$H$13,0))</f>
      </c>
      <c r="P267" s="59">
        <f>IF(OR($K267="",$E267="",$F267="",$E267=$F267),"",$K267/ABS($E267-$F267))</f>
      </c>
      <c r="Q267" s="61">
        <f>IF(OR($B267="",$J267=""),"",IF(AND($J267&lt;&gt;"EXPIRED",ISNUMBER($L267),ISNUMBER($M267),INT($L267)=INT($M267)),1,0))</f>
      </c>
      <c r="U267" s="58">
        <f>IF($Q267=1,$O267,"")</f>
      </c>
    </row>
    <row r="268" spans="14:21">
      <c r="N268" s="58">
        <f>IF($E268="","",ROUND($E268*'操作パネル_MS2'!$H$13,0))</f>
      </c>
      <c r="O268" s="66">
        <f>IF($K268="","",ROUND($K268*'操作パネル_MS2'!$H$13,0))</f>
      </c>
      <c r="P268" s="59">
        <f>IF(OR($K268="",$E268="",$F268="",$E268=$F268),"",$K268/ABS($E268-$F268))</f>
      </c>
      <c r="Q268" s="61">
        <f>IF(OR($B268="",$J268=""),"",IF(AND($J268&lt;&gt;"EXPIRED",ISNUMBER($L268),ISNUMBER($M268),INT($L268)=INT($M268)),1,0))</f>
      </c>
      <c r="U268" s="58">
        <f>IF($Q268=1,$O268,"")</f>
      </c>
    </row>
    <row r="269" spans="14:21">
      <c r="N269" s="58">
        <f>IF($E269="","",ROUND($E269*'操作パネル_MS2'!$H$13,0))</f>
      </c>
      <c r="O269" s="66">
        <f>IF($K269="","",ROUND($K269*'操作パネル_MS2'!$H$13,0))</f>
      </c>
      <c r="P269" s="59">
        <f>IF(OR($K269="",$E269="",$F269="",$E269=$F269),"",$K269/ABS($E269-$F269))</f>
      </c>
      <c r="Q269" s="61">
        <f>IF(OR($B269="",$J269=""),"",IF(AND($J269&lt;&gt;"EXPIRED",ISNUMBER($L269),ISNUMBER($M269),INT($L269)=INT($M269)),1,0))</f>
      </c>
      <c r="U269" s="58">
        <f>IF($Q269=1,$O269,"")</f>
      </c>
    </row>
    <row r="270" spans="14:21">
      <c r="N270" s="58">
        <f>IF($E270="","",ROUND($E270*'操作パネル_MS2'!$H$13,0))</f>
      </c>
      <c r="O270" s="66">
        <f>IF($K270="","",ROUND($K270*'操作パネル_MS2'!$H$13,0))</f>
      </c>
      <c r="P270" s="59">
        <f>IF(OR($K270="",$E270="",$F270="",$E270=$F270),"",$K270/ABS($E270-$F270))</f>
      </c>
      <c r="Q270" s="61">
        <f>IF(OR($B270="",$J270=""),"",IF(AND($J270&lt;&gt;"EXPIRED",ISNUMBER($L270),ISNUMBER($M270),INT($L270)=INT($M270)),1,0))</f>
      </c>
      <c r="U270" s="58">
        <f>IF($Q270=1,$O270,"")</f>
      </c>
    </row>
    <row r="271" spans="14:21">
      <c r="N271" s="58">
        <f>IF($E271="","",ROUND($E271*'操作パネル_MS2'!$H$13,0))</f>
      </c>
      <c r="O271" s="66">
        <f>IF($K271="","",ROUND($K271*'操作パネル_MS2'!$H$13,0))</f>
      </c>
      <c r="P271" s="59">
        <f>IF(OR($K271="",$E271="",$F271="",$E271=$F271),"",$K271/ABS($E271-$F271))</f>
      </c>
      <c r="Q271" s="61">
        <f>IF(OR($B271="",$J271=""),"",IF(AND($J271&lt;&gt;"EXPIRED",ISNUMBER($L271),ISNUMBER($M271),INT($L271)=INT($M271)),1,0))</f>
      </c>
      <c r="U271" s="58">
        <f>IF($Q271=1,$O271,"")</f>
      </c>
    </row>
    <row r="272" spans="14:21">
      <c r="N272" s="58">
        <f>IF($E272="","",ROUND($E272*'操作パネル_MS2'!$H$13,0))</f>
      </c>
      <c r="O272" s="66">
        <f>IF($K272="","",ROUND($K272*'操作パネル_MS2'!$H$13,0))</f>
      </c>
      <c r="P272" s="59">
        <f>IF(OR($K272="",$E272="",$F272="",$E272=$F272),"",$K272/ABS($E272-$F272))</f>
      </c>
      <c r="Q272" s="61">
        <f>IF(OR($B272="",$J272=""),"",IF(AND($J272&lt;&gt;"EXPIRED",ISNUMBER($L272),ISNUMBER($M272),INT($L272)=INT($M272)),1,0))</f>
      </c>
      <c r="U272" s="58">
        <f>IF($Q272=1,$O272,"")</f>
      </c>
    </row>
    <row r="273" spans="14:21">
      <c r="N273" s="58">
        <f>IF($E273="","",ROUND($E273*'操作パネル_MS2'!$H$13,0))</f>
      </c>
      <c r="O273" s="66">
        <f>IF($K273="","",ROUND($K273*'操作パネル_MS2'!$H$13,0))</f>
      </c>
      <c r="P273" s="59">
        <f>IF(OR($K273="",$E273="",$F273="",$E273=$F273),"",$K273/ABS($E273-$F273))</f>
      </c>
      <c r="Q273" s="61">
        <f>IF(OR($B273="",$J273=""),"",IF(AND($J273&lt;&gt;"EXPIRED",ISNUMBER($L273),ISNUMBER($M273),INT($L273)=INT($M273)),1,0))</f>
      </c>
      <c r="U273" s="58">
        <f>IF($Q273=1,$O273,"")</f>
      </c>
    </row>
    <row r="274" spans="14:21">
      <c r="N274" s="58">
        <f>IF($E274="","",ROUND($E274*'操作パネル_MS2'!$H$13,0))</f>
      </c>
      <c r="O274" s="66">
        <f>IF($K274="","",ROUND($K274*'操作パネル_MS2'!$H$13,0))</f>
      </c>
      <c r="P274" s="59">
        <f>IF(OR($K274="",$E274="",$F274="",$E274=$F274),"",$K274/ABS($E274-$F274))</f>
      </c>
      <c r="Q274" s="61">
        <f>IF(OR($B274="",$J274=""),"",IF(AND($J274&lt;&gt;"EXPIRED",ISNUMBER($L274),ISNUMBER($M274),INT($L274)=INT($M274)),1,0))</f>
      </c>
      <c r="U274" s="58">
        <f>IF($Q274=1,$O274,"")</f>
      </c>
    </row>
    <row r="275" spans="14:21">
      <c r="N275" s="58">
        <f>IF($E275="","",ROUND($E275*'操作パネル_MS2'!$H$13,0))</f>
      </c>
      <c r="O275" s="66">
        <f>IF($K275="","",ROUND($K275*'操作パネル_MS2'!$H$13,0))</f>
      </c>
      <c r="P275" s="59">
        <f>IF(OR($K275="",$E275="",$F275="",$E275=$F275),"",$K275/ABS($E275-$F275))</f>
      </c>
      <c r="Q275" s="61">
        <f>IF(OR($B275="",$J275=""),"",IF(AND($J275&lt;&gt;"EXPIRED",ISNUMBER($L275),ISNUMBER($M275),INT($L275)=INT($M275)),1,0))</f>
      </c>
      <c r="U275" s="58">
        <f>IF($Q275=1,$O275,"")</f>
      </c>
    </row>
    <row r="276" spans="14:21">
      <c r="N276" s="58">
        <f>IF($E276="","",ROUND($E276*'操作パネル_MS2'!$H$13,0))</f>
      </c>
      <c r="O276" s="66">
        <f>IF($K276="","",ROUND($K276*'操作パネル_MS2'!$H$13,0))</f>
      </c>
      <c r="P276" s="59">
        <f>IF(OR($K276="",$E276="",$F276="",$E276=$F276),"",$K276/ABS($E276-$F276))</f>
      </c>
      <c r="Q276" s="61">
        <f>IF(OR($B276="",$J276=""),"",IF(AND($J276&lt;&gt;"EXPIRED",ISNUMBER($L276),ISNUMBER($M276),INT($L276)=INT($M276)),1,0))</f>
      </c>
      <c r="U276" s="58">
        <f>IF($Q276=1,$O276,"")</f>
      </c>
    </row>
    <row r="277" spans="14:21">
      <c r="N277" s="58">
        <f>IF($E277="","",ROUND($E277*'操作パネル_MS2'!$H$13,0))</f>
      </c>
      <c r="O277" s="66">
        <f>IF($K277="","",ROUND($K277*'操作パネル_MS2'!$H$13,0))</f>
      </c>
      <c r="P277" s="59">
        <f>IF(OR($K277="",$E277="",$F277="",$E277=$F277),"",$K277/ABS($E277-$F277))</f>
      </c>
      <c r="Q277" s="61">
        <f>IF(OR($B277="",$J277=""),"",IF(AND($J277&lt;&gt;"EXPIRED",ISNUMBER($L277),ISNUMBER($M277),INT($L277)=INT($M277)),1,0))</f>
      </c>
      <c r="U277" s="58">
        <f>IF($Q277=1,$O277,"")</f>
      </c>
    </row>
    <row r="278" spans="14:21">
      <c r="N278" s="58">
        <f>IF($E278="","",ROUND($E278*'操作パネル_MS2'!$H$13,0))</f>
      </c>
      <c r="O278" s="66">
        <f>IF($K278="","",ROUND($K278*'操作パネル_MS2'!$H$13,0))</f>
      </c>
      <c r="P278" s="59">
        <f>IF(OR($K278="",$E278="",$F278="",$E278=$F278),"",$K278/ABS($E278-$F278))</f>
      </c>
      <c r="Q278" s="61">
        <f>IF(OR($B278="",$J278=""),"",IF(AND($J278&lt;&gt;"EXPIRED",ISNUMBER($L278),ISNUMBER($M278),INT($L278)=INT($M278)),1,0))</f>
      </c>
      <c r="U278" s="58">
        <f>IF($Q278=1,$O278,"")</f>
      </c>
    </row>
    <row r="279" spans="14:21">
      <c r="N279" s="58">
        <f>IF($E279="","",ROUND($E279*'操作パネル_MS2'!$H$13,0))</f>
      </c>
      <c r="O279" s="66">
        <f>IF($K279="","",ROUND($K279*'操作パネル_MS2'!$H$13,0))</f>
      </c>
      <c r="P279" s="59">
        <f>IF(OR($K279="",$E279="",$F279="",$E279=$F279),"",$K279/ABS($E279-$F279))</f>
      </c>
      <c r="Q279" s="61">
        <f>IF(OR($B279="",$J279=""),"",IF(AND($J279&lt;&gt;"EXPIRED",ISNUMBER($L279),ISNUMBER($M279),INT($L279)=INT($M279)),1,0))</f>
      </c>
      <c r="U279" s="58">
        <f>IF($Q279=1,$O279,"")</f>
      </c>
    </row>
    <row r="280" spans="14:21">
      <c r="N280" s="58">
        <f>IF($E280="","",ROUND($E280*'操作パネル_MS2'!$H$13,0))</f>
      </c>
      <c r="O280" s="66">
        <f>IF($K280="","",ROUND($K280*'操作パネル_MS2'!$H$13,0))</f>
      </c>
      <c r="P280" s="59">
        <f>IF(OR($K280="",$E280="",$F280="",$E280=$F280),"",$K280/ABS($E280-$F280))</f>
      </c>
      <c r="Q280" s="61">
        <f>IF(OR($B280="",$J280=""),"",IF(AND($J280&lt;&gt;"EXPIRED",ISNUMBER($L280),ISNUMBER($M280),INT($L280)=INT($M280)),1,0))</f>
      </c>
      <c r="U280" s="58">
        <f>IF($Q280=1,$O280,"")</f>
      </c>
    </row>
    <row r="281" spans="14:21">
      <c r="N281" s="58">
        <f>IF($E281="","",ROUND($E281*'操作パネル_MS2'!$H$13,0))</f>
      </c>
      <c r="O281" s="66">
        <f>IF($K281="","",ROUND($K281*'操作パネル_MS2'!$H$13,0))</f>
      </c>
      <c r="P281" s="59">
        <f>IF(OR($K281="",$E281="",$F281="",$E281=$F281),"",$K281/ABS($E281-$F281))</f>
      </c>
      <c r="Q281" s="61">
        <f>IF(OR($B281="",$J281=""),"",IF(AND($J281&lt;&gt;"EXPIRED",ISNUMBER($L281),ISNUMBER($M281),INT($L281)=INT($M281)),1,0))</f>
      </c>
      <c r="U281" s="58">
        <f>IF($Q281=1,$O281,"")</f>
      </c>
    </row>
    <row r="282" spans="14:21">
      <c r="N282" s="58">
        <f>IF($E282="","",ROUND($E282*'操作パネル_MS2'!$H$13,0))</f>
      </c>
      <c r="O282" s="66">
        <f>IF($K282="","",ROUND($K282*'操作パネル_MS2'!$H$13,0))</f>
      </c>
      <c r="P282" s="59">
        <f>IF(OR($K282="",$E282="",$F282="",$E282=$F282),"",$K282/ABS($E282-$F282))</f>
      </c>
      <c r="Q282" s="61">
        <f>IF(OR($B282="",$J282=""),"",IF(AND($J282&lt;&gt;"EXPIRED",ISNUMBER($L282),ISNUMBER($M282),INT($L282)=INT($M282)),1,0))</f>
      </c>
      <c r="U282" s="58">
        <f>IF($Q282=1,$O282,"")</f>
      </c>
    </row>
    <row r="283" spans="14:21">
      <c r="N283" s="58">
        <f>IF($E283="","",ROUND($E283*'操作パネル_MS2'!$H$13,0))</f>
      </c>
      <c r="O283" s="66">
        <f>IF($K283="","",ROUND($K283*'操作パネル_MS2'!$H$13,0))</f>
      </c>
      <c r="P283" s="59">
        <f>IF(OR($K283="",$E283="",$F283="",$E283=$F283),"",$K283/ABS($E283-$F283))</f>
      </c>
      <c r="Q283" s="61">
        <f>IF(OR($B283="",$J283=""),"",IF(AND($J283&lt;&gt;"EXPIRED",ISNUMBER($L283),ISNUMBER($M283),INT($L283)=INT($M283)),1,0))</f>
      </c>
      <c r="U283" s="58">
        <f>IF($Q283=1,$O283,"")</f>
      </c>
    </row>
    <row r="284" spans="14:21">
      <c r="N284" s="58">
        <f>IF($E284="","",ROUND($E284*'操作パネル_MS2'!$H$13,0))</f>
      </c>
      <c r="O284" s="66">
        <f>IF($K284="","",ROUND($K284*'操作パネル_MS2'!$H$13,0))</f>
      </c>
      <c r="P284" s="59">
        <f>IF(OR($K284="",$E284="",$F284="",$E284=$F284),"",$K284/ABS($E284-$F284))</f>
      </c>
      <c r="Q284" s="61">
        <f>IF(OR($B284="",$J284=""),"",IF(AND($J284&lt;&gt;"EXPIRED",ISNUMBER($L284),ISNUMBER($M284),INT($L284)=INT($M284)),1,0))</f>
      </c>
      <c r="U284" s="58">
        <f>IF($Q284=1,$O284,"")</f>
      </c>
    </row>
    <row r="285" spans="14:21">
      <c r="N285" s="58">
        <f>IF($E285="","",ROUND($E285*'操作パネル_MS2'!$H$13,0))</f>
      </c>
      <c r="O285" s="66">
        <f>IF($K285="","",ROUND($K285*'操作パネル_MS2'!$H$13,0))</f>
      </c>
      <c r="P285" s="59">
        <f>IF(OR($K285="",$E285="",$F285="",$E285=$F285),"",$K285/ABS($E285-$F285))</f>
      </c>
      <c r="Q285" s="61">
        <f>IF(OR($B285="",$J285=""),"",IF(AND($J285&lt;&gt;"EXPIRED",ISNUMBER($L285),ISNUMBER($M285),INT($L285)=INT($M285)),1,0))</f>
      </c>
      <c r="U285" s="58">
        <f>IF($Q285=1,$O285,"")</f>
      </c>
    </row>
    <row r="286" spans="14:21">
      <c r="N286" s="58">
        <f>IF($E286="","",ROUND($E286*'操作パネル_MS2'!$H$13,0))</f>
      </c>
      <c r="O286" s="66">
        <f>IF($K286="","",ROUND($K286*'操作パネル_MS2'!$H$13,0))</f>
      </c>
      <c r="P286" s="59">
        <f>IF(OR($K286="",$E286="",$F286="",$E286=$F286),"",$K286/ABS($E286-$F286))</f>
      </c>
      <c r="Q286" s="61">
        <f>IF(OR($B286="",$J286=""),"",IF(AND($J286&lt;&gt;"EXPIRED",ISNUMBER($L286),ISNUMBER($M286),INT($L286)=INT($M286)),1,0))</f>
      </c>
      <c r="U286" s="58">
        <f>IF($Q286=1,$O286,"")</f>
      </c>
    </row>
    <row r="287" spans="14:21">
      <c r="N287" s="58">
        <f>IF($E287="","",ROUND($E287*'操作パネル_MS2'!$H$13,0))</f>
      </c>
      <c r="O287" s="66">
        <f>IF($K287="","",ROUND($K287*'操作パネル_MS2'!$H$13,0))</f>
      </c>
      <c r="P287" s="59">
        <f>IF(OR($K287="",$E287="",$F287="",$E287=$F287),"",$K287/ABS($E287-$F287))</f>
      </c>
      <c r="Q287" s="61">
        <f>IF(OR($B287="",$J287=""),"",IF(AND($J287&lt;&gt;"EXPIRED",ISNUMBER($L287),ISNUMBER($M287),INT($L287)=INT($M287)),1,0))</f>
      </c>
      <c r="U287" s="58">
        <f>IF($Q287=1,$O287,"")</f>
      </c>
    </row>
    <row r="288" spans="14:21">
      <c r="N288" s="58">
        <f>IF($E288="","",ROUND($E288*'操作パネル_MS2'!$H$13,0))</f>
      </c>
      <c r="O288" s="66">
        <f>IF($K288="","",ROUND($K288*'操作パネル_MS2'!$H$13,0))</f>
      </c>
      <c r="P288" s="59">
        <f>IF(OR($K288="",$E288="",$F288="",$E288=$F288),"",$K288/ABS($E288-$F288))</f>
      </c>
      <c r="Q288" s="61">
        <f>IF(OR($B288="",$J288=""),"",IF(AND($J288&lt;&gt;"EXPIRED",ISNUMBER($L288),ISNUMBER($M288),INT($L288)=INT($M288)),1,0))</f>
      </c>
      <c r="U288" s="58">
        <f>IF($Q288=1,$O288,"")</f>
      </c>
    </row>
    <row r="289" spans="14:21">
      <c r="N289" s="58">
        <f>IF($E289="","",ROUND($E289*'操作パネル_MS2'!$H$13,0))</f>
      </c>
      <c r="O289" s="66">
        <f>IF($K289="","",ROUND($K289*'操作パネル_MS2'!$H$13,0))</f>
      </c>
      <c r="P289" s="59">
        <f>IF(OR($K289="",$E289="",$F289="",$E289=$F289),"",$K289/ABS($E289-$F289))</f>
      </c>
      <c r="Q289" s="61">
        <f>IF(OR($B289="",$J289=""),"",IF(AND($J289&lt;&gt;"EXPIRED",ISNUMBER($L289),ISNUMBER($M289),INT($L289)=INT($M289)),1,0))</f>
      </c>
      <c r="U289" s="58">
        <f>IF($Q289=1,$O289,"")</f>
      </c>
    </row>
    <row r="290" spans="14:21">
      <c r="N290" s="58">
        <f>IF($E290="","",ROUND($E290*'操作パネル_MS2'!$H$13,0))</f>
      </c>
      <c r="O290" s="66">
        <f>IF($K290="","",ROUND($K290*'操作パネル_MS2'!$H$13,0))</f>
      </c>
      <c r="P290" s="59">
        <f>IF(OR($K290="",$E290="",$F290="",$E290=$F290),"",$K290/ABS($E290-$F290))</f>
      </c>
      <c r="Q290" s="61">
        <f>IF(OR($B290="",$J290=""),"",IF(AND($J290&lt;&gt;"EXPIRED",ISNUMBER($L290),ISNUMBER($M290),INT($L290)=INT($M290)),1,0))</f>
      </c>
      <c r="U290" s="58">
        <f>IF($Q290=1,$O290,"")</f>
      </c>
    </row>
    <row r="291" spans="14:21">
      <c r="N291" s="58">
        <f>IF($E291="","",ROUND($E291*'操作パネル_MS2'!$H$13,0))</f>
      </c>
      <c r="O291" s="66">
        <f>IF($K291="","",ROUND($K291*'操作パネル_MS2'!$H$13,0))</f>
      </c>
      <c r="P291" s="59">
        <f>IF(OR($K291="",$E291="",$F291="",$E291=$F291),"",$K291/ABS($E291-$F291))</f>
      </c>
      <c r="Q291" s="61">
        <f>IF(OR($B291="",$J291=""),"",IF(AND($J291&lt;&gt;"EXPIRED",ISNUMBER($L291),ISNUMBER($M291),INT($L291)=INT($M291)),1,0))</f>
      </c>
      <c r="U291" s="58">
        <f>IF($Q291=1,$O291,"")</f>
      </c>
    </row>
    <row r="292" spans="14:21">
      <c r="N292" s="58">
        <f>IF($E292="","",ROUND($E292*'操作パネル_MS2'!$H$13,0))</f>
      </c>
      <c r="O292" s="66">
        <f>IF($K292="","",ROUND($K292*'操作パネル_MS2'!$H$13,0))</f>
      </c>
      <c r="P292" s="59">
        <f>IF(OR($K292="",$E292="",$F292="",$E292=$F292),"",$K292/ABS($E292-$F292))</f>
      </c>
      <c r="Q292" s="61">
        <f>IF(OR($B292="",$J292=""),"",IF(AND($J292&lt;&gt;"EXPIRED",ISNUMBER($L292),ISNUMBER($M292),INT($L292)=INT($M292)),1,0))</f>
      </c>
      <c r="U292" s="58">
        <f>IF($Q292=1,$O292,"")</f>
      </c>
    </row>
    <row r="293" spans="14:21">
      <c r="N293" s="58">
        <f>IF($E293="","",ROUND($E293*'操作パネル_MS2'!$H$13,0))</f>
      </c>
      <c r="O293" s="66">
        <f>IF($K293="","",ROUND($K293*'操作パネル_MS2'!$H$13,0))</f>
      </c>
      <c r="P293" s="59">
        <f>IF(OR($K293="",$E293="",$F293="",$E293=$F293),"",$K293/ABS($E293-$F293))</f>
      </c>
      <c r="Q293" s="61">
        <f>IF(OR($B293="",$J293=""),"",IF(AND($J293&lt;&gt;"EXPIRED",ISNUMBER($L293),ISNUMBER($M293),INT($L293)=INT($M293)),1,0))</f>
      </c>
      <c r="U293" s="58">
        <f>IF($Q293=1,$O293,"")</f>
      </c>
    </row>
    <row r="294" spans="14:21">
      <c r="N294" s="58">
        <f>IF($E294="","",ROUND($E294*'操作パネル_MS2'!$H$13,0))</f>
      </c>
      <c r="O294" s="66">
        <f>IF($K294="","",ROUND($K294*'操作パネル_MS2'!$H$13,0))</f>
      </c>
      <c r="P294" s="59">
        <f>IF(OR($K294="",$E294="",$F294="",$E294=$F294),"",$K294/ABS($E294-$F294))</f>
      </c>
      <c r="Q294" s="61">
        <f>IF(OR($B294="",$J294=""),"",IF(AND($J294&lt;&gt;"EXPIRED",ISNUMBER($L294),ISNUMBER($M294),INT($L294)=INT($M294)),1,0))</f>
      </c>
      <c r="U294" s="58">
        <f>IF($Q294=1,$O294,"")</f>
      </c>
    </row>
    <row r="295" spans="14:21">
      <c r="N295" s="58">
        <f>IF($E295="","",ROUND($E295*'操作パネル_MS2'!$H$13,0))</f>
      </c>
      <c r="O295" s="66">
        <f>IF($K295="","",ROUND($K295*'操作パネル_MS2'!$H$13,0))</f>
      </c>
      <c r="P295" s="59">
        <f>IF(OR($K295="",$E295="",$F295="",$E295=$F295),"",$K295/ABS($E295-$F295))</f>
      </c>
      <c r="Q295" s="61">
        <f>IF(OR($B295="",$J295=""),"",IF(AND($J295&lt;&gt;"EXPIRED",ISNUMBER($L295),ISNUMBER($M295),INT($L295)=INT($M295)),1,0))</f>
      </c>
      <c r="U295" s="58">
        <f>IF($Q295=1,$O295,"")</f>
      </c>
    </row>
    <row r="296" spans="14:21">
      <c r="N296" s="58">
        <f>IF($E296="","",ROUND($E296*'操作パネル_MS2'!$H$13,0))</f>
      </c>
      <c r="O296" s="66">
        <f>IF($K296="","",ROUND($K296*'操作パネル_MS2'!$H$13,0))</f>
      </c>
      <c r="P296" s="59">
        <f>IF(OR($K296="",$E296="",$F296="",$E296=$F296),"",$K296/ABS($E296-$F296))</f>
      </c>
      <c r="Q296" s="61">
        <f>IF(OR($B296="",$J296=""),"",IF(AND($J296&lt;&gt;"EXPIRED",ISNUMBER($L296),ISNUMBER($M296),INT($L296)=INT($M296)),1,0))</f>
      </c>
      <c r="U296" s="58">
        <f>IF($Q296=1,$O296,"")</f>
      </c>
    </row>
    <row r="297" spans="14:21">
      <c r="N297" s="58">
        <f>IF($E297="","",ROUND($E297*'操作パネル_MS2'!$H$13,0))</f>
      </c>
      <c r="O297" s="66">
        <f>IF($K297="","",ROUND($K297*'操作パネル_MS2'!$H$13,0))</f>
      </c>
      <c r="P297" s="59">
        <f>IF(OR($K297="",$E297="",$F297="",$E297=$F297),"",$K297/ABS($E297-$F297))</f>
      </c>
      <c r="Q297" s="61">
        <f>IF(OR($B297="",$J297=""),"",IF(AND($J297&lt;&gt;"EXPIRED",ISNUMBER($L297),ISNUMBER($M297),INT($L297)=INT($M297)),1,0))</f>
      </c>
      <c r="U297" s="58">
        <f>IF($Q297=1,$O297,"")</f>
      </c>
    </row>
    <row r="298" spans="14:21">
      <c r="N298" s="58">
        <f>IF($E298="","",ROUND($E298*'操作パネル_MS2'!$H$13,0))</f>
      </c>
      <c r="O298" s="66">
        <f>IF($K298="","",ROUND($K298*'操作パネル_MS2'!$H$13,0))</f>
      </c>
      <c r="P298" s="59">
        <f>IF(OR($K298="",$E298="",$F298="",$E298=$F298),"",$K298/ABS($E298-$F298))</f>
      </c>
      <c r="Q298" s="61">
        <f>IF(OR($B298="",$J298=""),"",IF(AND($J298&lt;&gt;"EXPIRED",ISNUMBER($L298),ISNUMBER($M298),INT($L298)=INT($M298)),1,0))</f>
      </c>
      <c r="U298" s="58">
        <f>IF($Q298=1,$O298,"")</f>
      </c>
    </row>
    <row r="299" spans="14:21">
      <c r="N299" s="58">
        <f>IF($E299="","",ROUND($E299*'操作パネル_MS2'!$H$13,0))</f>
      </c>
      <c r="O299" s="66">
        <f>IF($K299="","",ROUND($K299*'操作パネル_MS2'!$H$13,0))</f>
      </c>
      <c r="P299" s="59">
        <f>IF(OR($K299="",$E299="",$F299="",$E299=$F299),"",$K299/ABS($E299-$F299))</f>
      </c>
      <c r="Q299" s="61">
        <f>IF(OR($B299="",$J299=""),"",IF(AND($J299&lt;&gt;"EXPIRED",ISNUMBER($L299),ISNUMBER($M299),INT($L299)=INT($M299)),1,0))</f>
      </c>
      <c r="U299" s="58">
        <f>IF($Q299=1,$O299,"")</f>
      </c>
    </row>
    <row r="300" spans="14:21">
      <c r="N300" s="58">
        <f>IF($E300="","",ROUND($E300*'操作パネル_MS2'!$H$13,0))</f>
      </c>
      <c r="O300" s="66">
        <f>IF($K300="","",ROUND($K300*'操作パネル_MS2'!$H$13,0))</f>
      </c>
      <c r="P300" s="59">
        <f>IF(OR($K300="",$E300="",$F300="",$E300=$F300),"",$K300/ABS($E300-$F300))</f>
      </c>
      <c r="Q300" s="61">
        <f>IF(OR($B300="",$J300=""),"",IF(AND($J300&lt;&gt;"EXPIRED",ISNUMBER($L300),ISNUMBER($M300),INT($L300)=INT($M300)),1,0))</f>
      </c>
      <c r="U300" s="58">
        <f>IF($Q300=1,$O300,"")</f>
      </c>
    </row>
    <row r="301" spans="14:21">
      <c r="N301" s="58">
        <f>IF($E301="","",ROUND($E301*'操作パネル_MS2'!$H$13,0))</f>
      </c>
      <c r="O301" s="66">
        <f>IF($K301="","",ROUND($K301*'操作パネル_MS2'!$H$13,0))</f>
      </c>
      <c r="P301" s="59">
        <f>IF(OR($K301="",$E301="",$F301="",$E301=$F301),"",$K301/ABS($E301-$F301))</f>
      </c>
      <c r="Q301" s="61">
        <f>IF(OR($B301="",$J301=""),"",IF(AND($J301&lt;&gt;"EXPIRED",ISNUMBER($L301),ISNUMBER($M301),INT($L301)=INT($M301)),1,0))</f>
      </c>
      <c r="U301" s="58">
        <f>IF($Q301=1,$O301,"")</f>
      </c>
    </row>
    <row r="302" spans="14:21">
      <c r="N302" s="58">
        <f>IF($E302="","",ROUND($E302*'操作パネル_MS2'!$H$13,0))</f>
      </c>
      <c r="O302" s="66">
        <f>IF($K302="","",ROUND($K302*'操作パネル_MS2'!$H$13,0))</f>
      </c>
      <c r="P302" s="59">
        <f>IF(OR($K302="",$E302="",$F302="",$E302=$F302),"",$K302/ABS($E302-$F302))</f>
      </c>
      <c r="Q302" s="61">
        <f>IF(OR($B302="",$J302=""),"",IF(AND($J302&lt;&gt;"EXPIRED",ISNUMBER($L302),ISNUMBER($M302),INT($L302)=INT($M302)),1,0))</f>
      </c>
      <c r="U302" s="58">
        <f>IF($Q302=1,$O302,"")</f>
      </c>
    </row>
    <row r="303" spans="14:21">
      <c r="N303" s="58">
        <f>IF($E303="","",ROUND($E303*'操作パネル_MS2'!$H$13,0))</f>
      </c>
      <c r="O303" s="66">
        <f>IF($K303="","",ROUND($K303*'操作パネル_MS2'!$H$13,0))</f>
      </c>
      <c r="P303" s="59">
        <f>IF(OR($K303="",$E303="",$F303="",$E303=$F303),"",$K303/ABS($E303-$F303))</f>
      </c>
      <c r="Q303" s="61">
        <f>IF(OR($B303="",$J303=""),"",IF(AND($J303&lt;&gt;"EXPIRED",ISNUMBER($L303),ISNUMBER($M303),INT($L303)=INT($M303)),1,0))</f>
      </c>
      <c r="U303" s="58">
        <f>IF($Q303=1,$O303,"")</f>
      </c>
    </row>
    <row r="304" spans="14:21">
      <c r="N304" s="58">
        <f>IF($E304="","",ROUND($E304*'操作パネル_MS2'!$H$13,0))</f>
      </c>
      <c r="O304" s="66">
        <f>IF($K304="","",ROUND($K304*'操作パネル_MS2'!$H$13,0))</f>
      </c>
      <c r="P304" s="59">
        <f>IF(OR($K304="",$E304="",$F304="",$E304=$F304),"",$K304/ABS($E304-$F304))</f>
      </c>
      <c r="Q304" s="61">
        <f>IF(OR($B304="",$J304=""),"",IF(AND($J304&lt;&gt;"EXPIRED",ISNUMBER($L304),ISNUMBER($M304),INT($L304)=INT($M304)),1,0))</f>
      </c>
      <c r="U304" s="58">
        <f>IF($Q304=1,$O304,"")</f>
      </c>
    </row>
    <row r="305" spans="14:21">
      <c r="N305" s="58">
        <f>IF($E305="","",ROUND($E305*'操作パネル_MS2'!$H$13,0))</f>
      </c>
      <c r="O305" s="66">
        <f>IF($K305="","",ROUND($K305*'操作パネル_MS2'!$H$13,0))</f>
      </c>
      <c r="P305" s="59">
        <f>IF(OR($K305="",$E305="",$F305="",$E305=$F305),"",$K305/ABS($E305-$F305))</f>
      </c>
      <c r="Q305" s="61">
        <f>IF(OR($B305="",$J305=""),"",IF(AND($J305&lt;&gt;"EXPIRED",ISNUMBER($L305),ISNUMBER($M305),INT($L305)=INT($M305)),1,0))</f>
      </c>
      <c r="U305" s="58">
        <f>IF($Q305=1,$O305,"")</f>
      </c>
    </row>
    <row r="306" spans="14:21">
      <c r="N306" s="58">
        <f>IF($E306="","",ROUND($E306*'操作パネル_MS2'!$H$13,0))</f>
      </c>
      <c r="O306" s="66">
        <f>IF($K306="","",ROUND($K306*'操作パネル_MS2'!$H$13,0))</f>
      </c>
      <c r="P306" s="59">
        <f>IF(OR($K306="",$E306="",$F306="",$E306=$F306),"",$K306/ABS($E306-$F306))</f>
      </c>
      <c r="Q306" s="61">
        <f>IF(OR($B306="",$J306=""),"",IF(AND($J306&lt;&gt;"EXPIRED",ISNUMBER($L306),ISNUMBER($M306),INT($L306)=INT($M306)),1,0))</f>
      </c>
      <c r="U306" s="58">
        <f>IF($Q306=1,$O306,"")</f>
      </c>
    </row>
    <row r="307" spans="14:21">
      <c r="N307" s="58">
        <f>IF($E307="","",ROUND($E307*'操作パネル_MS2'!$H$13,0))</f>
      </c>
      <c r="O307" s="66">
        <f>IF($K307="","",ROUND($K307*'操作パネル_MS2'!$H$13,0))</f>
      </c>
      <c r="P307" s="59">
        <f>IF(OR($K307="",$E307="",$F307="",$E307=$F307),"",$K307/ABS($E307-$F307))</f>
      </c>
      <c r="Q307" s="61">
        <f>IF(OR($B307="",$J307=""),"",IF(AND($J307&lt;&gt;"EXPIRED",ISNUMBER($L307),ISNUMBER($M307),INT($L307)=INT($M307)),1,0))</f>
      </c>
      <c r="U307" s="58">
        <f>IF($Q307=1,$O307,"")</f>
      </c>
    </row>
    <row r="308" spans="14:21">
      <c r="N308" s="58">
        <f>IF($E308="","",ROUND($E308*'操作パネル_MS2'!$H$13,0))</f>
      </c>
      <c r="O308" s="66">
        <f>IF($K308="","",ROUND($K308*'操作パネル_MS2'!$H$13,0))</f>
      </c>
      <c r="P308" s="59">
        <f>IF(OR($K308="",$E308="",$F308="",$E308=$F308),"",$K308/ABS($E308-$F308))</f>
      </c>
      <c r="Q308" s="61">
        <f>IF(OR($B308="",$J308=""),"",IF(AND($J308&lt;&gt;"EXPIRED",ISNUMBER($L308),ISNUMBER($M308),INT($L308)=INT($M308)),1,0))</f>
      </c>
      <c r="U308" s="58">
        <f>IF($Q308=1,$O308,"")</f>
      </c>
    </row>
    <row r="309" spans="14:21">
      <c r="N309" s="58">
        <f>IF($E309="","",ROUND($E309*'操作パネル_MS2'!$H$13,0))</f>
      </c>
      <c r="O309" s="66">
        <f>IF($K309="","",ROUND($K309*'操作パネル_MS2'!$H$13,0))</f>
      </c>
      <c r="P309" s="59">
        <f>IF(OR($K309="",$E309="",$F309="",$E309=$F309),"",$K309/ABS($E309-$F309))</f>
      </c>
      <c r="Q309" s="61">
        <f>IF(OR($B309="",$J309=""),"",IF(AND($J309&lt;&gt;"EXPIRED",ISNUMBER($L309),ISNUMBER($M309),INT($L309)=INT($M309)),1,0))</f>
      </c>
      <c r="U309" s="58">
        <f>IF($Q309=1,$O309,"")</f>
      </c>
    </row>
    <row r="310" spans="14:21">
      <c r="N310" s="58">
        <f>IF($E310="","",ROUND($E310*'操作パネル_MS2'!$H$13,0))</f>
      </c>
      <c r="O310" s="66">
        <f>IF($K310="","",ROUND($K310*'操作パネル_MS2'!$H$13,0))</f>
      </c>
      <c r="P310" s="59">
        <f>IF(OR($K310="",$E310="",$F310="",$E310=$F310),"",$K310/ABS($E310-$F310))</f>
      </c>
      <c r="Q310" s="61">
        <f>IF(OR($B310="",$J310=""),"",IF(AND($J310&lt;&gt;"EXPIRED",ISNUMBER($L310),ISNUMBER($M310),INT($L310)=INT($M310)),1,0))</f>
      </c>
      <c r="U310" s="58">
        <f>IF($Q310=1,$O310,"")</f>
      </c>
    </row>
    <row r="311" spans="14:21">
      <c r="N311" s="58">
        <f>IF($E311="","",ROUND($E311*'操作パネル_MS2'!$H$13,0))</f>
      </c>
      <c r="O311" s="66">
        <f>IF($K311="","",ROUND($K311*'操作パネル_MS2'!$H$13,0))</f>
      </c>
      <c r="P311" s="59">
        <f>IF(OR($K311="",$E311="",$F311="",$E311=$F311),"",$K311/ABS($E311-$F311))</f>
      </c>
      <c r="Q311" s="61">
        <f>IF(OR($B311="",$J311=""),"",IF(AND($J311&lt;&gt;"EXPIRED",ISNUMBER($L311),ISNUMBER($M311),INT($L311)=INT($M311)),1,0))</f>
      </c>
      <c r="U311" s="58">
        <f>IF($Q311=1,$O311,"")</f>
      </c>
    </row>
    <row r="312" spans="14:21">
      <c r="N312" s="58">
        <f>IF($E312="","",ROUND($E312*'操作パネル_MS2'!$H$13,0))</f>
      </c>
      <c r="O312" s="66">
        <f>IF($K312="","",ROUND($K312*'操作パネル_MS2'!$H$13,0))</f>
      </c>
      <c r="P312" s="59">
        <f>IF(OR($K312="",$E312="",$F312="",$E312=$F312),"",$K312/ABS($E312-$F312))</f>
      </c>
      <c r="Q312" s="61">
        <f>IF(OR($B312="",$J312=""),"",IF(AND($J312&lt;&gt;"EXPIRED",ISNUMBER($L312),ISNUMBER($M312),INT($L312)=INT($M312)),1,0))</f>
      </c>
      <c r="U312" s="58">
        <f>IF($Q312=1,$O312,"")</f>
      </c>
    </row>
    <row r="313" spans="14:21">
      <c r="N313" s="58">
        <f>IF($E313="","",ROUND($E313*'操作パネル_MS2'!$H$13,0))</f>
      </c>
      <c r="O313" s="66">
        <f>IF($K313="","",ROUND($K313*'操作パネル_MS2'!$H$13,0))</f>
      </c>
      <c r="P313" s="59">
        <f>IF(OR($K313="",$E313="",$F313="",$E313=$F313),"",$K313/ABS($E313-$F313))</f>
      </c>
      <c r="Q313" s="61">
        <f>IF(OR($B313="",$J313=""),"",IF(AND($J313&lt;&gt;"EXPIRED",ISNUMBER($L313),ISNUMBER($M313),INT($L313)=INT($M313)),1,0))</f>
      </c>
      <c r="U313" s="58">
        <f>IF($Q313=1,$O313,"")</f>
      </c>
    </row>
    <row r="314" spans="14:21">
      <c r="N314" s="58">
        <f>IF($E314="","",ROUND($E314*'操作パネル_MS2'!$H$13,0))</f>
      </c>
      <c r="O314" s="66">
        <f>IF($K314="","",ROUND($K314*'操作パネル_MS2'!$H$13,0))</f>
      </c>
      <c r="P314" s="59">
        <f>IF(OR($K314="",$E314="",$F314="",$E314=$F314),"",$K314/ABS($E314-$F314))</f>
      </c>
      <c r="Q314" s="61">
        <f>IF(OR($B314="",$J314=""),"",IF(AND($J314&lt;&gt;"EXPIRED",ISNUMBER($L314),ISNUMBER($M314),INT($L314)=INT($M314)),1,0))</f>
      </c>
      <c r="U314" s="58">
        <f>IF($Q314=1,$O314,"")</f>
      </c>
    </row>
    <row r="315" spans="14:21">
      <c r="N315" s="58">
        <f>IF($E315="","",ROUND($E315*'操作パネル_MS2'!$H$13,0))</f>
      </c>
      <c r="O315" s="66">
        <f>IF($K315="","",ROUND($K315*'操作パネル_MS2'!$H$13,0))</f>
      </c>
      <c r="P315" s="59">
        <f>IF(OR($K315="",$E315="",$F315="",$E315=$F315),"",$K315/ABS($E315-$F315))</f>
      </c>
      <c r="Q315" s="61">
        <f>IF(OR($B315="",$J315=""),"",IF(AND($J315&lt;&gt;"EXPIRED",ISNUMBER($L315),ISNUMBER($M315),INT($L315)=INT($M315)),1,0))</f>
      </c>
      <c r="U315" s="58">
        <f>IF($Q315=1,$O315,"")</f>
      </c>
    </row>
    <row r="316" spans="14:21">
      <c r="N316" s="58">
        <f>IF($E316="","",ROUND($E316*'操作パネル_MS2'!$H$13,0))</f>
      </c>
      <c r="O316" s="66">
        <f>IF($K316="","",ROUND($K316*'操作パネル_MS2'!$H$13,0))</f>
      </c>
      <c r="P316" s="59">
        <f>IF(OR($K316="",$E316="",$F316="",$E316=$F316),"",$K316/ABS($E316-$F316))</f>
      </c>
      <c r="Q316" s="61">
        <f>IF(OR($B316="",$J316=""),"",IF(AND($J316&lt;&gt;"EXPIRED",ISNUMBER($L316),ISNUMBER($M316),INT($L316)=INT($M316)),1,0))</f>
      </c>
      <c r="U316" s="58">
        <f>IF($Q316=1,$O316,"")</f>
      </c>
    </row>
    <row r="317" spans="14:21">
      <c r="N317" s="58">
        <f>IF($E317="","",ROUND($E317*'操作パネル_MS2'!$H$13,0))</f>
      </c>
      <c r="O317" s="66">
        <f>IF($K317="","",ROUND($K317*'操作パネル_MS2'!$H$13,0))</f>
      </c>
      <c r="P317" s="59">
        <f>IF(OR($K317="",$E317="",$F317="",$E317=$F317),"",$K317/ABS($E317-$F317))</f>
      </c>
      <c r="Q317" s="61">
        <f>IF(OR($B317="",$J317=""),"",IF(AND($J317&lt;&gt;"EXPIRED",ISNUMBER($L317),ISNUMBER($M317),INT($L317)=INT($M317)),1,0))</f>
      </c>
      <c r="U317" s="58">
        <f>IF($Q317=1,$O317,"")</f>
      </c>
    </row>
    <row r="318" spans="14:21">
      <c r="N318" s="58">
        <f>IF($E318="","",ROUND($E318*'操作パネル_MS2'!$H$13,0))</f>
      </c>
      <c r="O318" s="66">
        <f>IF($K318="","",ROUND($K318*'操作パネル_MS2'!$H$13,0))</f>
      </c>
      <c r="P318" s="59">
        <f>IF(OR($K318="",$E318="",$F318="",$E318=$F318),"",$K318/ABS($E318-$F318))</f>
      </c>
      <c r="Q318" s="61">
        <f>IF(OR($B318="",$J318=""),"",IF(AND($J318&lt;&gt;"EXPIRED",ISNUMBER($L318),ISNUMBER($M318),INT($L318)=INT($M318)),1,0))</f>
      </c>
      <c r="U318" s="58">
        <f>IF($Q318=1,$O318,"")</f>
      </c>
    </row>
    <row r="319" spans="14:21">
      <c r="N319" s="58">
        <f>IF($E319="","",ROUND($E319*'操作パネル_MS2'!$H$13,0))</f>
      </c>
      <c r="O319" s="66">
        <f>IF($K319="","",ROUND($K319*'操作パネル_MS2'!$H$13,0))</f>
      </c>
      <c r="P319" s="59">
        <f>IF(OR($K319="",$E319="",$F319="",$E319=$F319),"",$K319/ABS($E319-$F319))</f>
      </c>
      <c r="Q319" s="61">
        <f>IF(OR($B319="",$J319=""),"",IF(AND($J319&lt;&gt;"EXPIRED",ISNUMBER($L319),ISNUMBER($M319),INT($L319)=INT($M319)),1,0))</f>
      </c>
      <c r="U319" s="58">
        <f>IF($Q319=1,$O319,"")</f>
      </c>
    </row>
    <row r="320" spans="14:21">
      <c r="N320" s="58">
        <f>IF($E320="","",ROUND($E320*'操作パネル_MS2'!$H$13,0))</f>
      </c>
      <c r="O320" s="66">
        <f>IF($K320="","",ROUND($K320*'操作パネル_MS2'!$H$13,0))</f>
      </c>
      <c r="P320" s="59">
        <f>IF(OR($K320="",$E320="",$F320="",$E320=$F320),"",$K320/ABS($E320-$F320))</f>
      </c>
      <c r="Q320" s="61">
        <f>IF(OR($B320="",$J320=""),"",IF(AND($J320&lt;&gt;"EXPIRED",ISNUMBER($L320),ISNUMBER($M320),INT($L320)=INT($M320)),1,0))</f>
      </c>
      <c r="U320" s="58">
        <f>IF($Q320=1,$O320,"")</f>
      </c>
    </row>
    <row r="321" spans="14:21">
      <c r="N321" s="58">
        <f>IF($E321="","",ROUND($E321*'操作パネル_MS2'!$H$13,0))</f>
      </c>
      <c r="O321" s="66">
        <f>IF($K321="","",ROUND($K321*'操作パネル_MS2'!$H$13,0))</f>
      </c>
      <c r="P321" s="59">
        <f>IF(OR($K321="",$E321="",$F321="",$E321=$F321),"",$K321/ABS($E321-$F321))</f>
      </c>
      <c r="Q321" s="61">
        <f>IF(OR($B321="",$J321=""),"",IF(AND($J321&lt;&gt;"EXPIRED",ISNUMBER($L321),ISNUMBER($M321),INT($L321)=INT($M321)),1,0))</f>
      </c>
      <c r="U321" s="58">
        <f>IF($Q321=1,$O321,"")</f>
      </c>
    </row>
    <row r="322" spans="14:21">
      <c r="N322" s="58">
        <f>IF($E322="","",ROUND($E322*'操作パネル_MS2'!$H$13,0))</f>
      </c>
      <c r="O322" s="66">
        <f>IF($K322="","",ROUND($K322*'操作パネル_MS2'!$H$13,0))</f>
      </c>
      <c r="P322" s="59">
        <f>IF(OR($K322="",$E322="",$F322="",$E322=$F322),"",$K322/ABS($E322-$F322))</f>
      </c>
      <c r="Q322" s="61">
        <f>IF(OR($B322="",$J322=""),"",IF(AND($J322&lt;&gt;"EXPIRED",ISNUMBER($L322),ISNUMBER($M322),INT($L322)=INT($M322)),1,0))</f>
      </c>
      <c r="U322" s="58">
        <f>IF($Q322=1,$O322,"")</f>
      </c>
    </row>
    <row r="323" spans="14:21">
      <c r="N323" s="58">
        <f>IF($E323="","",ROUND($E323*'操作パネル_MS2'!$H$13,0))</f>
      </c>
      <c r="O323" s="66">
        <f>IF($K323="","",ROUND($K323*'操作パネル_MS2'!$H$13,0))</f>
      </c>
      <c r="P323" s="59">
        <f>IF(OR($K323="",$E323="",$F323="",$E323=$F323),"",$K323/ABS($E323-$F323))</f>
      </c>
      <c r="Q323" s="61">
        <f>IF(OR($B323="",$J323=""),"",IF(AND($J323&lt;&gt;"EXPIRED",ISNUMBER($L323),ISNUMBER($M323),INT($L323)=INT($M323)),1,0))</f>
      </c>
      <c r="U323" s="58">
        <f>IF($Q323=1,$O323,"")</f>
      </c>
    </row>
    <row r="324" spans="14:21">
      <c r="N324" s="58">
        <f>IF($E324="","",ROUND($E324*'操作パネル_MS2'!$H$13,0))</f>
      </c>
      <c r="O324" s="66">
        <f>IF($K324="","",ROUND($K324*'操作パネル_MS2'!$H$13,0))</f>
      </c>
      <c r="P324" s="59">
        <f>IF(OR($K324="",$E324="",$F324="",$E324=$F324),"",$K324/ABS($E324-$F324))</f>
      </c>
      <c r="Q324" s="61">
        <f>IF(OR($B324="",$J324=""),"",IF(AND($J324&lt;&gt;"EXPIRED",ISNUMBER($L324),ISNUMBER($M324),INT($L324)=INT($M324)),1,0))</f>
      </c>
      <c r="U324" s="58">
        <f>IF($Q324=1,$O324,"")</f>
      </c>
    </row>
    <row r="325" spans="14:21">
      <c r="N325" s="58">
        <f>IF($E325="","",ROUND($E325*'操作パネル_MS2'!$H$13,0))</f>
      </c>
      <c r="O325" s="66">
        <f>IF($K325="","",ROUND($K325*'操作パネル_MS2'!$H$13,0))</f>
      </c>
      <c r="P325" s="59">
        <f>IF(OR($K325="",$E325="",$F325="",$E325=$F325),"",$K325/ABS($E325-$F325))</f>
      </c>
      <c r="Q325" s="61">
        <f>IF(OR($B325="",$J325=""),"",IF(AND($J325&lt;&gt;"EXPIRED",ISNUMBER($L325),ISNUMBER($M325),INT($L325)=INT($M325)),1,0))</f>
      </c>
      <c r="U325" s="58">
        <f>IF($Q325=1,$O325,"")</f>
      </c>
    </row>
    <row r="326" spans="14:21">
      <c r="N326" s="58">
        <f>IF($E326="","",ROUND($E326*'操作パネル_MS2'!$H$13,0))</f>
      </c>
      <c r="O326" s="66">
        <f>IF($K326="","",ROUND($K326*'操作パネル_MS2'!$H$13,0))</f>
      </c>
      <c r="P326" s="59">
        <f>IF(OR($K326="",$E326="",$F326="",$E326=$F326),"",$K326/ABS($E326-$F326))</f>
      </c>
      <c r="Q326" s="61">
        <f>IF(OR($B326="",$J326=""),"",IF(AND($J326&lt;&gt;"EXPIRED",ISNUMBER($L326),ISNUMBER($M326),INT($L326)=INT($M326)),1,0))</f>
      </c>
      <c r="U326" s="58">
        <f>IF($Q326=1,$O326,"")</f>
      </c>
    </row>
    <row r="327" spans="14:21">
      <c r="N327" s="58">
        <f>IF($E327="","",ROUND($E327*'操作パネル_MS2'!$H$13,0))</f>
      </c>
      <c r="O327" s="66">
        <f>IF($K327="","",ROUND($K327*'操作パネル_MS2'!$H$13,0))</f>
      </c>
      <c r="P327" s="59">
        <f>IF(OR($K327="",$E327="",$F327="",$E327=$F327),"",$K327/ABS($E327-$F327))</f>
      </c>
      <c r="Q327" s="61">
        <f>IF(OR($B327="",$J327=""),"",IF(AND($J327&lt;&gt;"EXPIRED",ISNUMBER($L327),ISNUMBER($M327),INT($L327)=INT($M327)),1,0))</f>
      </c>
      <c r="U327" s="58">
        <f>IF($Q327=1,$O327,"")</f>
      </c>
    </row>
    <row r="328" spans="14:21">
      <c r="N328" s="58">
        <f>IF($E328="","",ROUND($E328*'操作パネル_MS2'!$H$13,0))</f>
      </c>
      <c r="O328" s="66">
        <f>IF($K328="","",ROUND($K328*'操作パネル_MS2'!$H$13,0))</f>
      </c>
      <c r="P328" s="59">
        <f>IF(OR($K328="",$E328="",$F328="",$E328=$F328),"",$K328/ABS($E328-$F328))</f>
      </c>
      <c r="Q328" s="61">
        <f>IF(OR($B328="",$J328=""),"",IF(AND($J328&lt;&gt;"EXPIRED",ISNUMBER($L328),ISNUMBER($M328),INT($L328)=INT($M328)),1,0))</f>
      </c>
      <c r="U328" s="58">
        <f>IF($Q328=1,$O328,"")</f>
      </c>
    </row>
    <row r="329" spans="14:21">
      <c r="N329" s="58">
        <f>IF($E329="","",ROUND($E329*'操作パネル_MS2'!$H$13,0))</f>
      </c>
      <c r="O329" s="66">
        <f>IF($K329="","",ROUND($K329*'操作パネル_MS2'!$H$13,0))</f>
      </c>
      <c r="P329" s="59">
        <f>IF(OR($K329="",$E329="",$F329="",$E329=$F329),"",$K329/ABS($E329-$F329))</f>
      </c>
      <c r="Q329" s="61">
        <f>IF(OR($B329="",$J329=""),"",IF(AND($J329&lt;&gt;"EXPIRED",ISNUMBER($L329),ISNUMBER($M329),INT($L329)=INT($M329)),1,0))</f>
      </c>
      <c r="U329" s="58">
        <f>IF($Q329=1,$O329,"")</f>
      </c>
    </row>
    <row r="330" spans="14:21">
      <c r="N330" s="58">
        <f>IF($E330="","",ROUND($E330*'操作パネル_MS2'!$H$13,0))</f>
      </c>
      <c r="O330" s="66">
        <f>IF($K330="","",ROUND($K330*'操作パネル_MS2'!$H$13,0))</f>
      </c>
      <c r="P330" s="59">
        <f>IF(OR($K330="",$E330="",$F330="",$E330=$F330),"",$K330/ABS($E330-$F330))</f>
      </c>
      <c r="Q330" s="61">
        <f>IF(OR($B330="",$J330=""),"",IF(AND($J330&lt;&gt;"EXPIRED",ISNUMBER($L330),ISNUMBER($M330),INT($L330)=INT($M330)),1,0))</f>
      </c>
      <c r="U330" s="58">
        <f>IF($Q330=1,$O330,"")</f>
      </c>
    </row>
    <row r="331" spans="14:21">
      <c r="N331" s="58">
        <f>IF($E331="","",ROUND($E331*'操作パネル_MS2'!$H$13,0))</f>
      </c>
      <c r="O331" s="66">
        <f>IF($K331="","",ROUND($K331*'操作パネル_MS2'!$H$13,0))</f>
      </c>
      <c r="P331" s="59">
        <f>IF(OR($K331="",$E331="",$F331="",$E331=$F331),"",$K331/ABS($E331-$F331))</f>
      </c>
      <c r="Q331" s="61">
        <f>IF(OR($B331="",$J331=""),"",IF(AND($J331&lt;&gt;"EXPIRED",ISNUMBER($L331),ISNUMBER($M331),INT($L331)=INT($M331)),1,0))</f>
      </c>
      <c r="U331" s="58">
        <f>IF($Q331=1,$O331,"")</f>
      </c>
    </row>
    <row r="332" spans="14:21">
      <c r="N332" s="58">
        <f>IF($E332="","",ROUND($E332*'操作パネル_MS2'!$H$13,0))</f>
      </c>
      <c r="O332" s="66">
        <f>IF($K332="","",ROUND($K332*'操作パネル_MS2'!$H$13,0))</f>
      </c>
      <c r="P332" s="59">
        <f>IF(OR($K332="",$E332="",$F332="",$E332=$F332),"",$K332/ABS($E332-$F332))</f>
      </c>
      <c r="Q332" s="61">
        <f>IF(OR($B332="",$J332=""),"",IF(AND($J332&lt;&gt;"EXPIRED",ISNUMBER($L332),ISNUMBER($M332),INT($L332)=INT($M332)),1,0))</f>
      </c>
      <c r="U332" s="58">
        <f>IF($Q332=1,$O332,"")</f>
      </c>
    </row>
    <row r="333" spans="14:21">
      <c r="N333" s="58">
        <f>IF($E333="","",ROUND($E333*'操作パネル_MS2'!$H$13,0))</f>
      </c>
      <c r="O333" s="66">
        <f>IF($K333="","",ROUND($K333*'操作パネル_MS2'!$H$13,0))</f>
      </c>
      <c r="P333" s="59">
        <f>IF(OR($K333="",$E333="",$F333="",$E333=$F333),"",$K333/ABS($E333-$F333))</f>
      </c>
      <c r="Q333" s="61">
        <f>IF(OR($B333="",$J333=""),"",IF(AND($J333&lt;&gt;"EXPIRED",ISNUMBER($L333),ISNUMBER($M333),INT($L333)=INT($M333)),1,0))</f>
      </c>
      <c r="U333" s="58">
        <f>IF($Q333=1,$O333,"")</f>
      </c>
    </row>
    <row r="334" spans="14:21">
      <c r="N334" s="58">
        <f>IF($E334="","",ROUND($E334*'操作パネル_MS2'!$H$13,0))</f>
      </c>
      <c r="O334" s="66">
        <f>IF($K334="","",ROUND($K334*'操作パネル_MS2'!$H$13,0))</f>
      </c>
      <c r="P334" s="59">
        <f>IF(OR($K334="",$E334="",$F334="",$E334=$F334),"",$K334/ABS($E334-$F334))</f>
      </c>
      <c r="Q334" s="61">
        <f>IF(OR($B334="",$J334=""),"",IF(AND($J334&lt;&gt;"EXPIRED",ISNUMBER($L334),ISNUMBER($M334),INT($L334)=INT($M334)),1,0))</f>
      </c>
      <c r="U334" s="58">
        <f>IF($Q334=1,$O334,"")</f>
      </c>
    </row>
    <row r="335" spans="14:21">
      <c r="N335" s="58">
        <f>IF($E335="","",ROUND($E335*'操作パネル_MS2'!$H$13,0))</f>
      </c>
      <c r="O335" s="66">
        <f>IF($K335="","",ROUND($K335*'操作パネル_MS2'!$H$13,0))</f>
      </c>
      <c r="P335" s="59">
        <f>IF(OR($K335="",$E335="",$F335="",$E335=$F335),"",$K335/ABS($E335-$F335))</f>
      </c>
      <c r="Q335" s="61">
        <f>IF(OR($B335="",$J335=""),"",IF(AND($J335&lt;&gt;"EXPIRED",ISNUMBER($L335),ISNUMBER($M335),INT($L335)=INT($M335)),1,0))</f>
      </c>
      <c r="U335" s="58">
        <f>IF($Q335=1,$O335,"")</f>
      </c>
    </row>
    <row r="336" spans="14:21">
      <c r="N336" s="58">
        <f>IF($E336="","",ROUND($E336*'操作パネル_MS2'!$H$13,0))</f>
      </c>
      <c r="O336" s="66">
        <f>IF($K336="","",ROUND($K336*'操作パネル_MS2'!$H$13,0))</f>
      </c>
      <c r="P336" s="59">
        <f>IF(OR($K336="",$E336="",$F336="",$E336=$F336),"",$K336/ABS($E336-$F336))</f>
      </c>
      <c r="Q336" s="61">
        <f>IF(OR($B336="",$J336=""),"",IF(AND($J336&lt;&gt;"EXPIRED",ISNUMBER($L336),ISNUMBER($M336),INT($L336)=INT($M336)),1,0))</f>
      </c>
      <c r="U336" s="58">
        <f>IF($Q336=1,$O336,"")</f>
      </c>
    </row>
    <row r="337" spans="14:21">
      <c r="N337" s="58">
        <f>IF($E337="","",ROUND($E337*'操作パネル_MS2'!$H$13,0))</f>
      </c>
      <c r="O337" s="66">
        <f>IF($K337="","",ROUND($K337*'操作パネル_MS2'!$H$13,0))</f>
      </c>
      <c r="P337" s="59">
        <f>IF(OR($K337="",$E337="",$F337="",$E337=$F337),"",$K337/ABS($E337-$F337))</f>
      </c>
      <c r="Q337" s="61">
        <f>IF(OR($B337="",$J337=""),"",IF(AND($J337&lt;&gt;"EXPIRED",ISNUMBER($L337),ISNUMBER($M337),INT($L337)=INT($M337)),1,0))</f>
      </c>
      <c r="U337" s="58">
        <f>IF($Q337=1,$O337,"")</f>
      </c>
    </row>
    <row r="338" spans="14:21">
      <c r="N338" s="58">
        <f>IF($E338="","",ROUND($E338*'操作パネル_MS2'!$H$13,0))</f>
      </c>
      <c r="O338" s="66">
        <f>IF($K338="","",ROUND($K338*'操作パネル_MS2'!$H$13,0))</f>
      </c>
      <c r="P338" s="59">
        <f>IF(OR($K338="",$E338="",$F338="",$E338=$F338),"",$K338/ABS($E338-$F338))</f>
      </c>
      <c r="Q338" s="61">
        <f>IF(OR($B338="",$J338=""),"",IF(AND($J338&lt;&gt;"EXPIRED",ISNUMBER($L338),ISNUMBER($M338),INT($L338)=INT($M338)),1,0))</f>
      </c>
      <c r="U338" s="58">
        <f>IF($Q338=1,$O338,"")</f>
      </c>
    </row>
    <row r="339" spans="14:21">
      <c r="N339" s="58">
        <f>IF($E339="","",ROUND($E339*'操作パネル_MS2'!$H$13,0))</f>
      </c>
      <c r="O339" s="66">
        <f>IF($K339="","",ROUND($K339*'操作パネル_MS2'!$H$13,0))</f>
      </c>
      <c r="P339" s="59">
        <f>IF(OR($K339="",$E339="",$F339="",$E339=$F339),"",$K339/ABS($E339-$F339))</f>
      </c>
      <c r="Q339" s="61">
        <f>IF(OR($B339="",$J339=""),"",IF(AND($J339&lt;&gt;"EXPIRED",ISNUMBER($L339),ISNUMBER($M339),INT($L339)=INT($M339)),1,0))</f>
      </c>
      <c r="U339" s="58">
        <f>IF($Q339=1,$O339,"")</f>
      </c>
    </row>
    <row r="340" spans="14:21">
      <c r="N340" s="58">
        <f>IF($E340="","",ROUND($E340*'操作パネル_MS2'!$H$13,0))</f>
      </c>
      <c r="O340" s="66">
        <f>IF($K340="","",ROUND($K340*'操作パネル_MS2'!$H$13,0))</f>
      </c>
      <c r="P340" s="59">
        <f>IF(OR($K340="",$E340="",$F340="",$E340=$F340),"",$K340/ABS($E340-$F340))</f>
      </c>
      <c r="Q340" s="61">
        <f>IF(OR($B340="",$J340=""),"",IF(AND($J340&lt;&gt;"EXPIRED",ISNUMBER($L340),ISNUMBER($M340),INT($L340)=INT($M340)),1,0))</f>
      </c>
      <c r="U340" s="58">
        <f>IF($Q340=1,$O340,"")</f>
      </c>
    </row>
    <row r="341" spans="14:21">
      <c r="N341" s="58">
        <f>IF($E341="","",ROUND($E341*'操作パネル_MS2'!$H$13,0))</f>
      </c>
      <c r="O341" s="66">
        <f>IF($K341="","",ROUND($K341*'操作パネル_MS2'!$H$13,0))</f>
      </c>
      <c r="P341" s="59">
        <f>IF(OR($K341="",$E341="",$F341="",$E341=$F341),"",$K341/ABS($E341-$F341))</f>
      </c>
      <c r="Q341" s="61">
        <f>IF(OR($B341="",$J341=""),"",IF(AND($J341&lt;&gt;"EXPIRED",ISNUMBER($L341),ISNUMBER($M341),INT($L341)=INT($M341)),1,0))</f>
      </c>
      <c r="U341" s="58">
        <f>IF($Q341=1,$O341,"")</f>
      </c>
    </row>
    <row r="342" spans="14:21">
      <c r="N342" s="58">
        <f>IF($E342="","",ROUND($E342*'操作パネル_MS2'!$H$13,0))</f>
      </c>
      <c r="O342" s="66">
        <f>IF($K342="","",ROUND($K342*'操作パネル_MS2'!$H$13,0))</f>
      </c>
      <c r="P342" s="59">
        <f>IF(OR($K342="",$E342="",$F342="",$E342=$F342),"",$K342/ABS($E342-$F342))</f>
      </c>
      <c r="Q342" s="61">
        <f>IF(OR($B342="",$J342=""),"",IF(AND($J342&lt;&gt;"EXPIRED",ISNUMBER($L342),ISNUMBER($M342),INT($L342)=INT($M342)),1,0))</f>
      </c>
      <c r="U342" s="58">
        <f>IF($Q342=1,$O342,"")</f>
      </c>
    </row>
    <row r="343" spans="14:21">
      <c r="N343" s="58">
        <f>IF($E343="","",ROUND($E343*'操作パネル_MS2'!$H$13,0))</f>
      </c>
      <c r="O343" s="66">
        <f>IF($K343="","",ROUND($K343*'操作パネル_MS2'!$H$13,0))</f>
      </c>
      <c r="P343" s="59">
        <f>IF(OR($K343="",$E343="",$F343="",$E343=$F343),"",$K343/ABS($E343-$F343))</f>
      </c>
      <c r="Q343" s="61">
        <f>IF(OR($B343="",$J343=""),"",IF(AND($J343&lt;&gt;"EXPIRED",ISNUMBER($L343),ISNUMBER($M343),INT($L343)=INT($M343)),1,0))</f>
      </c>
      <c r="U343" s="58">
        <f>IF($Q343=1,$O343,"")</f>
      </c>
    </row>
    <row r="344" spans="14:21">
      <c r="N344" s="58">
        <f>IF($E344="","",ROUND($E344*'操作パネル_MS2'!$H$13,0))</f>
      </c>
      <c r="O344" s="66">
        <f>IF($K344="","",ROUND($K344*'操作パネル_MS2'!$H$13,0))</f>
      </c>
      <c r="P344" s="59">
        <f>IF(OR($K344="",$E344="",$F344="",$E344=$F344),"",$K344/ABS($E344-$F344))</f>
      </c>
      <c r="Q344" s="61">
        <f>IF(OR($B344="",$J344=""),"",IF(AND($J344&lt;&gt;"EXPIRED",ISNUMBER($L344),ISNUMBER($M344),INT($L344)=INT($M344)),1,0))</f>
      </c>
      <c r="U344" s="58">
        <f>IF($Q344=1,$O344,"")</f>
      </c>
    </row>
    <row r="345" spans="14:21">
      <c r="N345" s="58">
        <f>IF($E345="","",ROUND($E345*'操作パネル_MS2'!$H$13,0))</f>
      </c>
      <c r="O345" s="66">
        <f>IF($K345="","",ROUND($K345*'操作パネル_MS2'!$H$13,0))</f>
      </c>
      <c r="P345" s="59">
        <f>IF(OR($K345="",$E345="",$F345="",$E345=$F345),"",$K345/ABS($E345-$F345))</f>
      </c>
      <c r="Q345" s="61">
        <f>IF(OR($B345="",$J345=""),"",IF(AND($J345&lt;&gt;"EXPIRED",ISNUMBER($L345),ISNUMBER($M345),INT($L345)=INT($M345)),1,0))</f>
      </c>
      <c r="U345" s="58">
        <f>IF($Q345=1,$O345,"")</f>
      </c>
    </row>
    <row r="346" spans="14:21">
      <c r="N346" s="58">
        <f>IF($E346="","",ROUND($E346*'操作パネル_MS2'!$H$13,0))</f>
      </c>
      <c r="O346" s="66">
        <f>IF($K346="","",ROUND($K346*'操作パネル_MS2'!$H$13,0))</f>
      </c>
      <c r="P346" s="59">
        <f>IF(OR($K346="",$E346="",$F346="",$E346=$F346),"",$K346/ABS($E346-$F346))</f>
      </c>
      <c r="Q346" s="61">
        <f>IF(OR($B346="",$J346=""),"",IF(AND($J346&lt;&gt;"EXPIRED",ISNUMBER($L346),ISNUMBER($M346),INT($L346)=INT($M346)),1,0))</f>
      </c>
      <c r="U346" s="58">
        <f>IF($Q346=1,$O346,"")</f>
      </c>
    </row>
    <row r="347" spans="14:21">
      <c r="N347" s="58">
        <f>IF($E347="","",ROUND($E347*'操作パネル_MS2'!$H$13,0))</f>
      </c>
      <c r="O347" s="66">
        <f>IF($K347="","",ROUND($K347*'操作パネル_MS2'!$H$13,0))</f>
      </c>
      <c r="P347" s="59">
        <f>IF(OR($K347="",$E347="",$F347="",$E347=$F347),"",$K347/ABS($E347-$F347))</f>
      </c>
      <c r="Q347" s="61">
        <f>IF(OR($B347="",$J347=""),"",IF(AND($J347&lt;&gt;"EXPIRED",ISNUMBER($L347),ISNUMBER($M347),INT($L347)=INT($M347)),1,0))</f>
      </c>
      <c r="U347" s="58">
        <f>IF($Q347=1,$O347,"")</f>
      </c>
    </row>
    <row r="348" spans="14:21">
      <c r="N348" s="58">
        <f>IF($E348="","",ROUND($E348*'操作パネル_MS2'!$H$13,0))</f>
      </c>
      <c r="O348" s="66">
        <f>IF($K348="","",ROUND($K348*'操作パネル_MS2'!$H$13,0))</f>
      </c>
      <c r="P348" s="59">
        <f>IF(OR($K348="",$E348="",$F348="",$E348=$F348),"",$K348/ABS($E348-$F348))</f>
      </c>
      <c r="Q348" s="61">
        <f>IF(OR($B348="",$J348=""),"",IF(AND($J348&lt;&gt;"EXPIRED",ISNUMBER($L348),ISNUMBER($M348),INT($L348)=INT($M348)),1,0))</f>
      </c>
      <c r="U348" s="58">
        <f>IF($Q348=1,$O348,"")</f>
      </c>
    </row>
    <row r="349" spans="14:21">
      <c r="N349" s="58">
        <f>IF($E349="","",ROUND($E349*'操作パネル_MS2'!$H$13,0))</f>
      </c>
      <c r="O349" s="66">
        <f>IF($K349="","",ROUND($K349*'操作パネル_MS2'!$H$13,0))</f>
      </c>
      <c r="P349" s="59">
        <f>IF(OR($K349="",$E349="",$F349="",$E349=$F349),"",$K349/ABS($E349-$F349))</f>
      </c>
      <c r="Q349" s="61">
        <f>IF(OR($B349="",$J349=""),"",IF(AND($J349&lt;&gt;"EXPIRED",ISNUMBER($L349),ISNUMBER($M349),INT($L349)=INT($M349)),1,0))</f>
      </c>
      <c r="U349" s="58">
        <f>IF($Q349=1,$O349,"")</f>
      </c>
    </row>
    <row r="350" spans="14:21">
      <c r="N350" s="58">
        <f>IF($E350="","",ROUND($E350*'操作パネル_MS2'!$H$13,0))</f>
      </c>
      <c r="O350" s="66">
        <f>IF($K350="","",ROUND($K350*'操作パネル_MS2'!$H$13,0))</f>
      </c>
      <c r="P350" s="59">
        <f>IF(OR($K350="",$E350="",$F350="",$E350=$F350),"",$K350/ABS($E350-$F350))</f>
      </c>
      <c r="Q350" s="61">
        <f>IF(OR($B350="",$J350=""),"",IF(AND($J350&lt;&gt;"EXPIRED",ISNUMBER($L350),ISNUMBER($M350),INT($L350)=INT($M350)),1,0))</f>
      </c>
      <c r="U350" s="58">
        <f>IF($Q350=1,$O350,"")</f>
      </c>
    </row>
    <row r="351" spans="14:21">
      <c r="N351" s="58">
        <f>IF($E351="","",ROUND($E351*'操作パネル_MS2'!$H$13,0))</f>
      </c>
      <c r="O351" s="66">
        <f>IF($K351="","",ROUND($K351*'操作パネル_MS2'!$H$13,0))</f>
      </c>
      <c r="P351" s="59">
        <f>IF(OR($K351="",$E351="",$F351="",$E351=$F351),"",$K351/ABS($E351-$F351))</f>
      </c>
      <c r="Q351" s="61">
        <f>IF(OR($B351="",$J351=""),"",IF(AND($J351&lt;&gt;"EXPIRED",ISNUMBER($L351),ISNUMBER($M351),INT($L351)=INT($M351)),1,0))</f>
      </c>
      <c r="U351" s="58">
        <f>IF($Q351=1,$O351,"")</f>
      </c>
    </row>
    <row r="352" spans="14:21">
      <c r="N352" s="58">
        <f>IF($E352="","",ROUND($E352*'操作パネル_MS2'!$H$13,0))</f>
      </c>
      <c r="O352" s="66">
        <f>IF($K352="","",ROUND($K352*'操作パネル_MS2'!$H$13,0))</f>
      </c>
      <c r="P352" s="59">
        <f>IF(OR($K352="",$E352="",$F352="",$E352=$F352),"",$K352/ABS($E352-$F352))</f>
      </c>
      <c r="Q352" s="61">
        <f>IF(OR($B352="",$J352=""),"",IF(AND($J352&lt;&gt;"EXPIRED",ISNUMBER($L352),ISNUMBER($M352),INT($L352)=INT($M352)),1,0))</f>
      </c>
      <c r="U352" s="58">
        <f>IF($Q352=1,$O352,"")</f>
      </c>
    </row>
    <row r="353" spans="14:21">
      <c r="N353" s="58">
        <f>IF($E353="","",ROUND($E353*'操作パネル_MS2'!$H$13,0))</f>
      </c>
      <c r="O353" s="66">
        <f>IF($K353="","",ROUND($K353*'操作パネル_MS2'!$H$13,0))</f>
      </c>
      <c r="P353" s="59">
        <f>IF(OR($K353="",$E353="",$F353="",$E353=$F353),"",$K353/ABS($E353-$F353))</f>
      </c>
      <c r="Q353" s="61">
        <f>IF(OR($B353="",$J353=""),"",IF(AND($J353&lt;&gt;"EXPIRED",ISNUMBER($L353),ISNUMBER($M353),INT($L353)=INT($M353)),1,0))</f>
      </c>
      <c r="U353" s="58">
        <f>IF($Q353=1,$O353,"")</f>
      </c>
    </row>
    <row r="354" spans="14:21">
      <c r="N354" s="58">
        <f>IF($E354="","",ROUND($E354*'操作パネル_MS2'!$H$13,0))</f>
      </c>
      <c r="O354" s="66">
        <f>IF($K354="","",ROUND($K354*'操作パネル_MS2'!$H$13,0))</f>
      </c>
      <c r="P354" s="59">
        <f>IF(OR($K354="",$E354="",$F354="",$E354=$F354),"",$K354/ABS($E354-$F354))</f>
      </c>
      <c r="Q354" s="61">
        <f>IF(OR($B354="",$J354=""),"",IF(AND($J354&lt;&gt;"EXPIRED",ISNUMBER($L354),ISNUMBER($M354),INT($L354)=INT($M354)),1,0))</f>
      </c>
      <c r="U354" s="58">
        <f>IF($Q354=1,$O354,"")</f>
      </c>
    </row>
    <row r="355" spans="14:21">
      <c r="N355" s="58">
        <f>IF($E355="","",ROUND($E355*'操作パネル_MS2'!$H$13,0))</f>
      </c>
      <c r="O355" s="66">
        <f>IF($K355="","",ROUND($K355*'操作パネル_MS2'!$H$13,0))</f>
      </c>
      <c r="P355" s="59">
        <f>IF(OR($K355="",$E355="",$F355="",$E355=$F355),"",$K355/ABS($E355-$F355))</f>
      </c>
      <c r="Q355" s="61">
        <f>IF(OR($B355="",$J355=""),"",IF(AND($J355&lt;&gt;"EXPIRED",ISNUMBER($L355),ISNUMBER($M355),INT($L355)=INT($M355)),1,0))</f>
      </c>
      <c r="U355" s="58">
        <f>IF($Q355=1,$O355,"")</f>
      </c>
    </row>
    <row r="356" spans="14:21">
      <c r="N356" s="58">
        <f>IF($E356="","",ROUND($E356*'操作パネル_MS2'!$H$13,0))</f>
      </c>
      <c r="O356" s="66">
        <f>IF($K356="","",ROUND($K356*'操作パネル_MS2'!$H$13,0))</f>
      </c>
      <c r="P356" s="59">
        <f>IF(OR($K356="",$E356="",$F356="",$E356=$F356),"",$K356/ABS($E356-$F356))</f>
      </c>
      <c r="Q356" s="61">
        <f>IF(OR($B356="",$J356=""),"",IF(AND($J356&lt;&gt;"EXPIRED",ISNUMBER($L356),ISNUMBER($M356),INT($L356)=INT($M356)),1,0))</f>
      </c>
      <c r="U356" s="58">
        <f>IF($Q356=1,$O356,"")</f>
      </c>
    </row>
    <row r="357" spans="14:21">
      <c r="N357" s="58">
        <f>IF($E357="","",ROUND($E357*'操作パネル_MS2'!$H$13,0))</f>
      </c>
      <c r="O357" s="66">
        <f>IF($K357="","",ROUND($K357*'操作パネル_MS2'!$H$13,0))</f>
      </c>
      <c r="P357" s="59">
        <f>IF(OR($K357="",$E357="",$F357="",$E357=$F357),"",$K357/ABS($E357-$F357))</f>
      </c>
      <c r="Q357" s="61">
        <f>IF(OR($B357="",$J357=""),"",IF(AND($J357&lt;&gt;"EXPIRED",ISNUMBER($L357),ISNUMBER($M357),INT($L357)=INT($M357)),1,0))</f>
      </c>
      <c r="U357" s="58">
        <f>IF($Q357=1,$O357,"")</f>
      </c>
    </row>
    <row r="358" spans="14:21">
      <c r="N358" s="58">
        <f>IF($E358="","",ROUND($E358*'操作パネル_MS2'!$H$13,0))</f>
      </c>
      <c r="O358" s="66">
        <f>IF($K358="","",ROUND($K358*'操作パネル_MS2'!$H$13,0))</f>
      </c>
      <c r="P358" s="59">
        <f>IF(OR($K358="",$E358="",$F358="",$E358=$F358),"",$K358/ABS($E358-$F358))</f>
      </c>
      <c r="Q358" s="61">
        <f>IF(OR($B358="",$J358=""),"",IF(AND($J358&lt;&gt;"EXPIRED",ISNUMBER($L358),ISNUMBER($M358),INT($L358)=INT($M358)),1,0))</f>
      </c>
      <c r="U358" s="58">
        <f>IF($Q358=1,$O358,"")</f>
      </c>
    </row>
    <row r="359" spans="14:21">
      <c r="N359" s="58">
        <f>IF($E359="","",ROUND($E359*'操作パネル_MS2'!$H$13,0))</f>
      </c>
      <c r="O359" s="66">
        <f>IF($K359="","",ROUND($K359*'操作パネル_MS2'!$H$13,0))</f>
      </c>
      <c r="P359" s="59">
        <f>IF(OR($K359="",$E359="",$F359="",$E359=$F359),"",$K359/ABS($E359-$F359))</f>
      </c>
      <c r="Q359" s="61">
        <f>IF(OR($B359="",$J359=""),"",IF(AND($J359&lt;&gt;"EXPIRED",ISNUMBER($L359),ISNUMBER($M359),INT($L359)=INT($M359)),1,0))</f>
      </c>
      <c r="U359" s="58">
        <f>IF($Q359=1,$O359,"")</f>
      </c>
    </row>
    <row r="360" spans="14:21">
      <c r="N360" s="58">
        <f>IF($E360="","",ROUND($E360*'操作パネル_MS2'!$H$13,0))</f>
      </c>
      <c r="O360" s="66">
        <f>IF($K360="","",ROUND($K360*'操作パネル_MS2'!$H$13,0))</f>
      </c>
      <c r="P360" s="59">
        <f>IF(OR($K360="",$E360="",$F360="",$E360=$F360),"",$K360/ABS($E360-$F360))</f>
      </c>
      <c r="Q360" s="61">
        <f>IF(OR($B360="",$J360=""),"",IF(AND($J360&lt;&gt;"EXPIRED",ISNUMBER($L360),ISNUMBER($M360),INT($L360)=INT($M360)),1,0))</f>
      </c>
      <c r="U360" s="58">
        <f>IF($Q360=1,$O360,"")</f>
      </c>
    </row>
    <row r="361" spans="14:21">
      <c r="N361" s="58">
        <f>IF($E361="","",ROUND($E361*'操作パネル_MS2'!$H$13,0))</f>
      </c>
      <c r="O361" s="66">
        <f>IF($K361="","",ROUND($K361*'操作パネル_MS2'!$H$13,0))</f>
      </c>
      <c r="P361" s="59">
        <f>IF(OR($K361="",$E361="",$F361="",$E361=$F361),"",$K361/ABS($E361-$F361))</f>
      </c>
      <c r="Q361" s="61">
        <f>IF(OR($B361="",$J361=""),"",IF(AND($J361&lt;&gt;"EXPIRED",ISNUMBER($L361),ISNUMBER($M361),INT($L361)=INT($M361)),1,0))</f>
      </c>
      <c r="U361" s="58">
        <f>IF($Q361=1,$O361,"")</f>
      </c>
    </row>
    <row r="362" spans="14:21">
      <c r="N362" s="58">
        <f>IF($E362="","",ROUND($E362*'操作パネル_MS2'!$H$13,0))</f>
      </c>
      <c r="O362" s="66">
        <f>IF($K362="","",ROUND($K362*'操作パネル_MS2'!$H$13,0))</f>
      </c>
      <c r="P362" s="59">
        <f>IF(OR($K362="",$E362="",$F362="",$E362=$F362),"",$K362/ABS($E362-$F362))</f>
      </c>
      <c r="Q362" s="61">
        <f>IF(OR($B362="",$J362=""),"",IF(AND($J362&lt;&gt;"EXPIRED",ISNUMBER($L362),ISNUMBER($M362),INT($L362)=INT($M362)),1,0))</f>
      </c>
      <c r="U362" s="58">
        <f>IF($Q362=1,$O362,"")</f>
      </c>
    </row>
    <row r="363" spans="14:21">
      <c r="N363" s="58">
        <f>IF($E363="","",ROUND($E363*'操作パネル_MS2'!$H$13,0))</f>
      </c>
      <c r="O363" s="66">
        <f>IF($K363="","",ROUND($K363*'操作パネル_MS2'!$H$13,0))</f>
      </c>
      <c r="P363" s="59">
        <f>IF(OR($K363="",$E363="",$F363="",$E363=$F363),"",$K363/ABS($E363-$F363))</f>
      </c>
      <c r="Q363" s="61">
        <f>IF(OR($B363="",$J363=""),"",IF(AND($J363&lt;&gt;"EXPIRED",ISNUMBER($L363),ISNUMBER($M363),INT($L363)=INT($M363)),1,0))</f>
      </c>
      <c r="U363" s="58">
        <f>IF($Q363=1,$O363,"")</f>
      </c>
    </row>
    <row r="364" spans="14:21">
      <c r="N364" s="58">
        <f>IF($E364="","",ROUND($E364*'操作パネル_MS2'!$H$13,0))</f>
      </c>
      <c r="O364" s="66">
        <f>IF($K364="","",ROUND($K364*'操作パネル_MS2'!$H$13,0))</f>
      </c>
      <c r="P364" s="59">
        <f>IF(OR($K364="",$E364="",$F364="",$E364=$F364),"",$K364/ABS($E364-$F364))</f>
      </c>
      <c r="Q364" s="61">
        <f>IF(OR($B364="",$J364=""),"",IF(AND($J364&lt;&gt;"EXPIRED",ISNUMBER($L364),ISNUMBER($M364),INT($L364)=INT($M364)),1,0))</f>
      </c>
      <c r="U364" s="58">
        <f>IF($Q364=1,$O364,"")</f>
      </c>
    </row>
    <row r="365" spans="14:21">
      <c r="N365" s="58">
        <f>IF($E365="","",ROUND($E365*'操作パネル_MS2'!$H$13,0))</f>
      </c>
      <c r="O365" s="66">
        <f>IF($K365="","",ROUND($K365*'操作パネル_MS2'!$H$13,0))</f>
      </c>
      <c r="P365" s="59">
        <f>IF(OR($K365="",$E365="",$F365="",$E365=$F365),"",$K365/ABS($E365-$F365))</f>
      </c>
      <c r="Q365" s="61">
        <f>IF(OR($B365="",$J365=""),"",IF(AND($J365&lt;&gt;"EXPIRED",ISNUMBER($L365),ISNUMBER($M365),INT($L365)=INT($M365)),1,0))</f>
      </c>
      <c r="U365" s="58">
        <f>IF($Q365=1,$O365,"")</f>
      </c>
    </row>
    <row r="366" spans="14:21">
      <c r="N366" s="58">
        <f>IF($E366="","",ROUND($E366*'操作パネル_MS2'!$H$13,0))</f>
      </c>
      <c r="O366" s="66">
        <f>IF($K366="","",ROUND($K366*'操作パネル_MS2'!$H$13,0))</f>
      </c>
      <c r="P366" s="59">
        <f>IF(OR($K366="",$E366="",$F366="",$E366=$F366),"",$K366/ABS($E366-$F366))</f>
      </c>
      <c r="Q366" s="61">
        <f>IF(OR($B366="",$J366=""),"",IF(AND($J366&lt;&gt;"EXPIRED",ISNUMBER($L366),ISNUMBER($M366),INT($L366)=INT($M366)),1,0))</f>
      </c>
      <c r="U366" s="58">
        <f>IF($Q366=1,$O366,"")</f>
      </c>
    </row>
    <row r="367" spans="14:21">
      <c r="N367" s="58">
        <f>IF($E367="","",ROUND($E367*'操作パネル_MS2'!$H$13,0))</f>
      </c>
      <c r="O367" s="66">
        <f>IF($K367="","",ROUND($K367*'操作パネル_MS2'!$H$13,0))</f>
      </c>
      <c r="P367" s="59">
        <f>IF(OR($K367="",$E367="",$F367="",$E367=$F367),"",$K367/ABS($E367-$F367))</f>
      </c>
      <c r="Q367" s="61">
        <f>IF(OR($B367="",$J367=""),"",IF(AND($J367&lt;&gt;"EXPIRED",ISNUMBER($L367),ISNUMBER($M367),INT($L367)=INT($M367)),1,0))</f>
      </c>
      <c r="U367" s="58">
        <f>IF($Q367=1,$O367,"")</f>
      </c>
    </row>
    <row r="368" spans="14:21">
      <c r="N368" s="58">
        <f>IF($E368="","",ROUND($E368*'操作パネル_MS2'!$H$13,0))</f>
      </c>
      <c r="O368" s="66">
        <f>IF($K368="","",ROUND($K368*'操作パネル_MS2'!$H$13,0))</f>
      </c>
      <c r="P368" s="59">
        <f>IF(OR($K368="",$E368="",$F368="",$E368=$F368),"",$K368/ABS($E368-$F368))</f>
      </c>
      <c r="Q368" s="61">
        <f>IF(OR($B368="",$J368=""),"",IF(AND($J368&lt;&gt;"EXPIRED",ISNUMBER($L368),ISNUMBER($M368),INT($L368)=INT($M368)),1,0))</f>
      </c>
      <c r="U368" s="58">
        <f>IF($Q368=1,$O368,"")</f>
      </c>
    </row>
    <row r="369" spans="14:21">
      <c r="N369" s="58">
        <f>IF($E369="","",ROUND($E369*'操作パネル_MS2'!$H$13,0))</f>
      </c>
      <c r="O369" s="66">
        <f>IF($K369="","",ROUND($K369*'操作パネル_MS2'!$H$13,0))</f>
      </c>
      <c r="P369" s="59">
        <f>IF(OR($K369="",$E369="",$F369="",$E369=$F369),"",$K369/ABS($E369-$F369))</f>
      </c>
      <c r="Q369" s="61">
        <f>IF(OR($B369="",$J369=""),"",IF(AND($J369&lt;&gt;"EXPIRED",ISNUMBER($L369),ISNUMBER($M369),INT($L369)=INT($M369)),1,0))</f>
      </c>
      <c r="U369" s="58">
        <f>IF($Q369=1,$O369,"")</f>
      </c>
    </row>
    <row r="370" spans="14:21">
      <c r="N370" s="58">
        <f>IF($E370="","",ROUND($E370*'操作パネル_MS2'!$H$13,0))</f>
      </c>
      <c r="O370" s="66">
        <f>IF($K370="","",ROUND($K370*'操作パネル_MS2'!$H$13,0))</f>
      </c>
      <c r="P370" s="59">
        <f>IF(OR($K370="",$E370="",$F370="",$E370=$F370),"",$K370/ABS($E370-$F370))</f>
      </c>
      <c r="Q370" s="61">
        <f>IF(OR($B370="",$J370=""),"",IF(AND($J370&lt;&gt;"EXPIRED",ISNUMBER($L370),ISNUMBER($M370),INT($L370)=INT($M370)),1,0))</f>
      </c>
      <c r="U370" s="58">
        <f>IF($Q370=1,$O370,"")</f>
      </c>
    </row>
    <row r="371" spans="14:21">
      <c r="N371" s="58">
        <f>IF($E371="","",ROUND($E371*'操作パネル_MS2'!$H$13,0))</f>
      </c>
      <c r="O371" s="66">
        <f>IF($K371="","",ROUND($K371*'操作パネル_MS2'!$H$13,0))</f>
      </c>
      <c r="P371" s="59">
        <f>IF(OR($K371="",$E371="",$F371="",$E371=$F371),"",$K371/ABS($E371-$F371))</f>
      </c>
      <c r="Q371" s="61">
        <f>IF(OR($B371="",$J371=""),"",IF(AND($J371&lt;&gt;"EXPIRED",ISNUMBER($L371),ISNUMBER($M371),INT($L371)=INT($M371)),1,0))</f>
      </c>
      <c r="U371" s="58">
        <f>IF($Q371=1,$O371,"")</f>
      </c>
    </row>
    <row r="372" spans="14:21">
      <c r="N372" s="58">
        <f>IF($E372="","",ROUND($E372*'操作パネル_MS2'!$H$13,0))</f>
      </c>
      <c r="O372" s="66">
        <f>IF($K372="","",ROUND($K372*'操作パネル_MS2'!$H$13,0))</f>
      </c>
      <c r="P372" s="59">
        <f>IF(OR($K372="",$E372="",$F372="",$E372=$F372),"",$K372/ABS($E372-$F372))</f>
      </c>
      <c r="Q372" s="61">
        <f>IF(OR($B372="",$J372=""),"",IF(AND($J372&lt;&gt;"EXPIRED",ISNUMBER($L372),ISNUMBER($M372),INT($L372)=INT($M372)),1,0))</f>
      </c>
      <c r="U372" s="58">
        <f>IF($Q372=1,$O372,"")</f>
      </c>
    </row>
    <row r="373" spans="14:21">
      <c r="N373" s="58">
        <f>IF($E373="","",ROUND($E373*'操作パネル_MS2'!$H$13,0))</f>
      </c>
      <c r="O373" s="66">
        <f>IF($K373="","",ROUND($K373*'操作パネル_MS2'!$H$13,0))</f>
      </c>
      <c r="P373" s="59">
        <f>IF(OR($K373="",$E373="",$F373="",$E373=$F373),"",$K373/ABS($E373-$F373))</f>
      </c>
      <c r="Q373" s="61">
        <f>IF(OR($B373="",$J373=""),"",IF(AND($J373&lt;&gt;"EXPIRED",ISNUMBER($L373),ISNUMBER($M373),INT($L373)=INT($M373)),1,0))</f>
      </c>
      <c r="U373" s="58">
        <f>IF($Q373=1,$O373,"")</f>
      </c>
    </row>
    <row r="374" spans="14:21">
      <c r="N374" s="58">
        <f>IF($E374="","",ROUND($E374*'操作パネル_MS2'!$H$13,0))</f>
      </c>
      <c r="O374" s="66">
        <f>IF($K374="","",ROUND($K374*'操作パネル_MS2'!$H$13,0))</f>
      </c>
      <c r="P374" s="59">
        <f>IF(OR($K374="",$E374="",$F374="",$E374=$F374),"",$K374/ABS($E374-$F374))</f>
      </c>
      <c r="Q374" s="61">
        <f>IF(OR($B374="",$J374=""),"",IF(AND($J374&lt;&gt;"EXPIRED",ISNUMBER($L374),ISNUMBER($M374),INT($L374)=INT($M374)),1,0))</f>
      </c>
      <c r="U374" s="58">
        <f>IF($Q374=1,$O374,"")</f>
      </c>
    </row>
    <row r="375" spans="14:21">
      <c r="N375" s="58">
        <f>IF($E375="","",ROUND($E375*'操作パネル_MS2'!$H$13,0))</f>
      </c>
      <c r="O375" s="66">
        <f>IF($K375="","",ROUND($K375*'操作パネル_MS2'!$H$13,0))</f>
      </c>
      <c r="P375" s="59">
        <f>IF(OR($K375="",$E375="",$F375="",$E375=$F375),"",$K375/ABS($E375-$F375))</f>
      </c>
      <c r="Q375" s="61">
        <f>IF(OR($B375="",$J375=""),"",IF(AND($J375&lt;&gt;"EXPIRED",ISNUMBER($L375),ISNUMBER($M375),INT($L375)=INT($M375)),1,0))</f>
      </c>
      <c r="U375" s="58">
        <f>IF($Q375=1,$O375,"")</f>
      </c>
    </row>
    <row r="376" spans="14:21">
      <c r="N376" s="58">
        <f>IF($E376="","",ROUND($E376*'操作パネル_MS2'!$H$13,0))</f>
      </c>
      <c r="O376" s="66">
        <f>IF($K376="","",ROUND($K376*'操作パネル_MS2'!$H$13,0))</f>
      </c>
      <c r="P376" s="59">
        <f>IF(OR($K376="",$E376="",$F376="",$E376=$F376),"",$K376/ABS($E376-$F376))</f>
      </c>
      <c r="Q376" s="61">
        <f>IF(OR($B376="",$J376=""),"",IF(AND($J376&lt;&gt;"EXPIRED",ISNUMBER($L376),ISNUMBER($M376),INT($L376)=INT($M376)),1,0))</f>
      </c>
      <c r="U376" s="58">
        <f>IF($Q376=1,$O376,"")</f>
      </c>
    </row>
    <row r="377" spans="14:21">
      <c r="N377" s="58">
        <f>IF($E377="","",ROUND($E377*'操作パネル_MS2'!$H$13,0))</f>
      </c>
      <c r="O377" s="66">
        <f>IF($K377="","",ROUND($K377*'操作パネル_MS2'!$H$13,0))</f>
      </c>
      <c r="P377" s="59">
        <f>IF(OR($K377="",$E377="",$F377="",$E377=$F377),"",$K377/ABS($E377-$F377))</f>
      </c>
      <c r="Q377" s="61">
        <f>IF(OR($B377="",$J377=""),"",IF(AND($J377&lt;&gt;"EXPIRED",ISNUMBER($L377),ISNUMBER($M377),INT($L377)=INT($M377)),1,0))</f>
      </c>
      <c r="U377" s="58">
        <f>IF($Q377=1,$O377,"")</f>
      </c>
    </row>
    <row r="378" spans="14:21">
      <c r="N378" s="58">
        <f>IF($E378="","",ROUND($E378*'操作パネル_MS2'!$H$13,0))</f>
      </c>
      <c r="O378" s="66">
        <f>IF($K378="","",ROUND($K378*'操作パネル_MS2'!$H$13,0))</f>
      </c>
      <c r="P378" s="59">
        <f>IF(OR($K378="",$E378="",$F378="",$E378=$F378),"",$K378/ABS($E378-$F378))</f>
      </c>
      <c r="Q378" s="61">
        <f>IF(OR($B378="",$J378=""),"",IF(AND($J378&lt;&gt;"EXPIRED",ISNUMBER($L378),ISNUMBER($M378),INT($L378)=INT($M378)),1,0))</f>
      </c>
      <c r="U378" s="58">
        <f>IF($Q378=1,$O378,"")</f>
      </c>
    </row>
    <row r="379" spans="14:21">
      <c r="N379" s="58">
        <f>IF($E379="","",ROUND($E379*'操作パネル_MS2'!$H$13,0))</f>
      </c>
      <c r="O379" s="66">
        <f>IF($K379="","",ROUND($K379*'操作パネル_MS2'!$H$13,0))</f>
      </c>
      <c r="P379" s="59">
        <f>IF(OR($K379="",$E379="",$F379="",$E379=$F379),"",$K379/ABS($E379-$F379))</f>
      </c>
      <c r="Q379" s="61">
        <f>IF(OR($B379="",$J379=""),"",IF(AND($J379&lt;&gt;"EXPIRED",ISNUMBER($L379),ISNUMBER($M379),INT($L379)=INT($M379)),1,0))</f>
      </c>
      <c r="U379" s="58">
        <f>IF($Q379=1,$O379,"")</f>
      </c>
    </row>
    <row r="380" spans="14:21">
      <c r="N380" s="58">
        <f>IF($E380="","",ROUND($E380*'操作パネル_MS2'!$H$13,0))</f>
      </c>
      <c r="O380" s="66">
        <f>IF($K380="","",ROUND($K380*'操作パネル_MS2'!$H$13,0))</f>
      </c>
      <c r="P380" s="59">
        <f>IF(OR($K380="",$E380="",$F380="",$E380=$F380),"",$K380/ABS($E380-$F380))</f>
      </c>
      <c r="Q380" s="61">
        <f>IF(OR($B380="",$J380=""),"",IF(AND($J380&lt;&gt;"EXPIRED",ISNUMBER($L380),ISNUMBER($M380),INT($L380)=INT($M380)),1,0))</f>
      </c>
      <c r="U380" s="58">
        <f>IF($Q380=1,$O380,"")</f>
      </c>
    </row>
    <row r="381" spans="14:21">
      <c r="N381" s="58">
        <f>IF($E381="","",ROUND($E381*'操作パネル_MS2'!$H$13,0))</f>
      </c>
      <c r="O381" s="66">
        <f>IF($K381="","",ROUND($K381*'操作パネル_MS2'!$H$13,0))</f>
      </c>
      <c r="P381" s="59">
        <f>IF(OR($K381="",$E381="",$F381="",$E381=$F381),"",$K381/ABS($E381-$F381))</f>
      </c>
      <c r="Q381" s="61">
        <f>IF(OR($B381="",$J381=""),"",IF(AND($J381&lt;&gt;"EXPIRED",ISNUMBER($L381),ISNUMBER($M381),INT($L381)=INT($M381)),1,0))</f>
      </c>
      <c r="U381" s="58">
        <f>IF($Q381=1,$O381,"")</f>
      </c>
    </row>
    <row r="382" spans="14:21">
      <c r="N382" s="58">
        <f>IF($E382="","",ROUND($E382*'操作パネル_MS2'!$H$13,0))</f>
      </c>
      <c r="O382" s="66">
        <f>IF($K382="","",ROUND($K382*'操作パネル_MS2'!$H$13,0))</f>
      </c>
      <c r="P382" s="59">
        <f>IF(OR($K382="",$E382="",$F382="",$E382=$F382),"",$K382/ABS($E382-$F382))</f>
      </c>
      <c r="Q382" s="61">
        <f>IF(OR($B382="",$J382=""),"",IF(AND($J382&lt;&gt;"EXPIRED",ISNUMBER($L382),ISNUMBER($M382),INT($L382)=INT($M382)),1,0))</f>
      </c>
      <c r="U382" s="58">
        <f>IF($Q382=1,$O382,"")</f>
      </c>
    </row>
    <row r="383" spans="14:21">
      <c r="N383" s="58">
        <f>IF($E383="","",ROUND($E383*'操作パネル_MS2'!$H$13,0))</f>
      </c>
      <c r="O383" s="66">
        <f>IF($K383="","",ROUND($K383*'操作パネル_MS2'!$H$13,0))</f>
      </c>
      <c r="P383" s="59">
        <f>IF(OR($K383="",$E383="",$F383="",$E383=$F383),"",$K383/ABS($E383-$F383))</f>
      </c>
      <c r="Q383" s="61">
        <f>IF(OR($B383="",$J383=""),"",IF(AND($J383&lt;&gt;"EXPIRED",ISNUMBER($L383),ISNUMBER($M383),INT($L383)=INT($M383)),1,0))</f>
      </c>
      <c r="U383" s="58">
        <f>IF($Q383=1,$O383,"")</f>
      </c>
    </row>
    <row r="384" spans="14:21">
      <c r="N384" s="58">
        <f>IF($E384="","",ROUND($E384*'操作パネル_MS2'!$H$13,0))</f>
      </c>
      <c r="O384" s="66">
        <f>IF($K384="","",ROUND($K384*'操作パネル_MS2'!$H$13,0))</f>
      </c>
      <c r="P384" s="59">
        <f>IF(OR($K384="",$E384="",$F384="",$E384=$F384),"",$K384/ABS($E384-$F384))</f>
      </c>
      <c r="Q384" s="61">
        <f>IF(OR($B384="",$J384=""),"",IF(AND($J384&lt;&gt;"EXPIRED",ISNUMBER($L384),ISNUMBER($M384),INT($L384)=INT($M384)),1,0))</f>
      </c>
      <c r="U384" s="58">
        <f>IF($Q384=1,$O384,"")</f>
      </c>
    </row>
    <row r="385" spans="14:21">
      <c r="N385" s="58">
        <f>IF($E385="","",ROUND($E385*'操作パネル_MS2'!$H$13,0))</f>
      </c>
      <c r="O385" s="66">
        <f>IF($K385="","",ROUND($K385*'操作パネル_MS2'!$H$13,0))</f>
      </c>
      <c r="P385" s="59">
        <f>IF(OR($K385="",$E385="",$F385="",$E385=$F385),"",$K385/ABS($E385-$F385))</f>
      </c>
      <c r="Q385" s="61">
        <f>IF(OR($B385="",$J385=""),"",IF(AND($J385&lt;&gt;"EXPIRED",ISNUMBER($L385),ISNUMBER($M385),INT($L385)=INT($M385)),1,0))</f>
      </c>
      <c r="U385" s="58">
        <f>IF($Q385=1,$O385,"")</f>
      </c>
    </row>
    <row r="386" spans="14:21">
      <c r="N386" s="58">
        <f>IF($E386="","",ROUND($E386*'操作パネル_MS2'!$H$13,0))</f>
      </c>
      <c r="O386" s="66">
        <f>IF($K386="","",ROUND($K386*'操作パネル_MS2'!$H$13,0))</f>
      </c>
      <c r="P386" s="59">
        <f>IF(OR($K386="",$E386="",$F386="",$E386=$F386),"",$K386/ABS($E386-$F386))</f>
      </c>
      <c r="Q386" s="61">
        <f>IF(OR($B386="",$J386=""),"",IF(AND($J386&lt;&gt;"EXPIRED",ISNUMBER($L386),ISNUMBER($M386),INT($L386)=INT($M386)),1,0))</f>
      </c>
      <c r="U386" s="58">
        <f>IF($Q386=1,$O386,"")</f>
      </c>
    </row>
    <row r="387" spans="14:21">
      <c r="N387" s="58">
        <f>IF($E387="","",ROUND($E387*'操作パネル_MS2'!$H$13,0))</f>
      </c>
      <c r="O387" s="66">
        <f>IF($K387="","",ROUND($K387*'操作パネル_MS2'!$H$13,0))</f>
      </c>
      <c r="P387" s="59">
        <f>IF(OR($K387="",$E387="",$F387="",$E387=$F387),"",$K387/ABS($E387-$F387))</f>
      </c>
      <c r="Q387" s="61">
        <f>IF(OR($B387="",$J387=""),"",IF(AND($J387&lt;&gt;"EXPIRED",ISNUMBER($L387),ISNUMBER($M387),INT($L387)=INT($M387)),1,0))</f>
      </c>
      <c r="U387" s="58">
        <f>IF($Q387=1,$O387,"")</f>
      </c>
    </row>
    <row r="388" spans="14:21">
      <c r="N388" s="58">
        <f>IF($E388="","",ROUND($E388*'操作パネル_MS2'!$H$13,0))</f>
      </c>
      <c r="O388" s="66">
        <f>IF($K388="","",ROUND($K388*'操作パネル_MS2'!$H$13,0))</f>
      </c>
      <c r="P388" s="59">
        <f>IF(OR($K388="",$E388="",$F388="",$E388=$F388),"",$K388/ABS($E388-$F388))</f>
      </c>
      <c r="Q388" s="61">
        <f>IF(OR($B388="",$J388=""),"",IF(AND($J388&lt;&gt;"EXPIRED",ISNUMBER($L388),ISNUMBER($M388),INT($L388)=INT($M388)),1,0))</f>
      </c>
      <c r="U388" s="58">
        <f>IF($Q388=1,$O388,"")</f>
      </c>
    </row>
    <row r="389" spans="14:21">
      <c r="N389" s="58">
        <f>IF($E389="","",ROUND($E389*'操作パネル_MS2'!$H$13,0))</f>
      </c>
      <c r="O389" s="66">
        <f>IF($K389="","",ROUND($K389*'操作パネル_MS2'!$H$13,0))</f>
      </c>
      <c r="P389" s="59">
        <f>IF(OR($K389="",$E389="",$F389="",$E389=$F389),"",$K389/ABS($E389-$F389))</f>
      </c>
      <c r="Q389" s="61">
        <f>IF(OR($B389="",$J389=""),"",IF(AND($J389&lt;&gt;"EXPIRED",ISNUMBER($L389),ISNUMBER($M389),INT($L389)=INT($M389)),1,0))</f>
      </c>
      <c r="U389" s="58">
        <f>IF($Q389=1,$O389,"")</f>
      </c>
    </row>
    <row r="390" spans="14:21">
      <c r="N390" s="58">
        <f>IF($E390="","",ROUND($E390*'操作パネル_MS2'!$H$13,0))</f>
      </c>
      <c r="O390" s="66">
        <f>IF($K390="","",ROUND($K390*'操作パネル_MS2'!$H$13,0))</f>
      </c>
      <c r="P390" s="59">
        <f>IF(OR($K390="",$E390="",$F390="",$E390=$F390),"",$K390/ABS($E390-$F390))</f>
      </c>
      <c r="Q390" s="61">
        <f>IF(OR($B390="",$J390=""),"",IF(AND($J390&lt;&gt;"EXPIRED",ISNUMBER($L390),ISNUMBER($M390),INT($L390)=INT($M390)),1,0))</f>
      </c>
      <c r="U390" s="58">
        <f>IF($Q390=1,$O390,"")</f>
      </c>
    </row>
    <row r="391" spans="14:21">
      <c r="N391" s="58">
        <f>IF($E391="","",ROUND($E391*'操作パネル_MS2'!$H$13,0))</f>
      </c>
      <c r="O391" s="66">
        <f>IF($K391="","",ROUND($K391*'操作パネル_MS2'!$H$13,0))</f>
      </c>
      <c r="P391" s="59">
        <f>IF(OR($K391="",$E391="",$F391="",$E391=$F391),"",$K391/ABS($E391-$F391))</f>
      </c>
      <c r="Q391" s="61">
        <f>IF(OR($B391="",$J391=""),"",IF(AND($J391&lt;&gt;"EXPIRED",ISNUMBER($L391),ISNUMBER($M391),INT($L391)=INT($M391)),1,0))</f>
      </c>
      <c r="U391" s="58">
        <f>IF($Q391=1,$O391,"")</f>
      </c>
    </row>
    <row r="392" spans="14:21">
      <c r="N392" s="58">
        <f>IF($E392="","",ROUND($E392*'操作パネル_MS2'!$H$13,0))</f>
      </c>
      <c r="O392" s="66">
        <f>IF($K392="","",ROUND($K392*'操作パネル_MS2'!$H$13,0))</f>
      </c>
      <c r="P392" s="59">
        <f>IF(OR($K392="",$E392="",$F392="",$E392=$F392),"",$K392/ABS($E392-$F392))</f>
      </c>
      <c r="Q392" s="61">
        <f>IF(OR($B392="",$J392=""),"",IF(AND($J392&lt;&gt;"EXPIRED",ISNUMBER($L392),ISNUMBER($M392),INT($L392)=INT($M392)),1,0))</f>
      </c>
      <c r="U392" s="58">
        <f>IF($Q392=1,$O392,"")</f>
      </c>
    </row>
    <row r="393" spans="14:21">
      <c r="N393" s="58">
        <f>IF($E393="","",ROUND($E393*'操作パネル_MS2'!$H$13,0))</f>
      </c>
      <c r="O393" s="66">
        <f>IF($K393="","",ROUND($K393*'操作パネル_MS2'!$H$13,0))</f>
      </c>
      <c r="P393" s="59">
        <f>IF(OR($K393="",$E393="",$F393="",$E393=$F393),"",$K393/ABS($E393-$F393))</f>
      </c>
      <c r="Q393" s="61">
        <f>IF(OR($B393="",$J393=""),"",IF(AND($J393&lt;&gt;"EXPIRED",ISNUMBER($L393),ISNUMBER($M393),INT($L393)=INT($M393)),1,0))</f>
      </c>
      <c r="U393" s="58">
        <f>IF($Q393=1,$O393,"")</f>
      </c>
    </row>
    <row r="394" spans="14:21">
      <c r="N394" s="58">
        <f>IF($E394="","",ROUND($E394*'操作パネル_MS2'!$H$13,0))</f>
      </c>
      <c r="O394" s="66">
        <f>IF($K394="","",ROUND($K394*'操作パネル_MS2'!$H$13,0))</f>
      </c>
      <c r="P394" s="59">
        <f>IF(OR($K394="",$E394="",$F394="",$E394=$F394),"",$K394/ABS($E394-$F394))</f>
      </c>
      <c r="Q394" s="61">
        <f>IF(OR($B394="",$J394=""),"",IF(AND($J394&lt;&gt;"EXPIRED",ISNUMBER($L394),ISNUMBER($M394),INT($L394)=INT($M394)),1,0))</f>
      </c>
      <c r="U394" s="58">
        <f>IF($Q394=1,$O394,"")</f>
      </c>
    </row>
    <row r="395" spans="14:21">
      <c r="N395" s="58">
        <f>IF($E395="","",ROUND($E395*'操作パネル_MS2'!$H$13,0))</f>
      </c>
      <c r="O395" s="66">
        <f>IF($K395="","",ROUND($K395*'操作パネル_MS2'!$H$13,0))</f>
      </c>
      <c r="P395" s="59">
        <f>IF(OR($K395="",$E395="",$F395="",$E395=$F395),"",$K395/ABS($E395-$F395))</f>
      </c>
      <c r="Q395" s="61">
        <f>IF(OR($B395="",$J395=""),"",IF(AND($J395&lt;&gt;"EXPIRED",ISNUMBER($L395),ISNUMBER($M395),INT($L395)=INT($M395)),1,0))</f>
      </c>
      <c r="U395" s="58">
        <f>IF($Q395=1,$O395,"")</f>
      </c>
    </row>
    <row r="396" spans="14:21">
      <c r="N396" s="58">
        <f>IF($E396="","",ROUND($E396*'操作パネル_MS2'!$H$13,0))</f>
      </c>
      <c r="O396" s="66">
        <f>IF($K396="","",ROUND($K396*'操作パネル_MS2'!$H$13,0))</f>
      </c>
      <c r="P396" s="59">
        <f>IF(OR($K396="",$E396="",$F396="",$E396=$F396),"",$K396/ABS($E396-$F396))</f>
      </c>
      <c r="Q396" s="61">
        <f>IF(OR($B396="",$J396=""),"",IF(AND($J396&lt;&gt;"EXPIRED",ISNUMBER($L396),ISNUMBER($M396),INT($L396)=INT($M396)),1,0))</f>
      </c>
      <c r="U396" s="58">
        <f>IF($Q396=1,$O396,"")</f>
      </c>
    </row>
    <row r="397" spans="14:21">
      <c r="N397" s="58">
        <f>IF($E397="","",ROUND($E397*'操作パネル_MS2'!$H$13,0))</f>
      </c>
      <c r="O397" s="66">
        <f>IF($K397="","",ROUND($K397*'操作パネル_MS2'!$H$13,0))</f>
      </c>
      <c r="P397" s="59">
        <f>IF(OR($K397="",$E397="",$F397="",$E397=$F397),"",$K397/ABS($E397-$F397))</f>
      </c>
      <c r="Q397" s="61">
        <f>IF(OR($B397="",$J397=""),"",IF(AND($J397&lt;&gt;"EXPIRED",ISNUMBER($L397),ISNUMBER($M397),INT($L397)=INT($M397)),1,0))</f>
      </c>
      <c r="U397" s="58">
        <f>IF($Q397=1,$O397,"")</f>
      </c>
    </row>
    <row r="398" spans="14:21">
      <c r="N398" s="58">
        <f>IF($E398="","",ROUND($E398*'操作パネル_MS2'!$H$13,0))</f>
      </c>
      <c r="O398" s="66">
        <f>IF($K398="","",ROUND($K398*'操作パネル_MS2'!$H$13,0))</f>
      </c>
      <c r="P398" s="59">
        <f>IF(OR($K398="",$E398="",$F398="",$E398=$F398),"",$K398/ABS($E398-$F398))</f>
      </c>
      <c r="Q398" s="61">
        <f>IF(OR($B398="",$J398=""),"",IF(AND($J398&lt;&gt;"EXPIRED",ISNUMBER($L398),ISNUMBER($M398),INT($L398)=INT($M398)),1,0))</f>
      </c>
      <c r="U398" s="58">
        <f>IF($Q398=1,$O398,"")</f>
      </c>
    </row>
    <row r="399" spans="14:21">
      <c r="N399" s="58">
        <f>IF($E399="","",ROUND($E399*'操作パネル_MS2'!$H$13,0))</f>
      </c>
      <c r="O399" s="66">
        <f>IF($K399="","",ROUND($K399*'操作パネル_MS2'!$H$13,0))</f>
      </c>
      <c r="P399" s="59">
        <f>IF(OR($K399="",$E399="",$F399="",$E399=$F399),"",$K399/ABS($E399-$F399))</f>
      </c>
      <c r="Q399" s="61">
        <f>IF(OR($B399="",$J399=""),"",IF(AND($J399&lt;&gt;"EXPIRED",ISNUMBER($L399),ISNUMBER($M399),INT($L399)=INT($M399)),1,0))</f>
      </c>
      <c r="U399" s="58">
        <f>IF($Q399=1,$O399,"")</f>
      </c>
    </row>
    <row r="400" spans="14:21">
      <c r="N400" s="58">
        <f>IF($E400="","",ROUND($E400*'操作パネル_MS2'!$H$13,0))</f>
      </c>
      <c r="O400" s="66">
        <f>IF($K400="","",ROUND($K400*'操作パネル_MS2'!$H$13,0))</f>
      </c>
      <c r="P400" s="59">
        <f>IF(OR($K400="",$E400="",$F400="",$E400=$F400),"",$K400/ABS($E400-$F400))</f>
      </c>
      <c r="Q400" s="61">
        <f>IF(OR($B400="",$J400=""),"",IF(AND($J400&lt;&gt;"EXPIRED",ISNUMBER($L400),ISNUMBER($M400),INT($L400)=INT($M400)),1,0))</f>
      </c>
      <c r="U400" s="58">
        <f>IF($Q400=1,$O400,"")</f>
      </c>
    </row>
  </sheetData>
  <phoneticPr fontId="1"/>
  <pageMargins left="0.75" right="0.75" top="1" bottom="1" header="0.5" footer="0.5"/>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200"/>
  <sheetViews>
    <sheetView workbookViewId="0">
      <pane ySplit="1" topLeftCell="A2" activePane="bottomLeft" state="frozen"/>
      <selection pane="bottomLeft" activeCell="B1" sqref="B1"/>
    </sheetView>
  </sheetViews>
  <sheetFormatPr defaultRowHeight="22.2"/>
  <cols>
    <col min="1" max="1" width="13" style="1" customWidth="1"/>
    <col min="2" max="2" width="25.61328125" style="1" customWidth="1"/>
    <col min="3" max="4" width="13" style="1" customWidth="1"/>
    <col min="5" max="5" width="13" style="64" customWidth="1"/>
    <col min="6" max="9" width="13" style="1" customWidth="1"/>
    <col min="10" max="10" width="13" style="64" customWidth="1"/>
    <col min="11" max="11" width="13" style="1" customWidth="1"/>
  </cols>
  <sheetData>
    <row r="1" spans="1:11" ht="46.05" customHeight="1">
      <c r="A1" s="21" t="s">
        <v>20</v>
      </c>
      <c r="B1" s="21" t="s">
        <v>23</v>
      </c>
      <c r="C1" s="21" t="s">
        <v>21</v>
      </c>
      <c r="D1" s="21" t="s">
        <v>22</v>
      </c>
      <c r="E1" s="63" t="s">
        <v>76</v>
      </c>
      <c r="F1" s="21" t="s">
        <v>24</v>
      </c>
      <c r="G1" s="21" t="s">
        <v>25</v>
      </c>
      <c r="H1" s="21" t="s">
        <v>77</v>
      </c>
      <c r="I1" s="21" t="s">
        <v>78</v>
      </c>
      <c r="J1" s="63" t="s">
        <v>26</v>
      </c>
      <c r="K1" s="21" t="s">
        <v>27</v>
      </c>
    </row>
    <row r="2" spans="1:11">
      <c r="A2" s="38" t="str">
        <f>HYPERLINK("https://kabutan.jp/stock/?code="&amp;"8729","8729")</f>
        <v>8729</v>
      </c>
      <c r="B2" s="67" t="s">
        <v>215</v>
      </c>
      <c r="C2" s="36">
        <v>0</v>
      </c>
      <c r="D2" s="39">
        <v>0</v>
      </c>
      <c r="E2" s="56">
        <v>-1.3993745900087049</v>
      </c>
      <c r="F2" s="56">
        <v>1.3993745900087049</v>
      </c>
      <c r="G2" s="39">
        <v>0</v>
      </c>
      <c r="H2" s="40">
        <v>0</v>
      </c>
      <c r="I2" s="40">
        <v>1</v>
      </c>
      <c r="J2" s="56">
        <v>-1.3993745900087049</v>
      </c>
      <c r="K2" s="40">
        <v>1</v>
      </c>
    </row>
    <row r="3" spans="1:11">
      <c r="A3" s="38" t="str">
        <f>HYPERLINK("https://kabutan.jp/stock/?code="&amp;"7201","7201")</f>
        <v>7201</v>
      </c>
      <c r="B3" s="67" t="s">
        <v>216</v>
      </c>
      <c r="C3" s="36">
        <v>0.5</v>
      </c>
      <c r="D3" s="39">
        <v>0.4083609501827426</v>
      </c>
      <c r="E3" s="56">
        <v>-0.8188412765876194</v>
      </c>
      <c r="F3" s="56">
        <v>2.7680433765842167</v>
      </c>
      <c r="G3" s="39">
        <v>0.4083609501827426</v>
      </c>
      <c r="H3" s="40">
        <v>1</v>
      </c>
      <c r="I3" s="40">
        <v>1</v>
      </c>
      <c r="J3" s="56">
        <v>-1.6376825531752388</v>
      </c>
      <c r="K3" s="40">
        <v>2</v>
      </c>
    </row>
    <row r="4" spans="1:11">
      <c r="A4" s="38" t="str">
        <f>HYPERLINK("https://kabutan.jp/stock/?code="&amp;"8306","8306")</f>
        <v>8306</v>
      </c>
      <c r="B4" s="67" t="s">
        <v>217</v>
      </c>
      <c r="C4" s="36">
        <v>0.5</v>
      </c>
      <c r="D4" s="39">
        <v>0.52445830395605653</v>
      </c>
      <c r="E4" s="56">
        <v>-5.2069060803382854</v>
      </c>
      <c r="F4" s="56">
        <v>21.898841357781293</v>
      </c>
      <c r="G4" s="39">
        <v>0.52445830395605653</v>
      </c>
      <c r="H4" s="40">
        <v>1</v>
      </c>
      <c r="I4" s="40">
        <v>1</v>
      </c>
      <c r="J4" s="56">
        <v>-10.413812160676571</v>
      </c>
      <c r="K4" s="40">
        <v>2</v>
      </c>
    </row>
    <row r="5" spans="1:11">
      <c r="A5" s="38" t="str">
        <f>HYPERLINK("https://kabutan.jp/stock/?code="&amp;"8053","8053")</f>
        <v>8053</v>
      </c>
      <c r="B5" s="67" t="s">
        <v>218</v>
      </c>
      <c r="C5" s="36">
        <v>0</v>
      </c>
      <c r="D5" s="39">
        <v>0</v>
      </c>
      <c r="E5" s="56">
        <v>-12.316891396791107</v>
      </c>
      <c r="F5" s="56">
        <v>12.316891396791107</v>
      </c>
      <c r="G5" s="39">
        <v>0</v>
      </c>
      <c r="H5" s="40">
        <v>0</v>
      </c>
      <c r="I5" s="40">
        <v>1</v>
      </c>
      <c r="J5" s="56">
        <v>-12.316891396791107</v>
      </c>
      <c r="K5" s="40">
        <v>1</v>
      </c>
    </row>
    <row r="6" spans="1:11">
      <c r="A6" s="38" t="str">
        <f>HYPERLINK("https://kabutan.jp/stock/?code="&amp;"3350","3350")</f>
        <v>3350</v>
      </c>
      <c r="B6" s="67" t="s">
        <v>219</v>
      </c>
      <c r="C6" s="36">
        <v>0</v>
      </c>
      <c r="D6" s="39">
        <v>0</v>
      </c>
      <c r="E6" s="56">
        <v>-3.4599784164577159</v>
      </c>
      <c r="F6" s="56">
        <v>6.9199568329154317</v>
      </c>
      <c r="G6" s="39">
        <v>0</v>
      </c>
      <c r="H6" s="40">
        <v>0</v>
      </c>
      <c r="I6" s="40">
        <v>2</v>
      </c>
      <c r="J6" s="56">
        <v>-6.9199568329154317</v>
      </c>
      <c r="K6" s="40">
        <v>2</v>
      </c>
    </row>
    <row r="7" spans="1:11">
      <c r="A7" s="38" t="str">
        <f>HYPERLINK("https://kabutan.jp/stock/?code="&amp;"6723","6723")</f>
        <v>6723</v>
      </c>
      <c r="B7" s="67" t="s">
        <v>220</v>
      </c>
      <c r="C7" s="36">
        <v>0</v>
      </c>
      <c r="D7" s="39">
        <v>0</v>
      </c>
      <c r="E7" s="56">
        <v>-39.223734031761978</v>
      </c>
      <c r="F7" s="56">
        <v>39.223734031761978</v>
      </c>
      <c r="G7" s="39">
        <v>0</v>
      </c>
      <c r="H7" s="40">
        <v>0</v>
      </c>
      <c r="I7" s="40">
        <v>1</v>
      </c>
      <c r="J7" s="56">
        <v>-39.223734031761978</v>
      </c>
      <c r="K7" s="40">
        <v>1</v>
      </c>
    </row>
    <row r="8" spans="1:11">
      <c r="A8" s="38" t="str">
        <f>HYPERLINK("https://kabutan.jp/stock/?code="&amp;"4689","4689")</f>
        <v>4689</v>
      </c>
      <c r="B8" s="67" t="s">
        <v>221</v>
      </c>
      <c r="C8" s="36">
        <v>1</v>
      </c>
      <c r="D8" s="39" t="s">
        <v>88</v>
      </c>
      <c r="E8" s="56">
        <v>3.3319612962174858</v>
      </c>
      <c r="F8" s="56">
        <v>0</v>
      </c>
      <c r="G8" s="39" t="s">
        <v>88</v>
      </c>
      <c r="H8" s="40">
        <v>2</v>
      </c>
      <c r="I8" s="40">
        <v>0</v>
      </c>
      <c r="J8" s="56">
        <v>6.6639225924349716</v>
      </c>
      <c r="K8" s="40">
        <v>2</v>
      </c>
    </row>
    <row r="9" spans="1:11">
      <c r="A9" s="38" t="str">
        <f>HYPERLINK("https://kabutan.jp/stock/?code="&amp;"8136","8136")</f>
        <v>8136</v>
      </c>
      <c r="B9" s="67" t="s">
        <v>222</v>
      </c>
      <c r="C9" s="36">
        <v>0</v>
      </c>
      <c r="D9" s="39">
        <v>0</v>
      </c>
      <c r="E9" s="56">
        <v>-21.902552388827303</v>
      </c>
      <c r="F9" s="56">
        <v>43.805104777654606</v>
      </c>
      <c r="G9" s="39">
        <v>0</v>
      </c>
      <c r="H9" s="40">
        <v>0</v>
      </c>
      <c r="I9" s="40">
        <v>2</v>
      </c>
      <c r="J9" s="56">
        <v>-43.805104777654606</v>
      </c>
      <c r="K9" s="40">
        <v>2</v>
      </c>
    </row>
    <row r="10" spans="1:11">
      <c r="A10" s="38" t="str">
        <f>HYPERLINK("https://kabutan.jp/stock/?code="&amp;"4661","4661")</f>
        <v>4661</v>
      </c>
      <c r="B10" s="67" t="s">
        <v>223</v>
      </c>
      <c r="C10" s="36">
        <v>0</v>
      </c>
      <c r="D10" s="39">
        <v>0</v>
      </c>
      <c r="E10" s="56">
        <v>-24.773659845075144</v>
      </c>
      <c r="F10" s="56">
        <v>24.773659845075144</v>
      </c>
      <c r="G10" s="39">
        <v>0</v>
      </c>
      <c r="H10" s="40">
        <v>0</v>
      </c>
      <c r="I10" s="40">
        <v>1</v>
      </c>
      <c r="J10" s="56">
        <v>-24.773659845075144</v>
      </c>
      <c r="K10" s="40">
        <v>1</v>
      </c>
    </row>
    <row r="11" spans="1:11">
      <c r="A11" s="38" t="str">
        <f>HYPERLINK("https://kabutan.jp/stock/?code="&amp;"8604","8604")</f>
        <v>8604</v>
      </c>
      <c r="B11" s="67" t="s">
        <v>224</v>
      </c>
      <c r="C11" s="36">
        <v>0.5</v>
      </c>
      <c r="D11" s="39">
        <v>0.44366356060351131</v>
      </c>
      <c r="E11" s="56">
        <v>-2.1982248203182735</v>
      </c>
      <c r="F11" s="56">
        <v>7.9025016686050549</v>
      </c>
      <c r="G11" s="39">
        <v>0.44366356060351131</v>
      </c>
      <c r="H11" s="40">
        <v>1</v>
      </c>
      <c r="I11" s="40">
        <v>1</v>
      </c>
      <c r="J11" s="56">
        <v>-4.396449640636547</v>
      </c>
      <c r="K11" s="40">
        <v>2</v>
      </c>
    </row>
    <row r="12" spans="1:11">
      <c r="A12" s="38" t="str">
        <f>HYPERLINK("https://kabutan.jp/stock/?code="&amp;"6501","6501")</f>
        <v>6501</v>
      </c>
      <c r="B12" s="67" t="s">
        <v>225</v>
      </c>
      <c r="C12" s="36">
        <v>0</v>
      </c>
      <c r="D12" s="39">
        <v>0</v>
      </c>
      <c r="E12" s="56">
        <v>-34.645992848929382</v>
      </c>
      <c r="F12" s="56">
        <v>34.645992848929382</v>
      </c>
      <c r="G12" s="39">
        <v>0</v>
      </c>
      <c r="H12" s="40">
        <v>0</v>
      </c>
      <c r="I12" s="40">
        <v>1</v>
      </c>
      <c r="J12" s="56">
        <v>-34.645992848929382</v>
      </c>
      <c r="K12" s="40">
        <v>1</v>
      </c>
    </row>
    <row r="13" spans="1:11">
      <c r="A13" s="38" t="str">
        <f>HYPERLINK("https://kabutan.jp/stock/?code="&amp;"4063","4063")</f>
        <v>4063</v>
      </c>
      <c r="B13" s="67" t="s">
        <v>226</v>
      </c>
      <c r="C13" s="36">
        <v>1</v>
      </c>
      <c r="D13" s="39" t="s">
        <v>88</v>
      </c>
      <c r="E13" s="56">
        <v>29.057029681700897</v>
      </c>
      <c r="F13" s="56">
        <v>0</v>
      </c>
      <c r="G13" s="39" t="s">
        <v>88</v>
      </c>
      <c r="H13" s="40">
        <v>2</v>
      </c>
      <c r="I13" s="40">
        <v>0</v>
      </c>
      <c r="J13" s="56">
        <v>58.114059363401793</v>
      </c>
      <c r="K13" s="40">
        <v>2</v>
      </c>
    </row>
    <row r="14" spans="1:11">
      <c r="A14" s="38" t="str">
        <f>HYPERLINK("https://kabutan.jp/stock/?code="&amp;"4568","4568")</f>
        <v>4568</v>
      </c>
      <c r="B14" s="67" t="s">
        <v>227</v>
      </c>
      <c r="C14" s="36">
        <v>0</v>
      </c>
      <c r="D14" s="39">
        <v>0</v>
      </c>
      <c r="E14" s="56">
        <v>-26.283300410652373</v>
      </c>
      <c r="F14" s="56">
        <v>26.283300410652373</v>
      </c>
      <c r="G14" s="39">
        <v>0</v>
      </c>
      <c r="H14" s="40">
        <v>0</v>
      </c>
      <c r="I14" s="40">
        <v>1</v>
      </c>
      <c r="J14" s="56">
        <v>-26.283300410652373</v>
      </c>
      <c r="K14" s="40">
        <v>1</v>
      </c>
    </row>
    <row r="15" spans="1:11">
      <c r="A15" s="38" t="str">
        <f>HYPERLINK("https://kabutan.jp/stock/?code="&amp;"8001","8001")</f>
        <v>8001</v>
      </c>
      <c r="B15" s="67" t="s">
        <v>228</v>
      </c>
      <c r="C15" s="36">
        <v>1</v>
      </c>
      <c r="D15" s="39" t="s">
        <v>88</v>
      </c>
      <c r="E15" s="56">
        <v>13.520070550760465</v>
      </c>
      <c r="F15" s="56">
        <v>0</v>
      </c>
      <c r="G15" s="39" t="s">
        <v>88</v>
      </c>
      <c r="H15" s="40">
        <v>1</v>
      </c>
      <c r="I15" s="40">
        <v>0</v>
      </c>
      <c r="J15" s="56">
        <v>13.520070550760465</v>
      </c>
      <c r="K15" s="40">
        <v>1</v>
      </c>
    </row>
    <row r="16" spans="1:11">
      <c r="A16" s="38" t="str">
        <f>HYPERLINK("https://kabutan.jp/stock/?code="&amp;"6857","6857")</f>
        <v>6857</v>
      </c>
      <c r="B16" s="67" t="s">
        <v>229</v>
      </c>
      <c r="C16" s="36">
        <v>1</v>
      </c>
      <c r="D16" s="39" t="s">
        <v>88</v>
      </c>
      <c r="E16" s="56">
        <v>300.94926328844303</v>
      </c>
      <c r="F16" s="56">
        <v>0</v>
      </c>
      <c r="G16" s="39" t="s">
        <v>88</v>
      </c>
      <c r="H16" s="40">
        <v>2</v>
      </c>
      <c r="I16" s="40">
        <v>0</v>
      </c>
      <c r="J16" s="56">
        <v>601.89852657688607</v>
      </c>
      <c r="K16" s="40">
        <v>2</v>
      </c>
    </row>
    <row r="17" spans="1:11">
      <c r="A17" s="38" t="str">
        <f>HYPERLINK("https://kabutan.jp/stock/?code="&amp;"7974","7974")</f>
        <v>7974</v>
      </c>
      <c r="B17" s="67" t="s">
        <v>230</v>
      </c>
      <c r="C17" s="36">
        <v>0.5</v>
      </c>
      <c r="D17" s="39">
        <v>1.934523259010076</v>
      </c>
      <c r="E17" s="56">
        <v>16.655202386778001</v>
      </c>
      <c r="F17" s="56">
        <v>35.644275787037259</v>
      </c>
      <c r="G17" s="39">
        <v>1.934523259010076</v>
      </c>
      <c r="H17" s="40">
        <v>1</v>
      </c>
      <c r="I17" s="40">
        <v>1</v>
      </c>
      <c r="J17" s="56">
        <v>33.310404773556002</v>
      </c>
      <c r="K17" s="40">
        <v>2</v>
      </c>
    </row>
    <row r="18" spans="1:11">
      <c r="A18" s="38" t="str">
        <f>HYPERLINK("https://kabutan.jp/stock/?code="&amp;"6702","6702")</f>
        <v>6702</v>
      </c>
      <c r="B18" s="67" t="s">
        <v>231</v>
      </c>
      <c r="C18" s="36">
        <v>0</v>
      </c>
      <c r="D18" s="39">
        <v>0</v>
      </c>
      <c r="E18" s="56">
        <v>-32.803739910127661</v>
      </c>
      <c r="F18" s="56">
        <v>32.803739910127661</v>
      </c>
      <c r="G18" s="39">
        <v>0</v>
      </c>
      <c r="H18" s="40">
        <v>0</v>
      </c>
      <c r="I18" s="40">
        <v>1</v>
      </c>
      <c r="J18" s="56">
        <v>-32.803739910127661</v>
      </c>
      <c r="K18" s="40">
        <v>1</v>
      </c>
    </row>
    <row r="19" spans="1:11">
      <c r="A19" s="38" t="str">
        <f>HYPERLINK("https://kabutan.jp/stock/?code="&amp;"8316","8316")</f>
        <v>8316</v>
      </c>
      <c r="B19" s="67" t="s">
        <v>232</v>
      </c>
      <c r="C19" s="36">
        <v>0.5</v>
      </c>
      <c r="D19" s="39">
        <v>0.45034679904310942</v>
      </c>
      <c r="E19" s="56">
        <v>-14.106027138856007</v>
      </c>
      <c r="F19" s="56">
        <v>51.327008063625726</v>
      </c>
      <c r="G19" s="39">
        <v>0.45034679904310942</v>
      </c>
      <c r="H19" s="40">
        <v>1</v>
      </c>
      <c r="I19" s="40">
        <v>1</v>
      </c>
      <c r="J19" s="56">
        <v>-28.212054277712014</v>
      </c>
      <c r="K19" s="40">
        <v>2</v>
      </c>
    </row>
    <row r="20" spans="1:11">
      <c r="A20" s="38" t="str">
        <f>HYPERLINK("https://kabutan.jp/stock/?code="&amp;"4005","4005")</f>
        <v>4005</v>
      </c>
      <c r="B20" s="67" t="s">
        <v>233</v>
      </c>
      <c r="C20" s="36">
        <v>1</v>
      </c>
      <c r="D20" s="39" t="s">
        <v>88</v>
      </c>
      <c r="E20" s="56">
        <v>2.3716949807544552</v>
      </c>
      <c r="F20" s="56">
        <v>0</v>
      </c>
      <c r="G20" s="39" t="s">
        <v>88</v>
      </c>
      <c r="H20" s="40">
        <v>2</v>
      </c>
      <c r="I20" s="40">
        <v>0</v>
      </c>
      <c r="J20" s="56">
        <v>4.7433899615089103</v>
      </c>
      <c r="K20" s="40">
        <v>2</v>
      </c>
    </row>
    <row r="21" spans="1:11">
      <c r="A21" s="38" t="str">
        <f>HYPERLINK("https://kabutan.jp/stock/?code="&amp;"4188","4188")</f>
        <v>4188</v>
      </c>
      <c r="B21" s="67" t="s">
        <v>234</v>
      </c>
      <c r="C21" s="36">
        <v>0</v>
      </c>
      <c r="D21" s="39">
        <v>0</v>
      </c>
      <c r="E21" s="56">
        <v>-9.8686299909459194</v>
      </c>
      <c r="F21" s="56">
        <v>9.8686299909459194</v>
      </c>
      <c r="G21" s="39">
        <v>0</v>
      </c>
      <c r="H21" s="40">
        <v>0</v>
      </c>
      <c r="I21" s="40">
        <v>1</v>
      </c>
      <c r="J21" s="56">
        <v>-9.8686299909459194</v>
      </c>
      <c r="K21" s="40">
        <v>1</v>
      </c>
    </row>
    <row r="22" spans="1:11">
      <c r="A22" s="38" t="str">
        <f>HYPERLINK("https://kabutan.jp/stock/?code="&amp;"8411","8411")</f>
        <v>8411</v>
      </c>
      <c r="B22" s="67" t="s">
        <v>235</v>
      </c>
      <c r="C22" s="36">
        <v>0</v>
      </c>
      <c r="D22" s="39">
        <v>0</v>
      </c>
      <c r="E22" s="56">
        <v>-36.934435266644869</v>
      </c>
      <c r="F22" s="56">
        <v>73.868870533289737</v>
      </c>
      <c r="G22" s="39">
        <v>0</v>
      </c>
      <c r="H22" s="40">
        <v>0</v>
      </c>
      <c r="I22" s="40">
        <v>2</v>
      </c>
      <c r="J22" s="56">
        <v>-73.868870533289737</v>
      </c>
      <c r="K22" s="40">
        <v>2</v>
      </c>
    </row>
    <row r="23" spans="1:11">
      <c r="A23" s="38" t="str">
        <f>HYPERLINK("https://kabutan.jp/stock/?code="&amp;"9433","9433")</f>
        <v>9433</v>
      </c>
      <c r="B23" s="67" t="s">
        <v>236</v>
      </c>
      <c r="C23" s="36">
        <v>0</v>
      </c>
      <c r="D23" s="39">
        <v>0</v>
      </c>
      <c r="E23" s="56">
        <v>-17.15282489867559</v>
      </c>
      <c r="F23" s="56">
        <v>17.15282489867559</v>
      </c>
      <c r="G23" s="39">
        <v>0</v>
      </c>
      <c r="H23" s="40">
        <v>0</v>
      </c>
      <c r="I23" s="40">
        <v>1</v>
      </c>
      <c r="J23" s="56">
        <v>-17.15282489867559</v>
      </c>
      <c r="K23" s="40">
        <v>1</v>
      </c>
    </row>
    <row r="24" spans="1:11">
      <c r="A24" s="38" t="str">
        <f>HYPERLINK("https://kabutan.jp/stock/?code="&amp;"7532","7532")</f>
        <v>7532</v>
      </c>
      <c r="B24" s="67" t="s">
        <v>237</v>
      </c>
      <c r="C24" s="36">
        <v>0</v>
      </c>
      <c r="D24" s="39">
        <v>0</v>
      </c>
      <c r="E24" s="56">
        <v>-7.8925702370527233</v>
      </c>
      <c r="F24" s="56">
        <v>7.8925702370527233</v>
      </c>
      <c r="G24" s="39">
        <v>0</v>
      </c>
      <c r="H24" s="40">
        <v>0</v>
      </c>
      <c r="I24" s="40">
        <v>1</v>
      </c>
      <c r="J24" s="56">
        <v>-7.8925702370527233</v>
      </c>
      <c r="K24" s="40">
        <v>1</v>
      </c>
    </row>
    <row r="25" spans="1:11">
      <c r="A25" s="38" t="str">
        <f>HYPERLINK("https://kabutan.jp/stock/?code="&amp;"7012","7012")</f>
        <v>7012</v>
      </c>
      <c r="B25" s="67" t="s">
        <v>238</v>
      </c>
      <c r="C25" s="36">
        <v>0</v>
      </c>
      <c r="D25" s="39">
        <v>0</v>
      </c>
      <c r="E25" s="56">
        <v>-37.485973059344815</v>
      </c>
      <c r="F25" s="56">
        <v>37.485973059344815</v>
      </c>
      <c r="G25" s="39">
        <v>0</v>
      </c>
      <c r="H25" s="40">
        <v>0</v>
      </c>
      <c r="I25" s="40">
        <v>1</v>
      </c>
      <c r="J25" s="56">
        <v>-37.485973059344815</v>
      </c>
      <c r="K25" s="40">
        <v>1</v>
      </c>
    </row>
    <row r="26" spans="1:11">
      <c r="A26" s="38" t="str">
        <f>HYPERLINK("https://kabutan.jp/stock/?code="&amp;"8308","8308")</f>
        <v>8308</v>
      </c>
      <c r="B26" s="67" t="s">
        <v>239</v>
      </c>
      <c r="C26" s="36">
        <v>0.5</v>
      </c>
      <c r="D26" s="39">
        <v>0.85662200542620337</v>
      </c>
      <c r="E26" s="56">
        <v>-0.85942594696848573</v>
      </c>
      <c r="F26" s="56">
        <v>11.988254536872319</v>
      </c>
      <c r="G26" s="39">
        <v>0.85662200542620337</v>
      </c>
      <c r="H26" s="40">
        <v>1</v>
      </c>
      <c r="I26" s="40">
        <v>1</v>
      </c>
      <c r="J26" s="56">
        <v>-1.7188518939369715</v>
      </c>
      <c r="K26" s="40">
        <v>2</v>
      </c>
    </row>
    <row r="27" spans="1:11">
      <c r="A27" s="38" t="str">
        <f>HYPERLINK("https://kabutan.jp/stock/?code="&amp;"7182","7182")</f>
        <v>7182</v>
      </c>
      <c r="B27" s="67" t="s">
        <v>240</v>
      </c>
      <c r="C27" s="36">
        <v>0</v>
      </c>
      <c r="D27" s="39">
        <v>0</v>
      </c>
      <c r="E27" s="56">
        <v>-48.858951518266622</v>
      </c>
      <c r="F27" s="56">
        <v>48.858951518266622</v>
      </c>
      <c r="G27" s="39">
        <v>0</v>
      </c>
      <c r="H27" s="40">
        <v>0</v>
      </c>
      <c r="I27" s="40">
        <v>1</v>
      </c>
      <c r="J27" s="56">
        <v>-48.858951518266622</v>
      </c>
      <c r="K27" s="40">
        <v>1</v>
      </c>
    </row>
    <row r="28" spans="1:11">
      <c r="A28" s="38" t="str">
        <f>HYPERLINK("https://kabutan.jp/stock/?code="&amp;"8801","8801")</f>
        <v>8801</v>
      </c>
      <c r="B28" s="67" t="s">
        <v>241</v>
      </c>
      <c r="C28" s="36">
        <v>0.5</v>
      </c>
      <c r="D28" s="39">
        <v>2.3772667085869372</v>
      </c>
      <c r="E28" s="56">
        <v>3.1203913946702642</v>
      </c>
      <c r="F28" s="56">
        <v>4.5312812329163989</v>
      </c>
      <c r="G28" s="39">
        <v>2.3772667085869372</v>
      </c>
      <c r="H28" s="40">
        <v>1</v>
      </c>
      <c r="I28" s="40">
        <v>1</v>
      </c>
      <c r="J28" s="56">
        <v>6.2407827893405283</v>
      </c>
      <c r="K28" s="40">
        <v>2</v>
      </c>
    </row>
    <row r="29" spans="1:11">
      <c r="A29" s="38" t="str">
        <f>HYPERLINK("https://kabutan.jp/stock/?code="&amp;"6503","6503")</f>
        <v>6503</v>
      </c>
      <c r="B29" s="67" t="s">
        <v>242</v>
      </c>
      <c r="C29" s="36">
        <v>0</v>
      </c>
      <c r="D29" s="39">
        <v>0</v>
      </c>
      <c r="E29" s="56">
        <v>-29.734329201774926</v>
      </c>
      <c r="F29" s="56">
        <v>29.734329201774926</v>
      </c>
      <c r="G29" s="39">
        <v>0</v>
      </c>
      <c r="H29" s="40">
        <v>0</v>
      </c>
      <c r="I29" s="40">
        <v>1</v>
      </c>
      <c r="J29" s="56">
        <v>-29.734329201774926</v>
      </c>
      <c r="K29" s="40">
        <v>1</v>
      </c>
    </row>
    <row r="30" spans="1:11">
      <c r="A30" s="38" t="str">
        <f>HYPERLINK("https://kabutan.jp/stock/?code="&amp;"8410","8410")</f>
        <v>8410</v>
      </c>
      <c r="B30" s="67" t="s">
        <v>243</v>
      </c>
      <c r="C30" s="36">
        <v>0</v>
      </c>
      <c r="D30" s="39">
        <v>0</v>
      </c>
      <c r="E30" s="56">
        <v>-4.0349853035140768</v>
      </c>
      <c r="F30" s="56">
        <v>4.0349853035140768</v>
      </c>
      <c r="G30" s="39">
        <v>0</v>
      </c>
      <c r="H30" s="40">
        <v>0</v>
      </c>
      <c r="I30" s="40">
        <v>1</v>
      </c>
      <c r="J30" s="56">
        <v>-4.0349853035140768</v>
      </c>
      <c r="K30" s="40">
        <v>1</v>
      </c>
    </row>
    <row r="31" spans="1:11">
      <c r="A31" s="38" t="str">
        <f>HYPERLINK("https://kabutan.jp/stock/?code="&amp;"2181","2181")</f>
        <v>2181</v>
      </c>
      <c r="B31" s="67" t="s">
        <v>244</v>
      </c>
      <c r="C31" s="36">
        <v>1</v>
      </c>
      <c r="D31" s="39" t="s">
        <v>88</v>
      </c>
      <c r="E31" s="56">
        <v>3.6402184678857452</v>
      </c>
      <c r="F31" s="56">
        <v>0</v>
      </c>
      <c r="G31" s="39" t="s">
        <v>88</v>
      </c>
      <c r="H31" s="40">
        <v>1</v>
      </c>
      <c r="I31" s="40">
        <v>0</v>
      </c>
      <c r="J31" s="56">
        <v>3.6402184678857452</v>
      </c>
      <c r="K31" s="40">
        <v>1</v>
      </c>
    </row>
    <row r="32" spans="1:11">
      <c r="A32" s="38" t="str">
        <f>HYPERLINK("https://kabutan.jp/stock/?code="&amp;"5020","5020")</f>
        <v>5020</v>
      </c>
      <c r="B32" s="67" t="s">
        <v>245</v>
      </c>
      <c r="C32" s="36">
        <v>0</v>
      </c>
      <c r="D32" s="39">
        <v>0</v>
      </c>
      <c r="E32" s="56">
        <v>-20.626020746439963</v>
      </c>
      <c r="F32" s="56">
        <v>20.626020746439963</v>
      </c>
      <c r="G32" s="39">
        <v>0</v>
      </c>
      <c r="H32" s="40">
        <v>0</v>
      </c>
      <c r="I32" s="40">
        <v>1</v>
      </c>
      <c r="J32" s="56">
        <v>-20.626020746439963</v>
      </c>
      <c r="K32" s="40">
        <v>1</v>
      </c>
    </row>
    <row r="33" spans="1:11">
      <c r="A33" s="38" t="str">
        <f>HYPERLINK("https://kabutan.jp/stock/?code="&amp;"8750","8750")</f>
        <v>8750</v>
      </c>
      <c r="B33" s="67" t="s">
        <v>246</v>
      </c>
      <c r="C33" s="36">
        <v>1</v>
      </c>
      <c r="D33" s="39" t="s">
        <v>88</v>
      </c>
      <c r="E33" s="56">
        <v>16</v>
      </c>
      <c r="F33" s="56">
        <v>0</v>
      </c>
      <c r="G33" s="39" t="s">
        <v>88</v>
      </c>
      <c r="H33" s="40">
        <v>1</v>
      </c>
      <c r="I33" s="40">
        <v>0</v>
      </c>
      <c r="J33" s="56">
        <v>16</v>
      </c>
      <c r="K33" s="40">
        <v>1</v>
      </c>
    </row>
    <row r="34" spans="1:11">
      <c r="A34" s="38" t="str">
        <f>HYPERLINK("https://kabutan.jp/stock/?code="&amp;"7269","7269")</f>
        <v>7269</v>
      </c>
      <c r="B34" s="67" t="s">
        <v>247</v>
      </c>
      <c r="C34" s="36">
        <v>0</v>
      </c>
      <c r="D34" s="39">
        <v>0</v>
      </c>
      <c r="E34" s="56">
        <v>-21.683487240690056</v>
      </c>
      <c r="F34" s="56">
        <v>21.683487240690056</v>
      </c>
      <c r="G34" s="39">
        <v>0</v>
      </c>
      <c r="H34" s="40">
        <v>0</v>
      </c>
      <c r="I34" s="40">
        <v>1</v>
      </c>
      <c r="J34" s="56">
        <v>-21.683487240690056</v>
      </c>
      <c r="K34" s="40">
        <v>1</v>
      </c>
    </row>
    <row r="35" spans="1:11">
      <c r="A35" s="38" t="str">
        <f>HYPERLINK("https://kabutan.jp/stock/?code="&amp;"8113","8113")</f>
        <v>8113</v>
      </c>
      <c r="B35" s="67" t="s">
        <v>248</v>
      </c>
      <c r="C35" s="36">
        <v>0.5</v>
      </c>
      <c r="D35" s="39">
        <v>0.66254352051481313</v>
      </c>
      <c r="E35" s="56">
        <v>-0.97212444271900722</v>
      </c>
      <c r="F35" s="56">
        <v>5.7614803793487681</v>
      </c>
      <c r="G35" s="39">
        <v>0.66254352051481313</v>
      </c>
      <c r="H35" s="40">
        <v>1</v>
      </c>
      <c r="I35" s="40">
        <v>1</v>
      </c>
      <c r="J35" s="56">
        <v>-1.9442488854380144</v>
      </c>
      <c r="K35" s="40">
        <v>2</v>
      </c>
    </row>
    <row r="36" spans="1:11">
      <c r="A36" s="38" t="str">
        <f>HYPERLINK("https://kabutan.jp/stock/?code="&amp;"6963","6963")</f>
        <v>6963</v>
      </c>
      <c r="B36" s="57" t="s">
        <v>249</v>
      </c>
      <c r="C36" s="36">
        <v>1</v>
      </c>
      <c r="D36" s="39" t="s">
        <v>88</v>
      </c>
      <c r="E36" s="56">
        <v>51.241302714334779</v>
      </c>
      <c r="F36" s="56">
        <v>0</v>
      </c>
      <c r="G36" s="39" t="s">
        <v>88</v>
      </c>
      <c r="H36" s="40">
        <v>1</v>
      </c>
      <c r="I36" s="40">
        <v>0</v>
      </c>
      <c r="J36" s="56">
        <v>51.241302714334779</v>
      </c>
      <c r="K36" s="40">
        <v>1</v>
      </c>
    </row>
    <row r="37" spans="1:11">
      <c r="A37" s="38" t="str">
        <f>HYPERLINK("https://kabutan.jp/stock/?code="&amp;"3697","3697")</f>
        <v>3697</v>
      </c>
      <c r="B37" s="57" t="s">
        <v>250</v>
      </c>
      <c r="C37" s="36">
        <v>1</v>
      </c>
      <c r="D37" s="39" t="s">
        <v>88</v>
      </c>
      <c r="E37" s="56">
        <v>13.551853352967669</v>
      </c>
      <c r="F37" s="56">
        <v>0</v>
      </c>
      <c r="G37" s="39" t="s">
        <v>88</v>
      </c>
      <c r="H37" s="40">
        <v>1</v>
      </c>
      <c r="I37" s="40">
        <v>0</v>
      </c>
      <c r="J37" s="56">
        <v>13.551853352967669</v>
      </c>
      <c r="K37" s="40">
        <v>1</v>
      </c>
    </row>
    <row r="38" spans="1:11">
      <c r="A38" s="38" t="str">
        <f>HYPERLINK("https://kabutan.jp/stock/?code="&amp;"4503","4503")</f>
        <v>4503</v>
      </c>
      <c r="B38" s="57" t="s">
        <v>251</v>
      </c>
      <c r="C38" s="36">
        <v>0</v>
      </c>
      <c r="D38" s="39">
        <v>0</v>
      </c>
      <c r="E38" s="56">
        <v>-20.310782248999203</v>
      </c>
      <c r="F38" s="56">
        <v>20.310782248999203</v>
      </c>
      <c r="G38" s="39">
        <v>0</v>
      </c>
      <c r="H38" s="40">
        <v>0</v>
      </c>
      <c r="I38" s="40">
        <v>1</v>
      </c>
      <c r="J38" s="56">
        <v>-20.310782248999203</v>
      </c>
      <c r="K38" s="40">
        <v>1</v>
      </c>
    </row>
    <row r="39" spans="1:11">
      <c r="A39" s="38" t="str">
        <f>HYPERLINK("https://kabutan.jp/stock/?code="&amp;"8601","8601")</f>
        <v>8601</v>
      </c>
      <c r="B39" s="57" t="s">
        <v>252</v>
      </c>
      <c r="C39" s="36">
        <v>0</v>
      </c>
      <c r="D39" s="39">
        <v>0</v>
      </c>
      <c r="E39" s="56">
        <v>-10.002837652636345</v>
      </c>
      <c r="F39" s="56">
        <v>10.002837652636345</v>
      </c>
      <c r="G39" s="39">
        <v>0</v>
      </c>
      <c r="H39" s="40">
        <v>0</v>
      </c>
      <c r="I39" s="40">
        <v>1</v>
      </c>
      <c r="J39" s="56">
        <v>-10.002837652636345</v>
      </c>
      <c r="K39" s="40">
        <v>1</v>
      </c>
    </row>
    <row r="40" spans="1:11">
      <c r="A40" s="38" t="str">
        <f>HYPERLINK("https://kabutan.jp/stock/?code="&amp;"4502","4502")</f>
        <v>4502</v>
      </c>
      <c r="B40" s="57" t="s">
        <v>253</v>
      </c>
      <c r="C40" s="36">
        <v>0</v>
      </c>
      <c r="D40" s="39">
        <v>0</v>
      </c>
      <c r="E40" s="56">
        <v>-22.731385978356229</v>
      </c>
      <c r="F40" s="56">
        <v>22.731385978356229</v>
      </c>
      <c r="G40" s="39">
        <v>0</v>
      </c>
      <c r="H40" s="40">
        <v>0</v>
      </c>
      <c r="I40" s="40">
        <v>1</v>
      </c>
      <c r="J40" s="56">
        <v>-22.731385978356229</v>
      </c>
      <c r="K40" s="40">
        <v>1</v>
      </c>
    </row>
    <row r="41" spans="1:11">
      <c r="A41" s="38" t="str">
        <f>HYPERLINK("https://kabutan.jp/stock/?code="&amp;"8593","8593")</f>
        <v>8593</v>
      </c>
      <c r="B41" s="57" t="s">
        <v>254</v>
      </c>
      <c r="C41" s="36">
        <v>0.5</v>
      </c>
      <c r="D41" s="39">
        <v>0.23791324208973436</v>
      </c>
      <c r="E41" s="56">
        <v>-4.9655126408640626</v>
      </c>
      <c r="F41" s="56">
        <v>13.031357884973886</v>
      </c>
      <c r="G41" s="39">
        <v>0.23791324208973436</v>
      </c>
      <c r="H41" s="40">
        <v>1</v>
      </c>
      <c r="I41" s="40">
        <v>1</v>
      </c>
      <c r="J41" s="56">
        <v>-9.9310252817281253</v>
      </c>
      <c r="K41" s="40">
        <v>2</v>
      </c>
    </row>
    <row r="42" spans="1:11">
      <c r="A42" s="38" t="str">
        <f>HYPERLINK("https://kabutan.jp/stock/?code="&amp;"1942","1942")</f>
        <v>1942</v>
      </c>
      <c r="B42" s="57" t="s">
        <v>255</v>
      </c>
      <c r="C42" s="36">
        <v>0</v>
      </c>
      <c r="D42" s="39">
        <v>0</v>
      </c>
      <c r="E42" s="56">
        <v>-45.150563104421963</v>
      </c>
      <c r="F42" s="56">
        <v>45.150563104421963</v>
      </c>
      <c r="G42" s="39">
        <v>0</v>
      </c>
      <c r="H42" s="40">
        <v>0</v>
      </c>
      <c r="I42" s="40">
        <v>1</v>
      </c>
      <c r="J42" s="56">
        <v>-45.150563104421963</v>
      </c>
      <c r="K42" s="40">
        <v>1</v>
      </c>
    </row>
    <row r="43" spans="1:11">
      <c r="A43" s="38" t="str">
        <f>HYPERLINK("https://kabutan.jp/stock/?code="&amp;"6178","6178")</f>
        <v>6178</v>
      </c>
      <c r="B43" s="57" t="s">
        <v>256</v>
      </c>
      <c r="C43" s="36">
        <v>0</v>
      </c>
      <c r="D43" s="39">
        <v>0</v>
      </c>
      <c r="E43" s="56">
        <v>-23.330445275948932</v>
      </c>
      <c r="F43" s="56">
        <v>23.330445275948932</v>
      </c>
      <c r="G43" s="39">
        <v>0</v>
      </c>
      <c r="H43" s="40">
        <v>0</v>
      </c>
      <c r="I43" s="40">
        <v>1</v>
      </c>
      <c r="J43" s="56">
        <v>-23.330445275948932</v>
      </c>
      <c r="K43" s="40">
        <v>1</v>
      </c>
    </row>
    <row r="44" spans="1:11">
      <c r="A44" s="38" t="str">
        <f>HYPERLINK("https://kabutan.jp/stock/?code="&amp;"7272","7272")</f>
        <v>7272</v>
      </c>
      <c r="B44" s="57" t="s">
        <v>257</v>
      </c>
      <c r="C44" s="36">
        <v>0</v>
      </c>
      <c r="D44" s="39">
        <v>0</v>
      </c>
      <c r="E44" s="56">
        <v>-34.992003556824329</v>
      </c>
      <c r="F44" s="56">
        <v>34.992003556824329</v>
      </c>
      <c r="G44" s="39">
        <v>0</v>
      </c>
      <c r="H44" s="40">
        <v>0</v>
      </c>
      <c r="I44" s="40">
        <v>1</v>
      </c>
      <c r="J44" s="56">
        <v>-34.992003556824329</v>
      </c>
      <c r="K44" s="40">
        <v>1</v>
      </c>
    </row>
    <row r="45" spans="1:11">
      <c r="A45" s="38" t="str">
        <f>HYPERLINK("https://kabutan.jp/stock/?code="&amp;"5938","5938")</f>
        <v>5938</v>
      </c>
      <c r="B45" s="57" t="s">
        <v>258</v>
      </c>
      <c r="C45" s="36">
        <v>0</v>
      </c>
      <c r="D45" s="39">
        <v>0</v>
      </c>
      <c r="E45" s="56">
        <v>-7.4217843005112627</v>
      </c>
      <c r="F45" s="56">
        <v>7.4217843005112627</v>
      </c>
      <c r="G45" s="39">
        <v>0</v>
      </c>
      <c r="H45" s="40">
        <v>0</v>
      </c>
      <c r="I45" s="40">
        <v>1</v>
      </c>
      <c r="J45" s="56">
        <v>-7.4217843005112627</v>
      </c>
      <c r="K45" s="40">
        <v>1</v>
      </c>
    </row>
    <row r="46" spans="1:11">
      <c r="A46" s="38" t="str">
        <f>HYPERLINK("https://kabutan.jp/stock/?code="&amp;"5802","5802")</f>
        <v>5802</v>
      </c>
      <c r="B46" s="57" t="s">
        <v>259</v>
      </c>
      <c r="C46" s="36">
        <v>1</v>
      </c>
      <c r="D46" s="39" t="s">
        <v>88</v>
      </c>
      <c r="E46" s="56">
        <v>26.034746193545288</v>
      </c>
      <c r="F46" s="56">
        <v>0</v>
      </c>
      <c r="G46" s="39" t="s">
        <v>88</v>
      </c>
      <c r="H46" s="40">
        <v>1</v>
      </c>
      <c r="I46" s="40">
        <v>0</v>
      </c>
      <c r="J46" s="56">
        <v>26.034746193545288</v>
      </c>
      <c r="K46" s="40">
        <v>1</v>
      </c>
    </row>
    <row r="47" spans="1:11">
      <c r="A47" s="38" t="str">
        <f>HYPERLINK("https://kabutan.jp/stock/?code="&amp;"6758","6758")</f>
        <v>6758</v>
      </c>
      <c r="B47" s="57" t="s">
        <v>260</v>
      </c>
      <c r="C47" s="36">
        <v>1</v>
      </c>
      <c r="D47" s="39" t="s">
        <v>88</v>
      </c>
      <c r="E47" s="56">
        <v>39.95580575895292</v>
      </c>
      <c r="F47" s="56">
        <v>0</v>
      </c>
      <c r="G47" s="39" t="s">
        <v>88</v>
      </c>
      <c r="H47" s="40">
        <v>1</v>
      </c>
      <c r="I47" s="40">
        <v>0</v>
      </c>
      <c r="J47" s="56">
        <v>39.95580575895292</v>
      </c>
      <c r="K47" s="40">
        <v>1</v>
      </c>
    </row>
    <row r="48" spans="1:11">
      <c r="A48" s="38" t="str">
        <f>HYPERLINK("https://kabutan.jp/stock/?code="&amp;"7203","7203")</f>
        <v>7203</v>
      </c>
      <c r="B48" s="57" t="s">
        <v>261</v>
      </c>
      <c r="C48" s="36">
        <v>0</v>
      </c>
      <c r="D48" s="39">
        <v>0</v>
      </c>
      <c r="E48" s="56">
        <v>-6.5596425357230146</v>
      </c>
      <c r="F48" s="56">
        <v>6.5596425357230146</v>
      </c>
      <c r="G48" s="39">
        <v>0</v>
      </c>
      <c r="H48" s="40">
        <v>0</v>
      </c>
      <c r="I48" s="40">
        <v>1</v>
      </c>
      <c r="J48" s="56">
        <v>-6.5596425357230146</v>
      </c>
      <c r="K48" s="40">
        <v>1</v>
      </c>
    </row>
    <row r="49" spans="1:11">
      <c r="A49" s="38" t="str">
        <f>HYPERLINK("https://kabutan.jp/stock/?code="&amp;"7011","7011")</f>
        <v>7011</v>
      </c>
      <c r="B49" s="57" t="s">
        <v>262</v>
      </c>
      <c r="C49" s="36">
        <v>0</v>
      </c>
      <c r="D49" s="39">
        <v>0</v>
      </c>
      <c r="E49" s="56">
        <v>-16.756487608324733</v>
      </c>
      <c r="F49" s="56">
        <v>16.756487608324733</v>
      </c>
      <c r="G49" s="39">
        <v>0</v>
      </c>
      <c r="H49" s="40">
        <v>0</v>
      </c>
      <c r="I49" s="40">
        <v>1</v>
      </c>
      <c r="J49" s="56">
        <v>-16.756487608324733</v>
      </c>
      <c r="K49" s="40">
        <v>1</v>
      </c>
    </row>
    <row r="50" spans="1:11">
      <c r="A50" s="38" t="str">
        <f>HYPERLINK("https://kabutan.jp/stock/?code="&amp;"8309","8309")</f>
        <v>8309</v>
      </c>
      <c r="B50" s="57" t="s">
        <v>263</v>
      </c>
      <c r="C50" s="36">
        <v>1</v>
      </c>
      <c r="D50" s="39" t="s">
        <v>88</v>
      </c>
      <c r="E50" s="56">
        <v>6.2109584405125133</v>
      </c>
      <c r="F50" s="56">
        <v>0</v>
      </c>
      <c r="G50" s="39" t="s">
        <v>88</v>
      </c>
      <c r="H50" s="40">
        <v>1</v>
      </c>
      <c r="I50" s="40">
        <v>0</v>
      </c>
      <c r="J50" s="56">
        <v>6.2109584405125133</v>
      </c>
      <c r="K50" s="40">
        <v>1</v>
      </c>
    </row>
    <row r="51" spans="1:11">
      <c r="A51" s="38" t="str">
        <f>HYPERLINK("https://kabutan.jp/stock/?code="&amp;"7013","7013")</f>
        <v>7013</v>
      </c>
      <c r="B51" s="57" t="s">
        <v>264</v>
      </c>
      <c r="C51" s="36">
        <v>0</v>
      </c>
      <c r="D51" s="39">
        <v>0</v>
      </c>
      <c r="E51" s="56">
        <v>-15.529762635766474</v>
      </c>
      <c r="F51" s="56">
        <v>15.529762635766474</v>
      </c>
      <c r="G51" s="39">
        <v>0</v>
      </c>
      <c r="H51" s="40">
        <v>0</v>
      </c>
      <c r="I51" s="40">
        <v>1</v>
      </c>
      <c r="J51" s="56">
        <v>-15.529762635766474</v>
      </c>
      <c r="K51" s="40">
        <v>1</v>
      </c>
    </row>
    <row r="52" spans="1:11">
      <c r="A52" s="38" t="str">
        <f>HYPERLINK("https://kabutan.jp/stock/?code="&amp;"8035","8035")</f>
        <v>8035</v>
      </c>
      <c r="B52" s="57" t="s">
        <v>265</v>
      </c>
      <c r="C52" s="36">
        <v>1</v>
      </c>
      <c r="D52" s="39" t="s">
        <v>88</v>
      </c>
      <c r="E52" s="56">
        <v>289.58042496147391</v>
      </c>
      <c r="F52" s="56">
        <v>0</v>
      </c>
      <c r="G52" s="39" t="s">
        <v>88</v>
      </c>
      <c r="H52" s="40">
        <v>1</v>
      </c>
      <c r="I52" s="40">
        <v>0</v>
      </c>
      <c r="J52" s="56">
        <v>289.58042496147391</v>
      </c>
      <c r="K52" s="40">
        <v>1</v>
      </c>
    </row>
    <row r="53" spans="1:11">
      <c r="A53" s="38" t="str">
        <f>HYPERLINK("https://kabutan.jp/stock/?code="&amp;"3407","3407")</f>
        <v>3407</v>
      </c>
      <c r="B53" s="57" t="s">
        <v>266</v>
      </c>
      <c r="C53" s="36">
        <v>0</v>
      </c>
      <c r="D53" s="39">
        <v>0</v>
      </c>
      <c r="E53" s="56">
        <v>-5.3394093597819392</v>
      </c>
      <c r="F53" s="56">
        <v>5.3394093597819392</v>
      </c>
      <c r="G53" s="39">
        <v>0</v>
      </c>
      <c r="H53" s="40">
        <v>0</v>
      </c>
      <c r="I53" s="40">
        <v>1</v>
      </c>
      <c r="J53" s="56">
        <v>-5.3394093597819392</v>
      </c>
      <c r="K53" s="40">
        <v>1</v>
      </c>
    </row>
    <row r="54" spans="1:11">
      <c r="A54" s="38" t="str">
        <f>HYPERLINK("https://kabutan.jp/stock/?code="&amp;"2914","2914")</f>
        <v>2914</v>
      </c>
      <c r="B54" s="57" t="s">
        <v>267</v>
      </c>
      <c r="C54" s="36">
        <v>1</v>
      </c>
      <c r="D54" s="39" t="s">
        <v>88</v>
      </c>
      <c r="E54" s="56">
        <v>16.588828545923207</v>
      </c>
      <c r="F54" s="56">
        <v>0</v>
      </c>
      <c r="G54" s="39" t="s">
        <v>88</v>
      </c>
      <c r="H54" s="40">
        <v>1</v>
      </c>
      <c r="I54" s="40">
        <v>0</v>
      </c>
      <c r="J54" s="56">
        <v>16.588828545923207</v>
      </c>
      <c r="K54" s="40">
        <v>1</v>
      </c>
    </row>
    <row r="55" spans="1:11">
      <c r="A55" s="38" t="str">
        <f>HYPERLINK("https://kabutan.jp/stock/?code="&amp;"8473","8473")</f>
        <v>8473</v>
      </c>
      <c r="B55" s="57" t="s">
        <v>268</v>
      </c>
      <c r="C55" s="36">
        <v>1</v>
      </c>
      <c r="D55" s="39" t="s">
        <v>88</v>
      </c>
      <c r="E55" s="56">
        <v>9.2843422052692404</v>
      </c>
      <c r="F55" s="56">
        <v>0</v>
      </c>
      <c r="G55" s="39" t="s">
        <v>88</v>
      </c>
      <c r="H55" s="40">
        <v>1</v>
      </c>
      <c r="I55" s="40">
        <v>0</v>
      </c>
      <c r="J55" s="56">
        <v>9.2843422052692404</v>
      </c>
      <c r="K55" s="40">
        <v>1</v>
      </c>
    </row>
    <row r="56" spans="1:11">
      <c r="A56" s="38" t="str">
        <f>HYPERLINK("https://kabutan.jp/stock/?code="&amp;"6701","6701")</f>
        <v>6701</v>
      </c>
      <c r="B56" s="57" t="s">
        <v>269</v>
      </c>
      <c r="C56" s="36">
        <v>0</v>
      </c>
      <c r="D56" s="39">
        <v>0</v>
      </c>
      <c r="E56" s="56">
        <v>-25.826369067742235</v>
      </c>
      <c r="F56" s="56">
        <v>25.826369067742235</v>
      </c>
      <c r="G56" s="39">
        <v>0</v>
      </c>
      <c r="H56" s="40">
        <v>0</v>
      </c>
      <c r="I56" s="40">
        <v>1</v>
      </c>
      <c r="J56" s="56">
        <v>-25.826369067742235</v>
      </c>
      <c r="K56" s="40">
        <v>1</v>
      </c>
    </row>
    <row r="57" spans="1:11">
      <c r="A57" s="38" t="str">
        <f>HYPERLINK("https://kabutan.jp/stock/?code="&amp;"3861","3861")</f>
        <v>3861</v>
      </c>
      <c r="B57" s="57" t="s">
        <v>270</v>
      </c>
      <c r="C57" s="36">
        <v>0</v>
      </c>
      <c r="D57" s="39">
        <v>0</v>
      </c>
      <c r="E57" s="56">
        <v>-2.151136544794781</v>
      </c>
      <c r="F57" s="56">
        <v>2.151136544794781</v>
      </c>
      <c r="G57" s="39">
        <v>0</v>
      </c>
      <c r="H57" s="40">
        <v>0</v>
      </c>
      <c r="I57" s="40">
        <v>1</v>
      </c>
      <c r="J57" s="56">
        <v>-2.151136544794781</v>
      </c>
      <c r="K57" s="40">
        <v>1</v>
      </c>
    </row>
    <row r="58" spans="1:11">
      <c r="A58" s="38" t="str">
        <f>HYPERLINK("https://kabutan.jp/stock/?code="&amp;"2413","2413")</f>
        <v>2413</v>
      </c>
      <c r="B58" s="57" t="s">
        <v>271</v>
      </c>
      <c r="C58" s="36">
        <v>0</v>
      </c>
      <c r="D58" s="39">
        <v>0</v>
      </c>
      <c r="E58" s="56">
        <v>-16.826526070713498</v>
      </c>
      <c r="F58" s="56">
        <v>16.826526070713498</v>
      </c>
      <c r="G58" s="39">
        <v>0</v>
      </c>
      <c r="H58" s="40">
        <v>0</v>
      </c>
      <c r="I58" s="40">
        <v>1</v>
      </c>
      <c r="J58" s="56">
        <v>-16.826526070713498</v>
      </c>
      <c r="K58" s="40">
        <v>1</v>
      </c>
    </row>
    <row r="59" spans="1:11">
      <c r="A59" s="38" t="str">
        <f>HYPERLINK("https://kabutan.jp/stock/?code="&amp;"4307","4307")</f>
        <v>4307</v>
      </c>
      <c r="B59" s="57" t="s">
        <v>272</v>
      </c>
      <c r="C59" s="36">
        <v>0</v>
      </c>
      <c r="D59" s="39">
        <v>0</v>
      </c>
      <c r="E59" s="56">
        <v>-20.444793791337361</v>
      </c>
      <c r="F59" s="56">
        <v>20.444793791337361</v>
      </c>
      <c r="G59" s="39">
        <v>0</v>
      </c>
      <c r="H59" s="40">
        <v>0</v>
      </c>
      <c r="I59" s="40">
        <v>1</v>
      </c>
      <c r="J59" s="56">
        <v>-20.444793791337361</v>
      </c>
      <c r="K59" s="40">
        <v>1</v>
      </c>
    </row>
    <row r="60" spans="1:11">
      <c r="A60" s="38" t="str">
        <f>HYPERLINK("https://kabutan.jp/stock/?code="&amp;"3110","3110")</f>
        <v>3110</v>
      </c>
      <c r="B60" s="57" t="s">
        <v>273</v>
      </c>
      <c r="C60" s="36">
        <v>1</v>
      </c>
      <c r="D60" s="39" t="s">
        <v>88</v>
      </c>
      <c r="E60" s="56">
        <v>27.905123315765195</v>
      </c>
      <c r="F60" s="56">
        <v>0</v>
      </c>
      <c r="G60" s="39" t="s">
        <v>88</v>
      </c>
      <c r="H60" s="40">
        <v>1</v>
      </c>
      <c r="I60" s="40">
        <v>0</v>
      </c>
      <c r="J60" s="56">
        <v>27.905123315765195</v>
      </c>
      <c r="K60" s="40">
        <v>1</v>
      </c>
    </row>
    <row r="61" spans="1:11">
      <c r="A61" s="38" t="str">
        <f>HYPERLINK("https://kabutan.jp/stock/?code="&amp;"2802","2802")</f>
        <v>2802</v>
      </c>
      <c r="B61" s="57" t="s">
        <v>274</v>
      </c>
      <c r="C61" s="36">
        <v>1</v>
      </c>
      <c r="D61" s="39" t="s">
        <v>88</v>
      </c>
      <c r="E61" s="56">
        <v>31.548132433165847</v>
      </c>
      <c r="F61" s="56">
        <v>0</v>
      </c>
      <c r="G61" s="39" t="s">
        <v>88</v>
      </c>
      <c r="H61" s="40">
        <v>1</v>
      </c>
      <c r="I61" s="40">
        <v>0</v>
      </c>
      <c r="J61" s="56">
        <v>31.548132433165847</v>
      </c>
      <c r="K61" s="40">
        <v>1</v>
      </c>
    </row>
    <row r="62" spans="1:11">
      <c r="A62" s="38" t="str">
        <f>HYPERLINK("https://kabutan.jp/stock/?code="&amp;"6762","6762")</f>
        <v>6762</v>
      </c>
      <c r="B62" s="57" t="s">
        <v>275</v>
      </c>
      <c r="C62" s="36">
        <v>1</v>
      </c>
      <c r="D62" s="39" t="s">
        <v>88</v>
      </c>
      <c r="E62" s="56">
        <v>15.160824256112392</v>
      </c>
      <c r="F62" s="56">
        <v>0</v>
      </c>
      <c r="G62" s="39" t="s">
        <v>88</v>
      </c>
      <c r="H62" s="40">
        <v>1</v>
      </c>
      <c r="I62" s="40">
        <v>0</v>
      </c>
      <c r="J62" s="56">
        <v>15.160824256112392</v>
      </c>
      <c r="K62" s="40">
        <v>1</v>
      </c>
    </row>
    <row r="63" spans="1:11">
      <c r="A63" s="38" t="str">
        <f>HYPERLINK("https://kabutan.jp/stock/?code="&amp;"3436","3436")</f>
        <v>3436</v>
      </c>
      <c r="B63" s="57" t="s">
        <v>276</v>
      </c>
      <c r="C63" s="36">
        <v>1</v>
      </c>
      <c r="D63" s="39" t="s">
        <v>88</v>
      </c>
      <c r="E63" s="56">
        <v>41.513832304691277</v>
      </c>
      <c r="F63" s="56">
        <v>0</v>
      </c>
      <c r="G63" s="39" t="s">
        <v>88</v>
      </c>
      <c r="H63" s="40">
        <v>1</v>
      </c>
      <c r="I63" s="40">
        <v>0</v>
      </c>
      <c r="J63" s="56">
        <v>41.513832304691277</v>
      </c>
      <c r="K63" s="40">
        <v>1</v>
      </c>
    </row>
    <row r="64" spans="1:11">
      <c r="A64" s="38" t="str">
        <f>HYPERLINK("https://kabutan.jp/stock/?code="&amp;"8303","8303")</f>
        <v>8303</v>
      </c>
      <c r="B64" s="57" t="s">
        <v>277</v>
      </c>
      <c r="C64" s="36">
        <v>0</v>
      </c>
      <c r="D64" s="39">
        <v>0</v>
      </c>
      <c r="E64" s="56">
        <v>-5.9442608743577239</v>
      </c>
      <c r="F64" s="56">
        <v>5.9442608743577239</v>
      </c>
      <c r="G64" s="39">
        <v>0</v>
      </c>
      <c r="H64" s="40">
        <v>0</v>
      </c>
      <c r="I64" s="40">
        <v>1</v>
      </c>
      <c r="J64" s="56">
        <v>-5.9442608743577239</v>
      </c>
      <c r="K64" s="40">
        <v>1</v>
      </c>
    </row>
    <row r="65" spans="1:11">
      <c r="A65" s="38" t="str">
        <f>HYPERLINK("https://kabutan.jp/stock/?code="&amp;"7735","7735")</f>
        <v>7735</v>
      </c>
      <c r="B65" s="57" t="s">
        <v>278</v>
      </c>
      <c r="C65" s="36">
        <v>1</v>
      </c>
      <c r="D65" s="39" t="s">
        <v>88</v>
      </c>
      <c r="E65" s="56">
        <v>99.561249927894096</v>
      </c>
      <c r="F65" s="56">
        <v>0</v>
      </c>
      <c r="G65" s="39" t="s">
        <v>88</v>
      </c>
      <c r="H65" s="40">
        <v>1</v>
      </c>
      <c r="I65" s="40">
        <v>0</v>
      </c>
      <c r="J65" s="56">
        <v>99.561249927894096</v>
      </c>
      <c r="K65" s="40">
        <v>1</v>
      </c>
    </row>
    <row r="66" spans="1:11">
      <c r="A66" s="38" t="str">
        <f>HYPERLINK("https://kabutan.jp/stock/?code="&amp;"6506","6506")</f>
        <v>6506</v>
      </c>
      <c r="B66" s="57" t="s">
        <v>279</v>
      </c>
      <c r="C66" s="36">
        <v>0</v>
      </c>
      <c r="D66" s="39">
        <v>0</v>
      </c>
      <c r="E66" s="56">
        <v>-30.003709095891281</v>
      </c>
      <c r="F66" s="56">
        <v>30.003709095891281</v>
      </c>
      <c r="G66" s="39">
        <v>0</v>
      </c>
      <c r="H66" s="40">
        <v>0</v>
      </c>
      <c r="I66" s="40">
        <v>1</v>
      </c>
      <c r="J66" s="56">
        <v>-30.003709095891281</v>
      </c>
      <c r="K66" s="40">
        <v>1</v>
      </c>
    </row>
    <row r="67" spans="1:11">
      <c r="A67" s="38" t="str">
        <f>HYPERLINK("https://kabutan.jp/stock/?code="&amp;"4755","4755")</f>
        <v>4755</v>
      </c>
      <c r="B67" s="57" t="s">
        <v>280</v>
      </c>
      <c r="C67" s="36">
        <v>1</v>
      </c>
      <c r="D67" s="39" t="s">
        <v>88</v>
      </c>
      <c r="E67" s="56">
        <v>4.934457466695676</v>
      </c>
      <c r="F67" s="56">
        <v>0</v>
      </c>
      <c r="G67" s="39" t="s">
        <v>88</v>
      </c>
      <c r="H67" s="40">
        <v>1</v>
      </c>
      <c r="I67" s="40">
        <v>0</v>
      </c>
      <c r="J67" s="56">
        <v>4.934457466695676</v>
      </c>
      <c r="K67" s="40">
        <v>1</v>
      </c>
    </row>
    <row r="68" spans="1:11">
      <c r="A68" s="38" t="str">
        <f>HYPERLINK("https://kabutan.jp/stock/?code="&amp;"6971","6971")</f>
        <v>6971</v>
      </c>
      <c r="B68" s="57" t="s">
        <v>281</v>
      </c>
      <c r="C68" s="36">
        <v>1</v>
      </c>
      <c r="D68" s="39" t="s">
        <v>88</v>
      </c>
      <c r="E68" s="56">
        <v>14.442268193618929</v>
      </c>
      <c r="F68" s="56">
        <v>0</v>
      </c>
      <c r="G68" s="39" t="s">
        <v>88</v>
      </c>
      <c r="H68" s="40">
        <v>1</v>
      </c>
      <c r="I68" s="40">
        <v>0</v>
      </c>
      <c r="J68" s="56">
        <v>14.442268193618929</v>
      </c>
      <c r="K68" s="40">
        <v>1</v>
      </c>
    </row>
    <row r="69" spans="1:11">
      <c r="A69" s="38" t="str">
        <f>HYPERLINK("https://kabutan.jp/stock/?code="&amp;"3382","3382")</f>
        <v>3382</v>
      </c>
      <c r="B69" s="57" t="s">
        <v>282</v>
      </c>
      <c r="C69" s="36">
        <v>1</v>
      </c>
      <c r="D69" s="39" t="s">
        <v>88</v>
      </c>
      <c r="E69" s="56">
        <v>7.6406361975828077</v>
      </c>
      <c r="F69" s="56">
        <v>0</v>
      </c>
      <c r="G69" s="39" t="s">
        <v>88</v>
      </c>
      <c r="H69" s="40">
        <v>1</v>
      </c>
      <c r="I69" s="40">
        <v>0</v>
      </c>
      <c r="J69" s="56">
        <v>7.6406361975828077</v>
      </c>
      <c r="K69" s="40">
        <v>1</v>
      </c>
    </row>
    <row r="70" spans="1:11">
      <c r="A70" s="38" t="str">
        <f>HYPERLINK("https://kabutan.jp/stock/?code="&amp;"5411","5411")</f>
        <v>5411</v>
      </c>
      <c r="B70" s="57" t="s">
        <v>283</v>
      </c>
      <c r="C70" s="36">
        <v>1</v>
      </c>
      <c r="D70" s="39" t="s">
        <v>88</v>
      </c>
      <c r="E70" s="56">
        <v>4.7349576898416217</v>
      </c>
      <c r="F70" s="56">
        <v>0</v>
      </c>
      <c r="G70" s="39" t="s">
        <v>88</v>
      </c>
      <c r="H70" s="40">
        <v>1</v>
      </c>
      <c r="I70" s="40">
        <v>0</v>
      </c>
      <c r="J70" s="56">
        <v>4.7349576898416217</v>
      </c>
      <c r="K70" s="40">
        <v>1</v>
      </c>
    </row>
    <row r="71" spans="1:11">
      <c r="A71" s="38" t="str">
        <f>HYPERLINK("https://kabutan.jp/stock/?code="&amp;"9501","9501")</f>
        <v>9501</v>
      </c>
      <c r="B71" s="57" t="s">
        <v>284</v>
      </c>
      <c r="C71" s="36">
        <v>0</v>
      </c>
      <c r="D71" s="39">
        <v>0</v>
      </c>
      <c r="E71" s="56">
        <v>-2.0502064097003085</v>
      </c>
      <c r="F71" s="56">
        <v>2.0502064097003085</v>
      </c>
      <c r="G71" s="39">
        <v>0</v>
      </c>
      <c r="H71" s="40">
        <v>0</v>
      </c>
      <c r="I71" s="40">
        <v>1</v>
      </c>
      <c r="J71" s="56">
        <v>-2.0502064097003085</v>
      </c>
      <c r="K71" s="40">
        <v>1</v>
      </c>
    </row>
    <row r="72" spans="1:11">
      <c r="A72" s="38" t="str">
        <f>HYPERLINK("https://kabutan.jp/stock/?code="&amp;"5401","5401")</f>
        <v>5401</v>
      </c>
      <c r="B72" s="57" t="s">
        <v>285</v>
      </c>
      <c r="C72" s="36">
        <v>0</v>
      </c>
      <c r="D72" s="39">
        <v>0</v>
      </c>
      <c r="E72" s="56">
        <v>-2.009750713409403</v>
      </c>
      <c r="F72" s="56">
        <v>2.009750713409403</v>
      </c>
      <c r="G72" s="39">
        <v>0</v>
      </c>
      <c r="H72" s="40">
        <v>0</v>
      </c>
      <c r="I72" s="40">
        <v>1</v>
      </c>
      <c r="J72" s="56">
        <v>-2.009750713409403</v>
      </c>
      <c r="K72" s="40">
        <v>1</v>
      </c>
    </row>
    <row r="73" spans="1:11">
      <c r="A73" s="38" t="str">
        <f>HYPERLINK("https://kabutan.jp/stock/?code="&amp;"7751","7751")</f>
        <v>7751</v>
      </c>
      <c r="B73" s="57" t="s">
        <v>286</v>
      </c>
      <c r="C73" s="36">
        <v>0</v>
      </c>
      <c r="D73" s="39">
        <v>0</v>
      </c>
      <c r="E73" s="56">
        <v>-11.363179493300777</v>
      </c>
      <c r="F73" s="56">
        <v>11.363179493300777</v>
      </c>
      <c r="G73" s="39">
        <v>0</v>
      </c>
      <c r="H73" s="40">
        <v>0</v>
      </c>
      <c r="I73" s="40">
        <v>1</v>
      </c>
      <c r="J73" s="56">
        <v>-11.363179493300777</v>
      </c>
      <c r="K73" s="40">
        <v>1</v>
      </c>
    </row>
    <row r="74" spans="1:11">
      <c r="A74" s="38" t="str">
        <f>HYPERLINK("https://kabutan.jp/stock/?code="&amp;"6954","6954")</f>
        <v>6954</v>
      </c>
      <c r="B74" s="57" t="s">
        <v>287</v>
      </c>
      <c r="C74" s="36">
        <v>0</v>
      </c>
      <c r="D74" s="39">
        <v>0</v>
      </c>
      <c r="E74" s="56">
        <v>-30.430113470785727</v>
      </c>
      <c r="F74" s="56">
        <v>30.430113470785727</v>
      </c>
      <c r="G74" s="39">
        <v>0</v>
      </c>
      <c r="H74" s="40">
        <v>0</v>
      </c>
      <c r="I74" s="40">
        <v>1</v>
      </c>
      <c r="J74" s="56">
        <v>-30.430113470785727</v>
      </c>
      <c r="K74" s="40">
        <v>1</v>
      </c>
    </row>
    <row r="75" spans="1:11">
      <c r="A75" s="38" t="str">
        <f>HYPERLINK("https://kabutan.jp/stock/?code="&amp;"5803","5803")</f>
        <v>5803</v>
      </c>
      <c r="B75" s="57" t="s">
        <v>288</v>
      </c>
      <c r="C75" s="36">
        <v>0</v>
      </c>
      <c r="D75" s="39">
        <v>0</v>
      </c>
      <c r="E75" s="56">
        <v>-56.155812042092293</v>
      </c>
      <c r="F75" s="56">
        <v>56.155812042092293</v>
      </c>
      <c r="G75" s="39">
        <v>0</v>
      </c>
      <c r="H75" s="40">
        <v>0</v>
      </c>
      <c r="I75" s="40">
        <v>1</v>
      </c>
      <c r="J75" s="56">
        <v>-56.155812042092293</v>
      </c>
      <c r="K75" s="40">
        <v>1</v>
      </c>
    </row>
    <row r="76" spans="1:11">
      <c r="A76" s="38" t="str">
        <f>HYPERLINK("https://kabutan.jp/stock/?code="&amp;"7211","7211")</f>
        <v>7211</v>
      </c>
      <c r="B76" s="57" t="s">
        <v>289</v>
      </c>
      <c r="C76" s="36">
        <v>0</v>
      </c>
      <c r="D76" s="39">
        <v>0</v>
      </c>
      <c r="E76" s="56">
        <v>-1.0668190382804141</v>
      </c>
      <c r="F76" s="56">
        <v>1.0668190382804141</v>
      </c>
      <c r="G76" s="39">
        <v>0</v>
      </c>
      <c r="H76" s="40">
        <v>0</v>
      </c>
      <c r="I76" s="40">
        <v>1</v>
      </c>
      <c r="J76" s="56">
        <v>-1.0668190382804141</v>
      </c>
      <c r="K76" s="40">
        <v>1</v>
      </c>
    </row>
    <row r="77" spans="2:2">
      <c r="B77" s="55"/>
    </row>
    <row r="78" spans="2:2">
      <c r="B78" s="55"/>
    </row>
    <row r="79" spans="2:2">
      <c r="B79" s="55"/>
    </row>
    <row r="80" spans="2:2">
      <c r="B80" s="55"/>
    </row>
    <row r="81" spans="2:2">
      <c r="B81" s="55"/>
    </row>
    <row r="82" spans="2:2">
      <c r="B82" s="55"/>
    </row>
    <row r="83" spans="2:2">
      <c r="B83" s="55"/>
    </row>
    <row r="84" spans="2:2">
      <c r="B84" s="55"/>
    </row>
    <row r="85" spans="2:2">
      <c r="B85" s="55"/>
    </row>
    <row r="86" spans="2:2">
      <c r="B86" s="55"/>
    </row>
    <row r="87" spans="2:2">
      <c r="B87" s="55"/>
    </row>
    <row r="88" spans="2:2">
      <c r="B88" s="55"/>
    </row>
    <row r="89" spans="2:2">
      <c r="B89" s="55"/>
    </row>
    <row r="90" spans="2:2">
      <c r="B90" s="55"/>
    </row>
    <row r="91" spans="2:2">
      <c r="B91" s="55"/>
    </row>
    <row r="92" spans="2:2">
      <c r="B92" s="55"/>
    </row>
    <row r="93" spans="2:2">
      <c r="B93" s="55"/>
    </row>
    <row r="94" spans="2:2">
      <c r="B94" s="55"/>
    </row>
    <row r="95" spans="2:2">
      <c r="B95" s="55"/>
    </row>
    <row r="96" spans="2:2">
      <c r="B96" s="55"/>
    </row>
    <row r="97" spans="2:2">
      <c r="B97" s="55"/>
    </row>
    <row r="98" spans="2:2">
      <c r="B98" s="55"/>
    </row>
    <row r="99" spans="2:2">
      <c r="B99" s="55"/>
    </row>
    <row r="100" spans="2:2">
      <c r="B100" s="55"/>
    </row>
    <row r="101" spans="2:2">
      <c r="B101" s="55"/>
    </row>
    <row r="102" spans="2:2">
      <c r="B102" s="55"/>
    </row>
    <row r="103" spans="2:2">
      <c r="B103" s="55"/>
    </row>
    <row r="104" spans="2:2">
      <c r="B104" s="55"/>
    </row>
    <row r="105" spans="2:2">
      <c r="B105" s="55"/>
    </row>
    <row r="106" spans="2:2">
      <c r="B106" s="55"/>
    </row>
    <row r="107" spans="2:2">
      <c r="B107" s="55"/>
    </row>
    <row r="108" spans="2:2">
      <c r="B108" s="55"/>
    </row>
    <row r="109" spans="2:2">
      <c r="B109" s="55"/>
    </row>
    <row r="110" spans="2:2">
      <c r="B110" s="55"/>
    </row>
    <row r="111" spans="2:2">
      <c r="B111" s="55"/>
    </row>
    <row r="112" spans="2:2">
      <c r="B112" s="55"/>
    </row>
    <row r="113" spans="2:2">
      <c r="B113" s="55"/>
    </row>
    <row r="114" spans="2:2">
      <c r="B114" s="55"/>
    </row>
    <row r="115" spans="2:2">
      <c r="B115" s="55"/>
    </row>
    <row r="116" spans="2:2">
      <c r="B116" s="55"/>
    </row>
    <row r="117" spans="2:2">
      <c r="B117" s="55"/>
    </row>
    <row r="118" spans="2:2">
      <c r="B118" s="55"/>
    </row>
    <row r="119" spans="2:2">
      <c r="B119" s="55"/>
    </row>
    <row r="120" spans="2:2">
      <c r="B120" s="55"/>
    </row>
    <row r="121" spans="2:2">
      <c r="B121" s="55"/>
    </row>
    <row r="122" spans="2:2">
      <c r="B122" s="55"/>
    </row>
    <row r="123" spans="2:2">
      <c r="B123" s="55"/>
    </row>
    <row r="124" spans="2:2">
      <c r="B124" s="55"/>
    </row>
    <row r="125" spans="2:2">
      <c r="B125" s="55"/>
    </row>
    <row r="126" spans="2:2">
      <c r="B126" s="55"/>
    </row>
    <row r="127" spans="2:2">
      <c r="B127" s="55"/>
    </row>
    <row r="128" spans="2:2">
      <c r="B128" s="55"/>
    </row>
    <row r="129" spans="2:2">
      <c r="B129" s="55"/>
    </row>
    <row r="130" spans="2:2">
      <c r="B130" s="55"/>
    </row>
    <row r="131" spans="2:2">
      <c r="B131" s="55"/>
    </row>
    <row r="132" spans="2:2">
      <c r="B132" s="55"/>
    </row>
    <row r="133" spans="2:2">
      <c r="B133" s="55"/>
    </row>
    <row r="134" spans="2:2">
      <c r="B134" s="55"/>
    </row>
    <row r="135" spans="2:2">
      <c r="B135" s="55"/>
    </row>
    <row r="136" spans="2:2">
      <c r="B136" s="55"/>
    </row>
    <row r="137" spans="2:2">
      <c r="B137" s="55"/>
    </row>
    <row r="138" spans="2:2">
      <c r="B138" s="55"/>
    </row>
    <row r="139" spans="2:2">
      <c r="B139" s="55"/>
    </row>
    <row r="140" spans="2:2">
      <c r="B140" s="55"/>
    </row>
    <row r="141" spans="2:2">
      <c r="B141" s="55"/>
    </row>
    <row r="142" spans="2:2">
      <c r="B142" s="55"/>
    </row>
    <row r="143" spans="2:2">
      <c r="B143" s="55"/>
    </row>
    <row r="144" spans="2:2">
      <c r="B144" s="55"/>
    </row>
    <row r="145" spans="2:2">
      <c r="B145" s="55"/>
    </row>
    <row r="146" spans="2:2">
      <c r="B146" s="55"/>
    </row>
    <row r="147" spans="2:2">
      <c r="B147" s="55"/>
    </row>
    <row r="148" spans="2:2">
      <c r="B148" s="55"/>
    </row>
    <row r="149" spans="2:2">
      <c r="B149" s="55"/>
    </row>
    <row r="150" spans="2:2">
      <c r="B150" s="55"/>
    </row>
    <row r="151" spans="2:2">
      <c r="B151" s="55"/>
    </row>
    <row r="152" spans="2:2">
      <c r="B152" s="55"/>
    </row>
    <row r="153" spans="2:2">
      <c r="B153" s="55"/>
    </row>
    <row r="154" spans="2:2">
      <c r="B154" s="55"/>
    </row>
    <row r="155" spans="2:2">
      <c r="B155" s="55"/>
    </row>
    <row r="156" spans="2:2">
      <c r="B156" s="55"/>
    </row>
    <row r="157" spans="2:2">
      <c r="B157" s="55"/>
    </row>
    <row r="158" spans="2:2">
      <c r="B158" s="55"/>
    </row>
    <row r="159" spans="2:2">
      <c r="B159" s="55"/>
    </row>
    <row r="160" spans="2:2">
      <c r="B160" s="55"/>
    </row>
    <row r="161" spans="2:2">
      <c r="B161" s="55"/>
    </row>
    <row r="162" spans="2:2">
      <c r="B162" s="55"/>
    </row>
    <row r="163" spans="2:2">
      <c r="B163" s="55"/>
    </row>
    <row r="164" spans="2:2">
      <c r="B164" s="55"/>
    </row>
    <row r="165" spans="2:2">
      <c r="B165" s="55"/>
    </row>
    <row r="166" spans="2:2">
      <c r="B166" s="55"/>
    </row>
    <row r="167" spans="2:2">
      <c r="B167" s="55"/>
    </row>
    <row r="168" spans="2:2">
      <c r="B168" s="55"/>
    </row>
    <row r="169" spans="2:2">
      <c r="B169" s="55"/>
    </row>
    <row r="170" spans="2:2">
      <c r="B170" s="55"/>
    </row>
    <row r="171" spans="2:2">
      <c r="B171" s="55"/>
    </row>
    <row r="172" spans="2:2">
      <c r="B172" s="55"/>
    </row>
    <row r="173" spans="2:2">
      <c r="B173" s="55"/>
    </row>
    <row r="174" spans="2:2">
      <c r="B174" s="55"/>
    </row>
    <row r="175" spans="2:2">
      <c r="B175" s="55"/>
    </row>
    <row r="176" spans="2:2">
      <c r="B176" s="55"/>
    </row>
    <row r="177" spans="2:2">
      <c r="B177" s="55"/>
    </row>
    <row r="178" spans="2:2">
      <c r="B178" s="55"/>
    </row>
    <row r="179" spans="2:2">
      <c r="B179" s="55"/>
    </row>
    <row r="180" spans="2:2">
      <c r="B180" s="55"/>
    </row>
    <row r="181" spans="2:2">
      <c r="B181" s="55"/>
    </row>
    <row r="182" spans="2:2">
      <c r="B182" s="55"/>
    </row>
    <row r="183" spans="2:2">
      <c r="B183" s="55"/>
    </row>
    <row r="184" spans="2:2">
      <c r="B184" s="55"/>
    </row>
    <row r="185" spans="2:2">
      <c r="B185" s="55"/>
    </row>
    <row r="186" spans="2:2">
      <c r="B186" s="55"/>
    </row>
    <row r="187" spans="2:2">
      <c r="B187" s="55"/>
    </row>
    <row r="188" spans="2:2">
      <c r="B188" s="55"/>
    </row>
    <row r="189" spans="2:2">
      <c r="B189" s="55"/>
    </row>
    <row r="190" spans="2:2">
      <c r="B190" s="55"/>
    </row>
    <row r="191" spans="2:2">
      <c r="B191" s="55"/>
    </row>
    <row r="192" spans="2:2">
      <c r="B192" s="55"/>
    </row>
    <row r="193" spans="2:2">
      <c r="B193" s="55"/>
    </row>
    <row r="194" spans="2:2">
      <c r="B194" s="55"/>
    </row>
    <row r="195" spans="2:2">
      <c r="B195" s="55"/>
    </row>
    <row r="196" spans="2:2">
      <c r="B196" s="55"/>
    </row>
    <row r="197" spans="2:2">
      <c r="B197" s="55"/>
    </row>
    <row r="198" spans="2:2">
      <c r="B198" s="55"/>
    </row>
    <row r="199" spans="2:2">
      <c r="B199" s="55"/>
    </row>
    <row r="200" spans="2:2">
      <c r="B200" s="55"/>
    </row>
  </sheetData>
  <phoneticPr fontId="1"/>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353"/>
  <sheetViews>
    <sheetView workbookViewId="0">
      <pane ySplit="1" topLeftCell="A2" activePane="bottomLeft" state="frozen"/>
      <selection pane="bottomLeft" activeCell="C34" sqref="C34"/>
    </sheetView>
  </sheetViews>
  <sheetFormatPr defaultRowHeight="22.2"/>
  <cols>
    <col min="1" max="1" width="18" style="1" customWidth="1"/>
    <col min="2" max="2" width="30" style="1" customWidth="1"/>
  </cols>
  <sheetData>
    <row r="1" spans="1:2" ht="46.2" customHeight="1">
      <c r="A1" s="3" t="s">
        <v>0</v>
      </c>
      <c r="B1" s="3" t="s">
        <v>1</v>
      </c>
    </row>
    <row r="2" spans="1:2" ht="25.95" customHeight="1">
      <c r="A2">
        <v>9432</v>
      </c>
      <c r="B2" s="4" t="str" cm="1">
        <f t="array" ref="B2">IF($A2="","",IFERROR(_xll.RssMarket($A2,"銘柄名称"),""))</f>
        <v>ＮＴＴ</v>
      </c>
    </row>
    <row r="3" spans="1:27" ht="25.95" customHeight="1">
      <c r="A3">
        <v>9434</v>
      </c>
      <c r="B3" s="4" t="str" cm="1">
        <f t="array" ref="B3">IF($A3="","",IFERROR(_xll.RssMarket($A3,"銘柄名称"),""))</f>
        <v>ソフトバンク</v>
      </c>
      <c r="Q3" s="15"/>
      <c r="R3" s="16"/>
      <c r="S3" s="16"/>
      <c r="V3" s="17"/>
      <c r="W3" s="17"/>
      <c r="Z3" s="16"/>
      <c r="AA3" s="16"/>
    </row>
    <row r="4" spans="1:23" ht="25.95" customHeight="1">
      <c r="A4">
        <v>5803</v>
      </c>
      <c r="B4" s="4" t="str" cm="1">
        <f t="array" ref="B4">IF($A4="","",IFERROR(_xll.RssMarket($A4,"銘柄名称"),""))</f>
        <v>フジクラ</v>
      </c>
      <c r="Q4" s="15"/>
      <c r="R4" s="16"/>
      <c r="S4" s="16"/>
      <c r="V4" s="17"/>
      <c r="W4" s="17"/>
    </row>
    <row r="5" spans="1:27" ht="25.95" customHeight="1">
      <c r="A5">
        <v>5802</v>
      </c>
      <c r="B5" s="4" t="str" cm="1">
        <f t="array" ref="B5">IF($A5="","",IFERROR(_xll.RssMarket($A5,"銘柄名称"),""))</f>
        <v>住友電工</v>
      </c>
      <c r="O5" s="18"/>
      <c r="P5" s="18"/>
      <c r="Q5" s="15"/>
      <c r="R5" s="16"/>
      <c r="S5" s="18"/>
      <c r="T5" s="18"/>
      <c r="U5" s="18"/>
      <c r="V5" s="17"/>
      <c r="W5" s="17"/>
      <c r="Z5" s="16"/>
      <c r="AA5" s="16"/>
    </row>
    <row r="6" spans="1:27" ht="25.95" customHeight="1">
      <c r="A6">
        <v>8729</v>
      </c>
      <c r="B6" s="4" t="str" cm="1">
        <f t="array" ref="B6">IF($A6="","",IFERROR(_xll.RssMarket($A6,"銘柄名称"),""))</f>
        <v>ソニーフィナンシャルグループ</v>
      </c>
      <c r="O6" s="18"/>
      <c r="P6" s="18"/>
      <c r="Q6" s="15"/>
      <c r="R6" s="16"/>
      <c r="S6" s="18"/>
      <c r="T6" s="18"/>
      <c r="U6" s="18"/>
      <c r="V6" s="17"/>
      <c r="W6" s="17"/>
      <c r="Z6" s="16"/>
      <c r="AA6" s="16"/>
    </row>
    <row r="7" spans="1:27" ht="25.95" customHeight="1">
      <c r="A7">
        <v>7201</v>
      </c>
      <c r="B7" s="4" t="str" cm="1">
        <f t="array" ref="B7">IF($A7="","",IFERROR(_xll.RssMarket($A7,"銘柄名称"),""))</f>
        <v>日産自動車</v>
      </c>
      <c r="Q7" s="15"/>
      <c r="R7" s="16"/>
      <c r="S7" s="16"/>
      <c r="V7" s="17"/>
      <c r="W7" s="17"/>
      <c r="Z7" s="16"/>
      <c r="AA7" s="16"/>
    </row>
    <row r="8" spans="1:23" ht="25.95" customHeight="1">
      <c r="A8">
        <v>9984</v>
      </c>
      <c r="B8" s="4" t="str" cm="1">
        <f t="array" ref="B8">IF($A8="","",IFERROR(_xll.RssMarket($A8,"銘柄名称"),""))</f>
        <v>ソフトバンクグループ</v>
      </c>
      <c r="Q8" s="15"/>
      <c r="R8" s="16"/>
      <c r="S8" s="16"/>
      <c r="V8" s="17"/>
      <c r="W8" s="17"/>
    </row>
    <row r="9" spans="1:27" ht="25.95" customHeight="1">
      <c r="A9">
        <v>8306</v>
      </c>
      <c r="B9" s="4" t="str" cm="1">
        <f t="array" ref="B9">IF($A9="","",IFERROR(_xll.RssMarket($A9,"銘柄名称"),""))</f>
        <v>三菱ＵＦＪフィナンシャルＧ</v>
      </c>
      <c r="O9" s="18"/>
      <c r="P9" s="18"/>
      <c r="Q9" s="15"/>
      <c r="R9" s="16"/>
      <c r="S9" s="18"/>
      <c r="T9" s="18"/>
      <c r="U9" s="18"/>
      <c r="V9" s="17"/>
      <c r="W9" s="17"/>
      <c r="Z9" s="16"/>
      <c r="AA9" s="16"/>
    </row>
    <row r="10" spans="1:27" ht="25.95" customHeight="1">
      <c r="A10">
        <v>9501</v>
      </c>
      <c r="B10" s="4" t="str" cm="1">
        <f t="array" ref="B10">IF($A10="","",IFERROR(_xll.RssMarket($A10,"銘柄名称"),""))</f>
        <v>東京電力ＨＤ</v>
      </c>
      <c r="O10" s="18"/>
      <c r="P10" s="18"/>
      <c r="Q10" s="15"/>
      <c r="R10" s="16"/>
      <c r="S10" s="18"/>
      <c r="T10" s="18"/>
      <c r="U10" s="18"/>
      <c r="V10" s="17"/>
      <c r="W10" s="17"/>
      <c r="Z10" s="16"/>
      <c r="AA10" s="16"/>
    </row>
    <row r="11" spans="1:27" ht="25.95" customHeight="1">
      <c r="A11">
        <v>5401</v>
      </c>
      <c r="B11" s="4" t="str" cm="1">
        <f t="array" ref="B11">IF($A11="","",IFERROR(_xll.RssMarket($A11,"銘柄名称"),""))</f>
        <v>日本製鉄</v>
      </c>
      <c r="Q11" s="15"/>
      <c r="R11" s="16"/>
      <c r="S11" s="16"/>
      <c r="V11" s="17"/>
      <c r="W11" s="17"/>
      <c r="Z11" s="16"/>
      <c r="AA11" s="16"/>
    </row>
    <row r="12" spans="1:23" ht="25.95" customHeight="1">
      <c r="A12">
        <v>5801</v>
      </c>
      <c r="B12" s="4" t="str" cm="1">
        <f t="array" ref="B12">IF($A12="","",IFERROR(_xll.RssMarket($A12,"銘柄名称"),""))</f>
        <v>古河電工</v>
      </c>
      <c r="Q12" s="15"/>
      <c r="R12" s="16"/>
      <c r="S12" s="16"/>
      <c r="V12" s="17"/>
      <c r="W12" s="17"/>
    </row>
    <row r="13" spans="1:27" ht="25.95" customHeight="1">
      <c r="A13">
        <v>6758</v>
      </c>
      <c r="B13" s="4" t="str" cm="1">
        <f t="array" ref="B13">IF($A13="","",IFERROR(_xll.RssMarket($A13,"銘柄名称"),""))</f>
        <v>ソニーグループ</v>
      </c>
      <c r="O13" s="18"/>
      <c r="P13" s="18"/>
      <c r="Q13" s="15"/>
      <c r="R13" s="16"/>
      <c r="S13" s="18"/>
      <c r="T13" s="18"/>
      <c r="U13" s="18"/>
      <c r="V13" s="17"/>
      <c r="W13" s="17"/>
      <c r="Z13" s="16"/>
      <c r="AA13" s="16"/>
    </row>
    <row r="14" spans="1:27" ht="25.95" customHeight="1">
      <c r="A14">
        <v>7203</v>
      </c>
      <c r="B14" s="4" t="str" cm="1">
        <f t="array" ref="B14">IF($A14="","",IFERROR(_xll.RssMarket($A14,"銘柄名称"),""))</f>
        <v>トヨタ自動車</v>
      </c>
      <c r="O14" s="18"/>
      <c r="P14" s="18"/>
      <c r="Q14" s="15"/>
      <c r="R14" s="16"/>
      <c r="S14" s="18"/>
      <c r="T14" s="18"/>
      <c r="U14" s="18"/>
      <c r="V14" s="17"/>
      <c r="W14" s="17"/>
      <c r="Z14" s="16"/>
      <c r="AA14" s="16"/>
    </row>
    <row r="15" spans="1:27" ht="25.95" customHeight="1">
      <c r="A15">
        <v>5016</v>
      </c>
      <c r="B15" s="4" t="str" cm="1">
        <f t="array" ref="B15">IF($A15="","",IFERROR(_xll.RssMarket($A15,"銘柄名称"),""))</f>
        <v>ＪＸ金属</v>
      </c>
      <c r="O15" s="18"/>
      <c r="P15" s="18"/>
      <c r="Q15" s="15"/>
      <c r="R15" s="16"/>
      <c r="S15" s="18"/>
      <c r="T15" s="18"/>
      <c r="U15" s="18"/>
      <c r="V15" s="17"/>
      <c r="W15" s="17"/>
      <c r="Z15" s="16"/>
      <c r="AA15" s="16"/>
    </row>
    <row r="16" spans="1:27" ht="25.95" customHeight="1">
      <c r="A16">
        <v>8053</v>
      </c>
      <c r="B16" s="4" t="str" cm="1">
        <f t="array" ref="B16">IF($A16="","",IFERROR(_xll.RssMarket($A16,"銘柄名称"),""))</f>
        <v>住友商事</v>
      </c>
      <c r="O16" s="18"/>
      <c r="P16" s="18"/>
      <c r="Q16" s="15"/>
      <c r="R16" s="16"/>
      <c r="S16" s="18"/>
      <c r="T16" s="18"/>
      <c r="U16" s="18"/>
      <c r="V16" s="17"/>
      <c r="W16" s="17"/>
      <c r="Z16" s="16"/>
      <c r="AA16" s="16"/>
    </row>
    <row r="17" spans="1:27" ht="25.95" customHeight="1">
      <c r="A17" t="s">
        <v>17</v>
      </c>
      <c r="B17" s="4" t="str" cm="1">
        <f t="array" ref="B17">IF($A17="","",IFERROR(_xll.RssMarket($A17,"銘柄名称"),""))</f>
        <v>ＡＲＣＨＩＯＮ</v>
      </c>
      <c r="O17" s="18"/>
      <c r="P17" s="18"/>
      <c r="Q17" s="15"/>
      <c r="R17" s="16"/>
      <c r="S17" s="18"/>
      <c r="T17" s="18"/>
      <c r="U17" s="18"/>
      <c r="V17" s="17"/>
      <c r="W17" s="17"/>
      <c r="Z17" s="16"/>
      <c r="AA17" s="16"/>
    </row>
    <row r="18" spans="1:27" ht="25.95" customHeight="1">
      <c r="A18">
        <v>3350</v>
      </c>
      <c r="B18" s="4" t="str" cm="1">
        <f t="array" ref="B18">IF($A18="","",IFERROR(_xll.RssMarket($A18,"銘柄名称"),""))</f>
        <v>メタプラネット</v>
      </c>
      <c r="Q18" s="15"/>
      <c r="R18" s="16"/>
      <c r="S18" s="16"/>
      <c r="V18" s="17"/>
      <c r="W18" s="17"/>
      <c r="Z18" s="16"/>
      <c r="AA18" s="16"/>
    </row>
    <row r="19" spans="1:27" ht="25.95" customHeight="1">
      <c r="A19">
        <v>6723</v>
      </c>
      <c r="B19" s="4" t="str" cm="1">
        <f t="array" ref="B19">IF($A19="","",IFERROR(_xll.RssMarket($A19,"銘柄名称"),""))</f>
        <v>ルネサスエレクトロニクス</v>
      </c>
      <c r="Q19" s="15"/>
      <c r="R19" s="16"/>
      <c r="S19" s="16"/>
      <c r="V19" s="17"/>
      <c r="W19" s="17"/>
      <c r="Z19" s="16"/>
      <c r="AA19" s="16"/>
    </row>
    <row r="20" spans="1:27" ht="25.95" customHeight="1">
      <c r="A20">
        <v>4689</v>
      </c>
      <c r="B20" s="4" t="str" cm="1">
        <f t="array" ref="B20">IF($A20="","",IFERROR(_xll.RssMarket($A20,"銘柄名称"),""))</f>
        <v>ＬＩＮＥヤフー</v>
      </c>
      <c r="O20" s="18"/>
      <c r="P20" s="18"/>
      <c r="Q20" s="15"/>
      <c r="R20" s="16"/>
      <c r="S20" s="18"/>
      <c r="T20" s="18"/>
      <c r="U20" s="18"/>
      <c r="V20" s="17"/>
      <c r="W20" s="17"/>
      <c r="Z20" s="16"/>
      <c r="AA20" s="16"/>
    </row>
    <row r="21" spans="1:27" ht="25.95" customHeight="1">
      <c r="A21">
        <v>8136</v>
      </c>
      <c r="B21" s="4" t="str" cm="1">
        <f t="array" ref="B21">IF($A21="","",IFERROR(_xll.RssMarket($A21,"銘柄名称"),""))</f>
        <v>サンリオ</v>
      </c>
      <c r="Q21" s="15"/>
      <c r="R21" s="16"/>
      <c r="S21" s="16"/>
      <c r="V21" s="17"/>
      <c r="W21" s="17"/>
      <c r="Z21" s="16"/>
      <c r="AA21" s="16"/>
    </row>
    <row r="22" spans="1:23" ht="25.95" customHeight="1">
      <c r="A22">
        <v>6902</v>
      </c>
      <c r="B22" s="4" t="str" cm="1">
        <f t="array" ref="B22">IF($A22="","",IFERROR(_xll.RssMarket($A22,"銘柄名称"),""))</f>
        <v>デンソー</v>
      </c>
      <c r="O22" s="18"/>
      <c r="P22" s="18"/>
      <c r="Q22" s="15"/>
      <c r="R22" s="16"/>
      <c r="S22" s="18"/>
      <c r="T22" s="18"/>
      <c r="U22" s="18"/>
      <c r="V22" s="17"/>
      <c r="W22" s="17"/>
    </row>
    <row r="23" spans="1:27" ht="25.95" customHeight="1">
      <c r="A23">
        <v>7267</v>
      </c>
      <c r="B23" s="4" t="str" cm="1">
        <f t="array" ref="B23">IF($A23="","",IFERROR(_xll.RssMarket($A23,"銘柄名称"),""))</f>
        <v>本田技研</v>
      </c>
      <c r="O23" s="18"/>
      <c r="P23" s="18"/>
      <c r="Q23" s="15"/>
      <c r="R23" s="16"/>
      <c r="S23" s="18"/>
      <c r="T23" s="18"/>
      <c r="U23" s="18"/>
      <c r="V23" s="17"/>
      <c r="W23" s="17"/>
      <c r="Z23" s="16"/>
      <c r="AA23" s="16"/>
    </row>
    <row r="24" spans="1:27" ht="25.95" customHeight="1">
      <c r="A24">
        <v>7011</v>
      </c>
      <c r="B24" s="4" t="str" cm="1">
        <f t="array" ref="B24">IF($A24="","",IFERROR(_xll.RssMarket($A24,"銘柄名称"),""))</f>
        <v>三菱重工業</v>
      </c>
      <c r="O24" s="18"/>
      <c r="P24" s="18"/>
      <c r="Q24" s="15"/>
      <c r="R24" s="16"/>
      <c r="S24" s="18"/>
      <c r="T24" s="18"/>
      <c r="U24" s="18"/>
      <c r="V24" s="17"/>
      <c r="W24" s="17"/>
      <c r="Z24" s="16"/>
      <c r="AA24" s="16"/>
    </row>
    <row r="25" spans="1:27" ht="25.95" customHeight="1">
      <c r="A25">
        <v>4661</v>
      </c>
      <c r="B25" s="4" t="str" cm="1">
        <f t="array" ref="B25">IF($A25="","",IFERROR(_xll.RssMarket($A25,"銘柄名称"),""))</f>
        <v>オリエンタルランド</v>
      </c>
      <c r="O25" s="18"/>
      <c r="P25" s="18"/>
      <c r="Q25" s="15"/>
      <c r="R25" s="16"/>
      <c r="S25" s="18"/>
      <c r="T25" s="18"/>
      <c r="U25" s="18"/>
      <c r="V25" s="17"/>
      <c r="W25" s="17"/>
      <c r="Z25" s="16"/>
      <c r="AA25" s="16"/>
    </row>
    <row r="26" spans="1:27" ht="25.95" customHeight="1">
      <c r="A26">
        <v>8604</v>
      </c>
      <c r="B26" s="4" t="str" cm="1">
        <f t="array" ref="B26">IF($A26="","",IFERROR(_xll.RssMarket($A26,"銘柄名称"),""))</f>
        <v>野村ホールディングス</v>
      </c>
      <c r="O26" s="18"/>
      <c r="P26" s="18"/>
      <c r="Q26" s="15"/>
      <c r="R26" s="16"/>
      <c r="S26" s="18"/>
      <c r="T26" s="18"/>
      <c r="U26" s="18"/>
      <c r="V26" s="17"/>
      <c r="W26" s="17"/>
      <c r="Z26" s="16"/>
      <c r="AA26" s="16"/>
    </row>
    <row r="27" spans="1:27" ht="25.95" customHeight="1">
      <c r="A27">
        <v>6762</v>
      </c>
      <c r="B27" s="4" t="str" cm="1">
        <f t="array" ref="B27">IF($A27="","",IFERROR(_xll.RssMarket($A27,"銘柄名称"),""))</f>
        <v>ＴＤＫ</v>
      </c>
      <c r="O27" s="18"/>
      <c r="P27" s="18"/>
      <c r="Q27" s="15"/>
      <c r="R27" s="16"/>
      <c r="S27" s="18"/>
      <c r="T27" s="18"/>
      <c r="U27" s="18"/>
      <c r="V27" s="17"/>
      <c r="W27" s="17"/>
      <c r="Z27" s="16"/>
      <c r="AA27" s="16"/>
    </row>
    <row r="28" spans="1:27" ht="25.95" customHeight="1">
      <c r="A28">
        <v>6501</v>
      </c>
      <c r="B28" s="4" t="str" cm="1">
        <f t="array" ref="B28">IF($A28="","",IFERROR(_xll.RssMarket($A28,"銘柄名称"),""))</f>
        <v>日立</v>
      </c>
      <c r="O28" s="18"/>
      <c r="P28" s="18"/>
      <c r="Q28" s="15"/>
      <c r="R28" s="16"/>
      <c r="S28" s="18"/>
      <c r="T28" s="18"/>
      <c r="U28" s="18"/>
      <c r="V28" s="17"/>
      <c r="W28" s="17"/>
      <c r="Z28" s="16"/>
      <c r="AA28" s="16"/>
    </row>
    <row r="29" spans="1:27" ht="25.95" customHeight="1">
      <c r="A29">
        <v>4063</v>
      </c>
      <c r="B29" s="4" t="str" cm="1">
        <f t="array" ref="B29">IF($A29="","",IFERROR(_xll.RssMarket($A29,"銘柄名称"),""))</f>
        <v>信越化学</v>
      </c>
      <c r="O29" s="18"/>
      <c r="P29" s="18"/>
      <c r="Q29" s="15"/>
      <c r="R29" s="16"/>
      <c r="S29" s="18"/>
      <c r="T29" s="18"/>
      <c r="U29" s="18"/>
      <c r="V29" s="17"/>
      <c r="W29" s="17"/>
      <c r="Z29" s="16"/>
      <c r="AA29" s="16"/>
    </row>
    <row r="30" spans="1:27" ht="25.95" customHeight="1">
      <c r="A30">
        <v>4568</v>
      </c>
      <c r="B30" s="4" t="str" cm="1">
        <f t="array" ref="B30">IF($A30="","",IFERROR(_xll.RssMarket($A30,"銘柄名称"),""))</f>
        <v>第一三共</v>
      </c>
      <c r="O30" s="18"/>
      <c r="P30" s="18"/>
      <c r="Q30" s="15"/>
      <c r="R30" s="16"/>
      <c r="S30" s="18"/>
      <c r="T30" s="18"/>
      <c r="U30" s="18"/>
      <c r="V30" s="17"/>
      <c r="W30" s="17"/>
      <c r="Z30" s="16"/>
      <c r="AA30" s="16"/>
    </row>
    <row r="31" spans="1:27" ht="25.95" customHeight="1">
      <c r="A31">
        <v>8001</v>
      </c>
      <c r="B31" s="4" t="str" cm="1">
        <f t="array" ref="B31">IF($A31="","",IFERROR(_xll.RssMarket($A31,"銘柄名称"),""))</f>
        <v>伊藤忠</v>
      </c>
      <c r="O31" s="18"/>
      <c r="P31" s="18"/>
      <c r="Q31" s="15"/>
      <c r="R31" s="16"/>
      <c r="S31" s="18"/>
      <c r="T31" s="18"/>
      <c r="U31" s="18"/>
      <c r="V31" s="17"/>
      <c r="W31" s="17"/>
      <c r="Z31" s="16"/>
      <c r="AA31" s="16"/>
    </row>
    <row r="32" spans="1:27" ht="25.95" customHeight="1">
      <c r="A32">
        <v>6857</v>
      </c>
      <c r="B32" s="4" t="str" cm="1">
        <f t="array" ref="B32">IF($A32="","",IFERROR(_xll.RssMarket($A32,"銘柄名称"),""))</f>
        <v>アドバンテスト</v>
      </c>
      <c r="O32" s="18"/>
      <c r="P32" s="18"/>
      <c r="Q32" s="15"/>
      <c r="R32" s="16"/>
      <c r="S32" s="18"/>
      <c r="T32" s="18"/>
      <c r="U32" s="18"/>
      <c r="V32" s="17"/>
      <c r="W32" s="17"/>
      <c r="Z32" s="16"/>
      <c r="AA32" s="16"/>
    </row>
    <row r="33" spans="1:27" ht="25.95" customHeight="1">
      <c r="A33">
        <v>7974</v>
      </c>
      <c r="B33" s="4" t="str" cm="1">
        <f t="array" ref="B33">IF($A33="","",IFERROR(_xll.RssMarket($A33,"銘柄名称"),""))</f>
        <v>任天堂</v>
      </c>
      <c r="O33" s="18"/>
      <c r="P33" s="18"/>
      <c r="Q33" s="15"/>
      <c r="R33" s="16"/>
      <c r="S33" s="18"/>
      <c r="T33" s="18"/>
      <c r="U33" s="18"/>
      <c r="V33" s="17"/>
      <c r="W33" s="17"/>
      <c r="Z33" s="16"/>
      <c r="AA33" s="16"/>
    </row>
    <row r="34" spans="1:27" ht="25.95" customHeight="1">
      <c r="A34">
        <v>8309</v>
      </c>
      <c r="B34" s="4" t="str" cm="1">
        <f t="array" ref="B34">IF($A34="","",IFERROR(_xll.RssMarket($A34,"銘柄名称"),""))</f>
        <v>三井住友トラストグルー</v>
      </c>
      <c r="O34" s="18"/>
      <c r="P34" s="18"/>
      <c r="Q34" s="15"/>
      <c r="R34" s="16"/>
      <c r="S34" s="18"/>
      <c r="T34" s="18"/>
      <c r="U34" s="18"/>
      <c r="V34" s="17"/>
      <c r="W34" s="17"/>
      <c r="Z34" s="16"/>
      <c r="AA34" s="16"/>
    </row>
    <row r="35" spans="1:27" ht="25.95" customHeight="1">
      <c r="A35">
        <v>4755</v>
      </c>
      <c r="B35" s="4" t="str" cm="1">
        <f t="array" ref="B35">IF($A35="","",IFERROR(_xll.RssMarket($A35,"銘柄名称"),""))</f>
        <v>楽天グループ</v>
      </c>
      <c r="O35" s="18"/>
      <c r="P35" s="18"/>
      <c r="Q35" s="15"/>
      <c r="R35" s="16"/>
      <c r="S35" s="18"/>
      <c r="T35" s="18"/>
      <c r="U35" s="18"/>
      <c r="V35" s="17"/>
      <c r="W35" s="17"/>
      <c r="Z35" s="16"/>
      <c r="AA35" s="16"/>
    </row>
    <row r="36" spans="1:23" ht="25.95" customHeight="1">
      <c r="A36">
        <v>6702</v>
      </c>
      <c r="B36" s="4" t="str" cm="1">
        <f t="array" ref="B36">IF($A36="","",IFERROR(_xll.RssMarket($A36,"銘柄名称"),""))</f>
        <v>富士通</v>
      </c>
      <c r="Q36" s="15"/>
      <c r="R36" s="16"/>
      <c r="S36" s="16"/>
      <c r="V36" s="17"/>
      <c r="W36" s="17"/>
    </row>
    <row r="37" spans="1:27" ht="25.95" customHeight="1">
      <c r="A37">
        <v>8316</v>
      </c>
      <c r="B37" s="4" t="str" cm="1">
        <f t="array" ref="B37">IF($A37="","",IFERROR(_xll.RssMarket($A37,"銘柄名称"),""))</f>
        <v>三井住友フィナンシャルＧ</v>
      </c>
      <c r="O37" s="18"/>
      <c r="P37" s="18"/>
      <c r="Q37" s="15"/>
      <c r="R37" s="16"/>
      <c r="S37" s="18"/>
      <c r="T37" s="18"/>
      <c r="U37" s="18"/>
      <c r="V37" s="17"/>
      <c r="W37" s="17"/>
      <c r="Z37" s="16"/>
      <c r="AA37" s="16"/>
    </row>
    <row r="38" spans="1:23" ht="25.95" customHeight="1">
      <c r="A38">
        <v>6526</v>
      </c>
      <c r="B38" s="4" t="str" cm="1">
        <f t="array" ref="B38">IF($A38="","",IFERROR(_xll.RssMarket($A38,"銘柄名称"),""))</f>
        <v>ソシオネクスト</v>
      </c>
      <c r="O38" s="18"/>
      <c r="P38" s="18"/>
      <c r="Q38" s="15"/>
      <c r="R38" s="16"/>
      <c r="S38" s="18"/>
      <c r="T38" s="18"/>
      <c r="U38" s="18"/>
      <c r="V38" s="17"/>
      <c r="W38" s="17"/>
    </row>
    <row r="39" spans="1:27" ht="25.95" customHeight="1">
      <c r="A39">
        <v>7013</v>
      </c>
      <c r="B39" s="4" t="str" cm="1">
        <f t="array" ref="B39">IF($A39="","",IFERROR(_xll.RssMarket($A39,"銘柄名称"),""))</f>
        <v>ＩＨＩ</v>
      </c>
      <c r="O39" s="18"/>
      <c r="P39" s="18"/>
      <c r="Q39" s="15"/>
      <c r="R39" s="16"/>
      <c r="S39" s="18"/>
      <c r="T39" s="18"/>
      <c r="U39" s="18"/>
      <c r="V39" s="17"/>
      <c r="W39" s="17"/>
      <c r="Z39" s="16"/>
      <c r="AA39" s="16"/>
    </row>
    <row r="40" spans="1:27" ht="25.95" customHeight="1">
      <c r="A40">
        <v>4005</v>
      </c>
      <c r="B40" s="4" t="str" cm="1">
        <f t="array" ref="B40">IF($A40="","",IFERROR(_xll.RssMarket($A40,"銘柄名称"),""))</f>
        <v>住友化学</v>
      </c>
      <c r="O40" s="18"/>
      <c r="P40" s="18"/>
      <c r="Q40" s="15"/>
      <c r="R40" s="16"/>
      <c r="S40" s="18"/>
      <c r="T40" s="18"/>
      <c r="U40" s="18"/>
      <c r="V40" s="17"/>
      <c r="W40" s="17"/>
      <c r="Z40" s="16"/>
      <c r="AA40" s="16"/>
    </row>
    <row r="41" spans="1:27" ht="25.95" customHeight="1">
      <c r="A41">
        <v>4188</v>
      </c>
      <c r="B41" s="4" t="str" cm="1">
        <f t="array" ref="B41">IF($A41="","",IFERROR(_xll.RssMarket($A41,"銘柄名称"),""))</f>
        <v>三菱ケミカルグループ</v>
      </c>
      <c r="Q41" s="15"/>
      <c r="R41" s="16"/>
      <c r="S41" s="16"/>
      <c r="V41" s="17"/>
      <c r="W41" s="17"/>
      <c r="Z41" s="16"/>
      <c r="AA41" s="16"/>
    </row>
    <row r="42" spans="1:27" ht="25.95" customHeight="1">
      <c r="A42">
        <v>8035</v>
      </c>
      <c r="B42" s="4" t="str" cm="1">
        <f t="array" ref="B42">IF($A42="","",IFERROR(_xll.RssMarket($A42,"銘柄名称"),""))</f>
        <v>東京エレクトロン</v>
      </c>
      <c r="O42" s="18"/>
      <c r="P42" s="18"/>
      <c r="Q42" s="15"/>
      <c r="R42" s="16"/>
      <c r="S42" s="18"/>
      <c r="T42" s="18"/>
      <c r="U42" s="18"/>
      <c r="V42" s="17"/>
      <c r="W42" s="17"/>
      <c r="Z42" s="16"/>
      <c r="AA42" s="16"/>
    </row>
    <row r="43" spans="1:27" ht="25.95" customHeight="1">
      <c r="A43">
        <v>8411</v>
      </c>
      <c r="B43" s="4" t="str" cm="1">
        <f t="array" ref="B43">IF($A43="","",IFERROR(_xll.RssMarket($A43,"銘柄名称"),""))</f>
        <v>みずほフィナンシャルＧ</v>
      </c>
      <c r="O43" s="18"/>
      <c r="P43" s="18"/>
      <c r="Q43" s="15"/>
      <c r="R43" s="16"/>
      <c r="S43" s="18"/>
      <c r="T43" s="18"/>
      <c r="U43" s="18"/>
      <c r="V43" s="17"/>
      <c r="W43" s="17"/>
      <c r="Z43" s="16"/>
      <c r="AA43" s="16"/>
    </row>
    <row r="44" spans="1:27" ht="25.95" customHeight="1">
      <c r="A44">
        <v>3436</v>
      </c>
      <c r="B44" s="4" t="str" cm="1">
        <f t="array" ref="B44">IF($A44="","",IFERROR(_xll.RssMarket($A44,"銘柄名称"),""))</f>
        <v>ＳＵＭＣＯ</v>
      </c>
      <c r="O44" s="18"/>
      <c r="P44" s="18"/>
      <c r="Q44" s="15"/>
      <c r="R44" s="16"/>
      <c r="S44" s="18"/>
      <c r="T44" s="18"/>
      <c r="U44" s="18"/>
      <c r="V44" s="17"/>
      <c r="W44" s="17"/>
      <c r="Z44" s="16"/>
      <c r="AA44" s="16"/>
    </row>
    <row r="45" spans="1:27" ht="25.95" customHeight="1">
      <c r="A45">
        <v>9433</v>
      </c>
      <c r="B45" s="4" t="str" cm="1">
        <f t="array" ref="B45">IF($A45="","",IFERROR(_xll.RssMarket($A45,"銘柄名称"),""))</f>
        <v>ＫＤＤＩ</v>
      </c>
      <c r="O45" s="18"/>
      <c r="P45" s="18"/>
      <c r="Q45" s="15"/>
      <c r="R45" s="16"/>
      <c r="S45" s="18"/>
      <c r="T45" s="18"/>
      <c r="U45" s="18"/>
      <c r="V45" s="17"/>
      <c r="W45" s="17"/>
      <c r="Z45" s="16"/>
      <c r="AA45" s="16"/>
    </row>
    <row r="46" spans="1:27" ht="25.95" customHeight="1">
      <c r="A46">
        <v>7532</v>
      </c>
      <c r="B46" s="4" t="str" cm="1">
        <f t="array" ref="B46">IF($A46="","",IFERROR(_xll.RssMarket($A46,"銘柄名称"),""))</f>
        <v>パンパシフィックＨＤ</v>
      </c>
      <c r="O46" s="18"/>
      <c r="P46" s="18"/>
      <c r="Q46" s="15"/>
      <c r="R46" s="16"/>
      <c r="S46" s="18"/>
      <c r="T46" s="18"/>
      <c r="U46" s="18"/>
      <c r="V46" s="17"/>
      <c r="W46" s="17"/>
      <c r="Z46" s="16"/>
      <c r="AA46" s="16"/>
    </row>
    <row r="47" spans="1:27" ht="25.95" customHeight="1">
      <c r="A47">
        <v>8267</v>
      </c>
      <c r="B47" s="4" t="str" cm="1">
        <f t="array" ref="B47">IF($A47="","",IFERROR(_xll.RssMarket($A47,"銘柄名称"),""))</f>
        <v>イオン</v>
      </c>
      <c r="Q47" s="15"/>
      <c r="R47" s="16"/>
      <c r="S47" s="16"/>
      <c r="V47" s="17"/>
      <c r="W47" s="17"/>
      <c r="Z47" s="16"/>
      <c r="AA47" s="16"/>
    </row>
    <row r="48" spans="1:27" ht="25.95" customHeight="1">
      <c r="A48">
        <v>7012</v>
      </c>
      <c r="B48" s="4" t="str" cm="1">
        <f t="array" ref="B48">IF($A48="","",IFERROR(_xll.RssMarket($A48,"銘柄名称"),""))</f>
        <v>川崎重工業</v>
      </c>
      <c r="O48" s="18"/>
      <c r="P48" s="18"/>
      <c r="Q48" s="15"/>
      <c r="R48" s="16"/>
      <c r="S48" s="18"/>
      <c r="T48" s="18"/>
      <c r="U48" s="18"/>
      <c r="V48" s="17"/>
      <c r="W48" s="17"/>
      <c r="Z48" s="16"/>
      <c r="AA48" s="16"/>
    </row>
    <row r="49" spans="1:27" ht="25.95" customHeight="1">
      <c r="A49">
        <v>8303</v>
      </c>
      <c r="B49" s="4" t="str" cm="1">
        <f t="array" ref="B49">IF($A49="","",IFERROR(_xll.RssMarket($A49,"銘柄名称"),""))</f>
        <v>ＳＢＩ新生銀行</v>
      </c>
      <c r="O49" s="18"/>
      <c r="P49" s="18"/>
      <c r="Q49" s="15"/>
      <c r="R49" s="16"/>
      <c r="S49" s="18"/>
      <c r="T49" s="18"/>
      <c r="U49" s="18"/>
      <c r="V49" s="17"/>
      <c r="W49" s="17"/>
      <c r="Z49" s="16"/>
      <c r="AA49" s="16"/>
    </row>
    <row r="50" spans="1:27" ht="25.95" customHeight="1">
      <c r="A50">
        <v>3407</v>
      </c>
      <c r="B50" s="4" t="str" cm="1">
        <f t="array" ref="B50">IF($A50="","",IFERROR(_xll.RssMarket($A50,"銘柄名称"),""))</f>
        <v>旭化成</v>
      </c>
      <c r="O50" s="18"/>
      <c r="P50" s="18"/>
      <c r="Q50" s="15"/>
      <c r="R50" s="16"/>
      <c r="S50" s="18"/>
      <c r="T50" s="18"/>
      <c r="U50" s="18"/>
      <c r="V50" s="17"/>
      <c r="W50" s="17"/>
      <c r="Z50" s="16"/>
      <c r="AA50" s="16"/>
    </row>
    <row r="51" spans="1:27" ht="25.95" customHeight="1">
      <c r="A51">
        <v>8308</v>
      </c>
      <c r="B51" s="4" t="str" cm="1">
        <f t="array" ref="B51">IF($A51="","",IFERROR(_xll.RssMarket($A51,"銘柄名称"),""))</f>
        <v>りそなホールディングス</v>
      </c>
      <c r="O51" s="18"/>
      <c r="P51" s="18"/>
      <c r="Q51" s="15"/>
      <c r="R51" s="16"/>
      <c r="S51" s="18"/>
      <c r="T51" s="18"/>
      <c r="U51" s="18"/>
      <c r="V51" s="17"/>
      <c r="W51" s="17"/>
      <c r="Z51" s="16"/>
      <c r="AA51" s="16"/>
    </row>
    <row r="52" spans="1:27" ht="25.95" customHeight="1">
      <c r="A52">
        <v>2914</v>
      </c>
      <c r="B52" s="4" t="str" cm="1">
        <f t="array" ref="B52">IF($A52="","",IFERROR(_xll.RssMarket($A52,"銘柄名称"),""))</f>
        <v>日本たばこ産業</v>
      </c>
      <c r="O52" s="18"/>
      <c r="P52" s="18"/>
      <c r="Q52" s="15"/>
      <c r="R52" s="16"/>
      <c r="S52" s="18"/>
      <c r="T52" s="18"/>
      <c r="U52" s="18"/>
      <c r="V52" s="17"/>
      <c r="W52" s="17"/>
      <c r="Z52" s="16"/>
      <c r="AA52" s="16"/>
    </row>
    <row r="53" spans="1:27" ht="25.95" customHeight="1">
      <c r="A53">
        <v>8473</v>
      </c>
      <c r="B53" s="4" t="str" cm="1">
        <f t="array" ref="B53">IF($A53="","",IFERROR(_xll.RssMarket($A53,"銘柄名称"),""))</f>
        <v>ＳＢＩホールディングス</v>
      </c>
      <c r="O53" s="18"/>
      <c r="P53" s="18"/>
      <c r="Q53" s="15"/>
      <c r="R53" s="16"/>
      <c r="S53" s="18"/>
      <c r="T53" s="18"/>
      <c r="U53" s="18"/>
      <c r="V53" s="17"/>
      <c r="W53" s="17"/>
      <c r="Z53" s="16"/>
      <c r="AA53" s="16"/>
    </row>
    <row r="54" spans="1:27" ht="25.95" customHeight="1">
      <c r="A54">
        <v>3231</v>
      </c>
      <c r="B54" s="4" t="str" cm="1">
        <f t="array" ref="B54">IF($A54="","",IFERROR(_xll.RssMarket($A54,"銘柄名称"),""))</f>
        <v>野村不動産ＨＬＤＧＳ</v>
      </c>
      <c r="O54" s="18"/>
      <c r="P54" s="18"/>
      <c r="Q54" s="15"/>
      <c r="R54" s="16"/>
      <c r="S54" s="18"/>
      <c r="T54" s="18"/>
      <c r="U54" s="18"/>
      <c r="V54" s="17"/>
      <c r="W54" s="17"/>
      <c r="Z54" s="16"/>
      <c r="AA54" s="16"/>
    </row>
    <row r="55" spans="1:27" ht="25.95" customHeight="1">
      <c r="A55">
        <v>4902</v>
      </c>
      <c r="B55" s="4" t="str" cm="1">
        <f t="array" ref="B55">IF($A55="","",IFERROR(_xll.RssMarket($A55,"銘柄名称"),""))</f>
        <v>コニカミノルタ</v>
      </c>
      <c r="Q55" s="15"/>
      <c r="R55" s="16"/>
      <c r="S55" s="16"/>
      <c r="V55" s="17"/>
      <c r="W55" s="17"/>
      <c r="Z55" s="16"/>
      <c r="AA55" s="16"/>
    </row>
    <row r="56" spans="1:27" ht="25.95" customHeight="1">
      <c r="A56">
        <v>6701</v>
      </c>
      <c r="B56" s="4" t="str" cm="1">
        <f t="array" ref="B56">IF($A56="","",IFERROR(_xll.RssMarket($A56,"銘柄名称"),""))</f>
        <v>日本電気</v>
      </c>
      <c r="Q56" s="15"/>
      <c r="R56" s="16"/>
      <c r="S56" s="16"/>
      <c r="V56" s="17"/>
      <c r="W56" s="17"/>
      <c r="Z56" s="16"/>
      <c r="AA56" s="16"/>
    </row>
    <row r="57" spans="1:27" ht="25.95" customHeight="1">
      <c r="A57">
        <v>7182</v>
      </c>
      <c r="B57" s="4" t="str" cm="1">
        <f t="array" ref="B57">IF($A57="","",IFERROR(_xll.RssMarket($A57,"銘柄名称"),""))</f>
        <v>ゆうちょ銀行</v>
      </c>
      <c r="O57" s="18"/>
      <c r="P57" s="18"/>
      <c r="Q57" s="15"/>
      <c r="R57" s="16"/>
      <c r="S57" s="18"/>
      <c r="T57" s="18"/>
      <c r="U57" s="18"/>
      <c r="V57" s="17"/>
      <c r="W57" s="17"/>
      <c r="Z57" s="16"/>
      <c r="AA57" s="16"/>
    </row>
    <row r="58" spans="1:27" ht="25.95" customHeight="1">
      <c r="A58">
        <v>7211</v>
      </c>
      <c r="B58" s="4" t="str" cm="1">
        <f t="array" ref="B58">IF($A58="","",IFERROR(_xll.RssMarket($A58,"銘柄名称"),""))</f>
        <v>三菱自動車工業</v>
      </c>
      <c r="O58" s="18"/>
      <c r="P58" s="18"/>
      <c r="Q58" s="15"/>
      <c r="R58" s="16"/>
      <c r="S58" s="18"/>
      <c r="T58" s="18"/>
      <c r="U58" s="18"/>
      <c r="V58" s="17"/>
      <c r="W58" s="17"/>
      <c r="Z58" s="16"/>
      <c r="AA58" s="16"/>
    </row>
    <row r="59" spans="1:23" ht="25.95" customHeight="1">
      <c r="A59">
        <v>8801</v>
      </c>
      <c r="B59" s="4" t="str" cm="1">
        <f t="array" ref="B59">IF($A59="","",IFERROR(_xll.RssMarket($A59,"銘柄名称"),""))</f>
        <v>三井不動産</v>
      </c>
      <c r="Q59" s="15"/>
      <c r="R59" s="16"/>
      <c r="S59" s="16"/>
      <c r="V59" s="17"/>
      <c r="W59" s="17"/>
    </row>
    <row r="60" spans="1:27" ht="25.95" customHeight="1">
      <c r="A60">
        <v>6971</v>
      </c>
      <c r="B60" s="4" t="str" cm="1">
        <f t="array" ref="B60">IF($A60="","",IFERROR(_xll.RssMarket($A60,"銘柄名称"),""))</f>
        <v>京セラ</v>
      </c>
      <c r="O60" s="18"/>
      <c r="P60" s="18"/>
      <c r="Q60" s="15"/>
      <c r="R60" s="16"/>
      <c r="S60" s="18"/>
      <c r="T60" s="18"/>
      <c r="U60" s="18"/>
      <c r="V60" s="17"/>
      <c r="W60" s="17"/>
      <c r="Z60" s="16"/>
      <c r="AA60" s="16"/>
    </row>
    <row r="61" spans="1:23" ht="25.95" customHeight="1">
      <c r="A61">
        <v>6503</v>
      </c>
      <c r="B61" s="4" t="str" cm="1">
        <f t="array" ref="B61">IF($A61="","",IFERROR(_xll.RssMarket($A61,"銘柄名称"),""))</f>
        <v>三菱電機</v>
      </c>
      <c r="O61" s="18"/>
      <c r="P61" s="18"/>
      <c r="Q61" s="15"/>
      <c r="R61" s="16"/>
      <c r="S61" s="18"/>
      <c r="T61" s="18"/>
      <c r="U61" s="18"/>
      <c r="V61" s="17"/>
      <c r="W61" s="17"/>
    </row>
    <row r="62" spans="1:27" ht="25.95" customHeight="1">
      <c r="A62">
        <v>8410</v>
      </c>
      <c r="B62" s="4" t="str" cm="1">
        <f t="array" ref="B62">IF($A62="","",IFERROR(_xll.RssMarket($A62,"銘柄名称"),""))</f>
        <v>セブン銀行</v>
      </c>
      <c r="O62" s="18"/>
      <c r="P62" s="18"/>
      <c r="Q62" s="15"/>
      <c r="R62" s="16"/>
      <c r="S62" s="18"/>
      <c r="T62" s="18"/>
      <c r="U62" s="18"/>
      <c r="V62" s="17"/>
      <c r="W62" s="17"/>
      <c r="Z62" s="16"/>
      <c r="AA62" s="16"/>
    </row>
    <row r="63" spans="1:27" ht="25.95" customHeight="1">
      <c r="A63">
        <v>2181</v>
      </c>
      <c r="B63" s="4" t="str" cm="1">
        <f t="array" ref="B63">IF($A63="","",IFERROR(_xll.RssMarket($A63,"銘柄名称"),""))</f>
        <v>パーソルホールディングス</v>
      </c>
      <c r="Q63" s="15"/>
      <c r="R63" s="16"/>
      <c r="S63" s="16"/>
      <c r="V63" s="17"/>
      <c r="W63" s="17"/>
      <c r="Z63" s="16"/>
      <c r="AA63" s="16"/>
    </row>
    <row r="64" spans="1:27" ht="25.95" customHeight="1">
      <c r="A64">
        <v>5020</v>
      </c>
      <c r="B64" s="4" t="str" cm="1">
        <f t="array" ref="B64">IF($A64="","",IFERROR(_xll.RssMarket($A64,"銘柄名称"),""))</f>
        <v>ＥＮＥＯＳホールディングス</v>
      </c>
      <c r="Q64" s="15"/>
      <c r="R64" s="16"/>
      <c r="S64" s="16"/>
      <c r="V64" s="17"/>
      <c r="W64" s="17"/>
      <c r="Z64" s="16"/>
      <c r="AA64" s="16"/>
    </row>
    <row r="65" spans="1:27" ht="25.95" customHeight="1">
      <c r="A65">
        <v>2502</v>
      </c>
      <c r="B65" s="4" t="str" cm="1">
        <f t="array" ref="B65">IF($A65="","",IFERROR(_xll.RssMarket($A65,"銘柄名称"),""))</f>
        <v>アサヒグループホールディン</v>
      </c>
      <c r="O65" s="18"/>
      <c r="P65" s="18"/>
      <c r="Q65" s="15"/>
      <c r="R65" s="16"/>
      <c r="S65" s="18"/>
      <c r="T65" s="18"/>
      <c r="U65" s="18"/>
      <c r="V65" s="17"/>
      <c r="W65" s="17"/>
      <c r="Z65" s="16"/>
      <c r="AA65" s="16"/>
    </row>
    <row r="66" spans="1:27" ht="25.95" customHeight="1">
      <c r="A66">
        <v>6954</v>
      </c>
      <c r="B66" s="4" t="str" cm="1">
        <f t="array" ref="B66">IF($A66="","",IFERROR(_xll.RssMarket($A66,"銘柄名称"),""))</f>
        <v>ファナック</v>
      </c>
      <c r="O66" s="18"/>
      <c r="P66" s="18"/>
      <c r="Q66" s="15"/>
      <c r="R66" s="16"/>
      <c r="S66" s="18"/>
      <c r="T66" s="18"/>
      <c r="U66" s="18"/>
      <c r="V66" s="17"/>
      <c r="W66" s="17"/>
      <c r="Z66" s="16"/>
      <c r="AA66" s="16"/>
    </row>
    <row r="67" spans="1:27" ht="25.95" customHeight="1">
      <c r="A67">
        <v>2127</v>
      </c>
      <c r="B67" s="4" t="str" cm="1">
        <f t="array" ref="B67">IF($A67="","",IFERROR(_xll.RssMarket($A67,"銘柄名称"),""))</f>
        <v>日本Ｍ＆Ａセンターホールデ</v>
      </c>
      <c r="O67" s="18"/>
      <c r="P67" s="18"/>
      <c r="Q67" s="15"/>
      <c r="R67" s="16"/>
      <c r="S67" s="18"/>
      <c r="T67" s="18"/>
      <c r="U67" s="18"/>
      <c r="V67" s="17"/>
      <c r="W67" s="17"/>
      <c r="Z67" s="16"/>
      <c r="AA67" s="16"/>
    </row>
    <row r="68" spans="1:27" ht="25.95" customHeight="1">
      <c r="A68">
        <v>8058</v>
      </c>
      <c r="B68" s="4" t="str" cm="1">
        <f t="array" ref="B68">IF($A68="","",IFERROR(_xll.RssMarket($A68,"銘柄名称"),""))</f>
        <v>三菱商事</v>
      </c>
      <c r="Q68" s="15"/>
      <c r="R68" s="16"/>
      <c r="S68" s="16"/>
      <c r="V68" s="17"/>
      <c r="W68" s="17"/>
      <c r="Z68" s="16"/>
      <c r="AA68" s="16"/>
    </row>
    <row r="69" spans="1:27" ht="25.95" customHeight="1">
      <c r="A69">
        <v>3382</v>
      </c>
      <c r="B69" s="4" t="str" cm="1">
        <f t="array" ref="B69">IF($A69="","",IFERROR(_xll.RssMarket($A69,"銘柄名称"),""))</f>
        <v>セブン＆アイ・ＨＬＤＧＳ</v>
      </c>
      <c r="O69" s="18"/>
      <c r="P69" s="18"/>
      <c r="Q69" s="15"/>
      <c r="R69" s="16"/>
      <c r="S69" s="18"/>
      <c r="T69" s="18"/>
      <c r="U69" s="18"/>
      <c r="V69" s="17"/>
      <c r="W69" s="17"/>
      <c r="Z69" s="16"/>
      <c r="AA69" s="16"/>
    </row>
    <row r="70" spans="1:27" ht="25.95" customHeight="1">
      <c r="A70">
        <v>8750</v>
      </c>
      <c r="B70" s="4" t="str" cm="1">
        <f t="array" ref="B70">IF($A70="","",IFERROR(_xll.RssMarket($A70,"銘柄名称"),""))</f>
        <v>第一ライフグループ</v>
      </c>
      <c r="O70" s="18"/>
      <c r="P70" s="18"/>
      <c r="Q70" s="15"/>
      <c r="R70" s="16"/>
      <c r="S70" s="18"/>
      <c r="T70" s="18"/>
      <c r="U70" s="18"/>
      <c r="V70" s="17"/>
      <c r="W70" s="17"/>
      <c r="Z70" s="16"/>
      <c r="AA70" s="16"/>
    </row>
    <row r="71" spans="1:27" ht="25.95" customHeight="1">
      <c r="A71">
        <v>7269</v>
      </c>
      <c r="B71" s="4" t="str" cm="1">
        <f t="array" ref="B71">IF($A71="","",IFERROR(_xll.RssMarket($A71,"銘柄名称"),""))</f>
        <v>スズキ</v>
      </c>
      <c r="O71" s="18"/>
      <c r="P71" s="18"/>
      <c r="Q71" s="15"/>
      <c r="R71" s="16"/>
      <c r="S71" s="18"/>
      <c r="T71" s="18"/>
      <c r="U71" s="18"/>
      <c r="V71" s="17"/>
      <c r="W71" s="17"/>
      <c r="Z71" s="16"/>
      <c r="AA71" s="16"/>
    </row>
    <row r="72" spans="1:27" ht="25.95" customHeight="1">
      <c r="A72">
        <v>7751</v>
      </c>
      <c r="B72" s="4" t="str" cm="1">
        <f t="array" ref="B72">IF($A72="","",IFERROR(_xll.RssMarket($A72,"銘柄名称"),""))</f>
        <v>キヤノン</v>
      </c>
      <c r="O72" s="18"/>
      <c r="P72" s="18"/>
      <c r="Q72" s="15"/>
      <c r="R72" s="16"/>
      <c r="S72" s="18"/>
      <c r="T72" s="18"/>
      <c r="U72" s="18"/>
      <c r="V72" s="17"/>
      <c r="W72" s="17"/>
      <c r="Z72" s="16"/>
      <c r="AA72" s="16"/>
    </row>
    <row r="73" spans="1:27" ht="25.95" customHeight="1">
      <c r="A73">
        <v>8113</v>
      </c>
      <c r="B73" s="4" t="str" cm="1">
        <f t="array" ref="B73">IF($A73="","",IFERROR(_xll.RssMarket($A73,"銘柄名称"),""))</f>
        <v>ユニ・チヤ－ム</v>
      </c>
      <c r="O73" s="18"/>
      <c r="P73" s="18"/>
      <c r="Q73" s="15"/>
      <c r="R73" s="16"/>
      <c r="S73" s="18"/>
      <c r="T73" s="18"/>
      <c r="U73" s="18"/>
      <c r="V73" s="17"/>
      <c r="W73" s="17"/>
      <c r="Z73" s="16"/>
      <c r="AA73" s="16"/>
    </row>
    <row r="74" spans="1:27" ht="25.95" customHeight="1">
      <c r="A74">
        <v>7735</v>
      </c>
      <c r="B74" s="4" t="str" cm="1">
        <f t="array" ref="B74">IF($A74="","",IFERROR(_xll.RssMarket($A74,"銘柄名称"),""))</f>
        <v>ＳＣＲＥＥＮホールディングス</v>
      </c>
      <c r="O74" s="18"/>
      <c r="P74" s="18"/>
      <c r="Q74" s="15"/>
      <c r="R74" s="16"/>
      <c r="S74" s="16"/>
      <c r="T74" s="18"/>
      <c r="U74" s="18"/>
      <c r="V74" s="17"/>
      <c r="W74" s="17"/>
      <c r="Z74" s="16"/>
      <c r="AA74" s="16"/>
    </row>
    <row r="75" spans="1:27" ht="25.95" customHeight="1">
      <c r="A75">
        <v>6506</v>
      </c>
      <c r="B75" s="4" t="str" cm="1">
        <f t="array" ref="B75">IF($A75="","",IFERROR(_xll.RssMarket($A75,"銘柄名称"),""))</f>
        <v>安川電機</v>
      </c>
      <c r="O75" s="18"/>
      <c r="P75" s="18"/>
      <c r="Q75" s="15"/>
      <c r="R75" s="16"/>
      <c r="S75" s="18"/>
      <c r="T75" s="18"/>
      <c r="U75" s="18"/>
      <c r="V75" s="17"/>
      <c r="W75" s="17"/>
      <c r="Z75" s="16"/>
      <c r="AA75" s="16"/>
    </row>
    <row r="76" spans="1:27" ht="25.95" customHeight="1">
      <c r="A76">
        <v>6963</v>
      </c>
      <c r="B76" s="4" t="str" cm="1">
        <f t="array" ref="B76">IF($A76="","",IFERROR(_xll.RssMarket($A76,"銘柄名称"),""))</f>
        <v>ローム</v>
      </c>
      <c r="O76" s="18"/>
      <c r="P76" s="18"/>
      <c r="Q76" s="15"/>
      <c r="R76" s="16"/>
      <c r="S76" s="18"/>
      <c r="T76" s="18"/>
      <c r="U76" s="18"/>
      <c r="V76" s="17"/>
      <c r="W76" s="17"/>
      <c r="Z76" s="16"/>
      <c r="AA76" s="16"/>
    </row>
    <row r="77" spans="1:27" ht="25.95" customHeight="1">
      <c r="A77">
        <v>3697</v>
      </c>
      <c r="B77" s="4" t="str" cm="1">
        <f t="array" ref="B77">IF($A77="","",IFERROR(_xll.RssMarket($A77,"銘柄名称"),""))</f>
        <v>ＳＨＩＦＴ</v>
      </c>
      <c r="O77" s="18"/>
      <c r="P77" s="18"/>
      <c r="Q77" s="15"/>
      <c r="R77" s="16"/>
      <c r="S77" s="18"/>
      <c r="T77" s="18"/>
      <c r="U77" s="18"/>
      <c r="V77" s="17"/>
      <c r="W77" s="17"/>
      <c r="Z77" s="16"/>
      <c r="AA77" s="16"/>
    </row>
    <row r="78" spans="1:23" ht="25.95" customHeight="1">
      <c r="A78">
        <v>6315</v>
      </c>
      <c r="B78" s="4" t="str" cm="1">
        <f t="array" ref="B78">IF($A78="","",IFERROR(_xll.RssMarket($A78,"銘柄名称"),""))</f>
        <v>ＴＯＷＡ</v>
      </c>
      <c r="Q78" s="15"/>
      <c r="R78" s="16"/>
      <c r="S78" s="16"/>
      <c r="V78" s="17"/>
      <c r="W78" s="17"/>
    </row>
    <row r="79" spans="1:27" ht="25.95" customHeight="1">
      <c r="A79">
        <v>4503</v>
      </c>
      <c r="B79" s="4" t="str" cm="1">
        <f t="array" ref="B79">IF($A79="","",IFERROR(_xll.RssMarket($A79,"銘柄名称"),""))</f>
        <v>アステラス製薬</v>
      </c>
      <c r="O79" s="18"/>
      <c r="P79" s="18"/>
      <c r="Q79" s="15"/>
      <c r="R79" s="16"/>
      <c r="S79" s="18"/>
      <c r="T79" s="18"/>
      <c r="U79" s="18"/>
      <c r="V79" s="17"/>
      <c r="W79" s="17"/>
      <c r="Z79" s="16"/>
      <c r="AA79" s="16"/>
    </row>
    <row r="80" spans="1:27" ht="25.95" customHeight="1">
      <c r="A80">
        <v>2146</v>
      </c>
      <c r="B80" s="4" t="str" cm="1">
        <f t="array" ref="B80">IF($A80="","",IFERROR(_xll.RssMarket($A80,"銘柄名称"),""))</f>
        <v>ＵＴグループ</v>
      </c>
      <c r="O80" s="18"/>
      <c r="P80" s="18"/>
      <c r="Q80" s="15"/>
      <c r="R80" s="16"/>
      <c r="S80" s="18"/>
      <c r="T80" s="18"/>
      <c r="U80" s="18"/>
      <c r="V80" s="17"/>
      <c r="W80" s="17"/>
      <c r="Z80" s="16"/>
      <c r="AA80" s="16"/>
    </row>
    <row r="81" spans="1:27" ht="25.95" customHeight="1">
      <c r="A81">
        <v>3861</v>
      </c>
      <c r="B81" s="4" t="str" cm="1">
        <f t="array" ref="B81">IF($A81="","",IFERROR(_xll.RssMarket($A81,"銘柄名称"),""))</f>
        <v>王子ホールディングス</v>
      </c>
      <c r="Q81" s="15"/>
      <c r="R81" s="16"/>
      <c r="S81" s="16"/>
      <c r="V81" s="17"/>
      <c r="W81" s="17"/>
      <c r="Z81" s="16"/>
      <c r="AA81" s="16"/>
    </row>
    <row r="82" spans="1:27" ht="25.95" customHeight="1">
      <c r="A82">
        <v>5411</v>
      </c>
      <c r="B82" s="4" t="str" cm="1">
        <f t="array" ref="B82">IF($A82="","",IFERROR(_xll.RssMarket($A82,"銘柄名称"),""))</f>
        <v>ＪＦＥホールディングス</v>
      </c>
      <c r="Q82" s="15"/>
      <c r="R82" s="16"/>
      <c r="S82" s="16"/>
      <c r="V82" s="17"/>
      <c r="W82" s="17"/>
      <c r="Z82" s="16"/>
      <c r="AA82" s="16"/>
    </row>
    <row r="83" spans="1:27" ht="25.95" customHeight="1">
      <c r="A83">
        <v>7261</v>
      </c>
      <c r="B83" s="4" t="str" cm="1">
        <f t="array" ref="B83">IF($A83="","",IFERROR(_xll.RssMarket($A83,"銘柄名称"),""))</f>
        <v>マツダ</v>
      </c>
      <c r="O83" s="18"/>
      <c r="P83" s="18"/>
      <c r="Q83" s="15"/>
      <c r="R83" s="16"/>
      <c r="S83" s="18"/>
      <c r="T83" s="18"/>
      <c r="U83" s="18"/>
      <c r="V83" s="17"/>
      <c r="W83" s="17"/>
      <c r="Z83" s="16"/>
      <c r="AA83" s="16"/>
    </row>
    <row r="84" spans="1:27" ht="25.95" customHeight="1">
      <c r="A84">
        <v>8601</v>
      </c>
      <c r="B84" s="4" t="str" cm="1">
        <f t="array" ref="B84">IF($A84="","",IFERROR(_xll.RssMarket($A84,"銘柄名称"),""))</f>
        <v>大和証券Ｇ本社</v>
      </c>
      <c r="O84" s="18"/>
      <c r="P84" s="18"/>
      <c r="Q84" s="15"/>
      <c r="R84" s="16"/>
      <c r="S84" s="18"/>
      <c r="T84" s="18"/>
      <c r="U84" s="18"/>
      <c r="V84" s="17"/>
      <c r="W84" s="17"/>
      <c r="Z84" s="16"/>
      <c r="AA84" s="16"/>
    </row>
    <row r="85" spans="1:27" ht="25.95" customHeight="1">
      <c r="A85">
        <v>6471</v>
      </c>
      <c r="B85" s="4" t="str" cm="1">
        <f t="array" ref="B85">IF($A85="","",IFERROR(_xll.RssMarket($A85,"銘柄名称"),""))</f>
        <v>日本精工</v>
      </c>
      <c r="O85" s="18"/>
      <c r="P85" s="18"/>
      <c r="Q85" s="15"/>
      <c r="R85" s="16"/>
      <c r="S85" s="18"/>
      <c r="T85" s="18"/>
      <c r="U85" s="18"/>
      <c r="V85" s="17"/>
      <c r="W85" s="17"/>
      <c r="Z85" s="16"/>
      <c r="AA85" s="16"/>
    </row>
    <row r="86" spans="1:27" ht="25.95" customHeight="1">
      <c r="A86">
        <v>2413</v>
      </c>
      <c r="B86" s="4" t="str" cm="1">
        <f t="array" ref="B86">IF($A86="","",IFERROR(_xll.RssMarket($A86,"銘柄名称"),""))</f>
        <v>エムスリー</v>
      </c>
      <c r="O86" s="18"/>
      <c r="P86" s="18"/>
      <c r="Q86" s="15"/>
      <c r="R86" s="16"/>
      <c r="S86" s="18"/>
      <c r="T86" s="18"/>
      <c r="U86" s="18"/>
      <c r="V86" s="17"/>
      <c r="W86" s="17"/>
      <c r="Z86" s="16"/>
      <c r="AA86" s="16"/>
    </row>
    <row r="87" spans="1:27" ht="25.95" customHeight="1">
      <c r="A87">
        <v>4502</v>
      </c>
      <c r="B87" s="4" t="str" cm="1">
        <f t="array" ref="B87">IF($A87="","",IFERROR(_xll.RssMarket($A87,"銘柄名称"),""))</f>
        <v>武田薬品</v>
      </c>
      <c r="O87" s="18"/>
      <c r="P87" s="18"/>
      <c r="Q87" s="15"/>
      <c r="R87" s="16"/>
      <c r="S87" s="18"/>
      <c r="T87" s="18"/>
      <c r="U87" s="18"/>
      <c r="V87" s="17"/>
      <c r="W87" s="17"/>
      <c r="Z87" s="16"/>
      <c r="AA87" s="16"/>
    </row>
    <row r="88" spans="1:27" ht="25.95" customHeight="1">
      <c r="A88">
        <v>4307</v>
      </c>
      <c r="B88" s="4" t="str" cm="1">
        <f t="array" ref="B88">IF($A88="","",IFERROR(_xll.RssMarket($A88,"銘柄名称"),""))</f>
        <v>野村総合研究所</v>
      </c>
      <c r="O88" s="18"/>
      <c r="P88" s="18"/>
      <c r="Q88" s="15"/>
      <c r="R88" s="16"/>
      <c r="S88" s="18"/>
      <c r="T88" s="18"/>
      <c r="U88" s="18"/>
      <c r="V88" s="17"/>
      <c r="W88" s="17"/>
      <c r="Z88" s="16"/>
      <c r="AA88" s="16"/>
    </row>
    <row r="89" spans="1:27" ht="25.95" customHeight="1">
      <c r="A89">
        <v>3110</v>
      </c>
      <c r="B89" s="4" t="str" cm="1">
        <f t="array" ref="B89">IF($A89="","",IFERROR(_xll.RssMarket($A89,"銘柄名称"),""))</f>
        <v>日東紡績</v>
      </c>
      <c r="O89" s="18"/>
      <c r="P89" s="18"/>
      <c r="Q89" s="15"/>
      <c r="R89" s="16"/>
      <c r="S89" s="18"/>
      <c r="T89" s="18"/>
      <c r="U89" s="18"/>
      <c r="V89" s="17"/>
      <c r="W89" s="17"/>
      <c r="Z89" s="16"/>
      <c r="AA89" s="16"/>
    </row>
    <row r="90" spans="1:27" ht="25.95" customHeight="1">
      <c r="A90">
        <v>8593</v>
      </c>
      <c r="B90" s="4" t="str" cm="1">
        <f t="array" ref="B90">IF($A90="","",IFERROR(_xll.RssMarket($A90,"銘柄名称"),""))</f>
        <v>三菱ＨＣキャピタル</v>
      </c>
      <c r="O90" s="18"/>
      <c r="P90" s="18"/>
      <c r="Q90" s="15"/>
      <c r="R90" s="16"/>
      <c r="S90" s="18"/>
      <c r="T90" s="18"/>
      <c r="U90" s="18"/>
      <c r="V90" s="17"/>
      <c r="W90" s="17"/>
      <c r="Z90" s="16"/>
      <c r="AA90" s="16"/>
    </row>
    <row r="91" spans="1:27" ht="25.95" customHeight="1">
      <c r="A91">
        <v>1942</v>
      </c>
      <c r="B91" s="4" t="str" cm="1">
        <f t="array" ref="B91">IF($A91="","",IFERROR(_xll.RssMarket($A91,"銘柄名称"),""))</f>
        <v>関電工</v>
      </c>
      <c r="O91" s="18"/>
      <c r="P91" s="18"/>
      <c r="Q91" s="15"/>
      <c r="R91" s="16"/>
      <c r="S91" s="18"/>
      <c r="T91" s="18"/>
      <c r="U91" s="18"/>
      <c r="V91" s="17"/>
      <c r="W91" s="17"/>
      <c r="Z91" s="16"/>
      <c r="AA91" s="16"/>
    </row>
    <row r="92" spans="1:27" ht="25.95" customHeight="1">
      <c r="A92">
        <v>2802</v>
      </c>
      <c r="B92" s="4" t="str" cm="1">
        <f t="array" ref="B92">IF($A92="","",IFERROR(_xll.RssMarket($A92,"銘柄名称"),""))</f>
        <v>味の素</v>
      </c>
      <c r="O92" s="18"/>
      <c r="P92" s="18"/>
      <c r="Q92" s="15"/>
      <c r="R92" s="16"/>
      <c r="S92" s="18"/>
      <c r="T92" s="18"/>
      <c r="U92" s="18"/>
      <c r="V92" s="17"/>
      <c r="W92" s="17"/>
      <c r="Z92" s="16"/>
      <c r="AA92" s="16"/>
    </row>
    <row r="93" spans="1:27" ht="25.95" customHeight="1">
      <c r="A93">
        <v>7259</v>
      </c>
      <c r="B93" s="4" t="str" cm="1">
        <f t="array" ref="B93">IF($A93="","",IFERROR(_xll.RssMarket($A93,"銘柄名称"),""))</f>
        <v>アイシン</v>
      </c>
      <c r="O93" s="18"/>
      <c r="P93" s="18"/>
      <c r="Q93" s="15"/>
      <c r="R93" s="16"/>
      <c r="S93" s="18"/>
      <c r="T93" s="18"/>
      <c r="U93" s="18"/>
      <c r="V93" s="17"/>
      <c r="W93" s="17"/>
      <c r="Z93" s="16"/>
      <c r="AA93" s="16"/>
    </row>
    <row r="94" spans="1:27" ht="25.95" customHeight="1">
      <c r="A94">
        <v>6178</v>
      </c>
      <c r="B94" s="4" t="str" cm="1">
        <f t="array" ref="B94">IF($A94="","",IFERROR(_xll.RssMarket($A94,"銘柄名称"),""))</f>
        <v>日本郵政</v>
      </c>
      <c r="O94" s="18"/>
      <c r="P94" s="18"/>
      <c r="Q94" s="15"/>
      <c r="R94" s="16"/>
      <c r="S94" s="18"/>
      <c r="T94" s="18"/>
      <c r="U94" s="18"/>
      <c r="V94" s="17"/>
      <c r="W94" s="17"/>
      <c r="Z94" s="16"/>
      <c r="AA94" s="16"/>
    </row>
    <row r="95" spans="1:27" ht="25.95" customHeight="1">
      <c r="A95">
        <v>7272</v>
      </c>
      <c r="B95" s="4" t="str" cm="1">
        <f t="array" ref="B95">IF($A95="","",IFERROR(_xll.RssMarket($A95,"銘柄名称"),""))</f>
        <v>ヤマハ発動機</v>
      </c>
      <c r="O95" s="18"/>
      <c r="P95" s="18"/>
      <c r="Q95" s="15"/>
      <c r="R95" s="16"/>
      <c r="S95" s="18"/>
      <c r="T95" s="18"/>
      <c r="U95" s="18"/>
      <c r="V95" s="17"/>
      <c r="W95" s="17"/>
      <c r="Z95" s="16"/>
      <c r="AA95" s="16"/>
    </row>
    <row r="96" spans="1:27" ht="25.95" customHeight="1">
      <c r="A96">
        <v>8697</v>
      </c>
      <c r="B96" s="4" t="str" cm="1">
        <f t="array" ref="B96">IF($A96="","",IFERROR(_xll.RssMarket($A96,"銘柄名称"),""))</f>
        <v>日本取引所グループ</v>
      </c>
      <c r="O96" s="18"/>
      <c r="P96" s="18"/>
      <c r="Q96" s="15"/>
      <c r="R96" s="16"/>
      <c r="S96" s="18"/>
      <c r="T96" s="18"/>
      <c r="U96" s="18"/>
      <c r="V96" s="17"/>
      <c r="W96" s="17"/>
      <c r="Z96" s="16"/>
      <c r="AA96" s="16"/>
    </row>
    <row r="97" spans="1:27" ht="25.95" customHeight="1">
      <c r="A97">
        <v>6920</v>
      </c>
      <c r="B97" s="4" t="str" cm="1">
        <f t="array" ref="B97">IF($A97="","",IFERROR(_xll.RssMarket($A97,"銘柄名称"),""))</f>
        <v>レーザーテック</v>
      </c>
      <c r="O97" s="18"/>
      <c r="P97" s="18"/>
      <c r="Q97" s="15"/>
      <c r="R97" s="16"/>
      <c r="S97" s="18"/>
      <c r="T97" s="18"/>
      <c r="U97" s="18"/>
      <c r="V97" s="17"/>
      <c r="W97" s="17"/>
      <c r="Z97" s="16"/>
      <c r="AA97" s="16"/>
    </row>
    <row r="98" spans="1:27" ht="25.95" customHeight="1">
      <c r="A98">
        <v>1803</v>
      </c>
      <c r="B98" s="4" t="str" cm="1">
        <f t="array" ref="B98">IF($A98="","",IFERROR(_xll.RssMarket($A98,"銘柄名称"),""))</f>
        <v>清水建設</v>
      </c>
      <c r="O98" s="18"/>
      <c r="P98" s="18"/>
      <c r="Q98" s="15"/>
      <c r="R98" s="16"/>
      <c r="S98" s="18"/>
      <c r="T98" s="18"/>
      <c r="U98" s="18"/>
      <c r="V98" s="17"/>
      <c r="W98" s="17"/>
      <c r="Z98" s="16"/>
      <c r="AA98" s="16"/>
    </row>
    <row r="99" spans="1:27" ht="25.95" customHeight="1">
      <c r="A99">
        <v>8031</v>
      </c>
      <c r="B99" s="4" t="str" cm="1">
        <f t="array" ref="B99">IF($A99="","",IFERROR(_xll.RssMarket($A99,"銘柄名称"),""))</f>
        <v>三井物産</v>
      </c>
      <c r="O99" s="18"/>
      <c r="P99" s="18"/>
      <c r="Q99" s="15"/>
      <c r="R99" s="16"/>
      <c r="S99" s="18"/>
      <c r="T99" s="18"/>
      <c r="U99" s="18"/>
      <c r="V99" s="17"/>
      <c r="W99" s="17"/>
      <c r="Z99" s="16"/>
      <c r="AA99" s="16"/>
    </row>
    <row r="100" spans="1:27" ht="25.95" customHeight="1">
      <c r="A100">
        <v>6472</v>
      </c>
      <c r="B100" s="4" t="str" cm="1">
        <f t="array" ref="B100">IF($A100="","",IFERROR(_xll.RssMarket($A100,"銘柄名称"),""))</f>
        <v>ＮＴＮ</v>
      </c>
      <c r="O100" s="18"/>
      <c r="P100" s="18"/>
      <c r="Q100" s="15"/>
      <c r="R100" s="16"/>
      <c r="S100" s="18"/>
      <c r="T100" s="18"/>
      <c r="U100" s="18"/>
      <c r="V100" s="17"/>
      <c r="W100" s="17"/>
      <c r="Z100" s="16"/>
      <c r="AA100" s="16"/>
    </row>
    <row r="101" spans="1:27" ht="25.95" customHeight="1">
      <c r="A101">
        <v>5938</v>
      </c>
      <c r="B101" s="4" t="str" cm="1">
        <f t="array" ref="B101">IF($A101="","",IFERROR(_xll.RssMarket($A101,"銘柄名称"),""))</f>
        <v>ＬＩＸＩＬ</v>
      </c>
      <c r="Q101" s="15"/>
      <c r="R101" s="16"/>
      <c r="S101" s="16"/>
      <c r="V101" s="17"/>
      <c r="W101" s="17"/>
      <c r="Z101" s="16"/>
      <c r="AA101" s="16"/>
    </row>
    <row r="102" spans="2:27" ht="25.95" customHeight="1">
      <c r="B102" s="4"/>
      <c r="O102" s="18"/>
      <c r="P102" s="18"/>
      <c r="Q102" s="15"/>
      <c r="R102" s="16"/>
      <c r="S102" s="18"/>
      <c r="T102" s="18"/>
      <c r="U102" s="18"/>
      <c r="V102" s="17"/>
      <c r="W102" s="17"/>
      <c r="Z102" s="16"/>
      <c r="AA102" s="16"/>
    </row>
    <row r="103" spans="2:2" ht="25.95" customHeight="1">
      <c r="B103" s="4"/>
    </row>
    <row r="104" spans="2:2" ht="25.95" customHeight="1">
      <c r="B104" s="4"/>
    </row>
    <row r="105" spans="2:2" ht="25.95" customHeight="1">
      <c r="B105" s="4"/>
    </row>
    <row r="106" spans="2:2" ht="25.95" customHeight="1">
      <c r="B106" s="4"/>
    </row>
    <row r="107" spans="2:2" ht="25.95" customHeight="1">
      <c r="B107" s="4"/>
    </row>
    <row r="108" spans="2:2" ht="25.95" customHeight="1">
      <c r="B108" s="4"/>
    </row>
    <row r="109" spans="2:2" ht="25.95" customHeight="1">
      <c r="B109" s="4"/>
    </row>
    <row r="110" spans="2:2" ht="25.95" customHeight="1">
      <c r="B110" s="4"/>
    </row>
    <row r="111" spans="2:2" ht="25.95" customHeight="1">
      <c r="B111" s="4"/>
    </row>
    <row r="112" spans="2:2" ht="25.95" customHeight="1">
      <c r="B112" s="4"/>
    </row>
    <row r="113" spans="2:2" ht="25.95" customHeight="1">
      <c r="B113" s="4"/>
    </row>
    <row r="114" spans="2:2" ht="25.95" customHeight="1">
      <c r="B114" s="4"/>
    </row>
    <row r="115" spans="2:2" ht="25.95" customHeight="1">
      <c r="B115" s="4"/>
    </row>
    <row r="116" spans="2:2" ht="25.95" customHeight="1">
      <c r="B116" s="4"/>
    </row>
    <row r="117" spans="2:2" ht="25.95" customHeight="1">
      <c r="B117" s="4"/>
    </row>
    <row r="118" spans="2:2" ht="25.95" customHeight="1">
      <c r="B118" s="4"/>
    </row>
    <row r="119" spans="2:2" ht="25.95" customHeight="1">
      <c r="B119" s="4"/>
    </row>
    <row r="120" spans="2:2" ht="25.95" customHeight="1">
      <c r="B120" s="4"/>
    </row>
    <row r="121" spans="2:2" ht="25.95" customHeight="1">
      <c r="B121" s="4"/>
    </row>
    <row r="122" spans="2:2" ht="25.95" customHeight="1">
      <c r="B122" s="4"/>
    </row>
    <row r="123" spans="2:2" ht="25.95" customHeight="1">
      <c r="B123" s="4"/>
    </row>
    <row r="124" spans="2:2" ht="25.95" customHeight="1">
      <c r="B124" s="4"/>
    </row>
    <row r="125" spans="2:2" ht="25.95" customHeight="1">
      <c r="B125" s="4"/>
    </row>
    <row r="126" spans="2:2" ht="25.95" customHeight="1">
      <c r="B126" s="4"/>
    </row>
    <row r="127" spans="2:2" ht="25.95" customHeight="1">
      <c r="B127" s="4"/>
    </row>
    <row r="128" spans="2:2" ht="25.95" customHeight="1">
      <c r="B128" s="4"/>
    </row>
    <row r="129" spans="2:2" ht="25.95" customHeight="1">
      <c r="B129" s="4"/>
    </row>
    <row r="130" spans="2:2" ht="25.95" customHeight="1">
      <c r="B130" s="4"/>
    </row>
    <row r="131" spans="2:2" ht="25.95" customHeight="1">
      <c r="B131" s="4"/>
    </row>
    <row r="132" spans="2:2" ht="25.95" customHeight="1">
      <c r="B132" s="4"/>
    </row>
    <row r="133" spans="2:2" ht="25.95" customHeight="1">
      <c r="B133" s="4"/>
    </row>
    <row r="134" spans="2:2" ht="25.95" customHeight="1">
      <c r="B134" s="4"/>
    </row>
    <row r="135" spans="2:2" ht="25.95" customHeight="1">
      <c r="B135" s="4"/>
    </row>
    <row r="136" spans="2:2" ht="25.95" customHeight="1">
      <c r="B136" s="4"/>
    </row>
    <row r="137" spans="2:2" ht="25.95" customHeight="1">
      <c r="B137" s="4"/>
    </row>
    <row r="138" spans="2:2" ht="25.95" customHeight="1">
      <c r="B138" s="4"/>
    </row>
    <row r="139" spans="2:2" ht="25.95" customHeight="1">
      <c r="B139" s="4"/>
    </row>
    <row r="140" spans="2:2" ht="25.95" customHeight="1">
      <c r="B140" s="4"/>
    </row>
    <row r="141" spans="2:2" ht="25.95" customHeight="1">
      <c r="B141" s="4"/>
    </row>
    <row r="142" spans="2:2" ht="25.95" customHeight="1">
      <c r="B142" s="4"/>
    </row>
    <row r="143" spans="2:2" ht="25.95" customHeight="1">
      <c r="B143" s="4"/>
    </row>
    <row r="144" spans="2:2" ht="25.95" customHeight="1">
      <c r="B144" s="4"/>
    </row>
    <row r="145" spans="2:2" ht="25.95" customHeight="1">
      <c r="B145" s="4"/>
    </row>
    <row r="146" spans="2:2" ht="25.95" customHeight="1">
      <c r="B146" s="4"/>
    </row>
    <row r="147" spans="2:2" ht="25.95" customHeight="1">
      <c r="B147" s="4"/>
    </row>
    <row r="148" spans="2:2" ht="25.95" customHeight="1">
      <c r="B148" s="4"/>
    </row>
    <row r="149" spans="2:2" ht="25.95" customHeight="1">
      <c r="B149" s="4"/>
    </row>
    <row r="150" spans="2:2" ht="25.95" customHeight="1">
      <c r="B150" s="4"/>
    </row>
    <row r="151" spans="2:2" ht="25.95" customHeight="1">
      <c r="B151" s="4"/>
    </row>
    <row r="152" spans="2:2" ht="25.95" customHeight="1">
      <c r="B152" s="4"/>
    </row>
    <row r="153" spans="2:2" ht="25.95" customHeight="1">
      <c r="B153" s="4"/>
    </row>
    <row r="154" spans="2:2" ht="25.95" customHeight="1">
      <c r="B154" s="4"/>
    </row>
    <row r="155" spans="2:2" ht="25.95" customHeight="1">
      <c r="B155" s="4"/>
    </row>
    <row r="156" spans="2:2" ht="25.95" customHeight="1">
      <c r="B156" s="4"/>
    </row>
    <row r="157" spans="2:2" ht="25.95" customHeight="1">
      <c r="B157" s="4"/>
    </row>
    <row r="158" spans="2:2" ht="25.95" customHeight="1">
      <c r="B158" s="4"/>
    </row>
    <row r="159" spans="2:2" ht="25.95" customHeight="1">
      <c r="B159" s="4"/>
    </row>
    <row r="160" spans="2:2" ht="25.95" customHeight="1">
      <c r="B160" s="4"/>
    </row>
    <row r="161" spans="2:2" ht="25.95" customHeight="1">
      <c r="B161" s="4"/>
    </row>
    <row r="162" spans="2:2" ht="25.95" customHeight="1">
      <c r="B162" s="4"/>
    </row>
    <row r="163" spans="2:2" ht="25.95" customHeight="1">
      <c r="B163" s="4"/>
    </row>
    <row r="164" spans="2:2" ht="25.95" customHeight="1">
      <c r="B164" s="4"/>
    </row>
    <row r="165" spans="2:2" ht="25.95" customHeight="1">
      <c r="B165" s="4"/>
    </row>
    <row r="166" spans="2:2" ht="25.95" customHeight="1">
      <c r="B166" s="4"/>
    </row>
    <row r="167" spans="2:2" ht="25.95" customHeight="1">
      <c r="B167" s="4"/>
    </row>
    <row r="168" spans="2:2" ht="25.95" customHeight="1">
      <c r="B168" s="4"/>
    </row>
    <row r="169" spans="2:2" ht="25.95" customHeight="1">
      <c r="B169" s="4"/>
    </row>
    <row r="170" spans="2:2" ht="25.95" customHeight="1">
      <c r="B170" s="4"/>
    </row>
    <row r="171" spans="2:2" ht="25.95" customHeight="1">
      <c r="B171" s="4"/>
    </row>
    <row r="172" spans="2:2" ht="25.95" customHeight="1">
      <c r="B172" s="4"/>
    </row>
    <row r="173" spans="2:2" ht="25.95" customHeight="1">
      <c r="B173" s="4"/>
    </row>
    <row r="174" spans="2:2" ht="25.95" customHeight="1">
      <c r="B174" s="4"/>
    </row>
    <row r="175" spans="2:2" ht="25.95" customHeight="1">
      <c r="B175" s="4"/>
    </row>
    <row r="176" spans="2:2" ht="25.95" customHeight="1">
      <c r="B176" s="4"/>
    </row>
    <row r="177" spans="2:2" ht="25.95" customHeight="1">
      <c r="B177" s="4"/>
    </row>
    <row r="178" spans="2:2" ht="25.95" customHeight="1">
      <c r="B178" s="4"/>
    </row>
    <row r="179" spans="2:2" ht="25.95" customHeight="1">
      <c r="B179" s="4"/>
    </row>
    <row r="180" spans="1:2" ht="25.95" customHeight="1">
      <c r="A180" s="4"/>
      <c r="B180" s="4"/>
    </row>
    <row r="181" spans="1:2" ht="25.95" customHeight="1">
      <c r="A181" s="4"/>
      <c r="B181" s="4"/>
    </row>
    <row r="182" spans="1:2" ht="25.95" customHeight="1">
      <c r="A182" s="4"/>
      <c r="B182" s="4"/>
    </row>
    <row r="183" spans="1:2" ht="25.95" customHeight="1">
      <c r="A183" s="4"/>
      <c r="B183" s="4"/>
    </row>
    <row r="184" spans="1:2" ht="25.95" customHeight="1">
      <c r="A184" s="4"/>
      <c r="B184" s="4"/>
    </row>
    <row r="185" spans="1:2" ht="25.95" customHeight="1">
      <c r="A185" s="4"/>
      <c r="B185" s="4"/>
    </row>
    <row r="186" spans="1:2" ht="25.95" customHeight="1">
      <c r="A186" s="4"/>
      <c r="B186" s="4"/>
    </row>
    <row r="187" spans="1:2" ht="25.95" customHeight="1">
      <c r="A187" s="4"/>
      <c r="B187" s="4"/>
    </row>
    <row r="188" spans="1:2" ht="25.95" customHeight="1">
      <c r="A188" s="4"/>
      <c r="B188" s="4"/>
    </row>
    <row r="189" spans="1:2" ht="25.95" customHeight="1">
      <c r="A189" s="4"/>
      <c r="B189" s="4"/>
    </row>
    <row r="190" spans="1:2" ht="25.95" customHeight="1">
      <c r="A190" s="4"/>
      <c r="B190" s="4"/>
    </row>
    <row r="191" spans="1:2" ht="25.95" customHeight="1">
      <c r="A191" s="4"/>
      <c r="B191" s="4"/>
    </row>
    <row r="192" spans="1:2" ht="25.95" customHeight="1">
      <c r="A192" s="4"/>
      <c r="B192" s="4"/>
    </row>
    <row r="193" spans="1:2" ht="25.95" customHeight="1">
      <c r="A193" s="4"/>
      <c r="B193" s="4"/>
    </row>
    <row r="194" spans="1:2" ht="25.95" customHeight="1">
      <c r="A194" s="4"/>
      <c r="B194" s="4"/>
    </row>
    <row r="195" spans="1:2" ht="25.95" customHeight="1">
      <c r="A195" s="4"/>
      <c r="B195" s="4"/>
    </row>
    <row r="196" spans="1:2" ht="25.95" customHeight="1">
      <c r="A196" s="4"/>
      <c r="B196" s="4"/>
    </row>
    <row r="197" spans="1:2" ht="25.95" customHeight="1">
      <c r="A197" s="4"/>
      <c r="B197" s="4"/>
    </row>
    <row r="198" spans="1:2" ht="25.95" customHeight="1">
      <c r="A198" s="4"/>
      <c r="B198" s="4"/>
    </row>
    <row r="199" spans="1:2" ht="25.95" customHeight="1">
      <c r="A199" s="4"/>
      <c r="B199" s="4"/>
    </row>
    <row r="200" spans="1:2" ht="25.95" customHeight="1">
      <c r="A200" s="4"/>
      <c r="B200" s="4"/>
    </row>
    <row r="201" spans="1:2" ht="25.95" customHeight="1">
      <c r="A201" s="4"/>
      <c r="B201" s="4"/>
    </row>
    <row r="202" spans="1:2" ht="25.95" customHeight="1">
      <c r="A202" s="4"/>
      <c r="B202" s="4"/>
    </row>
    <row r="203" spans="1:2" ht="25.95" customHeight="1">
      <c r="A203" s="4"/>
      <c r="B203" s="4"/>
    </row>
    <row r="204" spans="1:2" ht="25.95" customHeight="1">
      <c r="A204" s="4"/>
      <c r="B204" s="4"/>
    </row>
    <row r="205" spans="1:2" ht="25.95" customHeight="1">
      <c r="A205" s="4"/>
      <c r="B205" s="4"/>
    </row>
    <row r="206" spans="1:2" ht="25.95" customHeight="1">
      <c r="A206" s="4"/>
      <c r="B206" s="4"/>
    </row>
    <row r="207" spans="1:2" ht="25.95" customHeight="1">
      <c r="A207" s="4"/>
      <c r="B207" s="4"/>
    </row>
    <row r="208" spans="1:2" ht="25.95" customHeight="1">
      <c r="A208" s="4"/>
      <c r="B208" s="4"/>
    </row>
    <row r="209" spans="1:2" ht="25.95" customHeight="1">
      <c r="A209" s="4"/>
      <c r="B209" s="4"/>
    </row>
    <row r="210" spans="1:2" ht="25.95" customHeight="1">
      <c r="A210" s="4"/>
      <c r="B210" s="4"/>
    </row>
    <row r="211" spans="1:2" ht="25.95" customHeight="1">
      <c r="A211" s="4"/>
      <c r="B211" s="4"/>
    </row>
    <row r="212" spans="1:2" ht="25.95" customHeight="1">
      <c r="A212" s="4"/>
      <c r="B212" s="4"/>
    </row>
    <row r="213" spans="1:2" ht="25.95" customHeight="1">
      <c r="A213" s="4"/>
      <c r="B213" s="4"/>
    </row>
    <row r="214" spans="1:2" ht="25.95" customHeight="1">
      <c r="A214" s="4"/>
      <c r="B214" s="4"/>
    </row>
    <row r="215" spans="1:2" ht="25.95" customHeight="1">
      <c r="A215" s="4"/>
      <c r="B215" s="4"/>
    </row>
    <row r="216" spans="1:2" ht="25.95" customHeight="1">
      <c r="A216" s="4"/>
      <c r="B216" s="4"/>
    </row>
    <row r="217" spans="1:2" ht="25.95" customHeight="1">
      <c r="A217" s="4"/>
      <c r="B217" s="4"/>
    </row>
    <row r="218" spans="1:2" ht="25.95" customHeight="1">
      <c r="A218" s="4"/>
      <c r="B218" s="4"/>
    </row>
    <row r="219" spans="1:2" ht="25.95" customHeight="1">
      <c r="A219" s="4"/>
      <c r="B219" s="4"/>
    </row>
    <row r="220" spans="1:2" ht="25.95" customHeight="1">
      <c r="A220" s="4"/>
      <c r="B220" s="4"/>
    </row>
    <row r="221" spans="1:2" ht="25.95" customHeight="1">
      <c r="A221" s="4"/>
      <c r="B221" s="4"/>
    </row>
    <row r="222" spans="1:2" ht="25.95" customHeight="1">
      <c r="A222" s="4"/>
      <c r="B222" s="4"/>
    </row>
    <row r="223" spans="1:2" ht="25.95" customHeight="1">
      <c r="A223" s="4"/>
      <c r="B223" s="4"/>
    </row>
    <row r="224" spans="1:2" ht="25.95" customHeight="1">
      <c r="A224" s="4"/>
      <c r="B224" s="4"/>
    </row>
    <row r="225" spans="1:2" ht="25.95" customHeight="1">
      <c r="A225" s="4"/>
      <c r="B225" s="4"/>
    </row>
    <row r="226" spans="1:2" ht="25.95" customHeight="1">
      <c r="A226" s="4"/>
      <c r="B226" s="4"/>
    </row>
    <row r="227" spans="1:2" ht="25.95" customHeight="1">
      <c r="A227" s="4"/>
      <c r="B227" s="4"/>
    </row>
    <row r="228" spans="1:2" ht="25.95" customHeight="1">
      <c r="A228" s="4"/>
      <c r="B228" s="4"/>
    </row>
    <row r="229" spans="1:2" ht="25.95" customHeight="1">
      <c r="A229" s="4"/>
      <c r="B229" s="4"/>
    </row>
    <row r="230" spans="1:2" ht="25.95" customHeight="1">
      <c r="A230" s="4"/>
      <c r="B230" s="4"/>
    </row>
    <row r="231" spans="1:2" ht="25.95" customHeight="1">
      <c r="A231" s="4"/>
      <c r="B231" s="4"/>
    </row>
    <row r="232" spans="1:2" ht="25.95" customHeight="1">
      <c r="A232" s="4"/>
      <c r="B232" s="4"/>
    </row>
    <row r="233" spans="1:2" ht="25.95" customHeight="1">
      <c r="A233" s="4"/>
      <c r="B233" s="4"/>
    </row>
    <row r="234" spans="1:2" ht="25.95" customHeight="1">
      <c r="A234" s="4"/>
      <c r="B234" s="4"/>
    </row>
    <row r="235" spans="1:2" ht="25.95" customHeight="1">
      <c r="A235" s="4"/>
      <c r="B235" s="4"/>
    </row>
    <row r="236" spans="1:2" ht="25.95" customHeight="1">
      <c r="A236" s="4"/>
      <c r="B236" s="4"/>
    </row>
    <row r="237" spans="1:2" ht="25.95" customHeight="1">
      <c r="A237" s="4"/>
      <c r="B237" s="4"/>
    </row>
    <row r="238" spans="1:2" ht="25.95" customHeight="1">
      <c r="A238" s="4"/>
      <c r="B238" s="4"/>
    </row>
    <row r="239" spans="1:2" ht="25.95" customHeight="1">
      <c r="A239" s="4"/>
      <c r="B239" s="4"/>
    </row>
    <row r="240" spans="1:2" ht="25.95" customHeight="1">
      <c r="A240" s="4"/>
      <c r="B240" s="4"/>
    </row>
    <row r="241" spans="1:2" ht="25.95" customHeight="1">
      <c r="A241" s="4"/>
      <c r="B241" s="4"/>
    </row>
    <row r="242" spans="1:2" ht="25.95" customHeight="1">
      <c r="A242" s="4"/>
      <c r="B242" s="4"/>
    </row>
    <row r="243" spans="1:2" ht="25.95" customHeight="1">
      <c r="A243" s="4"/>
      <c r="B243" s="4"/>
    </row>
    <row r="244" spans="1:2" ht="25.95" customHeight="1">
      <c r="A244" s="4"/>
      <c r="B244" s="4"/>
    </row>
    <row r="245" spans="1:2" ht="25.95" customHeight="1">
      <c r="A245" s="4"/>
      <c r="B245" s="4"/>
    </row>
    <row r="246" spans="1:2" ht="25.95" customHeight="1">
      <c r="A246" s="4"/>
      <c r="B246" s="4"/>
    </row>
    <row r="247" spans="1:2" ht="25.95" customHeight="1">
      <c r="A247" s="4"/>
      <c r="B247" s="4"/>
    </row>
    <row r="248" spans="1:2" ht="25.95" customHeight="1">
      <c r="A248" s="4"/>
      <c r="B248" s="4"/>
    </row>
    <row r="249" spans="1:2" ht="25.95" customHeight="1">
      <c r="A249" s="4"/>
      <c r="B249" s="4"/>
    </row>
    <row r="250" spans="1:2" ht="25.95" customHeight="1">
      <c r="A250" s="4"/>
      <c r="B250" s="4"/>
    </row>
    <row r="251" spans="1:2" ht="25.95" customHeight="1">
      <c r="A251" s="4"/>
      <c r="B251" s="4"/>
    </row>
    <row r="252" spans="1:2" ht="25.95" customHeight="1">
      <c r="A252" s="4"/>
      <c r="B252" s="4"/>
    </row>
    <row r="253" spans="1:2" ht="25.95" customHeight="1">
      <c r="A253" s="4"/>
      <c r="B253" s="4"/>
    </row>
    <row r="254" spans="1:2" ht="25.95" customHeight="1">
      <c r="A254" s="4"/>
      <c r="B254" s="4"/>
    </row>
    <row r="255" spans="1:2" ht="25.95" customHeight="1">
      <c r="A255" s="4"/>
      <c r="B255" s="4"/>
    </row>
    <row r="256" spans="1:2" ht="25.95" customHeight="1">
      <c r="A256" s="4"/>
      <c r="B256" s="4"/>
    </row>
    <row r="257" spans="1:2" ht="25.95" customHeight="1">
      <c r="A257" s="4"/>
      <c r="B257" s="4"/>
    </row>
    <row r="258" spans="1:2" ht="25.95" customHeight="1">
      <c r="A258" s="4"/>
      <c r="B258" s="4"/>
    </row>
    <row r="259" spans="1:2" ht="25.95" customHeight="1">
      <c r="A259" s="4"/>
      <c r="B259" s="4"/>
    </row>
    <row r="260" spans="1:2" ht="25.95" customHeight="1">
      <c r="A260" s="4"/>
      <c r="B260" s="4"/>
    </row>
    <row r="261" spans="1:2" ht="25.95" customHeight="1">
      <c r="A261" s="4"/>
      <c r="B261" s="4"/>
    </row>
    <row r="262" spans="1:2" ht="25.95" customHeight="1">
      <c r="A262" s="4"/>
      <c r="B262" s="4"/>
    </row>
    <row r="263" spans="1:2" ht="25.95" customHeight="1">
      <c r="A263" s="4"/>
      <c r="B263" s="4"/>
    </row>
    <row r="264" spans="1:2" ht="25.95" customHeight="1">
      <c r="A264" s="4"/>
      <c r="B264" s="4"/>
    </row>
    <row r="265" spans="1:2" ht="25.95" customHeight="1">
      <c r="A265" s="4"/>
      <c r="B265" s="4"/>
    </row>
    <row r="266" spans="1:2" ht="25.95" customHeight="1">
      <c r="A266" s="4"/>
      <c r="B266" s="4"/>
    </row>
    <row r="267" spans="1:2" ht="25.95" customHeight="1">
      <c r="A267" s="4"/>
      <c r="B267" s="4"/>
    </row>
    <row r="268" spans="1:2" ht="25.95" customHeight="1">
      <c r="A268" s="4"/>
      <c r="B268" s="4"/>
    </row>
    <row r="269" spans="1:2" ht="25.95" customHeight="1">
      <c r="A269" s="4"/>
      <c r="B269" s="4"/>
    </row>
    <row r="270" spans="1:2" ht="25.95" customHeight="1">
      <c r="A270" s="4"/>
      <c r="B270" s="4"/>
    </row>
    <row r="271" spans="1:2" ht="25.95" customHeight="1">
      <c r="A271" s="4"/>
      <c r="B271" s="4"/>
    </row>
    <row r="272" spans="1:2" ht="25.95" customHeight="1">
      <c r="A272" s="4"/>
      <c r="B272" s="4"/>
    </row>
    <row r="273" spans="1:2" ht="25.95" customHeight="1">
      <c r="A273" s="4"/>
      <c r="B273" s="4"/>
    </row>
    <row r="274" spans="1:2" ht="25.95" customHeight="1">
      <c r="A274" s="4"/>
      <c r="B274" s="4"/>
    </row>
    <row r="275" spans="1:2" ht="25.95" customHeight="1">
      <c r="A275" s="4"/>
      <c r="B275" s="4"/>
    </row>
    <row r="276" spans="1:2" ht="25.95" customHeight="1">
      <c r="A276" s="4"/>
      <c r="B276" s="4"/>
    </row>
    <row r="277" spans="1:2" ht="25.95" customHeight="1">
      <c r="A277" s="4"/>
      <c r="B277" s="4"/>
    </row>
    <row r="278" spans="1:2" ht="25.95" customHeight="1">
      <c r="A278" s="4"/>
      <c r="B278" s="4"/>
    </row>
    <row r="279" spans="1:2" ht="25.95" customHeight="1">
      <c r="A279" s="4"/>
      <c r="B279" s="4"/>
    </row>
    <row r="280" spans="1:2" ht="25.95" customHeight="1">
      <c r="A280" s="4"/>
      <c r="B280" s="4"/>
    </row>
    <row r="281" spans="1:2" ht="25.95" customHeight="1">
      <c r="A281" s="4"/>
      <c r="B281" s="4"/>
    </row>
    <row r="282" spans="1:2" ht="25.95" customHeight="1">
      <c r="A282" s="4"/>
      <c r="B282" s="4"/>
    </row>
    <row r="283" spans="1:2" ht="25.95" customHeight="1">
      <c r="A283" s="4"/>
      <c r="B283" s="4"/>
    </row>
    <row r="284" spans="1:2" ht="25.95" customHeight="1">
      <c r="A284" s="4"/>
      <c r="B284" s="4"/>
    </row>
    <row r="285" spans="1:2" ht="25.95" customHeight="1">
      <c r="A285" s="4"/>
      <c r="B285" s="4"/>
    </row>
    <row r="286" spans="1:2" ht="25.95" customHeight="1">
      <c r="A286" s="4"/>
      <c r="B286" s="4"/>
    </row>
    <row r="287" spans="1:2" ht="25.95" customHeight="1">
      <c r="A287" s="4"/>
      <c r="B287" s="4"/>
    </row>
    <row r="288" spans="1:2" ht="25.95" customHeight="1">
      <c r="A288" s="4"/>
      <c r="B288" s="4"/>
    </row>
    <row r="289" spans="1:2" ht="25.95" customHeight="1">
      <c r="A289" s="4"/>
      <c r="B289" s="4"/>
    </row>
    <row r="290" spans="1:2" ht="25.95" customHeight="1">
      <c r="A290" s="4"/>
      <c r="B290" s="4"/>
    </row>
    <row r="291" spans="1:2" ht="25.95" customHeight="1">
      <c r="A291" s="4"/>
      <c r="B291" s="4"/>
    </row>
    <row r="292" spans="1:2" ht="25.95" customHeight="1">
      <c r="A292" s="4"/>
      <c r="B292" s="4"/>
    </row>
    <row r="293" spans="1:2" ht="25.95" customHeight="1">
      <c r="A293" s="4"/>
      <c r="B293" s="4"/>
    </row>
    <row r="294" spans="1:2" ht="25.95" customHeight="1">
      <c r="A294" s="4"/>
      <c r="B294" s="4"/>
    </row>
    <row r="295" spans="1:2" ht="25.95" customHeight="1">
      <c r="A295" s="4"/>
      <c r="B295" s="4"/>
    </row>
    <row r="296" spans="1:2" ht="25.95" customHeight="1">
      <c r="A296" s="4"/>
      <c r="B296" s="4"/>
    </row>
    <row r="297" spans="1:2" ht="25.95" customHeight="1">
      <c r="A297" s="4"/>
      <c r="B297" s="4"/>
    </row>
    <row r="298" spans="1:2" ht="25.95" customHeight="1">
      <c r="A298" s="4"/>
      <c r="B298" s="4"/>
    </row>
    <row r="299" spans="1:2" ht="25.95" customHeight="1">
      <c r="A299" s="4"/>
      <c r="B299" s="4"/>
    </row>
    <row r="300" spans="1:2" ht="25.95" customHeight="1">
      <c r="A300" s="4"/>
      <c r="B300" s="4"/>
    </row>
    <row r="301" spans="1:2" ht="25.95" customHeight="1">
      <c r="A301" s="4"/>
      <c r="B301" s="4"/>
    </row>
    <row r="302" spans="1:2" ht="25.95" customHeight="1">
      <c r="A302" s="4"/>
      <c r="B302" s="4"/>
    </row>
    <row r="303" spans="1:2" ht="25.95" customHeight="1">
      <c r="A303" s="4"/>
      <c r="B303" s="4"/>
    </row>
    <row r="304" spans="1:2" ht="25.95" customHeight="1">
      <c r="A304" s="4"/>
      <c r="B304" s="4"/>
    </row>
    <row r="305" spans="1:2" ht="25.95" customHeight="1">
      <c r="A305" s="4"/>
      <c r="B305" s="4"/>
    </row>
    <row r="306" spans="1:2" ht="25.95" customHeight="1">
      <c r="A306" s="4"/>
      <c r="B306" s="4"/>
    </row>
    <row r="307" spans="1:2" ht="25.95" customHeight="1">
      <c r="A307" s="4"/>
      <c r="B307" s="4"/>
    </row>
    <row r="308" spans="1:2" ht="25.95" customHeight="1">
      <c r="A308" s="4"/>
      <c r="B308" s="4"/>
    </row>
    <row r="309" spans="1:2" ht="25.95" customHeight="1">
      <c r="A309" s="4"/>
      <c r="B309" s="4"/>
    </row>
    <row r="310" spans="1:2" ht="25.95" customHeight="1">
      <c r="A310" s="4"/>
      <c r="B310" s="4"/>
    </row>
    <row r="311" spans="1:2" ht="25.95" customHeight="1">
      <c r="A311" s="4"/>
      <c r="B311" s="4"/>
    </row>
    <row r="312" spans="1:2" ht="25.95" customHeight="1">
      <c r="A312" s="4"/>
      <c r="B312" s="4"/>
    </row>
    <row r="313" spans="1:2" ht="25.95" customHeight="1">
      <c r="A313" s="4"/>
      <c r="B313" s="4"/>
    </row>
    <row r="314" spans="1:2" ht="25.95" customHeight="1">
      <c r="A314" s="4"/>
      <c r="B314" s="4"/>
    </row>
    <row r="315" spans="1:2" ht="25.95" customHeight="1">
      <c r="A315" s="4"/>
      <c r="B315" s="4"/>
    </row>
    <row r="316" spans="1:2" ht="25.95" customHeight="1">
      <c r="A316" s="4"/>
      <c r="B316" s="4"/>
    </row>
    <row r="317" spans="1:2" ht="25.95" customHeight="1">
      <c r="A317" s="4"/>
      <c r="B317" s="4"/>
    </row>
    <row r="318" spans="1:2" ht="25.95" customHeight="1">
      <c r="A318" s="4"/>
      <c r="B318" s="4"/>
    </row>
    <row r="319" spans="1:2" ht="25.95" customHeight="1">
      <c r="A319" s="4"/>
      <c r="B319" s="4"/>
    </row>
    <row r="320" spans="1:2" ht="25.95" customHeight="1">
      <c r="A320" s="4"/>
      <c r="B320" s="4"/>
    </row>
    <row r="321" spans="1:2" ht="25.95" customHeight="1">
      <c r="A321" s="4"/>
      <c r="B321" s="4"/>
    </row>
    <row r="322" spans="1:2" ht="25.95" customHeight="1">
      <c r="A322" s="4"/>
      <c r="B322" s="4"/>
    </row>
    <row r="323" spans="1:2" ht="25.95" customHeight="1">
      <c r="A323" s="4"/>
      <c r="B323" s="4"/>
    </row>
    <row r="324" spans="1:2" ht="25.95" customHeight="1">
      <c r="A324" s="4"/>
      <c r="B324" s="4"/>
    </row>
    <row r="325" spans="1:2" ht="25.95" customHeight="1">
      <c r="A325" s="4"/>
      <c r="B325" s="4"/>
    </row>
    <row r="326" spans="1:2" ht="25.95" customHeight="1">
      <c r="A326" s="4"/>
      <c r="B326" s="4"/>
    </row>
    <row r="327" spans="1:2" ht="25.95" customHeight="1">
      <c r="A327" s="4"/>
      <c r="B327" s="4"/>
    </row>
    <row r="328" spans="1:2" ht="25.95" customHeight="1">
      <c r="A328" s="4"/>
      <c r="B328" s="4"/>
    </row>
    <row r="329" spans="1:2" ht="25.95" customHeight="1">
      <c r="A329" s="4"/>
      <c r="B329" s="4"/>
    </row>
    <row r="330" spans="1:2" ht="25.95" customHeight="1">
      <c r="A330" s="4"/>
      <c r="B330" s="4"/>
    </row>
    <row r="331" spans="1:2" ht="25.95" customHeight="1">
      <c r="A331" s="4"/>
      <c r="B331" s="4"/>
    </row>
    <row r="332" spans="1:2" ht="25.95" customHeight="1">
      <c r="A332" s="4"/>
      <c r="B332" s="4"/>
    </row>
    <row r="333" spans="1:2" ht="25.95" customHeight="1">
      <c r="A333" s="4"/>
      <c r="B333" s="4"/>
    </row>
    <row r="334" spans="1:2" ht="25.95" customHeight="1">
      <c r="A334" s="4"/>
      <c r="B334" s="4"/>
    </row>
    <row r="335" spans="1:2" ht="25.95" customHeight="1">
      <c r="A335" s="4"/>
      <c r="B335" s="4"/>
    </row>
    <row r="336" spans="1:2" ht="25.95" customHeight="1">
      <c r="A336" s="4"/>
      <c r="B336" s="4"/>
    </row>
    <row r="337" spans="1:2" ht="25.95" customHeight="1">
      <c r="A337" s="4"/>
      <c r="B337" s="4"/>
    </row>
    <row r="338" spans="1:2" ht="25.95" customHeight="1">
      <c r="A338" s="4"/>
      <c r="B338" s="4"/>
    </row>
    <row r="339" spans="1:2" ht="25.95" customHeight="1">
      <c r="A339" s="4"/>
      <c r="B339" s="4"/>
    </row>
    <row r="340" spans="1:2" ht="25.95" customHeight="1">
      <c r="A340" s="4"/>
      <c r="B340" s="4"/>
    </row>
    <row r="341" spans="1:2" ht="25.95" customHeight="1">
      <c r="A341" s="4"/>
      <c r="B341" s="4"/>
    </row>
    <row r="342" spans="1:2" ht="25.95" customHeight="1">
      <c r="A342" s="4"/>
      <c r="B342" s="4"/>
    </row>
    <row r="343" spans="1:2" ht="25.95" customHeight="1">
      <c r="A343" s="4"/>
      <c r="B343" s="4"/>
    </row>
    <row r="344" spans="1:2" ht="25.95" customHeight="1">
      <c r="A344" s="4"/>
      <c r="B344" s="4"/>
    </row>
    <row r="345" spans="1:2" ht="25.95" customHeight="1">
      <c r="A345" s="4"/>
      <c r="B345" s="4"/>
    </row>
    <row r="346" spans="1:2" ht="25.95" customHeight="1">
      <c r="A346" s="4"/>
      <c r="B346" s="4"/>
    </row>
    <row r="347" spans="1:2" ht="25.95" customHeight="1">
      <c r="A347" s="4"/>
      <c r="B347" s="4"/>
    </row>
    <row r="348" spans="1:2" ht="25.95" customHeight="1">
      <c r="A348" s="4"/>
      <c r="B348" s="4"/>
    </row>
    <row r="349" spans="1:2" ht="25.95" customHeight="1">
      <c r="A349" s="4"/>
      <c r="B349" s="4"/>
    </row>
    <row r="350" spans="1:2" ht="25.95" customHeight="1">
      <c r="A350" s="4"/>
      <c r="B350" s="4"/>
    </row>
    <row r="351" spans="1:2" ht="25.95" customHeight="1">
      <c r="A351" s="4"/>
      <c r="B351" s="4"/>
    </row>
    <row r="353" spans="1:1" ht="28.8">
      <c r="A353" s="2" t="s">
        <v>2</v>
      </c>
    </row>
  </sheetData>
  <autoFilter ref="A1:B1" xr:uid="{00000000-0009-0000-0000-000001000000}"/>
  <phoneticPr fontId="1"/>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22C78-72FC-4D04-81BC-DA101BAA88DF}">
  <sheetPr codeName="Sheet7"/>
  <dimension ref="A1:I101"/>
  <sheetViews>
    <sheetView workbookViewId="0"/>
  </sheetViews>
  <sheetFormatPr defaultRowHeight="22.2"/>
  <sheetData>
    <row r="1" spans="1:9">
      <c r="A1" t="s">
        <v>0</v>
      </c>
      <c r="B1" t="s">
        <v>79</v>
      </c>
      <c r="C1" t="s">
        <v>80</v>
      </c>
      <c r="D1" t="s">
        <v>81</v>
      </c>
      <c r="E1" t="s">
        <v>82</v>
      </c>
      <c r="F1" t="s">
        <v>83</v>
      </c>
      <c r="G1" t="s">
        <v>18</v>
      </c>
      <c r="H1" t="s">
        <v>19</v>
      </c>
      <c r="I1" t="s">
        <v>84</v>
      </c>
    </row>
    <row r="2" spans="1:9">
      <c r="A2">
        <v>9432</v>
      </c>
      <c r="B2">
        <v>169.9</v>
      </c>
      <c r="C2">
        <v>169.8</v>
      </c>
      <c r="D2">
        <v>169.8</v>
      </c>
      <c r="E2">
        <v>169.8</v>
      </c>
      <c r="F2">
        <v>14</v>
      </c>
      <c r="G2">
        <v>2.9999999999999716</v>
      </c>
      <c r="H2">
        <v>0.2297788305517226</v>
      </c>
      <c r="I2" s="23">
        <v>46260.623854166668</v>
      </c>
    </row>
    <row r="3" spans="1:9">
      <c r="A3">
        <v>9434</v>
      </c>
      <c r="B3">
        <v>239.8</v>
      </c>
      <c r="C3">
        <v>239.6</v>
      </c>
      <c r="D3">
        <v>239.6</v>
      </c>
      <c r="E3">
        <v>239.7</v>
      </c>
      <c r="F3">
        <v>14</v>
      </c>
      <c r="G3">
        <v>3.9000000000000057</v>
      </c>
      <c r="H3">
        <v>0.31896714767640966</v>
      </c>
      <c r="I3" s="23">
        <v>46260.623854166668</v>
      </c>
    </row>
    <row r="4" spans="1:9">
      <c r="A4">
        <v>5803</v>
      </c>
      <c r="B4">
        <v>5290</v>
      </c>
      <c r="C4">
        <v>5282</v>
      </c>
      <c r="D4">
        <v>5288</v>
      </c>
      <c r="E4">
        <v>5288</v>
      </c>
      <c r="F4">
        <v>14</v>
      </c>
      <c r="G4">
        <v>413</v>
      </c>
      <c r="H4">
        <v>15.6396956853494</v>
      </c>
      <c r="I4" s="23">
        <v>46260.623854166668</v>
      </c>
    </row>
    <row r="5" spans="1:9">
      <c r="A5">
        <v>5802</v>
      </c>
      <c r="B5">
        <v>2216.5</v>
      </c>
      <c r="C5">
        <v>2213.5</v>
      </c>
      <c r="D5">
        <v>2216</v>
      </c>
      <c r="E5">
        <v>2214.5</v>
      </c>
      <c r="F5">
        <v>14</v>
      </c>
      <c r="G5">
        <v>92.5</v>
      </c>
      <c r="H5">
        <v>4.6740768666879253</v>
      </c>
      <c r="I5" s="23">
        <v>46260.623854166668</v>
      </c>
    </row>
    <row r="6" spans="1:9">
      <c r="A6">
        <v>8729</v>
      </c>
      <c r="B6">
        <v>162.69999999999999</v>
      </c>
      <c r="C6">
        <v>162.5</v>
      </c>
      <c r="D6">
        <v>162.6</v>
      </c>
      <c r="E6">
        <v>162.5</v>
      </c>
      <c r="F6">
        <v>14</v>
      </c>
      <c r="G6">
        <v>11.700000000000045</v>
      </c>
      <c r="H6">
        <v>0.24575779560313873</v>
      </c>
      <c r="I6" s="23">
        <v>46260.623854166668</v>
      </c>
    </row>
    <row r="7" spans="1:9">
      <c r="A7">
        <v>7201</v>
      </c>
      <c r="B7">
        <v>319.39999999999998</v>
      </c>
      <c r="C7">
        <v>319.2</v>
      </c>
      <c r="D7">
        <v>319.2</v>
      </c>
      <c r="E7">
        <v>319.3</v>
      </c>
      <c r="F7">
        <v>14</v>
      </c>
      <c r="G7">
        <v>6.4999999999999432</v>
      </c>
      <c r="H7">
        <v>0.67928426042186463</v>
      </c>
      <c r="I7" s="23">
        <v>46260.623854166668</v>
      </c>
    </row>
    <row r="8" spans="1:9">
      <c r="A8">
        <v>9984</v>
      </c>
      <c r="B8">
        <v>5182</v>
      </c>
      <c r="C8">
        <v>5175</v>
      </c>
      <c r="D8">
        <v>5181</v>
      </c>
      <c r="E8">
        <v>5181</v>
      </c>
      <c r="F8">
        <v>14</v>
      </c>
      <c r="G8">
        <v>186</v>
      </c>
      <c r="H8">
        <v>16.355656729889922</v>
      </c>
      <c r="I8" s="23">
        <v>46260.623854166668</v>
      </c>
    </row>
    <row r="9" spans="1:9">
      <c r="A9">
        <v>8306</v>
      </c>
      <c r="B9">
        <v>3571</v>
      </c>
      <c r="C9">
        <v>3568</v>
      </c>
      <c r="D9">
        <v>3570</v>
      </c>
      <c r="E9">
        <v>3570</v>
      </c>
      <c r="F9">
        <v>14</v>
      </c>
      <c r="G9">
        <v>72</v>
      </c>
      <c r="H9">
        <v>3.8759117149101021</v>
      </c>
      <c r="I9" s="23">
        <v>46260.623854166668</v>
      </c>
    </row>
    <row r="10" spans="1:9">
      <c r="A10">
        <v>9501</v>
      </c>
      <c r="B10">
        <v>541.4</v>
      </c>
      <c r="C10">
        <v>540.4</v>
      </c>
      <c r="D10">
        <v>540.4</v>
      </c>
      <c r="E10">
        <v>541.4</v>
      </c>
      <c r="F10">
        <v>14</v>
      </c>
      <c r="G10">
        <v>14.900000000000318</v>
      </c>
      <c r="H10">
        <v>1.6472240787649284</v>
      </c>
      <c r="I10" s="23">
        <v>46260.623854166668</v>
      </c>
    </row>
    <row r="11" spans="1:9">
      <c r="A11">
        <v>5401</v>
      </c>
      <c r="B11">
        <v>677.4</v>
      </c>
      <c r="C11">
        <v>676.8</v>
      </c>
      <c r="D11">
        <v>677.3</v>
      </c>
      <c r="E11">
        <v>676.9</v>
      </c>
      <c r="F11">
        <v>14</v>
      </c>
      <c r="G11">
        <v>15.600000000000136</v>
      </c>
      <c r="H11">
        <v>0.88193039352741065</v>
      </c>
      <c r="I11" s="23">
        <v>46260.623854166668</v>
      </c>
    </row>
    <row r="12" spans="1:9">
      <c r="A12">
        <v>5801</v>
      </c>
      <c r="B12">
        <v>3877</v>
      </c>
      <c r="C12">
        <v>3868</v>
      </c>
      <c r="D12">
        <v>3872</v>
      </c>
      <c r="E12">
        <v>3869</v>
      </c>
      <c r="F12">
        <v>14</v>
      </c>
      <c r="G12">
        <v>303</v>
      </c>
      <c r="H12">
        <v>13.107246685379932</v>
      </c>
      <c r="I12" s="23">
        <v>46260.623854166668</v>
      </c>
    </row>
    <row r="13" spans="1:9">
      <c r="A13">
        <v>6758</v>
      </c>
      <c r="B13">
        <v>3903</v>
      </c>
      <c r="C13">
        <v>3899</v>
      </c>
      <c r="D13">
        <v>3899</v>
      </c>
      <c r="E13">
        <v>3903</v>
      </c>
      <c r="F13">
        <v>14</v>
      </c>
      <c r="G13">
        <v>91</v>
      </c>
      <c r="H13">
        <v>5.9117421407317829</v>
      </c>
      <c r="I13" s="23">
        <v>46260.623854166668</v>
      </c>
    </row>
    <row r="14" spans="1:9">
      <c r="A14">
        <v>7203</v>
      </c>
      <c r="B14">
        <v>3077</v>
      </c>
      <c r="C14">
        <v>3075</v>
      </c>
      <c r="D14">
        <v>3075</v>
      </c>
      <c r="E14">
        <v>3077</v>
      </c>
      <c r="F14">
        <v>14</v>
      </c>
      <c r="G14">
        <v>38.5</v>
      </c>
      <c r="H14">
        <v>3.3868947735072044</v>
      </c>
      <c r="I14" s="23">
        <v>46260.623854166668</v>
      </c>
    </row>
    <row r="15" spans="1:9">
      <c r="A15">
        <v>5016</v>
      </c>
      <c r="B15">
        <v>3814</v>
      </c>
      <c r="C15">
        <v>3809</v>
      </c>
      <c r="D15">
        <v>3809</v>
      </c>
      <c r="E15">
        <v>3812</v>
      </c>
      <c r="F15">
        <v>14</v>
      </c>
      <c r="G15">
        <v>148</v>
      </c>
      <c r="H15">
        <v>10.924901004692924</v>
      </c>
      <c r="I15" s="23">
        <v>46260.623854166668</v>
      </c>
    </row>
    <row r="16" spans="1:9">
      <c r="A16">
        <v>8053</v>
      </c>
      <c r="B16">
        <v>1760.5</v>
      </c>
      <c r="C16">
        <v>1759</v>
      </c>
      <c r="D16">
        <v>1760</v>
      </c>
      <c r="E16">
        <v>1759.5</v>
      </c>
      <c r="F16">
        <v>14</v>
      </c>
      <c r="G16">
        <v>59</v>
      </c>
      <c r="H16">
        <v>2.4379581968528656</v>
      </c>
      <c r="I16" s="23">
        <v>46260.623854166668</v>
      </c>
    </row>
    <row r="17" spans="1:9">
      <c r="A17" t="s">
        <v>17</v>
      </c>
      <c r="B17">
        <v>274</v>
      </c>
      <c r="C17">
        <v>273</v>
      </c>
      <c r="D17">
        <v>273</v>
      </c>
      <c r="E17">
        <v>273</v>
      </c>
      <c r="F17">
        <v>14</v>
      </c>
      <c r="G17">
        <v>14</v>
      </c>
      <c r="H17">
        <v>1.1140950240273835</v>
      </c>
      <c r="I17" s="23">
        <v>46260.623854166668</v>
      </c>
    </row>
    <row r="18" spans="1:9">
      <c r="A18">
        <v>3350</v>
      </c>
      <c r="B18">
        <v>307</v>
      </c>
      <c r="C18">
        <v>305</v>
      </c>
      <c r="D18">
        <v>307</v>
      </c>
      <c r="E18">
        <v>306</v>
      </c>
      <c r="F18">
        <v>14</v>
      </c>
      <c r="G18">
        <v>11</v>
      </c>
      <c r="H18">
        <v>1.6421264790870169</v>
      </c>
      <c r="I18" s="23">
        <v>46260.623854166668</v>
      </c>
    </row>
    <row r="19" spans="1:9">
      <c r="A19">
        <v>6723</v>
      </c>
      <c r="B19">
        <v>3380</v>
      </c>
      <c r="C19">
        <v>3376</v>
      </c>
      <c r="D19">
        <v>3377</v>
      </c>
      <c r="E19">
        <v>3376</v>
      </c>
      <c r="F19">
        <v>14</v>
      </c>
      <c r="G19">
        <v>118</v>
      </c>
      <c r="H19">
        <v>6.7970259465118605</v>
      </c>
      <c r="I19" s="23">
        <v>46260.623854166668</v>
      </c>
    </row>
    <row r="20" spans="1:9">
      <c r="A20">
        <v>4689</v>
      </c>
      <c r="B20">
        <v>557.9</v>
      </c>
      <c r="C20">
        <v>557</v>
      </c>
      <c r="D20">
        <v>557.9</v>
      </c>
      <c r="E20">
        <v>557.6</v>
      </c>
      <c r="F20">
        <v>14</v>
      </c>
      <c r="G20">
        <v>15.199999999999989</v>
      </c>
      <c r="H20">
        <v>1.639417873610763</v>
      </c>
      <c r="I20" s="23">
        <v>46260.623854166668</v>
      </c>
    </row>
    <row r="21" spans="1:9">
      <c r="A21">
        <v>8136</v>
      </c>
      <c r="B21">
        <v>1211</v>
      </c>
      <c r="C21">
        <v>1210</v>
      </c>
      <c r="D21">
        <v>1210</v>
      </c>
      <c r="E21">
        <v>1211.5</v>
      </c>
      <c r="F21">
        <v>14</v>
      </c>
      <c r="G21">
        <v>66.5</v>
      </c>
      <c r="H21">
        <v>2.6424602666694024</v>
      </c>
      <c r="I21" s="23">
        <v>46260.623854166668</v>
      </c>
    </row>
    <row r="22" spans="1:9">
      <c r="A22">
        <v>6902</v>
      </c>
      <c r="B22">
        <v>1925</v>
      </c>
      <c r="C22">
        <v>1924</v>
      </c>
      <c r="D22">
        <v>1924.5</v>
      </c>
      <c r="E22">
        <v>1924.5</v>
      </c>
      <c r="F22">
        <v>14</v>
      </c>
      <c r="G22">
        <v>27.5</v>
      </c>
      <c r="H22">
        <v>1.7675131183774966</v>
      </c>
      <c r="I22" s="23">
        <v>46260.623854166668</v>
      </c>
    </row>
    <row r="23" spans="1:9">
      <c r="A23">
        <v>7267</v>
      </c>
      <c r="B23">
        <v>1678</v>
      </c>
      <c r="C23">
        <v>1676.5</v>
      </c>
      <c r="D23">
        <v>1677.5</v>
      </c>
      <c r="E23">
        <v>1676.5</v>
      </c>
      <c r="F23">
        <v>14</v>
      </c>
      <c r="G23">
        <v>33</v>
      </c>
      <c r="H23">
        <v>3.0675969810568295</v>
      </c>
      <c r="I23" s="23">
        <v>46260.623854166668</v>
      </c>
    </row>
    <row r="24" spans="1:9">
      <c r="A24">
        <v>7011</v>
      </c>
      <c r="B24">
        <v>3952</v>
      </c>
      <c r="C24">
        <v>3949</v>
      </c>
      <c r="D24">
        <v>3949</v>
      </c>
      <c r="E24">
        <v>3948</v>
      </c>
      <c r="F24">
        <v>14</v>
      </c>
      <c r="G24">
        <v>108</v>
      </c>
      <c r="H24">
        <v>5.5742739344926369</v>
      </c>
      <c r="I24" s="23">
        <v>46260.623854166668</v>
      </c>
    </row>
    <row r="25" spans="1:9">
      <c r="A25">
        <v>4661</v>
      </c>
      <c r="B25">
        <v>3030</v>
      </c>
      <c r="C25">
        <v>3026</v>
      </c>
      <c r="D25">
        <v>3026</v>
      </c>
      <c r="E25">
        <v>3030</v>
      </c>
      <c r="F25">
        <v>14</v>
      </c>
      <c r="G25">
        <v>73</v>
      </c>
      <c r="H25">
        <v>3.1313497674919972</v>
      </c>
      <c r="I25" s="23">
        <v>46260.623854166668</v>
      </c>
    </row>
    <row r="26" spans="1:9">
      <c r="A26">
        <v>8604</v>
      </c>
      <c r="B26">
        <v>1613.5</v>
      </c>
      <c r="C26">
        <v>1610</v>
      </c>
      <c r="D26">
        <v>1613</v>
      </c>
      <c r="E26">
        <v>1608.5</v>
      </c>
      <c r="F26">
        <v>14</v>
      </c>
      <c r="G26">
        <v>31.5</v>
      </c>
      <c r="H26">
        <v>3.435914555027261</v>
      </c>
      <c r="I26" s="23">
        <v>46260.623854166668</v>
      </c>
    </row>
    <row r="27" spans="1:9">
      <c r="A27">
        <v>6762</v>
      </c>
      <c r="B27">
        <v>3052</v>
      </c>
      <c r="C27">
        <v>3045</v>
      </c>
      <c r="D27">
        <v>3050</v>
      </c>
      <c r="E27">
        <v>3046</v>
      </c>
      <c r="F27">
        <v>14</v>
      </c>
      <c r="G27">
        <v>92</v>
      </c>
      <c r="H27">
        <v>5.746949454143425</v>
      </c>
      <c r="I27" s="23">
        <v>46260.623854166668</v>
      </c>
    </row>
    <row r="28" spans="1:9">
      <c r="A28">
        <v>6501</v>
      </c>
      <c r="B28">
        <v>5348</v>
      </c>
      <c r="C28">
        <v>5342</v>
      </c>
      <c r="D28">
        <v>5344</v>
      </c>
      <c r="E28">
        <v>5348</v>
      </c>
      <c r="F28">
        <v>14</v>
      </c>
      <c r="G28">
        <v>129</v>
      </c>
      <c r="H28">
        <v>7.5018346641130265</v>
      </c>
      <c r="I28" s="23">
        <v>46260.623854166668</v>
      </c>
    </row>
    <row r="29" spans="1:9">
      <c r="A29">
        <v>4063</v>
      </c>
      <c r="B29">
        <v>5982</v>
      </c>
      <c r="C29">
        <v>5980</v>
      </c>
      <c r="D29">
        <v>5980</v>
      </c>
      <c r="E29">
        <v>5980</v>
      </c>
      <c r="F29">
        <v>14</v>
      </c>
      <c r="G29">
        <v>156</v>
      </c>
      <c r="H29">
        <v>6.8319698493077352</v>
      </c>
      <c r="I29" s="23">
        <v>46260.623854166668</v>
      </c>
    </row>
    <row r="30" spans="1:9">
      <c r="A30">
        <v>4568</v>
      </c>
      <c r="B30">
        <v>2910.5</v>
      </c>
      <c r="C30">
        <v>2906</v>
      </c>
      <c r="D30">
        <v>2906</v>
      </c>
      <c r="E30">
        <v>2911.5</v>
      </c>
      <c r="F30">
        <v>14</v>
      </c>
      <c r="G30">
        <v>70.5</v>
      </c>
      <c r="H30">
        <v>4.9253433764061558</v>
      </c>
      <c r="I30" s="23">
        <v>46260.623854166668</v>
      </c>
    </row>
    <row r="31" spans="1:9">
      <c r="A31">
        <v>8001</v>
      </c>
      <c r="B31">
        <v>2141.5</v>
      </c>
      <c r="C31">
        <v>2140.5</v>
      </c>
      <c r="D31">
        <v>2140.5</v>
      </c>
      <c r="E31">
        <v>2141.5</v>
      </c>
      <c r="F31">
        <v>14</v>
      </c>
      <c r="G31">
        <v>57</v>
      </c>
      <c r="H31">
        <v>3.4939316120353578</v>
      </c>
      <c r="I31" s="23">
        <v>46260.623854166668</v>
      </c>
    </row>
    <row r="32" spans="1:9">
      <c r="A32">
        <v>6857</v>
      </c>
      <c r="B32">
        <v>35710</v>
      </c>
      <c r="C32">
        <v>35650</v>
      </c>
      <c r="D32">
        <v>35680</v>
      </c>
      <c r="E32">
        <v>35660</v>
      </c>
      <c r="F32">
        <v>14</v>
      </c>
      <c r="G32">
        <v>1210</v>
      </c>
      <c r="H32">
        <v>85.638781090184253</v>
      </c>
      <c r="I32" s="23">
        <v>46260.623854166668</v>
      </c>
    </row>
    <row r="33" spans="1:9">
      <c r="A33">
        <v>7974</v>
      </c>
      <c r="B33">
        <v>8906</v>
      </c>
      <c r="C33">
        <v>8896</v>
      </c>
      <c r="D33">
        <v>8896</v>
      </c>
      <c r="E33">
        <v>8905</v>
      </c>
      <c r="F33">
        <v>14</v>
      </c>
      <c r="G33">
        <v>286</v>
      </c>
      <c r="H33">
        <v>16.193419390355547</v>
      </c>
      <c r="I33" s="23">
        <v>46260.623854166668</v>
      </c>
    </row>
    <row r="34" spans="1:9">
      <c r="A34">
        <v>8309</v>
      </c>
      <c r="B34">
        <v>1746.5</v>
      </c>
      <c r="C34">
        <v>1745.5</v>
      </c>
      <c r="D34">
        <v>1746</v>
      </c>
      <c r="E34">
        <v>1746</v>
      </c>
      <c r="F34">
        <v>14</v>
      </c>
      <c r="G34">
        <v>42</v>
      </c>
      <c r="H34">
        <v>2.5120179071754314</v>
      </c>
      <c r="I34" s="23">
        <v>46260.623854166668</v>
      </c>
    </row>
    <row r="35" spans="1:9">
      <c r="A35">
        <v>4755</v>
      </c>
      <c r="B35">
        <v>776.2</v>
      </c>
      <c r="C35">
        <v>775.9</v>
      </c>
      <c r="D35">
        <v>776</v>
      </c>
      <c r="E35">
        <v>776.2</v>
      </c>
      <c r="F35">
        <v>14</v>
      </c>
      <c r="G35">
        <v>31.100000000000136</v>
      </c>
      <c r="H35">
        <v>0.83405404487738355</v>
      </c>
      <c r="I35" s="23">
        <v>46260.623854166668</v>
      </c>
    </row>
    <row r="36" spans="1:9">
      <c r="A36">
        <v>6702</v>
      </c>
      <c r="B36">
        <v>3720</v>
      </c>
      <c r="C36">
        <v>3714</v>
      </c>
      <c r="D36">
        <v>3714</v>
      </c>
      <c r="E36">
        <v>3720</v>
      </c>
      <c r="F36">
        <v>14</v>
      </c>
      <c r="G36">
        <v>99</v>
      </c>
      <c r="H36">
        <v>5.0229864514215103</v>
      </c>
      <c r="I36" s="23">
        <v>46260.623854166668</v>
      </c>
    </row>
    <row r="37" spans="1:9">
      <c r="A37">
        <v>8316</v>
      </c>
      <c r="B37">
        <v>6711</v>
      </c>
      <c r="C37">
        <v>6705</v>
      </c>
      <c r="D37">
        <v>6707</v>
      </c>
      <c r="E37">
        <v>6705</v>
      </c>
      <c r="F37">
        <v>14</v>
      </c>
      <c r="G37">
        <v>142</v>
      </c>
      <c r="H37">
        <v>8.0756303715043742</v>
      </c>
      <c r="I37" s="23">
        <v>46260.623854166668</v>
      </c>
    </row>
    <row r="38" spans="1:9">
      <c r="A38">
        <v>6526</v>
      </c>
      <c r="B38">
        <v>1988</v>
      </c>
      <c r="C38">
        <v>1985.5</v>
      </c>
      <c r="D38">
        <v>1987</v>
      </c>
      <c r="E38">
        <v>1986</v>
      </c>
      <c r="F38">
        <v>14</v>
      </c>
      <c r="G38">
        <v>57.5</v>
      </c>
      <c r="H38">
        <v>5.9222151573190285</v>
      </c>
      <c r="I38" s="23">
        <v>46260.623854166668</v>
      </c>
    </row>
    <row r="39" spans="1:9">
      <c r="A39">
        <v>7013</v>
      </c>
      <c r="B39">
        <v>2651.5</v>
      </c>
      <c r="C39">
        <v>2648</v>
      </c>
      <c r="D39">
        <v>2648</v>
      </c>
      <c r="E39">
        <v>2649</v>
      </c>
      <c r="F39">
        <v>14</v>
      </c>
      <c r="G39">
        <v>101.5</v>
      </c>
      <c r="H39">
        <v>3.753622610356758</v>
      </c>
      <c r="I39" s="23">
        <v>46260.623854166668</v>
      </c>
    </row>
    <row r="40" spans="1:9">
      <c r="A40">
        <v>4005</v>
      </c>
      <c r="B40">
        <v>556.29999999999995</v>
      </c>
      <c r="C40">
        <v>555.9</v>
      </c>
      <c r="D40">
        <v>556.20000000000005</v>
      </c>
      <c r="E40">
        <v>556</v>
      </c>
      <c r="F40">
        <v>14</v>
      </c>
      <c r="G40">
        <v>9.7999999999998408</v>
      </c>
      <c r="H40">
        <v>0.76477247031615114</v>
      </c>
      <c r="I40" s="23">
        <v>46260.623854166668</v>
      </c>
    </row>
    <row r="41" spans="1:9">
      <c r="A41">
        <v>4188</v>
      </c>
      <c r="B41">
        <v>1133.5</v>
      </c>
      <c r="C41">
        <v>1133</v>
      </c>
      <c r="D41">
        <v>1133.5</v>
      </c>
      <c r="E41">
        <v>1133</v>
      </c>
      <c r="F41">
        <v>14</v>
      </c>
      <c r="G41">
        <v>41</v>
      </c>
      <c r="H41">
        <v>1.5962630870204231</v>
      </c>
      <c r="I41" s="23">
        <v>46260.623854166668</v>
      </c>
    </row>
    <row r="42" spans="1:9">
      <c r="A42">
        <v>8035</v>
      </c>
      <c r="B42">
        <v>55360</v>
      </c>
      <c r="C42">
        <v>55310</v>
      </c>
      <c r="D42">
        <v>55330</v>
      </c>
      <c r="E42">
        <v>55360</v>
      </c>
      <c r="F42">
        <v>14</v>
      </c>
      <c r="G42">
        <v>1460</v>
      </c>
      <c r="H42">
        <v>102.68661256916997</v>
      </c>
      <c r="I42" s="23">
        <v>46260.623854166668</v>
      </c>
    </row>
    <row r="43" spans="1:9">
      <c r="A43">
        <v>8411</v>
      </c>
      <c r="B43">
        <v>8282</v>
      </c>
      <c r="C43">
        <v>8274</v>
      </c>
      <c r="D43">
        <v>8280</v>
      </c>
      <c r="E43">
        <v>8276</v>
      </c>
      <c r="F43">
        <v>14</v>
      </c>
      <c r="G43">
        <v>245</v>
      </c>
      <c r="H43">
        <v>11.660459252229007</v>
      </c>
      <c r="I43" s="23">
        <v>46260.623854166668</v>
      </c>
    </row>
    <row r="44" spans="1:9">
      <c r="A44">
        <v>3436</v>
      </c>
      <c r="B44">
        <v>3414</v>
      </c>
      <c r="C44">
        <v>3412</v>
      </c>
      <c r="D44">
        <v>3412</v>
      </c>
      <c r="E44">
        <v>3412</v>
      </c>
      <c r="F44">
        <v>14</v>
      </c>
      <c r="G44">
        <v>196</v>
      </c>
      <c r="H44">
        <v>10.387759002039809</v>
      </c>
      <c r="I44" s="23">
        <v>46260.623854166668</v>
      </c>
    </row>
    <row r="45" spans="1:9">
      <c r="A45">
        <v>9433</v>
      </c>
      <c r="B45">
        <v>2900</v>
      </c>
      <c r="C45">
        <v>2897.5</v>
      </c>
      <c r="D45">
        <v>2897.5</v>
      </c>
      <c r="E45">
        <v>2897.5</v>
      </c>
      <c r="F45">
        <v>14</v>
      </c>
      <c r="G45">
        <v>82</v>
      </c>
      <c r="H45">
        <v>2.6552545371637319</v>
      </c>
      <c r="I45" s="23">
        <v>46260.623854166668</v>
      </c>
    </row>
    <row r="46" spans="1:9">
      <c r="A46">
        <v>7532</v>
      </c>
      <c r="B46">
        <v>823.6</v>
      </c>
      <c r="C46">
        <v>823.2</v>
      </c>
      <c r="D46">
        <v>823.3</v>
      </c>
      <c r="E46">
        <v>823</v>
      </c>
      <c r="F46">
        <v>14</v>
      </c>
      <c r="G46">
        <v>23.899999999999864</v>
      </c>
      <c r="H46">
        <v>1.0898822278169706</v>
      </c>
      <c r="I46" s="23">
        <v>46260.623854166668</v>
      </c>
    </row>
    <row r="47" spans="1:9">
      <c r="A47">
        <v>8267</v>
      </c>
      <c r="B47">
        <v>1384</v>
      </c>
      <c r="C47">
        <v>1383</v>
      </c>
      <c r="D47">
        <v>1383</v>
      </c>
      <c r="E47">
        <v>1384</v>
      </c>
      <c r="F47">
        <v>14</v>
      </c>
      <c r="G47">
        <v>25.5</v>
      </c>
      <c r="H47">
        <v>1.2814011917783223</v>
      </c>
      <c r="I47" s="23">
        <v>46260.623854166668</v>
      </c>
    </row>
    <row r="48" spans="1:9">
      <c r="A48">
        <v>7012</v>
      </c>
      <c r="B48">
        <v>2589</v>
      </c>
      <c r="C48">
        <v>2587.5</v>
      </c>
      <c r="D48">
        <v>2587.5</v>
      </c>
      <c r="E48">
        <v>2586.5</v>
      </c>
      <c r="F48">
        <v>14</v>
      </c>
      <c r="G48">
        <v>81</v>
      </c>
      <c r="H48">
        <v>2.8425841622728218</v>
      </c>
      <c r="I48" s="23">
        <v>46260.623854166668</v>
      </c>
    </row>
    <row r="49" spans="1:9">
      <c r="A49">
        <v>8303</v>
      </c>
      <c r="B49">
        <v>1547</v>
      </c>
      <c r="C49">
        <v>1545.5</v>
      </c>
      <c r="D49">
        <v>1546</v>
      </c>
      <c r="E49">
        <v>1545.5</v>
      </c>
      <c r="F49">
        <v>14</v>
      </c>
      <c r="G49">
        <v>26.5</v>
      </c>
      <c r="H49">
        <v>1.9159023739297074</v>
      </c>
      <c r="I49" s="23">
        <v>46260.623854166668</v>
      </c>
    </row>
    <row r="50" spans="1:9">
      <c r="A50">
        <v>3407</v>
      </c>
      <c r="B50">
        <v>1621.5</v>
      </c>
      <c r="C50">
        <v>1620.5</v>
      </c>
      <c r="D50">
        <v>1621</v>
      </c>
      <c r="E50">
        <v>1621</v>
      </c>
      <c r="F50">
        <v>14</v>
      </c>
      <c r="G50">
        <v>31.5</v>
      </c>
      <c r="H50">
        <v>1.5632850530064022</v>
      </c>
      <c r="I50" s="23">
        <v>46260.623854166668</v>
      </c>
    </row>
    <row r="51" spans="1:9">
      <c r="A51">
        <v>8308</v>
      </c>
      <c r="B51">
        <v>2437</v>
      </c>
      <c r="C51">
        <v>2435.5</v>
      </c>
      <c r="D51">
        <v>2435.5</v>
      </c>
      <c r="E51">
        <v>2436</v>
      </c>
      <c r="F51">
        <v>14</v>
      </c>
      <c r="G51">
        <v>62</v>
      </c>
      <c r="H51">
        <v>4.0651015317954506</v>
      </c>
      <c r="I51" s="23">
        <v>46260.623854166668</v>
      </c>
    </row>
    <row r="52" spans="1:9">
      <c r="A52">
        <v>2914</v>
      </c>
      <c r="B52">
        <v>6991</v>
      </c>
      <c r="C52">
        <v>6988</v>
      </c>
      <c r="D52">
        <v>6988</v>
      </c>
      <c r="E52">
        <v>6991</v>
      </c>
      <c r="F52">
        <v>14</v>
      </c>
      <c r="G52">
        <v>92</v>
      </c>
      <c r="H52">
        <v>4.5741755084502032</v>
      </c>
      <c r="I52" s="23">
        <v>46260.623854166668</v>
      </c>
    </row>
    <row r="53" spans="1:9">
      <c r="A53">
        <v>8473</v>
      </c>
      <c r="B53">
        <v>3407</v>
      </c>
      <c r="C53">
        <v>3404</v>
      </c>
      <c r="D53">
        <v>3406</v>
      </c>
      <c r="E53">
        <v>3406</v>
      </c>
      <c r="F53">
        <v>14</v>
      </c>
      <c r="G53">
        <v>70.5</v>
      </c>
      <c r="H53">
        <v>9.8838047553322212</v>
      </c>
      <c r="I53" s="23">
        <v>46260.623854166668</v>
      </c>
    </row>
    <row r="54" spans="1:9">
      <c r="A54">
        <v>3231</v>
      </c>
      <c r="B54">
        <v>937.1</v>
      </c>
      <c r="C54">
        <v>936.1</v>
      </c>
      <c r="D54">
        <v>936.7</v>
      </c>
      <c r="E54">
        <v>936.4</v>
      </c>
      <c r="F54">
        <v>14</v>
      </c>
      <c r="G54">
        <v>11.60000000000025</v>
      </c>
      <c r="H54">
        <v>0.666730200201618</v>
      </c>
      <c r="I54" s="23">
        <v>46260.623854166668</v>
      </c>
    </row>
    <row r="55" spans="1:9">
      <c r="A55">
        <v>4902</v>
      </c>
      <c r="B55">
        <v>664.5</v>
      </c>
      <c r="C55">
        <v>664.3</v>
      </c>
      <c r="D55">
        <v>664.5</v>
      </c>
      <c r="E55">
        <v>664.5</v>
      </c>
      <c r="F55">
        <v>14</v>
      </c>
      <c r="G55">
        <v>18.899999999999636</v>
      </c>
      <c r="H55">
        <v>1.1990195505258299</v>
      </c>
      <c r="I55" s="23">
        <v>46260.623854166668</v>
      </c>
    </row>
    <row r="56" spans="1:9">
      <c r="A56">
        <v>6701</v>
      </c>
      <c r="B56">
        <v>4711</v>
      </c>
      <c r="C56">
        <v>4706</v>
      </c>
      <c r="D56">
        <v>4707</v>
      </c>
      <c r="E56">
        <v>4711</v>
      </c>
      <c r="F56">
        <v>14</v>
      </c>
      <c r="G56">
        <v>123</v>
      </c>
      <c r="H56">
        <v>6.753433168414829</v>
      </c>
      <c r="I56" s="23">
        <v>46260.623854166668</v>
      </c>
    </row>
    <row r="57" spans="1:9">
      <c r="A57">
        <v>7182</v>
      </c>
      <c r="B57">
        <v>3237</v>
      </c>
      <c r="C57">
        <v>3234</v>
      </c>
      <c r="D57">
        <v>3235</v>
      </c>
      <c r="E57">
        <v>3234</v>
      </c>
      <c r="F57">
        <v>14</v>
      </c>
      <c r="G57">
        <v>107</v>
      </c>
      <c r="H57">
        <v>4.9355530863707733</v>
      </c>
      <c r="I57" s="23">
        <v>46260.623854166668</v>
      </c>
    </row>
    <row r="58" spans="1:9">
      <c r="A58">
        <v>7211</v>
      </c>
      <c r="B58">
        <v>372.3</v>
      </c>
      <c r="C58">
        <v>372</v>
      </c>
      <c r="D58">
        <v>372</v>
      </c>
      <c r="E58">
        <v>371.8</v>
      </c>
      <c r="F58">
        <v>14</v>
      </c>
      <c r="G58">
        <v>4.8999999999999773</v>
      </c>
      <c r="H58">
        <v>0.72575498185153908</v>
      </c>
      <c r="I58" s="23">
        <v>46260.623854166668</v>
      </c>
    </row>
    <row r="59" spans="1:9">
      <c r="A59">
        <v>8801</v>
      </c>
      <c r="B59">
        <v>1523.5</v>
      </c>
      <c r="C59">
        <v>1522.5</v>
      </c>
      <c r="D59">
        <v>1523</v>
      </c>
      <c r="E59">
        <v>1523</v>
      </c>
      <c r="F59">
        <v>14</v>
      </c>
      <c r="G59">
        <v>54.5</v>
      </c>
      <c r="H59">
        <v>1.6365455437428822</v>
      </c>
      <c r="I59" s="23">
        <v>46260.623854166668</v>
      </c>
    </row>
    <row r="60" spans="1:9">
      <c r="A60">
        <v>6971</v>
      </c>
      <c r="B60">
        <v>3625</v>
      </c>
      <c r="C60">
        <v>3619</v>
      </c>
      <c r="D60">
        <v>3624</v>
      </c>
      <c r="E60">
        <v>3622</v>
      </c>
      <c r="F60">
        <v>14</v>
      </c>
      <c r="G60">
        <v>93</v>
      </c>
      <c r="H60">
        <v>5.9844722866711484</v>
      </c>
      <c r="I60" s="23">
        <v>46260.623854166668</v>
      </c>
    </row>
    <row r="61" spans="1:9">
      <c r="A61">
        <v>6503</v>
      </c>
      <c r="B61">
        <v>5647</v>
      </c>
      <c r="C61">
        <v>5643</v>
      </c>
      <c r="D61">
        <v>5645</v>
      </c>
      <c r="E61">
        <v>5643</v>
      </c>
      <c r="F61">
        <v>14</v>
      </c>
      <c r="G61">
        <v>193</v>
      </c>
      <c r="H61">
        <v>7.1334272579161597</v>
      </c>
      <c r="I61" s="23">
        <v>46260.623854166668</v>
      </c>
    </row>
    <row r="62" spans="1:9">
      <c r="A62">
        <v>8410</v>
      </c>
      <c r="B62">
        <v>338.4</v>
      </c>
      <c r="C62">
        <v>338.2</v>
      </c>
      <c r="D62">
        <v>338.4</v>
      </c>
      <c r="E62">
        <v>338.2</v>
      </c>
      <c r="F62">
        <v>14</v>
      </c>
      <c r="G62">
        <v>11.200000000000045</v>
      </c>
      <c r="H62">
        <v>0.35283015602610568</v>
      </c>
      <c r="I62" s="23">
        <v>46260.623854166668</v>
      </c>
    </row>
    <row r="63" spans="1:9">
      <c r="A63">
        <v>2181</v>
      </c>
      <c r="B63">
        <v>295.7</v>
      </c>
      <c r="C63">
        <v>295.5</v>
      </c>
      <c r="D63">
        <v>295.7</v>
      </c>
      <c r="E63">
        <v>295.5</v>
      </c>
      <c r="F63">
        <v>14</v>
      </c>
      <c r="G63">
        <v>11.400000000000034</v>
      </c>
      <c r="H63">
        <v>0.30692961430023474</v>
      </c>
      <c r="I63" s="23">
        <v>46260.623854166668</v>
      </c>
    </row>
    <row r="64" spans="1:9">
      <c r="A64">
        <v>5020</v>
      </c>
      <c r="B64">
        <v>1316</v>
      </c>
      <c r="C64">
        <v>1315</v>
      </c>
      <c r="D64">
        <v>1315.5</v>
      </c>
      <c r="E64">
        <v>1315</v>
      </c>
      <c r="F64">
        <v>14</v>
      </c>
      <c r="G64">
        <v>37.5</v>
      </c>
      <c r="H64">
        <v>1.5636822003815951</v>
      </c>
      <c r="I64" s="23">
        <v>46260.623854166668</v>
      </c>
    </row>
    <row r="65" spans="1:9">
      <c r="A65">
        <v>2502</v>
      </c>
      <c r="B65">
        <v>1682.5</v>
      </c>
      <c r="C65">
        <v>1681.5</v>
      </c>
      <c r="D65">
        <v>1682</v>
      </c>
      <c r="E65">
        <v>1682</v>
      </c>
      <c r="F65">
        <v>14</v>
      </c>
      <c r="G65">
        <v>29.5</v>
      </c>
      <c r="H65">
        <v>1.4486481171955166</v>
      </c>
      <c r="I65" s="23">
        <v>46260.623854166668</v>
      </c>
    </row>
    <row r="66" spans="1:9">
      <c r="A66">
        <v>6954</v>
      </c>
      <c r="B66">
        <v>6051</v>
      </c>
      <c r="C66">
        <v>6048</v>
      </c>
      <c r="D66">
        <v>6048</v>
      </c>
      <c r="E66">
        <v>6050</v>
      </c>
      <c r="F66">
        <v>14</v>
      </c>
      <c r="G66">
        <v>144</v>
      </c>
      <c r="H66">
        <v>7.1542610707959629</v>
      </c>
      <c r="I66" s="23">
        <v>46260.623854166668</v>
      </c>
    </row>
    <row r="67" spans="1:9">
      <c r="A67">
        <v>2127</v>
      </c>
      <c r="B67">
        <v>687.2</v>
      </c>
      <c r="C67">
        <v>687</v>
      </c>
      <c r="D67">
        <v>687.2</v>
      </c>
      <c r="E67">
        <v>687.2</v>
      </c>
      <c r="F67">
        <v>14</v>
      </c>
      <c r="G67">
        <v>8.2999999999999545</v>
      </c>
      <c r="H67">
        <v>0.83672899026287895</v>
      </c>
      <c r="I67" s="23">
        <v>46260.623854166668</v>
      </c>
    </row>
    <row r="68" spans="1:9">
      <c r="A68">
        <v>8058</v>
      </c>
      <c r="B68">
        <v>4750</v>
      </c>
      <c r="C68">
        <v>4749</v>
      </c>
      <c r="D68">
        <v>4749</v>
      </c>
      <c r="E68">
        <v>4749</v>
      </c>
      <c r="F68">
        <v>14</v>
      </c>
      <c r="G68">
        <v>95</v>
      </c>
      <c r="H68">
        <v>4.5755297426961192</v>
      </c>
      <c r="I68" s="23">
        <v>46260.623854166668</v>
      </c>
    </row>
    <row r="69" spans="1:9">
      <c r="A69">
        <v>3382</v>
      </c>
      <c r="B69">
        <v>2030</v>
      </c>
      <c r="C69">
        <v>2029</v>
      </c>
      <c r="D69">
        <v>2029.5</v>
      </c>
      <c r="E69">
        <v>2030</v>
      </c>
      <c r="F69">
        <v>14</v>
      </c>
      <c r="G69">
        <v>43</v>
      </c>
      <c r="H69">
        <v>1.713124158631339</v>
      </c>
      <c r="I69" s="23">
        <v>46260.623854166668</v>
      </c>
    </row>
    <row r="70" spans="1:9">
      <c r="A70">
        <v>8750</v>
      </c>
      <c r="B70">
        <v>1823</v>
      </c>
      <c r="C70">
        <v>1822.5</v>
      </c>
      <c r="D70">
        <v>1822.5</v>
      </c>
      <c r="E70">
        <v>1823</v>
      </c>
      <c r="F70">
        <v>14</v>
      </c>
      <c r="G70">
        <v>79</v>
      </c>
      <c r="H70">
        <v>2.2473457442678724</v>
      </c>
      <c r="I70" s="23">
        <v>46260.623854166668</v>
      </c>
    </row>
    <row r="71" spans="1:9">
      <c r="A71">
        <v>7269</v>
      </c>
      <c r="B71">
        <v>2147</v>
      </c>
      <c r="C71">
        <v>2146</v>
      </c>
      <c r="D71">
        <v>2146</v>
      </c>
      <c r="E71">
        <v>2146.5</v>
      </c>
      <c r="F71">
        <v>14</v>
      </c>
      <c r="G71">
        <v>35</v>
      </c>
      <c r="H71">
        <v>2.8308576528781266</v>
      </c>
      <c r="I71" s="23">
        <v>46260.623854166668</v>
      </c>
    </row>
    <row r="72" spans="1:9">
      <c r="A72">
        <v>7751</v>
      </c>
      <c r="B72">
        <v>4654</v>
      </c>
      <c r="C72">
        <v>4653</v>
      </c>
      <c r="D72">
        <v>4653</v>
      </c>
      <c r="E72">
        <v>4654</v>
      </c>
      <c r="F72">
        <v>14</v>
      </c>
      <c r="G72">
        <v>72</v>
      </c>
      <c r="H72">
        <v>5.8112368766348519</v>
      </c>
      <c r="I72" s="23">
        <v>46260.623854166668</v>
      </c>
    </row>
    <row r="73" spans="1:9">
      <c r="A73">
        <v>8113</v>
      </c>
      <c r="B73">
        <v>993.8</v>
      </c>
      <c r="C73">
        <v>993.2</v>
      </c>
      <c r="D73">
        <v>993.2</v>
      </c>
      <c r="E73">
        <v>993.7</v>
      </c>
      <c r="F73">
        <v>14</v>
      </c>
      <c r="G73">
        <v>22.5</v>
      </c>
      <c r="H73">
        <v>1.0746791769823181</v>
      </c>
      <c r="I73" s="23">
        <v>46260.623854166668</v>
      </c>
    </row>
    <row r="74" spans="1:9">
      <c r="A74">
        <v>7735</v>
      </c>
      <c r="B74">
        <v>13225</v>
      </c>
      <c r="C74">
        <v>13210</v>
      </c>
      <c r="D74">
        <v>13220</v>
      </c>
      <c r="E74">
        <v>13215</v>
      </c>
      <c r="F74">
        <v>14</v>
      </c>
      <c r="G74">
        <v>420</v>
      </c>
      <c r="H74">
        <v>29.155628315245941</v>
      </c>
      <c r="I74" s="23">
        <v>46260.623854166668</v>
      </c>
    </row>
    <row r="75" spans="1:9">
      <c r="A75">
        <v>6506</v>
      </c>
      <c r="B75">
        <v>4964</v>
      </c>
      <c r="C75">
        <v>4952</v>
      </c>
      <c r="D75">
        <v>4952</v>
      </c>
      <c r="E75">
        <v>4966</v>
      </c>
      <c r="F75">
        <v>14</v>
      </c>
      <c r="G75">
        <v>160</v>
      </c>
      <c r="H75">
        <v>8.0178596229876504</v>
      </c>
      <c r="I75" s="23">
        <v>46260.623854166668</v>
      </c>
    </row>
    <row r="76" spans="1:9">
      <c r="A76">
        <v>6963</v>
      </c>
      <c r="B76">
        <v>4723</v>
      </c>
      <c r="C76">
        <v>4715</v>
      </c>
      <c r="D76">
        <v>4715</v>
      </c>
      <c r="E76">
        <v>4718</v>
      </c>
      <c r="F76">
        <v>14</v>
      </c>
      <c r="G76">
        <v>226</v>
      </c>
      <c r="H76">
        <v>10.463763412664191</v>
      </c>
      <c r="I76" s="23">
        <v>46260.623854166668</v>
      </c>
    </row>
    <row r="77" spans="1:9">
      <c r="A77">
        <v>3697</v>
      </c>
      <c r="B77">
        <v>932</v>
      </c>
      <c r="C77">
        <v>931.3</v>
      </c>
      <c r="D77">
        <v>931.3</v>
      </c>
      <c r="E77">
        <v>932.6</v>
      </c>
      <c r="F77">
        <v>14</v>
      </c>
      <c r="G77">
        <v>35.799999999999955</v>
      </c>
      <c r="H77">
        <v>2.1966470014038877</v>
      </c>
      <c r="I77" s="23">
        <v>46260.623854166668</v>
      </c>
    </row>
    <row r="78" spans="1:9">
      <c r="A78">
        <v>6315</v>
      </c>
      <c r="B78">
        <v>2325</v>
      </c>
      <c r="C78">
        <v>2313</v>
      </c>
      <c r="D78">
        <v>2313</v>
      </c>
      <c r="E78">
        <v>2326</v>
      </c>
      <c r="F78">
        <v>14</v>
      </c>
      <c r="G78">
        <v>115</v>
      </c>
      <c r="H78">
        <v>4.738000390055114</v>
      </c>
      <c r="I78" s="23">
        <v>46260.623854166668</v>
      </c>
    </row>
    <row r="79" spans="1:9">
      <c r="A79">
        <v>4503</v>
      </c>
      <c r="B79">
        <v>2429</v>
      </c>
      <c r="C79">
        <v>2428.5</v>
      </c>
      <c r="D79">
        <v>2428.5</v>
      </c>
      <c r="E79">
        <v>2429</v>
      </c>
      <c r="F79">
        <v>14</v>
      </c>
      <c r="G79">
        <v>63.5</v>
      </c>
      <c r="H79">
        <v>3.408924962784702</v>
      </c>
      <c r="I79" s="23">
        <v>46260.623854166668</v>
      </c>
    </row>
    <row r="80" spans="1:9">
      <c r="A80">
        <v>2146</v>
      </c>
      <c r="B80">
        <v>230</v>
      </c>
      <c r="C80">
        <v>229</v>
      </c>
      <c r="D80">
        <v>230</v>
      </c>
      <c r="E80">
        <v>229</v>
      </c>
      <c r="F80">
        <v>14</v>
      </c>
      <c r="G80">
        <v>27</v>
      </c>
      <c r="H80">
        <v>0.66020121010700628</v>
      </c>
      <c r="I80" s="23">
        <v>46260.623854166668</v>
      </c>
    </row>
    <row r="81" spans="1:9">
      <c r="A81">
        <v>3861</v>
      </c>
      <c r="B81">
        <v>882.2</v>
      </c>
      <c r="C81">
        <v>882</v>
      </c>
      <c r="D81">
        <v>882</v>
      </c>
      <c r="E81">
        <v>882.3</v>
      </c>
      <c r="F81">
        <v>14</v>
      </c>
      <c r="G81">
        <v>11.499999999999773</v>
      </c>
      <c r="H81">
        <v>0.84613155599500534</v>
      </c>
      <c r="I81" s="23">
        <v>46260.623854166668</v>
      </c>
    </row>
    <row r="82" spans="1:9">
      <c r="A82">
        <v>5411</v>
      </c>
      <c r="B82">
        <v>1850</v>
      </c>
      <c r="C82">
        <v>1848.5</v>
      </c>
      <c r="D82">
        <v>1850</v>
      </c>
      <c r="E82">
        <v>1848.5</v>
      </c>
      <c r="F82">
        <v>14</v>
      </c>
      <c r="G82">
        <v>33.5</v>
      </c>
      <c r="H82">
        <v>1.7934092918806648</v>
      </c>
      <c r="I82" s="23">
        <v>46260.623854166668</v>
      </c>
    </row>
    <row r="83" spans="1:9">
      <c r="A83">
        <v>7261</v>
      </c>
      <c r="B83">
        <v>1211</v>
      </c>
      <c r="C83">
        <v>1209.5</v>
      </c>
      <c r="D83">
        <v>1210</v>
      </c>
      <c r="E83">
        <v>1209.5</v>
      </c>
      <c r="F83">
        <v>14</v>
      </c>
      <c r="G83">
        <v>23</v>
      </c>
      <c r="H83">
        <v>1.4476243442081618</v>
      </c>
      <c r="I83" s="23">
        <v>46260.623854166668</v>
      </c>
    </row>
    <row r="84" spans="1:9">
      <c r="A84">
        <v>8601</v>
      </c>
      <c r="B84">
        <v>1815</v>
      </c>
      <c r="C84">
        <v>1813.5</v>
      </c>
      <c r="D84">
        <v>1814.5</v>
      </c>
      <c r="E84">
        <v>1813.5</v>
      </c>
      <c r="F84">
        <v>14</v>
      </c>
      <c r="G84">
        <v>35</v>
      </c>
      <c r="H84">
        <v>2.4220239613656642</v>
      </c>
      <c r="I84" s="23">
        <v>46260.623854166668</v>
      </c>
    </row>
    <row r="85" spans="1:9">
      <c r="A85">
        <v>6471</v>
      </c>
      <c r="B85">
        <v>1111</v>
      </c>
      <c r="C85">
        <v>1110.5</v>
      </c>
      <c r="D85">
        <v>1111</v>
      </c>
      <c r="E85">
        <v>1111</v>
      </c>
      <c r="F85">
        <v>14</v>
      </c>
      <c r="G85">
        <v>26</v>
      </c>
      <c r="H85">
        <v>1.091916224180667</v>
      </c>
      <c r="I85" s="23">
        <v>46260.623854166668</v>
      </c>
    </row>
    <row r="86" spans="1:9">
      <c r="A86">
        <v>2413</v>
      </c>
      <c r="B86">
        <v>1761</v>
      </c>
      <c r="C86">
        <v>1760</v>
      </c>
      <c r="D86">
        <v>1761</v>
      </c>
      <c r="E86">
        <v>1760.5</v>
      </c>
      <c r="F86">
        <v>14</v>
      </c>
      <c r="G86">
        <v>48</v>
      </c>
      <c r="H86">
        <v>3.21923848676541</v>
      </c>
      <c r="I86" s="23">
        <v>46260.623854166668</v>
      </c>
    </row>
    <row r="87" spans="1:9">
      <c r="A87">
        <v>4502</v>
      </c>
      <c r="B87">
        <v>5880</v>
      </c>
      <c r="C87">
        <v>5876</v>
      </c>
      <c r="D87">
        <v>5880</v>
      </c>
      <c r="E87">
        <v>5876</v>
      </c>
      <c r="F87">
        <v>14</v>
      </c>
      <c r="G87">
        <v>79</v>
      </c>
      <c r="H87">
        <v>6.8005396669129761</v>
      </c>
      <c r="I87" s="23">
        <v>46260.623854166668</v>
      </c>
    </row>
    <row r="88" spans="1:9">
      <c r="A88">
        <v>4307</v>
      </c>
      <c r="B88">
        <v>5067</v>
      </c>
      <c r="C88">
        <v>5063</v>
      </c>
      <c r="D88">
        <v>5063</v>
      </c>
      <c r="E88">
        <v>5067</v>
      </c>
      <c r="F88">
        <v>14</v>
      </c>
      <c r="G88">
        <v>136</v>
      </c>
      <c r="H88">
        <v>7.2202588687082656</v>
      </c>
      <c r="I88" s="23">
        <v>46260.623854166668</v>
      </c>
    </row>
    <row r="89" spans="1:9">
      <c r="A89">
        <v>3110</v>
      </c>
      <c r="B89">
        <v>2904</v>
      </c>
      <c r="C89">
        <v>2901</v>
      </c>
      <c r="D89">
        <v>2903</v>
      </c>
      <c r="E89">
        <v>2906</v>
      </c>
      <c r="F89">
        <v>14</v>
      </c>
      <c r="G89">
        <v>139</v>
      </c>
      <c r="H89">
        <v>10.069746885647652</v>
      </c>
      <c r="I89" s="23">
        <v>46260.623854166668</v>
      </c>
    </row>
    <row r="90" spans="1:9">
      <c r="A90">
        <v>8593</v>
      </c>
      <c r="B90">
        <v>1409</v>
      </c>
      <c r="C90">
        <v>1408.5</v>
      </c>
      <c r="D90">
        <v>1408.5</v>
      </c>
      <c r="E90">
        <v>1409</v>
      </c>
      <c r="F90">
        <v>14</v>
      </c>
      <c r="G90">
        <v>21</v>
      </c>
      <c r="H90">
        <v>1.0607701348680953</v>
      </c>
      <c r="I90" s="23">
        <v>46260.623854166668</v>
      </c>
    </row>
    <row r="91" spans="1:9">
      <c r="A91">
        <v>1942</v>
      </c>
      <c r="B91">
        <v>5447</v>
      </c>
      <c r="C91">
        <v>5443</v>
      </c>
      <c r="D91">
        <v>5443</v>
      </c>
      <c r="E91">
        <v>5443</v>
      </c>
      <c r="F91">
        <v>14</v>
      </c>
      <c r="G91">
        <v>175</v>
      </c>
      <c r="H91">
        <v>7.1977563329822747</v>
      </c>
      <c r="I91" s="23">
        <v>46260.623854166668</v>
      </c>
    </row>
    <row r="92" spans="1:9">
      <c r="A92">
        <v>2802</v>
      </c>
      <c r="B92">
        <v>5432</v>
      </c>
      <c r="C92">
        <v>5429</v>
      </c>
      <c r="D92">
        <v>5431</v>
      </c>
      <c r="E92">
        <v>5429</v>
      </c>
      <c r="F92">
        <v>14</v>
      </c>
      <c r="G92">
        <v>151</v>
      </c>
      <c r="H92">
        <v>7.3109014935409276</v>
      </c>
      <c r="I92" s="23">
        <v>46260.623854166668</v>
      </c>
    </row>
    <row r="93" spans="1:9">
      <c r="A93">
        <v>7259</v>
      </c>
      <c r="B93">
        <v>2261</v>
      </c>
      <c r="C93">
        <v>2259</v>
      </c>
      <c r="D93">
        <v>2260</v>
      </c>
      <c r="E93">
        <v>2259.5</v>
      </c>
      <c r="F93">
        <v>14</v>
      </c>
      <c r="G93">
        <v>42.5</v>
      </c>
      <c r="H93">
        <v>1.9556905792774386</v>
      </c>
      <c r="I93" s="23">
        <v>46260.623854166668</v>
      </c>
    </row>
    <row r="94" spans="1:9">
      <c r="A94">
        <v>6178</v>
      </c>
      <c r="B94">
        <v>2399.5</v>
      </c>
      <c r="C94">
        <v>2397</v>
      </c>
      <c r="D94">
        <v>2399.5</v>
      </c>
      <c r="E94">
        <v>2397</v>
      </c>
      <c r="F94">
        <v>14</v>
      </c>
      <c r="G94">
        <v>84.5</v>
      </c>
      <c r="H94">
        <v>3.1173040135726775</v>
      </c>
      <c r="I94" s="23">
        <v>46260.623854166668</v>
      </c>
    </row>
    <row r="95" spans="1:9">
      <c r="A95">
        <v>7272</v>
      </c>
      <c r="B95">
        <v>1976.5</v>
      </c>
      <c r="C95">
        <v>1974.5</v>
      </c>
      <c r="D95">
        <v>1975</v>
      </c>
      <c r="E95">
        <v>1974.5</v>
      </c>
      <c r="F95">
        <v>14</v>
      </c>
      <c r="G95">
        <v>55.5</v>
      </c>
      <c r="H95">
        <v>2.614279564558045</v>
      </c>
      <c r="I95" s="23">
        <v>46260.623854166668</v>
      </c>
    </row>
    <row r="96" spans="1:9">
      <c r="A96">
        <v>8697</v>
      </c>
      <c r="B96">
        <v>2283</v>
      </c>
      <c r="C96">
        <v>2281.5</v>
      </c>
      <c r="D96">
        <v>2282.5</v>
      </c>
      <c r="E96">
        <v>2282</v>
      </c>
      <c r="F96">
        <v>14</v>
      </c>
      <c r="G96">
        <v>44</v>
      </c>
      <c r="H96">
        <v>3.263843043720414</v>
      </c>
      <c r="I96" s="23">
        <v>46260.623854166668</v>
      </c>
    </row>
    <row r="97" spans="1:9">
      <c r="A97">
        <v>6920</v>
      </c>
      <c r="B97">
        <v>34660</v>
      </c>
      <c r="C97">
        <v>34610</v>
      </c>
      <c r="D97">
        <v>34630</v>
      </c>
      <c r="E97">
        <v>34610</v>
      </c>
      <c r="F97">
        <v>14</v>
      </c>
      <c r="G97">
        <v>1920</v>
      </c>
      <c r="H97">
        <v>79.212659417545566</v>
      </c>
      <c r="I97" s="23">
        <v>46260.623854166668</v>
      </c>
    </row>
    <row r="98" spans="1:9">
      <c r="A98">
        <v>1803</v>
      </c>
      <c r="B98">
        <v>2403.5</v>
      </c>
      <c r="C98">
        <v>2401</v>
      </c>
      <c r="D98">
        <v>2402.5</v>
      </c>
      <c r="E98">
        <v>2400.5</v>
      </c>
      <c r="F98">
        <v>14</v>
      </c>
      <c r="G98">
        <v>47.5</v>
      </c>
      <c r="H98">
        <v>3.5272241065307903</v>
      </c>
      <c r="I98" s="23">
        <v>46260.623854166668</v>
      </c>
    </row>
    <row r="99" spans="1:9">
      <c r="A99">
        <v>8031</v>
      </c>
      <c r="B99">
        <v>4911</v>
      </c>
      <c r="C99">
        <v>4908</v>
      </c>
      <c r="D99">
        <v>4909</v>
      </c>
      <c r="E99">
        <v>4908</v>
      </c>
      <c r="F99">
        <v>14</v>
      </c>
      <c r="G99">
        <v>110</v>
      </c>
      <c r="H99">
        <v>4.2894278053017318</v>
      </c>
      <c r="I99" s="23">
        <v>46260.623854166668</v>
      </c>
    </row>
    <row r="100" spans="1:9">
      <c r="A100">
        <v>6472</v>
      </c>
      <c r="B100">
        <v>373.5</v>
      </c>
      <c r="C100">
        <v>373.2</v>
      </c>
      <c r="D100">
        <v>373.5</v>
      </c>
      <c r="E100">
        <v>373.1</v>
      </c>
      <c r="F100">
        <v>14</v>
      </c>
      <c r="G100">
        <v>10.299999999999955</v>
      </c>
      <c r="H100">
        <v>0.37840254462474754</v>
      </c>
      <c r="I100" s="23">
        <v>46260.623854166668</v>
      </c>
    </row>
    <row r="101" spans="1:9">
      <c r="A101">
        <v>5938</v>
      </c>
      <c r="B101">
        <v>1773</v>
      </c>
      <c r="C101">
        <v>1772</v>
      </c>
      <c r="D101">
        <v>1772.5</v>
      </c>
      <c r="E101">
        <v>1772.5</v>
      </c>
      <c r="F101">
        <v>14</v>
      </c>
      <c r="G101">
        <v>27</v>
      </c>
      <c r="H101">
        <v>1.4713329081263899</v>
      </c>
      <c r="I101" s="23">
        <v>46260.623854166668</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C265A-E627-46E2-BC23-56338E065796}">
  <sheetPr codeName="Sheet8"/>
  <dimension ref="A1:Z101"/>
  <sheetViews>
    <sheetView workbookViewId="0"/>
  </sheetViews>
  <sheetFormatPr defaultRowHeight="22.2"/>
  <sheetData>
    <row r="1" spans="1:26">
      <c r="A1" t="s">
        <v>0</v>
      </c>
      <c r="B1" t="s">
        <v>4</v>
      </c>
      <c r="C1" t="s">
        <v>5</v>
      </c>
      <c r="D1" t="s">
        <v>28</v>
      </c>
      <c r="Y1" t="s">
        <v>212</v>
      </c>
      <c r="Z1">
        <v>0</v>
      </c>
    </row>
    <row r="2" spans="1:26">
      <c r="A2">
        <v>9432</v>
      </c>
      <c r="B2">
        <v>169.6</v>
      </c>
      <c r="C2">
        <v>167.3</v>
      </c>
      <c r="D2" s="23">
        <v>46264.053055555552</v>
      </c>
      <c r="Y2" t="s">
        <v>213</v>
      </c>
      <c r="Z2">
        <v>46265.65625</v>
      </c>
    </row>
    <row r="3" spans="1:4">
      <c r="A3">
        <v>9434</v>
      </c>
      <c r="B3">
        <v>230.8</v>
      </c>
      <c r="C3">
        <v>227.6</v>
      </c>
      <c r="D3" s="23">
        <v>46244.656261574077</v>
      </c>
    </row>
    <row r="4" spans="1:4">
      <c r="A4">
        <v>5803</v>
      </c>
      <c r="B4">
        <v>5485</v>
      </c>
      <c r="C4">
        <v>5301</v>
      </c>
      <c r="D4" s="23">
        <v>46264.053055555552</v>
      </c>
    </row>
    <row r="5" spans="1:4">
      <c r="A5">
        <v>5802</v>
      </c>
      <c r="B5">
        <v>2232</v>
      </c>
      <c r="C5">
        <v>2165.5</v>
      </c>
      <c r="D5" s="23">
        <v>46264.053055555552</v>
      </c>
    </row>
    <row r="6" spans="1:4">
      <c r="A6">
        <v>8729</v>
      </c>
      <c r="B6">
        <v>166.3</v>
      </c>
      <c r="C6">
        <v>161.80000000000001</v>
      </c>
      <c r="D6" s="23">
        <v>46264.053055555552</v>
      </c>
    </row>
    <row r="7" spans="1:4">
      <c r="A7">
        <v>7201</v>
      </c>
      <c r="B7">
        <v>322.89999999999998</v>
      </c>
      <c r="C7">
        <v>312.8</v>
      </c>
      <c r="D7" s="23">
        <v>46264.053055555552</v>
      </c>
    </row>
    <row r="8" spans="1:4">
      <c r="A8">
        <v>9984</v>
      </c>
      <c r="B8">
        <v>5263</v>
      </c>
      <c r="C8">
        <v>5136</v>
      </c>
      <c r="D8" s="23">
        <v>46264.053055555552</v>
      </c>
    </row>
    <row r="9" spans="1:4">
      <c r="A9">
        <v>8306</v>
      </c>
      <c r="B9">
        <v>3678</v>
      </c>
      <c r="C9">
        <v>3575</v>
      </c>
      <c r="D9" s="23">
        <v>46264.053055555552</v>
      </c>
    </row>
    <row r="10" spans="1:4">
      <c r="A10">
        <v>9501</v>
      </c>
      <c r="B10">
        <v>535.4</v>
      </c>
      <c r="C10">
        <v>525.5</v>
      </c>
      <c r="D10" s="23">
        <v>46264.053055555552</v>
      </c>
    </row>
    <row r="11" spans="1:4">
      <c r="A11">
        <v>5401</v>
      </c>
      <c r="B11">
        <v>681</v>
      </c>
      <c r="C11">
        <v>668.3</v>
      </c>
      <c r="D11" s="23">
        <v>46264.053055555552</v>
      </c>
    </row>
    <row r="12" spans="1:4">
      <c r="A12">
        <v>5801</v>
      </c>
      <c r="B12">
        <v>4072</v>
      </c>
      <c r="C12">
        <v>3883</v>
      </c>
      <c r="D12" s="23">
        <v>46264.053055555552</v>
      </c>
    </row>
    <row r="13" spans="1:4">
      <c r="A13">
        <v>6758</v>
      </c>
      <c r="B13">
        <v>3968</v>
      </c>
      <c r="C13">
        <v>3875</v>
      </c>
      <c r="D13" s="23">
        <v>46264.053055555552</v>
      </c>
    </row>
    <row r="14" spans="1:4">
      <c r="A14">
        <v>7203</v>
      </c>
      <c r="B14">
        <v>3145</v>
      </c>
      <c r="C14">
        <v>3081</v>
      </c>
      <c r="D14" s="23">
        <v>46264.053055555552</v>
      </c>
    </row>
    <row r="15" spans="1:4">
      <c r="A15">
        <v>5016</v>
      </c>
      <c r="B15">
        <v>3888</v>
      </c>
      <c r="C15">
        <v>3794</v>
      </c>
      <c r="D15" s="23">
        <v>46264.053055555552</v>
      </c>
    </row>
    <row r="16" spans="1:4">
      <c r="A16">
        <v>8053</v>
      </c>
      <c r="B16">
        <v>1785.5</v>
      </c>
      <c r="C16">
        <v>1738.5</v>
      </c>
      <c r="D16" s="23">
        <v>46264.053055555552</v>
      </c>
    </row>
    <row r="17" spans="1:4">
      <c r="A17" t="s">
        <v>17</v>
      </c>
      <c r="B17">
        <v>277</v>
      </c>
      <c r="C17">
        <v>272</v>
      </c>
      <c r="D17" s="23">
        <v>46264.053055555552</v>
      </c>
    </row>
    <row r="18" spans="1:4">
      <c r="A18">
        <v>3350</v>
      </c>
      <c r="B18">
        <v>359</v>
      </c>
      <c r="C18">
        <v>318</v>
      </c>
      <c r="D18" s="23">
        <v>46264.053055555552</v>
      </c>
    </row>
    <row r="19" spans="1:4">
      <c r="A19">
        <v>6723</v>
      </c>
      <c r="B19">
        <v>3626</v>
      </c>
      <c r="C19">
        <v>3404</v>
      </c>
      <c r="D19" s="23">
        <v>46264.053055555552</v>
      </c>
    </row>
    <row r="20" spans="1:4">
      <c r="A20">
        <v>4689</v>
      </c>
      <c r="B20">
        <v>556.79999999999995</v>
      </c>
      <c r="C20">
        <v>547</v>
      </c>
      <c r="D20" s="23">
        <v>46264.053055555552</v>
      </c>
    </row>
    <row r="21" spans="1:4">
      <c r="A21">
        <v>8136</v>
      </c>
      <c r="B21">
        <v>1277</v>
      </c>
      <c r="C21">
        <v>1238.5</v>
      </c>
      <c r="D21" s="23">
        <v>46264.053055555552</v>
      </c>
    </row>
    <row r="22" spans="1:4">
      <c r="A22">
        <v>6902</v>
      </c>
      <c r="B22">
        <v>1920.5</v>
      </c>
      <c r="C22">
        <v>1897</v>
      </c>
      <c r="D22" s="23">
        <v>46264.053055555552</v>
      </c>
    </row>
    <row r="23" spans="1:4">
      <c r="A23">
        <v>7267</v>
      </c>
      <c r="B23">
        <v>1713</v>
      </c>
      <c r="C23">
        <v>1658.5</v>
      </c>
      <c r="D23" s="23">
        <v>46264.053055555552</v>
      </c>
    </row>
    <row r="24" spans="1:4">
      <c r="A24">
        <v>7011</v>
      </c>
      <c r="B24">
        <v>4071</v>
      </c>
      <c r="C24">
        <v>3973</v>
      </c>
      <c r="D24" s="23">
        <v>46264.053055555552</v>
      </c>
    </row>
    <row r="25" spans="1:4">
      <c r="A25">
        <v>4661</v>
      </c>
      <c r="B25">
        <v>3039</v>
      </c>
      <c r="C25">
        <v>2990</v>
      </c>
      <c r="D25" s="23">
        <v>46264.053055555552</v>
      </c>
    </row>
    <row r="26" spans="1:4">
      <c r="A26">
        <v>8604</v>
      </c>
      <c r="B26">
        <v>1652</v>
      </c>
      <c r="C26">
        <v>1600.5</v>
      </c>
      <c r="D26" s="23">
        <v>46264.053055555552</v>
      </c>
    </row>
    <row r="27" spans="1:4">
      <c r="A27">
        <v>6762</v>
      </c>
      <c r="B27">
        <v>3135</v>
      </c>
      <c r="C27">
        <v>3035</v>
      </c>
      <c r="D27" s="23">
        <v>46264.053055555552</v>
      </c>
    </row>
    <row r="28" spans="1:4">
      <c r="A28">
        <v>6501</v>
      </c>
      <c r="B28">
        <v>5645</v>
      </c>
      <c r="C28">
        <v>5486</v>
      </c>
      <c r="D28" s="23">
        <v>46264.053055555552</v>
      </c>
    </row>
    <row r="29" spans="1:4">
      <c r="A29">
        <v>4063</v>
      </c>
      <c r="B29">
        <v>6068</v>
      </c>
      <c r="C29">
        <v>6001</v>
      </c>
      <c r="D29" s="23">
        <v>46264.053055555552</v>
      </c>
    </row>
    <row r="30" spans="1:4">
      <c r="A30">
        <v>4568</v>
      </c>
      <c r="B30">
        <v>2958</v>
      </c>
      <c r="C30">
        <v>2887</v>
      </c>
      <c r="D30" s="23">
        <v>46264.053055555552</v>
      </c>
    </row>
    <row r="31" spans="1:4">
      <c r="A31">
        <v>8001</v>
      </c>
      <c r="B31">
        <v>2132</v>
      </c>
      <c r="C31">
        <v>2096</v>
      </c>
      <c r="D31" s="23">
        <v>46264.053055555552</v>
      </c>
    </row>
    <row r="32" spans="1:4">
      <c r="A32">
        <v>6857</v>
      </c>
      <c r="B32">
        <v>35600</v>
      </c>
      <c r="C32">
        <v>34230</v>
      </c>
      <c r="D32" s="23">
        <v>46264.053055555552</v>
      </c>
    </row>
    <row r="33" spans="1:4">
      <c r="A33">
        <v>7974</v>
      </c>
      <c r="B33">
        <v>9095</v>
      </c>
      <c r="C33">
        <v>8767</v>
      </c>
      <c r="D33" s="23">
        <v>46264.053055555552</v>
      </c>
    </row>
    <row r="34" spans="1:4">
      <c r="A34">
        <v>8309</v>
      </c>
      <c r="B34">
        <v>1798</v>
      </c>
      <c r="C34">
        <v>1747</v>
      </c>
      <c r="D34" s="23">
        <v>46264.053055555552</v>
      </c>
    </row>
    <row r="35" spans="1:4">
      <c r="A35">
        <v>4755</v>
      </c>
      <c r="B35">
        <v>794.6</v>
      </c>
      <c r="C35">
        <v>775.9</v>
      </c>
      <c r="D35" s="23">
        <v>46264.053055555552</v>
      </c>
    </row>
    <row r="36" spans="1:4">
      <c r="A36">
        <v>6702</v>
      </c>
      <c r="B36">
        <v>3953</v>
      </c>
      <c r="C36">
        <v>3844</v>
      </c>
      <c r="D36" s="23">
        <v>46264.053055555552</v>
      </c>
    </row>
    <row r="37" spans="1:4">
      <c r="A37">
        <v>8316</v>
      </c>
      <c r="B37">
        <v>6937</v>
      </c>
      <c r="C37">
        <v>6770</v>
      </c>
      <c r="D37" s="23">
        <v>46264.053055555552</v>
      </c>
    </row>
    <row r="38" spans="1:4">
      <c r="A38">
        <v>6526</v>
      </c>
      <c r="B38">
        <v>2098</v>
      </c>
      <c r="C38">
        <v>1991.5</v>
      </c>
      <c r="D38" s="23">
        <v>46264.053055555552</v>
      </c>
    </row>
    <row r="39" spans="1:4">
      <c r="A39">
        <v>7013</v>
      </c>
      <c r="B39">
        <v>2806</v>
      </c>
      <c r="C39">
        <v>2704.5</v>
      </c>
      <c r="D39" s="23">
        <v>46264.053055555552</v>
      </c>
    </row>
    <row r="40" spans="1:4">
      <c r="A40">
        <v>4005</v>
      </c>
      <c r="B40">
        <v>563.70000000000005</v>
      </c>
      <c r="C40">
        <v>553.9</v>
      </c>
      <c r="D40" s="23">
        <v>46264.053055555552</v>
      </c>
    </row>
    <row r="41" spans="1:4">
      <c r="A41">
        <v>4188</v>
      </c>
      <c r="B41">
        <v>1188.5</v>
      </c>
      <c r="C41">
        <v>1169.5</v>
      </c>
      <c r="D41" s="23">
        <v>46264.053055555552</v>
      </c>
    </row>
    <row r="42" spans="1:4">
      <c r="A42">
        <v>8035</v>
      </c>
      <c r="B42">
        <v>57520</v>
      </c>
      <c r="C42">
        <v>55900</v>
      </c>
      <c r="D42" s="23">
        <v>46264.053055555552</v>
      </c>
    </row>
    <row r="43" spans="1:4">
      <c r="A43">
        <v>8411</v>
      </c>
      <c r="B43">
        <v>8525</v>
      </c>
      <c r="C43">
        <v>8290</v>
      </c>
      <c r="D43" s="23">
        <v>46264.053055555552</v>
      </c>
    </row>
    <row r="44" spans="1:4">
      <c r="A44">
        <v>3436</v>
      </c>
      <c r="B44">
        <v>3623</v>
      </c>
      <c r="C44">
        <v>3401</v>
      </c>
      <c r="D44" s="23">
        <v>46264.053055555552</v>
      </c>
    </row>
    <row r="45" spans="1:4">
      <c r="A45">
        <v>9433</v>
      </c>
      <c r="B45">
        <v>2922</v>
      </c>
      <c r="C45">
        <v>2867</v>
      </c>
      <c r="D45" s="23">
        <v>46264.053055555552</v>
      </c>
    </row>
    <row r="46" spans="1:4">
      <c r="A46">
        <v>7532</v>
      </c>
      <c r="B46">
        <v>810.2</v>
      </c>
      <c r="C46">
        <v>798.6</v>
      </c>
      <c r="D46" s="23">
        <v>46264.053055555552</v>
      </c>
    </row>
    <row r="47" spans="1:4">
      <c r="A47">
        <v>8267</v>
      </c>
      <c r="B47">
        <v>1362</v>
      </c>
      <c r="C47">
        <v>1328</v>
      </c>
      <c r="D47" s="23">
        <v>46264.053055555552</v>
      </c>
    </row>
    <row r="48" spans="1:4">
      <c r="A48">
        <v>7012</v>
      </c>
      <c r="B48">
        <v>2647</v>
      </c>
      <c r="C48">
        <v>2601</v>
      </c>
      <c r="D48" s="23">
        <v>46264.053055555552</v>
      </c>
    </row>
    <row r="49" spans="1:4">
      <c r="A49">
        <v>8303</v>
      </c>
      <c r="B49">
        <v>1585</v>
      </c>
      <c r="C49">
        <v>1554</v>
      </c>
      <c r="D49" s="23">
        <v>46264.053055555552</v>
      </c>
    </row>
    <row r="50" spans="1:4">
      <c r="A50">
        <v>3407</v>
      </c>
      <c r="B50">
        <v>1651.5</v>
      </c>
      <c r="C50">
        <v>1610</v>
      </c>
      <c r="D50" s="23">
        <v>46264.053055555552</v>
      </c>
    </row>
    <row r="51" spans="1:4">
      <c r="A51">
        <v>8308</v>
      </c>
      <c r="B51">
        <v>2540</v>
      </c>
      <c r="C51">
        <v>2442.5</v>
      </c>
      <c r="D51" s="23">
        <v>46264.053055555552</v>
      </c>
    </row>
    <row r="52" spans="1:4">
      <c r="A52">
        <v>2914</v>
      </c>
      <c r="B52">
        <v>6996</v>
      </c>
      <c r="C52">
        <v>6926</v>
      </c>
      <c r="D52" s="23">
        <v>46264.053055555552</v>
      </c>
    </row>
    <row r="53" spans="1:4">
      <c r="A53">
        <v>8473</v>
      </c>
      <c r="B53">
        <v>3440</v>
      </c>
      <c r="C53">
        <v>3362</v>
      </c>
      <c r="D53" s="23">
        <v>46264.053055555552</v>
      </c>
    </row>
    <row r="54" spans="1:4">
      <c r="A54">
        <v>3231</v>
      </c>
      <c r="B54">
        <v>937.4</v>
      </c>
      <c r="C54">
        <v>928</v>
      </c>
      <c r="D54" s="23">
        <v>46264.053055555552</v>
      </c>
    </row>
    <row r="55" spans="1:4">
      <c r="A55">
        <v>4902</v>
      </c>
      <c r="B55">
        <v>666.4</v>
      </c>
      <c r="C55">
        <v>655.4</v>
      </c>
      <c r="D55" s="23">
        <v>46264.053055555552</v>
      </c>
    </row>
    <row r="56" spans="1:4">
      <c r="A56">
        <v>6701</v>
      </c>
      <c r="B56">
        <v>4963</v>
      </c>
      <c r="C56">
        <v>4866</v>
      </c>
      <c r="D56" s="23">
        <v>46264.053055555552</v>
      </c>
    </row>
    <row r="57" spans="1:4">
      <c r="A57">
        <v>7182</v>
      </c>
      <c r="B57">
        <v>3368</v>
      </c>
      <c r="C57">
        <v>3270</v>
      </c>
      <c r="D57" s="23">
        <v>46264.053055555552</v>
      </c>
    </row>
    <row r="58" spans="1:4">
      <c r="A58">
        <v>7211</v>
      </c>
      <c r="B58">
        <v>388.7</v>
      </c>
      <c r="C58">
        <v>371</v>
      </c>
      <c r="D58" s="23">
        <v>46264.053055555552</v>
      </c>
    </row>
    <row r="59" spans="1:4">
      <c r="A59">
        <v>8801</v>
      </c>
      <c r="B59">
        <v>1542</v>
      </c>
      <c r="C59">
        <v>1504</v>
      </c>
      <c r="D59" s="23">
        <v>46264.053055555552</v>
      </c>
    </row>
    <row r="60" spans="1:4">
      <c r="A60">
        <v>6971</v>
      </c>
      <c r="B60">
        <v>3661</v>
      </c>
      <c r="C60">
        <v>3621</v>
      </c>
      <c r="D60" s="23">
        <v>46264.053055555552</v>
      </c>
    </row>
    <row r="61" spans="1:4">
      <c r="A61">
        <v>6503</v>
      </c>
      <c r="B61">
        <v>5679</v>
      </c>
      <c r="C61">
        <v>5590</v>
      </c>
      <c r="D61" s="23">
        <v>46264.053055555552</v>
      </c>
    </row>
    <row r="62" spans="1:4">
      <c r="A62">
        <v>8410</v>
      </c>
      <c r="B62">
        <v>339.6</v>
      </c>
      <c r="C62">
        <v>334.2</v>
      </c>
      <c r="D62" s="23">
        <v>46264.053055555552</v>
      </c>
    </row>
    <row r="63" spans="1:4">
      <c r="A63">
        <v>2181</v>
      </c>
      <c r="B63">
        <v>299.89999999999998</v>
      </c>
      <c r="C63">
        <v>295</v>
      </c>
      <c r="D63" s="23">
        <v>46264.053055555552</v>
      </c>
    </row>
    <row r="64" spans="1:4">
      <c r="A64">
        <v>5020</v>
      </c>
      <c r="B64">
        <v>1345</v>
      </c>
      <c r="C64">
        <v>1321.5</v>
      </c>
      <c r="D64" s="23">
        <v>46264.053055555552</v>
      </c>
    </row>
    <row r="65" spans="1:4">
      <c r="A65">
        <v>2502</v>
      </c>
      <c r="B65">
        <v>1670.5</v>
      </c>
      <c r="C65">
        <v>1637</v>
      </c>
      <c r="D65" s="23">
        <v>46264.053055555552</v>
      </c>
    </row>
    <row r="66" spans="1:4">
      <c r="A66">
        <v>6954</v>
      </c>
      <c r="B66">
        <v>6147</v>
      </c>
      <c r="C66">
        <v>6031</v>
      </c>
      <c r="D66" s="23">
        <v>46264.053055555552</v>
      </c>
    </row>
    <row r="67" spans="1:4">
      <c r="A67">
        <v>2127</v>
      </c>
      <c r="B67">
        <v>691.6</v>
      </c>
      <c r="C67">
        <v>679.2</v>
      </c>
      <c r="D67" s="23">
        <v>46264.053055555552</v>
      </c>
    </row>
    <row r="68" spans="1:4">
      <c r="A68">
        <v>8058</v>
      </c>
      <c r="B68">
        <v>4810</v>
      </c>
      <c r="C68">
        <v>4708</v>
      </c>
      <c r="D68" s="23">
        <v>46264.053055555552</v>
      </c>
    </row>
    <row r="69" spans="1:4">
      <c r="A69">
        <v>3382</v>
      </c>
      <c r="B69">
        <v>2001.5</v>
      </c>
      <c r="C69">
        <v>1957.5</v>
      </c>
      <c r="D69" s="23">
        <v>46264.053055555552</v>
      </c>
    </row>
    <row r="70" spans="1:4">
      <c r="A70">
        <v>8750</v>
      </c>
      <c r="B70">
        <v>1857</v>
      </c>
      <c r="C70">
        <v>1810.5</v>
      </c>
      <c r="D70" s="23">
        <v>46264.053055555552</v>
      </c>
    </row>
    <row r="71" spans="1:4">
      <c r="A71">
        <v>7269</v>
      </c>
      <c r="B71">
        <v>2173</v>
      </c>
      <c r="C71">
        <v>2142</v>
      </c>
      <c r="D71" s="23">
        <v>46264.053055555552</v>
      </c>
    </row>
    <row r="72" spans="1:4">
      <c r="A72">
        <v>7751</v>
      </c>
      <c r="B72">
        <v>4721</v>
      </c>
      <c r="C72">
        <v>4671</v>
      </c>
      <c r="D72" s="23">
        <v>46264.053055555552</v>
      </c>
    </row>
    <row r="73" spans="1:4">
      <c r="A73">
        <v>8113</v>
      </c>
      <c r="B73">
        <v>987.6</v>
      </c>
      <c r="C73">
        <v>974.2</v>
      </c>
      <c r="D73" s="23">
        <v>46264.053055555552</v>
      </c>
    </row>
    <row r="74" spans="1:4">
      <c r="A74">
        <v>7735</v>
      </c>
      <c r="B74">
        <v>14025</v>
      </c>
      <c r="C74">
        <v>13525</v>
      </c>
      <c r="D74" s="23">
        <v>46264.053055555552</v>
      </c>
    </row>
    <row r="75" spans="1:4">
      <c r="A75">
        <v>6506</v>
      </c>
      <c r="B75">
        <v>4889</v>
      </c>
      <c r="C75">
        <v>4773</v>
      </c>
      <c r="D75" s="23">
        <v>46264.053055555552</v>
      </c>
    </row>
    <row r="76" spans="1:4">
      <c r="A76">
        <v>6963</v>
      </c>
      <c r="B76">
        <v>4975</v>
      </c>
      <c r="C76">
        <v>4788</v>
      </c>
      <c r="D76" s="23">
        <v>46264.053055555552</v>
      </c>
    </row>
    <row r="77" spans="1:4">
      <c r="A77">
        <v>3697</v>
      </c>
      <c r="B77">
        <v>1021</v>
      </c>
      <c r="C77">
        <v>960.1</v>
      </c>
      <c r="D77" s="23">
        <v>46264.053055555552</v>
      </c>
    </row>
    <row r="78" spans="1:4">
      <c r="A78">
        <v>6315</v>
      </c>
      <c r="B78">
        <v>2361</v>
      </c>
      <c r="C78">
        <v>2300</v>
      </c>
      <c r="D78" s="23">
        <v>46264.053055555552</v>
      </c>
    </row>
    <row r="79" spans="1:4">
      <c r="A79">
        <v>4503</v>
      </c>
      <c r="B79">
        <v>2404</v>
      </c>
      <c r="C79">
        <v>2364</v>
      </c>
      <c r="D79" s="23">
        <v>46264.053055555552</v>
      </c>
    </row>
    <row r="80" spans="1:4">
      <c r="A80">
        <v>2146</v>
      </c>
      <c r="B80">
        <v>236</v>
      </c>
      <c r="C80">
        <v>230</v>
      </c>
      <c r="D80" s="23">
        <v>46264.053055555552</v>
      </c>
    </row>
    <row r="81" spans="1:4">
      <c r="A81">
        <v>3861</v>
      </c>
      <c r="B81">
        <v>881.5</v>
      </c>
      <c r="C81">
        <v>873.5</v>
      </c>
      <c r="D81" s="23">
        <v>46264.053055555552</v>
      </c>
    </row>
    <row r="82" spans="1:4">
      <c r="A82">
        <v>5411</v>
      </c>
      <c r="B82">
        <v>1862.5</v>
      </c>
      <c r="C82">
        <v>1836.5</v>
      </c>
      <c r="D82" s="23">
        <v>46264.053055555552</v>
      </c>
    </row>
    <row r="83" spans="1:4">
      <c r="A83">
        <v>7261</v>
      </c>
      <c r="B83">
        <v>1224</v>
      </c>
      <c r="C83">
        <v>1201</v>
      </c>
      <c r="D83" s="23">
        <v>46264.053055555552</v>
      </c>
    </row>
    <row r="84" spans="1:4">
      <c r="A84">
        <v>8601</v>
      </c>
      <c r="B84">
        <v>1874</v>
      </c>
      <c r="C84">
        <v>1823.5</v>
      </c>
      <c r="D84" s="23">
        <v>46264.053055555552</v>
      </c>
    </row>
    <row r="85" spans="1:4">
      <c r="A85">
        <v>6471</v>
      </c>
      <c r="B85">
        <v>1119</v>
      </c>
      <c r="C85">
        <v>1096.5</v>
      </c>
      <c r="D85" s="23">
        <v>46264.053055555552</v>
      </c>
    </row>
    <row r="86" spans="1:4">
      <c r="A86">
        <v>2413</v>
      </c>
      <c r="B86">
        <v>1870</v>
      </c>
      <c r="C86">
        <v>1780</v>
      </c>
      <c r="D86" s="23">
        <v>46264.053055555552</v>
      </c>
    </row>
    <row r="87" spans="1:4">
      <c r="A87">
        <v>4502</v>
      </c>
      <c r="B87">
        <v>5849</v>
      </c>
      <c r="C87">
        <v>5781</v>
      </c>
      <c r="D87" s="23">
        <v>46264.053055555552</v>
      </c>
    </row>
    <row r="88" spans="1:4">
      <c r="A88">
        <v>4307</v>
      </c>
      <c r="B88">
        <v>5315</v>
      </c>
      <c r="C88">
        <v>5076</v>
      </c>
      <c r="D88" s="23">
        <v>46264.053055555552</v>
      </c>
    </row>
    <row r="89" spans="1:4">
      <c r="A89">
        <v>3110</v>
      </c>
      <c r="B89">
        <v>3085</v>
      </c>
      <c r="C89">
        <v>2981</v>
      </c>
      <c r="D89" s="23">
        <v>46264.053055555552</v>
      </c>
    </row>
    <row r="90" spans="1:4">
      <c r="A90">
        <v>8593</v>
      </c>
      <c r="B90">
        <v>1404.5</v>
      </c>
      <c r="C90">
        <v>1390</v>
      </c>
      <c r="D90" s="23">
        <v>46264.053055555552</v>
      </c>
    </row>
    <row r="91" spans="1:4">
      <c r="A91">
        <v>1942</v>
      </c>
      <c r="B91">
        <v>5484</v>
      </c>
      <c r="C91">
        <v>5396</v>
      </c>
      <c r="D91" s="23">
        <v>46264.053055555552</v>
      </c>
    </row>
    <row r="92" spans="1:4">
      <c r="A92">
        <v>2802</v>
      </c>
      <c r="B92">
        <v>5509</v>
      </c>
      <c r="C92">
        <v>5401</v>
      </c>
      <c r="D92" s="23">
        <v>46264.053055555552</v>
      </c>
    </row>
    <row r="93" spans="1:4">
      <c r="A93">
        <v>7259</v>
      </c>
      <c r="B93">
        <v>2249.5</v>
      </c>
      <c r="C93">
        <v>2224.5</v>
      </c>
      <c r="D93" s="23">
        <v>46264.053055555552</v>
      </c>
    </row>
    <row r="94" spans="1:4">
      <c r="A94">
        <v>6178</v>
      </c>
      <c r="B94">
        <v>2442</v>
      </c>
      <c r="C94">
        <v>2370.5</v>
      </c>
      <c r="D94" s="23">
        <v>46264.053055555552</v>
      </c>
    </row>
    <row r="95" spans="1:4">
      <c r="A95">
        <v>7272</v>
      </c>
      <c r="B95">
        <v>1945.5</v>
      </c>
      <c r="C95">
        <v>1889</v>
      </c>
      <c r="D95" s="23">
        <v>46264.053055555552</v>
      </c>
    </row>
    <row r="96" spans="1:4">
      <c r="A96">
        <v>8697</v>
      </c>
      <c r="B96">
        <v>2313</v>
      </c>
      <c r="C96">
        <v>2280</v>
      </c>
      <c r="D96" s="23">
        <v>46264.053055555552</v>
      </c>
    </row>
    <row r="97" spans="1:4">
      <c r="A97">
        <v>6920</v>
      </c>
      <c r="B97">
        <v>35430</v>
      </c>
      <c r="C97">
        <v>34500</v>
      </c>
      <c r="D97" s="23">
        <v>46264.053055555552</v>
      </c>
    </row>
    <row r="98" spans="1:4">
      <c r="A98">
        <v>1803</v>
      </c>
      <c r="B98">
        <v>2408</v>
      </c>
      <c r="C98">
        <v>2375.5</v>
      </c>
      <c r="D98" s="23">
        <v>46264.053055555552</v>
      </c>
    </row>
    <row r="99" spans="1:4">
      <c r="A99">
        <v>8031</v>
      </c>
      <c r="B99">
        <v>4988</v>
      </c>
      <c r="C99">
        <v>4888</v>
      </c>
      <c r="D99" s="23">
        <v>46264.053055555552</v>
      </c>
    </row>
    <row r="100" spans="1:4">
      <c r="A100">
        <v>6472</v>
      </c>
      <c r="B100">
        <v>376.4</v>
      </c>
      <c r="C100">
        <v>371.6</v>
      </c>
      <c r="D100" s="23">
        <v>46264.053055555552</v>
      </c>
    </row>
    <row r="101" spans="1:4">
      <c r="A101">
        <v>5938</v>
      </c>
      <c r="B101">
        <v>1778.5</v>
      </c>
      <c r="C101">
        <v>1758.5</v>
      </c>
      <c r="D101" s="23">
        <v>46264.053055555552</v>
      </c>
    </row>
  </sheetData>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操作パネル_MS2</vt:lpstr>
      <vt:lpstr>使い方</vt:lpstr>
      <vt:lpstr>DATA_MS2</vt:lpstr>
      <vt:lpstr>TRADE_MS2</vt:lpstr>
      <vt:lpstr>RANK_MS2</vt:lpstr>
      <vt:lpstr>StockList_MS2</vt:lpstr>
      <vt:lpstr>ATRHIST_MS2</vt:lpstr>
      <vt:lpstr>PREVDAY_MS2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英明 阿部</dc:creator>
  <cp:lastModifiedBy>英明 阿部</cp:lastModifiedBy>
  <dcterms:created xsi:type="dcterms:W3CDTF">2026-08-01T12:40:50Z</dcterms:created>
  <dcterms:modified xsi:type="dcterms:W3CDTF">2026-08-31T00:59:34Z</dcterms:modified>
</cp:coreProperties>
</file>