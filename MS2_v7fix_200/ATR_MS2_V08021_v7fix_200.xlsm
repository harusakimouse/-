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Abe Hideaki\Desktop\"/>
    </mc:Choice>
  </mc:AlternateContent>
  <xr:revisionPtr revIDLastSave="0" documentId="13_ncr:1_{B1E6296D-921C-4B21-B73E-56715BA87F5F}" xr6:coauthVersionLast="47" xr6:coauthVersionMax="47" xr10:uidLastSave="{00000000-0000-0000-0000-000000000000}"/>
  <bookViews>
    <workbookView xWindow="-108" yWindow="492" windowWidth="46296" windowHeight="24816" activeTab="1" xr2:uid="{00000000-000D-0000-FFFF-FFFF00000000}"/>
  </bookViews>
  <sheets>
    <sheet name="操作パネル_MS2" sheetId="6" r:id="rId1"/>
    <sheet name="使い方" sheetId="1" r:id="rId2"/>
    <sheet name="DATA_MS2" sheetId="3" r:id="rId3"/>
    <sheet name="TRADE_MS2" sheetId="4" r:id="rId4"/>
    <sheet name="RANK_MS2" sheetId="5" r:id="rId5"/>
    <sheet name="StockList_MS2" sheetId="2" r:id="rId6"/>
    <sheet name="ATRHIST_MS2" sheetId="7" state="hidden" r:id="rId7"/>
    <sheet name="PREVDAY_MS2" sheetId="8" state="hidden" r:id="rId8"/>
  </sheets>
  <functionGroups builtInGroupCount="19"/>
  <definedNames>
    <definedName name="_xlnm._FilterDatabase" localSheetId="2" hidden="1">DATA_MS2!$A$2:$AB$2</definedName>
    <definedName name="_xlnm._FilterDatabase" localSheetId="5" hidden="1">StockList_MS2!$A$1:$B$1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6" i="5" l="1"/>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A2" i="5"/>
  <c r="H11" i="6" l="1"/>
  <c r="H12" i="6" s="1"/>
  <c r="P92" i="4" l="1"/>
  <c r="O92" i="4"/>
  <c r="N92" i="4"/>
  <c r="P91" i="4"/>
  <c r="O91" i="4"/>
  <c r="N91" i="4"/>
  <c r="P90" i="4"/>
  <c r="O90" i="4"/>
  <c r="N90" i="4"/>
  <c r="P89" i="4"/>
  <c r="O89" i="4"/>
  <c r="N89" i="4"/>
  <c r="P88" i="4"/>
  <c r="O88" i="4"/>
  <c r="N88" i="4"/>
  <c r="P87" i="4"/>
  <c r="O87" i="4"/>
  <c r="N87" i="4"/>
  <c r="P86" i="4"/>
  <c r="O86" i="4"/>
  <c r="N86" i="4"/>
  <c r="P85" i="4"/>
  <c r="O85" i="4"/>
  <c r="N85" i="4"/>
  <c r="P84" i="4"/>
  <c r="O84" i="4"/>
  <c r="N84" i="4"/>
  <c r="P83" i="4"/>
  <c r="O83" i="4"/>
  <c r="N83" i="4"/>
  <c r="P82" i="4"/>
  <c r="O82" i="4"/>
  <c r="N82" i="4"/>
  <c r="P81" i="4"/>
  <c r="O81" i="4"/>
  <c r="N81" i="4"/>
  <c r="P80" i="4"/>
  <c r="O80" i="4"/>
  <c r="N80" i="4"/>
  <c r="P79" i="4"/>
  <c r="O79" i="4"/>
  <c r="N79" i="4"/>
  <c r="P78" i="4"/>
  <c r="O78" i="4"/>
  <c r="N78" i="4"/>
  <c r="P77" i="4"/>
  <c r="O77" i="4"/>
  <c r="N77" i="4"/>
  <c r="P76" i="4"/>
  <c r="O76" i="4"/>
  <c r="N76" i="4"/>
  <c r="P75" i="4"/>
  <c r="O75" i="4"/>
  <c r="N75" i="4"/>
  <c r="P74" i="4"/>
  <c r="O74" i="4"/>
  <c r="N74" i="4"/>
  <c r="P73" i="4"/>
  <c r="O73" i="4"/>
  <c r="N73" i="4"/>
  <c r="P72" i="4"/>
  <c r="O72" i="4"/>
  <c r="N72" i="4"/>
  <c r="P71" i="4"/>
  <c r="O71" i="4"/>
  <c r="N71" i="4"/>
  <c r="P70" i="4"/>
  <c r="O70" i="4"/>
  <c r="N70" i="4"/>
  <c r="P69" i="4"/>
  <c r="O69" i="4"/>
  <c r="N69" i="4"/>
  <c r="P68" i="4"/>
  <c r="O68" i="4"/>
  <c r="N68" i="4"/>
  <c r="P67" i="4"/>
  <c r="O67" i="4"/>
  <c r="N67" i="4"/>
  <c r="P66" i="4"/>
  <c r="O66" i="4"/>
  <c r="N66" i="4"/>
  <c r="P65" i="4"/>
  <c r="O65" i="4"/>
  <c r="N65" i="4"/>
  <c r="P64" i="4"/>
  <c r="O64" i="4"/>
  <c r="N64" i="4"/>
  <c r="P63" i="4"/>
  <c r="O63" i="4"/>
  <c r="N63" i="4"/>
  <c r="P62" i="4"/>
  <c r="O62" i="4"/>
  <c r="N62" i="4"/>
  <c r="P61" i="4"/>
  <c r="O61" i="4"/>
  <c r="N61" i="4"/>
  <c r="P60" i="4"/>
  <c r="O60" i="4"/>
  <c r="N60" i="4"/>
  <c r="P59" i="4"/>
  <c r="O59" i="4"/>
  <c r="N59" i="4"/>
  <c r="P58" i="4"/>
  <c r="O58" i="4"/>
  <c r="N58" i="4"/>
  <c r="P57" i="4"/>
  <c r="O57" i="4"/>
  <c r="N57" i="4"/>
  <c r="P56" i="4"/>
  <c r="O56" i="4"/>
  <c r="N56" i="4"/>
  <c r="P55" i="4"/>
  <c r="O55" i="4"/>
  <c r="N55" i="4"/>
  <c r="P54" i="4"/>
  <c r="O54" i="4"/>
  <c r="N54" i="4"/>
  <c r="P53" i="4"/>
  <c r="O53" i="4"/>
  <c r="N53" i="4"/>
  <c r="P52" i="4"/>
  <c r="O52" i="4"/>
  <c r="N52" i="4"/>
  <c r="P51" i="4"/>
  <c r="O51" i="4"/>
  <c r="N51" i="4"/>
  <c r="P50" i="4"/>
  <c r="O50" i="4"/>
  <c r="N50" i="4"/>
  <c r="P49" i="4"/>
  <c r="O49" i="4"/>
  <c r="N49" i="4"/>
  <c r="P48" i="4"/>
  <c r="O48" i="4"/>
  <c r="N48" i="4"/>
  <c r="P47" i="4"/>
  <c r="O47" i="4"/>
  <c r="N47" i="4"/>
  <c r="P46" i="4"/>
  <c r="O46" i="4"/>
  <c r="N46" i="4"/>
  <c r="P45" i="4"/>
  <c r="O45" i="4"/>
  <c r="N45" i="4"/>
  <c r="P44" i="4"/>
  <c r="O44" i="4"/>
  <c r="N44" i="4"/>
  <c r="P43" i="4"/>
  <c r="O43" i="4"/>
  <c r="N43" i="4"/>
  <c r="P42" i="4"/>
  <c r="O42" i="4"/>
  <c r="N42" i="4"/>
  <c r="P41" i="4"/>
  <c r="O41" i="4"/>
  <c r="N41" i="4"/>
  <c r="P40" i="4"/>
  <c r="O40" i="4"/>
  <c r="N40" i="4"/>
  <c r="P39" i="4"/>
  <c r="O39" i="4"/>
  <c r="N39" i="4"/>
  <c r="P38" i="4"/>
  <c r="O38" i="4"/>
  <c r="N38" i="4"/>
  <c r="P37" i="4"/>
  <c r="O37" i="4"/>
  <c r="N37" i="4"/>
  <c r="P36" i="4"/>
  <c r="O36" i="4"/>
  <c r="N36" i="4"/>
  <c r="P35" i="4"/>
  <c r="O35" i="4"/>
  <c r="N35" i="4"/>
  <c r="P34" i="4"/>
  <c r="O34" i="4"/>
  <c r="N34" i="4"/>
  <c r="P33" i="4"/>
  <c r="O33" i="4"/>
  <c r="N33" i="4"/>
  <c r="P32" i="4"/>
  <c r="O32" i="4"/>
  <c r="N32" i="4"/>
  <c r="P31" i="4"/>
  <c r="O31" i="4"/>
  <c r="N31" i="4"/>
  <c r="P30" i="4"/>
  <c r="O30" i="4"/>
  <c r="N30" i="4"/>
  <c r="P29" i="4"/>
  <c r="O29" i="4"/>
  <c r="N29" i="4"/>
  <c r="P28" i="4"/>
  <c r="O28" i="4"/>
  <c r="N28" i="4"/>
  <c r="P27" i="4"/>
  <c r="O27" i="4"/>
  <c r="N27" i="4"/>
  <c r="P26" i="4"/>
  <c r="O26" i="4"/>
  <c r="N26" i="4"/>
  <c r="P25" i="4"/>
  <c r="O25" i="4"/>
  <c r="N25" i="4"/>
  <c r="P24" i="4"/>
  <c r="O24" i="4"/>
  <c r="N24" i="4"/>
  <c r="P23" i="4"/>
  <c r="O23" i="4"/>
  <c r="N23" i="4"/>
  <c r="P22" i="4"/>
  <c r="O22" i="4"/>
  <c r="N22" i="4"/>
  <c r="P21" i="4"/>
  <c r="O21" i="4"/>
  <c r="N21" i="4"/>
  <c r="P20" i="4"/>
  <c r="O20" i="4"/>
  <c r="N20" i="4"/>
  <c r="P19" i="4"/>
  <c r="O19" i="4"/>
  <c r="N19" i="4"/>
  <c r="P18" i="4"/>
  <c r="O18" i="4"/>
  <c r="N18" i="4"/>
  <c r="P17" i="4"/>
  <c r="O17" i="4"/>
  <c r="N17" i="4"/>
  <c r="P16" i="4"/>
  <c r="O16" i="4"/>
  <c r="N16" i="4"/>
  <c r="P15" i="4"/>
  <c r="O15" i="4"/>
  <c r="N15" i="4"/>
  <c r="P14" i="4"/>
  <c r="O14" i="4"/>
  <c r="N14" i="4"/>
  <c r="P13" i="4"/>
  <c r="O13" i="4"/>
  <c r="N13" i="4"/>
  <c r="P12" i="4"/>
  <c r="O12" i="4"/>
  <c r="N12" i="4"/>
  <c r="P11" i="4"/>
  <c r="O11" i="4"/>
  <c r="N11" i="4"/>
  <c r="P10" i="4"/>
  <c r="O10" i="4"/>
  <c r="N10" i="4"/>
  <c r="P9" i="4"/>
  <c r="O9" i="4"/>
  <c r="N9" i="4"/>
  <c r="P8" i="4"/>
  <c r="O8" i="4"/>
  <c r="N8" i="4"/>
  <c r="P7" i="4"/>
  <c r="O7" i="4"/>
  <c r="N7" i="4"/>
  <c r="P6" i="4"/>
  <c r="O6" i="4"/>
  <c r="N6" i="4"/>
  <c r="P5" i="4"/>
  <c r="O5" i="4"/>
  <c r="N5" i="4"/>
  <c r="P4" i="4"/>
  <c r="O4" i="4"/>
  <c r="N4" i="4"/>
  <c r="P3" i="4"/>
  <c r="O3" i="4"/>
  <c r="N3" i="4"/>
  <c r="P2" i="4"/>
  <c r="O2" i="4"/>
  <c r="N2" i="4"/>
  <c r="Q352" i="3"/>
  <c r="P352" i="3"/>
  <c r="N352" i="3"/>
  <c r="AA352" i="3" s="1"/>
  <c r="M352" i="3"/>
  <c r="D352" i="3"/>
  <c r="C352" i="3"/>
  <c r="AD352" i="3" s="1"/>
  <c r="B352" i="3"/>
  <c r="Q351" i="3"/>
  <c r="P351" i="3"/>
  <c r="N351" i="3"/>
  <c r="M351" i="3"/>
  <c r="D351" i="3"/>
  <c r="C351" i="3"/>
  <c r="AC351" i="3" s="1"/>
  <c r="O351" i="3" s="1"/>
  <c r="B351" i="3"/>
  <c r="Q350" i="3"/>
  <c r="P350" i="3"/>
  <c r="N350" i="3"/>
  <c r="AB350" i="3" s="1"/>
  <c r="M350" i="3"/>
  <c r="D350" i="3"/>
  <c r="C350" i="3"/>
  <c r="A350" i="3" s="1"/>
  <c r="B350" i="3"/>
  <c r="Q349" i="3"/>
  <c r="P349" i="3"/>
  <c r="N349" i="3"/>
  <c r="M349" i="3"/>
  <c r="D349" i="3"/>
  <c r="C349" i="3"/>
  <c r="A349" i="3" s="1"/>
  <c r="B349" i="3"/>
  <c r="Q348" i="3"/>
  <c r="P348" i="3"/>
  <c r="N348" i="3"/>
  <c r="AB348" i="3" s="1"/>
  <c r="M348" i="3"/>
  <c r="D348" i="3"/>
  <c r="C348" i="3"/>
  <c r="A348" i="3" s="1"/>
  <c r="B348" i="3"/>
  <c r="Q347" i="3"/>
  <c r="P347" i="3"/>
  <c r="N347" i="3"/>
  <c r="R347" i="3" s="1"/>
  <c r="M347" i="3"/>
  <c r="D347" i="3"/>
  <c r="C347" i="3"/>
  <c r="B347" i="3"/>
  <c r="Q346" i="3"/>
  <c r="P346" i="3"/>
  <c r="N346" i="3"/>
  <c r="Y346" i="3" s="1"/>
  <c r="M346" i="3"/>
  <c r="D346" i="3"/>
  <c r="C346" i="3"/>
  <c r="A346" i="3" s="1"/>
  <c r="B346" i="3"/>
  <c r="Q345" i="3"/>
  <c r="P345" i="3"/>
  <c r="N345" i="3"/>
  <c r="Y345" i="3" s="1"/>
  <c r="M345" i="3"/>
  <c r="D345" i="3"/>
  <c r="C345" i="3"/>
  <c r="A345" i="3" s="1"/>
  <c r="B345" i="3"/>
  <c r="Q344" i="3"/>
  <c r="P344" i="3"/>
  <c r="N344" i="3"/>
  <c r="R344" i="3" s="1"/>
  <c r="T344" i="3" s="1"/>
  <c r="M344" i="3"/>
  <c r="D344" i="3"/>
  <c r="C344" i="3"/>
  <c r="AD344" i="3" s="1"/>
  <c r="B344" i="3"/>
  <c r="Q343" i="3"/>
  <c r="P343" i="3"/>
  <c r="N343" i="3"/>
  <c r="AB343" i="3" s="1"/>
  <c r="M343" i="3"/>
  <c r="D343" i="3"/>
  <c r="C343" i="3"/>
  <c r="AC343" i="3" s="1"/>
  <c r="O343" i="3" s="1"/>
  <c r="B343" i="3"/>
  <c r="Q342" i="3"/>
  <c r="P342" i="3"/>
  <c r="N342" i="3"/>
  <c r="R342" i="3" s="1"/>
  <c r="S342" i="3" s="1"/>
  <c r="M342" i="3"/>
  <c r="D342" i="3"/>
  <c r="C342" i="3"/>
  <c r="B342" i="3"/>
  <c r="Q341" i="3"/>
  <c r="P341" i="3"/>
  <c r="N341" i="3"/>
  <c r="AB341" i="3" s="1"/>
  <c r="M341" i="3"/>
  <c r="D341" i="3"/>
  <c r="C341" i="3"/>
  <c r="A341" i="3" s="1"/>
  <c r="B341" i="3"/>
  <c r="Q340" i="3"/>
  <c r="P340" i="3"/>
  <c r="N340" i="3"/>
  <c r="M340" i="3"/>
  <c r="D340" i="3"/>
  <c r="C340" i="3"/>
  <c r="A340" i="3" s="1"/>
  <c r="B340" i="3"/>
  <c r="Q339" i="3"/>
  <c r="P339" i="3"/>
  <c r="N339" i="3"/>
  <c r="Z339" i="3" s="1"/>
  <c r="M339" i="3"/>
  <c r="D339" i="3"/>
  <c r="C339" i="3"/>
  <c r="B339" i="3"/>
  <c r="Q338" i="3"/>
  <c r="P338" i="3"/>
  <c r="N338" i="3"/>
  <c r="X338" i="3" s="1"/>
  <c r="M338" i="3"/>
  <c r="D338" i="3"/>
  <c r="C338" i="3"/>
  <c r="A338" i="3" s="1"/>
  <c r="B338" i="3"/>
  <c r="Q337" i="3"/>
  <c r="P337" i="3"/>
  <c r="N337" i="3"/>
  <c r="Y337" i="3" s="1"/>
  <c r="M337" i="3"/>
  <c r="D337" i="3"/>
  <c r="C337" i="3"/>
  <c r="AC337" i="3" s="1"/>
  <c r="O337" i="3" s="1"/>
  <c r="B337" i="3"/>
  <c r="Q336" i="3"/>
  <c r="P336" i="3"/>
  <c r="N336" i="3"/>
  <c r="X336" i="3" s="1"/>
  <c r="M336" i="3"/>
  <c r="D336" i="3"/>
  <c r="C336" i="3"/>
  <c r="A336" i="3" s="1"/>
  <c r="B336" i="3"/>
  <c r="Q335" i="3"/>
  <c r="P335" i="3"/>
  <c r="N335" i="3"/>
  <c r="Z335" i="3" s="1"/>
  <c r="M335" i="3"/>
  <c r="D335" i="3"/>
  <c r="C335" i="3"/>
  <c r="AC335" i="3" s="1"/>
  <c r="O335" i="3" s="1"/>
  <c r="B335" i="3"/>
  <c r="Q334" i="3"/>
  <c r="P334" i="3"/>
  <c r="N334" i="3"/>
  <c r="AA334" i="3" s="1"/>
  <c r="M334" i="3"/>
  <c r="D334" i="3"/>
  <c r="C334" i="3"/>
  <c r="AC334" i="3" s="1"/>
  <c r="O334" i="3" s="1"/>
  <c r="B334" i="3"/>
  <c r="Q333" i="3"/>
  <c r="P333" i="3"/>
  <c r="N333" i="3"/>
  <c r="M333" i="3"/>
  <c r="D333" i="3"/>
  <c r="C333" i="3"/>
  <c r="B333" i="3"/>
  <c r="Q332" i="3"/>
  <c r="P332" i="3"/>
  <c r="N332" i="3"/>
  <c r="M332" i="3"/>
  <c r="D332" i="3"/>
  <c r="C332" i="3"/>
  <c r="AD332" i="3" s="1"/>
  <c r="B332" i="3"/>
  <c r="Q331" i="3"/>
  <c r="P331" i="3"/>
  <c r="N331" i="3"/>
  <c r="AB331" i="3" s="1"/>
  <c r="M331" i="3"/>
  <c r="D331" i="3"/>
  <c r="C331" i="3"/>
  <c r="B331" i="3"/>
  <c r="Q330" i="3"/>
  <c r="P330" i="3"/>
  <c r="N330" i="3"/>
  <c r="Z330" i="3" s="1"/>
  <c r="M330" i="3"/>
  <c r="D330" i="3"/>
  <c r="C330" i="3"/>
  <c r="AC330" i="3" s="1"/>
  <c r="O330" i="3" s="1"/>
  <c r="B330" i="3"/>
  <c r="Q329" i="3"/>
  <c r="P329" i="3"/>
  <c r="N329" i="3"/>
  <c r="X329" i="3" s="1"/>
  <c r="M329" i="3"/>
  <c r="D329" i="3"/>
  <c r="C329" i="3"/>
  <c r="AC329" i="3" s="1"/>
  <c r="O329" i="3" s="1"/>
  <c r="B329" i="3"/>
  <c r="Q328" i="3"/>
  <c r="P328" i="3"/>
  <c r="N328" i="3"/>
  <c r="Y328" i="3" s="1"/>
  <c r="M328" i="3"/>
  <c r="D328" i="3"/>
  <c r="C328" i="3"/>
  <c r="B328" i="3"/>
  <c r="Q327" i="3"/>
  <c r="P327" i="3"/>
  <c r="N327" i="3"/>
  <c r="Y327" i="3" s="1"/>
  <c r="M327" i="3"/>
  <c r="D327" i="3"/>
  <c r="C327" i="3"/>
  <c r="AC327" i="3" s="1"/>
  <c r="O327" i="3" s="1"/>
  <c r="B327" i="3"/>
  <c r="Q326" i="3"/>
  <c r="P326" i="3"/>
  <c r="N326" i="3"/>
  <c r="R326" i="3" s="1"/>
  <c r="M326" i="3"/>
  <c r="D326" i="3"/>
  <c r="C326" i="3"/>
  <c r="AC326" i="3" s="1"/>
  <c r="O326" i="3" s="1"/>
  <c r="B326" i="3"/>
  <c r="Q325" i="3"/>
  <c r="P325" i="3"/>
  <c r="N325" i="3"/>
  <c r="AB325" i="3" s="1"/>
  <c r="M325" i="3"/>
  <c r="D325" i="3"/>
  <c r="C325" i="3"/>
  <c r="AC325" i="3" s="1"/>
  <c r="O325" i="3" s="1"/>
  <c r="B325" i="3"/>
  <c r="Q324" i="3"/>
  <c r="P324" i="3"/>
  <c r="N324" i="3"/>
  <c r="Z324" i="3" s="1"/>
  <c r="M324" i="3"/>
  <c r="D324" i="3"/>
  <c r="C324" i="3"/>
  <c r="AC324" i="3" s="1"/>
  <c r="O324" i="3" s="1"/>
  <c r="B324" i="3"/>
  <c r="Q323" i="3"/>
  <c r="P323" i="3"/>
  <c r="N323" i="3"/>
  <c r="AB323" i="3" s="1"/>
  <c r="M323" i="3"/>
  <c r="D323" i="3"/>
  <c r="C323" i="3"/>
  <c r="A323" i="3" s="1"/>
  <c r="B323" i="3"/>
  <c r="Q322" i="3"/>
  <c r="P322" i="3"/>
  <c r="N322" i="3"/>
  <c r="Z322" i="3" s="1"/>
  <c r="M322" i="3"/>
  <c r="D322" i="3"/>
  <c r="C322" i="3"/>
  <c r="AC322" i="3" s="1"/>
  <c r="O322" i="3" s="1"/>
  <c r="B322" i="3"/>
  <c r="Q321" i="3"/>
  <c r="P321" i="3"/>
  <c r="N321" i="3"/>
  <c r="AB321" i="3" s="1"/>
  <c r="M321" i="3"/>
  <c r="D321" i="3"/>
  <c r="C321" i="3"/>
  <c r="A321" i="3" s="1"/>
  <c r="B321" i="3"/>
  <c r="Q320" i="3"/>
  <c r="P320" i="3"/>
  <c r="N320" i="3"/>
  <c r="Y320" i="3" s="1"/>
  <c r="M320" i="3"/>
  <c r="D320" i="3"/>
  <c r="C320" i="3"/>
  <c r="AD320" i="3" s="1"/>
  <c r="B320" i="3"/>
  <c r="Q319" i="3"/>
  <c r="P319" i="3"/>
  <c r="N319" i="3"/>
  <c r="M319" i="3"/>
  <c r="D319" i="3"/>
  <c r="C319" i="3"/>
  <c r="A319" i="3" s="1"/>
  <c r="B319" i="3"/>
  <c r="Q318" i="3"/>
  <c r="P318" i="3"/>
  <c r="N318" i="3"/>
  <c r="R318" i="3" s="1"/>
  <c r="M318" i="3"/>
  <c r="D318" i="3"/>
  <c r="C318" i="3"/>
  <c r="AD318" i="3" s="1"/>
  <c r="B318" i="3"/>
  <c r="Q317" i="3"/>
  <c r="P317" i="3"/>
  <c r="N317" i="3"/>
  <c r="R317" i="3" s="1"/>
  <c r="W317" i="3" s="1"/>
  <c r="M317" i="3"/>
  <c r="D317" i="3"/>
  <c r="C317" i="3"/>
  <c r="A317" i="3" s="1"/>
  <c r="B317" i="3"/>
  <c r="Q316" i="3"/>
  <c r="P316" i="3"/>
  <c r="N316" i="3"/>
  <c r="AB316" i="3" s="1"/>
  <c r="M316" i="3"/>
  <c r="D316" i="3"/>
  <c r="C316" i="3"/>
  <c r="A316" i="3" s="1"/>
  <c r="B316" i="3"/>
  <c r="Q315" i="3"/>
  <c r="P315" i="3"/>
  <c r="N315" i="3"/>
  <c r="AB315" i="3" s="1"/>
  <c r="M315" i="3"/>
  <c r="D315" i="3"/>
  <c r="C315" i="3"/>
  <c r="AC315" i="3" s="1"/>
  <c r="O315" i="3" s="1"/>
  <c r="B315" i="3"/>
  <c r="Q314" i="3"/>
  <c r="P314" i="3"/>
  <c r="N314" i="3"/>
  <c r="AA314" i="3" s="1"/>
  <c r="M314" i="3"/>
  <c r="D314" i="3"/>
  <c r="C314" i="3"/>
  <c r="A314" i="3" s="1"/>
  <c r="B314" i="3"/>
  <c r="Q313" i="3"/>
  <c r="P313" i="3"/>
  <c r="N313" i="3"/>
  <c r="AB313" i="3" s="1"/>
  <c r="M313" i="3"/>
  <c r="D313" i="3"/>
  <c r="C313" i="3"/>
  <c r="A313" i="3" s="1"/>
  <c r="B313" i="3"/>
  <c r="Q312" i="3"/>
  <c r="P312" i="3"/>
  <c r="N312" i="3"/>
  <c r="X312" i="3" s="1"/>
  <c r="M312" i="3"/>
  <c r="D312" i="3"/>
  <c r="C312" i="3"/>
  <c r="AC312" i="3" s="1"/>
  <c r="O312" i="3" s="1"/>
  <c r="B312" i="3"/>
  <c r="Q311" i="3"/>
  <c r="P311" i="3"/>
  <c r="N311" i="3"/>
  <c r="R311" i="3" s="1"/>
  <c r="W311" i="3" s="1"/>
  <c r="M311" i="3"/>
  <c r="D311" i="3"/>
  <c r="C311" i="3"/>
  <c r="AD311" i="3" s="1"/>
  <c r="B311" i="3"/>
  <c r="Q310" i="3"/>
  <c r="P310" i="3"/>
  <c r="N310" i="3"/>
  <c r="X310" i="3" s="1"/>
  <c r="M310" i="3"/>
  <c r="D310" i="3"/>
  <c r="C310" i="3"/>
  <c r="AD310" i="3" s="1"/>
  <c r="B310" i="3"/>
  <c r="Q309" i="3"/>
  <c r="P309" i="3"/>
  <c r="N309" i="3"/>
  <c r="AB309" i="3" s="1"/>
  <c r="M309" i="3"/>
  <c r="D309" i="3"/>
  <c r="C309" i="3"/>
  <c r="A309" i="3" s="1"/>
  <c r="B309" i="3"/>
  <c r="Q308" i="3"/>
  <c r="P308" i="3"/>
  <c r="N308" i="3"/>
  <c r="AB308" i="3" s="1"/>
  <c r="M308" i="3"/>
  <c r="D308" i="3"/>
  <c r="C308" i="3"/>
  <c r="AD308" i="3" s="1"/>
  <c r="B308" i="3"/>
  <c r="Q307" i="3"/>
  <c r="P307" i="3"/>
  <c r="N307" i="3"/>
  <c r="AA307" i="3" s="1"/>
  <c r="M307" i="3"/>
  <c r="D307" i="3"/>
  <c r="C307" i="3"/>
  <c r="AC307" i="3" s="1"/>
  <c r="O307" i="3" s="1"/>
  <c r="B307" i="3"/>
  <c r="Q306" i="3"/>
  <c r="P306" i="3"/>
  <c r="N306" i="3"/>
  <c r="AB306" i="3" s="1"/>
  <c r="M306" i="3"/>
  <c r="D306" i="3"/>
  <c r="C306" i="3"/>
  <c r="AC306" i="3" s="1"/>
  <c r="O306" i="3" s="1"/>
  <c r="B306" i="3"/>
  <c r="Q305" i="3"/>
  <c r="P305" i="3"/>
  <c r="N305" i="3"/>
  <c r="X305" i="3" s="1"/>
  <c r="M305" i="3"/>
  <c r="D305" i="3"/>
  <c r="C305" i="3"/>
  <c r="AC305" i="3" s="1"/>
  <c r="O305" i="3" s="1"/>
  <c r="B305" i="3"/>
  <c r="Q304" i="3"/>
  <c r="P304" i="3"/>
  <c r="N304" i="3"/>
  <c r="R304" i="3" s="1"/>
  <c r="W304" i="3" s="1"/>
  <c r="M304" i="3"/>
  <c r="D304" i="3"/>
  <c r="C304" i="3"/>
  <c r="AC304" i="3" s="1"/>
  <c r="O304" i="3" s="1"/>
  <c r="B304" i="3"/>
  <c r="Q303" i="3"/>
  <c r="P303" i="3"/>
  <c r="N303" i="3"/>
  <c r="Y303" i="3" s="1"/>
  <c r="M303" i="3"/>
  <c r="D303" i="3"/>
  <c r="C303" i="3"/>
  <c r="AD303" i="3" s="1"/>
  <c r="B303" i="3"/>
  <c r="Q302" i="3"/>
  <c r="P302" i="3"/>
  <c r="N302" i="3"/>
  <c r="AB302" i="3" s="1"/>
  <c r="M302" i="3"/>
  <c r="D302" i="3"/>
  <c r="C302" i="3"/>
  <c r="AC302" i="3" s="1"/>
  <c r="O302" i="3" s="1"/>
  <c r="B302" i="3"/>
  <c r="Q301" i="3"/>
  <c r="P301" i="3"/>
  <c r="N301" i="3"/>
  <c r="AA301" i="3" s="1"/>
  <c r="M301" i="3"/>
  <c r="D301" i="3"/>
  <c r="C301" i="3"/>
  <c r="AC301" i="3" s="1"/>
  <c r="O301" i="3" s="1"/>
  <c r="B301" i="3"/>
  <c r="Q300" i="3"/>
  <c r="P300" i="3"/>
  <c r="N300" i="3"/>
  <c r="M300" i="3"/>
  <c r="D300" i="3"/>
  <c r="C300" i="3"/>
  <c r="AD300" i="3" s="1"/>
  <c r="B300" i="3"/>
  <c r="Q299" i="3"/>
  <c r="P299" i="3"/>
  <c r="N299" i="3"/>
  <c r="Z299" i="3" s="1"/>
  <c r="M299" i="3"/>
  <c r="D299" i="3"/>
  <c r="C299" i="3"/>
  <c r="B299" i="3"/>
  <c r="Q298" i="3"/>
  <c r="P298" i="3"/>
  <c r="N298" i="3"/>
  <c r="R298" i="3" s="1"/>
  <c r="M298" i="3"/>
  <c r="D298" i="3"/>
  <c r="C298" i="3"/>
  <c r="AD298" i="3" s="1"/>
  <c r="B298" i="3"/>
  <c r="Q297" i="3"/>
  <c r="P297" i="3"/>
  <c r="N297" i="3"/>
  <c r="M297" i="3"/>
  <c r="D297" i="3"/>
  <c r="C297" i="3"/>
  <c r="B297" i="3"/>
  <c r="Q296" i="3"/>
  <c r="P296" i="3"/>
  <c r="N296" i="3"/>
  <c r="AB296" i="3" s="1"/>
  <c r="M296" i="3"/>
  <c r="D296" i="3"/>
  <c r="C296" i="3"/>
  <c r="AD296" i="3" s="1"/>
  <c r="B296" i="3"/>
  <c r="Q295" i="3"/>
  <c r="P295" i="3"/>
  <c r="N295" i="3"/>
  <c r="AA295" i="3" s="1"/>
  <c r="M295" i="3"/>
  <c r="D295" i="3"/>
  <c r="C295" i="3"/>
  <c r="A295" i="3" s="1"/>
  <c r="B295" i="3"/>
  <c r="Q294" i="3"/>
  <c r="P294" i="3"/>
  <c r="N294" i="3"/>
  <c r="Z294" i="3" s="1"/>
  <c r="M294" i="3"/>
  <c r="D294" i="3"/>
  <c r="C294" i="3"/>
  <c r="A294" i="3" s="1"/>
  <c r="B294" i="3"/>
  <c r="Q293" i="3"/>
  <c r="P293" i="3"/>
  <c r="N293" i="3"/>
  <c r="AB293" i="3" s="1"/>
  <c r="M293" i="3"/>
  <c r="D293" i="3"/>
  <c r="C293" i="3"/>
  <c r="AC293" i="3" s="1"/>
  <c r="O293" i="3" s="1"/>
  <c r="B293" i="3"/>
  <c r="Q292" i="3"/>
  <c r="P292" i="3"/>
  <c r="N292" i="3"/>
  <c r="Z292" i="3" s="1"/>
  <c r="M292" i="3"/>
  <c r="D292" i="3"/>
  <c r="C292" i="3"/>
  <c r="AC292" i="3" s="1"/>
  <c r="O292" i="3" s="1"/>
  <c r="B292" i="3"/>
  <c r="Q291" i="3"/>
  <c r="P291" i="3"/>
  <c r="N291" i="3"/>
  <c r="AA291" i="3" s="1"/>
  <c r="M291" i="3"/>
  <c r="D291" i="3"/>
  <c r="C291" i="3"/>
  <c r="AD291" i="3" s="1"/>
  <c r="B291" i="3"/>
  <c r="Q290" i="3"/>
  <c r="P290" i="3"/>
  <c r="N290" i="3"/>
  <c r="Z290" i="3" s="1"/>
  <c r="M290" i="3"/>
  <c r="D290" i="3"/>
  <c r="C290" i="3"/>
  <c r="B290" i="3"/>
  <c r="Q289" i="3"/>
  <c r="P289" i="3"/>
  <c r="N289" i="3"/>
  <c r="Z289" i="3" s="1"/>
  <c r="M289" i="3"/>
  <c r="D289" i="3"/>
  <c r="C289" i="3"/>
  <c r="AD289" i="3" s="1"/>
  <c r="B289" i="3"/>
  <c r="Q288" i="3"/>
  <c r="P288" i="3"/>
  <c r="N288" i="3"/>
  <c r="AA288" i="3" s="1"/>
  <c r="M288" i="3"/>
  <c r="D288" i="3"/>
  <c r="C288" i="3"/>
  <c r="B288" i="3"/>
  <c r="Q287" i="3"/>
  <c r="P287" i="3"/>
  <c r="N287" i="3"/>
  <c r="AA287" i="3" s="1"/>
  <c r="M287" i="3"/>
  <c r="D287" i="3"/>
  <c r="C287" i="3"/>
  <c r="AC287" i="3" s="1"/>
  <c r="O287" i="3" s="1"/>
  <c r="B287" i="3"/>
  <c r="Q286" i="3"/>
  <c r="P286" i="3"/>
  <c r="N286" i="3"/>
  <c r="AB286" i="3" s="1"/>
  <c r="M286" i="3"/>
  <c r="D286" i="3"/>
  <c r="C286" i="3"/>
  <c r="A286" i="3" s="1"/>
  <c r="B286" i="3"/>
  <c r="Q285" i="3"/>
  <c r="P285" i="3"/>
  <c r="N285" i="3"/>
  <c r="M285" i="3"/>
  <c r="D285" i="3"/>
  <c r="C285" i="3"/>
  <c r="A285" i="3" s="1"/>
  <c r="B285" i="3"/>
  <c r="Q284" i="3"/>
  <c r="P284" i="3"/>
  <c r="N284" i="3"/>
  <c r="R284" i="3" s="1"/>
  <c r="M284" i="3"/>
  <c r="D284" i="3"/>
  <c r="C284" i="3"/>
  <c r="AD284" i="3" s="1"/>
  <c r="B284" i="3"/>
  <c r="Q283" i="3"/>
  <c r="P283" i="3"/>
  <c r="N283" i="3"/>
  <c r="Z283" i="3" s="1"/>
  <c r="M283" i="3"/>
  <c r="D283" i="3"/>
  <c r="C283" i="3"/>
  <c r="B283" i="3"/>
  <c r="Q282" i="3"/>
  <c r="P282" i="3"/>
  <c r="N282" i="3"/>
  <c r="R282" i="3" s="1"/>
  <c r="W282" i="3" s="1"/>
  <c r="M282" i="3"/>
  <c r="D282" i="3"/>
  <c r="C282" i="3"/>
  <c r="AC282" i="3" s="1"/>
  <c r="O282" i="3" s="1"/>
  <c r="B282" i="3"/>
  <c r="Q281" i="3"/>
  <c r="P281" i="3"/>
  <c r="N281" i="3"/>
  <c r="AA281" i="3" s="1"/>
  <c r="M281" i="3"/>
  <c r="D281" i="3"/>
  <c r="C281" i="3"/>
  <c r="B281" i="3"/>
  <c r="Q280" i="3"/>
  <c r="P280" i="3"/>
  <c r="N280" i="3"/>
  <c r="AB280" i="3" s="1"/>
  <c r="M280" i="3"/>
  <c r="D280" i="3"/>
  <c r="C280" i="3"/>
  <c r="A280" i="3" s="1"/>
  <c r="B280" i="3"/>
  <c r="Q279" i="3"/>
  <c r="P279" i="3"/>
  <c r="N279" i="3"/>
  <c r="AB279" i="3" s="1"/>
  <c r="M279" i="3"/>
  <c r="D279" i="3"/>
  <c r="C279" i="3"/>
  <c r="A279" i="3" s="1"/>
  <c r="B279" i="3"/>
  <c r="Q278" i="3"/>
  <c r="P278" i="3"/>
  <c r="N278" i="3"/>
  <c r="R278" i="3" s="1"/>
  <c r="M278" i="3"/>
  <c r="D278" i="3"/>
  <c r="C278" i="3"/>
  <c r="B278" i="3"/>
  <c r="Q277" i="3"/>
  <c r="P277" i="3"/>
  <c r="N277" i="3"/>
  <c r="Y277" i="3" s="1"/>
  <c r="M277" i="3"/>
  <c r="D277" i="3"/>
  <c r="C277" i="3"/>
  <c r="B277" i="3"/>
  <c r="Q276" i="3"/>
  <c r="P276" i="3"/>
  <c r="N276" i="3"/>
  <c r="X276" i="3" s="1"/>
  <c r="M276" i="3"/>
  <c r="D276" i="3"/>
  <c r="C276" i="3"/>
  <c r="A276" i="3" s="1"/>
  <c r="B276" i="3"/>
  <c r="Q275" i="3"/>
  <c r="P275" i="3"/>
  <c r="N275" i="3"/>
  <c r="AB275" i="3" s="1"/>
  <c r="M275" i="3"/>
  <c r="D275" i="3"/>
  <c r="C275" i="3"/>
  <c r="A275" i="3" s="1"/>
  <c r="B275" i="3"/>
  <c r="Q274" i="3"/>
  <c r="P274" i="3"/>
  <c r="N274" i="3"/>
  <c r="AA274" i="3" s="1"/>
  <c r="M274" i="3"/>
  <c r="D274" i="3"/>
  <c r="C274" i="3"/>
  <c r="AC274" i="3" s="1"/>
  <c r="O274" i="3" s="1"/>
  <c r="B274" i="3"/>
  <c r="Q273" i="3"/>
  <c r="P273" i="3"/>
  <c r="N273" i="3"/>
  <c r="AA273" i="3" s="1"/>
  <c r="M273" i="3"/>
  <c r="D273" i="3"/>
  <c r="C273" i="3"/>
  <c r="A273" i="3" s="1"/>
  <c r="B273" i="3"/>
  <c r="Q272" i="3"/>
  <c r="P272" i="3"/>
  <c r="N272" i="3"/>
  <c r="AB272" i="3" s="1"/>
  <c r="M272" i="3"/>
  <c r="D272" i="3"/>
  <c r="C272" i="3"/>
  <c r="A272" i="3" s="1"/>
  <c r="B272" i="3"/>
  <c r="Q271" i="3"/>
  <c r="P271" i="3"/>
  <c r="N271" i="3"/>
  <c r="R271" i="3" s="1"/>
  <c r="M271" i="3"/>
  <c r="D271" i="3"/>
  <c r="C271" i="3"/>
  <c r="AD271" i="3" s="1"/>
  <c r="B271" i="3"/>
  <c r="Q270" i="3"/>
  <c r="P270" i="3"/>
  <c r="N270" i="3"/>
  <c r="R270" i="3" s="1"/>
  <c r="M270" i="3"/>
  <c r="D270" i="3"/>
  <c r="C270" i="3"/>
  <c r="B270" i="3"/>
  <c r="Q269" i="3"/>
  <c r="P269" i="3"/>
  <c r="N269" i="3"/>
  <c r="R269" i="3" s="1"/>
  <c r="U269" i="3" s="1"/>
  <c r="M269" i="3"/>
  <c r="D269" i="3"/>
  <c r="C269" i="3"/>
  <c r="AC269" i="3" s="1"/>
  <c r="O269" i="3" s="1"/>
  <c r="B269" i="3"/>
  <c r="Q268" i="3"/>
  <c r="P268" i="3"/>
  <c r="N268" i="3"/>
  <c r="M268" i="3"/>
  <c r="D268" i="3"/>
  <c r="C268" i="3"/>
  <c r="B268" i="3"/>
  <c r="Q267" i="3"/>
  <c r="P267" i="3"/>
  <c r="N267" i="3"/>
  <c r="X267" i="3" s="1"/>
  <c r="M267" i="3"/>
  <c r="D267" i="3"/>
  <c r="C267" i="3"/>
  <c r="B267" i="3"/>
  <c r="Q266" i="3"/>
  <c r="P266" i="3"/>
  <c r="N266" i="3"/>
  <c r="AA266" i="3" s="1"/>
  <c r="M266" i="3"/>
  <c r="D266" i="3"/>
  <c r="C266" i="3"/>
  <c r="A266" i="3" s="1"/>
  <c r="B266" i="3"/>
  <c r="Q265" i="3"/>
  <c r="P265" i="3"/>
  <c r="N265" i="3"/>
  <c r="R265" i="3" s="1"/>
  <c r="M265" i="3"/>
  <c r="D265" i="3"/>
  <c r="C265" i="3"/>
  <c r="A265" i="3" s="1"/>
  <c r="B265" i="3"/>
  <c r="Q264" i="3"/>
  <c r="P264" i="3"/>
  <c r="N264" i="3"/>
  <c r="AA264" i="3" s="1"/>
  <c r="M264" i="3"/>
  <c r="D264" i="3"/>
  <c r="C264" i="3"/>
  <c r="AC264" i="3" s="1"/>
  <c r="O264" i="3" s="1"/>
  <c r="B264" i="3"/>
  <c r="Q263" i="3"/>
  <c r="P263" i="3"/>
  <c r="N263" i="3"/>
  <c r="AB263" i="3" s="1"/>
  <c r="M263" i="3"/>
  <c r="D263" i="3"/>
  <c r="C263" i="3"/>
  <c r="A263" i="3" s="1"/>
  <c r="B263" i="3"/>
  <c r="Q262" i="3"/>
  <c r="P262" i="3"/>
  <c r="N262" i="3"/>
  <c r="M262" i="3"/>
  <c r="D262" i="3"/>
  <c r="C262" i="3"/>
  <c r="A262" i="3" s="1"/>
  <c r="B262" i="3"/>
  <c r="Q261" i="3"/>
  <c r="P261" i="3"/>
  <c r="N261" i="3"/>
  <c r="R261" i="3" s="1"/>
  <c r="W261" i="3" s="1"/>
  <c r="M261" i="3"/>
  <c r="D261" i="3"/>
  <c r="C261" i="3"/>
  <c r="AC261" i="3" s="1"/>
  <c r="O261" i="3" s="1"/>
  <c r="B261" i="3"/>
  <c r="Q260" i="3"/>
  <c r="P260" i="3"/>
  <c r="N260" i="3"/>
  <c r="AA260" i="3" s="1"/>
  <c r="M260" i="3"/>
  <c r="D260" i="3"/>
  <c r="C260" i="3"/>
  <c r="AD260" i="3" s="1"/>
  <c r="B260" i="3"/>
  <c r="Q259" i="3"/>
  <c r="P259" i="3"/>
  <c r="N259" i="3"/>
  <c r="R259" i="3" s="1"/>
  <c r="M259" i="3"/>
  <c r="D259" i="3"/>
  <c r="C259" i="3"/>
  <c r="B259" i="3"/>
  <c r="Q258" i="3"/>
  <c r="P258" i="3"/>
  <c r="N258" i="3"/>
  <c r="AB258" i="3" s="1"/>
  <c r="M258" i="3"/>
  <c r="D258" i="3"/>
  <c r="C258" i="3"/>
  <c r="AD258" i="3" s="1"/>
  <c r="B258" i="3"/>
  <c r="Q257" i="3"/>
  <c r="P257" i="3"/>
  <c r="N257" i="3"/>
  <c r="AB257" i="3" s="1"/>
  <c r="M257" i="3"/>
  <c r="D257" i="3"/>
  <c r="C257" i="3"/>
  <c r="AC257" i="3" s="1"/>
  <c r="O257" i="3" s="1"/>
  <c r="B257" i="3"/>
  <c r="Q256" i="3"/>
  <c r="P256" i="3"/>
  <c r="N256" i="3"/>
  <c r="M256" i="3"/>
  <c r="D256" i="3"/>
  <c r="C256" i="3"/>
  <c r="A256" i="3" s="1"/>
  <c r="B256" i="3"/>
  <c r="Q255" i="3"/>
  <c r="P255" i="3"/>
  <c r="N255" i="3"/>
  <c r="R255" i="3" s="1"/>
  <c r="S255" i="3" s="1"/>
  <c r="M255" i="3"/>
  <c r="D255" i="3"/>
  <c r="C255" i="3"/>
  <c r="B255" i="3"/>
  <c r="Q254" i="3"/>
  <c r="P254" i="3"/>
  <c r="N254" i="3"/>
  <c r="AA254" i="3" s="1"/>
  <c r="M254" i="3"/>
  <c r="D254" i="3"/>
  <c r="C254" i="3"/>
  <c r="AC254" i="3" s="1"/>
  <c r="O254" i="3" s="1"/>
  <c r="B254" i="3"/>
  <c r="Q253" i="3"/>
  <c r="P253" i="3"/>
  <c r="N253" i="3"/>
  <c r="M253" i="3"/>
  <c r="D253" i="3"/>
  <c r="C253" i="3"/>
  <c r="AD253" i="3" s="1"/>
  <c r="B253" i="3"/>
  <c r="Q252" i="3"/>
  <c r="P252" i="3"/>
  <c r="N252" i="3"/>
  <c r="R252" i="3" s="1"/>
  <c r="M252" i="3"/>
  <c r="D252" i="3"/>
  <c r="C252" i="3"/>
  <c r="AC252" i="3" s="1"/>
  <c r="O252" i="3" s="1"/>
  <c r="B252" i="3"/>
  <c r="Q251" i="3"/>
  <c r="P251" i="3"/>
  <c r="N251" i="3"/>
  <c r="AA251" i="3" s="1"/>
  <c r="M251" i="3"/>
  <c r="D251" i="3"/>
  <c r="C251" i="3"/>
  <c r="AD251" i="3" s="1"/>
  <c r="B251" i="3"/>
  <c r="Q250" i="3"/>
  <c r="P250" i="3"/>
  <c r="N250" i="3"/>
  <c r="Y250" i="3" s="1"/>
  <c r="M250" i="3"/>
  <c r="D250" i="3"/>
  <c r="C250" i="3"/>
  <c r="AD250" i="3" s="1"/>
  <c r="B250" i="3"/>
  <c r="Q249" i="3"/>
  <c r="P249" i="3"/>
  <c r="N249" i="3"/>
  <c r="AA249" i="3" s="1"/>
  <c r="M249" i="3"/>
  <c r="D249" i="3"/>
  <c r="C249" i="3"/>
  <c r="A249" i="3" s="1"/>
  <c r="B249" i="3"/>
  <c r="Q248" i="3"/>
  <c r="P248" i="3"/>
  <c r="N248" i="3"/>
  <c r="X248" i="3" s="1"/>
  <c r="M248" i="3"/>
  <c r="D248" i="3"/>
  <c r="C248" i="3"/>
  <c r="A248" i="3" s="1"/>
  <c r="B248" i="3"/>
  <c r="Q247" i="3"/>
  <c r="P247" i="3"/>
  <c r="N247" i="3"/>
  <c r="Z247" i="3" s="1"/>
  <c r="M247" i="3"/>
  <c r="D247" i="3"/>
  <c r="C247" i="3"/>
  <c r="B247" i="3"/>
  <c r="Q246" i="3"/>
  <c r="P246" i="3"/>
  <c r="N246" i="3"/>
  <c r="Z246" i="3" s="1"/>
  <c r="M246" i="3"/>
  <c r="D246" i="3"/>
  <c r="C246" i="3"/>
  <c r="A246" i="3" s="1"/>
  <c r="B246" i="3"/>
  <c r="Q245" i="3"/>
  <c r="P245" i="3"/>
  <c r="N245" i="3"/>
  <c r="Z245" i="3" s="1"/>
  <c r="M245" i="3"/>
  <c r="D245" i="3"/>
  <c r="C245" i="3"/>
  <c r="AD245" i="3" s="1"/>
  <c r="B245" i="3"/>
  <c r="Q244" i="3"/>
  <c r="P244" i="3"/>
  <c r="N244" i="3"/>
  <c r="AA244" i="3" s="1"/>
  <c r="M244" i="3"/>
  <c r="D244" i="3"/>
  <c r="C244" i="3"/>
  <c r="AD244" i="3" s="1"/>
  <c r="B244" i="3"/>
  <c r="Q243" i="3"/>
  <c r="P243" i="3"/>
  <c r="N243" i="3"/>
  <c r="AB243" i="3" s="1"/>
  <c r="M243" i="3"/>
  <c r="D243" i="3"/>
  <c r="C243" i="3"/>
  <c r="AD243" i="3" s="1"/>
  <c r="B243" i="3"/>
  <c r="Q242" i="3"/>
  <c r="P242" i="3"/>
  <c r="N242" i="3"/>
  <c r="AB242" i="3" s="1"/>
  <c r="M242" i="3"/>
  <c r="D242" i="3"/>
  <c r="C242" i="3"/>
  <c r="AC242" i="3" s="1"/>
  <c r="O242" i="3" s="1"/>
  <c r="B242" i="3"/>
  <c r="Q241" i="3"/>
  <c r="P241" i="3"/>
  <c r="N241" i="3"/>
  <c r="Z241" i="3" s="1"/>
  <c r="M241" i="3"/>
  <c r="D241" i="3"/>
  <c r="C241" i="3"/>
  <c r="B241" i="3"/>
  <c r="Q240" i="3"/>
  <c r="P240" i="3"/>
  <c r="N240" i="3"/>
  <c r="M240" i="3"/>
  <c r="D240" i="3"/>
  <c r="C240" i="3"/>
  <c r="AD240" i="3" s="1"/>
  <c r="B240" i="3"/>
  <c r="Q239" i="3"/>
  <c r="P239" i="3"/>
  <c r="N239" i="3"/>
  <c r="Z239" i="3" s="1"/>
  <c r="M239" i="3"/>
  <c r="D239" i="3"/>
  <c r="C239" i="3"/>
  <c r="B239" i="3"/>
  <c r="Q238" i="3"/>
  <c r="P238" i="3"/>
  <c r="N238" i="3"/>
  <c r="Y238" i="3" s="1"/>
  <c r="M238" i="3"/>
  <c r="D238" i="3"/>
  <c r="C238" i="3"/>
  <c r="A238" i="3" s="1"/>
  <c r="B238" i="3"/>
  <c r="Q237" i="3"/>
  <c r="P237" i="3"/>
  <c r="N237" i="3"/>
  <c r="X237" i="3" s="1"/>
  <c r="M237" i="3"/>
  <c r="D237" i="3"/>
  <c r="C237" i="3"/>
  <c r="A237" i="3" s="1"/>
  <c r="B237" i="3"/>
  <c r="Q236" i="3"/>
  <c r="P236" i="3"/>
  <c r="N236" i="3"/>
  <c r="X236" i="3" s="1"/>
  <c r="M236" i="3"/>
  <c r="D236" i="3"/>
  <c r="C236" i="3"/>
  <c r="B236" i="3"/>
  <c r="Q235" i="3"/>
  <c r="P235" i="3"/>
  <c r="N235" i="3"/>
  <c r="Y235" i="3" s="1"/>
  <c r="M235" i="3"/>
  <c r="D235" i="3"/>
  <c r="C235" i="3"/>
  <c r="AD235" i="3" s="1"/>
  <c r="B235" i="3"/>
  <c r="Q234" i="3"/>
  <c r="P234" i="3"/>
  <c r="N234" i="3"/>
  <c r="AB234" i="3" s="1"/>
  <c r="M234" i="3"/>
  <c r="D234" i="3"/>
  <c r="C234" i="3"/>
  <c r="AC234" i="3" s="1"/>
  <c r="O234" i="3" s="1"/>
  <c r="B234" i="3"/>
  <c r="Q233" i="3"/>
  <c r="P233" i="3"/>
  <c r="N233" i="3"/>
  <c r="M233" i="3"/>
  <c r="D233" i="3"/>
  <c r="C233" i="3"/>
  <c r="B233" i="3"/>
  <c r="Q232" i="3"/>
  <c r="P232" i="3"/>
  <c r="N232" i="3"/>
  <c r="AA232" i="3" s="1"/>
  <c r="M232" i="3"/>
  <c r="D232" i="3"/>
  <c r="C232" i="3"/>
  <c r="A232" i="3" s="1"/>
  <c r="B232" i="3"/>
  <c r="Q231" i="3"/>
  <c r="P231" i="3"/>
  <c r="N231" i="3"/>
  <c r="Y231" i="3" s="1"/>
  <c r="M231" i="3"/>
  <c r="D231" i="3"/>
  <c r="C231" i="3"/>
  <c r="AD231" i="3" s="1"/>
  <c r="B231" i="3"/>
  <c r="Q230" i="3"/>
  <c r="P230" i="3"/>
  <c r="N230" i="3"/>
  <c r="AB230" i="3" s="1"/>
  <c r="M230" i="3"/>
  <c r="D230" i="3"/>
  <c r="C230" i="3"/>
  <c r="B230" i="3"/>
  <c r="Q229" i="3"/>
  <c r="P229" i="3"/>
  <c r="N229" i="3"/>
  <c r="Z229" i="3" s="1"/>
  <c r="M229" i="3"/>
  <c r="D229" i="3"/>
  <c r="C229" i="3"/>
  <c r="B229" i="3"/>
  <c r="Q228" i="3"/>
  <c r="P228" i="3"/>
  <c r="N228" i="3"/>
  <c r="Z228" i="3" s="1"/>
  <c r="M228" i="3"/>
  <c r="D228" i="3"/>
  <c r="C228" i="3"/>
  <c r="AD228" i="3" s="1"/>
  <c r="B228" i="3"/>
  <c r="Q227" i="3"/>
  <c r="P227" i="3"/>
  <c r="N227" i="3"/>
  <c r="M227" i="3"/>
  <c r="D227" i="3"/>
  <c r="C227" i="3"/>
  <c r="A227" i="3" s="1"/>
  <c r="B227" i="3"/>
  <c r="Q226" i="3"/>
  <c r="P226" i="3"/>
  <c r="N226" i="3"/>
  <c r="Z226" i="3" s="1"/>
  <c r="M226" i="3"/>
  <c r="D226" i="3"/>
  <c r="C226" i="3"/>
  <c r="B226" i="3"/>
  <c r="Q225" i="3"/>
  <c r="P225" i="3"/>
  <c r="N225" i="3"/>
  <c r="R225" i="3" s="1"/>
  <c r="M225" i="3"/>
  <c r="D225" i="3"/>
  <c r="C225" i="3"/>
  <c r="AD225" i="3" s="1"/>
  <c r="B225" i="3"/>
  <c r="Q224" i="3"/>
  <c r="P224" i="3"/>
  <c r="N224" i="3"/>
  <c r="X224" i="3" s="1"/>
  <c r="M224" i="3"/>
  <c r="D224" i="3"/>
  <c r="C224" i="3"/>
  <c r="AD224" i="3" s="1"/>
  <c r="B224" i="3"/>
  <c r="Q223" i="3"/>
  <c r="P223" i="3"/>
  <c r="N223" i="3"/>
  <c r="X223" i="3" s="1"/>
  <c r="M223" i="3"/>
  <c r="D223" i="3"/>
  <c r="C223" i="3"/>
  <c r="AD223" i="3" s="1"/>
  <c r="B223" i="3"/>
  <c r="Q222" i="3"/>
  <c r="P222" i="3"/>
  <c r="N222" i="3"/>
  <c r="AA222" i="3" s="1"/>
  <c r="M222" i="3"/>
  <c r="D222" i="3"/>
  <c r="C222" i="3"/>
  <c r="AD222" i="3" s="1"/>
  <c r="B222" i="3"/>
  <c r="Q221" i="3"/>
  <c r="P221" i="3"/>
  <c r="N221" i="3"/>
  <c r="X221" i="3" s="1"/>
  <c r="M221" i="3"/>
  <c r="D221" i="3"/>
  <c r="C221" i="3"/>
  <c r="B221" i="3"/>
  <c r="Q220" i="3"/>
  <c r="P220" i="3"/>
  <c r="N220" i="3"/>
  <c r="R220" i="3" s="1"/>
  <c r="M220" i="3"/>
  <c r="D220" i="3"/>
  <c r="C220" i="3"/>
  <c r="AD220" i="3" s="1"/>
  <c r="B220" i="3"/>
  <c r="Q219" i="3"/>
  <c r="P219" i="3"/>
  <c r="N219" i="3"/>
  <c r="AB219" i="3" s="1"/>
  <c r="M219" i="3"/>
  <c r="D219" i="3"/>
  <c r="C219" i="3"/>
  <c r="AC219" i="3" s="1"/>
  <c r="O219" i="3" s="1"/>
  <c r="B219" i="3"/>
  <c r="Q218" i="3"/>
  <c r="P218" i="3"/>
  <c r="N218" i="3"/>
  <c r="M218" i="3"/>
  <c r="D218" i="3"/>
  <c r="C218" i="3"/>
  <c r="AD218" i="3" s="1"/>
  <c r="B218" i="3"/>
  <c r="Q217" i="3"/>
  <c r="P217" i="3"/>
  <c r="N217" i="3"/>
  <c r="X217" i="3" s="1"/>
  <c r="M217" i="3"/>
  <c r="D217" i="3"/>
  <c r="C217" i="3"/>
  <c r="B217" i="3"/>
  <c r="Q216" i="3"/>
  <c r="P216" i="3"/>
  <c r="N216" i="3"/>
  <c r="Z216" i="3" s="1"/>
  <c r="M216" i="3"/>
  <c r="D216" i="3"/>
  <c r="C216" i="3"/>
  <c r="A216" i="3" s="1"/>
  <c r="B216" i="3"/>
  <c r="Q215" i="3"/>
  <c r="P215" i="3"/>
  <c r="N215" i="3"/>
  <c r="M215" i="3"/>
  <c r="D215" i="3"/>
  <c r="C215" i="3"/>
  <c r="AD215" i="3" s="1"/>
  <c r="B215" i="3"/>
  <c r="Q214" i="3"/>
  <c r="P214" i="3"/>
  <c r="N214" i="3"/>
  <c r="R214" i="3" s="1"/>
  <c r="M214" i="3"/>
  <c r="D214" i="3"/>
  <c r="C214" i="3"/>
  <c r="A214" i="3" s="1"/>
  <c r="B214" i="3"/>
  <c r="Q213" i="3"/>
  <c r="P213" i="3"/>
  <c r="N213" i="3"/>
  <c r="AB213" i="3" s="1"/>
  <c r="M213" i="3"/>
  <c r="D213" i="3"/>
  <c r="C213" i="3"/>
  <c r="AC213" i="3" s="1"/>
  <c r="O213" i="3" s="1"/>
  <c r="B213" i="3"/>
  <c r="Q212" i="3"/>
  <c r="P212" i="3"/>
  <c r="N212" i="3"/>
  <c r="AA212" i="3" s="1"/>
  <c r="M212" i="3"/>
  <c r="D212" i="3"/>
  <c r="C212" i="3"/>
  <c r="AD212" i="3" s="1"/>
  <c r="B212" i="3"/>
  <c r="Q211" i="3"/>
  <c r="P211" i="3"/>
  <c r="N211" i="3"/>
  <c r="AB211" i="3" s="1"/>
  <c r="M211" i="3"/>
  <c r="D211" i="3"/>
  <c r="C211" i="3"/>
  <c r="A211" i="3" s="1"/>
  <c r="B211" i="3"/>
  <c r="Q210" i="3"/>
  <c r="P210" i="3"/>
  <c r="N210" i="3"/>
  <c r="Z210" i="3" s="1"/>
  <c r="M210" i="3"/>
  <c r="D210" i="3"/>
  <c r="C210" i="3"/>
  <c r="AC210" i="3" s="1"/>
  <c r="O210" i="3" s="1"/>
  <c r="B210" i="3"/>
  <c r="Q209" i="3"/>
  <c r="P209" i="3"/>
  <c r="N209" i="3"/>
  <c r="AA209" i="3" s="1"/>
  <c r="M209" i="3"/>
  <c r="D209" i="3"/>
  <c r="C209" i="3"/>
  <c r="AD209" i="3" s="1"/>
  <c r="B209" i="3"/>
  <c r="Q208" i="3"/>
  <c r="P208" i="3"/>
  <c r="N208" i="3"/>
  <c r="AB208" i="3" s="1"/>
  <c r="M208" i="3"/>
  <c r="D208" i="3"/>
  <c r="C208" i="3"/>
  <c r="AD208" i="3" s="1"/>
  <c r="B208" i="3"/>
  <c r="Q207" i="3"/>
  <c r="P207" i="3"/>
  <c r="N207" i="3"/>
  <c r="AB207" i="3" s="1"/>
  <c r="M207" i="3"/>
  <c r="D207" i="3"/>
  <c r="C207" i="3"/>
  <c r="AD207" i="3" s="1"/>
  <c r="B207" i="3"/>
  <c r="Q206" i="3"/>
  <c r="P206" i="3"/>
  <c r="N206" i="3"/>
  <c r="AA206" i="3" s="1"/>
  <c r="M206" i="3"/>
  <c r="D206" i="3"/>
  <c r="C206" i="3"/>
  <c r="A206" i="3" s="1"/>
  <c r="B206" i="3"/>
  <c r="Q205" i="3"/>
  <c r="P205" i="3"/>
  <c r="N205" i="3"/>
  <c r="X205" i="3" s="1"/>
  <c r="M205" i="3"/>
  <c r="D205" i="3"/>
  <c r="C205" i="3"/>
  <c r="AC205" i="3" s="1"/>
  <c r="O205" i="3" s="1"/>
  <c r="B205" i="3"/>
  <c r="Q204" i="3"/>
  <c r="P204" i="3"/>
  <c r="N204" i="3"/>
  <c r="R204" i="3" s="1"/>
  <c r="M204" i="3"/>
  <c r="D204" i="3"/>
  <c r="C204" i="3"/>
  <c r="AD204" i="3" s="1"/>
  <c r="B204" i="3"/>
  <c r="Q203" i="3"/>
  <c r="P203" i="3"/>
  <c r="N203" i="3"/>
  <c r="R203" i="3" s="1"/>
  <c r="M203" i="3"/>
  <c r="D203" i="3"/>
  <c r="C203" i="3"/>
  <c r="AD203" i="3" s="1"/>
  <c r="B203" i="3"/>
  <c r="Q202" i="3"/>
  <c r="P202" i="3"/>
  <c r="N202" i="3"/>
  <c r="X202" i="3" s="1"/>
  <c r="M202" i="3"/>
  <c r="D202" i="3"/>
  <c r="C202" i="3"/>
  <c r="A202" i="3" s="1"/>
  <c r="B202" i="3"/>
  <c r="Q201" i="3"/>
  <c r="P201" i="3"/>
  <c r="N201" i="3"/>
  <c r="Z201" i="3" s="1"/>
  <c r="M201" i="3"/>
  <c r="D201" i="3"/>
  <c r="C201" i="3"/>
  <c r="A201" i="3" s="1"/>
  <c r="B201" i="3"/>
  <c r="Q200" i="3"/>
  <c r="P200" i="3"/>
  <c r="N200" i="3"/>
  <c r="AB200" i="3" s="1"/>
  <c r="M200" i="3"/>
  <c r="D200" i="3"/>
  <c r="C200" i="3"/>
  <c r="B200" i="3"/>
  <c r="Q199" i="3"/>
  <c r="P199" i="3"/>
  <c r="N199" i="3"/>
  <c r="AA199" i="3" s="1"/>
  <c r="M199" i="3"/>
  <c r="D199" i="3"/>
  <c r="C199" i="3"/>
  <c r="AC199" i="3" s="1"/>
  <c r="O199" i="3" s="1"/>
  <c r="B199" i="3"/>
  <c r="Q198" i="3"/>
  <c r="P198" i="3"/>
  <c r="N198" i="3"/>
  <c r="X198" i="3" s="1"/>
  <c r="M198" i="3"/>
  <c r="D198" i="3"/>
  <c r="C198" i="3"/>
  <c r="B198" i="3"/>
  <c r="Q197" i="3"/>
  <c r="P197" i="3"/>
  <c r="N197" i="3"/>
  <c r="M197" i="3"/>
  <c r="D197" i="3"/>
  <c r="C197" i="3"/>
  <c r="AC197" i="3" s="1"/>
  <c r="O197" i="3" s="1"/>
  <c r="B197" i="3"/>
  <c r="Q196" i="3"/>
  <c r="P196" i="3"/>
  <c r="N196" i="3"/>
  <c r="Z196" i="3" s="1"/>
  <c r="M196" i="3"/>
  <c r="D196" i="3"/>
  <c r="C196" i="3"/>
  <c r="AC196" i="3" s="1"/>
  <c r="O196" i="3" s="1"/>
  <c r="B196" i="3"/>
  <c r="Q195" i="3"/>
  <c r="P195" i="3"/>
  <c r="N195" i="3"/>
  <c r="R195" i="3" s="1"/>
  <c r="T195" i="3" s="1"/>
  <c r="M195" i="3"/>
  <c r="D195" i="3"/>
  <c r="C195" i="3"/>
  <c r="B195" i="3"/>
  <c r="Q194" i="3"/>
  <c r="P194" i="3"/>
  <c r="N194" i="3"/>
  <c r="X194" i="3" s="1"/>
  <c r="M194" i="3"/>
  <c r="D194" i="3"/>
  <c r="C194" i="3"/>
  <c r="AC194" i="3" s="1"/>
  <c r="O194" i="3" s="1"/>
  <c r="B194" i="3"/>
  <c r="Q193" i="3"/>
  <c r="P193" i="3"/>
  <c r="N193" i="3"/>
  <c r="R193" i="3" s="1"/>
  <c r="M193" i="3"/>
  <c r="D193" i="3"/>
  <c r="C193" i="3"/>
  <c r="AC193" i="3" s="1"/>
  <c r="O193" i="3" s="1"/>
  <c r="B193" i="3"/>
  <c r="Q192" i="3"/>
  <c r="P192" i="3"/>
  <c r="N192" i="3"/>
  <c r="X192" i="3" s="1"/>
  <c r="M192" i="3"/>
  <c r="D192" i="3"/>
  <c r="C192" i="3"/>
  <c r="B192" i="3"/>
  <c r="Q191" i="3"/>
  <c r="P191" i="3"/>
  <c r="N191" i="3"/>
  <c r="AA191" i="3" s="1"/>
  <c r="M191" i="3"/>
  <c r="D191" i="3"/>
  <c r="C191" i="3"/>
  <c r="AC191" i="3" s="1"/>
  <c r="O191" i="3" s="1"/>
  <c r="B191" i="3"/>
  <c r="Q190" i="3"/>
  <c r="P190" i="3"/>
  <c r="N190" i="3"/>
  <c r="R190" i="3" s="1"/>
  <c r="W190" i="3" s="1"/>
  <c r="M190" i="3"/>
  <c r="D190" i="3"/>
  <c r="C190" i="3"/>
  <c r="B190" i="3"/>
  <c r="Q189" i="3"/>
  <c r="P189" i="3"/>
  <c r="N189" i="3"/>
  <c r="AA189" i="3" s="1"/>
  <c r="M189" i="3"/>
  <c r="D189" i="3"/>
  <c r="C189" i="3"/>
  <c r="A189" i="3" s="1"/>
  <c r="B189" i="3"/>
  <c r="Q188" i="3"/>
  <c r="P188" i="3"/>
  <c r="N188" i="3"/>
  <c r="R188" i="3" s="1"/>
  <c r="M188" i="3"/>
  <c r="D188" i="3"/>
  <c r="C188" i="3"/>
  <c r="AC188" i="3" s="1"/>
  <c r="O188" i="3" s="1"/>
  <c r="B188" i="3"/>
  <c r="Q187" i="3"/>
  <c r="P187" i="3"/>
  <c r="N187" i="3"/>
  <c r="Z187" i="3" s="1"/>
  <c r="M187" i="3"/>
  <c r="D187" i="3"/>
  <c r="C187" i="3"/>
  <c r="AD187" i="3" s="1"/>
  <c r="B187" i="3"/>
  <c r="Q186" i="3"/>
  <c r="P186" i="3"/>
  <c r="N186" i="3"/>
  <c r="AB186" i="3" s="1"/>
  <c r="M186" i="3"/>
  <c r="D186" i="3"/>
  <c r="C186" i="3"/>
  <c r="AD186" i="3" s="1"/>
  <c r="B186" i="3"/>
  <c r="Q185" i="3"/>
  <c r="P185" i="3"/>
  <c r="N185" i="3"/>
  <c r="AA185" i="3" s="1"/>
  <c r="M185" i="3"/>
  <c r="D185" i="3"/>
  <c r="C185" i="3"/>
  <c r="A185" i="3" s="1"/>
  <c r="B185" i="3"/>
  <c r="Q184" i="3"/>
  <c r="P184" i="3"/>
  <c r="N184" i="3"/>
  <c r="X184" i="3" s="1"/>
  <c r="M184" i="3"/>
  <c r="D184" i="3"/>
  <c r="C184" i="3"/>
  <c r="B184" i="3"/>
  <c r="Q183" i="3"/>
  <c r="P183" i="3"/>
  <c r="N183" i="3"/>
  <c r="X183" i="3" s="1"/>
  <c r="M183" i="3"/>
  <c r="D183" i="3"/>
  <c r="C183" i="3"/>
  <c r="AC183" i="3" s="1"/>
  <c r="O183" i="3" s="1"/>
  <c r="B183" i="3"/>
  <c r="Q182" i="3"/>
  <c r="P182" i="3"/>
  <c r="N182" i="3"/>
  <c r="AB182" i="3" s="1"/>
  <c r="M182" i="3"/>
  <c r="D182" i="3"/>
  <c r="C182" i="3"/>
  <c r="AC182" i="3" s="1"/>
  <c r="O182" i="3" s="1"/>
  <c r="B182" i="3"/>
  <c r="Q181" i="3"/>
  <c r="P181" i="3"/>
  <c r="N181" i="3"/>
  <c r="AB181" i="3" s="1"/>
  <c r="M181" i="3"/>
  <c r="D181" i="3"/>
  <c r="C181" i="3"/>
  <c r="A181" i="3" s="1"/>
  <c r="B181" i="3"/>
  <c r="Q180" i="3"/>
  <c r="P180" i="3"/>
  <c r="N180" i="3"/>
  <c r="AB180" i="3" s="1"/>
  <c r="M180" i="3"/>
  <c r="D180" i="3"/>
  <c r="C180" i="3"/>
  <c r="AC180" i="3" s="1"/>
  <c r="O180" i="3" s="1"/>
  <c r="B180" i="3"/>
  <c r="Q179" i="3"/>
  <c r="P179" i="3"/>
  <c r="N179" i="3"/>
  <c r="AA179" i="3" s="1"/>
  <c r="M179" i="3"/>
  <c r="D179" i="3"/>
  <c r="C179" i="3"/>
  <c r="A179" i="3" s="1"/>
  <c r="B179" i="3"/>
  <c r="Q178" i="3"/>
  <c r="P178" i="3"/>
  <c r="N178" i="3"/>
  <c r="AB178" i="3" s="1"/>
  <c r="M178" i="3"/>
  <c r="D178" i="3"/>
  <c r="C178" i="3"/>
  <c r="A178" i="3" s="1"/>
  <c r="B178" i="3"/>
  <c r="Q177" i="3"/>
  <c r="P177" i="3"/>
  <c r="N177" i="3"/>
  <c r="Z177" i="3" s="1"/>
  <c r="M177" i="3"/>
  <c r="D177" i="3"/>
  <c r="C177" i="3"/>
  <c r="AD177" i="3" s="1"/>
  <c r="B177" i="3"/>
  <c r="Q176" i="3"/>
  <c r="P176" i="3"/>
  <c r="N176" i="3"/>
  <c r="X176" i="3" s="1"/>
  <c r="M176" i="3"/>
  <c r="D176" i="3"/>
  <c r="C176" i="3"/>
  <c r="A176" i="3" s="1"/>
  <c r="B176" i="3"/>
  <c r="Q175" i="3"/>
  <c r="P175" i="3"/>
  <c r="N175" i="3"/>
  <c r="AB175" i="3" s="1"/>
  <c r="M175" i="3"/>
  <c r="D175" i="3"/>
  <c r="C175" i="3"/>
  <c r="AD175" i="3" s="1"/>
  <c r="B175" i="3"/>
  <c r="Q174" i="3"/>
  <c r="P174" i="3"/>
  <c r="N174" i="3"/>
  <c r="R174" i="3" s="1"/>
  <c r="M174" i="3"/>
  <c r="D174" i="3"/>
  <c r="C174" i="3"/>
  <c r="AD174" i="3" s="1"/>
  <c r="B174" i="3"/>
  <c r="Q173" i="3"/>
  <c r="P173" i="3"/>
  <c r="N173" i="3"/>
  <c r="Z173" i="3" s="1"/>
  <c r="M173" i="3"/>
  <c r="D173" i="3"/>
  <c r="C173" i="3"/>
  <c r="AC173" i="3" s="1"/>
  <c r="O173" i="3" s="1"/>
  <c r="B173" i="3"/>
  <c r="Q172" i="3"/>
  <c r="P172" i="3"/>
  <c r="N172" i="3"/>
  <c r="X172" i="3" s="1"/>
  <c r="M172" i="3"/>
  <c r="D172" i="3"/>
  <c r="C172" i="3"/>
  <c r="AC172" i="3" s="1"/>
  <c r="O172" i="3" s="1"/>
  <c r="B172" i="3"/>
  <c r="Q171" i="3"/>
  <c r="P171" i="3"/>
  <c r="N171" i="3"/>
  <c r="AA171" i="3" s="1"/>
  <c r="M171" i="3"/>
  <c r="D171" i="3"/>
  <c r="C171" i="3"/>
  <c r="AC171" i="3" s="1"/>
  <c r="O171" i="3" s="1"/>
  <c r="B171" i="3"/>
  <c r="Q170" i="3"/>
  <c r="P170" i="3"/>
  <c r="N170" i="3"/>
  <c r="M170" i="3"/>
  <c r="D170" i="3"/>
  <c r="C170" i="3"/>
  <c r="B170" i="3"/>
  <c r="Q169" i="3"/>
  <c r="P169" i="3"/>
  <c r="N169" i="3"/>
  <c r="Y169" i="3" s="1"/>
  <c r="M169" i="3"/>
  <c r="D169" i="3"/>
  <c r="C169" i="3"/>
  <c r="A169" i="3" s="1"/>
  <c r="B169" i="3"/>
  <c r="Q168" i="3"/>
  <c r="P168" i="3"/>
  <c r="N168" i="3"/>
  <c r="M168" i="3"/>
  <c r="D168" i="3"/>
  <c r="C168" i="3"/>
  <c r="B168" i="3"/>
  <c r="Q167" i="3"/>
  <c r="P167" i="3"/>
  <c r="N167" i="3"/>
  <c r="R167" i="3" s="1"/>
  <c r="T167" i="3" s="1"/>
  <c r="M167" i="3"/>
  <c r="D167" i="3"/>
  <c r="C167" i="3"/>
  <c r="AD167" i="3" s="1"/>
  <c r="B167" i="3"/>
  <c r="Q166" i="3"/>
  <c r="P166" i="3"/>
  <c r="N166" i="3"/>
  <c r="AB166" i="3" s="1"/>
  <c r="M166" i="3"/>
  <c r="D166" i="3"/>
  <c r="C166" i="3"/>
  <c r="AD166" i="3" s="1"/>
  <c r="B166" i="3"/>
  <c r="Q165" i="3"/>
  <c r="P165" i="3"/>
  <c r="N165" i="3"/>
  <c r="X165" i="3" s="1"/>
  <c r="M165" i="3"/>
  <c r="D165" i="3"/>
  <c r="C165" i="3"/>
  <c r="AD165" i="3" s="1"/>
  <c r="B165" i="3"/>
  <c r="Q164" i="3"/>
  <c r="P164" i="3"/>
  <c r="N164" i="3"/>
  <c r="X164" i="3" s="1"/>
  <c r="M164" i="3"/>
  <c r="D164" i="3"/>
  <c r="C164" i="3"/>
  <c r="A164" i="3" s="1"/>
  <c r="B164" i="3"/>
  <c r="Q163" i="3"/>
  <c r="P163" i="3"/>
  <c r="N163" i="3"/>
  <c r="Y163" i="3" s="1"/>
  <c r="M163" i="3"/>
  <c r="D163" i="3"/>
  <c r="C163" i="3"/>
  <c r="A163" i="3" s="1"/>
  <c r="B163" i="3"/>
  <c r="Q162" i="3"/>
  <c r="P162" i="3"/>
  <c r="N162" i="3"/>
  <c r="AB162" i="3" s="1"/>
  <c r="M162" i="3"/>
  <c r="D162" i="3"/>
  <c r="C162" i="3"/>
  <c r="B162" i="3"/>
  <c r="Q161" i="3"/>
  <c r="P161" i="3"/>
  <c r="N161" i="3"/>
  <c r="AB161" i="3" s="1"/>
  <c r="M161" i="3"/>
  <c r="D161" i="3"/>
  <c r="C161" i="3"/>
  <c r="AD161" i="3" s="1"/>
  <c r="B161" i="3"/>
  <c r="Q160" i="3"/>
  <c r="P160" i="3"/>
  <c r="N160" i="3"/>
  <c r="AA160" i="3" s="1"/>
  <c r="M160" i="3"/>
  <c r="D160" i="3"/>
  <c r="C160" i="3"/>
  <c r="A160" i="3" s="1"/>
  <c r="B160" i="3"/>
  <c r="Q159" i="3"/>
  <c r="P159" i="3"/>
  <c r="N159" i="3"/>
  <c r="AB159" i="3" s="1"/>
  <c r="M159" i="3"/>
  <c r="D159" i="3"/>
  <c r="C159" i="3"/>
  <c r="AC159" i="3" s="1"/>
  <c r="O159" i="3" s="1"/>
  <c r="B159" i="3"/>
  <c r="Q158" i="3"/>
  <c r="P158" i="3"/>
  <c r="N158" i="3"/>
  <c r="AA158" i="3" s="1"/>
  <c r="M158" i="3"/>
  <c r="D158" i="3"/>
  <c r="C158" i="3"/>
  <c r="AC158" i="3" s="1"/>
  <c r="O158" i="3" s="1"/>
  <c r="B158" i="3"/>
  <c r="Q157" i="3"/>
  <c r="P157" i="3"/>
  <c r="N157" i="3"/>
  <c r="Y157" i="3" s="1"/>
  <c r="M157" i="3"/>
  <c r="D157" i="3"/>
  <c r="C157" i="3"/>
  <c r="B157" i="3"/>
  <c r="Q156" i="3"/>
  <c r="P156" i="3"/>
  <c r="N156" i="3"/>
  <c r="AA156" i="3" s="1"/>
  <c r="M156" i="3"/>
  <c r="D156" i="3"/>
  <c r="C156" i="3"/>
  <c r="AC156" i="3" s="1"/>
  <c r="O156" i="3" s="1"/>
  <c r="B156" i="3"/>
  <c r="Q155" i="3"/>
  <c r="P155" i="3"/>
  <c r="N155" i="3"/>
  <c r="Y155" i="3" s="1"/>
  <c r="M155" i="3"/>
  <c r="D155" i="3"/>
  <c r="C155" i="3"/>
  <c r="AD155" i="3" s="1"/>
  <c r="B155" i="3"/>
  <c r="Q154" i="3"/>
  <c r="P154" i="3"/>
  <c r="N154" i="3"/>
  <c r="Y154" i="3" s="1"/>
  <c r="M154" i="3"/>
  <c r="D154" i="3"/>
  <c r="C154" i="3"/>
  <c r="A154" i="3" s="1"/>
  <c r="B154" i="3"/>
  <c r="Q153" i="3"/>
  <c r="P153" i="3"/>
  <c r="N153" i="3"/>
  <c r="X153" i="3" s="1"/>
  <c r="M153" i="3"/>
  <c r="D153" i="3"/>
  <c r="C153" i="3"/>
  <c r="A153" i="3" s="1"/>
  <c r="B153" i="3"/>
  <c r="Q152" i="3"/>
  <c r="P152" i="3"/>
  <c r="N152" i="3"/>
  <c r="AB152" i="3" s="1"/>
  <c r="M152" i="3"/>
  <c r="D152" i="3"/>
  <c r="C152" i="3"/>
  <c r="AD152" i="3" s="1"/>
  <c r="B152" i="3"/>
  <c r="Q151" i="3"/>
  <c r="P151" i="3"/>
  <c r="N151" i="3"/>
  <c r="X151" i="3" s="1"/>
  <c r="M151" i="3"/>
  <c r="D151" i="3"/>
  <c r="C151" i="3"/>
  <c r="AD151" i="3" s="1"/>
  <c r="B151" i="3"/>
  <c r="Q150" i="3"/>
  <c r="P150" i="3"/>
  <c r="N150" i="3"/>
  <c r="X150" i="3" s="1"/>
  <c r="M150" i="3"/>
  <c r="D150" i="3"/>
  <c r="C150" i="3"/>
  <c r="AC150" i="3" s="1"/>
  <c r="O150" i="3" s="1"/>
  <c r="B150" i="3"/>
  <c r="Q149" i="3"/>
  <c r="P149" i="3"/>
  <c r="N149" i="3"/>
  <c r="Y149" i="3" s="1"/>
  <c r="M149" i="3"/>
  <c r="D149" i="3"/>
  <c r="C149" i="3"/>
  <c r="AC149" i="3" s="1"/>
  <c r="O149" i="3" s="1"/>
  <c r="B149" i="3"/>
  <c r="Q148" i="3"/>
  <c r="P148" i="3"/>
  <c r="N148" i="3"/>
  <c r="Z148" i="3" s="1"/>
  <c r="M148" i="3"/>
  <c r="D148" i="3"/>
  <c r="C148" i="3"/>
  <c r="B148" i="3"/>
  <c r="Q147" i="3"/>
  <c r="P147" i="3"/>
  <c r="N147" i="3"/>
  <c r="AB147" i="3" s="1"/>
  <c r="M147" i="3"/>
  <c r="D147" i="3"/>
  <c r="C147" i="3"/>
  <c r="B147" i="3"/>
  <c r="Q146" i="3"/>
  <c r="P146" i="3"/>
  <c r="N146" i="3"/>
  <c r="Z146" i="3" s="1"/>
  <c r="M146" i="3"/>
  <c r="D146" i="3"/>
  <c r="C146" i="3"/>
  <c r="A146" i="3" s="1"/>
  <c r="B146" i="3"/>
  <c r="Q145" i="3"/>
  <c r="P145" i="3"/>
  <c r="N145" i="3"/>
  <c r="AA145" i="3" s="1"/>
  <c r="M145" i="3"/>
  <c r="D145" i="3"/>
  <c r="C145" i="3"/>
  <c r="A145" i="3" s="1"/>
  <c r="B145" i="3"/>
  <c r="Q144" i="3"/>
  <c r="P144" i="3"/>
  <c r="N144" i="3"/>
  <c r="M144" i="3"/>
  <c r="D144" i="3"/>
  <c r="C144" i="3"/>
  <c r="B144" i="3"/>
  <c r="Q143" i="3"/>
  <c r="P143" i="3"/>
  <c r="N143" i="3"/>
  <c r="X143" i="3" s="1"/>
  <c r="M143" i="3"/>
  <c r="D143" i="3"/>
  <c r="C143" i="3"/>
  <c r="AD143" i="3" s="1"/>
  <c r="B143" i="3"/>
  <c r="Q142" i="3"/>
  <c r="P142" i="3"/>
  <c r="N142" i="3"/>
  <c r="AA142" i="3" s="1"/>
  <c r="M142" i="3"/>
  <c r="D142" i="3"/>
  <c r="C142" i="3"/>
  <c r="A142" i="3" s="1"/>
  <c r="B142" i="3"/>
  <c r="Q141" i="3"/>
  <c r="P141" i="3"/>
  <c r="N141" i="3"/>
  <c r="AA141" i="3" s="1"/>
  <c r="M141" i="3"/>
  <c r="D141" i="3"/>
  <c r="C141" i="3"/>
  <c r="AC141" i="3" s="1"/>
  <c r="O141" i="3" s="1"/>
  <c r="B141" i="3"/>
  <c r="Q140" i="3"/>
  <c r="P140" i="3"/>
  <c r="N140" i="3"/>
  <c r="Y140" i="3" s="1"/>
  <c r="M140" i="3"/>
  <c r="D140" i="3"/>
  <c r="C140" i="3"/>
  <c r="B140" i="3"/>
  <c r="Q139" i="3"/>
  <c r="P139" i="3"/>
  <c r="N139" i="3"/>
  <c r="AB139" i="3" s="1"/>
  <c r="M139" i="3"/>
  <c r="D139" i="3"/>
  <c r="C139" i="3"/>
  <c r="AD139" i="3" s="1"/>
  <c r="B139" i="3"/>
  <c r="Q138" i="3"/>
  <c r="P138" i="3"/>
  <c r="N138" i="3"/>
  <c r="R138" i="3" s="1"/>
  <c r="V138" i="3" s="1"/>
  <c r="M138" i="3"/>
  <c r="D138" i="3"/>
  <c r="C138" i="3"/>
  <c r="AC138" i="3" s="1"/>
  <c r="O138" i="3" s="1"/>
  <c r="B138" i="3"/>
  <c r="Q137" i="3"/>
  <c r="P137" i="3"/>
  <c r="N137" i="3"/>
  <c r="Z137" i="3" s="1"/>
  <c r="M137" i="3"/>
  <c r="D137" i="3"/>
  <c r="C137" i="3"/>
  <c r="A137" i="3" s="1"/>
  <c r="B137" i="3"/>
  <c r="Q136" i="3"/>
  <c r="P136" i="3"/>
  <c r="N136" i="3"/>
  <c r="M136" i="3"/>
  <c r="D136" i="3"/>
  <c r="C136" i="3"/>
  <c r="AC136" i="3" s="1"/>
  <c r="O136" i="3" s="1"/>
  <c r="B136" i="3"/>
  <c r="Q135" i="3"/>
  <c r="P135" i="3"/>
  <c r="N135" i="3"/>
  <c r="AA135" i="3" s="1"/>
  <c r="M135" i="3"/>
  <c r="D135" i="3"/>
  <c r="C135" i="3"/>
  <c r="A135" i="3" s="1"/>
  <c r="B135" i="3"/>
  <c r="Q134" i="3"/>
  <c r="P134" i="3"/>
  <c r="N134" i="3"/>
  <c r="AA134" i="3" s="1"/>
  <c r="M134" i="3"/>
  <c r="D134" i="3"/>
  <c r="C134" i="3"/>
  <c r="AD134" i="3" s="1"/>
  <c r="B134" i="3"/>
  <c r="Q133" i="3"/>
  <c r="P133" i="3"/>
  <c r="N133" i="3"/>
  <c r="R133" i="3" s="1"/>
  <c r="U133" i="3" s="1"/>
  <c r="M133" i="3"/>
  <c r="D133" i="3"/>
  <c r="C133" i="3"/>
  <c r="AD133" i="3" s="1"/>
  <c r="B133" i="3"/>
  <c r="Q132" i="3"/>
  <c r="P132" i="3"/>
  <c r="N132" i="3"/>
  <c r="X132" i="3" s="1"/>
  <c r="M132" i="3"/>
  <c r="D132" i="3"/>
  <c r="C132" i="3"/>
  <c r="A132" i="3" s="1"/>
  <c r="B132" i="3"/>
  <c r="Q131" i="3"/>
  <c r="P131" i="3"/>
  <c r="N131" i="3"/>
  <c r="Y131" i="3" s="1"/>
  <c r="M131" i="3"/>
  <c r="D131" i="3"/>
  <c r="C131" i="3"/>
  <c r="AD131" i="3" s="1"/>
  <c r="B131" i="3"/>
  <c r="Q130" i="3"/>
  <c r="P130" i="3"/>
  <c r="N130" i="3"/>
  <c r="AA130" i="3" s="1"/>
  <c r="M130" i="3"/>
  <c r="D130" i="3"/>
  <c r="C130" i="3"/>
  <c r="A130" i="3" s="1"/>
  <c r="B130" i="3"/>
  <c r="Q129" i="3"/>
  <c r="P129" i="3"/>
  <c r="N129" i="3"/>
  <c r="Z129" i="3" s="1"/>
  <c r="M129" i="3"/>
  <c r="D129" i="3"/>
  <c r="C129" i="3"/>
  <c r="AD129" i="3" s="1"/>
  <c r="B129" i="3"/>
  <c r="Q128" i="3"/>
  <c r="P128" i="3"/>
  <c r="N128" i="3"/>
  <c r="M128" i="3"/>
  <c r="D128" i="3"/>
  <c r="C128" i="3"/>
  <c r="B128" i="3"/>
  <c r="Q127" i="3"/>
  <c r="P127" i="3"/>
  <c r="N127" i="3"/>
  <c r="AA127" i="3" s="1"/>
  <c r="M127" i="3"/>
  <c r="D127" i="3"/>
  <c r="C127" i="3"/>
  <c r="A127" i="3" s="1"/>
  <c r="B127" i="3"/>
  <c r="Q126" i="3"/>
  <c r="P126" i="3"/>
  <c r="N126" i="3"/>
  <c r="AB126" i="3" s="1"/>
  <c r="M126" i="3"/>
  <c r="D126" i="3"/>
  <c r="C126" i="3"/>
  <c r="B126" i="3"/>
  <c r="Q125" i="3"/>
  <c r="P125" i="3"/>
  <c r="N125" i="3"/>
  <c r="X125" i="3" s="1"/>
  <c r="M125" i="3"/>
  <c r="D125" i="3"/>
  <c r="C125" i="3"/>
  <c r="AD125" i="3" s="1"/>
  <c r="B125" i="3"/>
  <c r="Q124" i="3"/>
  <c r="P124" i="3"/>
  <c r="N124" i="3"/>
  <c r="AA124" i="3" s="1"/>
  <c r="M124" i="3"/>
  <c r="D124" i="3"/>
  <c r="C124" i="3"/>
  <c r="AC124" i="3" s="1"/>
  <c r="O124" i="3" s="1"/>
  <c r="B124" i="3"/>
  <c r="Q123" i="3"/>
  <c r="P123" i="3"/>
  <c r="N123" i="3"/>
  <c r="X123" i="3" s="1"/>
  <c r="M123" i="3"/>
  <c r="D123" i="3"/>
  <c r="C123" i="3"/>
  <c r="A123" i="3" s="1"/>
  <c r="B123" i="3"/>
  <c r="Q122" i="3"/>
  <c r="P122" i="3"/>
  <c r="N122" i="3"/>
  <c r="AA122" i="3" s="1"/>
  <c r="M122" i="3"/>
  <c r="D122" i="3"/>
  <c r="C122" i="3"/>
  <c r="AD122" i="3" s="1"/>
  <c r="B122" i="3"/>
  <c r="Q121" i="3"/>
  <c r="P121" i="3"/>
  <c r="N121" i="3"/>
  <c r="M121" i="3"/>
  <c r="D121" i="3"/>
  <c r="C121" i="3"/>
  <c r="AD121" i="3" s="1"/>
  <c r="B121" i="3"/>
  <c r="Q120" i="3"/>
  <c r="P120" i="3"/>
  <c r="N120" i="3"/>
  <c r="AB120" i="3" s="1"/>
  <c r="M120" i="3"/>
  <c r="D120" i="3"/>
  <c r="C120" i="3"/>
  <c r="A120" i="3" s="1"/>
  <c r="B120" i="3"/>
  <c r="Q119" i="3"/>
  <c r="P119" i="3"/>
  <c r="N119" i="3"/>
  <c r="AB119" i="3" s="1"/>
  <c r="M119" i="3"/>
  <c r="D119" i="3"/>
  <c r="C119" i="3"/>
  <c r="AD119" i="3" s="1"/>
  <c r="B119" i="3"/>
  <c r="Q118" i="3"/>
  <c r="P118" i="3"/>
  <c r="N118" i="3"/>
  <c r="AB118" i="3" s="1"/>
  <c r="M118" i="3"/>
  <c r="D118" i="3"/>
  <c r="C118" i="3"/>
  <c r="AD118" i="3" s="1"/>
  <c r="B118" i="3"/>
  <c r="Q117" i="3"/>
  <c r="P117" i="3"/>
  <c r="N117" i="3"/>
  <c r="Y117" i="3" s="1"/>
  <c r="M117" i="3"/>
  <c r="D117" i="3"/>
  <c r="C117" i="3"/>
  <c r="AD117" i="3" s="1"/>
  <c r="B117" i="3"/>
  <c r="Q116" i="3"/>
  <c r="P116" i="3"/>
  <c r="N116" i="3"/>
  <c r="M116" i="3"/>
  <c r="D116" i="3"/>
  <c r="C116" i="3"/>
  <c r="A116" i="3" s="1"/>
  <c r="B116" i="3"/>
  <c r="Q115" i="3"/>
  <c r="P115" i="3"/>
  <c r="N115" i="3"/>
  <c r="M115" i="3"/>
  <c r="D115" i="3"/>
  <c r="C115" i="3"/>
  <c r="AD115" i="3" s="1"/>
  <c r="B115" i="3"/>
  <c r="Q114" i="3"/>
  <c r="P114" i="3"/>
  <c r="N114" i="3"/>
  <c r="AB114" i="3" s="1"/>
  <c r="M114" i="3"/>
  <c r="D114" i="3"/>
  <c r="C114" i="3"/>
  <c r="A114" i="3" s="1"/>
  <c r="B114" i="3"/>
  <c r="Q113" i="3"/>
  <c r="P113" i="3"/>
  <c r="N113" i="3"/>
  <c r="Y113" i="3" s="1"/>
  <c r="M113" i="3"/>
  <c r="D113" i="3"/>
  <c r="C113" i="3"/>
  <c r="AD113" i="3" s="1"/>
  <c r="B113" i="3"/>
  <c r="Q112" i="3"/>
  <c r="P112" i="3"/>
  <c r="N112" i="3"/>
  <c r="Y112" i="3" s="1"/>
  <c r="M112" i="3"/>
  <c r="D112" i="3"/>
  <c r="C112" i="3"/>
  <c r="AC112" i="3" s="1"/>
  <c r="O112" i="3" s="1"/>
  <c r="B112" i="3"/>
  <c r="Q111" i="3"/>
  <c r="P111" i="3"/>
  <c r="N111" i="3"/>
  <c r="AB111" i="3" s="1"/>
  <c r="M111" i="3"/>
  <c r="D111" i="3"/>
  <c r="C111" i="3"/>
  <c r="AC111" i="3" s="1"/>
  <c r="O111" i="3" s="1"/>
  <c r="B111" i="3"/>
  <c r="Q110" i="3"/>
  <c r="P110" i="3"/>
  <c r="N110" i="3"/>
  <c r="AB110" i="3" s="1"/>
  <c r="M110" i="3"/>
  <c r="D110" i="3"/>
  <c r="C110" i="3"/>
  <c r="B110" i="3"/>
  <c r="Q109" i="3"/>
  <c r="P109" i="3"/>
  <c r="N109" i="3"/>
  <c r="AB109" i="3" s="1"/>
  <c r="M109" i="3"/>
  <c r="D109" i="3"/>
  <c r="C109" i="3"/>
  <c r="AD109" i="3" s="1"/>
  <c r="B109" i="3"/>
  <c r="Q108" i="3"/>
  <c r="P108" i="3"/>
  <c r="N108" i="3"/>
  <c r="Z108" i="3" s="1"/>
  <c r="M108" i="3"/>
  <c r="D108" i="3"/>
  <c r="C108" i="3"/>
  <c r="A108" i="3" s="1"/>
  <c r="B108" i="3"/>
  <c r="Q107" i="3"/>
  <c r="P107" i="3"/>
  <c r="N107" i="3"/>
  <c r="Y107" i="3" s="1"/>
  <c r="M107" i="3"/>
  <c r="D107" i="3"/>
  <c r="C107" i="3"/>
  <c r="B107" i="3"/>
  <c r="Q106" i="3"/>
  <c r="P106" i="3"/>
  <c r="N106" i="3"/>
  <c r="AA106" i="3" s="1"/>
  <c r="M106" i="3"/>
  <c r="D106" i="3"/>
  <c r="C106" i="3"/>
  <c r="AD106" i="3" s="1"/>
  <c r="B106" i="3"/>
  <c r="Q105" i="3"/>
  <c r="P105" i="3"/>
  <c r="N105" i="3"/>
  <c r="AB105" i="3" s="1"/>
  <c r="M105" i="3"/>
  <c r="D105" i="3"/>
  <c r="C105" i="3"/>
  <c r="A105" i="3" s="1"/>
  <c r="B105" i="3"/>
  <c r="Q104" i="3"/>
  <c r="P104" i="3"/>
  <c r="N104" i="3"/>
  <c r="Z104" i="3" s="1"/>
  <c r="M104" i="3"/>
  <c r="D104" i="3"/>
  <c r="C104" i="3"/>
  <c r="AD104" i="3" s="1"/>
  <c r="B104" i="3"/>
  <c r="Q103" i="3"/>
  <c r="P103" i="3"/>
  <c r="N103" i="3"/>
  <c r="Z103" i="3" s="1"/>
  <c r="M103" i="3"/>
  <c r="D103" i="3"/>
  <c r="C103" i="3"/>
  <c r="AD103" i="3" s="1"/>
  <c r="B103" i="3"/>
  <c r="C102" i="3"/>
  <c r="AD102" i="3" s="1"/>
  <c r="B102" i="3"/>
  <c r="C101" i="3"/>
  <c r="AD101" i="3" s="1"/>
  <c r="B101" i="3"/>
  <c r="C100" i="3"/>
  <c r="AD100" i="3" s="1"/>
  <c r="B100" i="3"/>
  <c r="C99" i="3"/>
  <c r="B99" i="3"/>
  <c r="C98" i="3"/>
  <c r="AD98" i="3" s="1"/>
  <c r="B98" i="3"/>
  <c r="C97" i="3"/>
  <c r="AD97" i="3" s="1"/>
  <c r="B97" i="3"/>
  <c r="C96" i="3"/>
  <c r="AD96" i="3" s="1"/>
  <c r="B96" i="3"/>
  <c r="C95" i="3"/>
  <c r="B95" i="3"/>
  <c r="C94" i="3"/>
  <c r="A94" i="3" s="1"/>
  <c r="B94" i="3"/>
  <c r="C93" i="3"/>
  <c r="AD93" i="3" s="1"/>
  <c r="B93" i="3"/>
  <c r="C92" i="3"/>
  <c r="AD92" i="3" s="1"/>
  <c r="B92" i="3"/>
  <c r="C91" i="3"/>
  <c r="B91" i="3"/>
  <c r="C90" i="3"/>
  <c r="AD90" i="3" s="1"/>
  <c r="B90" i="3"/>
  <c r="C89" i="3"/>
  <c r="A89" i="3" s="1"/>
  <c r="B89" i="3"/>
  <c r="C88" i="3"/>
  <c r="AD88" i="3" s="1"/>
  <c r="B88" i="3"/>
  <c r="C87" i="3"/>
  <c r="B87" i="3"/>
  <c r="C86" i="3"/>
  <c r="A86" i="3" s="1"/>
  <c r="B86" i="3"/>
  <c r="C85" i="3"/>
  <c r="AD85" i="3" s="1"/>
  <c r="B85" i="3"/>
  <c r="C84" i="3"/>
  <c r="AD84" i="3" s="1"/>
  <c r="B84" i="3"/>
  <c r="C83" i="3"/>
  <c r="B83" i="3"/>
  <c r="C82" i="3"/>
  <c r="AD82" i="3" s="1"/>
  <c r="B82" i="3"/>
  <c r="C81" i="3"/>
  <c r="AD81" i="3" s="1"/>
  <c r="B81" i="3"/>
  <c r="C80" i="3"/>
  <c r="AD80" i="3" s="1"/>
  <c r="B80" i="3"/>
  <c r="C79" i="3"/>
  <c r="B79" i="3"/>
  <c r="C78" i="3"/>
  <c r="AD78" i="3" s="1"/>
  <c r="B78" i="3"/>
  <c r="C77" i="3"/>
  <c r="A77" i="3" s="1"/>
  <c r="B77" i="3"/>
  <c r="C76" i="3"/>
  <c r="AD76" i="3" s="1"/>
  <c r="B76" i="3"/>
  <c r="C75" i="3"/>
  <c r="B75" i="3"/>
  <c r="C74" i="3"/>
  <c r="A74" i="3" s="1"/>
  <c r="B74" i="3"/>
  <c r="C73" i="3"/>
  <c r="AD73" i="3" s="1"/>
  <c r="B73" i="3"/>
  <c r="C72" i="3"/>
  <c r="AD72" i="3" s="1"/>
  <c r="B72" i="3"/>
  <c r="C71" i="3"/>
  <c r="B71" i="3"/>
  <c r="C70" i="3"/>
  <c r="AD70" i="3" s="1"/>
  <c r="B70" i="3"/>
  <c r="C69" i="3"/>
  <c r="A69" i="3" s="1"/>
  <c r="B69" i="3"/>
  <c r="C68" i="3"/>
  <c r="AD68" i="3" s="1"/>
  <c r="B68" i="3"/>
  <c r="C67" i="3"/>
  <c r="B67" i="3"/>
  <c r="C66" i="3"/>
  <c r="AD66" i="3" s="1"/>
  <c r="B66" i="3"/>
  <c r="C65" i="3"/>
  <c r="AD65" i="3" s="1"/>
  <c r="B65" i="3"/>
  <c r="C64" i="3"/>
  <c r="AD64" i="3" s="1"/>
  <c r="B64" i="3"/>
  <c r="C63" i="3"/>
  <c r="B63" i="3"/>
  <c r="C62" i="3"/>
  <c r="AD62" i="3" s="1"/>
  <c r="B62" i="3"/>
  <c r="C61" i="3"/>
  <c r="A61" i="3" s="1"/>
  <c r="B61" i="3"/>
  <c r="C60" i="3"/>
  <c r="AD60" i="3" s="1"/>
  <c r="B60" i="3"/>
  <c r="C59" i="3"/>
  <c r="B59" i="3"/>
  <c r="C58" i="3"/>
  <c r="AD58" i="3" s="1"/>
  <c r="B58" i="3"/>
  <c r="C57" i="3"/>
  <c r="AD57" i="3" s="1"/>
  <c r="B57" i="3"/>
  <c r="C56" i="3"/>
  <c r="AD56" i="3" s="1"/>
  <c r="B56" i="3"/>
  <c r="C55" i="3"/>
  <c r="B55" i="3"/>
  <c r="C54" i="3"/>
  <c r="A54" i="3" s="1"/>
  <c r="B54" i="3"/>
  <c r="C53" i="3"/>
  <c r="A53" i="3" s="1"/>
  <c r="B53" i="3"/>
  <c r="C52" i="3"/>
  <c r="AD52" i="3" s="1"/>
  <c r="B52" i="3"/>
  <c r="C51" i="3"/>
  <c r="B51" i="3"/>
  <c r="C50" i="3"/>
  <c r="AD50" i="3" s="1"/>
  <c r="B50" i="3"/>
  <c r="C49" i="3"/>
  <c r="AD49" i="3" s="1"/>
  <c r="B49" i="3"/>
  <c r="C48" i="3"/>
  <c r="AD48" i="3" s="1"/>
  <c r="B48" i="3"/>
  <c r="C47" i="3"/>
  <c r="B47" i="3"/>
  <c r="C46" i="3"/>
  <c r="AD46" i="3" s="1"/>
  <c r="B46" i="3"/>
  <c r="C45" i="3"/>
  <c r="A45" i="3" s="1"/>
  <c r="B45" i="3"/>
  <c r="C44" i="3"/>
  <c r="AD44" i="3" s="1"/>
  <c r="B44" i="3"/>
  <c r="C43" i="3"/>
  <c r="B43" i="3"/>
  <c r="C42" i="3"/>
  <c r="AD42" i="3" s="1"/>
  <c r="B42" i="3"/>
  <c r="C41" i="3"/>
  <c r="AD41" i="3" s="1"/>
  <c r="B41" i="3"/>
  <c r="C40" i="3"/>
  <c r="B40" i="3"/>
  <c r="C39" i="3"/>
  <c r="B39" i="3"/>
  <c r="C38" i="3"/>
  <c r="A38" i="3" s="1"/>
  <c r="B38" i="3"/>
  <c r="C37" i="3"/>
  <c r="AD37" i="3" s="1"/>
  <c r="B37" i="3"/>
  <c r="C36" i="3"/>
  <c r="AD36" i="3" s="1"/>
  <c r="B36" i="3"/>
  <c r="C35" i="3"/>
  <c r="B35" i="3"/>
  <c r="C34" i="3"/>
  <c r="AD34" i="3" s="1"/>
  <c r="B34" i="3"/>
  <c r="C33" i="3"/>
  <c r="AD33" i="3" s="1"/>
  <c r="B33" i="3"/>
  <c r="C32" i="3"/>
  <c r="AD32" i="3" s="1"/>
  <c r="B32" i="3"/>
  <c r="C31" i="3"/>
  <c r="B31" i="3"/>
  <c r="C30" i="3"/>
  <c r="A30" i="3" s="1"/>
  <c r="B30" i="3"/>
  <c r="C29" i="3"/>
  <c r="AD29" i="3" s="1"/>
  <c r="B29" i="3"/>
  <c r="C28" i="3"/>
  <c r="AD28" i="3" s="1"/>
  <c r="B28" i="3"/>
  <c r="C27" i="3"/>
  <c r="B27" i="3"/>
  <c r="C26" i="3"/>
  <c r="A26" i="3" s="1"/>
  <c r="B26" i="3"/>
  <c r="C25" i="3"/>
  <c r="A25" i="3" s="1"/>
  <c r="B25" i="3"/>
  <c r="C24" i="3"/>
  <c r="AD24" i="3" s="1"/>
  <c r="B24" i="3"/>
  <c r="C23" i="3"/>
  <c r="B23" i="3"/>
  <c r="C22" i="3"/>
  <c r="AD22" i="3" s="1"/>
  <c r="B22" i="3"/>
  <c r="C21" i="3"/>
  <c r="AD21" i="3" s="1"/>
  <c r="B21" i="3"/>
  <c r="C20" i="3"/>
  <c r="AD20" i="3" s="1"/>
  <c r="B20" i="3"/>
  <c r="C19" i="3"/>
  <c r="B19" i="3"/>
  <c r="C18" i="3"/>
  <c r="A18" i="3" s="1"/>
  <c r="B18" i="3"/>
  <c r="C17" i="3"/>
  <c r="A17" i="3" s="1"/>
  <c r="B17" i="3"/>
  <c r="C16" i="3"/>
  <c r="AD16" i="3" s="1"/>
  <c r="B16" i="3"/>
  <c r="C15" i="3"/>
  <c r="B15" i="3"/>
  <c r="C14" i="3"/>
  <c r="AD14" i="3" s="1"/>
  <c r="B14" i="3"/>
  <c r="C13" i="3"/>
  <c r="AD13" i="3" s="1"/>
  <c r="B13" i="3"/>
  <c r="C12" i="3"/>
  <c r="AD12" i="3" s="1"/>
  <c r="B12" i="3"/>
  <c r="C11" i="3"/>
  <c r="B11" i="3"/>
  <c r="C10" i="3"/>
  <c r="AD10" i="3" s="1"/>
  <c r="B10" i="3"/>
  <c r="C9" i="3"/>
  <c r="AD9" i="3" s="1"/>
  <c r="B9" i="3"/>
  <c r="C8" i="3"/>
  <c r="AD8" i="3" s="1"/>
  <c r="B8" i="3"/>
  <c r="C7" i="3"/>
  <c r="B7" i="3"/>
  <c r="C6" i="3"/>
  <c r="AD6" i="3" s="1"/>
  <c r="B6" i="3"/>
  <c r="C5" i="3"/>
  <c r="AD5" i="3" s="1"/>
  <c r="B5" i="3"/>
  <c r="C4" i="3"/>
  <c r="AD4" i="3" s="1"/>
  <c r="B4" i="3"/>
  <c r="C3" i="3"/>
  <c r="B3" i="3"/>
  <c r="C52" i="1"/>
  <c r="C51" i="1"/>
  <c r="C50" i="1"/>
  <c r="C49" i="1"/>
  <c r="C48" i="1"/>
  <c r="C47" i="1"/>
  <c r="C46" i="1"/>
  <c r="C45" i="1"/>
  <c r="B65" i="2" a="1"/>
  <c r="I37" i="3"/>
  <c r="G65" i="3"/>
  <c r="F76" i="3"/>
  <c r="I43" i="3"/>
  <c r="B47" i="2" a="1"/>
  <c r="G75" i="3"/>
  <c r="B38" i="2" a="1"/>
  <c r="L94" i="3"/>
  <c r="H85" i="3"/>
  <c r="AC40" i="3"/>
  <c r="F98" i="3"/>
  <c r="H21" i="3"/>
  <c r="I8" i="3"/>
  <c r="I31" i="3"/>
  <c r="G33" i="3"/>
  <c r="L85" i="3"/>
  <c r="G36" i="3"/>
  <c r="H58" i="3"/>
  <c r="H97" i="3"/>
  <c r="L96" i="3"/>
  <c r="L58" i="3"/>
  <c r="G63" i="3"/>
  <c r="AC102" i="3"/>
  <c r="G60" i="3"/>
  <c r="G27" i="3"/>
  <c r="G88" i="3"/>
  <c r="B97" i="2" a="1"/>
  <c r="B85" i="2" a="1"/>
  <c r="B29" i="2" a="1"/>
  <c r="AC31" i="3"/>
  <c r="L24" i="3"/>
  <c r="L37" i="3"/>
  <c r="F68" i="3"/>
  <c r="G77" i="3"/>
  <c r="L28" i="3"/>
  <c r="AC77" i="3"/>
  <c r="G91" i="3"/>
  <c r="F85" i="3"/>
  <c r="L53" i="3"/>
  <c r="G61" i="3"/>
  <c r="G54" i="3"/>
  <c r="AC44" i="3"/>
  <c r="E84" i="3"/>
  <c r="F55" i="3"/>
  <c r="L3" i="3"/>
  <c r="I32" i="3"/>
  <c r="F21" i="3"/>
  <c r="B50" i="2" a="1"/>
  <c r="L38" i="3"/>
  <c r="L57" i="3"/>
  <c r="AC69" i="3"/>
  <c r="F8" i="3"/>
  <c r="H13" i="3"/>
  <c r="G13" i="3"/>
  <c r="H100" i="3"/>
  <c r="I72" i="3"/>
  <c r="H89" i="3"/>
  <c r="L97" i="3"/>
  <c r="H14" i="3"/>
  <c r="L34" i="3"/>
  <c r="AC79" i="3"/>
  <c r="AC57" i="3"/>
  <c r="E75" i="3"/>
  <c r="F92" i="3"/>
  <c r="L44" i="3"/>
  <c r="AC20" i="3"/>
  <c r="G89" i="3"/>
  <c r="B3" i="2" a="1"/>
  <c r="F37" i="3"/>
  <c r="AC23" i="3"/>
  <c r="L75" i="3"/>
  <c r="L77" i="3"/>
  <c r="L26" i="3"/>
  <c r="L66" i="3"/>
  <c r="G35" i="3"/>
  <c r="I25" i="3"/>
  <c r="E58" i="3"/>
  <c r="L46" i="3"/>
  <c r="E24" i="3"/>
  <c r="E47" i="3"/>
  <c r="I53" i="3"/>
  <c r="G25" i="3"/>
  <c r="G85" i="3"/>
  <c r="AC11" i="3"/>
  <c r="F29" i="3"/>
  <c r="AC75" i="3"/>
  <c r="H20" i="3"/>
  <c r="I28" i="3"/>
  <c r="AC85" i="3"/>
  <c r="I23" i="3"/>
  <c r="G22" i="3"/>
  <c r="B24" i="2" a="1"/>
  <c r="B20" i="2" a="1"/>
  <c r="F13" i="3"/>
  <c r="H83" i="3"/>
  <c r="AC27" i="3"/>
  <c r="H28" i="3"/>
  <c r="E22" i="3"/>
  <c r="E30" i="3"/>
  <c r="E67" i="3"/>
  <c r="I48" i="3"/>
  <c r="H19" i="3"/>
  <c r="AC26" i="3"/>
  <c r="I30" i="3"/>
  <c r="F70" i="3"/>
  <c r="E77" i="3"/>
  <c r="I7" i="3"/>
  <c r="F16" i="3"/>
  <c r="I84" i="3"/>
  <c r="F91" i="3"/>
  <c r="I78" i="3"/>
  <c r="B4" i="2" a="1"/>
  <c r="B41" i="2" a="1"/>
  <c r="G73" i="3"/>
  <c r="B74" i="2" a="1"/>
  <c r="H86" i="3"/>
  <c r="H71" i="3"/>
  <c r="L39" i="3"/>
  <c r="E54" i="3"/>
  <c r="G57" i="3"/>
  <c r="I41" i="3"/>
  <c r="E28" i="3"/>
  <c r="L27" i="3"/>
  <c r="B57" i="2" a="1"/>
  <c r="B35" i="2" a="1"/>
  <c r="F17" i="3"/>
  <c r="F41" i="3"/>
  <c r="G58" i="3"/>
  <c r="E82" i="3"/>
  <c r="F73" i="3"/>
  <c r="E66" i="3"/>
  <c r="E53" i="3"/>
  <c r="F30" i="3"/>
  <c r="G51" i="3"/>
  <c r="E57" i="3"/>
  <c r="G24" i="3"/>
  <c r="H80" i="3"/>
  <c r="G76" i="3"/>
  <c r="L12" i="3"/>
  <c r="G50" i="3"/>
  <c r="L95" i="3"/>
  <c r="I15" i="3"/>
  <c r="E56" i="3"/>
  <c r="F99" i="3"/>
  <c r="H94" i="3"/>
  <c r="B56" i="2" a="1"/>
  <c r="AC73" i="3"/>
  <c r="AC60" i="3"/>
  <c r="G100" i="3"/>
  <c r="H93" i="3"/>
  <c r="E64" i="3"/>
  <c r="E46" i="3"/>
  <c r="H98" i="3"/>
  <c r="G17" i="3"/>
  <c r="B27" i="2" a="1"/>
  <c r="G49" i="3"/>
  <c r="G99" i="3"/>
  <c r="E63" i="3"/>
  <c r="E38" i="3"/>
  <c r="E92" i="3"/>
  <c r="B62" i="2" a="1"/>
  <c r="I52" i="3"/>
  <c r="F45" i="3"/>
  <c r="E39" i="3"/>
  <c r="L16" i="3"/>
  <c r="H52" i="3"/>
  <c r="E80" i="3"/>
  <c r="AC100" i="3"/>
  <c r="E89" i="3"/>
  <c r="AC48" i="3"/>
  <c r="E96" i="3"/>
  <c r="F86" i="3"/>
  <c r="B44" i="2" a="1"/>
  <c r="E61" i="3"/>
  <c r="B18" i="2" a="1"/>
  <c r="G42" i="3"/>
  <c r="H101" i="3"/>
  <c r="L64" i="3"/>
  <c r="E91" i="3"/>
  <c r="F7" i="3"/>
  <c r="I77" i="3"/>
  <c r="E59" i="3"/>
  <c r="AC53" i="3"/>
  <c r="I3" i="3"/>
  <c r="B100" i="2" a="1"/>
  <c r="AC68" i="3"/>
  <c r="L61" i="3"/>
  <c r="B45" i="2" a="1"/>
  <c r="E83" i="3"/>
  <c r="AC10" i="3"/>
  <c r="I39" i="3"/>
  <c r="G72" i="3"/>
  <c r="H50" i="3"/>
  <c r="L33" i="3"/>
  <c r="B69" i="2" a="1"/>
  <c r="AC95" i="3"/>
  <c r="L29" i="3"/>
  <c r="AC54" i="3"/>
  <c r="F26" i="3"/>
  <c r="I34" i="3"/>
  <c r="L62" i="3"/>
  <c r="AC29" i="3"/>
  <c r="H62" i="3"/>
  <c r="H4" i="3"/>
  <c r="I58" i="3"/>
  <c r="E27" i="3"/>
  <c r="E87" i="3"/>
  <c r="L50" i="3"/>
  <c r="I12" i="3"/>
  <c r="H38" i="3"/>
  <c r="AC51" i="3"/>
  <c r="B70" i="2" a="1"/>
  <c r="AC41" i="3"/>
  <c r="F4" i="3"/>
  <c r="E79" i="3"/>
  <c r="L48" i="3"/>
  <c r="I79" i="3"/>
  <c r="H42" i="3"/>
  <c r="L40" i="3"/>
  <c r="H82" i="3"/>
  <c r="B34" i="2" a="1"/>
  <c r="L43" i="3"/>
  <c r="AC70" i="3"/>
  <c r="I14" i="3"/>
  <c r="E15" i="3"/>
  <c r="G94" i="3"/>
  <c r="E73" i="3"/>
  <c r="H37" i="3"/>
  <c r="G78" i="3"/>
  <c r="F94" i="3"/>
  <c r="L63" i="3"/>
  <c r="F14" i="3"/>
  <c r="I42" i="3"/>
  <c r="E95" i="3"/>
  <c r="I80" i="3"/>
  <c r="H39" i="3"/>
  <c r="E6" i="3"/>
  <c r="F52" i="3"/>
  <c r="E11" i="3"/>
  <c r="H6" i="3"/>
  <c r="B91" i="2" a="1"/>
  <c r="F33" i="3"/>
  <c r="I45" i="3"/>
  <c r="E23" i="3"/>
  <c r="AC65" i="3"/>
  <c r="L45" i="3"/>
  <c r="H65" i="3"/>
  <c r="E62" i="3"/>
  <c r="G20" i="3"/>
  <c r="H72" i="3"/>
  <c r="F35" i="3"/>
  <c r="G26" i="3"/>
  <c r="B101" i="2" a="1"/>
  <c r="AC71" i="3"/>
  <c r="L25" i="3"/>
  <c r="L35" i="3"/>
  <c r="L21" i="3"/>
  <c r="G59" i="3"/>
  <c r="H11" i="3"/>
  <c r="I56" i="3"/>
  <c r="H12" i="3"/>
  <c r="I81" i="3"/>
  <c r="B42" i="2" a="1"/>
  <c r="H61" i="3"/>
  <c r="F27" i="3"/>
  <c r="B48" i="2" a="1"/>
  <c r="I83" i="3"/>
  <c r="F44" i="3"/>
  <c r="G41" i="3"/>
  <c r="L100" i="3"/>
  <c r="G10" i="3"/>
  <c r="F38" i="3"/>
  <c r="AC45" i="3"/>
  <c r="G71" i="3"/>
  <c r="F51" i="3"/>
  <c r="E14" i="3"/>
  <c r="L36" i="3"/>
  <c r="AC8" i="3"/>
  <c r="L70" i="3"/>
  <c r="G4" i="3"/>
  <c r="F40" i="3"/>
  <c r="L67" i="3"/>
  <c r="B21" i="2" a="1"/>
  <c r="B66" i="2" a="1"/>
  <c r="F79" i="3"/>
  <c r="F84" i="3"/>
  <c r="I6" i="3"/>
  <c r="G98" i="3"/>
  <c r="F20" i="3"/>
  <c r="G101" i="3"/>
  <c r="H16" i="3"/>
  <c r="F60" i="3"/>
  <c r="E51" i="3"/>
  <c r="E32" i="3"/>
  <c r="G7" i="3"/>
  <c r="I86" i="3"/>
  <c r="AC97" i="3"/>
  <c r="B8" i="2" a="1"/>
  <c r="H7" i="3"/>
  <c r="L80" i="3"/>
  <c r="L18" i="3"/>
  <c r="AC62" i="3"/>
  <c r="F46" i="3"/>
  <c r="L59" i="3"/>
  <c r="B51" i="2" a="1"/>
  <c r="B11" i="2" a="1"/>
  <c r="I29" i="3"/>
  <c r="L87" i="3"/>
  <c r="AC13" i="3"/>
  <c r="H24" i="3"/>
  <c r="E31" i="3"/>
  <c r="L56" i="3"/>
  <c r="H95" i="3"/>
  <c r="B94" i="2" a="1"/>
  <c r="H99" i="3"/>
  <c r="L4" i="3"/>
  <c r="H33" i="3"/>
  <c r="AC86" i="3"/>
  <c r="F57" i="3"/>
  <c r="E101" i="3"/>
  <c r="B12" i="2" a="1"/>
  <c r="B32" i="2" a="1"/>
  <c r="F80" i="3"/>
  <c r="B80" i="2" a="1"/>
  <c r="E76" i="3"/>
  <c r="B6" i="2" a="1"/>
  <c r="L65" i="3"/>
  <c r="H76" i="3"/>
  <c r="F88" i="3"/>
  <c r="B9" i="2" a="1"/>
  <c r="L74" i="3"/>
  <c r="I49" i="3"/>
  <c r="G37" i="3"/>
  <c r="E21" i="3"/>
  <c r="H10" i="3"/>
  <c r="B10" i="2" a="1"/>
  <c r="I27" i="3"/>
  <c r="L55" i="3"/>
  <c r="F39" i="3"/>
  <c r="B63" i="2" a="1"/>
  <c r="G81" i="3"/>
  <c r="E90" i="3"/>
  <c r="B93" i="2" a="1"/>
  <c r="B71" i="2" a="1"/>
  <c r="F96" i="3"/>
  <c r="B75" i="2" a="1"/>
  <c r="G64" i="3"/>
  <c r="G56" i="3"/>
  <c r="AC4" i="3"/>
  <c r="AC3" i="3"/>
  <c r="E34" i="3"/>
  <c r="B88" i="2" a="1"/>
  <c r="H26" i="3"/>
  <c r="B2" i="2" a="1"/>
  <c r="H27" i="3"/>
  <c r="B16" i="2" a="1"/>
  <c r="L6" i="3"/>
  <c r="AC64" i="3"/>
  <c r="I65" i="3"/>
  <c r="L52" i="3"/>
  <c r="AC88" i="3"/>
  <c r="AC101" i="3"/>
  <c r="B49" i="2" a="1"/>
  <c r="AC28" i="3"/>
  <c r="F77" i="3"/>
  <c r="AC16" i="3"/>
  <c r="B52" i="2" a="1"/>
  <c r="AC47" i="3"/>
  <c r="G15" i="3"/>
  <c r="I100" i="3"/>
  <c r="E3" i="3"/>
  <c r="E40" i="3"/>
  <c r="H22" i="3"/>
  <c r="B37" i="2" a="1"/>
  <c r="AC56" i="3"/>
  <c r="E44" i="3"/>
  <c r="H51" i="3"/>
  <c r="I50" i="3"/>
  <c r="AC78" i="3"/>
  <c r="F12" i="3"/>
  <c r="B98" i="2" a="1"/>
  <c r="AC87" i="3"/>
  <c r="H35" i="3"/>
  <c r="E19" i="3"/>
  <c r="G12" i="3"/>
  <c r="E5" i="3"/>
  <c r="E86" i="3"/>
  <c r="H70" i="3"/>
  <c r="AC6" i="3"/>
  <c r="B40" i="2" a="1"/>
  <c r="F18" i="3"/>
  <c r="AC52" i="3"/>
  <c r="AC17" i="3"/>
  <c r="E70" i="3"/>
  <c r="G23" i="3"/>
  <c r="I76" i="3"/>
  <c r="I61" i="3"/>
  <c r="G44" i="3"/>
  <c r="H73" i="3"/>
  <c r="I68" i="3"/>
  <c r="B46" i="2" a="1"/>
  <c r="H63" i="3"/>
  <c r="B87" i="2" a="1"/>
  <c r="E72" i="3"/>
  <c r="AC36" i="3"/>
  <c r="G14" i="3"/>
  <c r="H5" i="3"/>
  <c r="E102" i="3"/>
  <c r="H64" i="3"/>
  <c r="I44" i="3"/>
  <c r="H55" i="3"/>
  <c r="I19" i="3"/>
  <c r="H23" i="3"/>
  <c r="H44" i="3"/>
  <c r="E18" i="3"/>
  <c r="B67" i="2" a="1"/>
  <c r="AC33" i="3"/>
  <c r="I57" i="3"/>
  <c r="F58" i="3"/>
  <c r="L19" i="3"/>
  <c r="H48" i="3"/>
  <c r="I66" i="3"/>
  <c r="E97" i="3"/>
  <c r="G18" i="3"/>
  <c r="E16" i="3"/>
  <c r="E48" i="3"/>
  <c r="F63" i="3"/>
  <c r="F6" i="3"/>
  <c r="G84" i="3"/>
  <c r="I33" i="3"/>
  <c r="AC9" i="3"/>
  <c r="H3" i="3"/>
  <c r="AC83" i="3"/>
  <c r="B78" i="2" a="1"/>
  <c r="AC58" i="3"/>
  <c r="E74" i="3"/>
  <c r="AC21" i="3"/>
  <c r="I91" i="3"/>
  <c r="B7" i="2" a="1"/>
  <c r="AC92" i="3"/>
  <c r="I67" i="3"/>
  <c r="F19" i="3"/>
  <c r="I70" i="3"/>
  <c r="E93" i="3"/>
  <c r="E41" i="3"/>
  <c r="E7" i="3"/>
  <c r="G86" i="3"/>
  <c r="B15" i="2" a="1"/>
  <c r="I35" i="3"/>
  <c r="I10" i="3"/>
  <c r="G46" i="3"/>
  <c r="G11" i="3"/>
  <c r="L90" i="3"/>
  <c r="E81" i="3"/>
  <c r="L9" i="3"/>
  <c r="AC14" i="3"/>
  <c r="AC55" i="3"/>
  <c r="G47" i="3"/>
  <c r="AC32" i="3"/>
  <c r="F47" i="3"/>
  <c r="H87" i="3"/>
  <c r="G80" i="3"/>
  <c r="H84" i="3"/>
  <c r="G9" i="3"/>
  <c r="H59" i="3"/>
  <c r="AC72" i="3"/>
  <c r="F25" i="3"/>
  <c r="F65" i="3"/>
  <c r="G52" i="3"/>
  <c r="H68" i="3"/>
  <c r="E78" i="3"/>
  <c r="E37" i="3"/>
  <c r="AC67" i="3"/>
  <c r="F90" i="3"/>
  <c r="AC12" i="3"/>
  <c r="F15" i="3"/>
  <c r="G45" i="3"/>
  <c r="H47" i="3"/>
  <c r="AC22" i="3"/>
  <c r="F10" i="3"/>
  <c r="B39" i="2" a="1"/>
  <c r="B82" i="2" a="1"/>
  <c r="B19" i="2" a="1"/>
  <c r="F100" i="3"/>
  <c r="F67" i="3"/>
  <c r="G6" i="3"/>
  <c r="F66" i="3"/>
  <c r="L42" i="3"/>
  <c r="B86" i="2" a="1"/>
  <c r="G8" i="3"/>
  <c r="G39" i="3"/>
  <c r="AC82" i="3"/>
  <c r="AC50" i="3"/>
  <c r="B28" i="2" a="1"/>
  <c r="B64" i="2" a="1"/>
  <c r="F97" i="3"/>
  <c r="L60" i="3"/>
  <c r="L84" i="3"/>
  <c r="AC30" i="3"/>
  <c r="E36" i="3"/>
  <c r="B26" i="2" a="1"/>
  <c r="I40" i="3"/>
  <c r="I98" i="3"/>
  <c r="L22" i="3"/>
  <c r="G3" i="3"/>
  <c r="B23" i="2" a="1"/>
  <c r="AC61" i="3"/>
  <c r="H69" i="3"/>
  <c r="L82" i="3"/>
  <c r="AC35" i="3"/>
  <c r="B36" i="2" a="1"/>
  <c r="H36" i="3"/>
  <c r="E25" i="3"/>
  <c r="L79" i="3"/>
  <c r="I22" i="3"/>
  <c r="F83" i="3"/>
  <c r="E99" i="3"/>
  <c r="F62" i="3"/>
  <c r="I74" i="3"/>
  <c r="F42" i="3"/>
  <c r="H53" i="3"/>
  <c r="E33" i="3"/>
  <c r="L78" i="3"/>
  <c r="E4" i="3"/>
  <c r="I4" i="3"/>
  <c r="E49" i="3"/>
  <c r="I21" i="3"/>
  <c r="G79" i="3"/>
  <c r="G55" i="3"/>
  <c r="L68" i="3"/>
  <c r="E45" i="3"/>
  <c r="G21" i="3"/>
  <c r="I94" i="3"/>
  <c r="B59" i="2" a="1"/>
  <c r="I101" i="3"/>
  <c r="AC19" i="3"/>
  <c r="F31" i="3"/>
  <c r="L76" i="3"/>
  <c r="AC49" i="3"/>
  <c r="H90" i="3"/>
  <c r="F78" i="3"/>
  <c r="AC43" i="3"/>
  <c r="AC74" i="3"/>
  <c r="E13" i="3"/>
  <c r="H41" i="3"/>
  <c r="AC24" i="3"/>
  <c r="H75" i="3"/>
  <c r="I51" i="3"/>
  <c r="G53" i="3"/>
  <c r="I54" i="3"/>
  <c r="H43" i="3"/>
  <c r="E43" i="3"/>
  <c r="L10" i="3"/>
  <c r="G82" i="3"/>
  <c r="B54" i="2" a="1"/>
  <c r="AC63" i="3"/>
  <c r="I20" i="3"/>
  <c r="I18" i="3"/>
  <c r="F5" i="3"/>
  <c r="E88" i="3"/>
  <c r="I17" i="3"/>
  <c r="I93" i="3"/>
  <c r="B68" i="2" a="1"/>
  <c r="F61" i="3"/>
  <c r="H45" i="3"/>
  <c r="I89" i="3"/>
  <c r="L73" i="3"/>
  <c r="G32" i="3"/>
  <c r="L51" i="3"/>
  <c r="E68" i="3"/>
  <c r="I88" i="3"/>
  <c r="AC84" i="3"/>
  <c r="H78" i="3"/>
  <c r="B33" i="2" a="1"/>
  <c r="AC93" i="3"/>
  <c r="F50" i="3"/>
  <c r="L93" i="3"/>
  <c r="F87" i="3"/>
  <c r="E98" i="3"/>
  <c r="I90" i="3"/>
  <c r="G83" i="3"/>
  <c r="AC34" i="3"/>
  <c r="E20" i="3"/>
  <c r="L86" i="3"/>
  <c r="B60" i="2" a="1"/>
  <c r="B17" i="2" a="1"/>
  <c r="L32" i="3"/>
  <c r="L14" i="3"/>
  <c r="B22" i="2" a="1"/>
  <c r="L88" i="3"/>
  <c r="L72" i="3"/>
  <c r="H34" i="3"/>
  <c r="AC91" i="3"/>
  <c r="I92" i="3"/>
  <c r="E55" i="3"/>
  <c r="AC99" i="3"/>
  <c r="G5" i="3"/>
  <c r="B53" i="2" a="1"/>
  <c r="I96" i="3"/>
  <c r="F34" i="3"/>
  <c r="AC98" i="3"/>
  <c r="F93" i="3"/>
  <c r="L92" i="3"/>
  <c r="L11" i="3"/>
  <c r="G16" i="3"/>
  <c r="AC66" i="3"/>
  <c r="F54" i="3"/>
  <c r="H8" i="3"/>
  <c r="I85" i="3"/>
  <c r="F9" i="3"/>
  <c r="F72" i="3"/>
  <c r="B58" i="2" a="1"/>
  <c r="E8" i="3"/>
  <c r="B92" i="2" a="1"/>
  <c r="F28" i="3"/>
  <c r="L17" i="3"/>
  <c r="I47" i="3"/>
  <c r="F81" i="3"/>
  <c r="E26" i="3"/>
  <c r="L81" i="3"/>
  <c r="AC89" i="3"/>
  <c r="E10" i="3"/>
  <c r="F101" i="3"/>
  <c r="G62" i="3"/>
  <c r="I64" i="3"/>
  <c r="I16" i="3"/>
  <c r="L7" i="3"/>
  <c r="F24" i="3"/>
  <c r="G96" i="3"/>
  <c r="H30" i="3"/>
  <c r="L41" i="3"/>
  <c r="F69" i="3"/>
  <c r="H15" i="3"/>
  <c r="H54" i="3"/>
  <c r="E52" i="3"/>
  <c r="F89" i="3"/>
  <c r="I5" i="3"/>
  <c r="I13" i="3"/>
  <c r="B30" i="2" a="1"/>
  <c r="B13" i="2" a="1"/>
  <c r="AC5" i="3"/>
  <c r="B14" i="2" a="1"/>
  <c r="AC59" i="3"/>
  <c r="G28" i="3"/>
  <c r="G19" i="3"/>
  <c r="G40" i="3"/>
  <c r="I71" i="3"/>
  <c r="H88" i="3"/>
  <c r="E9" i="3"/>
  <c r="B5" i="2" a="1"/>
  <c r="B96" i="2" a="1"/>
  <c r="H17" i="3"/>
  <c r="B79" i="2" a="1"/>
  <c r="B99" i="2" a="1"/>
  <c r="F49" i="3"/>
  <c r="L47" i="3"/>
  <c r="I95" i="3"/>
  <c r="F64" i="3"/>
  <c r="B95" i="2" a="1"/>
  <c r="I11" i="3"/>
  <c r="F82" i="3"/>
  <c r="I24" i="3"/>
  <c r="I9" i="3"/>
  <c r="AC81" i="3"/>
  <c r="B43" i="2" a="1"/>
  <c r="I26" i="3"/>
  <c r="B55" i="2" a="1"/>
  <c r="I55" i="3"/>
  <c r="L99" i="3"/>
  <c r="AC38" i="3"/>
  <c r="L69" i="3"/>
  <c r="L91" i="3"/>
  <c r="F23" i="3"/>
  <c r="E94" i="3"/>
  <c r="G67" i="3"/>
  <c r="F11" i="3"/>
  <c r="B90" i="2" a="1"/>
  <c r="I69" i="3"/>
  <c r="E29" i="3"/>
  <c r="F48" i="3"/>
  <c r="E65" i="3"/>
  <c r="L5" i="3"/>
  <c r="B89" i="2" a="1"/>
  <c r="AC15" i="3"/>
  <c r="AC96" i="3"/>
  <c r="I87" i="3"/>
  <c r="B76" i="2" a="1"/>
  <c r="L89" i="3"/>
  <c r="G74" i="3"/>
  <c r="H25" i="3"/>
  <c r="H79" i="3"/>
  <c r="H31" i="3"/>
  <c r="I97" i="3"/>
  <c r="G97" i="3"/>
  <c r="I63" i="3"/>
  <c r="H60" i="3"/>
  <c r="H49" i="3"/>
  <c r="L20" i="3"/>
  <c r="AC80" i="3"/>
  <c r="G68" i="3"/>
  <c r="B72" i="2" a="1"/>
  <c r="H77" i="3"/>
  <c r="I60" i="3"/>
  <c r="L101" i="3"/>
  <c r="B83" i="2" a="1"/>
  <c r="B81" i="2" a="1"/>
  <c r="F32" i="3"/>
  <c r="L15" i="3"/>
  <c r="H91" i="3"/>
  <c r="G38" i="3"/>
  <c r="B25" i="2" a="1"/>
  <c r="H92" i="3"/>
  <c r="F22" i="3"/>
  <c r="G30" i="3"/>
  <c r="I73" i="3"/>
  <c r="G95" i="3"/>
  <c r="G87" i="3"/>
  <c r="H66" i="3"/>
  <c r="E60" i="3"/>
  <c r="G93" i="3"/>
  <c r="AC39" i="3"/>
  <c r="AC37" i="3"/>
  <c r="H29" i="3"/>
  <c r="B73" i="2" a="1"/>
  <c r="L31" i="3"/>
  <c r="F71" i="3"/>
  <c r="E69" i="3"/>
  <c r="AC46" i="3"/>
  <c r="F59" i="3"/>
  <c r="G70" i="3"/>
  <c r="L30" i="3"/>
  <c r="E35" i="3"/>
  <c r="AC7" i="3"/>
  <c r="G48" i="3"/>
  <c r="I75" i="3"/>
  <c r="L71" i="3"/>
  <c r="F43" i="3"/>
  <c r="AC76" i="3"/>
  <c r="H56" i="3"/>
  <c r="H57" i="3"/>
  <c r="G66" i="3"/>
  <c r="L54" i="3"/>
  <c r="F3" i="3"/>
  <c r="H67" i="3"/>
  <c r="L83" i="3"/>
  <c r="L13" i="3"/>
  <c r="E50" i="3"/>
  <c r="I99" i="3"/>
  <c r="F95" i="3"/>
  <c r="I38" i="3"/>
  <c r="H40" i="3"/>
  <c r="H74" i="3"/>
  <c r="G69" i="3"/>
  <c r="L23" i="3"/>
  <c r="I59" i="3"/>
  <c r="I36" i="3"/>
  <c r="B77" i="2" a="1"/>
  <c r="G92" i="3"/>
  <c r="F53" i="3"/>
  <c r="F75" i="3"/>
  <c r="F74" i="3"/>
  <c r="H18" i="3"/>
  <c r="E100" i="3"/>
  <c r="L98" i="3"/>
  <c r="F36" i="3"/>
  <c r="G34" i="3"/>
  <c r="AC90" i="3"/>
  <c r="I82" i="3"/>
  <c r="G43" i="3"/>
  <c r="G90" i="3"/>
  <c r="E12" i="3"/>
  <c r="E85" i="3"/>
  <c r="H96" i="3"/>
  <c r="AC94" i="3"/>
  <c r="B61" i="2" a="1"/>
  <c r="L49" i="3"/>
  <c r="AC18" i="3"/>
  <c r="G29" i="3"/>
  <c r="H9" i="3"/>
  <c r="AC25" i="3"/>
  <c r="AC42" i="3"/>
  <c r="E42" i="3"/>
  <c r="I46" i="3"/>
  <c r="B84" i="2" a="1"/>
  <c r="L8" i="3"/>
  <c r="E71" i="3"/>
  <c r="G31" i="3"/>
  <c r="H46" i="3"/>
  <c r="H81" i="3"/>
  <c r="E17" i="3"/>
  <c r="H32" i="3"/>
  <c r="I62" i="3"/>
  <c r="B31" i="2" a="1"/>
  <c r="F56" i="3"/>
  <c r="A306" i="3" l="1"/>
  <c r="A102" i="3"/>
  <c r="A149" i="3"/>
  <c r="A311" i="3"/>
  <c r="A220" i="3"/>
  <c r="A4" i="3"/>
  <c r="A183" i="3"/>
  <c r="AD17" i="3"/>
  <c r="N17" i="3" s="1"/>
  <c r="Y17" i="3" s="1"/>
  <c r="A76" i="3"/>
  <c r="A191" i="3"/>
  <c r="A332" i="3"/>
  <c r="A292" i="3"/>
  <c r="AD145" i="3"/>
  <c r="A293" i="3"/>
  <c r="A81" i="3"/>
  <c r="A228" i="3"/>
  <c r="AD196" i="3"/>
  <c r="AC273" i="3"/>
  <c r="O273" i="3" s="1"/>
  <c r="AD293" i="3"/>
  <c r="AD262" i="3"/>
  <c r="AC271" i="3"/>
  <c r="O271" i="3" s="1"/>
  <c r="AD273" i="3"/>
  <c r="A330" i="3"/>
  <c r="A125" i="3"/>
  <c r="AD26" i="3"/>
  <c r="N26" i="3" s="1"/>
  <c r="AD18" i="3"/>
  <c r="N18" i="3" s="1"/>
  <c r="X18" i="3" s="1"/>
  <c r="AD25" i="3"/>
  <c r="N25" i="3" s="1"/>
  <c r="Y25" i="3" s="1"/>
  <c r="AD86" i="3"/>
  <c r="N86" i="3" s="1"/>
  <c r="Z86" i="3" s="1"/>
  <c r="AC106" i="3"/>
  <c r="O106" i="3" s="1"/>
  <c r="A13" i="3"/>
  <c r="AD335" i="3"/>
  <c r="A193" i="3"/>
  <c r="AD269" i="3"/>
  <c r="AC137" i="3"/>
  <c r="O137" i="3" s="1"/>
  <c r="AD141" i="3"/>
  <c r="A24" i="3"/>
  <c r="A46" i="3"/>
  <c r="AD137" i="3"/>
  <c r="AC139" i="3"/>
  <c r="O139" i="3" s="1"/>
  <c r="A187" i="3"/>
  <c r="AD256" i="3"/>
  <c r="AC143" i="3"/>
  <c r="O143" i="3" s="1"/>
  <c r="A138" i="3"/>
  <c r="A344" i="3"/>
  <c r="A5" i="3"/>
  <c r="AD38" i="3"/>
  <c r="N38" i="3" s="1"/>
  <c r="Y38" i="3" s="1"/>
  <c r="A82" i="3"/>
  <c r="A97" i="3"/>
  <c r="A274" i="3"/>
  <c r="A298" i="3"/>
  <c r="AD61" i="3"/>
  <c r="N61" i="3" s="1"/>
  <c r="X61" i="3" s="1"/>
  <c r="A257" i="3"/>
  <c r="AD69" i="3"/>
  <c r="N69" i="3" s="1"/>
  <c r="AB69" i="3" s="1"/>
  <c r="AC146" i="3"/>
  <c r="O146" i="3" s="1"/>
  <c r="AC223" i="3"/>
  <c r="O223" i="3" s="1"/>
  <c r="AC225" i="3"/>
  <c r="O225" i="3" s="1"/>
  <c r="A70" i="3"/>
  <c r="AD136" i="3"/>
  <c r="AC186" i="3"/>
  <c r="O186" i="3" s="1"/>
  <c r="AD210" i="3"/>
  <c r="AC308" i="3"/>
  <c r="O308" i="3" s="1"/>
  <c r="AC310" i="3"/>
  <c r="O310" i="3" s="1"/>
  <c r="A34" i="3"/>
  <c r="AC125" i="3"/>
  <c r="O125" i="3" s="1"/>
  <c r="A305" i="3"/>
  <c r="AD334" i="3"/>
  <c r="A57" i="3"/>
  <c r="A64" i="3"/>
  <c r="AC164" i="3"/>
  <c r="O164" i="3" s="1"/>
  <c r="A218" i="3"/>
  <c r="A100" i="3"/>
  <c r="AD248" i="3"/>
  <c r="AD345" i="3"/>
  <c r="AC246" i="3"/>
  <c r="O246" i="3" s="1"/>
  <c r="AD274" i="3"/>
  <c r="AC300" i="3"/>
  <c r="O300" i="3" s="1"/>
  <c r="A152" i="3"/>
  <c r="A161" i="3"/>
  <c r="AD257" i="3"/>
  <c r="A291" i="3"/>
  <c r="AC294" i="3"/>
  <c r="O294" i="3" s="1"/>
  <c r="AC298" i="3"/>
  <c r="O298" i="3" s="1"/>
  <c r="AD317" i="3"/>
  <c r="A16" i="3"/>
  <c r="A101" i="3"/>
  <c r="AD149" i="3"/>
  <c r="AD191" i="3"/>
  <c r="AD193" i="3"/>
  <c r="AD294" i="3"/>
  <c r="AC352" i="3"/>
  <c r="O352" i="3" s="1"/>
  <c r="AC202" i="3"/>
  <c r="O202" i="3" s="1"/>
  <c r="A223" i="3"/>
  <c r="AC224" i="3"/>
  <c r="O224" i="3" s="1"/>
  <c r="AC350" i="3"/>
  <c r="O350" i="3" s="1"/>
  <c r="A10" i="3"/>
  <c r="A136" i="3"/>
  <c r="AD337" i="3"/>
  <c r="A42" i="3"/>
  <c r="AD54" i="3"/>
  <c r="N54" i="3" s="1"/>
  <c r="AB54" i="3" s="1"/>
  <c r="A66" i="3"/>
  <c r="AD77" i="3"/>
  <c r="N77" i="3" s="1"/>
  <c r="X77" i="3" s="1"/>
  <c r="AD146" i="3"/>
  <c r="AC218" i="3"/>
  <c r="O218" i="3" s="1"/>
  <c r="AC237" i="3"/>
  <c r="O237" i="3" s="1"/>
  <c r="A269" i="3"/>
  <c r="A271" i="3"/>
  <c r="AD330" i="3"/>
  <c r="AC332" i="3"/>
  <c r="O332" i="3" s="1"/>
  <c r="A335" i="3"/>
  <c r="A337" i="3"/>
  <c r="A8" i="3"/>
  <c r="A72" i="3"/>
  <c r="AC235" i="3"/>
  <c r="O235" i="3" s="1"/>
  <c r="AD266" i="3"/>
  <c r="AC285" i="3"/>
  <c r="O285" i="3" s="1"/>
  <c r="A296" i="3"/>
  <c r="A300" i="3"/>
  <c r="AD30" i="3"/>
  <c r="N30" i="3" s="1"/>
  <c r="A37" i="3"/>
  <c r="A50" i="3"/>
  <c r="A85" i="3"/>
  <c r="A175" i="3"/>
  <c r="AC187" i="3"/>
  <c r="O187" i="3" s="1"/>
  <c r="AC189" i="3"/>
  <c r="O189" i="3" s="1"/>
  <c r="A234" i="3"/>
  <c r="A56" i="3"/>
  <c r="A92" i="3"/>
  <c r="AD172" i="3"/>
  <c r="AD183" i="3"/>
  <c r="A196" i="3"/>
  <c r="AD349" i="3"/>
  <c r="A352" i="3"/>
  <c r="A9" i="3"/>
  <c r="A14" i="3"/>
  <c r="A20" i="3"/>
  <c r="A62" i="3"/>
  <c r="A80" i="3"/>
  <c r="AC109" i="3"/>
  <c r="O109" i="3" s="1"/>
  <c r="AD111" i="3"/>
  <c r="AC135" i="3"/>
  <c r="O135" i="3" s="1"/>
  <c r="AC145" i="3"/>
  <c r="O145" i="3" s="1"/>
  <c r="A165" i="3"/>
  <c r="A167" i="3"/>
  <c r="AC208" i="3"/>
  <c r="O208" i="3" s="1"/>
  <c r="A243" i="3"/>
  <c r="AD254" i="3"/>
  <c r="AC256" i="3"/>
  <c r="O256" i="3" s="1"/>
  <c r="AC318" i="3"/>
  <c r="O318" i="3" s="1"/>
  <c r="AC345" i="3"/>
  <c r="O345" i="3" s="1"/>
  <c r="A21" i="3"/>
  <c r="A33" i="3"/>
  <c r="A52" i="3"/>
  <c r="A224" i="3"/>
  <c r="AD246" i="3"/>
  <c r="AD53" i="3"/>
  <c r="N53" i="3" s="1"/>
  <c r="X53" i="3" s="1"/>
  <c r="A96" i="3"/>
  <c r="AC154" i="3"/>
  <c r="O154" i="3" s="1"/>
  <c r="A197" i="3"/>
  <c r="A208" i="3"/>
  <c r="A231" i="3"/>
  <c r="AC245" i="3"/>
  <c r="O245" i="3" s="1"/>
  <c r="A254" i="3"/>
  <c r="A318" i="3"/>
  <c r="A6" i="3"/>
  <c r="A29" i="3"/>
  <c r="A41" i="3"/>
  <c r="A60" i="3"/>
  <c r="A65" i="3"/>
  <c r="A109" i="3"/>
  <c r="A111" i="3"/>
  <c r="A113" i="3"/>
  <c r="AD123" i="3"/>
  <c r="AC167" i="3"/>
  <c r="O167" i="3" s="1"/>
  <c r="A210" i="3"/>
  <c r="A242" i="3"/>
  <c r="AC243" i="3"/>
  <c r="O243" i="3" s="1"/>
  <c r="A252" i="3"/>
  <c r="AD319" i="3"/>
  <c r="A343" i="3"/>
  <c r="AD249" i="3"/>
  <c r="AC289" i="3"/>
  <c r="O289" i="3" s="1"/>
  <c r="AD305" i="3"/>
  <c r="A303" i="3"/>
  <c r="A327" i="3"/>
  <c r="AD74" i="3"/>
  <c r="N74" i="3" s="1"/>
  <c r="Z74" i="3" s="1"/>
  <c r="AD89" i="3"/>
  <c r="N89" i="3" s="1"/>
  <c r="Y89" i="3" s="1"/>
  <c r="AD94" i="3"/>
  <c r="N94" i="3" s="1"/>
  <c r="AB94" i="3" s="1"/>
  <c r="AD299" i="3"/>
  <c r="A299" i="3"/>
  <c r="A90" i="3"/>
  <c r="AC105" i="3"/>
  <c r="O105" i="3" s="1"/>
  <c r="A121" i="3"/>
  <c r="A129" i="3"/>
  <c r="AC132" i="3"/>
  <c r="O132" i="3" s="1"/>
  <c r="A173" i="3"/>
  <c r="AC178" i="3"/>
  <c r="O178" i="3" s="1"/>
  <c r="A194" i="3"/>
  <c r="AC212" i="3"/>
  <c r="O212" i="3" s="1"/>
  <c r="AD304" i="3"/>
  <c r="AD40" i="3"/>
  <c r="N40" i="3" s="1"/>
  <c r="AB40" i="3" s="1"/>
  <c r="A40" i="3"/>
  <c r="AD45" i="3"/>
  <c r="N45" i="3" s="1"/>
  <c r="X45" i="3" s="1"/>
  <c r="AD105" i="3"/>
  <c r="AC114" i="3"/>
  <c r="O114" i="3" s="1"/>
  <c r="AD132" i="3"/>
  <c r="AC174" i="3"/>
  <c r="O174" i="3" s="1"/>
  <c r="AC176" i="3"/>
  <c r="O176" i="3" s="1"/>
  <c r="AC216" i="3"/>
  <c r="O216" i="3" s="1"/>
  <c r="AC249" i="3"/>
  <c r="O249" i="3" s="1"/>
  <c r="AC258" i="3"/>
  <c r="O258" i="3" s="1"/>
  <c r="AC260" i="3"/>
  <c r="O260" i="3" s="1"/>
  <c r="AC262" i="3"/>
  <c r="O262" i="3" s="1"/>
  <c r="AC319" i="3"/>
  <c r="O319" i="3" s="1"/>
  <c r="AC349" i="3"/>
  <c r="O349" i="3" s="1"/>
  <c r="AD114" i="3"/>
  <c r="AD216" i="3"/>
  <c r="AD348" i="3"/>
  <c r="AC348" i="3"/>
  <c r="O348" i="3" s="1"/>
  <c r="A36" i="3"/>
  <c r="A150" i="3"/>
  <c r="A158" i="3"/>
  <c r="AD197" i="3"/>
  <c r="A250" i="3"/>
  <c r="AD264" i="3"/>
  <c r="AC272" i="3"/>
  <c r="O272" i="3" s="1"/>
  <c r="A322" i="3"/>
  <c r="A324" i="3"/>
  <c r="AC153" i="3"/>
  <c r="O153" i="3" s="1"/>
  <c r="AD159" i="3"/>
  <c r="AC203" i="3"/>
  <c r="O203" i="3" s="1"/>
  <c r="AD205" i="3"/>
  <c r="AC222" i="3"/>
  <c r="O222" i="3" s="1"/>
  <c r="AC314" i="3"/>
  <c r="O314" i="3" s="1"/>
  <c r="AC338" i="3"/>
  <c r="O338" i="3" s="1"/>
  <c r="AD340" i="3"/>
  <c r="AD153" i="3"/>
  <c r="AC161" i="3"/>
  <c r="O161" i="3" s="1"/>
  <c r="AD163" i="3"/>
  <c r="AD200" i="3"/>
  <c r="A200" i="3"/>
  <c r="AC232" i="3"/>
  <c r="O232" i="3" s="1"/>
  <c r="AD242" i="3"/>
  <c r="AD292" i="3"/>
  <c r="AC299" i="3"/>
  <c r="O299" i="3" s="1"/>
  <c r="AD314" i="3"/>
  <c r="AC316" i="3"/>
  <c r="O316" i="3" s="1"/>
  <c r="AD325" i="3"/>
  <c r="AD338" i="3"/>
  <c r="AC344" i="3"/>
  <c r="O344" i="3" s="1"/>
  <c r="AC113" i="3"/>
  <c r="O113" i="3" s="1"/>
  <c r="AC165" i="3"/>
  <c r="O165" i="3" s="1"/>
  <c r="AC211" i="3"/>
  <c r="O211" i="3" s="1"/>
  <c r="AD234" i="3"/>
  <c r="AC284" i="3"/>
  <c r="O284" i="3" s="1"/>
  <c r="AC286" i="3"/>
  <c r="O286" i="3" s="1"/>
  <c r="AC303" i="3"/>
  <c r="O303" i="3" s="1"/>
  <c r="AD316" i="3"/>
  <c r="A12" i="3"/>
  <c r="A32" i="3"/>
  <c r="AD138" i="3"/>
  <c r="A141" i="3"/>
  <c r="A143" i="3"/>
  <c r="AD211" i="3"/>
  <c r="A225" i="3"/>
  <c r="AC228" i="3"/>
  <c r="O228" i="3" s="1"/>
  <c r="A235" i="3"/>
  <c r="AC238" i="3"/>
  <c r="O238" i="3" s="1"/>
  <c r="AC248" i="3"/>
  <c r="O248" i="3" s="1"/>
  <c r="AD282" i="3"/>
  <c r="AD286" i="3"/>
  <c r="A22" i="3"/>
  <c r="A48" i="3"/>
  <c r="A58" i="3"/>
  <c r="A68" i="3"/>
  <c r="A73" i="3"/>
  <c r="AC108" i="3"/>
  <c r="O108" i="3" s="1"/>
  <c r="AC121" i="3"/>
  <c r="O121" i="3" s="1"/>
  <c r="AD173" i="3"/>
  <c r="AC179" i="3"/>
  <c r="O179" i="3" s="1"/>
  <c r="AD181" i="3"/>
  <c r="AC185" i="3"/>
  <c r="O185" i="3" s="1"/>
  <c r="A212" i="3"/>
  <c r="AD213" i="3"/>
  <c r="AD276" i="3"/>
  <c r="A304" i="3"/>
  <c r="AD346" i="3"/>
  <c r="A78" i="3"/>
  <c r="A88" i="3"/>
  <c r="A93" i="3"/>
  <c r="A98" i="3"/>
  <c r="AD108" i="3"/>
  <c r="AC129" i="3"/>
  <c r="O129" i="3" s="1"/>
  <c r="AC166" i="3"/>
  <c r="O166" i="3" s="1"/>
  <c r="A166" i="3"/>
  <c r="A174" i="3"/>
  <c r="A180" i="3"/>
  <c r="A186" i="3"/>
  <c r="AD194" i="3"/>
  <c r="A258" i="3"/>
  <c r="A260" i="3"/>
  <c r="AD279" i="3"/>
  <c r="AC279" i="3"/>
  <c r="O279" i="3" s="1"/>
  <c r="AC134" i="3"/>
  <c r="O134" i="3" s="1"/>
  <c r="A134" i="3"/>
  <c r="A28" i="3"/>
  <c r="A49" i="3"/>
  <c r="A199" i="3"/>
  <c r="AC200" i="3"/>
  <c r="O200" i="3" s="1"/>
  <c r="AD202" i="3"/>
  <c r="AD252" i="3"/>
  <c r="A264" i="3"/>
  <c r="AC296" i="3"/>
  <c r="O296" i="3" s="1"/>
  <c r="AD322" i="3"/>
  <c r="AD324" i="3"/>
  <c r="AD350" i="3"/>
  <c r="A44" i="3"/>
  <c r="A84" i="3"/>
  <c r="AD150" i="3"/>
  <c r="A159" i="3"/>
  <c r="AD160" i="3"/>
  <c r="A203" i="3"/>
  <c r="A205" i="3"/>
  <c r="A222" i="3"/>
  <c r="A325" i="3"/>
  <c r="AD343" i="3"/>
  <c r="A188" i="3"/>
  <c r="AD188" i="3"/>
  <c r="AB311" i="3"/>
  <c r="Z338" i="3"/>
  <c r="Z311" i="3"/>
  <c r="AA311" i="3"/>
  <c r="R352" i="3"/>
  <c r="U352" i="3" s="1"/>
  <c r="Z110" i="3"/>
  <c r="AB117" i="3"/>
  <c r="Z158" i="3"/>
  <c r="AA125" i="3"/>
  <c r="Y219" i="3"/>
  <c r="X135" i="3"/>
  <c r="X214" i="3"/>
  <c r="AA310" i="3"/>
  <c r="R219" i="3"/>
  <c r="T219" i="3" s="1"/>
  <c r="AB345" i="3"/>
  <c r="Z125" i="3"/>
  <c r="X219" i="3"/>
  <c r="AA236" i="3"/>
  <c r="Z309" i="3"/>
  <c r="X190" i="3"/>
  <c r="AB125" i="3"/>
  <c r="AA219" i="3"/>
  <c r="Y311" i="3"/>
  <c r="R235" i="3"/>
  <c r="W235" i="3" s="1"/>
  <c r="X263" i="3"/>
  <c r="AA286" i="3"/>
  <c r="X174" i="3"/>
  <c r="Z178" i="3"/>
  <c r="R189" i="3"/>
  <c r="W189" i="3" s="1"/>
  <c r="AA235" i="3"/>
  <c r="AA263" i="3"/>
  <c r="AA306" i="3"/>
  <c r="AA146" i="3"/>
  <c r="Z189" i="3"/>
  <c r="AA184" i="3"/>
  <c r="Z317" i="3"/>
  <c r="AB204" i="3"/>
  <c r="Y143" i="3"/>
  <c r="R169" i="3"/>
  <c r="W169" i="3" s="1"/>
  <c r="Z251" i="3"/>
  <c r="Z279" i="3"/>
  <c r="U318" i="3"/>
  <c r="S318" i="3"/>
  <c r="Y192" i="3"/>
  <c r="Z199" i="3"/>
  <c r="Y206" i="3"/>
  <c r="X235" i="3"/>
  <c r="R272" i="3"/>
  <c r="V272" i="3" s="1"/>
  <c r="Y322" i="3"/>
  <c r="Z327" i="3"/>
  <c r="AA104" i="3"/>
  <c r="AA172" i="3"/>
  <c r="Z192" i="3"/>
  <c r="Z235" i="3"/>
  <c r="AB322" i="3"/>
  <c r="Y335" i="3"/>
  <c r="R338" i="3"/>
  <c r="T338" i="3" s="1"/>
  <c r="AB130" i="3"/>
  <c r="AB132" i="3"/>
  <c r="R137" i="3"/>
  <c r="W137" i="3" s="1"/>
  <c r="Z217" i="3"/>
  <c r="X222" i="3"/>
  <c r="AB235" i="3"/>
  <c r="Y259" i="3"/>
  <c r="AA302" i="3"/>
  <c r="AB338" i="3"/>
  <c r="Z203" i="3"/>
  <c r="AB224" i="3"/>
  <c r="AB245" i="3"/>
  <c r="AA167" i="3"/>
  <c r="Y237" i="3"/>
  <c r="AB304" i="3"/>
  <c r="X321" i="3"/>
  <c r="AB221" i="3"/>
  <c r="Z288" i="3"/>
  <c r="AB202" i="3"/>
  <c r="Z209" i="3"/>
  <c r="R348" i="3"/>
  <c r="U348" i="3" s="1"/>
  <c r="X166" i="3"/>
  <c r="X273" i="3"/>
  <c r="Z236" i="3"/>
  <c r="AA303" i="3"/>
  <c r="AA336" i="3"/>
  <c r="Y135" i="3"/>
  <c r="AB251" i="3"/>
  <c r="AA279" i="3"/>
  <c r="AB107" i="3"/>
  <c r="Z135" i="3"/>
  <c r="AA186" i="3"/>
  <c r="AA204" i="3"/>
  <c r="Z214" i="3"/>
  <c r="AB265" i="3"/>
  <c r="AB288" i="3"/>
  <c r="Z310" i="3"/>
  <c r="R350" i="3"/>
  <c r="W350" i="3" s="1"/>
  <c r="AB135" i="3"/>
  <c r="R165" i="3"/>
  <c r="W165" i="3" s="1"/>
  <c r="Y196" i="3"/>
  <c r="AA214" i="3"/>
  <c r="Z258" i="3"/>
  <c r="AA290" i="3"/>
  <c r="X347" i="3"/>
  <c r="Y350" i="3"/>
  <c r="Z109" i="3"/>
  <c r="R134" i="3"/>
  <c r="W134" i="3" s="1"/>
  <c r="X140" i="3"/>
  <c r="AB154" i="3"/>
  <c r="Y165" i="3"/>
  <c r="AB196" i="3"/>
  <c r="Y201" i="3"/>
  <c r="X211" i="3"/>
  <c r="AB214" i="3"/>
  <c r="Y228" i="3"/>
  <c r="T269" i="3"/>
  <c r="R274" i="3"/>
  <c r="U274" i="3" s="1"/>
  <c r="X283" i="3"/>
  <c r="S304" i="3"/>
  <c r="Y326" i="3"/>
  <c r="Z347" i="3"/>
  <c r="AA350" i="3"/>
  <c r="X134" i="3"/>
  <c r="AB140" i="3"/>
  <c r="R158" i="3"/>
  <c r="U158" i="3" s="1"/>
  <c r="Z165" i="3"/>
  <c r="AA201" i="3"/>
  <c r="AA228" i="3"/>
  <c r="AA283" i="3"/>
  <c r="U304" i="3"/>
  <c r="W318" i="3"/>
  <c r="Z326" i="3"/>
  <c r="AB134" i="3"/>
  <c r="X158" i="3"/>
  <c r="AA165" i="3"/>
  <c r="AB228" i="3"/>
  <c r="Z255" i="3"/>
  <c r="AA299" i="3"/>
  <c r="X304" i="3"/>
  <c r="Y307" i="3"/>
  <c r="T317" i="3"/>
  <c r="X344" i="3"/>
  <c r="R104" i="3"/>
  <c r="U104" i="3" s="1"/>
  <c r="AB127" i="3"/>
  <c r="AA147" i="3"/>
  <c r="Y158" i="3"/>
  <c r="AB165" i="3"/>
  <c r="AB198" i="3"/>
  <c r="Y208" i="3"/>
  <c r="R250" i="3"/>
  <c r="W250" i="3" s="1"/>
  <c r="Z276" i="3"/>
  <c r="AA304" i="3"/>
  <c r="AB307" i="3"/>
  <c r="U317" i="3"/>
  <c r="Y153" i="3"/>
  <c r="Z190" i="3"/>
  <c r="R210" i="3"/>
  <c r="V210" i="3" s="1"/>
  <c r="Y266" i="3"/>
  <c r="Y289" i="3"/>
  <c r="Y296" i="3"/>
  <c r="AA309" i="3"/>
  <c r="Y314" i="3"/>
  <c r="R322" i="3"/>
  <c r="U322" i="3" s="1"/>
  <c r="Z352" i="3"/>
  <c r="R146" i="3"/>
  <c r="U146" i="3" s="1"/>
  <c r="AB190" i="3"/>
  <c r="Y200" i="3"/>
  <c r="Z225" i="3"/>
  <c r="AB266" i="3"/>
  <c r="U282" i="3"/>
  <c r="X322" i="3"/>
  <c r="Y325" i="3"/>
  <c r="X110" i="3"/>
  <c r="AB146" i="3"/>
  <c r="X155" i="3"/>
  <c r="Z174" i="3"/>
  <c r="Y178" i="3"/>
  <c r="Y236" i="3"/>
  <c r="Z254" i="3"/>
  <c r="AB259" i="3"/>
  <c r="AB284" i="3"/>
  <c r="X311" i="3"/>
  <c r="AA322" i="3"/>
  <c r="X339" i="3"/>
  <c r="X117" i="3"/>
  <c r="Z126" i="3"/>
  <c r="R135" i="3"/>
  <c r="V135" i="3" s="1"/>
  <c r="Z145" i="3"/>
  <c r="AA148" i="3"/>
  <c r="AA229" i="3"/>
  <c r="Z242" i="3"/>
  <c r="Y251" i="3"/>
  <c r="Z275" i="3"/>
  <c r="X286" i="3"/>
  <c r="U347" i="3"/>
  <c r="V347" i="3"/>
  <c r="S347" i="3"/>
  <c r="W174" i="3"/>
  <c r="U174" i="3"/>
  <c r="S174" i="3"/>
  <c r="AA103" i="3"/>
  <c r="Y114" i="3"/>
  <c r="AB123" i="3"/>
  <c r="Y182" i="3"/>
  <c r="R202" i="3"/>
  <c r="W202" i="3" s="1"/>
  <c r="R206" i="3"/>
  <c r="W206" i="3" s="1"/>
  <c r="X231" i="3"/>
  <c r="Y308" i="3"/>
  <c r="AA114" i="3"/>
  <c r="AA139" i="3"/>
  <c r="AB156" i="3"/>
  <c r="AB163" i="3"/>
  <c r="AA182" i="3"/>
  <c r="AB187" i="3"/>
  <c r="Y190" i="3"/>
  <c r="AA193" i="3"/>
  <c r="AA196" i="3"/>
  <c r="AA203" i="3"/>
  <c r="R236" i="3"/>
  <c r="V236" i="3" s="1"/>
  <c r="X251" i="3"/>
  <c r="Z259" i="3"/>
  <c r="R266" i="3"/>
  <c r="V266" i="3" s="1"/>
  <c r="X269" i="3"/>
  <c r="X282" i="3"/>
  <c r="AB283" i="3"/>
  <c r="X288" i="3"/>
  <c r="Y299" i="3"/>
  <c r="Z308" i="3"/>
  <c r="AB314" i="3"/>
  <c r="AA329" i="3"/>
  <c r="Y348" i="3"/>
  <c r="Y202" i="3"/>
  <c r="AA308" i="3"/>
  <c r="R130" i="3"/>
  <c r="U130" i="3" s="1"/>
  <c r="R153" i="3"/>
  <c r="V153" i="3" s="1"/>
  <c r="Y174" i="3"/>
  <c r="Z184" i="3"/>
  <c r="AA190" i="3"/>
  <c r="AA202" i="3"/>
  <c r="X206" i="3"/>
  <c r="AA261" i="3"/>
  <c r="AB299" i="3"/>
  <c r="R339" i="3"/>
  <c r="U339" i="3" s="1"/>
  <c r="Y347" i="3"/>
  <c r="R107" i="3"/>
  <c r="S107" i="3" s="1"/>
  <c r="AA120" i="3"/>
  <c r="Z153" i="3"/>
  <c r="AA174" i="3"/>
  <c r="AB184" i="3"/>
  <c r="R198" i="3"/>
  <c r="T198" i="3" s="1"/>
  <c r="Z206" i="3"/>
  <c r="X220" i="3"/>
  <c r="Y243" i="3"/>
  <c r="Y301" i="3"/>
  <c r="Y339" i="3"/>
  <c r="AA347" i="3"/>
  <c r="R150" i="3"/>
  <c r="U150" i="3" s="1"/>
  <c r="AB174" i="3"/>
  <c r="R205" i="3"/>
  <c r="S205" i="3" s="1"/>
  <c r="AB206" i="3"/>
  <c r="AA220" i="3"/>
  <c r="Z243" i="3"/>
  <c r="AA339" i="3"/>
  <c r="AB347" i="3"/>
  <c r="X107" i="3"/>
  <c r="AB122" i="3"/>
  <c r="Z138" i="3"/>
  <c r="R147" i="3"/>
  <c r="W147" i="3" s="1"/>
  <c r="AA176" i="3"/>
  <c r="Y198" i="3"/>
  <c r="AA205" i="3"/>
  <c r="AB220" i="3"/>
  <c r="X245" i="3"/>
  <c r="AB281" i="3"/>
  <c r="R290" i="3"/>
  <c r="S290" i="3" s="1"/>
  <c r="R295" i="3"/>
  <c r="S295" i="3" s="1"/>
  <c r="AA328" i="3"/>
  <c r="X341" i="3"/>
  <c r="Z107" i="3"/>
  <c r="Z112" i="3"/>
  <c r="R127" i="3"/>
  <c r="T127" i="3" s="1"/>
  <c r="AB138" i="3"/>
  <c r="Y147" i="3"/>
  <c r="Y150" i="3"/>
  <c r="R178" i="3"/>
  <c r="V178" i="3" s="1"/>
  <c r="AA198" i="3"/>
  <c r="X208" i="3"/>
  <c r="R211" i="3"/>
  <c r="V211" i="3" s="1"/>
  <c r="Y232" i="3"/>
  <c r="R238" i="3"/>
  <c r="U238" i="3" s="1"/>
  <c r="Y242" i="3"/>
  <c r="Y245" i="3"/>
  <c r="AA265" i="3"/>
  <c r="R273" i="3"/>
  <c r="S273" i="3" s="1"/>
  <c r="R276" i="3"/>
  <c r="U276" i="3" s="1"/>
  <c r="Y295" i="3"/>
  <c r="X325" i="3"/>
  <c r="X104" i="3"/>
  <c r="R117" i="3"/>
  <c r="S117" i="3" s="1"/>
  <c r="R140" i="3"/>
  <c r="W140" i="3" s="1"/>
  <c r="AA143" i="3"/>
  <c r="X146" i="3"/>
  <c r="AA164" i="3"/>
  <c r="Y204" i="3"/>
  <c r="Z219" i="3"/>
  <c r="Y222" i="3"/>
  <c r="Y225" i="3"/>
  <c r="AA234" i="3"/>
  <c r="AA242" i="3"/>
  <c r="R283" i="3"/>
  <c r="T283" i="3" s="1"/>
  <c r="Y321" i="3"/>
  <c r="R337" i="3"/>
  <c r="W337" i="3" s="1"/>
  <c r="R145" i="3"/>
  <c r="V145" i="3" s="1"/>
  <c r="Y146" i="3"/>
  <c r="AA149" i="3"/>
  <c r="R172" i="3"/>
  <c r="W172" i="3" s="1"/>
  <c r="X178" i="3"/>
  <c r="AB222" i="3"/>
  <c r="R286" i="3"/>
  <c r="V286" i="3" s="1"/>
  <c r="R289" i="3"/>
  <c r="W289" i="3" s="1"/>
  <c r="Y119" i="3"/>
  <c r="R267" i="3"/>
  <c r="T267" i="3" s="1"/>
  <c r="AA324" i="3"/>
  <c r="Y194" i="3"/>
  <c r="Z140" i="3"/>
  <c r="AA178" i="3"/>
  <c r="R196" i="3"/>
  <c r="V196" i="3" s="1"/>
  <c r="Y210" i="3"/>
  <c r="Y224" i="3"/>
  <c r="Y249" i="3"/>
  <c r="Y267" i="3"/>
  <c r="Y280" i="3"/>
  <c r="Y283" i="3"/>
  <c r="Y286" i="3"/>
  <c r="AB289" i="3"/>
  <c r="R299" i="3"/>
  <c r="S299" i="3" s="1"/>
  <c r="X302" i="3"/>
  <c r="R114" i="3"/>
  <c r="U114" i="3" s="1"/>
  <c r="X126" i="3"/>
  <c r="AA140" i="3"/>
  <c r="AA159" i="3"/>
  <c r="X167" i="3"/>
  <c r="X196" i="3"/>
  <c r="X203" i="3"/>
  <c r="AB210" i="3"/>
  <c r="AA221" i="3"/>
  <c r="Z224" i="3"/>
  <c r="R229" i="3"/>
  <c r="T229" i="3" s="1"/>
  <c r="AB237" i="3"/>
  <c r="R241" i="3"/>
  <c r="V241" i="3" s="1"/>
  <c r="AB244" i="3"/>
  <c r="X259" i="3"/>
  <c r="AA267" i="3"/>
  <c r="X275" i="3"/>
  <c r="AA280" i="3"/>
  <c r="Z286" i="3"/>
  <c r="Y302" i="3"/>
  <c r="R314" i="3"/>
  <c r="T314" i="3" s="1"/>
  <c r="X317" i="3"/>
  <c r="AB327" i="3"/>
  <c r="R329" i="3"/>
  <c r="S329" i="3" s="1"/>
  <c r="Y336" i="3"/>
  <c r="T265" i="3"/>
  <c r="S265" i="3"/>
  <c r="W265" i="3"/>
  <c r="V265" i="3"/>
  <c r="U265" i="3"/>
  <c r="S204" i="3"/>
  <c r="T204" i="3"/>
  <c r="U225" i="3"/>
  <c r="T225" i="3"/>
  <c r="S225" i="3"/>
  <c r="W225" i="3"/>
  <c r="V225" i="3"/>
  <c r="U203" i="3"/>
  <c r="T203" i="3"/>
  <c r="W203" i="3"/>
  <c r="V259" i="3"/>
  <c r="S259" i="3"/>
  <c r="W259" i="3"/>
  <c r="U259" i="3"/>
  <c r="T326" i="3"/>
  <c r="S326" i="3"/>
  <c r="R103" i="3"/>
  <c r="S103" i="3" s="1"/>
  <c r="AB104" i="3"/>
  <c r="AA107" i="3"/>
  <c r="Z114" i="3"/>
  <c r="AA138" i="3"/>
  <c r="Z143" i="3"/>
  <c r="AB148" i="3"/>
  <c r="Z149" i="3"/>
  <c r="Z164" i="3"/>
  <c r="R166" i="3"/>
  <c r="S166" i="3" s="1"/>
  <c r="Z167" i="3"/>
  <c r="Z176" i="3"/>
  <c r="AA187" i="3"/>
  <c r="Z198" i="3"/>
  <c r="Z202" i="3"/>
  <c r="Y214" i="3"/>
  <c r="X228" i="3"/>
  <c r="R234" i="3"/>
  <c r="W234" i="3" s="1"/>
  <c r="AA237" i="3"/>
  <c r="R243" i="3"/>
  <c r="R251" i="3"/>
  <c r="W251" i="3" s="1"/>
  <c r="Y255" i="3"/>
  <c r="AB260" i="3"/>
  <c r="Z261" i="3"/>
  <c r="Z266" i="3"/>
  <c r="Z267" i="3"/>
  <c r="AA289" i="3"/>
  <c r="AB290" i="3"/>
  <c r="AB291" i="3"/>
  <c r="X299" i="3"/>
  <c r="R302" i="3"/>
  <c r="V302" i="3" s="1"/>
  <c r="Z303" i="3"/>
  <c r="Z304" i="3"/>
  <c r="R310" i="3"/>
  <c r="AA327" i="3"/>
  <c r="Z328" i="3"/>
  <c r="AB329" i="3"/>
  <c r="X335" i="3"/>
  <c r="Z336" i="3"/>
  <c r="AA338" i="3"/>
  <c r="AB339" i="3"/>
  <c r="Z350" i="3"/>
  <c r="R119" i="3"/>
  <c r="W119" i="3" s="1"/>
  <c r="X120" i="3"/>
  <c r="AB143" i="3"/>
  <c r="AB149" i="3"/>
  <c r="AB164" i="3"/>
  <c r="Z166" i="3"/>
  <c r="AB176" i="3"/>
  <c r="S190" i="3"/>
  <c r="Y203" i="3"/>
  <c r="X209" i="3"/>
  <c r="X225" i="3"/>
  <c r="Z244" i="3"/>
  <c r="X258" i="3"/>
  <c r="AB261" i="3"/>
  <c r="AB267" i="3"/>
  <c r="T311" i="3"/>
  <c r="AB328" i="3"/>
  <c r="AB335" i="3"/>
  <c r="AB336" i="3"/>
  <c r="AA344" i="3"/>
  <c r="Z120" i="3"/>
  <c r="T190" i="3"/>
  <c r="Y209" i="3"/>
  <c r="Y254" i="3"/>
  <c r="Y258" i="3"/>
  <c r="S269" i="3"/>
  <c r="S282" i="3"/>
  <c r="X131" i="3"/>
  <c r="R141" i="3"/>
  <c r="R181" i="3"/>
  <c r="T181" i="3" s="1"/>
  <c r="U190" i="3"/>
  <c r="R191" i="3"/>
  <c r="W191" i="3" s="1"/>
  <c r="Y213" i="3"/>
  <c r="Z223" i="3"/>
  <c r="R239" i="3"/>
  <c r="V239" i="3" s="1"/>
  <c r="X257" i="3"/>
  <c r="R323" i="3"/>
  <c r="U323" i="3" s="1"/>
  <c r="R331" i="3"/>
  <c r="W331" i="3" s="1"/>
  <c r="Z343" i="3"/>
  <c r="R112" i="3"/>
  <c r="W112" i="3" s="1"/>
  <c r="X119" i="3"/>
  <c r="R126" i="3"/>
  <c r="T174" i="3"/>
  <c r="R182" i="3"/>
  <c r="T182" i="3" s="1"/>
  <c r="V190" i="3"/>
  <c r="AB203" i="3"/>
  <c r="R222" i="3"/>
  <c r="W222" i="3" s="1"/>
  <c r="AA223" i="3"/>
  <c r="AB236" i="3"/>
  <c r="X243" i="3"/>
  <c r="Y257" i="3"/>
  <c r="AA259" i="3"/>
  <c r="R263" i="3"/>
  <c r="U263" i="3" s="1"/>
  <c r="R275" i="3"/>
  <c r="R280" i="3"/>
  <c r="T280" i="3" s="1"/>
  <c r="R281" i="3"/>
  <c r="U281" i="3" s="1"/>
  <c r="Z302" i="3"/>
  <c r="R307" i="3"/>
  <c r="X309" i="3"/>
  <c r="S317" i="3"/>
  <c r="R324" i="3"/>
  <c r="V324" i="3" s="1"/>
  <c r="T347" i="3"/>
  <c r="AB223" i="3"/>
  <c r="AA257" i="3"/>
  <c r="X118" i="3"/>
  <c r="Z119" i="3"/>
  <c r="R122" i="3"/>
  <c r="U122" i="3" s="1"/>
  <c r="Z155" i="3"/>
  <c r="R159" i="3"/>
  <c r="U159" i="3" s="1"/>
  <c r="V174" i="3"/>
  <c r="Y183" i="3"/>
  <c r="R187" i="3"/>
  <c r="Y191" i="3"/>
  <c r="Z200" i="3"/>
  <c r="R207" i="3"/>
  <c r="S207" i="3" s="1"/>
  <c r="R231" i="3"/>
  <c r="R232" i="3"/>
  <c r="V232" i="3" s="1"/>
  <c r="X241" i="3"/>
  <c r="X250" i="3"/>
  <c r="Y269" i="3"/>
  <c r="X272" i="3"/>
  <c r="Y282" i="3"/>
  <c r="X287" i="3"/>
  <c r="W347" i="3"/>
  <c r="R111" i="3"/>
  <c r="U111" i="3" s="1"/>
  <c r="Y118" i="3"/>
  <c r="AA119" i="3"/>
  <c r="X122" i="3"/>
  <c r="X127" i="3"/>
  <c r="X130" i="3"/>
  <c r="AA155" i="3"/>
  <c r="X181" i="3"/>
  <c r="Z183" i="3"/>
  <c r="R186" i="3"/>
  <c r="U186" i="3" s="1"/>
  <c r="Z191" i="3"/>
  <c r="X195" i="3"/>
  <c r="AA208" i="3"/>
  <c r="Z222" i="3"/>
  <c r="Y241" i="3"/>
  <c r="AA243" i="3"/>
  <c r="Y263" i="3"/>
  <c r="Z269" i="3"/>
  <c r="Y272" i="3"/>
  <c r="X274" i="3"/>
  <c r="X281" i="3"/>
  <c r="Z282" i="3"/>
  <c r="Y287" i="3"/>
  <c r="R296" i="3"/>
  <c r="S296" i="3" s="1"/>
  <c r="R306" i="3"/>
  <c r="W306" i="3" s="1"/>
  <c r="Y316" i="3"/>
  <c r="V317" i="3"/>
  <c r="X323" i="3"/>
  <c r="Y324" i="3"/>
  <c r="X331" i="3"/>
  <c r="Z348" i="3"/>
  <c r="Z105" i="3"/>
  <c r="Y122" i="3"/>
  <c r="Y127" i="3"/>
  <c r="Y130" i="3"/>
  <c r="T133" i="3"/>
  <c r="X141" i="3"/>
  <c r="R149" i="3"/>
  <c r="R157" i="3"/>
  <c r="S157" i="3" s="1"/>
  <c r="X159" i="3"/>
  <c r="R162" i="3"/>
  <c r="V162" i="3" s="1"/>
  <c r="Y181" i="3"/>
  <c r="X182" i="3"/>
  <c r="AA183" i="3"/>
  <c r="X186" i="3"/>
  <c r="Y212" i="3"/>
  <c r="R230" i="3"/>
  <c r="S230" i="3" s="1"/>
  <c r="AA241" i="3"/>
  <c r="S261" i="3"/>
  <c r="Z263" i="3"/>
  <c r="AA269" i="3"/>
  <c r="Z272" i="3"/>
  <c r="Y274" i="3"/>
  <c r="X280" i="3"/>
  <c r="AA282" i="3"/>
  <c r="AB287" i="3"/>
  <c r="R291" i="3"/>
  <c r="W291" i="3" s="1"/>
  <c r="Y292" i="3"/>
  <c r="R313" i="3"/>
  <c r="W313" i="3" s="1"/>
  <c r="R315" i="3"/>
  <c r="W315" i="3" s="1"/>
  <c r="Z316" i="3"/>
  <c r="Y323" i="3"/>
  <c r="R328" i="3"/>
  <c r="Y331" i="3"/>
  <c r="X346" i="3"/>
  <c r="Y352" i="3"/>
  <c r="Y111" i="3"/>
  <c r="Z122" i="3"/>
  <c r="Z127" i="3"/>
  <c r="Z130" i="3"/>
  <c r="Y133" i="3"/>
  <c r="Z141" i="3"/>
  <c r="Y159" i="3"/>
  <c r="X162" i="3"/>
  <c r="Z181" i="3"/>
  <c r="AB183" i="3"/>
  <c r="Y186" i="3"/>
  <c r="Y207" i="3"/>
  <c r="X230" i="3"/>
  <c r="AB241" i="3"/>
  <c r="R246" i="3"/>
  <c r="S246" i="3" s="1"/>
  <c r="T261" i="3"/>
  <c r="AB269" i="3"/>
  <c r="AA272" i="3"/>
  <c r="AB282" i="3"/>
  <c r="X315" i="3"/>
  <c r="AA316" i="3"/>
  <c r="Z323" i="3"/>
  <c r="Y330" i="3"/>
  <c r="Z331" i="3"/>
  <c r="Z111" i="3"/>
  <c r="Y126" i="3"/>
  <c r="AA133" i="3"/>
  <c r="Z159" i="3"/>
  <c r="Y162" i="3"/>
  <c r="AA181" i="3"/>
  <c r="Z182" i="3"/>
  <c r="Z186" i="3"/>
  <c r="R194" i="3"/>
  <c r="V194" i="3" s="1"/>
  <c r="Y230" i="3"/>
  <c r="X232" i="3"/>
  <c r="X246" i="3"/>
  <c r="U261" i="3"/>
  <c r="Y275" i="3"/>
  <c r="Y276" i="3"/>
  <c r="Z280" i="3"/>
  <c r="X295" i="3"/>
  <c r="X296" i="3"/>
  <c r="X307" i="3"/>
  <c r="X314" i="3"/>
  <c r="Y315" i="3"/>
  <c r="Y317" i="3"/>
  <c r="AA323" i="3"/>
  <c r="AB330" i="3"/>
  <c r="AA331" i="3"/>
  <c r="AB133" i="3"/>
  <c r="X157" i="3"/>
  <c r="Z162" i="3"/>
  <c r="Z230" i="3"/>
  <c r="Y246" i="3"/>
  <c r="V261" i="3"/>
  <c r="X291" i="3"/>
  <c r="AA313" i="3"/>
  <c r="Z315" i="3"/>
  <c r="Y104" i="3"/>
  <c r="Z117" i="3"/>
  <c r="AA126" i="3"/>
  <c r="Y134" i="3"/>
  <c r="T138" i="3"/>
  <c r="R143" i="3"/>
  <c r="W143" i="3" s="1"/>
  <c r="X148" i="3"/>
  <c r="Z157" i="3"/>
  <c r="AA162" i="3"/>
  <c r="Y185" i="3"/>
  <c r="X187" i="3"/>
  <c r="AA194" i="3"/>
  <c r="AA230" i="3"/>
  <c r="Z231" i="3"/>
  <c r="Z232" i="3"/>
  <c r="AA275" i="3"/>
  <c r="AA276" i="3"/>
  <c r="X290" i="3"/>
  <c r="Y291" i="3"/>
  <c r="Z295" i="3"/>
  <c r="Z307" i="3"/>
  <c r="Z314" i="3"/>
  <c r="AA315" i="3"/>
  <c r="AA317" i="3"/>
  <c r="R336" i="3"/>
  <c r="V336" i="3" s="1"/>
  <c r="X345" i="3"/>
  <c r="AA110" i="3"/>
  <c r="X114" i="3"/>
  <c r="AA117" i="3"/>
  <c r="Z134" i="3"/>
  <c r="X149" i="3"/>
  <c r="AA157" i="3"/>
  <c r="AB158" i="3"/>
  <c r="Y187" i="3"/>
  <c r="AB194" i="3"/>
  <c r="AA211" i="3"/>
  <c r="R228" i="3"/>
  <c r="S228" i="3" s="1"/>
  <c r="AA231" i="3"/>
  <c r="AB232" i="3"/>
  <c r="X261" i="3"/>
  <c r="X266" i="3"/>
  <c r="AB276" i="3"/>
  <c r="X289" i="3"/>
  <c r="Y290" i="3"/>
  <c r="Z291" i="3"/>
  <c r="AB295" i="3"/>
  <c r="V304" i="3"/>
  <c r="AB317" i="3"/>
  <c r="X328" i="3"/>
  <c r="Y338" i="3"/>
  <c r="X350" i="3"/>
  <c r="AB157" i="3"/>
  <c r="Z161" i="3"/>
  <c r="AB231" i="3"/>
  <c r="Y261" i="3"/>
  <c r="R335" i="3"/>
  <c r="W335" i="3" s="1"/>
  <c r="AD55" i="3"/>
  <c r="N55" i="3" s="1"/>
  <c r="AB55" i="3" s="1"/>
  <c r="A55" i="3"/>
  <c r="A148" i="3"/>
  <c r="AD148" i="3"/>
  <c r="AC148" i="3"/>
  <c r="O148" i="3" s="1"/>
  <c r="X170" i="3"/>
  <c r="Z170" i="3"/>
  <c r="AB170" i="3"/>
  <c r="AA170" i="3"/>
  <c r="Y170" i="3"/>
  <c r="R170" i="3"/>
  <c r="AD35" i="3"/>
  <c r="N35" i="3" s="1"/>
  <c r="A35" i="3"/>
  <c r="AD23" i="3"/>
  <c r="N23" i="3" s="1"/>
  <c r="AB23" i="3" s="1"/>
  <c r="A23" i="3"/>
  <c r="AD87" i="3"/>
  <c r="N87" i="3" s="1"/>
  <c r="AB87" i="3" s="1"/>
  <c r="A87" i="3"/>
  <c r="AA113" i="3"/>
  <c r="R113" i="3"/>
  <c r="AB113" i="3"/>
  <c r="Z113" i="3"/>
  <c r="X113" i="3"/>
  <c r="AD233" i="3"/>
  <c r="A233" i="3"/>
  <c r="AC233" i="3"/>
  <c r="O233" i="3" s="1"/>
  <c r="AD43" i="3"/>
  <c r="N43" i="3" s="1"/>
  <c r="AB43" i="3" s="1"/>
  <c r="A43" i="3"/>
  <c r="T158" i="3"/>
  <c r="AC241" i="3"/>
  <c r="O241" i="3" s="1"/>
  <c r="A241" i="3"/>
  <c r="AD241" i="3"/>
  <c r="AC278" i="3"/>
  <c r="O278" i="3" s="1"/>
  <c r="AD278" i="3"/>
  <c r="A278" i="3"/>
  <c r="AD313" i="3"/>
  <c r="AC313" i="3"/>
  <c r="O313" i="3" s="1"/>
  <c r="AD63" i="3"/>
  <c r="N63" i="3" s="1"/>
  <c r="Z63" i="3" s="1"/>
  <c r="A63" i="3"/>
  <c r="AD112" i="3"/>
  <c r="A112" i="3"/>
  <c r="A122" i="3"/>
  <c r="AC122" i="3"/>
  <c r="O122" i="3" s="1"/>
  <c r="AD168" i="3"/>
  <c r="A168" i="3"/>
  <c r="AD230" i="3"/>
  <c r="AC230" i="3"/>
  <c r="O230" i="3" s="1"/>
  <c r="A230" i="3"/>
  <c r="AD19" i="3"/>
  <c r="N19" i="3" s="1"/>
  <c r="A19" i="3"/>
  <c r="AD83" i="3"/>
  <c r="N83" i="3" s="1"/>
  <c r="Y83" i="3" s="1"/>
  <c r="A83" i="3"/>
  <c r="A107" i="3"/>
  <c r="AD107" i="3"/>
  <c r="AC107" i="3"/>
  <c r="O107" i="3" s="1"/>
  <c r="R123" i="3"/>
  <c r="AA123" i="3"/>
  <c r="Z123" i="3"/>
  <c r="Y123" i="3"/>
  <c r="AC126" i="3"/>
  <c r="O126" i="3" s="1"/>
  <c r="AD126" i="3"/>
  <c r="A126" i="3"/>
  <c r="A128" i="3"/>
  <c r="AD128" i="3"/>
  <c r="AC128" i="3"/>
  <c r="O128" i="3" s="1"/>
  <c r="AA152" i="3"/>
  <c r="Z152" i="3"/>
  <c r="Y152" i="3"/>
  <c r="X152" i="3"/>
  <c r="R152" i="3"/>
  <c r="AC288" i="3"/>
  <c r="O288" i="3" s="1"/>
  <c r="A288" i="3"/>
  <c r="AD39" i="3"/>
  <c r="N39" i="3" s="1"/>
  <c r="Y39" i="3" s="1"/>
  <c r="A39" i="3"/>
  <c r="AC103" i="3"/>
  <c r="O103" i="3" s="1"/>
  <c r="A103" i="3"/>
  <c r="A144" i="3"/>
  <c r="AC144" i="3"/>
  <c r="O144" i="3" s="1"/>
  <c r="AD184" i="3"/>
  <c r="A184" i="3"/>
  <c r="AC184" i="3"/>
  <c r="O184" i="3" s="1"/>
  <c r="AD221" i="3"/>
  <c r="AC221" i="3"/>
  <c r="O221" i="3" s="1"/>
  <c r="A221" i="3"/>
  <c r="AD263" i="3"/>
  <c r="AC263" i="3"/>
  <c r="O263" i="3" s="1"/>
  <c r="R285" i="3"/>
  <c r="Z285" i="3"/>
  <c r="Y285" i="3"/>
  <c r="AA285" i="3"/>
  <c r="X285" i="3"/>
  <c r="AB285" i="3"/>
  <c r="A328" i="3"/>
  <c r="AD328" i="3"/>
  <c r="AC328" i="3"/>
  <c r="O328" i="3" s="1"/>
  <c r="AD59" i="3"/>
  <c r="N59" i="3" s="1"/>
  <c r="Y59" i="3" s="1"/>
  <c r="A59" i="3"/>
  <c r="R168" i="3"/>
  <c r="AB168" i="3"/>
  <c r="AA168" i="3"/>
  <c r="Z168" i="3"/>
  <c r="Y168" i="3"/>
  <c r="X168" i="3"/>
  <c r="AD229" i="3"/>
  <c r="A229" i="3"/>
  <c r="AC229" i="3"/>
  <c r="O229" i="3" s="1"/>
  <c r="S252" i="3"/>
  <c r="T252" i="3"/>
  <c r="V252" i="3"/>
  <c r="W252" i="3"/>
  <c r="U252" i="3"/>
  <c r="S3" i="4"/>
  <c r="AD15" i="3"/>
  <c r="N15" i="3" s="1"/>
  <c r="Y15" i="3" s="1"/>
  <c r="A15" i="3"/>
  <c r="AD79" i="3"/>
  <c r="N79" i="3" s="1"/>
  <c r="X79" i="3" s="1"/>
  <c r="A79" i="3"/>
  <c r="Y128" i="3"/>
  <c r="AB128" i="3"/>
  <c r="AA128" i="3"/>
  <c r="Z128" i="3"/>
  <c r="R128" i="3"/>
  <c r="U193" i="3"/>
  <c r="V193" i="3"/>
  <c r="W193" i="3"/>
  <c r="T193" i="3"/>
  <c r="S193" i="3"/>
  <c r="A342" i="3"/>
  <c r="AD342" i="3"/>
  <c r="AC342" i="3"/>
  <c r="O342" i="3" s="1"/>
  <c r="AD99" i="3"/>
  <c r="N99" i="3" s="1"/>
  <c r="Z99" i="3" s="1"/>
  <c r="A99" i="3"/>
  <c r="AC110" i="3"/>
  <c r="O110" i="3" s="1"/>
  <c r="AD110" i="3"/>
  <c r="A110" i="3"/>
  <c r="Y116" i="3"/>
  <c r="R116" i="3"/>
  <c r="AA116" i="3"/>
  <c r="Z116" i="3"/>
  <c r="X116" i="3"/>
  <c r="Y144" i="3"/>
  <c r="AB144" i="3"/>
  <c r="AA144" i="3"/>
  <c r="Z144" i="3"/>
  <c r="X144" i="3"/>
  <c r="R144" i="3"/>
  <c r="X173" i="3"/>
  <c r="R173" i="3"/>
  <c r="AB173" i="3"/>
  <c r="AA173" i="3"/>
  <c r="Y173" i="3"/>
  <c r="X300" i="3"/>
  <c r="Y300" i="3"/>
  <c r="Z300" i="3"/>
  <c r="R300" i="3"/>
  <c r="AB300" i="3"/>
  <c r="AA300" i="3"/>
  <c r="AD11" i="3"/>
  <c r="N11" i="3" s="1"/>
  <c r="AB11" i="3" s="1"/>
  <c r="A11" i="3"/>
  <c r="AD75" i="3"/>
  <c r="N75" i="3" s="1"/>
  <c r="X75" i="3" s="1"/>
  <c r="A75" i="3"/>
  <c r="AC119" i="3"/>
  <c r="O119" i="3" s="1"/>
  <c r="A119" i="3"/>
  <c r="X128" i="3"/>
  <c r="AC168" i="3"/>
  <c r="O168" i="3" s="1"/>
  <c r="AD333" i="3"/>
  <c r="A333" i="3"/>
  <c r="AC333" i="3"/>
  <c r="O333" i="3" s="1"/>
  <c r="AD31" i="3"/>
  <c r="N31" i="3" s="1"/>
  <c r="A31" i="3"/>
  <c r="AD95" i="3"/>
  <c r="N95" i="3" s="1"/>
  <c r="A95" i="3"/>
  <c r="AC117" i="3"/>
  <c r="O117" i="3" s="1"/>
  <c r="AD51" i="3"/>
  <c r="N51" i="3" s="1"/>
  <c r="A51" i="3"/>
  <c r="AC115" i="3"/>
  <c r="O115" i="3" s="1"/>
  <c r="A115" i="3"/>
  <c r="AB116" i="3"/>
  <c r="AA121" i="3"/>
  <c r="AB121" i="3"/>
  <c r="Z121" i="3"/>
  <c r="Y121" i="3"/>
  <c r="X121" i="3"/>
  <c r="R121" i="3"/>
  <c r="AD144" i="3"/>
  <c r="AD157" i="3"/>
  <c r="AC157" i="3"/>
  <c r="O157" i="3" s="1"/>
  <c r="A157" i="3"/>
  <c r="A326" i="3"/>
  <c r="AD326" i="3"/>
  <c r="AD7" i="3"/>
  <c r="N7" i="3" s="1"/>
  <c r="A7" i="3"/>
  <c r="AD71" i="3"/>
  <c r="N71" i="3" s="1"/>
  <c r="Z71" i="3" s="1"/>
  <c r="A71" i="3"/>
  <c r="AB106" i="3"/>
  <c r="Z106" i="3"/>
  <c r="Y106" i="3"/>
  <c r="X106" i="3"/>
  <c r="R106" i="3"/>
  <c r="A117" i="3"/>
  <c r="A147" i="3"/>
  <c r="AD147" i="3"/>
  <c r="AC147" i="3"/>
  <c r="O147" i="3" s="1"/>
  <c r="Y160" i="3"/>
  <c r="R160" i="3"/>
  <c r="AB160" i="3"/>
  <c r="Z160" i="3"/>
  <c r="X160" i="3"/>
  <c r="X256" i="3"/>
  <c r="Y256" i="3"/>
  <c r="Z256" i="3"/>
  <c r="AB256" i="3"/>
  <c r="AA256" i="3"/>
  <c r="R256" i="3"/>
  <c r="AD288" i="3"/>
  <c r="T298" i="3"/>
  <c r="U298" i="3"/>
  <c r="V298" i="3"/>
  <c r="W298" i="3"/>
  <c r="S298" i="3"/>
  <c r="AD27" i="3"/>
  <c r="N27" i="3" s="1"/>
  <c r="Y27" i="3" s="1"/>
  <c r="A27" i="3"/>
  <c r="AD91" i="3"/>
  <c r="N91" i="3" s="1"/>
  <c r="AB91" i="3" s="1"/>
  <c r="A91" i="3"/>
  <c r="Y124" i="3"/>
  <c r="R124" i="3"/>
  <c r="AB124" i="3"/>
  <c r="Z124" i="3"/>
  <c r="X124" i="3"/>
  <c r="AA154" i="3"/>
  <c r="R154" i="3"/>
  <c r="Z154" i="3"/>
  <c r="X154" i="3"/>
  <c r="Z240" i="3"/>
  <c r="Y240" i="3"/>
  <c r="R240" i="3"/>
  <c r="X240" i="3"/>
  <c r="AB240" i="3"/>
  <c r="AA240" i="3"/>
  <c r="AD255" i="3"/>
  <c r="A255" i="3"/>
  <c r="AC255" i="3"/>
  <c r="O255" i="3" s="1"/>
  <c r="A290" i="3"/>
  <c r="AC290" i="3"/>
  <c r="O290" i="3" s="1"/>
  <c r="AD290" i="3"/>
  <c r="AD47" i="3"/>
  <c r="N47" i="3" s="1"/>
  <c r="Z47" i="3" s="1"/>
  <c r="A47" i="3"/>
  <c r="X115" i="3"/>
  <c r="AB115" i="3"/>
  <c r="AA115" i="3"/>
  <c r="Z115" i="3"/>
  <c r="Y115" i="3"/>
  <c r="R115" i="3"/>
  <c r="A162" i="3"/>
  <c r="AC162" i="3"/>
  <c r="O162" i="3" s="1"/>
  <c r="AD162" i="3"/>
  <c r="Z180" i="3"/>
  <c r="Y180" i="3"/>
  <c r="R180" i="3"/>
  <c r="AA180" i="3"/>
  <c r="X180" i="3"/>
  <c r="V220" i="3"/>
  <c r="W220" i="3"/>
  <c r="S220" i="3"/>
  <c r="T220" i="3"/>
  <c r="AD3" i="3"/>
  <c r="N3" i="3" s="1"/>
  <c r="AB3" i="3" s="1"/>
  <c r="A3" i="3"/>
  <c r="AD67" i="3"/>
  <c r="N67" i="3" s="1"/>
  <c r="A67" i="3"/>
  <c r="R109" i="3"/>
  <c r="AA109" i="3"/>
  <c r="Y109" i="3"/>
  <c r="X109" i="3"/>
  <c r="AA129" i="3"/>
  <c r="Y129" i="3"/>
  <c r="X129" i="3"/>
  <c r="R129" i="3"/>
  <c r="AB129" i="3"/>
  <c r="X142" i="3"/>
  <c r="AB142" i="3"/>
  <c r="Z142" i="3"/>
  <c r="Y142" i="3"/>
  <c r="R142" i="3"/>
  <c r="U220" i="3"/>
  <c r="AC227" i="3"/>
  <c r="O227" i="3" s="1"/>
  <c r="AD227" i="3"/>
  <c r="W195" i="3"/>
  <c r="S195" i="3"/>
  <c r="V195" i="3"/>
  <c r="R197" i="3"/>
  <c r="Y197" i="3"/>
  <c r="X197" i="3"/>
  <c r="AB197" i="3"/>
  <c r="AB103" i="3"/>
  <c r="R105" i="3"/>
  <c r="X108" i="3"/>
  <c r="R110" i="3"/>
  <c r="AA112" i="3"/>
  <c r="AC116" i="3"/>
  <c r="O116" i="3" s="1"/>
  <c r="X139" i="3"/>
  <c r="AB145" i="3"/>
  <c r="AC152" i="3"/>
  <c r="O152" i="3" s="1"/>
  <c r="X163" i="3"/>
  <c r="AD176" i="3"/>
  <c r="AC177" i="3"/>
  <c r="O177" i="3" s="1"/>
  <c r="Z179" i="3"/>
  <c r="R183" i="3"/>
  <c r="S203" i="3"/>
  <c r="V203" i="3"/>
  <c r="Y205" i="3"/>
  <c r="AB205" i="3"/>
  <c r="Z213" i="3"/>
  <c r="AC217" i="3"/>
  <c r="O217" i="3" s="1"/>
  <c r="A217" i="3"/>
  <c r="AB218" i="3"/>
  <c r="R218" i="3"/>
  <c r="Y218" i="3"/>
  <c r="X218" i="3"/>
  <c r="AA218" i="3"/>
  <c r="AD232" i="3"/>
  <c r="AC244" i="3"/>
  <c r="O244" i="3" s="1"/>
  <c r="X252" i="3"/>
  <c r="Z252" i="3"/>
  <c r="Y252" i="3"/>
  <c r="AB252" i="3"/>
  <c r="AA252" i="3"/>
  <c r="AD267" i="3"/>
  <c r="AC267" i="3"/>
  <c r="O267" i="3" s="1"/>
  <c r="A267" i="3"/>
  <c r="AC268" i="3"/>
  <c r="O268" i="3" s="1"/>
  <c r="A268" i="3"/>
  <c r="AC281" i="3"/>
  <c r="O281" i="3" s="1"/>
  <c r="A281" i="3"/>
  <c r="AC297" i="3"/>
  <c r="O297" i="3" s="1"/>
  <c r="AD297" i="3"/>
  <c r="A297" i="3"/>
  <c r="X298" i="3"/>
  <c r="Z298" i="3"/>
  <c r="Y298" i="3"/>
  <c r="AB298" i="3"/>
  <c r="AA298" i="3"/>
  <c r="AC320" i="3"/>
  <c r="O320" i="3" s="1"/>
  <c r="A320" i="3"/>
  <c r="X340" i="3"/>
  <c r="Z340" i="3"/>
  <c r="Y340" i="3"/>
  <c r="AB340" i="3"/>
  <c r="AA340" i="3"/>
  <c r="R340" i="3"/>
  <c r="AC346" i="3"/>
  <c r="O346" i="3" s="1"/>
  <c r="AB112" i="3"/>
  <c r="AD116" i="3"/>
  <c r="X133" i="3"/>
  <c r="Z139" i="3"/>
  <c r="AA150" i="3"/>
  <c r="AB150" i="3"/>
  <c r="Z150" i="3"/>
  <c r="W167" i="3"/>
  <c r="V167" i="3"/>
  <c r="U167" i="3"/>
  <c r="S167" i="3"/>
  <c r="A170" i="3"/>
  <c r="AC170" i="3"/>
  <c r="O170" i="3" s="1"/>
  <c r="AD170" i="3"/>
  <c r="A177" i="3"/>
  <c r="Z188" i="3"/>
  <c r="AA188" i="3"/>
  <c r="AB188" i="3"/>
  <c r="X188" i="3"/>
  <c r="Y188" i="3"/>
  <c r="AB238" i="3"/>
  <c r="Z238" i="3"/>
  <c r="X238" i="3"/>
  <c r="AA238" i="3"/>
  <c r="A245" i="3"/>
  <c r="Z250" i="3"/>
  <c r="AA250" i="3"/>
  <c r="AB270" i="3"/>
  <c r="Y270" i="3"/>
  <c r="X270" i="3"/>
  <c r="V271" i="3"/>
  <c r="T271" i="3"/>
  <c r="U271" i="3"/>
  <c r="W271" i="3"/>
  <c r="S271" i="3"/>
  <c r="X330" i="3"/>
  <c r="U344" i="3"/>
  <c r="S344" i="3"/>
  <c r="W344" i="3"/>
  <c r="V344" i="3"/>
  <c r="A104" i="3"/>
  <c r="AC123" i="3"/>
  <c r="O123" i="3" s="1"/>
  <c r="Z133" i="3"/>
  <c r="AB136" i="3"/>
  <c r="AA136" i="3"/>
  <c r="A139" i="3"/>
  <c r="Y151" i="3"/>
  <c r="AA151" i="3"/>
  <c r="Z151" i="3"/>
  <c r="AC163" i="3"/>
  <c r="O163" i="3" s="1"/>
  <c r="R171" i="3"/>
  <c r="X171" i="3"/>
  <c r="Z171" i="3"/>
  <c r="Y171" i="3"/>
  <c r="Z172" i="3"/>
  <c r="AB172" i="3"/>
  <c r="AD178" i="3"/>
  <c r="AD179" i="3"/>
  <c r="AD180" i="3"/>
  <c r="U195" i="3"/>
  <c r="U204" i="3"/>
  <c r="W204" i="3"/>
  <c r="A213" i="3"/>
  <c r="AB217" i="3"/>
  <c r="AA217" i="3"/>
  <c r="Y217" i="3"/>
  <c r="A244" i="3"/>
  <c r="AC247" i="3"/>
  <c r="O247" i="3" s="1"/>
  <c r="A247" i="3"/>
  <c r="Z248" i="3"/>
  <c r="Y248" i="3"/>
  <c r="AA248" i="3"/>
  <c r="X268" i="3"/>
  <c r="AA268" i="3"/>
  <c r="Z268" i="3"/>
  <c r="Y268" i="3"/>
  <c r="AB268" i="3"/>
  <c r="AD272" i="3"/>
  <c r="A284" i="3"/>
  <c r="A289" i="3"/>
  <c r="Z297" i="3"/>
  <c r="X297" i="3"/>
  <c r="AB297" i="3"/>
  <c r="AA297" i="3"/>
  <c r="A310" i="3"/>
  <c r="R320" i="3"/>
  <c r="X320" i="3"/>
  <c r="AA320" i="3"/>
  <c r="Z320" i="3"/>
  <c r="AB320" i="3"/>
  <c r="AB334" i="3"/>
  <c r="X334" i="3"/>
  <c r="Z334" i="3"/>
  <c r="AD130" i="3"/>
  <c r="AC130" i="3"/>
  <c r="O130" i="3" s="1"/>
  <c r="AB169" i="3"/>
  <c r="AA169" i="3"/>
  <c r="Z169" i="3"/>
  <c r="X169" i="3"/>
  <c r="X175" i="3"/>
  <c r="R175" i="3"/>
  <c r="Y175" i="3"/>
  <c r="AD185" i="3"/>
  <c r="V188" i="3"/>
  <c r="U188" i="3"/>
  <c r="S188" i="3"/>
  <c r="Y195" i="3"/>
  <c r="A215" i="3"/>
  <c r="AC215" i="3"/>
  <c r="O215" i="3" s="1"/>
  <c r="Z233" i="3"/>
  <c r="AB233" i="3"/>
  <c r="AA233" i="3"/>
  <c r="Y233" i="3"/>
  <c r="R233" i="3"/>
  <c r="S270" i="3"/>
  <c r="U270" i="3"/>
  <c r="T270" i="3"/>
  <c r="W270" i="3"/>
  <c r="V270" i="3"/>
  <c r="AD302" i="3"/>
  <c r="AB342" i="3"/>
  <c r="AA342" i="3"/>
  <c r="Y342" i="3"/>
  <c r="X342" i="3"/>
  <c r="AA351" i="3"/>
  <c r="Z351" i="3"/>
  <c r="R351" i="3"/>
  <c r="X351" i="3"/>
  <c r="S2" i="4"/>
  <c r="AC104" i="3"/>
  <c r="O104" i="3" s="1"/>
  <c r="Y108" i="3"/>
  <c r="AB108" i="3"/>
  <c r="AA108" i="3"/>
  <c r="A124" i="3"/>
  <c r="AD124" i="3"/>
  <c r="A133" i="3"/>
  <c r="AC133" i="3"/>
  <c r="O133" i="3" s="1"/>
  <c r="AA137" i="3"/>
  <c r="AB137" i="3"/>
  <c r="AD154" i="3"/>
  <c r="AA161" i="3"/>
  <c r="X161" i="3"/>
  <c r="AD164" i="3"/>
  <c r="AB177" i="3"/>
  <c r="AA177" i="3"/>
  <c r="T188" i="3"/>
  <c r="AD189" i="3"/>
  <c r="Z195" i="3"/>
  <c r="AD199" i="3"/>
  <c r="V204" i="3"/>
  <c r="R216" i="3"/>
  <c r="AB216" i="3"/>
  <c r="X216" i="3"/>
  <c r="Y216" i="3"/>
  <c r="AA216" i="3"/>
  <c r="R217" i="3"/>
  <c r="A240" i="3"/>
  <c r="AC240" i="3"/>
  <c r="O240" i="3" s="1"/>
  <c r="AB247" i="3"/>
  <c r="Y247" i="3"/>
  <c r="AA247" i="3"/>
  <c r="X247" i="3"/>
  <c r="R247" i="3"/>
  <c r="R248" i="3"/>
  <c r="R268" i="3"/>
  <c r="Z270" i="3"/>
  <c r="AD275" i="3"/>
  <c r="AC275" i="3"/>
  <c r="O275" i="3" s="1"/>
  <c r="A302" i="3"/>
  <c r="A308" i="3"/>
  <c r="R334" i="3"/>
  <c r="Y110" i="3"/>
  <c r="AC118" i="3"/>
  <c r="O118" i="3" s="1"/>
  <c r="A118" i="3"/>
  <c r="A131" i="3"/>
  <c r="AC131" i="3"/>
  <c r="O131" i="3" s="1"/>
  <c r="R136" i="3"/>
  <c r="U138" i="3"/>
  <c r="W138" i="3"/>
  <c r="S138" i="3"/>
  <c r="A140" i="3"/>
  <c r="AD140" i="3"/>
  <c r="AC140" i="3"/>
  <c r="O140" i="3" s="1"/>
  <c r="R151" i="3"/>
  <c r="AA153" i="3"/>
  <c r="AB153" i="3"/>
  <c r="Y167" i="3"/>
  <c r="AD182" i="3"/>
  <c r="A182" i="3"/>
  <c r="W188" i="3"/>
  <c r="Z194" i="3"/>
  <c r="AA195" i="3"/>
  <c r="Z197" i="3"/>
  <c r="Z205" i="3"/>
  <c r="Z218" i="3"/>
  <c r="AD226" i="3"/>
  <c r="AC226" i="3"/>
  <c r="O226" i="3" s="1"/>
  <c r="A226" i="3"/>
  <c r="AA227" i="3"/>
  <c r="Z227" i="3"/>
  <c r="AB227" i="3"/>
  <c r="X227" i="3"/>
  <c r="R227" i="3"/>
  <c r="R264" i="3"/>
  <c r="AB264" i="3"/>
  <c r="X264" i="3"/>
  <c r="AA270" i="3"/>
  <c r="AB278" i="3"/>
  <c r="Z278" i="3"/>
  <c r="Y278" i="3"/>
  <c r="R297" i="3"/>
  <c r="AD309" i="3"/>
  <c r="AC309" i="3"/>
  <c r="O309" i="3" s="1"/>
  <c r="A312" i="3"/>
  <c r="AD312" i="3"/>
  <c r="R333" i="3"/>
  <c r="Y333" i="3"/>
  <c r="X333" i="3"/>
  <c r="AB333" i="3"/>
  <c r="Z333" i="3"/>
  <c r="Y334" i="3"/>
  <c r="AD341" i="3"/>
  <c r="AC341" i="3"/>
  <c r="O341" i="3" s="1"/>
  <c r="R139" i="3"/>
  <c r="Y139" i="3"/>
  <c r="AC155" i="3"/>
  <c r="O155" i="3" s="1"/>
  <c r="A155" i="3"/>
  <c r="A156" i="3"/>
  <c r="AD156" i="3"/>
  <c r="Z163" i="3"/>
  <c r="AA163" i="3"/>
  <c r="Y179" i="3"/>
  <c r="R179" i="3"/>
  <c r="AB179" i="3"/>
  <c r="X179" i="3"/>
  <c r="AD190" i="3"/>
  <c r="AC190" i="3"/>
  <c r="O190" i="3" s="1"/>
  <c r="A190" i="3"/>
  <c r="AB195" i="3"/>
  <c r="AA197" i="3"/>
  <c r="AC201" i="3"/>
  <c r="O201" i="3" s="1"/>
  <c r="AD201" i="3"/>
  <c r="AA213" i="3"/>
  <c r="X213" i="3"/>
  <c r="X215" i="3"/>
  <c r="Y215" i="3"/>
  <c r="AB215" i="3"/>
  <c r="AA215" i="3"/>
  <c r="Z215" i="3"/>
  <c r="AD259" i="3"/>
  <c r="AC259" i="3"/>
  <c r="O259" i="3" s="1"/>
  <c r="A259" i="3"/>
  <c r="X319" i="3"/>
  <c r="AA319" i="3"/>
  <c r="AB319" i="3"/>
  <c r="Z319" i="3"/>
  <c r="Y319" i="3"/>
  <c r="A329" i="3"/>
  <c r="AD329" i="3"/>
  <c r="T342" i="3"/>
  <c r="U342" i="3"/>
  <c r="W342" i="3"/>
  <c r="R349" i="3"/>
  <c r="AB349" i="3"/>
  <c r="AA349" i="3"/>
  <c r="Z349" i="3"/>
  <c r="X349" i="3"/>
  <c r="A106" i="3"/>
  <c r="R108" i="3"/>
  <c r="X111" i="3"/>
  <c r="AA118" i="3"/>
  <c r="Z118" i="3"/>
  <c r="Y125" i="3"/>
  <c r="R125" i="3"/>
  <c r="Z131" i="3"/>
  <c r="AA131" i="3"/>
  <c r="AB131" i="3"/>
  <c r="Y132" i="3"/>
  <c r="AA132" i="3"/>
  <c r="Z132" i="3"/>
  <c r="R161" i="3"/>
  <c r="AB167" i="3"/>
  <c r="Y172" i="3"/>
  <c r="R177" i="3"/>
  <c r="A204" i="3"/>
  <c r="AC204" i="3"/>
  <c r="O204" i="3" s="1"/>
  <c r="AC209" i="3"/>
  <c r="O209" i="3" s="1"/>
  <c r="A209" i="3"/>
  <c r="Z212" i="3"/>
  <c r="R212" i="3"/>
  <c r="AB212" i="3"/>
  <c r="AD217" i="3"/>
  <c r="Y226" i="3"/>
  <c r="X226" i="3"/>
  <c r="R226" i="3"/>
  <c r="AB226" i="3"/>
  <c r="AA226" i="3"/>
  <c r="X233" i="3"/>
  <c r="AB248" i="3"/>
  <c r="AB250" i="3"/>
  <c r="AD268" i="3"/>
  <c r="AD285" i="3"/>
  <c r="AC295" i="3"/>
  <c r="O295" i="3" s="1"/>
  <c r="Y297" i="3"/>
  <c r="Z305" i="3"/>
  <c r="AB305" i="3"/>
  <c r="AA305" i="3"/>
  <c r="Y305" i="3"/>
  <c r="Y312" i="3"/>
  <c r="AA312" i="3"/>
  <c r="AB312" i="3"/>
  <c r="Z312" i="3"/>
  <c r="R312" i="3"/>
  <c r="V342" i="3"/>
  <c r="AC120" i="3"/>
  <c r="O120" i="3" s="1"/>
  <c r="S133" i="3"/>
  <c r="W133" i="3"/>
  <c r="V133" i="3"/>
  <c r="R155" i="3"/>
  <c r="AB155" i="3"/>
  <c r="Y156" i="3"/>
  <c r="R156" i="3"/>
  <c r="Z156" i="3"/>
  <c r="X156" i="3"/>
  <c r="AD158" i="3"/>
  <c r="R163" i="3"/>
  <c r="AB185" i="3"/>
  <c r="Z185" i="3"/>
  <c r="X185" i="3"/>
  <c r="AB201" i="3"/>
  <c r="X201" i="3"/>
  <c r="R201" i="3"/>
  <c r="R213" i="3"/>
  <c r="U214" i="3"/>
  <c r="S214" i="3"/>
  <c r="AD219" i="3"/>
  <c r="A219" i="3"/>
  <c r="R277" i="3"/>
  <c r="Z277" i="3"/>
  <c r="AB277" i="3"/>
  <c r="AA277" i="3"/>
  <c r="X277" i="3"/>
  <c r="W278" i="3"/>
  <c r="U278" i="3"/>
  <c r="T278" i="3"/>
  <c r="S278" i="3"/>
  <c r="U284" i="3"/>
  <c r="W284" i="3"/>
  <c r="T284" i="3"/>
  <c r="AD295" i="3"/>
  <c r="AD301" i="3"/>
  <c r="A301" i="3"/>
  <c r="R319" i="3"/>
  <c r="R330" i="3"/>
  <c r="AA330" i="3"/>
  <c r="X332" i="3"/>
  <c r="R332" i="3"/>
  <c r="AB332" i="3"/>
  <c r="Y332" i="3"/>
  <c r="AA332" i="3"/>
  <c r="Z332" i="3"/>
  <c r="Z342" i="3"/>
  <c r="Y351" i="3"/>
  <c r="X103" i="3"/>
  <c r="AA105" i="3"/>
  <c r="Y105" i="3"/>
  <c r="X105" i="3"/>
  <c r="AD120" i="3"/>
  <c r="AC127" i="3"/>
  <c r="O127" i="3" s="1"/>
  <c r="X136" i="3"/>
  <c r="AC142" i="3"/>
  <c r="O142" i="3" s="1"/>
  <c r="AD142" i="3"/>
  <c r="Z147" i="3"/>
  <c r="X147" i="3"/>
  <c r="Y148" i="3"/>
  <c r="R148" i="3"/>
  <c r="AB151" i="3"/>
  <c r="AB171" i="3"/>
  <c r="R184" i="3"/>
  <c r="Y184" i="3"/>
  <c r="AC195" i="3"/>
  <c r="O195" i="3" s="1"/>
  <c r="AD195" i="3"/>
  <c r="A195" i="3"/>
  <c r="R200" i="3"/>
  <c r="AA200" i="3"/>
  <c r="X200" i="3"/>
  <c r="AD206" i="3"/>
  <c r="AC206" i="3"/>
  <c r="O206" i="3" s="1"/>
  <c r="T214" i="3"/>
  <c r="R215" i="3"/>
  <c r="Z221" i="3"/>
  <c r="Y221" i="3"/>
  <c r="R221" i="3"/>
  <c r="R253" i="3"/>
  <c r="X253" i="3"/>
  <c r="AB253" i="3"/>
  <c r="Y253" i="3"/>
  <c r="AA253" i="3"/>
  <c r="Z253" i="3"/>
  <c r="X260" i="3"/>
  <c r="Z260" i="3"/>
  <c r="R260" i="3"/>
  <c r="Y260" i="3"/>
  <c r="V278" i="3"/>
  <c r="S284" i="3"/>
  <c r="A287" i="3"/>
  <c r="AD287" i="3"/>
  <c r="AB351" i="3"/>
  <c r="Y103" i="3"/>
  <c r="AA111" i="3"/>
  <c r="X112" i="3"/>
  <c r="AD127" i="3"/>
  <c r="R131" i="3"/>
  <c r="AD135" i="3"/>
  <c r="Y136" i="3"/>
  <c r="X137" i="3"/>
  <c r="X138" i="3"/>
  <c r="Y141" i="3"/>
  <c r="AB141" i="3"/>
  <c r="X145" i="3"/>
  <c r="AC151" i="3"/>
  <c r="O151" i="3" s="1"/>
  <c r="AD171" i="3"/>
  <c r="Z175" i="3"/>
  <c r="X177" i="3"/>
  <c r="A207" i="3"/>
  <c r="AC207" i="3"/>
  <c r="O207" i="3" s="1"/>
  <c r="V214" i="3"/>
  <c r="Y227" i="3"/>
  <c r="A236" i="3"/>
  <c r="AD236" i="3"/>
  <c r="AC236" i="3"/>
  <c r="O236" i="3" s="1"/>
  <c r="AD247" i="3"/>
  <c r="Y264" i="3"/>
  <c r="AB271" i="3"/>
  <c r="AA271" i="3"/>
  <c r="Z271" i="3"/>
  <c r="Y271" i="3"/>
  <c r="X271" i="3"/>
  <c r="X278" i="3"/>
  <c r="AD281" i="3"/>
  <c r="V284" i="3"/>
  <c r="AD321" i="3"/>
  <c r="AC321" i="3"/>
  <c r="O321" i="3" s="1"/>
  <c r="R118" i="3"/>
  <c r="Y120" i="3"/>
  <c r="R120" i="3"/>
  <c r="R132" i="3"/>
  <c r="Z136" i="3"/>
  <c r="Y137" i="3"/>
  <c r="Y138" i="3"/>
  <c r="Y145" i="3"/>
  <c r="A151" i="3"/>
  <c r="Y161" i="3"/>
  <c r="A171" i="3"/>
  <c r="A172" i="3"/>
  <c r="AA175" i="3"/>
  <c r="Y177" i="3"/>
  <c r="R185" i="3"/>
  <c r="X189" i="3"/>
  <c r="Y189" i="3"/>
  <c r="AB189" i="3"/>
  <c r="X199" i="3"/>
  <c r="R199" i="3"/>
  <c r="AB199" i="3"/>
  <c r="Y199" i="3"/>
  <c r="R208" i="3"/>
  <c r="Z208" i="3"/>
  <c r="X212" i="3"/>
  <c r="W214" i="3"/>
  <c r="AB239" i="3"/>
  <c r="Y239" i="3"/>
  <c r="X239" i="3"/>
  <c r="AA239" i="3"/>
  <c r="Z264" i="3"/>
  <c r="A270" i="3"/>
  <c r="AD270" i="3"/>
  <c r="AC270" i="3"/>
  <c r="O270" i="3" s="1"/>
  <c r="AA278" i="3"/>
  <c r="A282" i="3"/>
  <c r="R301" i="3"/>
  <c r="AB301" i="3"/>
  <c r="Z301" i="3"/>
  <c r="X301" i="3"/>
  <c r="R305" i="3"/>
  <c r="AA333" i="3"/>
  <c r="AB344" i="3"/>
  <c r="Z344" i="3"/>
  <c r="Y344" i="3"/>
  <c r="Y349" i="3"/>
  <c r="AC251" i="3"/>
  <c r="O251" i="3" s="1"/>
  <c r="AB262" i="3"/>
  <c r="Y262" i="3"/>
  <c r="Z262" i="3"/>
  <c r="AA262" i="3"/>
  <c r="X262" i="3"/>
  <c r="AD307" i="3"/>
  <c r="A307" i="3"/>
  <c r="V311" i="3"/>
  <c r="U311" i="3"/>
  <c r="AD331" i="3"/>
  <c r="A331" i="3"/>
  <c r="AC331" i="3"/>
  <c r="O331" i="3" s="1"/>
  <c r="AA346" i="3"/>
  <c r="R346" i="3"/>
  <c r="AB346" i="3"/>
  <c r="R192" i="3"/>
  <c r="AA192" i="3"/>
  <c r="AB192" i="3"/>
  <c r="AB193" i="3"/>
  <c r="X193" i="3"/>
  <c r="Z193" i="3"/>
  <c r="Y193" i="3"/>
  <c r="AD237" i="3"/>
  <c r="Z249" i="3"/>
  <c r="AB249" i="3"/>
  <c r="AC280" i="3"/>
  <c r="O280" i="3" s="1"/>
  <c r="AD280" i="3"/>
  <c r="X292" i="3"/>
  <c r="AB292" i="3"/>
  <c r="AA292" i="3"/>
  <c r="R293" i="3"/>
  <c r="AA293" i="3"/>
  <c r="X293" i="3"/>
  <c r="Z293" i="3"/>
  <c r="Y293" i="3"/>
  <c r="AB294" i="3"/>
  <c r="Y294" i="3"/>
  <c r="X294" i="3"/>
  <c r="S311" i="3"/>
  <c r="W326" i="3"/>
  <c r="V326" i="3"/>
  <c r="Z345" i="3"/>
  <c r="R345" i="3"/>
  <c r="AA166" i="3"/>
  <c r="Y166" i="3"/>
  <c r="AD198" i="3"/>
  <c r="A198" i="3"/>
  <c r="AC198" i="3"/>
  <c r="O198" i="3" s="1"/>
  <c r="R223" i="3"/>
  <c r="AB225" i="3"/>
  <c r="AA225" i="3"/>
  <c r="A239" i="3"/>
  <c r="AD239" i="3"/>
  <c r="AC239" i="3"/>
  <c r="O239" i="3" s="1"/>
  <c r="R249" i="3"/>
  <c r="AC253" i="3"/>
  <c r="O253" i="3" s="1"/>
  <c r="A253" i="3"/>
  <c r="R262" i="3"/>
  <c r="R279" i="3"/>
  <c r="Y279" i="3"/>
  <c r="X279" i="3"/>
  <c r="R292" i="3"/>
  <c r="R294" i="3"/>
  <c r="T304" i="3"/>
  <c r="X306" i="3"/>
  <c r="Y306" i="3"/>
  <c r="Z306" i="3"/>
  <c r="X316" i="3"/>
  <c r="R316" i="3"/>
  <c r="U326" i="3"/>
  <c r="Z337" i="3"/>
  <c r="X337" i="3"/>
  <c r="AA337" i="3"/>
  <c r="AD339" i="3"/>
  <c r="A339" i="3"/>
  <c r="AC339" i="3"/>
  <c r="O339" i="3" s="1"/>
  <c r="AA343" i="3"/>
  <c r="X343" i="3"/>
  <c r="R343" i="3"/>
  <c r="Y343" i="3"/>
  <c r="Y223" i="3"/>
  <c r="Y229" i="3"/>
  <c r="AB229" i="3"/>
  <c r="X229" i="3"/>
  <c r="AC231" i="3"/>
  <c r="O231" i="3" s="1"/>
  <c r="R242" i="3"/>
  <c r="X242" i="3"/>
  <c r="X249" i="3"/>
  <c r="AB254" i="3"/>
  <c r="R254" i="3"/>
  <c r="X254" i="3"/>
  <c r="X255" i="3"/>
  <c r="AB255" i="3"/>
  <c r="AA255" i="3"/>
  <c r="AA258" i="3"/>
  <c r="R258" i="3"/>
  <c r="V269" i="3"/>
  <c r="W269" i="3"/>
  <c r="AA294" i="3"/>
  <c r="Y304" i="3"/>
  <c r="X308" i="3"/>
  <c r="R308" i="3"/>
  <c r="R309" i="3"/>
  <c r="Y309" i="3"/>
  <c r="AB318" i="3"/>
  <c r="Z318" i="3"/>
  <c r="AA318" i="3"/>
  <c r="Y318" i="3"/>
  <c r="X318" i="3"/>
  <c r="Z321" i="3"/>
  <c r="AA321" i="3"/>
  <c r="R321" i="3"/>
  <c r="AD323" i="3"/>
  <c r="AC323" i="3"/>
  <c r="O323" i="3" s="1"/>
  <c r="AA335" i="3"/>
  <c r="R341" i="3"/>
  <c r="Y341" i="3"/>
  <c r="AA341" i="3"/>
  <c r="Z341" i="3"/>
  <c r="AA345" i="3"/>
  <c r="Z346" i="3"/>
  <c r="Z220" i="3"/>
  <c r="Y220" i="3"/>
  <c r="V255" i="3"/>
  <c r="U255" i="3"/>
  <c r="T255" i="3"/>
  <c r="Z273" i="3"/>
  <c r="AB273" i="3"/>
  <c r="Y273" i="3"/>
  <c r="Z287" i="3"/>
  <c r="R287" i="3"/>
  <c r="Y288" i="3"/>
  <c r="R288" i="3"/>
  <c r="AD347" i="3"/>
  <c r="A347" i="3"/>
  <c r="AC347" i="3"/>
  <c r="O347" i="3" s="1"/>
  <c r="X191" i="3"/>
  <c r="AB191" i="3"/>
  <c r="A192" i="3"/>
  <c r="AC192" i="3"/>
  <c r="O192" i="3" s="1"/>
  <c r="AD192" i="3"/>
  <c r="A251" i="3"/>
  <c r="W255" i="3"/>
  <c r="T259" i="3"/>
  <c r="AC265" i="3"/>
  <c r="O265" i="3" s="1"/>
  <c r="AC266" i="3"/>
  <c r="O266" i="3" s="1"/>
  <c r="X284" i="3"/>
  <c r="Y284" i="3"/>
  <c r="AA284" i="3"/>
  <c r="Z284" i="3"/>
  <c r="AD306" i="3"/>
  <c r="Z313" i="3"/>
  <c r="Y313" i="3"/>
  <c r="X313" i="3"/>
  <c r="T318" i="3"/>
  <c r="X324" i="3"/>
  <c r="AB324" i="3"/>
  <c r="AB326" i="3"/>
  <c r="AA326" i="3"/>
  <c r="X326" i="3"/>
  <c r="R327" i="3"/>
  <c r="X327" i="3"/>
  <c r="A334" i="3"/>
  <c r="AD336" i="3"/>
  <c r="AC336" i="3"/>
  <c r="O336" i="3" s="1"/>
  <c r="AB337" i="3"/>
  <c r="AA210" i="3"/>
  <c r="X210" i="3"/>
  <c r="Z211" i="3"/>
  <c r="Y211" i="3"/>
  <c r="Y234" i="3"/>
  <c r="X234" i="3"/>
  <c r="Z234" i="3"/>
  <c r="AD265" i="3"/>
  <c r="AC276" i="3"/>
  <c r="O276" i="3" s="1"/>
  <c r="AD315" i="3"/>
  <c r="A315" i="3"/>
  <c r="V318" i="3"/>
  <c r="R325" i="3"/>
  <c r="AA325" i="3"/>
  <c r="Z325" i="3"/>
  <c r="AD351" i="3"/>
  <c r="A351" i="3"/>
  <c r="AB352" i="3"/>
  <c r="X352" i="3"/>
  <c r="AC175" i="3"/>
  <c r="O175" i="3" s="1"/>
  <c r="X207" i="3"/>
  <c r="Z207" i="3"/>
  <c r="AA207" i="3"/>
  <c r="AD214" i="3"/>
  <c r="AC214" i="3"/>
  <c r="O214" i="3" s="1"/>
  <c r="AC220" i="3"/>
  <c r="O220" i="3" s="1"/>
  <c r="AD238" i="3"/>
  <c r="X244" i="3"/>
  <c r="Y244" i="3"/>
  <c r="R244" i="3"/>
  <c r="Z281" i="3"/>
  <c r="Y281" i="3"/>
  <c r="AC291" i="3"/>
  <c r="O291" i="3" s="1"/>
  <c r="AC317" i="3"/>
  <c r="O317" i="3" s="1"/>
  <c r="AC160" i="3"/>
  <c r="O160" i="3" s="1"/>
  <c r="Y164" i="3"/>
  <c r="R164" i="3"/>
  <c r="AC169" i="3"/>
  <c r="O169" i="3" s="1"/>
  <c r="AD169" i="3"/>
  <c r="AC181" i="3"/>
  <c r="O181" i="3" s="1"/>
  <c r="R224" i="3"/>
  <c r="AA224" i="3"/>
  <c r="R245" i="3"/>
  <c r="AA245" i="3"/>
  <c r="AD261" i="3"/>
  <c r="A261" i="3"/>
  <c r="AB274" i="3"/>
  <c r="Z274" i="3"/>
  <c r="AD283" i="3"/>
  <c r="AC283" i="3"/>
  <c r="O283" i="3" s="1"/>
  <c r="A283" i="3"/>
  <c r="X303" i="3"/>
  <c r="AB303" i="3"/>
  <c r="R303" i="3"/>
  <c r="AC311" i="3"/>
  <c r="O311" i="3" s="1"/>
  <c r="Z329" i="3"/>
  <c r="Y329" i="3"/>
  <c r="X348" i="3"/>
  <c r="AA348" i="3"/>
  <c r="Z204" i="3"/>
  <c r="X204" i="3"/>
  <c r="AB209" i="3"/>
  <c r="R209" i="3"/>
  <c r="R237" i="3"/>
  <c r="Z237" i="3"/>
  <c r="Z265" i="3"/>
  <c r="Y265" i="3"/>
  <c r="X265" i="3"/>
  <c r="AC277" i="3"/>
  <c r="O277" i="3" s="1"/>
  <c r="A277" i="3"/>
  <c r="AD277" i="3"/>
  <c r="T282" i="3"/>
  <c r="V282" i="3"/>
  <c r="AB310" i="3"/>
  <c r="Y310" i="3"/>
  <c r="AD327" i="3"/>
  <c r="R176" i="3"/>
  <c r="Y176" i="3"/>
  <c r="AC250" i="3"/>
  <c r="O250" i="3" s="1"/>
  <c r="AA296" i="3"/>
  <c r="Z296" i="3"/>
  <c r="AB246" i="3"/>
  <c r="AA246" i="3"/>
  <c r="Z257" i="3"/>
  <c r="R257" i="3"/>
  <c r="AC340" i="3"/>
  <c r="O340" i="3" s="1"/>
  <c r="B94" i="2"/>
  <c r="B6" i="2"/>
  <c r="B14" i="2"/>
  <c r="B22" i="2"/>
  <c r="D11" i="3" s="1"/>
  <c r="B30" i="2"/>
  <c r="B38" i="2"/>
  <c r="D93" i="3" s="1"/>
  <c r="B46" i="2"/>
  <c r="B54" i="2"/>
  <c r="D62" i="3" s="1"/>
  <c r="B62" i="2"/>
  <c r="B70" i="2"/>
  <c r="B78" i="2"/>
  <c r="D100" i="3" s="1"/>
  <c r="B86" i="2"/>
  <c r="O43" i="3"/>
  <c r="Q43" i="3"/>
  <c r="P43" i="3"/>
  <c r="M43" i="3"/>
  <c r="B95" i="2"/>
  <c r="Q6" i="3"/>
  <c r="P6" i="3"/>
  <c r="O6" i="3"/>
  <c r="N6" i="3"/>
  <c r="AB6" i="3" s="1"/>
  <c r="M6" i="3"/>
  <c r="Q15" i="3"/>
  <c r="P15" i="3"/>
  <c r="O15" i="3"/>
  <c r="M15" i="3"/>
  <c r="Q18" i="3"/>
  <c r="P18" i="3"/>
  <c r="O18" i="3"/>
  <c r="M18" i="3"/>
  <c r="Q25" i="3"/>
  <c r="P25" i="3"/>
  <c r="O25" i="3"/>
  <c r="M25" i="3"/>
  <c r="B7" i="2"/>
  <c r="B15" i="2"/>
  <c r="D87" i="3" s="1"/>
  <c r="B23" i="2"/>
  <c r="D53" i="3" s="1"/>
  <c r="B31" i="2"/>
  <c r="B39" i="2"/>
  <c r="B47" i="2"/>
  <c r="D25" i="3" s="1"/>
  <c r="B55" i="2"/>
  <c r="D63" i="3" s="1"/>
  <c r="B63" i="2"/>
  <c r="B71" i="2"/>
  <c r="B79" i="2"/>
  <c r="B87" i="2"/>
  <c r="Q3" i="3"/>
  <c r="P3" i="3"/>
  <c r="O3" i="3"/>
  <c r="M3" i="3"/>
  <c r="P8" i="3"/>
  <c r="N8" i="3"/>
  <c r="AB8" i="3" s="1"/>
  <c r="Q8" i="3"/>
  <c r="O8" i="3"/>
  <c r="M8" i="3"/>
  <c r="Q10" i="3"/>
  <c r="P10" i="3"/>
  <c r="O10" i="3"/>
  <c r="N10" i="3"/>
  <c r="AB10" i="3" s="1"/>
  <c r="M10" i="3"/>
  <c r="B96" i="2"/>
  <c r="D45" i="3" s="1"/>
  <c r="M19" i="3"/>
  <c r="Q19" i="3"/>
  <c r="P19" i="3"/>
  <c r="O19" i="3"/>
  <c r="Q20" i="3"/>
  <c r="P20" i="3"/>
  <c r="N20" i="3"/>
  <c r="M20" i="3"/>
  <c r="O20" i="3"/>
  <c r="B8" i="2"/>
  <c r="D50" i="3" s="1"/>
  <c r="B16" i="2"/>
  <c r="B24" i="2"/>
  <c r="B32" i="2"/>
  <c r="B40" i="2"/>
  <c r="B48" i="2"/>
  <c r="B56" i="2"/>
  <c r="B64" i="2"/>
  <c r="B72" i="2"/>
  <c r="B80" i="2"/>
  <c r="D74" i="3" s="1"/>
  <c r="B88" i="2"/>
  <c r="Q13" i="3"/>
  <c r="P13" i="3"/>
  <c r="O13" i="3"/>
  <c r="N13" i="3"/>
  <c r="M13" i="3"/>
  <c r="Q21" i="3"/>
  <c r="P21" i="3"/>
  <c r="N21" i="3"/>
  <c r="X21" i="3" s="1"/>
  <c r="O21" i="3"/>
  <c r="M21" i="3"/>
  <c r="B97" i="2"/>
  <c r="D81" i="3" s="1"/>
  <c r="B9" i="2"/>
  <c r="B17" i="2"/>
  <c r="D51" i="3" s="1"/>
  <c r="B25" i="2"/>
  <c r="B33" i="2"/>
  <c r="B41" i="2"/>
  <c r="B49" i="2"/>
  <c r="B57" i="2"/>
  <c r="B65" i="2"/>
  <c r="D32" i="3" s="1"/>
  <c r="B73" i="2"/>
  <c r="B81" i="2"/>
  <c r="B89" i="2"/>
  <c r="B98" i="2"/>
  <c r="D82" i="3" s="1"/>
  <c r="P16" i="3"/>
  <c r="N16" i="3"/>
  <c r="M16" i="3"/>
  <c r="Q16" i="3"/>
  <c r="O16" i="3"/>
  <c r="N52" i="3"/>
  <c r="AB52" i="3" s="1"/>
  <c r="Q52" i="3"/>
  <c r="P52" i="3"/>
  <c r="O52" i="3"/>
  <c r="M52" i="3"/>
  <c r="B90" i="2"/>
  <c r="N5" i="3"/>
  <c r="M5" i="3"/>
  <c r="Q5" i="3"/>
  <c r="P5" i="3"/>
  <c r="O5" i="3"/>
  <c r="M23" i="3"/>
  <c r="Q23" i="3"/>
  <c r="P23" i="3"/>
  <c r="O23" i="3"/>
  <c r="B2" i="2"/>
  <c r="D3" i="3" s="1"/>
  <c r="B10" i="2"/>
  <c r="B18" i="2"/>
  <c r="B26" i="2"/>
  <c r="B34" i="2"/>
  <c r="B42" i="2"/>
  <c r="B50" i="2"/>
  <c r="B58" i="2"/>
  <c r="B66" i="2"/>
  <c r="B74" i="2"/>
  <c r="B82" i="2"/>
  <c r="B99" i="2"/>
  <c r="D46" i="3" s="1"/>
  <c r="B91" i="2"/>
  <c r="P11" i="3"/>
  <c r="O11" i="3"/>
  <c r="M11" i="3"/>
  <c r="Q11" i="3"/>
  <c r="B3" i="2"/>
  <c r="D102" i="3" s="1"/>
  <c r="B11" i="2"/>
  <c r="B19" i="2"/>
  <c r="B27" i="2"/>
  <c r="B35" i="2"/>
  <c r="B43" i="2"/>
  <c r="B51" i="2"/>
  <c r="B59" i="2"/>
  <c r="B67" i="2"/>
  <c r="D33" i="3" s="1"/>
  <c r="B75" i="2"/>
  <c r="B83" i="2"/>
  <c r="D38" i="3" s="1"/>
  <c r="B100" i="2"/>
  <c r="D83" i="3" s="1"/>
  <c r="Q9" i="3"/>
  <c r="P9" i="3"/>
  <c r="O9" i="3"/>
  <c r="N9" i="3"/>
  <c r="X9" i="3" s="1"/>
  <c r="M9" i="3"/>
  <c r="O47" i="3"/>
  <c r="Q47" i="3"/>
  <c r="P47" i="3"/>
  <c r="M47" i="3"/>
  <c r="B92" i="2"/>
  <c r="Q7" i="3"/>
  <c r="P7" i="3"/>
  <c r="O7" i="3"/>
  <c r="M7" i="3"/>
  <c r="Q14" i="3"/>
  <c r="P14" i="3"/>
  <c r="O14" i="3"/>
  <c r="N14" i="3"/>
  <c r="AB14" i="3" s="1"/>
  <c r="M14" i="3"/>
  <c r="Q17" i="3"/>
  <c r="P17" i="3"/>
  <c r="O17" i="3"/>
  <c r="M17" i="3"/>
  <c r="B4" i="2"/>
  <c r="B12" i="2"/>
  <c r="D86" i="3" s="1"/>
  <c r="B20" i="2"/>
  <c r="B28" i="2"/>
  <c r="B36" i="2"/>
  <c r="B44" i="2"/>
  <c r="B52" i="2"/>
  <c r="B60" i="2"/>
  <c r="B68" i="2"/>
  <c r="D34" i="3" s="1"/>
  <c r="B76" i="2"/>
  <c r="B84" i="2"/>
  <c r="B101" i="2"/>
  <c r="N4" i="3"/>
  <c r="Y4" i="3" s="1"/>
  <c r="Q4" i="3"/>
  <c r="P4" i="3"/>
  <c r="O4" i="3"/>
  <c r="M4" i="3"/>
  <c r="B93" i="2"/>
  <c r="D78" i="3" s="1"/>
  <c r="M27" i="3"/>
  <c r="O27" i="3"/>
  <c r="Q27" i="3"/>
  <c r="P27" i="3"/>
  <c r="O31" i="3"/>
  <c r="M31" i="3"/>
  <c r="P31" i="3"/>
  <c r="Q31" i="3"/>
  <c r="B5" i="2"/>
  <c r="B13" i="2"/>
  <c r="B21" i="2"/>
  <c r="B29" i="2"/>
  <c r="B37" i="2"/>
  <c r="B45" i="2"/>
  <c r="B53" i="2"/>
  <c r="B61" i="2"/>
  <c r="B69" i="2"/>
  <c r="B77" i="2"/>
  <c r="B85" i="2"/>
  <c r="D75" i="3" s="1"/>
  <c r="P12" i="3"/>
  <c r="N12" i="3"/>
  <c r="X12" i="3" s="1"/>
  <c r="M12" i="3"/>
  <c r="Q12" i="3"/>
  <c r="O12" i="3"/>
  <c r="Q40" i="3"/>
  <c r="P40" i="3"/>
  <c r="O40" i="3"/>
  <c r="M40" i="3"/>
  <c r="Q24" i="3"/>
  <c r="P24" i="3"/>
  <c r="O24" i="3"/>
  <c r="N24" i="3"/>
  <c r="X24" i="3" s="1"/>
  <c r="M24" i="3"/>
  <c r="Q28" i="3"/>
  <c r="P28" i="3"/>
  <c r="O28" i="3"/>
  <c r="N28" i="3"/>
  <c r="M28" i="3"/>
  <c r="Q32" i="3"/>
  <c r="P32" i="3"/>
  <c r="O32" i="3"/>
  <c r="N32" i="3"/>
  <c r="M32" i="3"/>
  <c r="Q36" i="3"/>
  <c r="P36" i="3"/>
  <c r="O36" i="3"/>
  <c r="N36" i="3"/>
  <c r="M36" i="3"/>
  <c r="N50" i="3"/>
  <c r="X50" i="3" s="1"/>
  <c r="Q50" i="3"/>
  <c r="P50" i="3"/>
  <c r="O50" i="3"/>
  <c r="M50" i="3"/>
  <c r="O35" i="3"/>
  <c r="M35" i="3"/>
  <c r="Q35" i="3"/>
  <c r="P35" i="3"/>
  <c r="O39" i="3"/>
  <c r="P39" i="3"/>
  <c r="M39" i="3"/>
  <c r="Q39" i="3"/>
  <c r="P42" i="3"/>
  <c r="O42" i="3"/>
  <c r="N42" i="3"/>
  <c r="Z42" i="3" s="1"/>
  <c r="M42" i="3"/>
  <c r="Q42" i="3"/>
  <c r="N48" i="3"/>
  <c r="P48" i="3"/>
  <c r="O48" i="3"/>
  <c r="M48" i="3"/>
  <c r="Q48" i="3"/>
  <c r="N46" i="3"/>
  <c r="O46" i="3"/>
  <c r="M46" i="3"/>
  <c r="Q46" i="3"/>
  <c r="P46" i="3"/>
  <c r="O58" i="3"/>
  <c r="N58" i="3"/>
  <c r="Z58" i="3" s="1"/>
  <c r="Q58" i="3"/>
  <c r="P58" i="3"/>
  <c r="M58" i="3"/>
  <c r="N44" i="3"/>
  <c r="X44" i="3" s="1"/>
  <c r="Q44" i="3"/>
  <c r="P44" i="3"/>
  <c r="O44" i="3"/>
  <c r="M44" i="3"/>
  <c r="O51" i="3"/>
  <c r="M51" i="3"/>
  <c r="Q51" i="3"/>
  <c r="P51" i="3"/>
  <c r="Q22" i="3"/>
  <c r="P22" i="3"/>
  <c r="O22" i="3"/>
  <c r="N22" i="3"/>
  <c r="M22" i="3"/>
  <c r="P26" i="3"/>
  <c r="O26" i="3"/>
  <c r="Q26" i="3"/>
  <c r="M26" i="3"/>
  <c r="P30" i="3"/>
  <c r="O30" i="3"/>
  <c r="Q30" i="3"/>
  <c r="M30" i="3"/>
  <c r="P34" i="3"/>
  <c r="O34" i="3"/>
  <c r="N34" i="3"/>
  <c r="Q34" i="3"/>
  <c r="M34" i="3"/>
  <c r="Q38" i="3"/>
  <c r="P38" i="3"/>
  <c r="O38" i="3"/>
  <c r="M38" i="3"/>
  <c r="Q54" i="3"/>
  <c r="P54" i="3"/>
  <c r="O54" i="3"/>
  <c r="M54" i="3"/>
  <c r="P62" i="3"/>
  <c r="O62" i="3"/>
  <c r="N62" i="3"/>
  <c r="X62" i="3" s="1"/>
  <c r="Q62" i="3"/>
  <c r="M62" i="3"/>
  <c r="Q29" i="3"/>
  <c r="P29" i="3"/>
  <c r="N29" i="3"/>
  <c r="Y29" i="3" s="1"/>
  <c r="O29" i="3"/>
  <c r="M29" i="3"/>
  <c r="Q33" i="3"/>
  <c r="P33" i="3"/>
  <c r="O33" i="3"/>
  <c r="N33" i="3"/>
  <c r="Z33" i="3" s="1"/>
  <c r="M33" i="3"/>
  <c r="Q37" i="3"/>
  <c r="P37" i="3"/>
  <c r="O37" i="3"/>
  <c r="N37" i="3"/>
  <c r="AB37" i="3" s="1"/>
  <c r="M37" i="3"/>
  <c r="P66" i="3"/>
  <c r="O66" i="3"/>
  <c r="N66" i="3"/>
  <c r="Q66" i="3"/>
  <c r="M66" i="3"/>
  <c r="P70" i="3"/>
  <c r="O70" i="3"/>
  <c r="N70" i="3"/>
  <c r="AB70" i="3" s="1"/>
  <c r="Q70" i="3"/>
  <c r="M70" i="3"/>
  <c r="P74" i="3"/>
  <c r="O74" i="3"/>
  <c r="Q74" i="3"/>
  <c r="M74" i="3"/>
  <c r="P78" i="3"/>
  <c r="O78" i="3"/>
  <c r="N78" i="3"/>
  <c r="X78" i="3" s="1"/>
  <c r="Q78" i="3"/>
  <c r="M78" i="3"/>
  <c r="P82" i="3"/>
  <c r="O82" i="3"/>
  <c r="N82" i="3"/>
  <c r="Q82" i="3"/>
  <c r="M82" i="3"/>
  <c r="P86" i="3"/>
  <c r="O86" i="3"/>
  <c r="Q86" i="3"/>
  <c r="M86" i="3"/>
  <c r="P90" i="3"/>
  <c r="O90" i="3"/>
  <c r="N90" i="3"/>
  <c r="Y90" i="3" s="1"/>
  <c r="M90" i="3"/>
  <c r="Q90" i="3"/>
  <c r="P94" i="3"/>
  <c r="O94" i="3"/>
  <c r="M94" i="3"/>
  <c r="Q94" i="3"/>
  <c r="Q98" i="3"/>
  <c r="P98" i="3"/>
  <c r="O98" i="3"/>
  <c r="N98" i="3"/>
  <c r="M98" i="3"/>
  <c r="AB102" i="3"/>
  <c r="AA102" i="3"/>
  <c r="Z102" i="3"/>
  <c r="Y102" i="3"/>
  <c r="X102" i="3"/>
  <c r="R102" i="3"/>
  <c r="Q102" i="3"/>
  <c r="P102" i="3"/>
  <c r="O102" i="3"/>
  <c r="Q41" i="3"/>
  <c r="P41" i="3"/>
  <c r="O41" i="3"/>
  <c r="N41" i="3"/>
  <c r="M41" i="3"/>
  <c r="Q45" i="3"/>
  <c r="P45" i="3"/>
  <c r="O45" i="3"/>
  <c r="M45" i="3"/>
  <c r="N49" i="3"/>
  <c r="Q49" i="3"/>
  <c r="P49" i="3"/>
  <c r="O49" i="3"/>
  <c r="M49" i="3"/>
  <c r="Q53" i="3"/>
  <c r="P53" i="3"/>
  <c r="O53" i="3"/>
  <c r="M53" i="3"/>
  <c r="O57" i="3"/>
  <c r="N57" i="3"/>
  <c r="X57" i="3" s="1"/>
  <c r="Q57" i="3"/>
  <c r="P57" i="3"/>
  <c r="M57" i="3"/>
  <c r="O61" i="3"/>
  <c r="Q61" i="3"/>
  <c r="P61" i="3"/>
  <c r="M61" i="3"/>
  <c r="O65" i="3"/>
  <c r="N65" i="3"/>
  <c r="Z65" i="3" s="1"/>
  <c r="M65" i="3"/>
  <c r="Q65" i="3"/>
  <c r="P65" i="3"/>
  <c r="P69" i="3"/>
  <c r="O69" i="3"/>
  <c r="Q69" i="3"/>
  <c r="M69" i="3"/>
  <c r="P73" i="3"/>
  <c r="O73" i="3"/>
  <c r="N73" i="3"/>
  <c r="AB73" i="3" s="1"/>
  <c r="Q73" i="3"/>
  <c r="M73" i="3"/>
  <c r="P77" i="3"/>
  <c r="O77" i="3"/>
  <c r="Q77" i="3"/>
  <c r="M77" i="3"/>
  <c r="P81" i="3"/>
  <c r="O81" i="3"/>
  <c r="N81" i="3"/>
  <c r="Q81" i="3"/>
  <c r="M81" i="3"/>
  <c r="P85" i="3"/>
  <c r="O85" i="3"/>
  <c r="N85" i="3"/>
  <c r="AB85" i="3" s="1"/>
  <c r="M85" i="3"/>
  <c r="Q85" i="3"/>
  <c r="Q89" i="3"/>
  <c r="P89" i="3"/>
  <c r="O89" i="3"/>
  <c r="M89" i="3"/>
  <c r="Q93" i="3"/>
  <c r="P93" i="3"/>
  <c r="O93" i="3"/>
  <c r="N93" i="3"/>
  <c r="M93" i="3"/>
  <c r="Q97" i="3"/>
  <c r="P97" i="3"/>
  <c r="O97" i="3"/>
  <c r="N97" i="3"/>
  <c r="M97" i="3"/>
  <c r="Q101" i="3"/>
  <c r="P101" i="3"/>
  <c r="O101" i="3"/>
  <c r="N101" i="3"/>
  <c r="Z101" i="3" s="1"/>
  <c r="M101" i="3"/>
  <c r="N56" i="3"/>
  <c r="Q56" i="3"/>
  <c r="P56" i="3"/>
  <c r="O56" i="3"/>
  <c r="M56" i="3"/>
  <c r="N60" i="3"/>
  <c r="Q60" i="3"/>
  <c r="P60" i="3"/>
  <c r="O60" i="3"/>
  <c r="M60" i="3"/>
  <c r="N64" i="3"/>
  <c r="AB64" i="3" s="1"/>
  <c r="O64" i="3"/>
  <c r="Q64" i="3"/>
  <c r="P64" i="3"/>
  <c r="M64" i="3"/>
  <c r="N68" i="3"/>
  <c r="AB68" i="3" s="1"/>
  <c r="O68" i="3"/>
  <c r="Q68" i="3"/>
  <c r="P68" i="3"/>
  <c r="M68" i="3"/>
  <c r="N72" i="3"/>
  <c r="P72" i="3"/>
  <c r="O72" i="3"/>
  <c r="Q72" i="3"/>
  <c r="M72" i="3"/>
  <c r="N76" i="3"/>
  <c r="Z76" i="3" s="1"/>
  <c r="P76" i="3"/>
  <c r="O76" i="3"/>
  <c r="Q76" i="3"/>
  <c r="M76" i="3"/>
  <c r="N80" i="3"/>
  <c r="Z80" i="3" s="1"/>
  <c r="P80" i="3"/>
  <c r="O80" i="3"/>
  <c r="M80" i="3"/>
  <c r="Q80" i="3"/>
  <c r="N84" i="3"/>
  <c r="Q84" i="3"/>
  <c r="P84" i="3"/>
  <c r="O84" i="3"/>
  <c r="M84" i="3"/>
  <c r="N88" i="3"/>
  <c r="M88" i="3"/>
  <c r="Q88" i="3"/>
  <c r="P88" i="3"/>
  <c r="O88" i="3"/>
  <c r="N92" i="3"/>
  <c r="Z92" i="3" s="1"/>
  <c r="M92" i="3"/>
  <c r="Q92" i="3"/>
  <c r="P92" i="3"/>
  <c r="O92" i="3"/>
  <c r="N96" i="3"/>
  <c r="M96" i="3"/>
  <c r="Q96" i="3"/>
  <c r="P96" i="3"/>
  <c r="O96" i="3"/>
  <c r="N100" i="3"/>
  <c r="M100" i="3"/>
  <c r="Q100" i="3"/>
  <c r="P100" i="3"/>
  <c r="O100" i="3"/>
  <c r="O55" i="3"/>
  <c r="Q55" i="3"/>
  <c r="P55" i="3"/>
  <c r="M55" i="3"/>
  <c r="P59" i="3"/>
  <c r="O59" i="3"/>
  <c r="M59" i="3"/>
  <c r="Q59" i="3"/>
  <c r="P63" i="3"/>
  <c r="O63" i="3"/>
  <c r="Q63" i="3"/>
  <c r="M63" i="3"/>
  <c r="P67" i="3"/>
  <c r="O67" i="3"/>
  <c r="Q67" i="3"/>
  <c r="M67" i="3"/>
  <c r="P71" i="3"/>
  <c r="O71" i="3"/>
  <c r="Q71" i="3"/>
  <c r="M71" i="3"/>
  <c r="P75" i="3"/>
  <c r="O75" i="3"/>
  <c r="Q75" i="3"/>
  <c r="M75" i="3"/>
  <c r="P79" i="3"/>
  <c r="O79" i="3"/>
  <c r="Q79" i="3"/>
  <c r="M79" i="3"/>
  <c r="P83" i="3"/>
  <c r="O83" i="3"/>
  <c r="Q83" i="3"/>
  <c r="M83" i="3"/>
  <c r="Q87" i="3"/>
  <c r="P87" i="3"/>
  <c r="O87" i="3"/>
  <c r="M87" i="3"/>
  <c r="Q91" i="3"/>
  <c r="P91" i="3"/>
  <c r="O91" i="3"/>
  <c r="M91" i="3"/>
  <c r="Q95" i="3"/>
  <c r="P95" i="3"/>
  <c r="O95" i="3"/>
  <c r="M95" i="3"/>
  <c r="Q99" i="3"/>
  <c r="P99" i="3"/>
  <c r="O99" i="3"/>
  <c r="M99" i="3"/>
  <c r="T266" i="3" l="1"/>
  <c r="S196" i="3"/>
  <c r="T352" i="3"/>
  <c r="W352" i="3"/>
  <c r="V352" i="3"/>
  <c r="S266" i="3"/>
  <c r="W196" i="3"/>
  <c r="W286" i="3"/>
  <c r="T286" i="3"/>
  <c r="S263" i="3"/>
  <c r="V263" i="3"/>
  <c r="V329" i="3"/>
  <c r="U145" i="3"/>
  <c r="V157" i="3"/>
  <c r="U302" i="3"/>
  <c r="V206" i="3"/>
  <c r="W295" i="3"/>
  <c r="V295" i="3"/>
  <c r="W302" i="3"/>
  <c r="T263" i="3"/>
  <c r="V159" i="3"/>
  <c r="V189" i="3"/>
  <c r="S104" i="3"/>
  <c r="T189" i="3"/>
  <c r="T104" i="3"/>
  <c r="S143" i="3"/>
  <c r="S251" i="3"/>
  <c r="W207" i="3"/>
  <c r="T295" i="3"/>
  <c r="T207" i="3"/>
  <c r="U295" i="3"/>
  <c r="U157" i="3"/>
  <c r="S272" i="3"/>
  <c r="U182" i="3"/>
  <c r="V274" i="3"/>
  <c r="T274" i="3"/>
  <c r="U230" i="3"/>
  <c r="W146" i="3"/>
  <c r="W239" i="3"/>
  <c r="T107" i="3"/>
  <c r="T238" i="3"/>
  <c r="T117" i="3"/>
  <c r="V338" i="3"/>
  <c r="W266" i="3"/>
  <c r="S338" i="3"/>
  <c r="S135" i="3"/>
  <c r="T135" i="3"/>
  <c r="U117" i="3"/>
  <c r="W338" i="3"/>
  <c r="U153" i="3"/>
  <c r="U338" i="3"/>
  <c r="U135" i="3"/>
  <c r="V117" i="3"/>
  <c r="T230" i="3"/>
  <c r="T206" i="3"/>
  <c r="W241" i="3"/>
  <c r="W135" i="3"/>
  <c r="T306" i="3"/>
  <c r="W178" i="3"/>
  <c r="V202" i="3"/>
  <c r="S202" i="3"/>
  <c r="W145" i="3"/>
  <c r="V191" i="3"/>
  <c r="V166" i="3"/>
  <c r="W230" i="3"/>
  <c r="U315" i="3"/>
  <c r="V127" i="3"/>
  <c r="S169" i="3"/>
  <c r="U329" i="3"/>
  <c r="W127" i="3"/>
  <c r="S315" i="3"/>
  <c r="T169" i="3"/>
  <c r="T239" i="3"/>
  <c r="V238" i="3"/>
  <c r="T166" i="3"/>
  <c r="W166" i="3"/>
  <c r="U166" i="3"/>
  <c r="T315" i="3"/>
  <c r="W238" i="3"/>
  <c r="U169" i="3"/>
  <c r="V169" i="3"/>
  <c r="V267" i="3"/>
  <c r="V315" i="3"/>
  <c r="U234" i="3"/>
  <c r="V234" i="3"/>
  <c r="V350" i="3"/>
  <c r="T234" i="3"/>
  <c r="U119" i="3"/>
  <c r="U107" i="3"/>
  <c r="S335" i="3"/>
  <c r="T122" i="3"/>
  <c r="S234" i="3"/>
  <c r="V119" i="3"/>
  <c r="T150" i="3"/>
  <c r="S281" i="3"/>
  <c r="W281" i="3"/>
  <c r="V335" i="3"/>
  <c r="T146" i="3"/>
  <c r="S274" i="3"/>
  <c r="S158" i="3"/>
  <c r="S189" i="3"/>
  <c r="S162" i="3"/>
  <c r="S111" i="3"/>
  <c r="W104" i="3"/>
  <c r="U189" i="3"/>
  <c r="T159" i="3"/>
  <c r="T111" i="3"/>
  <c r="W263" i="3"/>
  <c r="V230" i="3"/>
  <c r="S122" i="3"/>
  <c r="W122" i="3"/>
  <c r="U112" i="3"/>
  <c r="W159" i="3"/>
  <c r="U229" i="3"/>
  <c r="V313" i="3"/>
  <c r="T331" i="3"/>
  <c r="T228" i="3"/>
  <c r="S159" i="3"/>
  <c r="V246" i="3"/>
  <c r="U228" i="3"/>
  <c r="U143" i="3"/>
  <c r="V143" i="3"/>
  <c r="T143" i="3"/>
  <c r="U266" i="3"/>
  <c r="V122" i="3"/>
  <c r="T350" i="3"/>
  <c r="S150" i="3"/>
  <c r="U211" i="3"/>
  <c r="S350" i="3"/>
  <c r="U350" i="3"/>
  <c r="S112" i="3"/>
  <c r="U205" i="3"/>
  <c r="T112" i="3"/>
  <c r="V112" i="3"/>
  <c r="S280" i="3"/>
  <c r="U162" i="3"/>
  <c r="S210" i="3"/>
  <c r="W211" i="3"/>
  <c r="W162" i="3"/>
  <c r="W210" i="3"/>
  <c r="S219" i="3"/>
  <c r="T162" i="3"/>
  <c r="S348" i="3"/>
  <c r="T194" i="3"/>
  <c r="V158" i="3"/>
  <c r="W158" i="3"/>
  <c r="V205" i="3"/>
  <c r="T322" i="3"/>
  <c r="U272" i="3"/>
  <c r="T205" i="3"/>
  <c r="S114" i="3"/>
  <c r="T289" i="3"/>
  <c r="S313" i="3"/>
  <c r="W348" i="3"/>
  <c r="T348" i="3"/>
  <c r="W339" i="3"/>
  <c r="T103" i="3"/>
  <c r="S339" i="3"/>
  <c r="W103" i="3"/>
  <c r="T290" i="3"/>
  <c r="W290" i="3"/>
  <c r="T165" i="3"/>
  <c r="S238" i="3"/>
  <c r="S146" i="3"/>
  <c r="V348" i="3"/>
  <c r="S165" i="3"/>
  <c r="U194" i="3"/>
  <c r="S211" i="3"/>
  <c r="S336" i="3"/>
  <c r="W194" i="3"/>
  <c r="T211" i="3"/>
  <c r="W336" i="3"/>
  <c r="S194" i="3"/>
  <c r="S267" i="3"/>
  <c r="W205" i="3"/>
  <c r="T114" i="3"/>
  <c r="V322" i="3"/>
  <c r="W274" i="3"/>
  <c r="T272" i="3"/>
  <c r="T296" i="3"/>
  <c r="W272" i="3"/>
  <c r="T339" i="3"/>
  <c r="U103" i="3"/>
  <c r="V114" i="3"/>
  <c r="V339" i="3"/>
  <c r="V103" i="3"/>
  <c r="W114" i="3"/>
  <c r="T336" i="3"/>
  <c r="U336" i="3"/>
  <c r="T335" i="3"/>
  <c r="U335" i="3"/>
  <c r="U251" i="3"/>
  <c r="T251" i="3"/>
  <c r="V251" i="3"/>
  <c r="V273" i="3"/>
  <c r="W273" i="3"/>
  <c r="T250" i="3"/>
  <c r="U250" i="3"/>
  <c r="V250" i="3"/>
  <c r="S250" i="3"/>
  <c r="U127" i="3"/>
  <c r="S352" i="3"/>
  <c r="V165" i="3"/>
  <c r="S127" i="3"/>
  <c r="V222" i="3"/>
  <c r="S222" i="3"/>
  <c r="T222" i="3"/>
  <c r="U222" i="3"/>
  <c r="T130" i="3"/>
  <c r="U291" i="3"/>
  <c r="T186" i="3"/>
  <c r="W186" i="3"/>
  <c r="V186" i="3"/>
  <c r="S186" i="3"/>
  <c r="S130" i="3"/>
  <c r="W198" i="3"/>
  <c r="V235" i="3"/>
  <c r="T235" i="3"/>
  <c r="S235" i="3"/>
  <c r="T291" i="3"/>
  <c r="W130" i="3"/>
  <c r="V198" i="3"/>
  <c r="T273" i="3"/>
  <c r="U165" i="3"/>
  <c r="S236" i="3"/>
  <c r="V104" i="3"/>
  <c r="U299" i="3"/>
  <c r="T276" i="3"/>
  <c r="T196" i="3"/>
  <c r="S276" i="3"/>
  <c r="U241" i="3"/>
  <c r="V219" i="3"/>
  <c r="T241" i="3"/>
  <c r="W228" i="3"/>
  <c r="U219" i="3"/>
  <c r="S241" i="3"/>
  <c r="W219" i="3"/>
  <c r="V228" i="3"/>
  <c r="U196" i="3"/>
  <c r="W246" i="3"/>
  <c r="T246" i="3"/>
  <c r="U246" i="3"/>
  <c r="T236" i="3"/>
  <c r="V137" i="3"/>
  <c r="W153" i="3"/>
  <c r="S181" i="3"/>
  <c r="S147" i="3"/>
  <c r="S153" i="3"/>
  <c r="V134" i="3"/>
  <c r="S134" i="3"/>
  <c r="T153" i="3"/>
  <c r="U134" i="3"/>
  <c r="T134" i="3"/>
  <c r="V130" i="3"/>
  <c r="T337" i="3"/>
  <c r="U337" i="3"/>
  <c r="U235" i="3"/>
  <c r="T147" i="3"/>
  <c r="U147" i="3"/>
  <c r="V147" i="3"/>
  <c r="U140" i="3"/>
  <c r="T324" i="3"/>
  <c r="T172" i="3"/>
  <c r="S137" i="3"/>
  <c r="T137" i="3"/>
  <c r="W324" i="3"/>
  <c r="U137" i="3"/>
  <c r="U172" i="3"/>
  <c r="V172" i="3"/>
  <c r="S172" i="3"/>
  <c r="S229" i="3"/>
  <c r="W229" i="3"/>
  <c r="V229" i="3"/>
  <c r="S337" i="3"/>
  <c r="U273" i="3"/>
  <c r="V314" i="3"/>
  <c r="V146" i="3"/>
  <c r="W314" i="3"/>
  <c r="W276" i="3"/>
  <c r="S314" i="3"/>
  <c r="U314" i="3"/>
  <c r="V276" i="3"/>
  <c r="V283" i="3"/>
  <c r="V337" i="3"/>
  <c r="S322" i="3"/>
  <c r="T210" i="3"/>
  <c r="U210" i="3"/>
  <c r="W117" i="3"/>
  <c r="W322" i="3"/>
  <c r="Z61" i="3"/>
  <c r="AA61" i="3" s="1"/>
  <c r="AB44" i="3"/>
  <c r="V299" i="3"/>
  <c r="T299" i="3"/>
  <c r="W299" i="3"/>
  <c r="U289" i="3"/>
  <c r="S289" i="3"/>
  <c r="W150" i="3"/>
  <c r="V150" i="3"/>
  <c r="U286" i="3"/>
  <c r="S286" i="3"/>
  <c r="T178" i="3"/>
  <c r="U178" i="3"/>
  <c r="S178" i="3"/>
  <c r="T140" i="3"/>
  <c r="V140" i="3"/>
  <c r="S140" i="3"/>
  <c r="U206" i="3"/>
  <c r="S206" i="3"/>
  <c r="U202" i="3"/>
  <c r="T202" i="3"/>
  <c r="W329" i="3"/>
  <c r="T329" i="3"/>
  <c r="S145" i="3"/>
  <c r="T145" i="3"/>
  <c r="U236" i="3"/>
  <c r="W236" i="3"/>
  <c r="U198" i="3"/>
  <c r="S198" i="3"/>
  <c r="W283" i="3"/>
  <c r="U283" i="3"/>
  <c r="S283" i="3"/>
  <c r="U290" i="3"/>
  <c r="V290" i="3"/>
  <c r="W107" i="3"/>
  <c r="V107" i="3"/>
  <c r="Y69" i="3"/>
  <c r="W267" i="3"/>
  <c r="U267" i="3"/>
  <c r="V289" i="3"/>
  <c r="AB31" i="3"/>
  <c r="Y31" i="3"/>
  <c r="AB63" i="3"/>
  <c r="W307" i="3"/>
  <c r="V307" i="3"/>
  <c r="U307" i="3"/>
  <c r="T307" i="3"/>
  <c r="S307" i="3"/>
  <c r="AA65" i="3"/>
  <c r="W157" i="3"/>
  <c r="T157" i="3"/>
  <c r="V306" i="3"/>
  <c r="U306" i="3"/>
  <c r="S306" i="3"/>
  <c r="S126" i="3"/>
  <c r="W126" i="3"/>
  <c r="V126" i="3"/>
  <c r="U126" i="3"/>
  <c r="T126" i="3"/>
  <c r="S149" i="3"/>
  <c r="W149" i="3"/>
  <c r="V149" i="3"/>
  <c r="U149" i="3"/>
  <c r="T149" i="3"/>
  <c r="U296" i="3"/>
  <c r="W296" i="3"/>
  <c r="V296" i="3"/>
  <c r="V281" i="3"/>
  <c r="T281" i="3"/>
  <c r="W280" i="3"/>
  <c r="V280" i="3"/>
  <c r="U280" i="3"/>
  <c r="V275" i="3"/>
  <c r="W275" i="3"/>
  <c r="U275" i="3"/>
  <c r="T275" i="3"/>
  <c r="S275" i="3"/>
  <c r="V331" i="3"/>
  <c r="U331" i="3"/>
  <c r="S331" i="3"/>
  <c r="W243" i="3"/>
  <c r="V243" i="3"/>
  <c r="U243" i="3"/>
  <c r="T243" i="3"/>
  <c r="S243" i="3"/>
  <c r="Z53" i="3"/>
  <c r="AA53" i="3" s="1"/>
  <c r="W328" i="3"/>
  <c r="V328" i="3"/>
  <c r="U328" i="3"/>
  <c r="T328" i="3"/>
  <c r="S328" i="3"/>
  <c r="T323" i="3"/>
  <c r="W323" i="3"/>
  <c r="V323" i="3"/>
  <c r="S323" i="3"/>
  <c r="S310" i="3"/>
  <c r="W310" i="3"/>
  <c r="V310" i="3"/>
  <c r="U310" i="3"/>
  <c r="T310" i="3"/>
  <c r="U239" i="3"/>
  <c r="S239" i="3"/>
  <c r="Y63" i="3"/>
  <c r="S232" i="3"/>
  <c r="W232" i="3"/>
  <c r="U232" i="3"/>
  <c r="T232" i="3"/>
  <c r="Z87" i="3"/>
  <c r="AA87" i="3" s="1"/>
  <c r="R87" i="3" s="1"/>
  <c r="V231" i="3"/>
  <c r="W231" i="3"/>
  <c r="U231" i="3"/>
  <c r="T231" i="3"/>
  <c r="S231" i="3"/>
  <c r="T302" i="3"/>
  <c r="S302" i="3"/>
  <c r="U313" i="3"/>
  <c r="T313" i="3"/>
  <c r="V207" i="3"/>
  <c r="U207" i="3"/>
  <c r="T191" i="3"/>
  <c r="U191" i="3"/>
  <c r="S191" i="3"/>
  <c r="X11" i="3"/>
  <c r="W111" i="3"/>
  <c r="V111" i="3"/>
  <c r="U324" i="3"/>
  <c r="S324" i="3"/>
  <c r="V291" i="3"/>
  <c r="S291" i="3"/>
  <c r="W181" i="3"/>
  <c r="V181" i="3"/>
  <c r="U181" i="3"/>
  <c r="T119" i="3"/>
  <c r="S119" i="3"/>
  <c r="W187" i="3"/>
  <c r="V187" i="3"/>
  <c r="U187" i="3"/>
  <c r="T187" i="3"/>
  <c r="S187" i="3"/>
  <c r="W182" i="3"/>
  <c r="V182" i="3"/>
  <c r="S182" i="3"/>
  <c r="S141" i="3"/>
  <c r="W141" i="3"/>
  <c r="V141" i="3"/>
  <c r="U141" i="3"/>
  <c r="T141" i="3"/>
  <c r="X33" i="3"/>
  <c r="AB33" i="3"/>
  <c r="AA33" i="3"/>
  <c r="Y53" i="3"/>
  <c r="AB53" i="3"/>
  <c r="AA99" i="3"/>
  <c r="AB62" i="3"/>
  <c r="Y73" i="3"/>
  <c r="X39" i="3"/>
  <c r="Y10" i="3"/>
  <c r="X15" i="3"/>
  <c r="Z37" i="3"/>
  <c r="AA37" i="3" s="1"/>
  <c r="R37" i="3" s="1"/>
  <c r="X14" i="3"/>
  <c r="Z25" i="3"/>
  <c r="AA25" i="3" s="1"/>
  <c r="AB25" i="3"/>
  <c r="Z24" i="3"/>
  <c r="AA24" i="3" s="1"/>
  <c r="AA92" i="3"/>
  <c r="Y37" i="3"/>
  <c r="Y57" i="3"/>
  <c r="Z3" i="3"/>
  <c r="AA3" i="3" s="1"/>
  <c r="R3" i="3" s="1"/>
  <c r="Z43" i="3"/>
  <c r="AA43" i="3" s="1"/>
  <c r="R43" i="3" s="1"/>
  <c r="V43" i="3" s="1"/>
  <c r="Y50" i="3"/>
  <c r="X70" i="3"/>
  <c r="Y101" i="3"/>
  <c r="X63" i="3"/>
  <c r="AB39" i="3"/>
  <c r="Z79" i="3"/>
  <c r="AA79" i="3" s="1"/>
  <c r="Z30" i="3"/>
  <c r="AA30" i="3" s="1"/>
  <c r="AB72" i="3"/>
  <c r="Y72" i="3"/>
  <c r="Y3" i="3"/>
  <c r="X3" i="3"/>
  <c r="Z45" i="3"/>
  <c r="AA45" i="3" s="1"/>
  <c r="AB61" i="3"/>
  <c r="Y61" i="3"/>
  <c r="X56" i="3"/>
  <c r="X74" i="3"/>
  <c r="Z26" i="3"/>
  <c r="AA26" i="3" s="1"/>
  <c r="X26" i="3"/>
  <c r="AB15" i="3"/>
  <c r="Z15" i="3"/>
  <c r="AA15" i="3" s="1"/>
  <c r="Z100" i="3"/>
  <c r="AA100" i="3" s="1"/>
  <c r="X59" i="3"/>
  <c r="X94" i="3"/>
  <c r="Z94" i="3"/>
  <c r="AA94" i="3" s="1"/>
  <c r="R94" i="3" s="1"/>
  <c r="V94" i="3" s="1"/>
  <c r="Y94" i="3"/>
  <c r="X40" i="3"/>
  <c r="X67" i="3"/>
  <c r="Z67" i="3"/>
  <c r="AA67" i="3" s="1"/>
  <c r="Y67" i="3"/>
  <c r="AB79" i="3"/>
  <c r="AB67" i="3"/>
  <c r="Y35" i="3"/>
  <c r="X35" i="3"/>
  <c r="Y40" i="3"/>
  <c r="Y52" i="3"/>
  <c r="X87" i="3"/>
  <c r="Y75" i="3"/>
  <c r="Y33" i="3"/>
  <c r="Y24" i="3"/>
  <c r="AB24" i="3"/>
  <c r="AB65" i="3"/>
  <c r="Z93" i="3"/>
  <c r="AA93" i="3" s="1"/>
  <c r="Y93" i="3"/>
  <c r="X93" i="3"/>
  <c r="AB82" i="3"/>
  <c r="X82" i="3"/>
  <c r="Z82" i="3"/>
  <c r="AA82" i="3" s="1"/>
  <c r="Y82" i="3"/>
  <c r="AB95" i="3"/>
  <c r="AB88" i="3"/>
  <c r="X88" i="3"/>
  <c r="Z88" i="3"/>
  <c r="AA88" i="3" s="1"/>
  <c r="AB98" i="3"/>
  <c r="Y98" i="3"/>
  <c r="X98" i="3"/>
  <c r="AB41" i="3"/>
  <c r="Z41" i="3"/>
  <c r="AA41" i="3" s="1"/>
  <c r="AB36" i="3"/>
  <c r="X36" i="3"/>
  <c r="Z97" i="3"/>
  <c r="AA97" i="3" s="1"/>
  <c r="Y60" i="3"/>
  <c r="Z60" i="3"/>
  <c r="AA60" i="3" s="1"/>
  <c r="AB60" i="3"/>
  <c r="X60" i="3"/>
  <c r="X48" i="3"/>
  <c r="Z48" i="3"/>
  <c r="AA48" i="3" s="1"/>
  <c r="AB48" i="3"/>
  <c r="Y48" i="3"/>
  <c r="AB19" i="3"/>
  <c r="X19" i="3"/>
  <c r="AB84" i="3"/>
  <c r="X84" i="3"/>
  <c r="Y84" i="3"/>
  <c r="Z46" i="3"/>
  <c r="AA46" i="3" s="1"/>
  <c r="AB46" i="3"/>
  <c r="Y46" i="3"/>
  <c r="AB17" i="3"/>
  <c r="Z17" i="3"/>
  <c r="AA17" i="3" s="1"/>
  <c r="AB22" i="3"/>
  <c r="Z22" i="3"/>
  <c r="AA22" i="3" s="1"/>
  <c r="AB92" i="3"/>
  <c r="X92" i="3"/>
  <c r="AB90" i="3"/>
  <c r="Z90" i="3"/>
  <c r="AA90" i="3" s="1"/>
  <c r="Z54" i="3"/>
  <c r="AA54" i="3" s="1"/>
  <c r="R54" i="3" s="1"/>
  <c r="S54" i="3" s="1"/>
  <c r="Z75" i="3"/>
  <c r="AA75" i="3" s="1"/>
  <c r="AB75" i="3"/>
  <c r="AB100" i="3"/>
  <c r="Y100" i="3"/>
  <c r="Y80" i="3"/>
  <c r="X80" i="3"/>
  <c r="Z70" i="3"/>
  <c r="AA70" i="3" s="1"/>
  <c r="R70" i="3" s="1"/>
  <c r="T70" i="3" s="1"/>
  <c r="Y22" i="3"/>
  <c r="AB21" i="3"/>
  <c r="Z21" i="3"/>
  <c r="AA21" i="3" s="1"/>
  <c r="Y21" i="3"/>
  <c r="Z51" i="3"/>
  <c r="AA51" i="3" s="1"/>
  <c r="Y51" i="3"/>
  <c r="AB50" i="3"/>
  <c r="AB27" i="3"/>
  <c r="X27" i="3"/>
  <c r="X49" i="3"/>
  <c r="AB38" i="3"/>
  <c r="Z38" i="3"/>
  <c r="AA38" i="3" s="1"/>
  <c r="X38" i="3"/>
  <c r="Z91" i="3"/>
  <c r="AA91" i="3" s="1"/>
  <c r="R91" i="3" s="1"/>
  <c r="Y78" i="3"/>
  <c r="Y70" i="3"/>
  <c r="Y71" i="3"/>
  <c r="AB71" i="3"/>
  <c r="AA71" i="3"/>
  <c r="Z96" i="3"/>
  <c r="AA96" i="3" s="1"/>
  <c r="AB96" i="3"/>
  <c r="Y92" i="3"/>
  <c r="AA86" i="3"/>
  <c r="X42" i="3"/>
  <c r="AB20" i="3"/>
  <c r="T288" i="3"/>
  <c r="S288" i="3"/>
  <c r="U288" i="3"/>
  <c r="W288" i="3"/>
  <c r="V288" i="3"/>
  <c r="W293" i="3"/>
  <c r="V293" i="3"/>
  <c r="U293" i="3"/>
  <c r="T293" i="3"/>
  <c r="S293" i="3"/>
  <c r="X99" i="3"/>
  <c r="Y99" i="3"/>
  <c r="AB99" i="3"/>
  <c r="AB101" i="3"/>
  <c r="AA101" i="3"/>
  <c r="X46" i="3"/>
  <c r="AB9" i="3"/>
  <c r="Y66" i="3"/>
  <c r="Z66" i="3"/>
  <c r="AA66" i="3" s="1"/>
  <c r="X71" i="3"/>
  <c r="Z84" i="3"/>
  <c r="AA84" i="3" s="1"/>
  <c r="X34" i="3"/>
  <c r="AB35" i="3"/>
  <c r="Z35" i="3"/>
  <c r="AA35" i="3" s="1"/>
  <c r="AB12" i="3"/>
  <c r="Z12" i="3"/>
  <c r="AA12" i="3" s="1"/>
  <c r="Y12" i="3"/>
  <c r="Z4" i="3"/>
  <c r="AA4" i="3" s="1"/>
  <c r="X4" i="3"/>
  <c r="AB4" i="3"/>
  <c r="X17" i="3"/>
  <c r="Z52" i="3"/>
  <c r="AA52" i="3" s="1"/>
  <c r="R52" i="3" s="1"/>
  <c r="X52" i="3"/>
  <c r="Z14" i="3"/>
  <c r="AA14" i="3" s="1"/>
  <c r="R14" i="3" s="1"/>
  <c r="Y14" i="3"/>
  <c r="T173" i="3"/>
  <c r="S173" i="3"/>
  <c r="W173" i="3"/>
  <c r="V173" i="3"/>
  <c r="U173" i="3"/>
  <c r="Z59" i="3"/>
  <c r="AA59" i="3" s="1"/>
  <c r="X73" i="3"/>
  <c r="Z73" i="3"/>
  <c r="AA73" i="3" s="1"/>
  <c r="R73" i="3" s="1"/>
  <c r="W73" i="3" s="1"/>
  <c r="AB57" i="3"/>
  <c r="Z57" i="3"/>
  <c r="AA57" i="3" s="1"/>
  <c r="V237" i="3"/>
  <c r="S237" i="3"/>
  <c r="W237" i="3"/>
  <c r="U237" i="3"/>
  <c r="T237" i="3"/>
  <c r="U164" i="3"/>
  <c r="T164" i="3"/>
  <c r="S164" i="3"/>
  <c r="W164" i="3"/>
  <c r="V164" i="3"/>
  <c r="U154" i="3"/>
  <c r="W154" i="3"/>
  <c r="S154" i="3"/>
  <c r="V154" i="3"/>
  <c r="T154" i="3"/>
  <c r="W240" i="3"/>
  <c r="U240" i="3"/>
  <c r="T240" i="3"/>
  <c r="S240" i="3"/>
  <c r="V240" i="3"/>
  <c r="S256" i="3"/>
  <c r="U256" i="3"/>
  <c r="T256" i="3"/>
  <c r="V256" i="3"/>
  <c r="W256" i="3"/>
  <c r="U340" i="3"/>
  <c r="T340" i="3"/>
  <c r="W340" i="3"/>
  <c r="V340" i="3"/>
  <c r="S340" i="3"/>
  <c r="W110" i="3"/>
  <c r="U110" i="3"/>
  <c r="S110" i="3"/>
  <c r="V110" i="3"/>
  <c r="T110" i="3"/>
  <c r="S142" i="3"/>
  <c r="W142" i="3"/>
  <c r="V142" i="3"/>
  <c r="U142" i="3"/>
  <c r="T142" i="3"/>
  <c r="X28" i="3"/>
  <c r="Y28" i="3"/>
  <c r="V163" i="3"/>
  <c r="U163" i="3"/>
  <c r="T163" i="3"/>
  <c r="S163" i="3"/>
  <c r="W163" i="3"/>
  <c r="V218" i="3"/>
  <c r="U218" i="3"/>
  <c r="W218" i="3"/>
  <c r="T218" i="3"/>
  <c r="S218" i="3"/>
  <c r="Y62" i="3"/>
  <c r="Z62" i="3"/>
  <c r="AA62" i="3" s="1"/>
  <c r="Y26" i="3"/>
  <c r="AB26" i="3"/>
  <c r="Z10" i="3"/>
  <c r="AA10" i="3" s="1"/>
  <c r="R10" i="3" s="1"/>
  <c r="V10" i="3" s="1"/>
  <c r="X10" i="3"/>
  <c r="T258" i="3"/>
  <c r="W258" i="3"/>
  <c r="U258" i="3"/>
  <c r="V258" i="3"/>
  <c r="S258" i="3"/>
  <c r="V262" i="3"/>
  <c r="W262" i="3"/>
  <c r="T262" i="3"/>
  <c r="S262" i="3"/>
  <c r="U262" i="3"/>
  <c r="W305" i="3"/>
  <c r="S305" i="3"/>
  <c r="V305" i="3"/>
  <c r="U305" i="3"/>
  <c r="T305" i="3"/>
  <c r="W268" i="3"/>
  <c r="U268" i="3"/>
  <c r="T268" i="3"/>
  <c r="S268" i="3"/>
  <c r="V268" i="3"/>
  <c r="T175" i="3"/>
  <c r="W175" i="3"/>
  <c r="V175" i="3"/>
  <c r="U175" i="3"/>
  <c r="S175" i="3"/>
  <c r="X89" i="3"/>
  <c r="V319" i="3"/>
  <c r="U319" i="3"/>
  <c r="S319" i="3"/>
  <c r="T319" i="3"/>
  <c r="W319" i="3"/>
  <c r="U244" i="3"/>
  <c r="S244" i="3"/>
  <c r="V244" i="3"/>
  <c r="W244" i="3"/>
  <c r="T244" i="3"/>
  <c r="W345" i="3"/>
  <c r="V345" i="3"/>
  <c r="S345" i="3"/>
  <c r="T345" i="3"/>
  <c r="U345" i="3"/>
  <c r="V248" i="3"/>
  <c r="T248" i="3"/>
  <c r="S248" i="3"/>
  <c r="W248" i="3"/>
  <c r="U248" i="3"/>
  <c r="U136" i="3"/>
  <c r="W136" i="3"/>
  <c r="V136" i="3"/>
  <c r="S136" i="3"/>
  <c r="T136" i="3"/>
  <c r="T308" i="3"/>
  <c r="U308" i="3"/>
  <c r="V308" i="3"/>
  <c r="S308" i="3"/>
  <c r="W308" i="3"/>
  <c r="T301" i="3"/>
  <c r="S301" i="3"/>
  <c r="U301" i="3"/>
  <c r="V301" i="3"/>
  <c r="W301" i="3"/>
  <c r="V226" i="3"/>
  <c r="W226" i="3"/>
  <c r="S226" i="3"/>
  <c r="U226" i="3"/>
  <c r="T226" i="3"/>
  <c r="W333" i="3"/>
  <c r="V333" i="3"/>
  <c r="U333" i="3"/>
  <c r="T333" i="3"/>
  <c r="S333" i="3"/>
  <c r="V128" i="3"/>
  <c r="U128" i="3"/>
  <c r="T128" i="3"/>
  <c r="W128" i="3"/>
  <c r="S128" i="3"/>
  <c r="S152" i="3"/>
  <c r="V152" i="3"/>
  <c r="U152" i="3"/>
  <c r="W152" i="3"/>
  <c r="T152" i="3"/>
  <c r="V287" i="3"/>
  <c r="U287" i="3"/>
  <c r="T287" i="3"/>
  <c r="W287" i="3"/>
  <c r="S287" i="3"/>
  <c r="U292" i="3"/>
  <c r="W292" i="3"/>
  <c r="V292" i="3"/>
  <c r="T292" i="3"/>
  <c r="S292" i="3"/>
  <c r="U132" i="3"/>
  <c r="W132" i="3"/>
  <c r="V132" i="3"/>
  <c r="T132" i="3"/>
  <c r="S132" i="3"/>
  <c r="W253" i="3"/>
  <c r="U253" i="3"/>
  <c r="V253" i="3"/>
  <c r="T253" i="3"/>
  <c r="S253" i="3"/>
  <c r="W156" i="3"/>
  <c r="U156" i="3"/>
  <c r="T156" i="3"/>
  <c r="V156" i="3"/>
  <c r="S156" i="3"/>
  <c r="S227" i="3"/>
  <c r="T227" i="3"/>
  <c r="W227" i="3"/>
  <c r="V227" i="3"/>
  <c r="U227" i="3"/>
  <c r="W209" i="3"/>
  <c r="T209" i="3"/>
  <c r="U209" i="3"/>
  <c r="S209" i="3"/>
  <c r="V209" i="3"/>
  <c r="W192" i="3"/>
  <c r="V192" i="3"/>
  <c r="U192" i="3"/>
  <c r="T192" i="3"/>
  <c r="S192" i="3"/>
  <c r="W120" i="3"/>
  <c r="V120" i="3"/>
  <c r="T120" i="3"/>
  <c r="U120" i="3"/>
  <c r="S120" i="3"/>
  <c r="T184" i="3"/>
  <c r="S184" i="3"/>
  <c r="V184" i="3"/>
  <c r="W184" i="3"/>
  <c r="U184" i="3"/>
  <c r="T213" i="3"/>
  <c r="S213" i="3"/>
  <c r="W213" i="3"/>
  <c r="V213" i="3"/>
  <c r="U213" i="3"/>
  <c r="V321" i="3"/>
  <c r="U321" i="3"/>
  <c r="S321" i="3"/>
  <c r="W321" i="3"/>
  <c r="T321" i="3"/>
  <c r="T242" i="3"/>
  <c r="W242" i="3"/>
  <c r="U242" i="3"/>
  <c r="S242" i="3"/>
  <c r="V242" i="3"/>
  <c r="W223" i="3"/>
  <c r="S223" i="3"/>
  <c r="U223" i="3"/>
  <c r="T223" i="3"/>
  <c r="V223" i="3"/>
  <c r="W160" i="3"/>
  <c r="V160" i="3"/>
  <c r="U160" i="3"/>
  <c r="S160" i="3"/>
  <c r="T160" i="3"/>
  <c r="V170" i="3"/>
  <c r="W170" i="3"/>
  <c r="U170" i="3"/>
  <c r="T170" i="3"/>
  <c r="S170" i="3"/>
  <c r="Y79" i="3"/>
  <c r="U176" i="3"/>
  <c r="T176" i="3"/>
  <c r="W176" i="3"/>
  <c r="S176" i="3"/>
  <c r="V176" i="3"/>
  <c r="V279" i="3"/>
  <c r="T279" i="3"/>
  <c r="S279" i="3"/>
  <c r="U279" i="3"/>
  <c r="W279" i="3"/>
  <c r="T346" i="3"/>
  <c r="U346" i="3"/>
  <c r="V346" i="3"/>
  <c r="W346" i="3"/>
  <c r="S346" i="3"/>
  <c r="T185" i="3"/>
  <c r="S185" i="3"/>
  <c r="W185" i="3"/>
  <c r="V185" i="3"/>
  <c r="U185" i="3"/>
  <c r="S118" i="3"/>
  <c r="V118" i="3"/>
  <c r="U118" i="3"/>
  <c r="W118" i="3"/>
  <c r="T118" i="3"/>
  <c r="S131" i="3"/>
  <c r="V131" i="3"/>
  <c r="U131" i="3"/>
  <c r="W131" i="3"/>
  <c r="T131" i="3"/>
  <c r="T221" i="3"/>
  <c r="U221" i="3"/>
  <c r="W221" i="3"/>
  <c r="V221" i="3"/>
  <c r="S221" i="3"/>
  <c r="U212" i="3"/>
  <c r="V212" i="3"/>
  <c r="S212" i="3"/>
  <c r="W212" i="3"/>
  <c r="T212" i="3"/>
  <c r="T183" i="3"/>
  <c r="V183" i="3"/>
  <c r="U183" i="3"/>
  <c r="S183" i="3"/>
  <c r="W183" i="3"/>
  <c r="Y87" i="3"/>
  <c r="Y65" i="3"/>
  <c r="X65" i="3"/>
  <c r="Z39" i="3"/>
  <c r="AA39" i="3" s="1"/>
  <c r="T316" i="3"/>
  <c r="S316" i="3"/>
  <c r="U316" i="3"/>
  <c r="W316" i="3"/>
  <c r="V316" i="3"/>
  <c r="W215" i="3"/>
  <c r="U215" i="3"/>
  <c r="T215" i="3"/>
  <c r="S215" i="3"/>
  <c r="V215" i="3"/>
  <c r="W332" i="3"/>
  <c r="U332" i="3"/>
  <c r="V332" i="3"/>
  <c r="T332" i="3"/>
  <c r="S332" i="3"/>
  <c r="T144" i="3"/>
  <c r="V144" i="3"/>
  <c r="U144" i="3"/>
  <c r="S144" i="3"/>
  <c r="W144" i="3"/>
  <c r="S121" i="3"/>
  <c r="W121" i="3"/>
  <c r="U121" i="3"/>
  <c r="T121" i="3"/>
  <c r="V121" i="3"/>
  <c r="T257" i="3"/>
  <c r="V257" i="3"/>
  <c r="S257" i="3"/>
  <c r="W257" i="3"/>
  <c r="U257" i="3"/>
  <c r="W105" i="3"/>
  <c r="U105" i="3"/>
  <c r="S105" i="3"/>
  <c r="V105" i="3"/>
  <c r="T105" i="3"/>
  <c r="V247" i="3"/>
  <c r="W247" i="3"/>
  <c r="U247" i="3"/>
  <c r="T247" i="3"/>
  <c r="S247" i="3"/>
  <c r="V351" i="3"/>
  <c r="W351" i="3"/>
  <c r="S351" i="3"/>
  <c r="U351" i="3"/>
  <c r="T351" i="3"/>
  <c r="U233" i="3"/>
  <c r="W233" i="3"/>
  <c r="V233" i="3"/>
  <c r="S233" i="3"/>
  <c r="T233" i="3"/>
  <c r="W115" i="3"/>
  <c r="U115" i="3"/>
  <c r="T115" i="3"/>
  <c r="S115" i="3"/>
  <c r="V115" i="3"/>
  <c r="V300" i="3"/>
  <c r="T300" i="3"/>
  <c r="S300" i="3"/>
  <c r="W300" i="3"/>
  <c r="U300" i="3"/>
  <c r="V168" i="3"/>
  <c r="U168" i="3"/>
  <c r="T168" i="3"/>
  <c r="S168" i="3"/>
  <c r="W168" i="3"/>
  <c r="S113" i="3"/>
  <c r="V113" i="3"/>
  <c r="U113" i="3"/>
  <c r="W113" i="3"/>
  <c r="T113" i="3"/>
  <c r="W201" i="3"/>
  <c r="T201" i="3"/>
  <c r="V201" i="3"/>
  <c r="U201" i="3"/>
  <c r="S201" i="3"/>
  <c r="W155" i="3"/>
  <c r="S155" i="3"/>
  <c r="V155" i="3"/>
  <c r="U155" i="3"/>
  <c r="T155" i="3"/>
  <c r="V349" i="3"/>
  <c r="T349" i="3"/>
  <c r="W349" i="3"/>
  <c r="U349" i="3"/>
  <c r="S349" i="3"/>
  <c r="T334" i="3"/>
  <c r="U334" i="3"/>
  <c r="W334" i="3"/>
  <c r="V334" i="3"/>
  <c r="S334" i="3"/>
  <c r="S180" i="3"/>
  <c r="W180" i="3"/>
  <c r="U180" i="3"/>
  <c r="T180" i="3"/>
  <c r="V180" i="3"/>
  <c r="U297" i="3"/>
  <c r="V297" i="3"/>
  <c r="W297" i="3"/>
  <c r="S297" i="3"/>
  <c r="T297" i="3"/>
  <c r="V124" i="3"/>
  <c r="S124" i="3"/>
  <c r="U124" i="3"/>
  <c r="T124" i="3"/>
  <c r="W124" i="3"/>
  <c r="U106" i="3"/>
  <c r="T106" i="3"/>
  <c r="S106" i="3"/>
  <c r="W106" i="3"/>
  <c r="V106" i="3"/>
  <c r="S125" i="3"/>
  <c r="U125" i="3"/>
  <c r="T125" i="3"/>
  <c r="W125" i="3"/>
  <c r="V125" i="3"/>
  <c r="U171" i="3"/>
  <c r="W171" i="3"/>
  <c r="T171" i="3"/>
  <c r="S171" i="3"/>
  <c r="V171" i="3"/>
  <c r="T197" i="3"/>
  <c r="W197" i="3"/>
  <c r="V197" i="3"/>
  <c r="S197" i="3"/>
  <c r="U197" i="3"/>
  <c r="T285" i="3"/>
  <c r="S285" i="3"/>
  <c r="U285" i="3"/>
  <c r="W285" i="3"/>
  <c r="V285" i="3"/>
  <c r="W325" i="3"/>
  <c r="T325" i="3"/>
  <c r="U325" i="3"/>
  <c r="S325" i="3"/>
  <c r="V325" i="3"/>
  <c r="U148" i="3"/>
  <c r="T148" i="3"/>
  <c r="S148" i="3"/>
  <c r="W148" i="3"/>
  <c r="V148" i="3"/>
  <c r="V139" i="3"/>
  <c r="U139" i="3"/>
  <c r="T139" i="3"/>
  <c r="S139" i="3"/>
  <c r="W139" i="3"/>
  <c r="W151" i="3"/>
  <c r="V151" i="3"/>
  <c r="U151" i="3"/>
  <c r="S151" i="3"/>
  <c r="T151" i="3"/>
  <c r="S129" i="3"/>
  <c r="W129" i="3"/>
  <c r="V129" i="3"/>
  <c r="U129" i="3"/>
  <c r="T129" i="3"/>
  <c r="T245" i="3"/>
  <c r="S245" i="3"/>
  <c r="V245" i="3"/>
  <c r="W245" i="3"/>
  <c r="U245" i="3"/>
  <c r="V343" i="3"/>
  <c r="W343" i="3"/>
  <c r="T343" i="3"/>
  <c r="U343" i="3"/>
  <c r="S343" i="3"/>
  <c r="S260" i="3"/>
  <c r="U260" i="3"/>
  <c r="T260" i="3"/>
  <c r="W260" i="3"/>
  <c r="V260" i="3"/>
  <c r="V217" i="3"/>
  <c r="T217" i="3"/>
  <c r="W217" i="3"/>
  <c r="U217" i="3"/>
  <c r="S217" i="3"/>
  <c r="S224" i="3"/>
  <c r="W224" i="3"/>
  <c r="V224" i="3"/>
  <c r="U224" i="3"/>
  <c r="T224" i="3"/>
  <c r="W309" i="3"/>
  <c r="V309" i="3"/>
  <c r="T309" i="3"/>
  <c r="U309" i="3"/>
  <c r="S309" i="3"/>
  <c r="U249" i="3"/>
  <c r="T249" i="3"/>
  <c r="W249" i="3"/>
  <c r="V249" i="3"/>
  <c r="S249" i="3"/>
  <c r="U208" i="3"/>
  <c r="W208" i="3"/>
  <c r="V208" i="3"/>
  <c r="T208" i="3"/>
  <c r="S208" i="3"/>
  <c r="T330" i="3"/>
  <c r="U330" i="3"/>
  <c r="W330" i="3"/>
  <c r="V330" i="3"/>
  <c r="S330" i="3"/>
  <c r="T312" i="3"/>
  <c r="V312" i="3"/>
  <c r="U312" i="3"/>
  <c r="S312" i="3"/>
  <c r="W312" i="3"/>
  <c r="S177" i="3"/>
  <c r="W177" i="3"/>
  <c r="V177" i="3"/>
  <c r="U177" i="3"/>
  <c r="T177" i="3"/>
  <c r="V108" i="3"/>
  <c r="U108" i="3"/>
  <c r="T108" i="3"/>
  <c r="S108" i="3"/>
  <c r="W108" i="3"/>
  <c r="S116" i="3"/>
  <c r="W116" i="3"/>
  <c r="V116" i="3"/>
  <c r="T116" i="3"/>
  <c r="U116" i="3"/>
  <c r="W123" i="3"/>
  <c r="V123" i="3"/>
  <c r="U123" i="3"/>
  <c r="T123" i="3"/>
  <c r="S123" i="3"/>
  <c r="V303" i="3"/>
  <c r="S303" i="3"/>
  <c r="U303" i="3"/>
  <c r="T303" i="3"/>
  <c r="W303" i="3"/>
  <c r="V327" i="3"/>
  <c r="T327" i="3"/>
  <c r="S327" i="3"/>
  <c r="U327" i="3"/>
  <c r="W327" i="3"/>
  <c r="U341" i="3"/>
  <c r="W341" i="3"/>
  <c r="V341" i="3"/>
  <c r="S341" i="3"/>
  <c r="T341" i="3"/>
  <c r="W254" i="3"/>
  <c r="V254" i="3"/>
  <c r="U254" i="3"/>
  <c r="S254" i="3"/>
  <c r="T254" i="3"/>
  <c r="U294" i="3"/>
  <c r="S294" i="3"/>
  <c r="W294" i="3"/>
  <c r="T294" i="3"/>
  <c r="V294" i="3"/>
  <c r="W199" i="3"/>
  <c r="S199" i="3"/>
  <c r="V199" i="3"/>
  <c r="U199" i="3"/>
  <c r="T199" i="3"/>
  <c r="W200" i="3"/>
  <c r="U200" i="3"/>
  <c r="T200" i="3"/>
  <c r="V200" i="3"/>
  <c r="S200" i="3"/>
  <c r="W277" i="3"/>
  <c r="V277" i="3"/>
  <c r="U277" i="3"/>
  <c r="T277" i="3"/>
  <c r="S277" i="3"/>
  <c r="S161" i="3"/>
  <c r="W161" i="3"/>
  <c r="V161" i="3"/>
  <c r="U161" i="3"/>
  <c r="T161" i="3"/>
  <c r="V179" i="3"/>
  <c r="U179" i="3"/>
  <c r="T179" i="3"/>
  <c r="S179" i="3"/>
  <c r="W179" i="3"/>
  <c r="V264" i="3"/>
  <c r="U264" i="3"/>
  <c r="W264" i="3"/>
  <c r="T264" i="3"/>
  <c r="S264" i="3"/>
  <c r="T216" i="3"/>
  <c r="W216" i="3"/>
  <c r="V216" i="3"/>
  <c r="U216" i="3"/>
  <c r="S216" i="3"/>
  <c r="S6" i="4"/>
  <c r="S5" i="4"/>
  <c r="S4" i="4"/>
  <c r="V320" i="3"/>
  <c r="W320" i="3"/>
  <c r="U320" i="3"/>
  <c r="T320" i="3"/>
  <c r="S320" i="3"/>
  <c r="S109" i="3"/>
  <c r="W109" i="3"/>
  <c r="V109" i="3"/>
  <c r="T109" i="3"/>
  <c r="U109" i="3"/>
  <c r="X91" i="3"/>
  <c r="X55" i="3"/>
  <c r="AA76" i="3"/>
  <c r="X64" i="3"/>
  <c r="Y56" i="3"/>
  <c r="AB89" i="3"/>
  <c r="Z77" i="3"/>
  <c r="AA77" i="3" s="1"/>
  <c r="AB49" i="3"/>
  <c r="AB78" i="3"/>
  <c r="Z29" i="3"/>
  <c r="AA29" i="3" s="1"/>
  <c r="Y34" i="3"/>
  <c r="AA58" i="3"/>
  <c r="AB42" i="3"/>
  <c r="Z28" i="3"/>
  <c r="AA28" i="3" s="1"/>
  <c r="C13" i="4"/>
  <c r="C75" i="4"/>
  <c r="D14" i="3"/>
  <c r="Z7" i="3"/>
  <c r="AA7" i="3" s="1"/>
  <c r="C91" i="4"/>
  <c r="C22" i="4"/>
  <c r="D57" i="3"/>
  <c r="AB5" i="3"/>
  <c r="X16" i="3"/>
  <c r="D64" i="3"/>
  <c r="C27" i="4"/>
  <c r="C82" i="4"/>
  <c r="D69" i="3"/>
  <c r="Y18" i="3"/>
  <c r="Y91" i="3"/>
  <c r="Y55" i="3"/>
  <c r="Y96" i="3"/>
  <c r="AB76" i="3"/>
  <c r="Z64" i="3"/>
  <c r="AA64" i="3" s="1"/>
  <c r="R64" i="3" s="1"/>
  <c r="AB56" i="3"/>
  <c r="Z49" i="3"/>
  <c r="AA49" i="3" s="1"/>
  <c r="AB66" i="3"/>
  <c r="Z34" i="3"/>
  <c r="AA34" i="3" s="1"/>
  <c r="X22" i="3"/>
  <c r="AB58" i="3"/>
  <c r="AB28" i="3"/>
  <c r="C9" i="4"/>
  <c r="C84" i="4"/>
  <c r="D89" i="3"/>
  <c r="C90" i="4"/>
  <c r="D47" i="3"/>
  <c r="AB7" i="3"/>
  <c r="D92" i="3"/>
  <c r="C67" i="4"/>
  <c r="D77" i="3"/>
  <c r="C42" i="4"/>
  <c r="Y16" i="3"/>
  <c r="C64" i="4"/>
  <c r="D61" i="3"/>
  <c r="D67" i="3"/>
  <c r="C32" i="4"/>
  <c r="C40" i="4"/>
  <c r="D76" i="3"/>
  <c r="Z18" i="3"/>
  <c r="AA18" i="3" s="1"/>
  <c r="AB83" i="3"/>
  <c r="Y68" i="3"/>
  <c r="AB77" i="3"/>
  <c r="AB29" i="3"/>
  <c r="Y32" i="3"/>
  <c r="C47" i="4"/>
  <c r="D7" i="3"/>
  <c r="D55" i="3"/>
  <c r="C62" i="4"/>
  <c r="X23" i="3"/>
  <c r="C21" i="4"/>
  <c r="D22" i="3"/>
  <c r="C56" i="4"/>
  <c r="D30" i="3"/>
  <c r="C38" i="4"/>
  <c r="D73" i="3"/>
  <c r="Y81" i="3"/>
  <c r="X32" i="3"/>
  <c r="D85" i="3"/>
  <c r="C46" i="4"/>
  <c r="C61" i="4"/>
  <c r="D44" i="3"/>
  <c r="D52" i="3"/>
  <c r="C7" i="4"/>
  <c r="D101" i="3"/>
  <c r="C70" i="4"/>
  <c r="Y23" i="3"/>
  <c r="AB16" i="3"/>
  <c r="C77" i="4"/>
  <c r="C17" i="4"/>
  <c r="D17" i="3"/>
  <c r="X13" i="3"/>
  <c r="C25" i="4"/>
  <c r="D60" i="3"/>
  <c r="C34" i="4"/>
  <c r="D35" i="3"/>
  <c r="X68" i="3"/>
  <c r="X81" i="3"/>
  <c r="Z32" i="3"/>
  <c r="AA32" i="3" s="1"/>
  <c r="Y47" i="3"/>
  <c r="C73" i="4"/>
  <c r="D6" i="3"/>
  <c r="D70" i="3"/>
  <c r="C65" i="4"/>
  <c r="Z23" i="3"/>
  <c r="AA23" i="3" s="1"/>
  <c r="R23" i="3" s="1"/>
  <c r="C41" i="4"/>
  <c r="C80" i="4"/>
  <c r="D43" i="3"/>
  <c r="D54" i="3"/>
  <c r="C10" i="4"/>
  <c r="Y13" i="3"/>
  <c r="C89" i="4"/>
  <c r="C20" i="4"/>
  <c r="D21" i="3"/>
  <c r="C31" i="4"/>
  <c r="D31" i="3"/>
  <c r="C58" i="4"/>
  <c r="D40" i="3"/>
  <c r="X95" i="3"/>
  <c r="AB59" i="3"/>
  <c r="Z55" i="3"/>
  <c r="AA55" i="3" s="1"/>
  <c r="R55" i="3" s="1"/>
  <c r="AA80" i="3"/>
  <c r="Z68" i="3"/>
  <c r="AA68" i="3" s="1"/>
  <c r="R68" i="3" s="1"/>
  <c r="AB93" i="3"/>
  <c r="Z81" i="3"/>
  <c r="AA81" i="3" s="1"/>
  <c r="X69" i="3"/>
  <c r="Y45" i="3"/>
  <c r="Z98" i="3"/>
  <c r="AA98" i="3" s="1"/>
  <c r="Y44" i="3"/>
  <c r="AA42" i="3"/>
  <c r="Z40" i="3"/>
  <c r="AA40" i="3" s="1"/>
  <c r="R40" i="3" s="1"/>
  <c r="W40" i="3" s="1"/>
  <c r="Z27" i="3"/>
  <c r="AA27" i="3" s="1"/>
  <c r="AA47" i="3"/>
  <c r="Y9" i="3"/>
  <c r="D97" i="3"/>
  <c r="C86" i="4"/>
  <c r="Z13" i="3"/>
  <c r="AA13" i="3" s="1"/>
  <c r="C76" i="4"/>
  <c r="C16" i="4"/>
  <c r="D16" i="3"/>
  <c r="Y95" i="3"/>
  <c r="X96" i="3"/>
  <c r="AB80" i="3"/>
  <c r="X97" i="3"/>
  <c r="Z69" i="3"/>
  <c r="AA69" i="3" s="1"/>
  <c r="R69" i="3" s="1"/>
  <c r="X41" i="3"/>
  <c r="X86" i="3"/>
  <c r="X54" i="3"/>
  <c r="AB30" i="3"/>
  <c r="Z44" i="3"/>
  <c r="AA44" i="3" s="1"/>
  <c r="AB32" i="3"/>
  <c r="C45" i="4"/>
  <c r="D84" i="3"/>
  <c r="AB47" i="3"/>
  <c r="Z9" i="3"/>
  <c r="AA9" i="3" s="1"/>
  <c r="C92" i="4"/>
  <c r="D65" i="3"/>
  <c r="Z16" i="3"/>
  <c r="AA16" i="3" s="1"/>
  <c r="C4" i="4"/>
  <c r="C71" i="4"/>
  <c r="D4" i="3"/>
  <c r="C49" i="4"/>
  <c r="D12" i="3"/>
  <c r="C33" i="4"/>
  <c r="D68" i="3"/>
  <c r="Z95" i="3"/>
  <c r="AA95" i="3" s="1"/>
  <c r="X83" i="3"/>
  <c r="Y88" i="3"/>
  <c r="Z56" i="3"/>
  <c r="AA56" i="3" s="1"/>
  <c r="Y97" i="3"/>
  <c r="Y85" i="3"/>
  <c r="AB81" i="3"/>
  <c r="AB45" i="3"/>
  <c r="Y41" i="3"/>
  <c r="Y86" i="3"/>
  <c r="Y74" i="3"/>
  <c r="X37" i="3"/>
  <c r="Y54" i="3"/>
  <c r="X51" i="3"/>
  <c r="Y36" i="3"/>
  <c r="X31" i="3"/>
  <c r="C39" i="4"/>
  <c r="D39" i="3"/>
  <c r="C53" i="4"/>
  <c r="D26" i="3"/>
  <c r="AB13" i="3"/>
  <c r="C5" i="4"/>
  <c r="D9" i="3"/>
  <c r="C51" i="4"/>
  <c r="D20" i="3"/>
  <c r="Z6" i="3"/>
  <c r="AA6" i="3" s="1"/>
  <c r="R6" i="3" s="1"/>
  <c r="D66" i="3"/>
  <c r="C30" i="4"/>
  <c r="Z83" i="3"/>
  <c r="AA83" i="3" s="1"/>
  <c r="C36" i="4"/>
  <c r="D36" i="3"/>
  <c r="C52" i="4"/>
  <c r="D23" i="3"/>
  <c r="C15" i="4"/>
  <c r="D15" i="3"/>
  <c r="C44" i="4"/>
  <c r="D80" i="3"/>
  <c r="X72" i="3"/>
  <c r="X85" i="3"/>
  <c r="Z36" i="3"/>
  <c r="AA36" i="3" s="1"/>
  <c r="Z31" i="3"/>
  <c r="AA31" i="3" s="1"/>
  <c r="C50" i="4"/>
  <c r="D18" i="3"/>
  <c r="X43" i="3"/>
  <c r="D59" i="3"/>
  <c r="C24" i="4"/>
  <c r="AA63" i="3"/>
  <c r="X100" i="3"/>
  <c r="Y76" i="3"/>
  <c r="Z72" i="3"/>
  <c r="AA72" i="3" s="1"/>
  <c r="X101" i="3"/>
  <c r="AB97" i="3"/>
  <c r="Z85" i="3"/>
  <c r="AA85" i="3" s="1"/>
  <c r="R85" i="3" s="1"/>
  <c r="X90" i="3"/>
  <c r="AB86" i="3"/>
  <c r="AA74" i="3"/>
  <c r="AB34" i="3"/>
  <c r="X30" i="3"/>
  <c r="AB51" i="3"/>
  <c r="X58" i="3"/>
  <c r="C37" i="4"/>
  <c r="D72" i="3"/>
  <c r="D95" i="3"/>
  <c r="C68" i="4"/>
  <c r="C88" i="4"/>
  <c r="C11" i="4"/>
  <c r="D13" i="3"/>
  <c r="Y19" i="3"/>
  <c r="Y43" i="3"/>
  <c r="AB74" i="3"/>
  <c r="X66" i="3"/>
  <c r="Y30" i="3"/>
  <c r="Y58" i="3"/>
  <c r="D98" i="3"/>
  <c r="C69" i="4"/>
  <c r="C54" i="4"/>
  <c r="D28" i="3"/>
  <c r="X47" i="3"/>
  <c r="D88" i="3"/>
  <c r="C83" i="4"/>
  <c r="C6" i="4"/>
  <c r="X20" i="3"/>
  <c r="Z19" i="3"/>
  <c r="AA19" i="3" s="1"/>
  <c r="X8" i="3"/>
  <c r="C81" i="4"/>
  <c r="C3" i="4"/>
  <c r="D49" i="3"/>
  <c r="D91" i="3"/>
  <c r="C14" i="4"/>
  <c r="C29" i="4"/>
  <c r="D96" i="3"/>
  <c r="D58" i="3"/>
  <c r="C63" i="4"/>
  <c r="D71" i="3"/>
  <c r="C66" i="4"/>
  <c r="C72" i="4"/>
  <c r="D5" i="3"/>
  <c r="X5" i="3"/>
  <c r="C60" i="4"/>
  <c r="D42" i="3"/>
  <c r="Y20" i="3"/>
  <c r="Y8" i="3"/>
  <c r="Y64" i="3"/>
  <c r="W102" i="3"/>
  <c r="V102" i="3"/>
  <c r="U102" i="3"/>
  <c r="T102" i="3"/>
  <c r="S102" i="3"/>
  <c r="C55" i="4"/>
  <c r="D29" i="3"/>
  <c r="D56" i="3"/>
  <c r="C18" i="4"/>
  <c r="X7" i="3"/>
  <c r="Y11" i="3"/>
  <c r="Y5" i="3"/>
  <c r="C57" i="4"/>
  <c r="D37" i="3"/>
  <c r="Z20" i="3"/>
  <c r="AA20" i="3" s="1"/>
  <c r="Z8" i="3"/>
  <c r="AA8" i="3" s="1"/>
  <c r="R8" i="3" s="1"/>
  <c r="AB18" i="3"/>
  <c r="X6" i="3"/>
  <c r="C48" i="4"/>
  <c r="D8" i="3"/>
  <c r="X76" i="3"/>
  <c r="Z89" i="3"/>
  <c r="AA89" i="3" s="1"/>
  <c r="Y77" i="3"/>
  <c r="Y49" i="3"/>
  <c r="Z78" i="3"/>
  <c r="AA78" i="3" s="1"/>
  <c r="X29" i="3"/>
  <c r="Y42" i="3"/>
  <c r="Z50" i="3"/>
  <c r="AA50" i="3" s="1"/>
  <c r="C23" i="4"/>
  <c r="D24" i="3"/>
  <c r="D90" i="3"/>
  <c r="C12" i="4"/>
  <c r="Y7" i="3"/>
  <c r="D94" i="3"/>
  <c r="C85" i="4"/>
  <c r="C28" i="4"/>
  <c r="Z11" i="3"/>
  <c r="AA11" i="3" s="1"/>
  <c r="R11" i="3" s="1"/>
  <c r="Z5" i="3"/>
  <c r="AA5" i="3" s="1"/>
  <c r="D99" i="3"/>
  <c r="C87" i="4"/>
  <c r="C35" i="4"/>
  <c r="C59" i="4"/>
  <c r="D41" i="3"/>
  <c r="X25" i="3"/>
  <c r="Y6" i="3"/>
  <c r="C2" i="4"/>
  <c r="D48" i="3"/>
  <c r="C19" i="4"/>
  <c r="C78" i="4"/>
  <c r="D19" i="3"/>
  <c r="C8" i="4"/>
  <c r="C74" i="4"/>
  <c r="D10" i="3"/>
  <c r="C79" i="4"/>
  <c r="C26" i="4"/>
  <c r="D27" i="3"/>
  <c r="D79" i="3"/>
  <c r="C43" i="4"/>
  <c r="R31" i="3" l="1"/>
  <c r="T31" i="3" s="1"/>
  <c r="R63" i="3"/>
  <c r="W63" i="3" s="1"/>
  <c r="R61" i="3"/>
  <c r="V61" i="3" s="1"/>
  <c r="R44" i="3"/>
  <c r="W44" i="3" s="1"/>
  <c r="R95" i="3"/>
  <c r="V95" i="3" s="1"/>
  <c r="R88" i="3"/>
  <c r="W88" i="3" s="1"/>
  <c r="R98" i="3"/>
  <c r="S98" i="3" s="1"/>
  <c r="R36" i="3"/>
  <c r="S36" i="3" s="1"/>
  <c r="R75" i="3"/>
  <c r="W75" i="3" s="1"/>
  <c r="R84" i="3"/>
  <c r="W84" i="3" s="1"/>
  <c r="R39" i="3"/>
  <c r="U39" i="3" s="1"/>
  <c r="R22" i="3"/>
  <c r="W22" i="3" s="1"/>
  <c r="R27" i="3"/>
  <c r="V27" i="3" s="1"/>
  <c r="R9" i="3"/>
  <c r="S9" i="3" s="1"/>
  <c r="U70" i="3"/>
  <c r="W70" i="3"/>
  <c r="V54" i="3"/>
  <c r="R19" i="3"/>
  <c r="V19" i="3" s="1"/>
  <c r="R50" i="3"/>
  <c r="W50" i="3" s="1"/>
  <c r="R53" i="3"/>
  <c r="U53" i="3" s="1"/>
  <c r="R72" i="3"/>
  <c r="T72" i="3" s="1"/>
  <c r="R65" i="3"/>
  <c r="W65" i="3" s="1"/>
  <c r="R62" i="3"/>
  <c r="U62" i="3" s="1"/>
  <c r="R20" i="3"/>
  <c r="W20" i="3" s="1"/>
  <c r="R29" i="3"/>
  <c r="W29" i="3" s="1"/>
  <c r="R33" i="3"/>
  <c r="U33" i="3" s="1"/>
  <c r="R96" i="3"/>
  <c r="U96" i="3" s="1"/>
  <c r="R79" i="3"/>
  <c r="W79" i="3" s="1"/>
  <c r="T10" i="3"/>
  <c r="U10" i="3"/>
  <c r="R26" i="3"/>
  <c r="W26" i="3" s="1"/>
  <c r="R34" i="3"/>
  <c r="V34" i="3" s="1"/>
  <c r="R32" i="3"/>
  <c r="V32" i="3" s="1"/>
  <c r="R51" i="3"/>
  <c r="W51" i="3" s="1"/>
  <c r="R77" i="3"/>
  <c r="W77" i="3" s="1"/>
  <c r="W94" i="3"/>
  <c r="T94" i="3"/>
  <c r="R49" i="3"/>
  <c r="S49" i="3" s="1"/>
  <c r="R86" i="3"/>
  <c r="V86" i="3" s="1"/>
  <c r="R99" i="3"/>
  <c r="S99" i="3" s="1"/>
  <c r="R66" i="3"/>
  <c r="U66" i="3" s="1"/>
  <c r="R13" i="3"/>
  <c r="V13" i="3" s="1"/>
  <c r="R90" i="3"/>
  <c r="V90" i="3" s="1"/>
  <c r="S87" i="3"/>
  <c r="U87" i="3"/>
  <c r="V87" i="3"/>
  <c r="T87" i="3"/>
  <c r="R67" i="3"/>
  <c r="R71" i="3"/>
  <c r="V71" i="3" s="1"/>
  <c r="R24" i="3"/>
  <c r="U24" i="3" s="1"/>
  <c r="R80" i="3"/>
  <c r="U80" i="3" s="1"/>
  <c r="R89" i="3"/>
  <c r="T89" i="3" s="1"/>
  <c r="R25" i="3"/>
  <c r="T25" i="3" s="1"/>
  <c r="R81" i="3"/>
  <c r="V81" i="3" s="1"/>
  <c r="R100" i="3"/>
  <c r="S100" i="3" s="1"/>
  <c r="R46" i="3"/>
  <c r="U46" i="3" s="1"/>
  <c r="R35" i="3"/>
  <c r="V35" i="3" s="1"/>
  <c r="R101" i="3"/>
  <c r="W101" i="3" s="1"/>
  <c r="R28" i="3"/>
  <c r="W28" i="3" s="1"/>
  <c r="S52" i="3"/>
  <c r="W52" i="3"/>
  <c r="T52" i="3"/>
  <c r="U52" i="3"/>
  <c r="V52" i="3"/>
  <c r="R82" i="3"/>
  <c r="W82" i="3" s="1"/>
  <c r="R74" i="3"/>
  <c r="U74" i="3" s="1"/>
  <c r="R38" i="3"/>
  <c r="T38" i="3" s="1"/>
  <c r="R60" i="3"/>
  <c r="W60" i="3" s="1"/>
  <c r="R45" i="3"/>
  <c r="T45" i="3" s="1"/>
  <c r="R21" i="3"/>
  <c r="W21" i="3" s="1"/>
  <c r="R17" i="3"/>
  <c r="U17" i="3" s="1"/>
  <c r="T3" i="3"/>
  <c r="S3" i="3"/>
  <c r="W3" i="3"/>
  <c r="V3" i="3"/>
  <c r="U3" i="3"/>
  <c r="R83" i="3"/>
  <c r="T83" i="3" s="1"/>
  <c r="R97" i="3"/>
  <c r="S97" i="3" s="1"/>
  <c r="R15" i="3"/>
  <c r="S15" i="3" s="1"/>
  <c r="R92" i="3"/>
  <c r="V92" i="3" s="1"/>
  <c r="U43" i="3"/>
  <c r="W43" i="3"/>
  <c r="T14" i="3"/>
  <c r="S14" i="3"/>
  <c r="U14" i="3"/>
  <c r="W14" i="3"/>
  <c r="V14" i="3"/>
  <c r="R76" i="3"/>
  <c r="S76" i="3" s="1"/>
  <c r="R12" i="3"/>
  <c r="W12" i="3" s="1"/>
  <c r="W91" i="3"/>
  <c r="V91" i="3"/>
  <c r="T91" i="3"/>
  <c r="U91" i="3"/>
  <c r="S91" i="3"/>
  <c r="R93" i="3"/>
  <c r="W93" i="3" s="1"/>
  <c r="R59" i="3"/>
  <c r="U59" i="3" s="1"/>
  <c r="R56" i="3"/>
  <c r="W56" i="3" s="1"/>
  <c r="R78" i="3"/>
  <c r="V78" i="3" s="1"/>
  <c r="R47" i="3"/>
  <c r="W47" i="3" s="1"/>
  <c r="R18" i="3"/>
  <c r="W18" i="3" s="1"/>
  <c r="R58" i="3"/>
  <c r="V58" i="3" s="1"/>
  <c r="R48" i="3"/>
  <c r="V48" i="3" s="1"/>
  <c r="R42" i="3"/>
  <c r="W42" i="3" s="1"/>
  <c r="S43" i="3"/>
  <c r="T43" i="3"/>
  <c r="V70" i="3"/>
  <c r="S70" i="3"/>
  <c r="W54" i="3"/>
  <c r="U54" i="3"/>
  <c r="T54" i="3"/>
  <c r="U94" i="3"/>
  <c r="S94" i="3"/>
  <c r="R41" i="3"/>
  <c r="W41" i="3" s="1"/>
  <c r="R4" i="3"/>
  <c r="V4" i="3" s="1"/>
  <c r="R7" i="3"/>
  <c r="W7" i="3" s="1"/>
  <c r="R5" i="3"/>
  <c r="W5" i="3" s="1"/>
  <c r="R30" i="3"/>
  <c r="W30" i="3" s="1"/>
  <c r="T73" i="3"/>
  <c r="S73" i="3"/>
  <c r="V73" i="3"/>
  <c r="U73" i="3"/>
  <c r="W69" i="3"/>
  <c r="S69" i="3"/>
  <c r="V69" i="3"/>
  <c r="U69" i="3"/>
  <c r="T69" i="3"/>
  <c r="R16" i="3"/>
  <c r="S10" i="3"/>
  <c r="W10" i="3"/>
  <c r="S40" i="3"/>
  <c r="U40" i="3"/>
  <c r="T40" i="3"/>
  <c r="V40" i="3"/>
  <c r="R57" i="3"/>
  <c r="W87" i="3"/>
  <c r="V8" i="3"/>
  <c r="U8" i="3"/>
  <c r="T8" i="3"/>
  <c r="S8" i="3"/>
  <c r="W8" i="3"/>
  <c r="W64" i="3"/>
  <c r="V64" i="3"/>
  <c r="T64" i="3"/>
  <c r="S64" i="3"/>
  <c r="U64" i="3"/>
  <c r="W37" i="3"/>
  <c r="V37" i="3"/>
  <c r="U37" i="3"/>
  <c r="T37" i="3"/>
  <c r="S37" i="3"/>
  <c r="W68" i="3"/>
  <c r="V68" i="3"/>
  <c r="T68" i="3"/>
  <c r="S68" i="3"/>
  <c r="U68" i="3"/>
  <c r="W55" i="3"/>
  <c r="V55" i="3"/>
  <c r="U55" i="3"/>
  <c r="T55" i="3"/>
  <c r="S55" i="3"/>
  <c r="W85" i="3"/>
  <c r="V85" i="3"/>
  <c r="U85" i="3"/>
  <c r="T85" i="3"/>
  <c r="S85" i="3"/>
  <c r="V23" i="3"/>
  <c r="U23" i="3"/>
  <c r="T23" i="3"/>
  <c r="S23" i="3"/>
  <c r="W23" i="3"/>
  <c r="W11" i="3"/>
  <c r="V11" i="3"/>
  <c r="U11" i="3"/>
  <c r="T11" i="3"/>
  <c r="S11" i="3"/>
  <c r="V6" i="3"/>
  <c r="T6" i="3"/>
  <c r="S6" i="3"/>
  <c r="W6" i="3"/>
  <c r="U6" i="3"/>
  <c r="S31" i="3" l="1"/>
  <c r="U31" i="3"/>
  <c r="W31" i="3"/>
  <c r="V31" i="3"/>
  <c r="U63" i="3"/>
  <c r="W98" i="3"/>
  <c r="V98" i="3"/>
  <c r="S63" i="3"/>
  <c r="T63" i="3"/>
  <c r="V63" i="3"/>
  <c r="U88" i="3"/>
  <c r="S75" i="3"/>
  <c r="T98" i="3"/>
  <c r="U98" i="3"/>
  <c r="U44" i="3"/>
  <c r="T75" i="3"/>
  <c r="V75" i="3"/>
  <c r="U75" i="3"/>
  <c r="W66" i="3"/>
  <c r="S66" i="3"/>
  <c r="T66" i="3"/>
  <c r="U77" i="3"/>
  <c r="T44" i="3"/>
  <c r="T88" i="3"/>
  <c r="S88" i="3"/>
  <c r="V88" i="3"/>
  <c r="W95" i="3"/>
  <c r="S44" i="3"/>
  <c r="V66" i="3"/>
  <c r="V39" i="3"/>
  <c r="W39" i="3"/>
  <c r="V44" i="3"/>
  <c r="T61" i="3"/>
  <c r="W61" i="3"/>
  <c r="S61" i="3"/>
  <c r="U61" i="3"/>
  <c r="S22" i="3"/>
  <c r="T22" i="3"/>
  <c r="U22" i="3"/>
  <c r="V22" i="3"/>
  <c r="T56" i="3"/>
  <c r="U56" i="3"/>
  <c r="S56" i="3"/>
  <c r="S84" i="3"/>
  <c r="U95" i="3"/>
  <c r="S95" i="3"/>
  <c r="T95" i="3"/>
  <c r="U84" i="3"/>
  <c r="V84" i="3"/>
  <c r="T84" i="3"/>
  <c r="V72" i="3"/>
  <c r="W72" i="3"/>
  <c r="S39" i="3"/>
  <c r="T39" i="3"/>
  <c r="V83" i="3"/>
  <c r="W83" i="3"/>
  <c r="U51" i="3"/>
  <c r="V51" i="3"/>
  <c r="T51" i="3"/>
  <c r="S51" i="3"/>
  <c r="T36" i="3"/>
  <c r="U36" i="3"/>
  <c r="V36" i="3"/>
  <c r="W36" i="3"/>
  <c r="V96" i="3"/>
  <c r="V56" i="3"/>
  <c r="W25" i="3"/>
  <c r="U25" i="3"/>
  <c r="V25" i="3"/>
  <c r="S25" i="3"/>
  <c r="S28" i="3"/>
  <c r="T28" i="3"/>
  <c r="V28" i="3"/>
  <c r="U28" i="3"/>
  <c r="S41" i="3"/>
  <c r="T41" i="3"/>
  <c r="U41" i="3"/>
  <c r="V41" i="3"/>
  <c r="U83" i="3"/>
  <c r="S83" i="3"/>
  <c r="U72" i="3"/>
  <c r="S72" i="3"/>
  <c r="V100" i="3"/>
  <c r="T100" i="3"/>
  <c r="U100" i="3"/>
  <c r="W100" i="3"/>
  <c r="W96" i="3"/>
  <c r="S96" i="3"/>
  <c r="T96" i="3"/>
  <c r="U18" i="3"/>
  <c r="S18" i="3"/>
  <c r="T18" i="3"/>
  <c r="V18" i="3"/>
  <c r="S58" i="3"/>
  <c r="S34" i="3"/>
  <c r="S89" i="3"/>
  <c r="U27" i="3"/>
  <c r="W27" i="3"/>
  <c r="S27" i="3"/>
  <c r="T27" i="3"/>
  <c r="T65" i="3"/>
  <c r="U65" i="3"/>
  <c r="V65" i="3"/>
  <c r="S65" i="3"/>
  <c r="U9" i="3"/>
  <c r="W9" i="3"/>
  <c r="T9" i="3"/>
  <c r="V9" i="3"/>
  <c r="W53" i="3"/>
  <c r="S53" i="3"/>
  <c r="T53" i="3"/>
  <c r="V53" i="3"/>
  <c r="V45" i="3"/>
  <c r="U26" i="3"/>
  <c r="S24" i="3"/>
  <c r="T24" i="3"/>
  <c r="V24" i="3"/>
  <c r="W24" i="3"/>
  <c r="V46" i="3"/>
  <c r="S50" i="3"/>
  <c r="T50" i="3"/>
  <c r="U50" i="3"/>
  <c r="V50" i="3"/>
  <c r="S77" i="3"/>
  <c r="T77" i="3"/>
  <c r="V77" i="3"/>
  <c r="S19" i="3"/>
  <c r="T19" i="3"/>
  <c r="U19" i="3"/>
  <c r="W19" i="3"/>
  <c r="U45" i="3"/>
  <c r="W45" i="3"/>
  <c r="T58" i="3"/>
  <c r="U58" i="3"/>
  <c r="W58" i="3"/>
  <c r="S45" i="3"/>
  <c r="S21" i="3"/>
  <c r="T21" i="3"/>
  <c r="U21" i="3"/>
  <c r="V21" i="3"/>
  <c r="U89" i="3"/>
  <c r="V89" i="3"/>
  <c r="W89" i="3"/>
  <c r="U34" i="3"/>
  <c r="W34" i="3"/>
  <c r="T34" i="3"/>
  <c r="S20" i="3"/>
  <c r="T20" i="3"/>
  <c r="U20" i="3"/>
  <c r="V20" i="3"/>
  <c r="S46" i="3"/>
  <c r="T46" i="3"/>
  <c r="W46" i="3"/>
  <c r="T49" i="3"/>
  <c r="U49" i="3"/>
  <c r="V49" i="3"/>
  <c r="W49" i="3"/>
  <c r="T62" i="3"/>
  <c r="W62" i="3"/>
  <c r="S62" i="3"/>
  <c r="V62" i="3"/>
  <c r="U81" i="3"/>
  <c r="U76" i="3"/>
  <c r="T76" i="3"/>
  <c r="V76" i="3"/>
  <c r="W76" i="3"/>
  <c r="T32" i="3"/>
  <c r="U32" i="3"/>
  <c r="W32" i="3"/>
  <c r="S7" i="3"/>
  <c r="T7" i="3"/>
  <c r="U7" i="3"/>
  <c r="V7" i="3"/>
  <c r="S13" i="3"/>
  <c r="W74" i="3"/>
  <c r="S74" i="3"/>
  <c r="T74" i="3"/>
  <c r="V74" i="3"/>
  <c r="S42" i="3"/>
  <c r="S30" i="3"/>
  <c r="T30" i="3"/>
  <c r="U30" i="3"/>
  <c r="V30" i="3"/>
  <c r="S29" i="3"/>
  <c r="T29" i="3"/>
  <c r="U29" i="3"/>
  <c r="V29" i="3"/>
  <c r="U13" i="3"/>
  <c r="T13" i="3"/>
  <c r="T33" i="3"/>
  <c r="V33" i="3"/>
  <c r="S33" i="3"/>
  <c r="W33" i="3"/>
  <c r="T35" i="3"/>
  <c r="S32" i="3"/>
  <c r="S17" i="3"/>
  <c r="W17" i="3"/>
  <c r="T17" i="3"/>
  <c r="V17" i="3"/>
  <c r="W13" i="3"/>
  <c r="S81" i="3"/>
  <c r="U99" i="3"/>
  <c r="W81" i="3"/>
  <c r="U79" i="3"/>
  <c r="S79" i="3"/>
  <c r="T79" i="3"/>
  <c r="U78" i="3"/>
  <c r="W78" i="3"/>
  <c r="S78" i="3"/>
  <c r="T78" i="3"/>
  <c r="V79" i="3"/>
  <c r="W15" i="3"/>
  <c r="T42" i="3"/>
  <c r="U42" i="3"/>
  <c r="V42" i="3"/>
  <c r="W99" i="3"/>
  <c r="S80" i="3"/>
  <c r="T80" i="3"/>
  <c r="V80" i="3"/>
  <c r="W80" i="3"/>
  <c r="T81" i="3"/>
  <c r="S26" i="3"/>
  <c r="V26" i="3"/>
  <c r="T26" i="3"/>
  <c r="T101" i="3"/>
  <c r="U47" i="3"/>
  <c r="S5" i="3"/>
  <c r="T5" i="3"/>
  <c r="U5" i="3"/>
  <c r="V5" i="3"/>
  <c r="S47" i="3"/>
  <c r="T47" i="3"/>
  <c r="V47" i="3"/>
  <c r="U60" i="3"/>
  <c r="S60" i="3"/>
  <c r="T60" i="3"/>
  <c r="V60" i="3"/>
  <c r="S71" i="3"/>
  <c r="T71" i="3"/>
  <c r="W90" i="3"/>
  <c r="T86" i="3"/>
  <c r="U90" i="3"/>
  <c r="U86" i="3"/>
  <c r="W86" i="3"/>
  <c r="S86" i="3"/>
  <c r="T99" i="3"/>
  <c r="T48" i="3"/>
  <c r="U48" i="3"/>
  <c r="W48" i="3"/>
  <c r="V99" i="3"/>
  <c r="S48" i="3"/>
  <c r="S12" i="3"/>
  <c r="S93" i="3"/>
  <c r="T93" i="3"/>
  <c r="U93" i="3"/>
  <c r="V93" i="3"/>
  <c r="T90" i="3"/>
  <c r="S90" i="3"/>
  <c r="U67" i="3"/>
  <c r="W67" i="3"/>
  <c r="V67" i="3"/>
  <c r="T67" i="3"/>
  <c r="S67" i="3"/>
  <c r="U82" i="3"/>
  <c r="S82" i="3"/>
  <c r="T82" i="3"/>
  <c r="V82" i="3"/>
  <c r="W71" i="3"/>
  <c r="U71" i="3"/>
  <c r="U12" i="3"/>
  <c r="V101" i="3"/>
  <c r="U101" i="3"/>
  <c r="S101" i="3"/>
  <c r="W35" i="3"/>
  <c r="S35" i="3"/>
  <c r="U35" i="3"/>
  <c r="V12" i="3"/>
  <c r="T12" i="3"/>
  <c r="U38" i="3"/>
  <c r="T97" i="3"/>
  <c r="V38" i="3"/>
  <c r="U97" i="3"/>
  <c r="W38" i="3"/>
  <c r="V97" i="3"/>
  <c r="S38" i="3"/>
  <c r="W92" i="3"/>
  <c r="T92" i="3"/>
  <c r="U92" i="3"/>
  <c r="V15" i="3"/>
  <c r="U15" i="3"/>
  <c r="T15" i="3"/>
  <c r="S59" i="3"/>
  <c r="U4" i="3"/>
  <c r="V59" i="3"/>
  <c r="W59" i="3"/>
  <c r="S92" i="3"/>
  <c r="W97" i="3"/>
  <c r="T59" i="3"/>
  <c r="W4" i="3"/>
  <c r="S4" i="3"/>
  <c r="T4" i="3"/>
  <c r="V57" i="3"/>
  <c r="U57" i="3"/>
  <c r="W57" i="3"/>
  <c r="T57" i="3"/>
  <c r="S57" i="3"/>
  <c r="S16" i="3"/>
  <c r="W16" i="3"/>
  <c r="V16" i="3"/>
  <c r="T16" i="3"/>
  <c r="U1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Y2" authorId="0" shapeId="0" xr:uid="{89DDE35B-A9D6-4BB3-8AF2-73A5719C0151}">
      <text>
        <r>
          <rPr>
            <b/>
            <sz val="9"/>
            <color indexed="81"/>
            <rFont val="ＭＳ Ｐゴシック"/>
            <family val="3"/>
            <charset val="128"/>
          </rPr>
          <t>時間帯判定が</t>
        </r>
        <r>
          <rPr>
            <b/>
            <sz val="9"/>
            <color indexed="81"/>
            <rFont val="MS P ゴシック"/>
            <family val="2"/>
          </rPr>
          <t xml:space="preserve"> 09:00-09:30</t>
        </r>
        <r>
          <rPr>
            <b/>
            <sz val="9"/>
            <color indexed="81"/>
            <rFont val="ＭＳ Ｐゴシック"/>
            <family val="3"/>
            <charset val="128"/>
          </rPr>
          <t>／</t>
        </r>
        <r>
          <rPr>
            <b/>
            <sz val="9"/>
            <color indexed="81"/>
            <rFont val="MS P ゴシック"/>
            <family val="2"/>
          </rPr>
          <t>12:30-14:30</t>
        </r>
        <r>
          <rPr>
            <b/>
            <sz val="9"/>
            <color indexed="81"/>
            <rFont val="ＭＳ Ｐゴシック"/>
            <family val="3"/>
            <charset val="128"/>
          </rPr>
          <t>／</t>
        </r>
        <r>
          <rPr>
            <b/>
            <sz val="9"/>
            <color indexed="81"/>
            <rFont val="MS P ゴシック"/>
            <family val="2"/>
          </rPr>
          <t xml:space="preserve">14:30-15:00 </t>
        </r>
        <r>
          <rPr>
            <b/>
            <sz val="9"/>
            <color indexed="81"/>
            <rFont val="ＭＳ Ｐゴシック"/>
            <family val="3"/>
            <charset val="128"/>
          </rPr>
          <t>しかカバーしておらず、</t>
        </r>
        <r>
          <rPr>
            <b/>
            <sz val="9"/>
            <color indexed="81"/>
            <rFont val="MS P ゴシック"/>
            <family val="2"/>
          </rPr>
          <t>9:30</t>
        </r>
        <r>
          <rPr>
            <b/>
            <sz val="9"/>
            <color indexed="81"/>
            <rFont val="ＭＳ Ｐゴシック"/>
            <family val="3"/>
            <charset val="128"/>
          </rPr>
          <t>〜</t>
        </r>
        <r>
          <rPr>
            <b/>
            <sz val="9"/>
            <color indexed="81"/>
            <rFont val="MS P ゴシック"/>
            <family val="2"/>
          </rPr>
          <t>11:30</t>
        </r>
        <r>
          <rPr>
            <b/>
            <sz val="9"/>
            <color indexed="81"/>
            <rFont val="ＭＳ Ｐゴシック"/>
            <family val="3"/>
            <charset val="128"/>
          </rPr>
          <t>の前場後半が「その他」に落ちます。スクショの</t>
        </r>
        <r>
          <rPr>
            <b/>
            <sz val="9"/>
            <color indexed="81"/>
            <rFont val="MS P ゴシック"/>
            <family val="2"/>
          </rPr>
          <t>11:00</t>
        </r>
        <r>
          <rPr>
            <b/>
            <sz val="9"/>
            <color indexed="81"/>
            <rFont val="ＭＳ Ｐゴシック"/>
            <family val="3"/>
            <charset val="128"/>
          </rPr>
          <t>がまさにそれです。前場を評価に使いたいなら、</t>
        </r>
        <r>
          <rPr>
            <b/>
            <sz val="9"/>
            <color indexed="81"/>
            <rFont val="MS P ゴシック"/>
            <family val="2"/>
          </rPr>
          <t xml:space="preserve">MS2_Install_Formulas </t>
        </r>
        <r>
          <rPr>
            <b/>
            <sz val="9"/>
            <color indexed="81"/>
            <rFont val="ＭＳ Ｐゴシック"/>
            <family val="3"/>
            <charset val="128"/>
          </rPr>
          <t>の</t>
        </r>
        <r>
          <rPr>
            <b/>
            <sz val="9"/>
            <color indexed="81"/>
            <rFont val="MS P ゴシック"/>
            <family val="2"/>
          </rPr>
          <t>Y</t>
        </r>
        <r>
          <rPr>
            <b/>
            <sz val="9"/>
            <color indexed="81"/>
            <rFont val="ＭＳ Ｐゴシック"/>
            <family val="3"/>
            <charset val="128"/>
          </rPr>
          <t>列式に「前場」区分を足す必要があります。ご希望なら修正版の</t>
        </r>
        <r>
          <rPr>
            <b/>
            <sz val="9"/>
            <color indexed="81"/>
            <rFont val="MS P ゴシック"/>
            <family val="2"/>
          </rPr>
          <t>Y</t>
        </r>
        <r>
          <rPr>
            <b/>
            <sz val="9"/>
            <color indexed="81"/>
            <rFont val="ＭＳ Ｐゴシック"/>
            <family val="3"/>
            <charset val="128"/>
          </rPr>
          <t>列式を出します。</t>
        </r>
        <r>
          <rPr>
            <sz val="9"/>
            <color indexed="81"/>
            <rFont val="MS P ゴシック"/>
            <family val="2"/>
          </rPr>
          <t xml:space="preserve">
</t>
        </r>
      </text>
    </comment>
    <comment ref="N3" authorId="0" shapeId="0" xr:uid="{44528CB3-93BB-4CB4-B0BD-3CB336BD72B7}">
      <text>
        <r>
          <rPr>
            <b/>
            <sz val="9"/>
            <color indexed="81"/>
            <rFont val="MS P ゴシック"/>
            <family val="2"/>
          </rPr>
          <t>Abe Hideaki:</t>
        </r>
        <r>
          <rPr>
            <sz val="9"/>
            <color indexed="81"/>
            <rFont val="MS P ゴシック"/>
            <family val="2"/>
          </rPr>
          <t xml:space="preserve">
修正: 旧値はATRHIST_MS2の「サンプル3固定・前日レンジを二重計上」の日足スケール。本式は当日高安レンジ÷√経過足本数による5分足ATR推定値。</t>
        </r>
      </text>
    </comment>
    <comment ref="O3" authorId="0" shapeId="0" xr:uid="{AEE57956-7340-4F6C-AC03-8B8052B0DD49}">
      <text>
        <r>
          <rPr>
            <b/>
            <sz val="9"/>
            <color indexed="81"/>
            <rFont val="MS P ゴシック"/>
            <family val="2"/>
          </rPr>
          <t>Abe Hideaki:</t>
        </r>
        <r>
          <rPr>
            <sz val="9"/>
            <color indexed="81"/>
            <rFont val="MS P ゴシック"/>
            <family val="2"/>
          </rPr>
          <t xml:space="preserve">
修正: 旧式 I&gt;(I/3)*2.5 は出来高を自分自身と比較しており常にVOL-OK。売買代金による流動性閾値判定に変更。</t>
        </r>
      </text>
    </comment>
    <comment ref="R3" authorId="0" shapeId="0" xr:uid="{23A4B0FF-5F62-4096-AD3D-8E0918A3AC58}">
      <text>
        <r>
          <rPr>
            <b/>
            <sz val="9"/>
            <color indexed="81"/>
            <rFont val="MS P ゴシック"/>
            <family val="2"/>
          </rPr>
          <t>Abe Hideaki:</t>
        </r>
        <r>
          <rPr>
            <sz val="9"/>
            <color indexed="81"/>
            <rFont val="MS P ゴシック"/>
            <family val="2"/>
          </rPr>
          <t xml:space="preserve">
修正: BUYはP(前日高値ブレイク)、SELLはQ(前日安値ブレイク)を参照。旧式はBUY↔Q, SELL↔Pで矛盾していた。</t>
        </r>
      </text>
    </comment>
    <comment ref="X3" authorId="0" shapeId="0" xr:uid="{C5F3B9FB-E763-49C5-B404-330B70906E7D}">
      <text>
        <r>
          <rPr>
            <b/>
            <sz val="9"/>
            <color indexed="81"/>
            <rFont val="MS P ゴシック"/>
            <family val="2"/>
          </rPr>
          <t>Abe Hideaki:</t>
        </r>
        <r>
          <rPr>
            <sz val="9"/>
            <color indexed="81"/>
            <rFont val="MS P ゴシック"/>
            <family val="2"/>
          </rPr>
          <t xml:space="preserve">
修正: 旧式はH列(終値)参照でザラ場中は常に空→常に1ST。L列(前日終値)基準に変更。</t>
        </r>
      </text>
    </comment>
    <comment ref="AA3" authorId="0" shapeId="0" xr:uid="{4984D75D-CCCD-433C-9819-A8916F02FD53}">
      <text>
        <r>
          <rPr>
            <b/>
            <sz val="9"/>
            <color indexed="81"/>
            <rFont val="MS P ゴシック"/>
            <family val="2"/>
          </rPr>
          <t>Abe Hideaki:</t>
        </r>
        <r>
          <rPr>
            <sz val="9"/>
            <color indexed="81"/>
            <rFont val="MS P ゴシック"/>
            <family val="2"/>
          </rPr>
          <t xml:space="preserve">
修正: 旧式はX="2ND"を必須としていたが、Xが構造上常に1STのためAAが常にNG→シグナルゼロだった。X依存を削除。</t>
        </r>
      </text>
    </comment>
    <comment ref="AD3" authorId="0" shapeId="0" xr:uid="{0DD2DA99-6D7C-47DE-A184-EF696B5AFBB1}">
      <text>
        <r>
          <rPr>
            <b/>
            <sz val="9"/>
            <color indexed="81"/>
            <rFont val="MS P ゴシック"/>
            <family val="2"/>
          </rPr>
          <t>Abe Hideaki:</t>
        </r>
        <r>
          <rPr>
            <sz val="9"/>
            <color indexed="81"/>
            <rFont val="MS P ゴシック"/>
            <family val="2"/>
          </rPr>
          <t xml:space="preserve">
ATRHIST_MS2に蓄積された実測5分足ATR(14・Wilder)。未蓄積なら0→N列は推定値にフォールバック。</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K1" authorId="0" shapeId="0" xr:uid="{4C7C026F-2836-48D9-B26C-367AD55B3981}">
      <text>
        <r>
          <rPr>
            <b/>
            <sz val="9"/>
            <color indexed="81"/>
            <rFont val="ＭＳ Ｐゴシック"/>
            <family val="3"/>
            <charset val="128"/>
          </rPr>
          <t xml:space="preserve">１００株購入
</t>
        </r>
        <r>
          <rPr>
            <sz val="9"/>
            <color indexed="81"/>
            <rFont val="MS P ゴシック"/>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<sst xmlns="http://schemas.openxmlformats.org/spreadsheetml/2006/main" count="557" uniqueCount="244">
  <si>
    <t>銘柄コード</t>
  </si>
  <si>
    <t>銘柄名</t>
  </si>
  <si>
    <t>※ サンプルを、監視したい銘柄コード（4桁）と銘柄名に書き換えてください。</t>
  </si>
  <si>
    <t>No</t>
  </si>
  <si>
    <t>前日高値</t>
  </si>
  <si>
    <t>前日安値</t>
  </si>
  <si>
    <t>売買種別</t>
  </si>
  <si>
    <t>Entry</t>
  </si>
  <si>
    <t>SL</t>
  </si>
  <si>
    <t>TP1</t>
  </si>
  <si>
    <t>TP2</t>
  </si>
  <si>
    <t>TP3</t>
  </si>
  <si>
    <t>※N列=当足のTrue Range。厳密な14期間ATR(5分足)は『ATR更新_MS2』マクロで蓄積算出。</t>
  </si>
  <si>
    <t>結果</t>
  </si>
  <si>
    <t>損益</t>
  </si>
  <si>
    <t>開始時刻</t>
  </si>
  <si>
    <t>終了時刻</t>
  </si>
  <si>
    <t>543A</t>
  </si>
  <si>
    <t>TR累計</t>
  </si>
  <si>
    <t>ATR</t>
  </si>
  <si>
    <t>銘柄コード（株探）</t>
    <phoneticPr fontId="1"/>
  </si>
  <si>
    <t>勝率</t>
    <phoneticPr fontId="1"/>
  </si>
  <si>
    <t>PF</t>
    <phoneticPr fontId="1"/>
  </si>
  <si>
    <t>銘柄名</t>
    <phoneticPr fontId="1"/>
  </si>
  <si>
    <t>最大DD</t>
    <phoneticPr fontId="1"/>
  </si>
  <si>
    <t>平均RR</t>
    <phoneticPr fontId="1"/>
  </si>
  <si>
    <t>月次損益</t>
    <phoneticPr fontId="1"/>
  </si>
  <si>
    <t>トレード数</t>
    <phoneticPr fontId="1"/>
  </si>
  <si>
    <t>保存日時</t>
  </si>
  <si>
    <t>No</t>
    <phoneticPr fontId="1"/>
  </si>
  <si>
    <t>株探リンク</t>
    <phoneticPr fontId="1"/>
  </si>
  <si>
    <t>銘柄コード</t>
    <phoneticPr fontId="1"/>
  </si>
  <si>
    <t>銘柄名</t>
    <phoneticPr fontId="1"/>
  </si>
  <si>
    <t>現在値</t>
    <phoneticPr fontId="1"/>
  </si>
  <si>
    <t>高値</t>
    <phoneticPr fontId="1"/>
  </si>
  <si>
    <t>安値</t>
    <phoneticPr fontId="1"/>
  </si>
  <si>
    <t>終値</t>
    <phoneticPr fontId="1"/>
  </si>
  <si>
    <t>出来高</t>
    <phoneticPr fontId="1"/>
  </si>
  <si>
    <t>前日高値</t>
    <phoneticPr fontId="1"/>
  </si>
  <si>
    <t>前日安値</t>
    <phoneticPr fontId="1"/>
  </si>
  <si>
    <t>前日終値</t>
    <phoneticPr fontId="1"/>
  </si>
  <si>
    <t>寄り方向</t>
    <phoneticPr fontId="1"/>
  </si>
  <si>
    <t>ゾーン</t>
    <phoneticPr fontId="1"/>
  </si>
  <si>
    <t>STOP-BUY</t>
    <phoneticPr fontId="1"/>
  </si>
  <si>
    <t>STOP-SELL</t>
    <phoneticPr fontId="1"/>
  </si>
  <si>
    <t>売買種別</t>
    <phoneticPr fontId="1"/>
  </si>
  <si>
    <t>Entry</t>
    <phoneticPr fontId="1"/>
  </si>
  <si>
    <t>SL</t>
    <phoneticPr fontId="1"/>
  </si>
  <si>
    <t>TP1</t>
    <phoneticPr fontId="1"/>
  </si>
  <si>
    <t>TP2</t>
    <phoneticPr fontId="1"/>
  </si>
  <si>
    <t>TP3</t>
    <phoneticPr fontId="1"/>
  </si>
  <si>
    <t>2回目戻し</t>
    <phoneticPr fontId="1"/>
  </si>
  <si>
    <t>時間帯</t>
    <phoneticPr fontId="1"/>
  </si>
  <si>
    <t>ボラフィルタ</t>
    <phoneticPr fontId="1"/>
  </si>
  <si>
    <t>ダマシ除去</t>
    <phoneticPr fontId="1"/>
  </si>
  <si>
    <t>トレンド方向</t>
    <phoneticPr fontId="1"/>
  </si>
  <si>
    <t>ATR(5分足14)</t>
    <phoneticPr fontId="1"/>
  </si>
  <si>
    <t>売買代金(千円)</t>
    <phoneticPr fontId="1"/>
  </si>
  <si>
    <t>実測5分ATR</t>
    <phoneticPr fontId="1"/>
  </si>
  <si>
    <t>◆ MS2 操作パネル</t>
    <phoneticPr fontId="1"/>
  </si>
  <si>
    <t>◆ 判定パラメータ設定</t>
    <phoneticPr fontId="1"/>
  </si>
  <si>
    <t>値</t>
    <phoneticPr fontId="1"/>
  </si>
  <si>
    <t>最低売買代金（千円）</t>
    <phoneticPr fontId="1"/>
  </si>
  <si>
    <t>ボラ上限（現在値比）</t>
    <phoneticPr fontId="1"/>
  </si>
  <si>
    <t>SL倍率（×ATR）</t>
    <phoneticPr fontId="1"/>
  </si>
  <si>
    <t>TP1倍率（×ATR）</t>
    <phoneticPr fontId="1"/>
  </si>
  <si>
    <t>TP2倍率（×ATR）</t>
    <phoneticPr fontId="1"/>
  </si>
  <si>
    <t>TP3倍率（×ATR）</t>
    <phoneticPr fontId="1"/>
  </si>
  <si>
    <t>足の長さ（分）</t>
    <phoneticPr fontId="1"/>
  </si>
  <si>
    <t>ATR調整係数</t>
    <phoneticPr fontId="1"/>
  </si>
  <si>
    <t>経過場中分数（自動）</t>
    <phoneticPr fontId="1"/>
  </si>
  <si>
    <t>経過足本数（自動）</t>
    <phoneticPr fontId="1"/>
  </si>
  <si>
    <t>※ ATRは実測5分足(AD列)を優先。未蓄積時のみ 当日レンジ÷√経過足本数 で推定。</t>
    <phoneticPr fontId="1"/>
  </si>
  <si>
    <t>BUY</t>
  </si>
  <si>
    <t>SELL</t>
  </si>
  <si>
    <t>1.寄り前</t>
    <rPh sb="2" eb="3">
      <t>ヨ</t>
    </rPh>
    <rPh sb="4" eb="5">
      <t>マエ</t>
    </rPh>
    <phoneticPr fontId="1"/>
  </si>
  <si>
    <t>平均損益</t>
    <phoneticPr fontId="1"/>
  </si>
  <si>
    <t>最大連勝</t>
    <phoneticPr fontId="1"/>
  </si>
  <si>
    <t>最大連敗</t>
    <phoneticPr fontId="1"/>
  </si>
  <si>
    <t>バー高値</t>
  </si>
  <si>
    <t>バー安値</t>
  </si>
  <si>
    <t>バー終値</t>
  </si>
  <si>
    <t>前バー終値</t>
  </si>
  <si>
    <t>本数</t>
  </si>
  <si>
    <t>最終更新</t>
  </si>
  <si>
    <t>山形銀行</t>
  </si>
  <si>
    <t>特定</t>
  </si>
  <si>
    <t>勝率</t>
  </si>
  <si>
    <t>∞</t>
  </si>
  <si>
    <t>使い方</t>
  </si>
  <si>
    <t>役割</t>
  </si>
  <si>
    <t>操作パネル_MS2</t>
  </si>
  <si>
    <t>StockList_MS2</t>
  </si>
  <si>
    <t>DATA_MS2</t>
  </si>
  <si>
    <t>メイン表。E〜L＝RSS取得値、M〜AD＝判定数式</t>
  </si>
  <si>
    <t>TRADE_MS2</t>
  </si>
  <si>
    <t>RANK_MS2</t>
  </si>
  <si>
    <t>ATRHIST_MS2</t>
  </si>
  <si>
    <t>PREVDAY_MS2</t>
  </si>
  <si>
    <t>寄り前</t>
  </si>
  <si>
    <t>8:55頃</t>
  </si>
  <si>
    <t>引け後</t>
  </si>
  <si>
    <t>ATR デイトレ管理ブック（MS2）　使い方ガイド</t>
  </si>
  <si>
    <t>楽天証券 マーケットスピードII RSS 連携／日本株デイトレ用テンプレート</t>
  </si>
  <si>
    <t>■ このBOOKの目的</t>
  </si>
  <si>
    <t>前日高値ブレイク＝BUY／前日安値割れ＝SELL の「当日ブレイクアウト」を全銘柄で自動判定します。</t>
  </si>
  <si>
    <t>SL・TP1〜TP3 は実測5分足ATR(14)の倍数で自動算出し、結果をトレードログと銘柄別成績に蓄積します。</t>
  </si>
  <si>
    <t>必須環境：楽天証券 マーケットスピードII（RSS）が起動・ログイン済みであること。</t>
  </si>
  <si>
    <t>■ シート構成</t>
  </si>
  <si>
    <t>シート名</t>
  </si>
  <si>
    <t>更新方法</t>
  </si>
  <si>
    <t>ボタン一式＋判定パラメータ設定（G:H列）</t>
  </si>
  <si>
    <t>手動設定</t>
  </si>
  <si>
    <t>本ガイド</t>
  </si>
  <si>
    <t>―</t>
  </si>
  <si>
    <t>監視銘柄の入力（A=コード / B=銘柄名、最大350）</t>
  </si>
  <si>
    <t>手入力</t>
  </si>
  <si>
    <t>自動</t>
  </si>
  <si>
    <t>シグナル履歴と決済結果（損益ログ）</t>
  </si>
  <si>
    <t>マクロ出力</t>
  </si>
  <si>
    <t>銘柄別成績（勝率・PF・平均RR・最大DD 等）</t>
  </si>
  <si>
    <t>5分足ATR(14)の蓄積（非表示）</t>
  </si>
  <si>
    <t>■ 初回セットアップ（最初に1回だけ）</t>
  </si>
  <si>
    <t>StockList_MS2 に銘柄コード（A列）と銘柄名（B列）を入力</t>
  </si>
  <si>
    <t>「銘柄反映_MS2」を押す → DATA_MS2 の A〜D列を生成</t>
  </si>
  <si>
    <t>「RSS式セット_MS2」を押す → E〜L列に RssMarket 式を投入</t>
  </si>
  <si>
    <t>「判定式セット_MS2」を押す → M〜AD列の判定ロジックとパラメータを投入</t>
  </si>
  <si>
    <t>引け後に「前日値保存_MS2」（または「前日値_自動ON」で毎営業日 15:45 に自動保存）</t>
  </si>
  <si>
    <t>■ 毎日の運用フロー</t>
  </si>
  <si>
    <t>タイミング</t>
  </si>
  <si>
    <t>ボタン</t>
  </si>
  <si>
    <t>内容</t>
  </si>
  <si>
    <t>前日値反映_MS2</t>
  </si>
  <si>
    <t>DATA_MS2 の J・K列に前日高値・安値をセット</t>
  </si>
  <si>
    <t>ATR収集_開始</t>
  </si>
  <si>
    <t>場中（随時）</t>
  </si>
  <si>
    <t>シグナル抽出_MS2</t>
  </si>
  <si>
    <t>BUY/SELL 成立銘柄を TRADE_MS2 に追記</t>
  </si>
  <si>
    <t>結果判定_MS2</t>
  </si>
  <si>
    <t>現在値が SL/TP1 到達なら決済確定・損益を記録</t>
  </si>
  <si>
    <t>ランキング_MS2</t>
  </si>
  <si>
    <t>RANK_MS2 に銘柄別成績を集計</t>
  </si>
  <si>
    <t>一括実行</t>
  </si>
  <si>
    <t>全自動_MS2</t>
  </si>
  <si>
    <t>ATR収集開始→前日値反映→再計算→シグナル抽出→結果判定→集計 を連続実行</t>
  </si>
  <si>
    <t>■ 判定条件（DATA_MS2 の R列＝売買種別）</t>
  </si>
  <si>
    <t>現在値＞前日終値　かつ　現在値＞前日高値　かつ　売買代金OK　かつ　ダマシ除去OK　かつ　トレンド≠DOWN</t>
  </si>
  <si>
    <t>現在値＜前日終値　かつ　現在値＜前日安値　かつ　同フィルタ通過　かつ　トレンド≠UP</t>
  </si>
  <si>
    <t>空欄</t>
  </si>
  <si>
    <t>条件未成立。S〜W列（Entry/SL/TP1-3）も空欄になります（正常動作）</t>
  </si>
  <si>
    <t>■ 調整パラメータ（操作パネル_MS2 の H3:H10、青字は手入力可）</t>
  </si>
  <si>
    <t>セル</t>
  </si>
  <si>
    <t>項目</t>
  </si>
  <si>
    <t>現在値</t>
  </si>
  <si>
    <t>H3</t>
  </si>
  <si>
    <t>最低売買代金（千円）</t>
  </si>
  <si>
    <t>H4</t>
  </si>
  <si>
    <t>ボラ上限（現在値比）</t>
  </si>
  <si>
    <t>H5</t>
  </si>
  <si>
    <t>SL倍率（×ATR）</t>
  </si>
  <si>
    <t>H6</t>
  </si>
  <si>
    <t>TP1倍率（×ATR）</t>
  </si>
  <si>
    <t>H7</t>
  </si>
  <si>
    <t>TP2倍率（×ATR）</t>
  </si>
  <si>
    <t>H8</t>
  </si>
  <si>
    <t>TP3倍率（×ATR）</t>
  </si>
  <si>
    <t>H9</t>
  </si>
  <si>
    <t>足の長さ（分）</t>
  </si>
  <si>
    <t>H10</t>
  </si>
  <si>
    <t>ATR調整係数</t>
  </si>
  <si>
    <t>※ H11（経過場中分数）・H12（経過足本数）は自動計算。上書き不可。</t>
  </si>
  <si>
    <t>■ 注意点</t>
  </si>
  <si>
    <t>・マーケットスピードII が未起動だと E〜L列が空/エラーになり、シグナルは一切出ません</t>
  </si>
  <si>
    <t>・ATR は蓄積14本に達するまで推定値（当日レンジ÷√経過足本数）で代用されます</t>
  </si>
  <si>
    <t>・「前日値保存_MS2」を場中（9:00〜15:30）に実行すると翌日の前日高安が壊れます（警告が出ます）</t>
  </si>
  <si>
    <t>・H列（終値）は場中は空欄。判定には使用していません</t>
  </si>
  <si>
    <t>・Y列（時間帯）は 9:30〜11:30 が「その他」に分類されます（仕様上の穴・未修正）</t>
  </si>
  <si>
    <t>・本ブックは売買を自動発注しません。実際の発注は自己判断で行ってください</t>
  </si>
  <si>
    <t>売買単位（株）</t>
  </si>
  <si>
    <t>約定代金(100株)</t>
  </si>
  <si>
    <t>損益(100株)</t>
  </si>
  <si>
    <t>R倍数</t>
  </si>
  <si>
    <t>◆ 100株換算サマリー</t>
  </si>
  <si>
    <t>決済済み件数</t>
  </si>
  <si>
    <t>合計損益（円）</t>
  </si>
  <si>
    <t>平均損益（円）</t>
  </si>
  <si>
    <t>最大損失（円）</t>
  </si>
  <si>
    <t>引け後（毎日）</t>
  </si>
  <si>
    <t>ATR収集_停止</t>
  </si>
  <si>
    <t>30秒タイマーを解除。※これを押さずに閉じるとブックが自動再オープンすることがあります</t>
  </si>
  <si>
    <t>前日高値・安値の保存庫（非表示）／Y・Z列はタイマー予約時刻の内部保存用（編集不可）</t>
  </si>
  <si>
    <t>30秒ごとにサンプリングして5分足ATR(14)を蓄積（有効値まで約70分）。場外（平日9:00〜15:30以外・土日）は自動停止します</t>
  </si>
  <si>
    <t>※ ボタンがない場合は VBE で MS2_Core をインポートし、MS2_Build_Menu を実行（★タイマー全解除ボタンもここで追加されます）</t>
  </si>
  <si>
    <t>・閉じる前に「ATR収集_停止」を押してください。押さずに閉じるとタイマー予約が残り、ブックが自動で開き直ることがあります</t>
  </si>
  <si>
    <t>・前日値の自動保存（15:45）の予約も再オープン要因になります。不要な日は「前日値_自動OFF」を押してください</t>
  </si>
  <si>
    <t>・異常時は「★タイマー全解除」で全予約を強制解除できます。予約の残りは「ログ_MS2」で確認できます</t>
  </si>
  <si>
    <t>■ 「閉じたのに自動で開き直す」現象について（★v6 で対策済）</t>
  </si>
  <si>
    <t>原因</t>
  </si>
  <si>
    <t>仕組み</t>
  </si>
  <si>
    <t>Application.OnTime の予約は Excel 本体が保持するため、ブックを閉じても消えません。時刻が来ると Excel がブックを自動で開き直します</t>
  </si>
  <si>
    <t>予約の種類</t>
  </si>
  <si>
    <t>（1）ATR収集の30秒ティック　（2）前日値の自動保存（日次 15:45）</t>
  </si>
  <si>
    <t>v6 の対策</t>
  </si>
  <si>
    <t>予約時刻を PREVDAY_MS2 の Z1・Z2 に保存し、VBAの変数がリセットされても確実に解除できるようにしました</t>
  </si>
  <si>
    <t>場外の挙動</t>
  </si>
  <si>
    <t>平日 9:00〜15:30 以外と土日はティックを再予約せず自動停止。翌朝はブックを開くか「ATR収集_開始」で再開してください</t>
  </si>
  <si>
    <t>確認方法</t>
  </si>
  <si>
    <t>「ログ_MS2」に tick予約 と 自動保存予約 の次回時刻を表示。両方「なし」なら安全に閉じられます</t>
  </si>
  <si>
    <t>緊急時</t>
  </si>
  <si>
    <t>「★タイマー全解除」を押す。それでも再起動する場合は Excel を完全終了し、EXCEL.EXE の残存を確認してください</t>
  </si>
  <si>
    <t>運用フロー表に「引け後（毎日</t>
  </si>
  <si>
    <t>押さずに閉じると自動再オープンする</t>
    <phoneticPr fontId="1"/>
  </si>
  <si>
    <t>次回tick予約(内部)</t>
  </si>
  <si>
    <t>次回自動保存予約(内部)</t>
  </si>
  <si>
    <t>END</t>
  </si>
  <si>
    <t>主因（重い順）</t>
  </si>
  <si>
    <t>1. NOW() が 350 セル — DATA_MS2Y3:Y352</t>
  </si>
  <si>
    <t>。NOW() は揮発性関数なので、ワークシート上で何か起きるたびに必ず再計算され、その下流（R〜AB列）も丸ごと巻き込みます。</t>
  </si>
  <si>
    <t>2. RSS リアルタイム関数が 945 セル — DATA_MS2E3:L102</t>
  </si>
  <si>
    <t> と StockList_MS2B2:B101</t>
  </si>
  <si>
    <t>。ザラ場中は1銘柄の値動きごとに再計算が走り、そのたびに DATA_MS2 の約8,300式＋TRADE_MS2・RANK_MS2 が再評価されます。①と組み合わさると事実上「連続再計算」状態になります。</t>
  </si>
  <si>
    <t>3. 列全体参照が 441 セル — DATA_MS2AD3:AD352</t>
  </si>
  <si>
    <t> が ATRHIST_MS2!$H:$H / $A:$A（実データは101行のみ）を、TRADE_MS2A2:A92</t>
  </si>
  <si>
    <t> が StockList_MS2!$A:$A を、それぞれ104万行スキャンしています。</t>
  </si>
  <si>
    <t>副次的に見つかった不整合（フリーズとは別問題）</t>
  </si>
  <si>
    <t>E〜L列（現在値・高値・安値等）の RSS は銘柄コードが直書き（例 RssMarket("9432","現在値")）で、C列の銘柄と連動していません。AC列だけは C3 参照になっています。</t>
  </si>
  <si>
    <t>A〜D列は350行あるのに、E〜L列の価格取得は101行目までしか入っていません。</t>
  </si>
  <si>
    <t>改善案（ご指示あれば実施します）</t>
  </si>
  <si>
    <t>Y列の NOW() を廃止し、操作パネルの1セルに時刻を集約 → Y列はそのセルを参照（揮発セル350→1）</t>
  </si>
  <si>
    <t>AD列・TRADE_MS2 の $H:$H などを $H$1:$H$200 のような有限範囲に変更</t>
  </si>
  <si>
    <t>RSS のティッカーを C3 参照に統一し、行数を実際の銘柄数に揃える（不要行の RSS を削除＝購読数削減）</t>
  </si>
  <si>
    <t>運用時は「手動計算＋F9」に切り替える運用も併用</t>
  </si>
  <si>
    <t>なお、このファイルは .xlsm なのでVBAコード側にも原因（イベントマクロのループ、Calculate イベント等）がある可能性がありますが、マクロの中身は私からは読めません。上記のうちどれから手を付けますか？</t>
  </si>
  <si>
    <t>今回のターンで行ったのは読み取りのみで、ワークブックへの書き込みは一切していません（get_used_range／数式スキャン／条件付き書式の列挙のみ）。</t>
  </si>
  <si>
    <t>念のため、報告した内容の裏付けとして実際に読んだ範囲を明記しておきます:</t>
  </si>
  <si>
    <t>使用範囲: 全8シート（最大は DATA_MS2A2:AD354</t>
  </si>
  <si>
    <t>）</t>
  </si>
  <si>
    <t>数式スキャン: 操作パネル_MS2!A1:H37、使い方!A1:C73、StockList_MS2!A1:B353、DATA_MS2!A1:AD354、TRADE_MS2!A1:S92、RANK_MS2!A1:K76、ATRHIST_MS2!A1:I101、PREVDAY_MS2!A1:Z101</t>
  </si>
  <si>
    <t>条件付き書式: 上記8範囲すべて 0 件</t>
  </si>
  <si>
    <t>計算モード: 自動</t>
  </si>
  <si>
    <t>未検証の点: VBA（.xlsm のマクロ）の中身、および各シートのグラフ・図形オブジェクトは読めていません。これらにフリーズ要因が残っている可能性はあります。</t>
  </si>
  <si>
    <t>改善案の実施はまだ何も適用していないので、着手する項目をご指定ください（推奨は「NOW() 350セットの集約」→「列全体参照の有限化」の順です）。</t>
  </si>
  <si>
    <t>ATR_MS2_V08021</t>
  </si>
  <si>
    <t>エラー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</si>
</sst>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
    <numFmt numFmtId="178" formatCode="0.0"/>
    <numFmt numFmtId="179" formatCode="#,##0;\(#,##0\);\-"/>
    <numFmt numFmtId="180" formatCode="#,##0.0;\(#,##0.0\);\-"/>
    <numFmt numFmtId="181" formatCode="0_ ;[Red]\-0\ "/>
  </numFmts>
  <fonts count="38">
    <font>
      <sz val="14"/>
      <color theme="1"/>
      <name val="游ゴシック"/>
      <family val="2"/>
      <charset val="128"/>
      <scheme val="minor"/>
    </font>
    <font>
      <sz val="7"/>
      <name val="游ゴシック"/>
      <family val="2"/>
      <charset val="128"/>
      <scheme val="minor"/>
    </font>
    <font>
      <b/>
      <sz val="18"/>
      <name val="Meiryo"/>
      <family val="3"/>
      <charset val="128"/>
    </font>
    <font>
      <i/>
      <sz val="18"/>
      <color rgb="FF555555"/>
      <name val="Meiryo"/>
      <family val="3"/>
      <charset val="128"/>
    </font>
    <font>
      <b/>
      <sz val="18"/>
      <color rgb="FFFFFFFF"/>
      <name val="Meiryo"/>
      <family val="3"/>
      <charset val="128"/>
    </font>
    <font>
      <sz val="18"/>
      <color rgb="FF0000FF"/>
      <name val="Meiryo"/>
      <family val="3"/>
      <charset val="128"/>
    </font>
    <font>
      <sz val="18"/>
      <color rgb="FF000000"/>
      <name val="Meiryo"/>
      <family val="3"/>
      <charset val="128"/>
    </font>
    <font>
      <u/>
      <sz val="18"/>
      <color rgb="FF0563C1"/>
      <name val="Meiryo"/>
      <family val="3"/>
      <charset val="128"/>
    </font>
    <font>
      <b/>
      <sz val="14"/>
      <color theme="1"/>
      <name val="游ゴシック"/>
      <family val="3"/>
      <charset val="128"/>
      <scheme val="minor"/>
    </font>
    <font>
      <sz val="14"/>
      <color rgb="FF0000FF"/>
      <name val="Meiryo"/>
      <family val="3"/>
      <charset val="128"/>
    </font>
    <font>
      <sz val="9"/>
      <color indexed="81"/>
      <name val="MS P ゴシック"/>
      <family val="2"/>
    </font>
    <font>
      <b/>
      <sz val="9"/>
      <color indexed="81"/>
      <name val="MS P ゴシック"/>
      <family val="2"/>
    </font>
    <font>
      <sz val="14"/>
      <color rgb="FF0000FF"/>
      <name val="游ゴシック"/>
      <family val="2"/>
      <charset val="128"/>
      <scheme val="minor"/>
    </font>
    <font>
      <sz val="11"/>
      <color rgb="FFC00000"/>
      <name val="游ゴシック"/>
      <family val="2"/>
      <charset val="128"/>
      <scheme val="minor"/>
    </font>
    <font>
      <sz val="14"/>
      <color theme="1"/>
      <name val="Meiryo"/>
      <family val="3"/>
      <charset val="128"/>
    </font>
    <font>
      <b/>
      <sz val="14"/>
      <color rgb="FFFFFFFF"/>
      <name val="游ゴシック"/>
      <family val="3"/>
      <charset val="128"/>
      <scheme val="minor"/>
    </font>
    <font>
      <sz val="14"/>
      <color rgb="FF000000"/>
      <name val="游ゴシック"/>
      <family val="2"/>
      <charset val="128"/>
      <scheme val="minor"/>
    </font>
    <font>
      <sz val="14"/>
      <color rgb="FF000000"/>
      <name val="游ゴシック"/>
      <family val="3"/>
      <charset val="128"/>
      <scheme val="minor"/>
    </font>
    <font>
      <u/>
      <sz val="14"/>
      <color theme="10"/>
      <name val="游ゴシック"/>
      <family val="2"/>
      <charset val="128"/>
      <scheme val="minor"/>
    </font>
    <font>
      <b/>
      <sz val="9"/>
      <color indexed="81"/>
      <name val="ＭＳ Ｐゴシック"/>
      <family val="3"/>
      <charset val="128"/>
    </font>
    <font>
      <b/>
      <sz val="16"/>
      <color rgb="FFFFFFFF"/>
      <name val="Meiryo"/>
      <family val="3"/>
      <charset val="128"/>
    </font>
    <font>
      <i/>
      <sz val="10"/>
      <color rgb="FF404040"/>
      <name val="Meiryo"/>
      <family val="3"/>
      <charset val="128"/>
    </font>
    <font>
      <sz val="10"/>
      <color theme="1"/>
      <name val="Meiryo"/>
      <family val="3"/>
      <charset val="128"/>
    </font>
    <font>
      <b/>
      <sz val="10"/>
      <color rgb="FF1F4E78"/>
      <name val="Meiryo"/>
      <family val="3"/>
      <charset val="128"/>
    </font>
    <font>
      <b/>
      <sz val="10"/>
      <color rgb="FFFFFFFF"/>
      <name val="Meiryo"/>
      <family val="3"/>
      <charset val="128"/>
    </font>
    <font>
      <b/>
      <sz val="10"/>
      <color theme="1"/>
      <name val="Meiryo"/>
      <family val="3"/>
      <charset val="128"/>
    </font>
    <font>
      <sz val="10"/>
      <color rgb="FF808080"/>
      <name val="Meiryo"/>
      <family val="3"/>
      <charset val="128"/>
    </font>
    <font>
      <b/>
      <sz val="10"/>
      <color rgb="FF0070C0"/>
      <name val="Meiryo"/>
      <family val="3"/>
      <charset val="128"/>
    </font>
    <font>
      <b/>
      <sz val="10"/>
      <color rgb="FFC00000"/>
      <name val="Meiryo"/>
      <family val="3"/>
      <charset val="128"/>
    </font>
    <font>
      <b/>
      <sz val="10"/>
      <color rgb="FF808080"/>
      <name val="Meiryo"/>
      <family val="3"/>
      <charset val="128"/>
    </font>
    <font>
      <sz val="10"/>
      <color rgb="FF0000FF"/>
      <name val="Meiryo"/>
      <family val="3"/>
      <charset val="128"/>
    </font>
    <font>
      <sz val="10"/>
      <color rgb="FFC00000"/>
      <name val="Meiryo"/>
      <family val="3"/>
      <charset val="128"/>
    </font>
    <font>
      <sz val="14"/>
      <color rgb="FF000000"/>
      <name val="游ゴシック"/>
      <family val="3"/>
      <charset val="128"/>
    </font>
    <font>
      <b/>
      <sz val="16"/>
      <color rgb="FF1F4E78"/>
      <name val="Meiryo"/>
      <family val="3"/>
      <charset val="128"/>
    </font>
    <font>
      <sz val="16"/>
      <color theme="1"/>
      <name val="Meiryo"/>
      <family val="3"/>
      <charset val="128"/>
    </font>
    <font>
      <sz val="16"/>
      <color rgb="FF000000"/>
      <name val="Meiryo"/>
      <family val="3"/>
      <charset val="128"/>
    </font>
    <font>
      <b/>
      <sz val="14"/>
      <color theme="0"/>
      <name val="游ゴシック"/>
      <family val="3"/>
      <charset val="128"/>
      <scheme val="minor"/>
    </font>
    <font>
      <b/>
      <sz val="28"/>
      <color theme="0"/>
      <name val="游ゴシック"/>
      <family val="3"/>
      <charset val="128"/>
      <scheme val="minor"/>
    </font>
  </fonts>
  <fills count="11">
    <fill>
      <patternFill patternType="none"/>
    </fill>
    <fill>
      <patternFill patternType="gray125"/>
    </fill>
    <fill>
      <patternFill patternType="solid">
        <fgColor rgb="FF1F4E78"/>
      </patternFill>
    </fill>
    <fill>
      <patternFill patternType="solid">
        <fgColor rgb="FFF2F7FC"/>
      </patternFill>
    </fill>
    <fill>
      <patternFill patternType="solid">
        <fgColor rgb="FF1F4E78"/>
        <bgColor indexed="64"/>
      </patternFill>
    </fill>
    <fill>
      <patternFill patternType="solid">
        <fgColor rgb="FFBDD7EE"/>
        <bgColor indexed="64"/>
      </patternFill>
    </fill>
    <fill>
      <patternFill patternType="solid">
        <fgColor rgb="FFDDEBF7"/>
        <bgColor indexed="64"/>
      </patternFill>
    </fill>
    <fill>
      <patternFill patternType="solid">
        <fgColor rgb="FFF2F2F2"/>
        <bgColor indexed="64"/>
      </patternFill>
    </fill>
    <fill>
      <patternFill patternType="solid">
        <fgColor rgb="FFFFFF00"/>
        <bgColor indexed="64"/>
      </patternFill>
    </fill>
    <fill>
      <patternFill patternType="solid">
        <fgColor rgb="FFFF0000"/>
        <bgColor indexed="64"/>
      </patternFill>
    </fill>
    <fill>
      <patternFill patternType="solid">
        <fgColor theme="4"/>
        <bgColor indexed="64"/>
      </patternFill>
    </fill>
  </fills>
  <borders count="5">
    <border>
      <left/>
      <right/>
      <top/>
      <bottom/>
      <diagonal/>
    </border>
    <border>
      <left style="thin">
        <color rgb="FFBFBFBF"/>
      </left>
      <right style="thin">
        <color rgb="FFBFBFBF"/>
      </right>
      <top style="thin">
        <color rgb="FFBFBFBF"/>
      </top>
      <bottom style="thin">
        <color rgb="FFBFBFBF"/>
      </bottom>
      <diagonal/>
    </border>
    <border>
      <left/>
      <right/>
      <top/>
      <bottom style="thin">
        <color rgb="FFBFBFBF"/>
      </bottom>
      <diagonal/>
    </border>
    <border>
      <left style="thin">
        <color rgb="FFBFBFBF"/>
      </left>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alignment vertical="center"/>
    </xf>
    <xf numFmtId="0" fontId="18"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xf numFmtId="0" fontId="3" fillId="0" borderId="0" xfId="0" applyFont="1" applyAlignment="1"/>
    <xf numFmtId="0" fontId="4" fillId="2" borderId="1" xfId="0" applyFont="1" applyFill="1" applyBorder="1" applyAlignment="1">
      <alignment horizontal="center" vertical="center" wrapText="1"/>
    </xf>
    <xf numFmtId="0" fontId="5" fillId="0" borderId="1" xfId="0" applyFont="1" applyBorder="1" applyAlignment="1">
      <alignment horizontal="left" vertical="center"/>
    </xf>
    <xf numFmtId="0" fontId="6" fillId="3"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6" fillId="3" borderId="1" xfId="0" applyFont="1" applyFill="1" applyBorder="1" applyAlignment="1">
      <alignment horizontal="left" vertical="center"/>
    </xf>
    <xf numFmtId="176" fontId="5" fillId="3" borderId="1" xfId="0" applyNumberFormat="1" applyFont="1" applyFill="1" applyBorder="1" applyAlignment="1">
      <alignment horizontal="right" vertical="center"/>
    </xf>
    <xf numFmtId="176" fontId="6" fillId="3" borderId="1" xfId="0" applyNumberFormat="1" applyFont="1" applyFill="1" applyBorder="1" applyAlignment="1">
      <alignment horizontal="right" vertical="center"/>
    </xf>
    <xf numFmtId="0" fontId="6" fillId="0" borderId="1" xfId="0" applyFont="1" applyBorder="1" applyAlignment="1">
      <alignment horizontal="center" vertical="center" wrapText="1"/>
    </xf>
    <xf numFmtId="0" fontId="7" fillId="0" borderId="1" xfId="0" applyFont="1" applyBorder="1" applyAlignment="1">
      <alignment horizontal="center" vertical="center" wrapText="1"/>
    </xf>
    <xf numFmtId="0" fontId="6" fillId="0" borderId="1" xfId="0" applyFont="1" applyBorder="1" applyAlignment="1">
      <alignment horizontal="left" vertical="center"/>
    </xf>
    <xf numFmtId="176" fontId="5" fillId="0" borderId="1" xfId="0" applyNumberFormat="1" applyFont="1" applyBorder="1" applyAlignment="1">
      <alignment horizontal="right" vertical="center"/>
    </xf>
    <xf numFmtId="0" fontId="8" fillId="0" borderId="0" xfId="0" applyFont="1">
      <alignment vertical="center"/>
    </xf>
    <xf numFmtId="10" fontId="0" fillId="0" borderId="0" xfId="0" applyNumberFormat="1">
      <alignment vertical="center"/>
    </xf>
    <xf numFmtId="3" fontId="0" fillId="0" borderId="0" xfId="0" applyNumberFormat="1">
      <alignment vertical="center"/>
    </xf>
    <xf numFmtId="20" fontId="0" fillId="0" borderId="0" xfId="0" applyNumberFormat="1">
      <alignment vertical="center"/>
    </xf>
    <xf numFmtId="4" fontId="0" fillId="0" borderId="0" xfId="0" applyNumberFormat="1">
      <alignment vertical="center"/>
    </xf>
    <xf numFmtId="3" fontId="9" fillId="3" borderId="1" xfId="0" applyNumberFormat="1" applyFont="1" applyFill="1" applyBorder="1" applyAlignment="1">
      <alignment horizontal="right" vertical="center"/>
    </xf>
    <xf numFmtId="3" fontId="9" fillId="0" borderId="1" xfId="0" applyNumberFormat="1" applyFont="1" applyBorder="1" applyAlignment="1">
      <alignment horizontal="right" vertical="center"/>
    </xf>
    <xf numFmtId="0" fontId="4" fillId="4" borderId="1" xfId="0" applyFont="1" applyFill="1" applyBorder="1" applyAlignment="1">
      <alignment horizontal="center" vertical="center" wrapText="1"/>
    </xf>
    <xf numFmtId="176" fontId="5" fillId="0" borderId="1" xfId="0" quotePrefix="1" applyNumberFormat="1" applyFont="1" applyBorder="1" applyAlignment="1">
      <alignment horizontal="right" vertical="center"/>
    </xf>
    <xf numFmtId="22" fontId="0" fillId="0" borderId="0" xfId="0" applyNumberFormat="1">
      <alignment vertical="center"/>
    </xf>
    <xf numFmtId="3" fontId="12" fillId="0" borderId="0" xfId="0" applyNumberFormat="1" applyFont="1" applyAlignment="1">
      <alignment horizontal="right" vertical="center"/>
    </xf>
    <xf numFmtId="177" fontId="12" fillId="0" borderId="0" xfId="0" applyNumberFormat="1" applyFont="1" applyAlignment="1">
      <alignment horizontal="right" vertical="center"/>
    </xf>
    <xf numFmtId="178" fontId="12" fillId="0" borderId="0" xfId="0" applyNumberFormat="1" applyFont="1" applyAlignment="1">
      <alignment horizontal="right" vertical="center"/>
    </xf>
    <xf numFmtId="1" fontId="12" fillId="0" borderId="0" xfId="0" applyNumberFormat="1" applyFont="1" applyAlignment="1">
      <alignment horizontal="right" vertical="center"/>
    </xf>
    <xf numFmtId="2" fontId="12" fillId="0" borderId="0" xfId="0" applyNumberFormat="1" applyFont="1" applyAlignment="1">
      <alignment horizontal="right" vertical="center"/>
    </xf>
    <xf numFmtId="0" fontId="13" fillId="0" borderId="0" xfId="0" applyFont="1">
      <alignment vertical="center"/>
    </xf>
    <xf numFmtId="3" fontId="9" fillId="0" borderId="0" xfId="0" applyNumberFormat="1" applyFont="1" applyAlignment="1">
      <alignment horizontal="right" vertical="center"/>
    </xf>
    <xf numFmtId="4" fontId="14" fillId="0" borderId="0" xfId="0" applyNumberFormat="1" applyFont="1" applyAlignment="1">
      <alignment horizontal="right" vertical="center"/>
    </xf>
    <xf numFmtId="0" fontId="15" fillId="4" borderId="0" xfId="0" applyFont="1" applyFill="1">
      <alignment vertical="center"/>
    </xf>
    <xf numFmtId="3" fontId="16" fillId="0" borderId="0" xfId="0" applyNumberFormat="1" applyFont="1" applyAlignment="1">
      <alignment horizontal="right" vertical="center"/>
    </xf>
    <xf numFmtId="176" fontId="16" fillId="0" borderId="0" xfId="0" applyNumberFormat="1" applyFont="1" applyAlignment="1">
      <alignment horizontal="right" vertical="center"/>
    </xf>
    <xf numFmtId="22" fontId="0" fillId="0" borderId="0" xfId="0" applyNumberFormat="1" applyAlignment="1"/>
    <xf numFmtId="177" fontId="0" fillId="0" borderId="0" xfId="0" applyNumberFormat="1" applyAlignment="1"/>
    <xf numFmtId="0" fontId="0" fillId="0" borderId="0" xfId="0" applyAlignment="1">
      <alignment horizontal="center" vertical="center"/>
    </xf>
    <xf numFmtId="0" fontId="18" fillId="0" borderId="0" xfId="1" applyAlignment="1"/>
    <xf numFmtId="2" fontId="0" fillId="0" borderId="0" xfId="0" applyNumberFormat="1" applyAlignment="1"/>
    <xf numFmtId="1" fontId="0" fillId="0" borderId="0" xfId="0" applyNumberFormat="1" applyAlignment="1"/>
    <xf numFmtId="0" fontId="24" fillId="4" borderId="1" xfId="0" applyFont="1" applyFill="1" applyBorder="1" applyAlignment="1">
      <alignment horizontal="center" vertical="center"/>
    </xf>
    <xf numFmtId="0" fontId="25" fillId="7" borderId="0" xfId="0" applyFont="1" applyFill="1" applyAlignment="1">
      <alignment horizontal="center" vertical="center"/>
    </xf>
    <xf numFmtId="3" fontId="30" fillId="0" borderId="1" xfId="0" applyNumberFormat="1" applyFont="1" applyBorder="1" applyAlignment="1">
      <alignment horizontal="right" vertical="center"/>
    </xf>
    <xf numFmtId="177" fontId="30" fillId="0" borderId="1" xfId="0" applyNumberFormat="1" applyFont="1" applyBorder="1" applyAlignment="1">
      <alignment horizontal="right" vertical="center"/>
    </xf>
    <xf numFmtId="178" fontId="30" fillId="0" borderId="1" xfId="0" applyNumberFormat="1" applyFont="1" applyBorder="1" applyAlignment="1">
      <alignment horizontal="right" vertical="center"/>
    </xf>
    <xf numFmtId="1" fontId="30" fillId="0" borderId="1" xfId="0" applyNumberFormat="1" applyFont="1" applyBorder="1" applyAlignment="1">
      <alignment horizontal="right" vertical="center"/>
    </xf>
    <xf numFmtId="2" fontId="30" fillId="0" borderId="1" xfId="0" applyNumberFormat="1" applyFont="1" applyBorder="1" applyAlignment="1">
      <alignment horizontal="right" vertical="center"/>
    </xf>
    <xf numFmtId="0" fontId="22" fillId="0" borderId="0" xfId="0" applyFont="1">
      <alignment vertical="center"/>
    </xf>
    <xf numFmtId="0" fontId="22" fillId="0" borderId="1" xfId="0" applyFont="1" applyBorder="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1" fillId="0" borderId="0" xfId="0" applyFont="1">
      <alignment vertical="center"/>
    </xf>
    <xf numFmtId="0" fontId="16" fillId="0" borderId="0" xfId="0" applyFont="1" applyAlignment="1"/>
    <xf numFmtId="180" fontId="0" fillId="0" borderId="0" xfId="0" applyNumberFormat="1" applyAlignment="1"/>
    <xf numFmtId="0" fontId="17" fillId="0" borderId="0" xfId="0" applyFont="1" applyAlignment="1"/>
    <xf numFmtId="179" fontId="0" fillId="0" borderId="0" xfId="0" applyNumberFormat="1">
      <alignment vertical="center"/>
    </xf>
    <xf numFmtId="2" fontId="0" fillId="0" borderId="0" xfId="0" applyNumberFormat="1">
      <alignment vertical="center"/>
    </xf>
    <xf numFmtId="0" fontId="4" fillId="2" borderId="3" xfId="0" applyFont="1" applyFill="1" applyBorder="1" applyAlignment="1">
      <alignment horizontal="center" vertical="center" wrapText="1"/>
    </xf>
    <xf numFmtId="1" fontId="0" fillId="0" borderId="0" xfId="0" applyNumberFormat="1">
      <alignment vertical="center"/>
    </xf>
    <xf numFmtId="177" fontId="0" fillId="0" borderId="0" xfId="0" applyNumberFormat="1">
      <alignment vertical="center"/>
    </xf>
    <xf numFmtId="181" fontId="4" fillId="4" borderId="1" xfId="0" applyNumberFormat="1" applyFont="1" applyFill="1" applyBorder="1" applyAlignment="1">
      <alignment horizontal="center" vertical="center" wrapText="1"/>
    </xf>
    <xf numFmtId="181" fontId="0" fillId="0" borderId="0" xfId="0" applyNumberFormat="1" applyAlignment="1"/>
    <xf numFmtId="181" fontId="4" fillId="2" borderId="1" xfId="0" applyNumberFormat="1" applyFont="1" applyFill="1" applyBorder="1" applyAlignment="1">
      <alignment horizontal="center" vertical="center" wrapText="1"/>
    </xf>
    <xf numFmtId="181" fontId="0" fillId="0" borderId="0" xfId="0" applyNumberFormat="1">
      <alignment vertical="center"/>
    </xf>
    <xf numFmtId="0" fontId="17" fillId="0" borderId="0" xfId="1" applyFont="1" applyAlignment="1">
      <alignment horizontal="left"/>
    </xf>
    <xf numFmtId="0" fontId="0" fillId="0" borderId="1" xfId="0" applyBorder="1">
      <alignment vertical="center"/>
    </xf>
    <xf numFmtId="0" fontId="35" fillId="8" borderId="0" xfId="0" applyFont="1" applyFill="1" applyAlignment="1">
      <alignment horizontal="left" vertical="center" wrapText="1"/>
    </xf>
    <xf numFmtId="0" fontId="20" fillId="8" borderId="1" xfId="0" applyFont="1" applyFill="1" applyBorder="1" applyAlignment="1">
      <alignment horizontal="center" vertical="center"/>
    </xf>
    <xf numFmtId="0" fontId="34" fillId="8" borderId="1" xfId="0" applyFont="1" applyFill="1" applyBorder="1">
      <alignment vertical="center"/>
    </xf>
    <xf numFmtId="0" fontId="34" fillId="8" borderId="1" xfId="0" applyFont="1" applyFill="1" applyBorder="1" applyAlignment="1">
      <alignment horizontal="left" vertical="center" wrapText="1"/>
    </xf>
    <xf numFmtId="0" fontId="35" fillId="8" borderId="0" xfId="0" applyFont="1" applyFill="1">
      <alignment vertical="center"/>
    </xf>
    <xf numFmtId="0" fontId="34" fillId="8" borderId="0" xfId="0" applyFont="1" applyFill="1">
      <alignment vertical="center"/>
    </xf>
    <xf numFmtId="0" fontId="35" fillId="9" borderId="0" xfId="0" applyFont="1" applyFill="1" applyAlignment="1">
      <alignment horizontal="left" vertical="center" wrapText="1"/>
    </xf>
    <xf numFmtId="0" fontId="36" fillId="9" borderId="0" xfId="0" applyFont="1" applyFill="1" applyAlignment="1">
      <alignment horizontal="left" vertical="center"/>
    </xf>
    <xf numFmtId="0" fontId="36" fillId="9" borderId="0" xfId="0" applyFont="1" applyFill="1">
      <alignment vertical="center"/>
    </xf>
    <xf numFmtId="0" fontId="36" fillId="9" borderId="0" xfId="0" applyFont="1" applyFill="1" applyAlignment="1">
      <alignment horizontal="center" vertical="center"/>
    </xf>
    <xf numFmtId="0" fontId="37" fillId="10" borderId="4" xfId="0" applyFont="1" applyFill="1" applyBorder="1" applyAlignment="1">
      <alignment horizontal="center" vertical="center"/>
    </xf>
    <xf numFmtId="0" fontId="4" fillId="2" borderId="1" xfId="0" applyFont="1" applyFill="1" applyBorder="1" applyAlignment="1">
      <alignment horizontal="right" vertical="center" wrapText="1"/>
    </xf>
    <xf numFmtId="0" fontId="23" fillId="6" borderId="0" xfId="0" applyFont="1" applyFill="1">
      <alignment vertical="center"/>
    </xf>
    <xf numFmtId="0" fontId="20" fillId="4" borderId="0" xfId="0" applyFont="1" applyFill="1">
      <alignment vertical="center"/>
    </xf>
    <xf numFmtId="0" fontId="21" fillId="0" borderId="0" xfId="0" applyFont="1">
      <alignment vertical="center"/>
    </xf>
    <xf numFmtId="0" fontId="33" fillId="8" borderId="0" xfId="0" applyFont="1" applyFill="1">
      <alignment vertical="center"/>
    </xf>
    <xf numFmtId="0" fontId="22" fillId="0" borderId="1" xfId="0" applyFont="1" applyBorder="1" applyAlignment="1">
      <alignment horizontal="left" vertical="center"/>
    </xf>
    <xf numFmtId="0" fontId="2" fillId="5" borderId="2" xfId="0" applyFont="1" applyFill="1" applyBorder="1" applyAlignment="1">
      <alignment horizontal="lef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2cec402d279a46868a6623ea662e7a40">
      <tp>
        <v>2913.5</v>
        <stp/>
        <stp>Market</stp>
        <stp>STOCK</stp>
        <stp>94330.T</stp>
        <stp>安値</stp>
        <tr r="G24" s="3"/>
      </tp>
      <tp>
        <v>990.4</v>
        <stp/>
        <stp>Market</stp>
        <stp>STOCK</stp>
        <stp>81130.T</stp>
        <stp>安値</stp>
        <tr r="G99" s="3"/>
      </tp>
      <tp>
        <v>1755.5</v>
        <stp/>
        <stp>Market</stp>
        <stp>STOCK</stp>
        <stp>80530.T</stp>
        <stp>安値</stp>
        <tr r="G9" s="3"/>
      </tp>
      <tp>
        <v>1556.5</v>
        <stp/>
        <stp>Market</stp>
        <stp>STOCK</stp>
        <stp>83030.T</stp>
        <stp>安値</stp>
        <tr r="G61" s="3"/>
      </tp>
      <tp>
        <v>1385</v>
        <stp/>
        <stp>Market</stp>
        <stp>STOCK</stp>
        <stp>85930.T</stp>
        <stp>安値</stp>
        <tr r="G43" s="3"/>
      </tp>
      <tp>
        <v>3282</v>
        <stp/>
        <stp>Market</stp>
        <stp>STOCK</stp>
        <stp>84730.T</stp>
        <stp>安値</stp>
        <tr r="G29" s="3"/>
      </tp>
      <tp>
        <v>1828</v>
        <stp/>
        <stp>Market</stp>
        <stp>STOCK</stp>
        <stp>24130.T</stp>
        <stp>安値</stp>
        <tr r="G40" s="3"/>
      </tp>
      <tp>
        <v>2348.5</v>
        <stp/>
        <stp>Market</stp>
        <stp>STOCK</stp>
        <stp>18030.T</stp>
        <stp>安値</stp>
        <tr r="G82" s="3"/>
      </tp>
      <tp>
        <v>2664.5</v>
        <stp/>
        <stp>Market</stp>
        <stp>STOCK</stp>
        <stp>70130.T</stp>
        <stp>安値</stp>
        <tr r="G20" s="3"/>
      </tp>
      <tp>
        <v>3116</v>
        <stp/>
        <stp>Market</stp>
        <stp>STOCK</stp>
        <stp>72030.T</stp>
        <stp>安値</stp>
        <tr r="G8" s="3"/>
      </tp>
      <tp>
        <v>5464</v>
        <stp/>
        <stp>Market</stp>
        <stp>STOCK</stp>
        <stp>65030.T</stp>
        <stp>安値</stp>
        <tr r="G96" s="3"/>
      </tp>
      <tp>
        <v>3258</v>
        <stp/>
        <stp>Market</stp>
        <stp>STOCK</stp>
        <stp>67230.T</stp>
        <stp>安値</stp>
        <tr r="G52" s="3"/>
      </tp>
      <tp>
        <v>4637</v>
        <stp/>
        <stp>Market</stp>
        <stp>STOCK</stp>
        <stp>69630.T</stp>
        <stp>安値</stp>
        <tr r="G36" s="3"/>
      </tp>
      <tp>
        <v>5123</v>
        <stp/>
        <stp>Market</stp>
        <stp>STOCK</stp>
        <stp>58030.T</stp>
        <stp>安値</stp>
        <tr r="G47" s="3"/>
      </tp>
      <tp>
        <v>5925</v>
        <stp/>
        <stp>Market</stp>
        <stp>STOCK</stp>
        <stp>40630.T</stp>
        <stp>安値</stp>
        <tr r="G14" s="3"/>
      </tp>
      <tp>
        <v>2330.5</v>
        <stp/>
        <stp>Market</stp>
        <stp>STOCK</stp>
        <stp>45030.T</stp>
        <stp>安値</stp>
        <tr r="G73" s="3"/>
      </tp>
      <tp>
        <v>169.9</v>
        <stp/>
        <stp>Market</stp>
        <stp>STOCK</stp>
        <stp>94320.T</stp>
        <stp>安値</stp>
        <tr r="G3" s="3"/>
      </tp>
      <tp>
        <v>1990</v>
        <stp/>
        <stp>Market</stp>
        <stp>STOCK</stp>
        <stp>33820.T</stp>
        <stp>安値</stp>
        <tr r="G98" s="3"/>
      </tp>
      <tp>
        <v>1667</v>
        <stp/>
        <stp>Market</stp>
        <stp>STOCK</stp>
        <stp>25020.T</stp>
        <stp>安値</stp>
        <tr r="G32" s="3"/>
      </tp>
      <tp>
        <v>5304</v>
        <stp/>
        <stp>Market</stp>
        <stp>STOCK</stp>
        <stp>28020.T</stp>
        <stp>安値</stp>
        <tr r="G44" s="3"/>
      </tp>
      <tp>
        <v>5401</v>
        <stp/>
        <stp>Market</stp>
        <stp>STOCK</stp>
        <stp>19420.T</stp>
        <stp>安値</stp>
        <tr r="G77" s="3"/>
      </tp>
      <tp>
        <v>3286</v>
        <stp/>
        <stp>Market</stp>
        <stp>STOCK</stp>
        <stp>71820.T</stp>
        <stp>安値</stp>
        <tr r="G64" s="3"/>
      </tp>
      <tp>
        <v>2547</v>
        <stp/>
        <stp>Market</stp>
        <stp>STOCK</stp>
        <stp>70120.T</stp>
        <stp>安値</stp>
        <tr r="G60" s="3"/>
      </tp>
      <tp>
        <v>1885</v>
        <stp/>
        <stp>Market</stp>
        <stp>STOCK</stp>
        <stp>72720.T</stp>
        <stp>安値</stp>
        <tr r="G80" s="3"/>
      </tp>
      <tp>
        <v>801.5</v>
        <stp/>
        <stp>Market</stp>
        <stp>STOCK</stp>
        <stp>75320.T</stp>
        <stp>安値</stp>
        <tr r="G59" s="3"/>
      </tp>
      <tp>
        <v>364.9</v>
        <stp/>
        <stp>Market</stp>
        <stp>STOCK</stp>
        <stp>64720.T</stp>
        <stp>安値</stp>
        <tr r="G83" s="3"/>
      </tp>
      <tp>
        <v>3002</v>
        <stp/>
        <stp>Market</stp>
        <stp>STOCK</stp>
        <stp>67620.T</stp>
        <stp>安値</stp>
        <tr r="G55" s="3"/>
      </tp>
      <tp>
        <v>3864</v>
        <stp/>
        <stp>Market</stp>
        <stp>STOCK</stp>
        <stp>67020.T</stp>
        <stp>安値</stp>
        <tr r="G56" s="3"/>
      </tp>
      <tp>
        <v>1908</v>
        <stp/>
        <stp>Market</stp>
        <stp>STOCK</stp>
        <stp>69020.T</stp>
        <stp>安値</stp>
        <tr r="G11" s="3"/>
      </tp>
      <tp>
        <v>2123</v>
        <stp/>
        <stp>Market</stp>
        <stp>STOCK</stp>
        <stp>58020.T</stp>
        <stp>安値</stp>
        <tr r="G85" s="3"/>
      </tp>
      <tp>
        <v>5721</v>
        <stp/>
        <stp>Market</stp>
        <stp>STOCK</stp>
        <stp>45020.T</stp>
        <stp>安値</stp>
        <tr r="G76" s="3"/>
      </tp>
      <tp>
        <v>651.5</v>
        <stp/>
        <stp>Market</stp>
        <stp>STOCK</stp>
        <stp>49020.T</stp>
        <stp>安値</stp>
        <tr r="G63" s="3"/>
      </tp>
    </main>
    <main first="rtdsrv.2cec402d279a46868a6623ea662e7a40">
      <tp>
        <v>521.4</v>
        <stp/>
        <stp>Market</stp>
        <stp>STOCK</stp>
        <stp>95010.T</stp>
        <stp>安値</stp>
        <tr r="G5" s="3"/>
      </tp>
      <tp>
        <v>4902</v>
        <stp/>
        <stp>Market</stp>
        <stp>STOCK</stp>
        <stp>80310.T</stp>
        <stp>安値</stp>
        <tr r="G46" s="3"/>
      </tp>
      <tp>
        <v>2095.5</v>
        <stp/>
        <stp>Market</stp>
        <stp>STOCK</stp>
        <stp>80010.T</stp>
        <stp>安値</stp>
        <tr r="G15" s="3"/>
      </tp>
      <tp>
        <v>8325</v>
        <stp/>
        <stp>Market</stp>
        <stp>STOCK</stp>
        <stp>84110.T</stp>
        <stp>安値</stp>
        <tr r="G57" s="3"/>
      </tp>
      <tp>
        <v>1826.5</v>
        <stp/>
        <stp>Market</stp>
        <stp>STOCK</stp>
        <stp>86010.T</stp>
        <stp>安値</stp>
        <tr r="G39" s="3"/>
      </tp>
      <tp>
        <v>1522.5</v>
        <stp/>
        <stp>Market</stp>
        <stp>STOCK</stp>
        <stp>88010.T</stp>
        <stp>安値</stp>
        <tr r="G94" s="3"/>
      </tp>
      <tp>
        <v>931.5</v>
        <stp/>
        <stp>Market</stp>
        <stp>STOCK</stp>
        <stp>32310.T</stp>
        <stp>安値</stp>
        <tr r="G62" s="3"/>
      </tp>
      <tp>
        <v>877.9</v>
        <stp/>
        <stp>Market</stp>
        <stp>STOCK</stp>
        <stp>38610.T</stp>
        <stp>安値</stp>
        <tr r="G37" s="3"/>
      </tp>
      <tp>
        <v>297.2</v>
        <stp/>
        <stp>Market</stp>
        <stp>STOCK</stp>
        <stp>21810.T</stp>
        <stp>安値</stp>
        <tr r="G31" s="3"/>
      </tp>
      <tp>
        <v>3844</v>
        <stp/>
        <stp>Market</stp>
        <stp>STOCK</stp>
        <stp>70110.T</stp>
        <stp>安値</stp>
        <tr r="G12" s="3"/>
      </tp>
      <tp>
        <v>1207</v>
        <stp/>
        <stp>Market</stp>
        <stp>STOCK</stp>
        <stp>72610.T</stp>
        <stp>安値</stp>
        <tr r="G38" s="3"/>
      </tp>
      <tp>
        <v>319.8</v>
        <stp/>
        <stp>Market</stp>
        <stp>STOCK</stp>
        <stp>72010.T</stp>
        <stp>安値</stp>
        <tr r="G49" s="3"/>
      </tp>
      <tp>
        <v>385.5</v>
        <stp/>
        <stp>Market</stp>
        <stp>STOCK</stp>
        <stp>72110.T</stp>
        <stp>安値</stp>
        <tr r="G65" s="3"/>
      </tp>
      <tp>
        <v>4657</v>
        <stp/>
        <stp>Market</stp>
        <stp>STOCK</stp>
        <stp>77510.T</stp>
        <stp>安値</stp>
        <tr r="G69" s="3"/>
      </tp>
      <tp>
        <v>5395</v>
        <stp/>
        <stp>Market</stp>
        <stp>STOCK</stp>
        <stp>65010.T</stp>
        <stp>安値</stp>
        <tr r="G90" s="3"/>
      </tp>
      <tp>
        <v>1082</v>
        <stp/>
        <stp>Market</stp>
        <stp>STOCK</stp>
        <stp>64710.T</stp>
        <stp>安値</stp>
        <tr r="G75" s="3"/>
      </tp>
      <tp>
        <v>4878</v>
        <stp/>
        <stp>Market</stp>
        <stp>STOCK</stp>
        <stp>67010.T</stp>
        <stp>安値</stp>
        <tr r="G30" s="3"/>
      </tp>
      <tp>
        <v>3573</v>
        <stp/>
        <stp>Market</stp>
        <stp>STOCK</stp>
        <stp>69710.T</stp>
        <stp>安値</stp>
        <tr r="G95" s="3"/>
      </tp>
      <tp>
        <v>663.7</v>
        <stp/>
        <stp>Market</stp>
        <stp>STOCK</stp>
        <stp>54010.T</stp>
        <stp>安値</stp>
        <tr r="G6" s="3"/>
      </tp>
      <tp>
        <v>1824.5</v>
        <stp/>
        <stp>Market</stp>
        <stp>STOCK</stp>
        <stp>54110.T</stp>
        <stp>安値</stp>
        <tr r="G101" s="3"/>
      </tp>
      <tp>
        <v>3697</v>
        <stp/>
        <stp>Market</stp>
        <stp>STOCK</stp>
        <stp>58010.T</stp>
        <stp>安値</stp>
        <tr r="G86" s="3"/>
      </tp>
      <tp>
        <v>3023</v>
        <stp/>
        <stp>Market</stp>
        <stp>STOCK</stp>
        <stp>46610.T</stp>
        <stp>安値</stp>
        <tr r="G54" s="3"/>
      </tp>
      <tp>
        <v>336.2</v>
        <stp/>
        <stp>Market</stp>
        <stp>STOCK</stp>
        <stp>84100.T</stp>
        <stp>安値</stp>
        <tr r="G66" s="3"/>
      </tp>
      <tp>
        <v>1811</v>
        <stp/>
        <stp>Market</stp>
        <stp>STOCK</stp>
        <stp>87500.T</stp>
        <stp>安値</stp>
        <tr r="G68" s="3"/>
      </tp>
      <tp>
        <v>2901</v>
        <stp/>
        <stp>Market</stp>
        <stp>STOCK</stp>
        <stp>31100.T</stp>
        <stp>安値</stp>
        <tr r="G42" s="3"/>
      </tp>
      <tp>
        <v>309</v>
        <stp/>
        <stp>Market</stp>
        <stp>STOCK</stp>
        <stp>33500.T</stp>
        <stp>安値</stp>
        <tr r="G88" s="3"/>
      </tp>
      <tp>
        <v>32640</v>
        <stp/>
        <stp>Market</stp>
        <stp>STOCK</stp>
        <stp>69200.T</stp>
        <stp>安値</stp>
        <tr r="G81" s="3"/>
      </tp>
      <tp>
        <v>1320.5</v>
        <stp/>
        <stp>Market</stp>
        <stp>STOCK</stp>
        <stp>50200.T</stp>
        <stp>安値</stp>
        <tr r="G67" s="3"/>
      </tp>
      <tp>
        <v>1355.5</v>
        <stp/>
        <stp>Market</stp>
        <stp>STOCK</stp>
        <stp>82670.T</stp>
        <stp>安値</stp>
        <tr r="G25" s="3"/>
      </tp>
      <tp>
        <v>2250</v>
        <stp/>
        <stp>Market</stp>
        <stp>STOCK</stp>
        <stp>86970.T</stp>
        <stp>安値</stp>
        <tr r="G45" s="3"/>
      </tp>
      <tp>
        <v>1595</v>
        <stp/>
        <stp>Market</stp>
        <stp>STOCK</stp>
        <stp>34070.T</stp>
        <stp>安値</stp>
        <tr r="G26" s="3"/>
      </tp>
      <tp>
        <v>947.5</v>
        <stp/>
        <stp>Market</stp>
        <stp>STOCK</stp>
        <stp>36970.T</stp>
        <stp>安値</stp>
        <tr r="G72" s="3"/>
      </tp>
      <tp>
        <v>678</v>
        <stp/>
        <stp>Market</stp>
        <stp>STOCK</stp>
        <stp>21270.T</stp>
        <stp>安値</stp>
        <tr r="G33" s="3"/>
      </tp>
      <tp>
        <v>1697</v>
        <stp/>
        <stp>Market</stp>
        <stp>STOCK</stp>
        <stp>72670.T</stp>
        <stp>安値</stp>
        <tr r="G53" s="3"/>
      </tp>
      <tp>
        <v>32280</v>
        <stp/>
        <stp>Market</stp>
        <stp>STOCK</stp>
        <stp>68570.T</stp>
        <stp>安値</stp>
        <tr r="G16" s="3"/>
      </tp>
      <tp>
        <v>5208</v>
        <stp/>
        <stp>Market</stp>
        <stp>STOCK</stp>
        <stp>43070.T</stp>
        <stp>安値</stp>
        <tr r="G41" s="3"/>
      </tp>
      <tp>
        <v>1274</v>
        <stp/>
        <stp>Market</stp>
        <stp>STOCK</stp>
        <stp>81360.T</stp>
        <stp>安値</stp>
        <tr r="G89" s="3"/>
      </tp>
      <tp>
        <v>3585</v>
        <stp/>
        <stp>Market</stp>
        <stp>STOCK</stp>
        <stp>83060.T</stp>
        <stp>安値</stp>
        <tr r="G4" s="3"/>
      </tp>
      <tp>
        <v>6776</v>
        <stp/>
        <stp>Market</stp>
        <stp>STOCK</stp>
        <stp>83160.T</stp>
        <stp>安値</stp>
        <tr r="G19" s="3"/>
      </tp>
      <tp>
        <v>3241</v>
        <stp/>
        <stp>Market</stp>
        <stp>STOCK</stp>
        <stp>34360.T</stp>
        <stp>安値</stp>
        <tr r="G58" s="3"/>
      </tp>
      <tp>
        <v>234</v>
        <stp/>
        <stp>Market</stp>
        <stp>STOCK</stp>
        <stp>21460.T</stp>
        <stp>安値</stp>
        <tr r="G74" s="3"/>
      </tp>
      <tp>
        <v>1936</v>
        <stp/>
        <stp>Market</stp>
        <stp>STOCK</stp>
        <stp>65260.T</stp>
        <stp>安値</stp>
        <tr r="G93" s="3"/>
      </tp>
      <tp>
        <v>4618</v>
        <stp/>
        <stp>Market</stp>
        <stp>STOCK</stp>
        <stp>65060.T</stp>
        <stp>安値</stp>
        <tr r="G71" s="3"/>
      </tp>
      <tp>
        <v>3598</v>
        <stp/>
        <stp>Market</stp>
        <stp>STOCK</stp>
        <stp>50160.T</stp>
        <stp>安値</stp>
        <tr r="G87" s="3"/>
      </tp>
      <tp>
        <v>53360</v>
        <stp/>
        <stp>Market</stp>
        <stp>STOCK</stp>
        <stp>80350.T</stp>
        <stp>安値</stp>
        <tr r="G23" s="3"/>
      </tp>
      <tp>
        <v>13105</v>
        <stp/>
        <stp>Market</stp>
        <stp>STOCK</stp>
        <stp>77350.T</stp>
        <stp>安値</stp>
        <tr r="G70" s="3"/>
      </tp>
      <tp>
        <v>2247</v>
        <stp/>
        <stp>Market</stp>
        <stp>STOCK</stp>
        <stp>63150.T</stp>
        <stp>安値</stp>
        <tr r="G100" s="3"/>
      </tp>
      <tp>
        <v>549.6</v>
        <stp/>
        <stp>Market</stp>
        <stp>STOCK</stp>
        <stp>40050.T</stp>
        <stp>安値</stp>
        <tr r="G21" s="3"/>
      </tp>
      <tp>
        <v>776</v>
        <stp/>
        <stp>Market</stp>
        <stp>STOCK</stp>
        <stp>47550.T</stp>
        <stp>安値</stp>
        <tr r="G92" s="3"/>
      </tp>
    </main>
    <main first="rtdsrv.2cec402d279a46868a6623ea662e7a40">
      <tp>
        <v>4883</v>
        <stp/>
        <stp>Market</stp>
        <stp>STOCK</stp>
        <stp>99840.T</stp>
        <stp>安値</stp>
        <tr r="G50" s="3"/>
      </tp>
      <tp>
        <v>1615.5</v>
        <stp/>
        <stp>Market</stp>
        <stp>STOCK</stp>
        <stp>86040.T</stp>
        <stp>安値</stp>
        <tr r="G13" s="3"/>
      </tp>
      <tp>
        <v>6901</v>
        <stp/>
        <stp>Market</stp>
        <stp>STOCK</stp>
        <stp>29140.T</stp>
        <stp>安値</stp>
        <tr r="G28" s="3"/>
      </tp>
      <tp>
        <v>8877</v>
        <stp/>
        <stp>Market</stp>
        <stp>STOCK</stp>
        <stp>79740.T</stp>
        <stp>安値</stp>
        <tr r="G17" s="3"/>
      </tp>
      <tp>
        <v>5870</v>
        <stp/>
        <stp>Market</stp>
        <stp>STOCK</stp>
        <stp>69540.T</stp>
        <stp>安値</stp>
        <tr r="G97" s="3"/>
      </tp>
    </main>
    <main first="rtdsrv.2cec402d279a46868a6623ea662e7a40">
      <tp>
        <v>1750</v>
        <stp/>
        <stp>Market</stp>
        <stp>STOCK</stp>
        <stp>83090.T</stp>
        <stp>安値</stp>
        <tr r="G18" s="3"/>
      </tp>
      <tp>
        <v>158</v>
        <stp/>
        <stp>Market</stp>
        <stp>STOCK</stp>
        <stp>87290.T</stp>
        <stp>安値</stp>
        <tr r="G48" s="3"/>
      </tp>
      <tp>
        <v>2170</v>
        <stp/>
        <stp>Market</stp>
        <stp>STOCK</stp>
        <stp>72690.T</stp>
        <stp>安値</stp>
        <tr r="G35" s="3"/>
      </tp>
      <tp>
        <v>2229.5</v>
        <stp/>
        <stp>Market</stp>
        <stp>STOCK</stp>
        <stp>72590.T</stp>
        <stp>安値</stp>
        <tr r="G78" s="3"/>
      </tp>
      <tp>
        <v>552</v>
        <stp/>
        <stp>Market</stp>
        <stp>STOCK</stp>
        <stp>46890.T</stp>
        <stp>安値</stp>
        <tr r="G10" s="3"/>
      </tp>
    </main>
    <main first="rtdsrv.2cec402d279a46868a6623ea662e7a40">
      <tp>
        <v>4721</v>
        <stp/>
        <stp>Market</stp>
        <stp>STOCK</stp>
        <stp>80580.T</stp>
        <stp>安値</stp>
        <tr r="G34" s="3"/>
      </tp>
      <tp>
        <v>2483.5</v>
        <stp/>
        <stp>Market</stp>
        <stp>STOCK</stp>
        <stp>83080.T</stp>
        <stp>安値</stp>
        <tr r="G27" s="3"/>
      </tp>
      <tp>
        <v>2404</v>
        <stp/>
        <stp>Market</stp>
        <stp>STOCK</stp>
        <stp>61780.T</stp>
        <stp>安値</stp>
        <tr r="G79" s="3"/>
      </tp>
      <tp>
        <v>3937</v>
        <stp/>
        <stp>Market</stp>
        <stp>STOCK</stp>
        <stp>67580.T</stp>
        <stp>安値</stp>
        <tr r="G7" s="3"/>
      </tp>
      <tp>
        <v>1751.5</v>
        <stp/>
        <stp>Market</stp>
        <stp>STOCK</stp>
        <stp>59380.T</stp>
        <stp>安値</stp>
        <tr r="G84" s="3"/>
      </tp>
      <tp>
        <v>1167.5</v>
        <stp/>
        <stp>Market</stp>
        <stp>STOCK</stp>
        <stp>41880.T</stp>
        <stp>安値</stp>
        <tr r="G22" s="3"/>
      </tp>
      <tp>
        <v>2845</v>
        <stp/>
        <stp>Market</stp>
        <stp>STOCK</stp>
        <stp>45680.T</stp>
        <stp>安値</stp>
        <tr r="G91" s="3"/>
      </tp>
    </main>
    <main first="rtdsrv.2cec402d279a46868a6623ea662e7a40">
      <tp t="s">
        <v/>
        <stp/>
        <stp>Market</stp>
        <stp>STOCK</stp>
        <stp>40050.T</stp>
        <stp>終値</stp>
        <tr r="H21" s="3"/>
      </tp>
      <tp t="s">
        <v/>
        <stp/>
        <stp>Market</stp>
        <stp>STOCK</stp>
        <stp>47550.T</stp>
        <stp>終値</stp>
        <tr r="H92" s="3"/>
      </tp>
      <tp t="s">
        <v/>
        <stp/>
        <stp>Market</stp>
        <stp>STOCK</stp>
        <stp>63150.T</stp>
        <stp>終値</stp>
        <tr r="H100" s="3"/>
      </tp>
      <tp t="s">
        <v/>
        <stp/>
        <stp>Market</stp>
        <stp>STOCK</stp>
        <stp>77350.T</stp>
        <stp>終値</stp>
        <tr r="H70" s="3"/>
      </tp>
      <tp t="s">
        <v/>
        <stp/>
        <stp>Market</stp>
        <stp>STOCK</stp>
        <stp>80350.T</stp>
        <stp>終値</stp>
        <tr r="H23" s="3"/>
      </tp>
    </main>
    <main first="rtdsrv.2cec402d279a46868a6623ea662e7a40">
      <tp t="s">
        <v/>
        <stp/>
        <stp>Market</stp>
        <stp>STOCK</stp>
        <stp>29140.T</stp>
        <stp>終値</stp>
        <tr r="H28" s="3"/>
      </tp>
      <tp t="s">
        <v/>
        <stp/>
        <stp>Market</stp>
        <stp>STOCK</stp>
        <stp>69540.T</stp>
        <stp>終値</stp>
        <tr r="H97" s="3"/>
      </tp>
      <tp t="s">
        <v/>
        <stp/>
        <stp>Market</stp>
        <stp>STOCK</stp>
        <stp>79740.T</stp>
        <stp>終値</stp>
        <tr r="H17" s="3"/>
      </tp>
      <tp t="s">
        <v/>
        <stp/>
        <stp>Market</stp>
        <stp>STOCK</stp>
        <stp>86040.T</stp>
        <stp>終値</stp>
        <tr r="H13" s="3"/>
      </tp>
      <tp t="s">
        <v/>
        <stp/>
        <stp>Market</stp>
        <stp>STOCK</stp>
        <stp>99840.T</stp>
        <stp>終値</stp>
        <tr r="H50" s="3"/>
      </tp>
      <tp t="s">
        <v/>
        <stp/>
        <stp>Market</stp>
        <stp>STOCK</stp>
        <stp>21270.T</stp>
        <stp>終値</stp>
        <tr r="H33" s="3"/>
      </tp>
      <tp t="s">
        <v/>
        <stp/>
        <stp>Market</stp>
        <stp>STOCK</stp>
        <stp>34070.T</stp>
        <stp>終値</stp>
        <tr r="H26" s="3"/>
      </tp>
      <tp t="s">
        <v/>
        <stp/>
        <stp>Market</stp>
        <stp>STOCK</stp>
        <stp>36970.T</stp>
        <stp>終値</stp>
        <tr r="H72" s="3"/>
      </tp>
      <tp t="s">
        <v/>
        <stp/>
        <stp>Market</stp>
        <stp>STOCK</stp>
        <stp>43070.T</stp>
        <stp>終値</stp>
        <tr r="H41" s="3"/>
      </tp>
      <tp t="s">
        <v/>
        <stp/>
        <stp>Market</stp>
        <stp>STOCK</stp>
        <stp>68570.T</stp>
        <stp>終値</stp>
        <tr r="H16" s="3"/>
      </tp>
      <tp t="s">
        <v/>
        <stp/>
        <stp>Market</stp>
        <stp>STOCK</stp>
        <stp>72670.T</stp>
        <stp>終値</stp>
        <tr r="H53" s="3"/>
      </tp>
      <tp t="s">
        <v/>
        <stp/>
        <stp>Market</stp>
        <stp>STOCK</stp>
        <stp>82670.T</stp>
        <stp>終値</stp>
        <tr r="H25" s="3"/>
      </tp>
      <tp t="s">
        <v/>
        <stp/>
        <stp>Market</stp>
        <stp>STOCK</stp>
        <stp>86970.T</stp>
        <stp>終値</stp>
        <tr r="H45" s="3"/>
      </tp>
    </main>
    <main first="rtdsrv.2cec402d279a46868a6623ea662e7a40">
      <tp t="s">
        <v/>
        <stp/>
        <stp>Market</stp>
        <stp>STOCK</stp>
        <stp>21460.T</stp>
        <stp>終値</stp>
        <tr r="H74" s="3"/>
      </tp>
      <tp t="s">
        <v/>
        <stp/>
        <stp>Market</stp>
        <stp>STOCK</stp>
        <stp>34360.T</stp>
        <stp>終値</stp>
        <tr r="H58" s="3"/>
      </tp>
      <tp t="s">
        <v/>
        <stp/>
        <stp>Market</stp>
        <stp>STOCK</stp>
        <stp>50160.T</stp>
        <stp>終値</stp>
        <tr r="H87" s="3"/>
      </tp>
      <tp t="s">
        <v/>
        <stp/>
        <stp>Market</stp>
        <stp>STOCK</stp>
        <stp>65260.T</stp>
        <stp>終値</stp>
        <tr r="H93" s="3"/>
      </tp>
      <tp t="s">
        <v/>
        <stp/>
        <stp>Market</stp>
        <stp>STOCK</stp>
        <stp>65060.T</stp>
        <stp>終値</stp>
        <tr r="H71" s="3"/>
      </tp>
      <tp t="s">
        <v/>
        <stp/>
        <stp>Market</stp>
        <stp>STOCK</stp>
        <stp>81360.T</stp>
        <stp>終値</stp>
        <tr r="H89" s="3"/>
      </tp>
      <tp t="s">
        <v/>
        <stp/>
        <stp>Market</stp>
        <stp>STOCK</stp>
        <stp>83060.T</stp>
        <stp>終値</stp>
        <tr r="H4" s="3"/>
      </tp>
      <tp t="s">
        <v/>
        <stp/>
        <stp>Market</stp>
        <stp>STOCK</stp>
        <stp>83160.T</stp>
        <stp>終値</stp>
        <tr r="H19" s="3"/>
      </tp>
      <tp t="s">
        <v/>
        <stp/>
        <stp>Market</stp>
        <stp>STOCK</stp>
        <stp>21810.T</stp>
        <stp>終値</stp>
        <tr r="H31" s="3"/>
      </tp>
      <tp t="s">
        <v/>
        <stp/>
        <stp>Market</stp>
        <stp>STOCK</stp>
        <stp>32310.T</stp>
        <stp>終値</stp>
        <tr r="H62" s="3"/>
      </tp>
      <tp t="s">
        <v/>
        <stp/>
        <stp>Market</stp>
        <stp>STOCK</stp>
        <stp>38610.T</stp>
        <stp>終値</stp>
        <tr r="H37" s="3"/>
      </tp>
      <tp t="s">
        <v/>
        <stp/>
        <stp>Market</stp>
        <stp>STOCK</stp>
        <stp>46610.T</stp>
        <stp>終値</stp>
        <tr r="H54" s="3"/>
      </tp>
      <tp t="s">
        <v/>
        <stp/>
        <stp>Market</stp>
        <stp>STOCK</stp>
        <stp>54010.T</stp>
        <stp>終値</stp>
        <tr r="H6" s="3"/>
      </tp>
      <tp t="s">
        <v/>
        <stp/>
        <stp>Market</stp>
        <stp>STOCK</stp>
        <stp>54110.T</stp>
        <stp>終値</stp>
        <tr r="H101" s="3"/>
      </tp>
      <tp t="s">
        <v/>
        <stp/>
        <stp>Market</stp>
        <stp>STOCK</stp>
        <stp>58010.T</stp>
        <stp>終値</stp>
        <tr r="H86" s="3"/>
      </tp>
      <tp t="s">
        <v/>
        <stp/>
        <stp>Market</stp>
        <stp>STOCK</stp>
        <stp>65010.T</stp>
        <stp>終値</stp>
        <tr r="H90" s="3"/>
      </tp>
      <tp t="s">
        <v/>
        <stp/>
        <stp>Market</stp>
        <stp>STOCK</stp>
        <stp>64710.T</stp>
        <stp>終値</stp>
        <tr r="H75" s="3"/>
      </tp>
      <tp t="s">
        <v/>
        <stp/>
        <stp>Market</stp>
        <stp>STOCK</stp>
        <stp>67010.T</stp>
        <stp>終値</stp>
        <tr r="H30" s="3"/>
      </tp>
      <tp t="s">
        <v/>
        <stp/>
        <stp>Market</stp>
        <stp>STOCK</stp>
        <stp>69710.T</stp>
        <stp>終値</stp>
        <tr r="H95" s="3"/>
      </tp>
      <tp t="s">
        <v/>
        <stp/>
        <stp>Market</stp>
        <stp>STOCK</stp>
        <stp>70110.T</stp>
        <stp>終値</stp>
        <tr r="H12" s="3"/>
      </tp>
      <tp t="s">
        <v/>
        <stp/>
        <stp>Market</stp>
        <stp>STOCK</stp>
        <stp>72610.T</stp>
        <stp>終値</stp>
        <tr r="H38" s="3"/>
      </tp>
      <tp t="s">
        <v/>
        <stp/>
        <stp>Market</stp>
        <stp>STOCK</stp>
        <stp>72010.T</stp>
        <stp>終値</stp>
        <tr r="H49" s="3"/>
      </tp>
      <tp t="s">
        <v/>
        <stp/>
        <stp>Market</stp>
        <stp>STOCK</stp>
        <stp>72110.T</stp>
        <stp>終値</stp>
        <tr r="H65" s="3"/>
      </tp>
      <tp t="s">
        <v/>
        <stp/>
        <stp>Market</stp>
        <stp>STOCK</stp>
        <stp>77510.T</stp>
        <stp>終値</stp>
        <tr r="H69" s="3"/>
      </tp>
      <tp t="s">
        <v/>
        <stp/>
        <stp>Market</stp>
        <stp>STOCK</stp>
        <stp>80310.T</stp>
        <stp>終値</stp>
        <tr r="H46" s="3"/>
      </tp>
      <tp t="s">
        <v/>
        <stp/>
        <stp>Market</stp>
        <stp>STOCK</stp>
        <stp>80010.T</stp>
        <stp>終値</stp>
        <tr r="H15" s="3"/>
      </tp>
      <tp t="s">
        <v/>
        <stp/>
        <stp>Market</stp>
        <stp>STOCK</stp>
        <stp>84110.T</stp>
        <stp>終値</stp>
        <tr r="H57" s="3"/>
      </tp>
      <tp t="s">
        <v/>
        <stp/>
        <stp>Market</stp>
        <stp>STOCK</stp>
        <stp>86010.T</stp>
        <stp>終値</stp>
        <tr r="H39" s="3"/>
      </tp>
      <tp t="s">
        <v/>
        <stp/>
        <stp>Market</stp>
        <stp>STOCK</stp>
        <stp>88010.T</stp>
        <stp>終値</stp>
        <tr r="H94" s="3"/>
      </tp>
      <tp t="s">
        <v/>
        <stp/>
        <stp>Market</stp>
        <stp>STOCK</stp>
        <stp>95010.T</stp>
        <stp>終値</stp>
        <tr r="H5" s="3"/>
      </tp>
      <tp t="s">
        <v/>
        <stp/>
        <stp>Market</stp>
        <stp>STOCK</stp>
        <stp>31100.T</stp>
        <stp>終値</stp>
        <tr r="H42" s="3"/>
      </tp>
      <tp t="s">
        <v/>
        <stp/>
        <stp>Market</stp>
        <stp>STOCK</stp>
        <stp>33500.T</stp>
        <stp>終値</stp>
        <tr r="H88" s="3"/>
      </tp>
      <tp t="s">
        <v/>
        <stp/>
        <stp>Market</stp>
        <stp>STOCK</stp>
        <stp>50200.T</stp>
        <stp>終値</stp>
        <tr r="H67" s="3"/>
      </tp>
      <tp t="s">
        <v/>
        <stp/>
        <stp>Market</stp>
        <stp>STOCK</stp>
        <stp>69200.T</stp>
        <stp>終値</stp>
        <tr r="H81" s="3"/>
      </tp>
      <tp t="s">
        <v/>
        <stp/>
        <stp>Market</stp>
        <stp>STOCK</stp>
        <stp>84100.T</stp>
        <stp>終値</stp>
        <tr r="H66" s="3"/>
      </tp>
      <tp t="s">
        <v/>
        <stp/>
        <stp>Market</stp>
        <stp>STOCK</stp>
        <stp>87500.T</stp>
        <stp>終値</stp>
        <tr r="H68" s="3"/>
      </tp>
      <tp t="s">
        <v/>
        <stp/>
        <stp>Market</stp>
        <stp>STOCK</stp>
        <stp>18030.T</stp>
        <stp>終値</stp>
        <tr r="H82" s="3"/>
      </tp>
      <tp t="s">
        <v/>
        <stp/>
        <stp>Market</stp>
        <stp>STOCK</stp>
        <stp>24130.T</stp>
        <stp>終値</stp>
        <tr r="H40" s="3"/>
      </tp>
      <tp t="s">
        <v/>
        <stp/>
        <stp>Market</stp>
        <stp>STOCK</stp>
        <stp>40630.T</stp>
        <stp>終値</stp>
        <tr r="H14" s="3"/>
      </tp>
      <tp t="s">
        <v/>
        <stp/>
        <stp>Market</stp>
        <stp>STOCK</stp>
        <stp>45030.T</stp>
        <stp>終値</stp>
        <tr r="H73" s="3"/>
      </tp>
      <tp t="s">
        <v/>
        <stp/>
        <stp>Market</stp>
        <stp>STOCK</stp>
        <stp>58030.T</stp>
        <stp>終値</stp>
        <tr r="H47" s="3"/>
      </tp>
      <tp t="s">
        <v/>
        <stp/>
        <stp>Market</stp>
        <stp>STOCK</stp>
        <stp>65030.T</stp>
        <stp>終値</stp>
        <tr r="H96" s="3"/>
      </tp>
      <tp t="s">
        <v/>
        <stp/>
        <stp>Market</stp>
        <stp>STOCK</stp>
        <stp>67230.T</stp>
        <stp>終値</stp>
        <tr r="H52" s="3"/>
      </tp>
      <tp t="s">
        <v/>
        <stp/>
        <stp>Market</stp>
        <stp>STOCK</stp>
        <stp>69630.T</stp>
        <stp>終値</stp>
        <tr r="H36" s="3"/>
      </tp>
      <tp t="s">
        <v/>
        <stp/>
        <stp>Market</stp>
        <stp>STOCK</stp>
        <stp>70130.T</stp>
        <stp>終値</stp>
        <tr r="H20" s="3"/>
      </tp>
      <tp t="s">
        <v/>
        <stp/>
        <stp>Market</stp>
        <stp>STOCK</stp>
        <stp>72030.T</stp>
        <stp>終値</stp>
        <tr r="H8" s="3"/>
      </tp>
      <tp t="s">
        <v/>
        <stp/>
        <stp>Market</stp>
        <stp>STOCK</stp>
        <stp>81130.T</stp>
        <stp>終値</stp>
        <tr r="H99" s="3"/>
      </tp>
      <tp t="s">
        <v/>
        <stp/>
        <stp>Market</stp>
        <stp>STOCK</stp>
        <stp>80530.T</stp>
        <stp>終値</stp>
        <tr r="H9" s="3"/>
      </tp>
      <tp t="s">
        <v/>
        <stp/>
        <stp>Market</stp>
        <stp>STOCK</stp>
        <stp>83030.T</stp>
        <stp>終値</stp>
        <tr r="H61" s="3"/>
      </tp>
      <tp t="s">
        <v/>
        <stp/>
        <stp>Market</stp>
        <stp>STOCK</stp>
        <stp>85930.T</stp>
        <stp>終値</stp>
        <tr r="H43" s="3"/>
      </tp>
      <tp t="s">
        <v/>
        <stp/>
        <stp>Market</stp>
        <stp>STOCK</stp>
        <stp>84730.T</stp>
        <stp>終値</stp>
        <tr r="H29" s="3"/>
      </tp>
      <tp t="s">
        <v/>
        <stp/>
        <stp>Market</stp>
        <stp>STOCK</stp>
        <stp>94330.T</stp>
        <stp>終値</stp>
        <tr r="H24" s="3"/>
      </tp>
      <tp t="s">
        <v/>
        <stp/>
        <stp>Market</stp>
        <stp>STOCK</stp>
        <stp>19420.T</stp>
        <stp>終値</stp>
        <tr r="H77" s="3"/>
      </tp>
      <tp t="s">
        <v/>
        <stp/>
        <stp>Market</stp>
        <stp>STOCK</stp>
        <stp>25020.T</stp>
        <stp>終値</stp>
        <tr r="H32" s="3"/>
      </tp>
      <tp t="s">
        <v/>
        <stp/>
        <stp>Market</stp>
        <stp>STOCK</stp>
        <stp>28020.T</stp>
        <stp>終値</stp>
        <tr r="H44" s="3"/>
      </tp>
      <tp t="s">
        <v/>
        <stp/>
        <stp>Market</stp>
        <stp>STOCK</stp>
        <stp>33820.T</stp>
        <stp>終値</stp>
        <tr r="H98" s="3"/>
      </tp>
      <tp t="s">
        <v/>
        <stp/>
        <stp>Market</stp>
        <stp>STOCK</stp>
        <stp>45020.T</stp>
        <stp>終値</stp>
        <tr r="H76" s="3"/>
      </tp>
      <tp t="s">
        <v/>
        <stp/>
        <stp>Market</stp>
        <stp>STOCK</stp>
        <stp>49020.T</stp>
        <stp>終値</stp>
        <tr r="H63" s="3"/>
      </tp>
      <tp t="s">
        <v/>
        <stp/>
        <stp>Market</stp>
        <stp>STOCK</stp>
        <stp>58020.T</stp>
        <stp>終値</stp>
        <tr r="H85" s="3"/>
      </tp>
      <tp t="s">
        <v/>
        <stp/>
        <stp>Market</stp>
        <stp>STOCK</stp>
        <stp>64720.T</stp>
        <stp>終値</stp>
        <tr r="H83" s="3"/>
      </tp>
      <tp t="s">
        <v/>
        <stp/>
        <stp>Market</stp>
        <stp>STOCK</stp>
        <stp>67620.T</stp>
        <stp>終値</stp>
        <tr r="H55" s="3"/>
      </tp>
      <tp t="s">
        <v/>
        <stp/>
        <stp>Market</stp>
        <stp>STOCK</stp>
        <stp>67020.T</stp>
        <stp>終値</stp>
        <tr r="H56" s="3"/>
      </tp>
      <tp t="s">
        <v/>
        <stp/>
        <stp>Market</stp>
        <stp>STOCK</stp>
        <stp>69020.T</stp>
        <stp>終値</stp>
        <tr r="H11" s="3"/>
      </tp>
      <tp t="s">
        <v/>
        <stp/>
        <stp>Market</stp>
        <stp>STOCK</stp>
        <stp>71820.T</stp>
        <stp>終値</stp>
        <tr r="H64" s="3"/>
      </tp>
      <tp t="s">
        <v/>
        <stp/>
        <stp>Market</stp>
        <stp>STOCK</stp>
        <stp>70120.T</stp>
        <stp>終値</stp>
        <tr r="H60" s="3"/>
      </tp>
      <tp t="s">
        <v/>
        <stp/>
        <stp>Market</stp>
        <stp>STOCK</stp>
        <stp>72720.T</stp>
        <stp>終値</stp>
        <tr r="H80" s="3"/>
      </tp>
      <tp t="s">
        <v/>
        <stp/>
        <stp>Market</stp>
        <stp>STOCK</stp>
        <stp>75320.T</stp>
        <stp>終値</stp>
        <tr r="H59" s="3"/>
      </tp>
      <tp t="s">
        <v/>
        <stp/>
        <stp>Market</stp>
        <stp>STOCK</stp>
        <stp>94320.T</stp>
        <stp>終値</stp>
        <tr r="H3" s="3"/>
      </tp>
    </main>
    <main first="rtdsrv.2cec402d279a46868a6623ea662e7a40">
      <tp t="s">
        <v/>
        <stp/>
        <stp>Market</stp>
        <stp>STOCK</stp>
        <stp>46890.T</stp>
        <stp>終値</stp>
        <tr r="H10" s="3"/>
      </tp>
      <tp t="s">
        <v/>
        <stp/>
        <stp>Market</stp>
        <stp>STOCK</stp>
        <stp>72690.T</stp>
        <stp>終値</stp>
        <tr r="H35" s="3"/>
      </tp>
      <tp t="s">
        <v/>
        <stp/>
        <stp>Market</stp>
        <stp>STOCK</stp>
        <stp>72590.T</stp>
        <stp>終値</stp>
        <tr r="H78" s="3"/>
      </tp>
      <tp t="s">
        <v/>
        <stp/>
        <stp>Market</stp>
        <stp>STOCK</stp>
        <stp>83090.T</stp>
        <stp>終値</stp>
        <tr r="H18" s="3"/>
      </tp>
      <tp t="s">
        <v/>
        <stp/>
        <stp>Market</stp>
        <stp>STOCK</stp>
        <stp>87290.T</stp>
        <stp>終値</stp>
        <tr r="H48" s="3"/>
      </tp>
    </main>
    <main first="rtdsrv.2cec402d279a46868a6623ea662e7a40">
      <tp t="s">
        <v/>
        <stp/>
        <stp>Market</stp>
        <stp>STOCK</stp>
        <stp>41880.T</stp>
        <stp>終値</stp>
        <tr r="H22" s="3"/>
      </tp>
      <tp t="s">
        <v/>
        <stp/>
        <stp>Market</stp>
        <stp>STOCK</stp>
        <stp>45680.T</stp>
        <stp>終値</stp>
        <tr r="H91" s="3"/>
      </tp>
      <tp t="s">
        <v/>
        <stp/>
        <stp>Market</stp>
        <stp>STOCK</stp>
        <stp>59380.T</stp>
        <stp>終値</stp>
        <tr r="H84" s="3"/>
      </tp>
      <tp t="s">
        <v/>
        <stp/>
        <stp>Market</stp>
        <stp>STOCK</stp>
        <stp>61780.T</stp>
        <stp>終値</stp>
        <tr r="H79" s="3"/>
      </tp>
      <tp t="s">
        <v/>
        <stp/>
        <stp>Market</stp>
        <stp>STOCK</stp>
        <stp>67580.T</stp>
        <stp>終値</stp>
        <tr r="H7" s="3"/>
      </tp>
      <tp t="s">
        <v/>
        <stp/>
        <stp>Market</stp>
        <stp>STOCK</stp>
        <stp>80580.T</stp>
        <stp>終値</stp>
        <tr r="H34" s="3"/>
      </tp>
      <tp t="s">
        <v/>
        <stp/>
        <stp>Market</stp>
        <stp>STOCK</stp>
        <stp>83080.T</stp>
        <stp>終値</stp>
        <tr r="H27" s="3"/>
      </tp>
    </main>
    <main first="rtdsrv.2cec402d279a46868a6623ea662e7a40">
      <tp t="s">
        <v/>
        <stp/>
        <stp>Market</stp>
        <stp>STOCK</stp>
        <stp>543A0.T</stp>
        <stp>終値</stp>
        <tr r="H51" s="3"/>
      </tp>
    </main>
    <main first="rtdsrv.2cec402d279a46868a6623ea662e7a40">
      <tp>
        <v>272</v>
        <stp/>
        <stp>Market</stp>
        <stp>STOCK</stp>
        <stp>543A0.T</stp>
        <stp>安値</stp>
        <tr r="G51" s="3"/>
      </tp>
    </main>
    <main first="rtdsrv.2cec402d279a46868a6623ea662e7a40">
      <tp>
        <v>310408322</v>
        <stp/>
        <stp>Market</stp>
        <stp>STOCK</stp>
        <stp>68570.T</stp>
        <stp>売買代金</stp>
        <tr r="AC16" s="3"/>
      </tp>
      <tp>
        <v>3243776</v>
        <stp/>
        <stp>Market</stp>
        <stp>STOCK</stp>
        <stp>38610.T</stp>
        <stp>売買代金</stp>
        <tr r="AC37" s="3"/>
      </tp>
      <tp>
        <v>257546466</v>
        <stp/>
        <stp>Market</stp>
        <stp>STOCK</stp>
        <stp>58030.T</stp>
        <stp>売買代金</stp>
        <tr r="AC47" s="3"/>
      </tp>
      <tp>
        <v>8266817</v>
        <stp/>
        <stp>Market</stp>
        <stp>STOCK</stp>
        <stp>18030.T</stp>
        <stp>売買代金</stp>
        <tr r="AC82" s="3"/>
      </tp>
      <tp>
        <v>46474167</v>
        <stp/>
        <stp>Market</stp>
        <stp>STOCK</stp>
        <stp>58020.T</stp>
        <stp>売買代金</stp>
        <tr r="AC85" s="3"/>
      </tp>
      <tp>
        <v>16140346</v>
        <stp/>
        <stp>Market</stp>
        <stp>STOCK</stp>
        <stp>28020.T</stp>
        <stp>売買代金</stp>
        <tr r="AC44" s="3"/>
      </tp>
      <tp>
        <v>19092018</v>
        <stp/>
        <stp>Market</stp>
        <stp>STOCK</stp>
        <stp>88010.T</stp>
        <stp>売買代金</stp>
        <tr r="AC94" s="3"/>
      </tp>
      <tp>
        <v>86240519</v>
        <stp/>
        <stp>Market</stp>
        <stp>STOCK</stp>
        <stp>58010.T</stp>
        <stp>売買代金</stp>
        <tr r="AC86" s="3"/>
      </tp>
    </main>
    <main first="rtdsrv.2cec402d279a46868a6623ea662e7a40">
      <tp>
        <v>5025808</v>
        <stp/>
        <stp>Market</stp>
        <stp>STOCK</stp>
        <stp>19420.T</stp>
        <stp>売買代金</stp>
        <tr r="AC77" s="3"/>
      </tp>
      <tp>
        <v>30476195</v>
        <stp/>
        <stp>Market</stp>
        <stp>STOCK</stp>
        <stp>69540.T</stp>
        <stp>売買代金</stp>
        <tr r="AC97" s="3"/>
      </tp>
      <tp>
        <v>17323490</v>
        <stp/>
        <stp>Market</stp>
        <stp>STOCK</stp>
        <stp>69630.T</stp>
        <stp>売買代金</stp>
        <tr r="AC36" s="3"/>
      </tp>
      <tp>
        <v>72076461</v>
        <stp/>
        <stp>Market</stp>
        <stp>STOCK</stp>
        <stp>79740.T</stp>
        <stp>売買代金</stp>
        <tr r="AC17" s="3"/>
      </tp>
      <tp>
        <v>17280827</v>
        <stp/>
        <stp>Market</stp>
        <stp>STOCK</stp>
        <stp>69710.T</stp>
        <stp>売買代金</stp>
        <tr r="AC95" s="3"/>
      </tp>
      <tp>
        <v>1916845</v>
        <stp/>
        <stp>Market</stp>
        <stp>STOCK</stp>
        <stp>49020.T</stp>
        <stp>売買代金</stp>
        <tr r="AC63" s="3"/>
      </tp>
      <tp>
        <v>18821548</v>
        <stp/>
        <stp>Market</stp>
        <stp>STOCK</stp>
        <stp>69020.T</stp>
        <stp>売買代金</stp>
        <tr r="AC11" s="3"/>
      </tp>
      <tp>
        <v>26415182</v>
        <stp/>
        <stp>Market</stp>
        <stp>STOCK</stp>
        <stp>29140.T</stp>
        <stp>売買代金</stp>
        <tr r="AC28" s="3"/>
      </tp>
      <tp>
        <v>81861610</v>
        <stp/>
        <stp>Market</stp>
        <stp>STOCK</stp>
        <stp>69200.T</stp>
        <stp>売買代金</stp>
        <tr r="AC81" s="3"/>
      </tp>
      <tp>
        <v>3310325</v>
        <stp/>
        <stp>Market</stp>
        <stp>STOCK</stp>
        <stp>59380.T</stp>
        <stp>売買代金</stp>
        <tr r="AC84" s="3"/>
      </tp>
      <tp>
        <v>167359467</v>
        <stp/>
        <stp>Market</stp>
        <stp>STOCK</stp>
        <stp>99840.T</stp>
        <stp>売買代金</stp>
        <tr r="AC50" s="3"/>
      </tp>
    </main>
    <main first="rtdsrv.2cec402d279a46868a6623ea662e7a40">
      <tp>
        <v>18053074</v>
        <stp/>
        <stp>Market</stp>
        <stp>STOCK</stp>
        <stp>84730.T</stp>
        <stp>売買代金</stp>
        <tr r="AC29" s="3"/>
      </tp>
      <tp>
        <v>1209153</v>
        <stp/>
        <stp>Market</stp>
        <stp>STOCK</stp>
        <stp>64720.T</stp>
        <stp>売買代金</stp>
        <tr r="AC83" s="3"/>
      </tp>
      <tp>
        <v>4183440</v>
        <stp/>
        <stp>Market</stp>
        <stp>STOCK</stp>
        <stp>64710.T</stp>
        <stp>売買代金</stp>
        <tr r="AC75" s="3"/>
      </tp>
      <tp>
        <v>11228994</v>
        <stp/>
        <stp>Market</stp>
        <stp>STOCK</stp>
        <stp>34070.T</stp>
        <stp>売買代金</stp>
        <tr r="AC26" s="3"/>
      </tp>
      <tp>
        <v>27673292</v>
        <stp/>
        <stp>Market</stp>
        <stp>STOCK</stp>
        <stp>54010.T</stp>
        <stp>売買代金</stp>
        <tr r="AC6" s="3"/>
      </tp>
      <tp>
        <v>6656203</v>
        <stp/>
        <stp>Market</stp>
        <stp>STOCK</stp>
        <stp>24130.T</stp>
        <stp>売買代金</stp>
        <tr r="AC40" s="3"/>
      </tp>
      <tp>
        <v>98830464</v>
        <stp/>
        <stp>Market</stp>
        <stp>STOCK</stp>
        <stp>84110.T</stp>
        <stp>売買代金</stp>
        <tr r="AC57" s="3"/>
      </tp>
      <tp>
        <v>81764498</v>
        <stp/>
        <stp>Market</stp>
        <stp>STOCK</stp>
        <stp>54110.T</stp>
        <stp>売買代金</stp>
        <tr r="AC101" s="3"/>
      </tp>
      <tp>
        <v>1044947</v>
        <stp/>
        <stp>Market</stp>
        <stp>STOCK</stp>
        <stp>84100.T</stp>
        <stp>売買代金</stp>
        <tr r="AC66" s="3"/>
      </tp>
      <tp>
        <v>4225830</v>
        <stp/>
        <stp>Market</stp>
        <stp>STOCK</stp>
        <stp>543A0.T</stp>
        <stp>売買代金</stp>
        <tr r="AC51" s="3"/>
      </tp>
      <tp>
        <v>30602371</v>
        <stp/>
        <stp>Market</stp>
        <stp>STOCK</stp>
        <stp>34360.T</stp>
        <stp>売買代金</stp>
        <tr r="AC58" s="3"/>
      </tp>
      <tp>
        <v>20324565</v>
        <stp/>
        <stp>Market</stp>
        <stp>STOCK</stp>
        <stp>94340.T</stp>
        <stp>売買代金</stp>
        <tr r="AC102" s="3"/>
      </tp>
      <tp>
        <v>29825631</v>
        <stp/>
        <stp>Market</stp>
        <stp>STOCK</stp>
        <stp>94330.T</stp>
        <stp>売買代金</stp>
        <tr r="AC24" s="3"/>
      </tp>
      <tp>
        <v>57607032</v>
        <stp/>
        <stp>Market</stp>
        <stp>STOCK</stp>
        <stp>94320.T</stp>
        <stp>売買代金</stp>
        <tr r="AC3" s="3"/>
      </tp>
    </main>
    <main first="rtdsrv.2cec402d279a46868a6623ea662e7a40">
      <tp>
        <v>25649015</v>
        <stp/>
        <stp>Market</stp>
        <stp>STOCK</stp>
        <stp>45680.T</stp>
        <stp>売買代金</stp>
        <tr r="AC91" s="3"/>
      </tp>
      <tp>
        <v>17235206</v>
        <stp/>
        <stp>Market</stp>
        <stp>STOCK</stp>
        <stp>65060.T</stp>
        <stp>売買代金</stp>
        <tr r="AC71" s="3"/>
      </tp>
      <tp>
        <v>36708878</v>
        <stp/>
        <stp>Market</stp>
        <stp>STOCK</stp>
        <stp>45030.T</stp>
        <stp>売買代金</stp>
        <tr r="AC73" s="3"/>
      </tp>
      <tp>
        <v>35064627</v>
        <stp/>
        <stp>Market</stp>
        <stp>STOCK</stp>
        <stp>65030.T</stp>
        <stp>売買代金</stp>
        <tr r="AC96" s="3"/>
      </tp>
      <tp>
        <v>38172764</v>
        <stp/>
        <stp>Market</stp>
        <stp>STOCK</stp>
        <stp>45020.T</stp>
        <stp>売買代金</stp>
        <tr r="AC76" s="3"/>
      </tp>
      <tp>
        <v>13400599</v>
        <stp/>
        <stp>Market</stp>
        <stp>STOCK</stp>
        <stp>25020.T</stp>
        <stp>売買代金</stp>
        <tr r="AC32" s="3"/>
      </tp>
      <tp>
        <v>15476782</v>
        <stp/>
        <stp>Market</stp>
        <stp>STOCK</stp>
        <stp>95010.T</stp>
        <stp>売買代金</stp>
        <tr r="AC5" s="3"/>
      </tp>
      <tp>
        <v>58390662</v>
        <stp/>
        <stp>Market</stp>
        <stp>STOCK</stp>
        <stp>65010.T</stp>
        <stp>売買代金</stp>
        <tr r="AC90" s="3"/>
      </tp>
      <tp>
        <v>11635921</v>
        <stp/>
        <stp>Market</stp>
        <stp>STOCK</stp>
        <stp>65260.T</stp>
        <stp>売買代金</stp>
        <tr r="AC93" s="3"/>
      </tp>
      <tp>
        <v>9842355</v>
        <stp/>
        <stp>Market</stp>
        <stp>STOCK</stp>
        <stp>75320.T</stp>
        <stp>売買代金</stp>
        <tr r="AC59" s="3"/>
      </tp>
      <tp>
        <v>9067124</v>
        <stp/>
        <stp>Market</stp>
        <stp>STOCK</stp>
        <stp>85930.T</stp>
        <stp>売買代金</stp>
        <tr r="AC43" s="3"/>
      </tp>
    </main>
    <main first="rtdsrv.2cec402d279a46868a6623ea662e7a40">
      <tp>
        <v>11075367</v>
        <stp/>
        <stp>Market</stp>
        <stp>STOCK</stp>
        <stp>46610.T</stp>
        <stp>売買代金</stp>
        <tr r="AC54" s="3"/>
      </tp>
      <tp>
        <v>16279391</v>
        <stp/>
        <stp>Market</stp>
        <stp>STOCK</stp>
        <stp>86040.T</stp>
        <stp>売買代金</stp>
        <tr r="AC13" s="3"/>
      </tp>
      <tp>
        <v>13919472</v>
        <stp/>
        <stp>Market</stp>
        <stp>STOCK</stp>
        <stp>86010.T</stp>
        <stp>売買代金</stp>
        <tr r="AC39" s="3"/>
      </tp>
      <tp>
        <v>13537438</v>
        <stp/>
        <stp>Market</stp>
        <stp>STOCK</stp>
        <stp>46890.T</stp>
        <stp>売買代金</stp>
        <tr r="AC10" s="3"/>
      </tp>
      <tp>
        <v>15359234</v>
        <stp/>
        <stp>Market</stp>
        <stp>STOCK</stp>
        <stp>86970.T</stp>
        <stp>売買代金</stp>
        <tr r="AC45" s="3"/>
      </tp>
      <tp>
        <v>5002280</v>
        <stp/>
        <stp>Market</stp>
        <stp>STOCK</stp>
        <stp>36970.T</stp>
        <stp>売買代金</stp>
        <tr r="AC72" s="3"/>
      </tp>
    </main>
    <main first="rtdsrv.2cec402d279a46868a6623ea662e7a40">
      <tp>
        <v>11793793</v>
        <stp/>
        <stp>Market</stp>
        <stp>STOCK</stp>
        <stp>47550.T</stp>
        <stp>売買代金</stp>
        <tr r="AC92" s="3"/>
      </tp>
      <tp>
        <v>21792272</v>
        <stp/>
        <stp>Market</stp>
        <stp>STOCK</stp>
        <stp>77510.T</stp>
        <stp>売買代金</stp>
        <tr r="AC69" s="3"/>
      </tp>
      <tp>
        <v>25557220</v>
        <stp/>
        <stp>Market</stp>
        <stp>STOCK</stp>
        <stp>87500.T</stp>
        <stp>売買代金</stp>
        <tr r="AC68" s="3"/>
      </tp>
      <tp>
        <v>94017166</v>
        <stp/>
        <stp>Market</stp>
        <stp>STOCK</stp>
        <stp>67580.T</stp>
        <stp>売買代金</stp>
        <tr r="AC7" s="3"/>
      </tp>
      <tp>
        <v>25255250</v>
        <stp/>
        <stp>Market</stp>
        <stp>STOCK</stp>
        <stp>67620.T</stp>
        <stp>売買代金</stp>
        <tr r="AC55" s="3"/>
      </tp>
      <tp>
        <v>29469801</v>
        <stp/>
        <stp>Market</stp>
        <stp>STOCK</stp>
        <stp>67020.T</stp>
        <stp>売買代金</stp>
        <tr r="AC56" s="3"/>
      </tp>
      <tp>
        <v>31517388</v>
        <stp/>
        <stp>Market</stp>
        <stp>STOCK</stp>
        <stp>67010.T</stp>
        <stp>売買代金</stp>
        <tr r="AC30" s="3"/>
      </tp>
      <tp>
        <v>34368567</v>
        <stp/>
        <stp>Market</stp>
        <stp>STOCK</stp>
        <stp>67230.T</stp>
        <stp>売買代金</stp>
        <tr r="AC52" s="3"/>
      </tp>
      <tp>
        <v>15586966</v>
        <stp/>
        <stp>Market</stp>
        <stp>STOCK</stp>
        <stp>87290.T</stp>
        <stp>売買代金</stp>
        <tr r="AC48" s="3"/>
      </tp>
      <tp>
        <v>24740036</v>
        <stp/>
        <stp>Market</stp>
        <stp>STOCK</stp>
        <stp>77350.T</stp>
        <stp>売買代金</stp>
        <tr r="AC70" s="3"/>
      </tp>
    </main>
    <main first="rtdsrv.2cec402d279a46868a6623ea662e7a40">
      <tp>
        <v>25937800</v>
        <stp/>
        <stp>Market</stp>
        <stp>STOCK</stp>
        <stp>80530.T</stp>
        <stp>売買代金</stp>
        <tr r="AC9" s="3"/>
      </tp>
      <tp>
        <v>39635681</v>
        <stp/>
        <stp>Market</stp>
        <stp>STOCK</stp>
        <stp>80580.T</stp>
        <stp>売買代金</stp>
        <tr r="AC34" s="3"/>
      </tp>
      <tp>
        <v>34923573</v>
        <stp/>
        <stp>Market</stp>
        <stp>STOCK</stp>
        <stp>40630.T</stp>
        <stp>売買代金</stp>
        <tr r="AC14" s="3"/>
      </tp>
      <tp>
        <v>7666888</v>
        <stp/>
        <stp>Market</stp>
        <stp>STOCK</stp>
        <stp>40050.T</stp>
        <stp>売買代金</stp>
        <tr r="AC21" s="3"/>
      </tp>
      <tp>
        <v>31476278</v>
        <stp/>
        <stp>Market</stp>
        <stp>STOCK</stp>
        <stp>80010.T</stp>
        <stp>売買代金</stp>
        <tr r="AC15" s="3"/>
      </tp>
      <tp>
        <v>61187951</v>
        <stp/>
        <stp>Market</stp>
        <stp>STOCK</stp>
        <stp>50160.T</stp>
        <stp>売買代金</stp>
        <tr r="AC87" s="3"/>
      </tp>
      <tp>
        <v>28502199</v>
        <stp/>
        <stp>Market</stp>
        <stp>STOCK</stp>
        <stp>70130.T</stp>
        <stp>売買代金</stp>
        <tr r="AC20" s="3"/>
      </tp>
      <tp>
        <v>28884014</v>
        <stp/>
        <stp>Market</stp>
        <stp>STOCK</stp>
        <stp>70120.T</stp>
        <stp>売買代金</stp>
        <tr r="AC60" s="3"/>
      </tp>
      <tp>
        <v>84839406</v>
        <stp/>
        <stp>Market</stp>
        <stp>STOCK</stp>
        <stp>70110.T</stp>
        <stp>売買代金</stp>
        <tr r="AC12" s="3"/>
      </tp>
      <tp>
        <v>12281221</v>
        <stp/>
        <stp>Market</stp>
        <stp>STOCK</stp>
        <stp>50200.T</stp>
        <stp>売買代金</stp>
        <tr r="AC67" s="3"/>
      </tp>
      <tp>
        <v>153549719</v>
        <stp/>
        <stp>Market</stp>
        <stp>STOCK</stp>
        <stp>80350.T</stp>
        <stp>売買代金</stp>
        <tr r="AC23" s="3"/>
      </tp>
      <tp>
        <v>37977147</v>
        <stp/>
        <stp>Market</stp>
        <stp>STOCK</stp>
        <stp>80310.T</stp>
        <stp>売買代金</stp>
        <tr r="AC46" s="3"/>
      </tp>
    </main>
    <main first="rtdsrv.2cec402d279a46868a6623ea662e7a40">
      <tp>
        <v>1714736</v>
        <stp/>
        <stp>Market</stp>
        <stp>STOCK</stp>
        <stp>21460.T</stp>
        <stp>売買代金</stp>
        <tr r="AC74" s="3"/>
      </tp>
      <tp>
        <v>43740964</v>
        <stp/>
        <stp>Market</stp>
        <stp>STOCK</stp>
        <stp>61780.T</stp>
        <stp>売買代金</stp>
        <tr r="AC79" s="3"/>
      </tp>
      <tp>
        <v>10331862</v>
        <stp/>
        <stp>Market</stp>
        <stp>STOCK</stp>
        <stp>81130.T</stp>
        <stp>売買代金</stp>
        <tr r="AC99" s="3"/>
      </tp>
      <tp>
        <v>17014453</v>
        <stp/>
        <stp>Market</stp>
        <stp>STOCK</stp>
        <stp>31100.T</stp>
        <stp>売買代金</stp>
        <tr r="AC42" s="3"/>
      </tp>
      <tp>
        <v>4075118</v>
        <stp/>
        <stp>Market</stp>
        <stp>STOCK</stp>
        <stp>21270.T</stp>
        <stp>売買代金</stp>
        <tr r="AC33" s="3"/>
      </tp>
      <tp>
        <v>23439337</v>
        <stp/>
        <stp>Market</stp>
        <stp>STOCK</stp>
        <stp>81360.T</stp>
        <stp>売買代金</stp>
        <tr r="AC89" s="3"/>
      </tp>
      <tp>
        <v>31367884</v>
        <stp/>
        <stp>Market</stp>
        <stp>STOCK</stp>
        <stp>71820.T</stp>
        <stp>売買代金</stp>
        <tr r="AC64" s="3"/>
      </tp>
      <tp>
        <v>3814415</v>
        <stp/>
        <stp>Market</stp>
        <stp>STOCK</stp>
        <stp>21810.T</stp>
        <stp>売買代金</stp>
        <tr r="AC31" s="3"/>
      </tp>
      <tp>
        <v>9826112</v>
        <stp/>
        <stp>Market</stp>
        <stp>STOCK</stp>
        <stp>41880.T</stp>
        <stp>売買代金</stp>
        <tr r="AC22" s="3"/>
      </tp>
    </main>
    <main first="rtdsrv.2cec402d279a46868a6623ea662e7a40">
      <tp>
        <v>5942380</v>
        <stp/>
        <stp>Market</stp>
        <stp>STOCK</stp>
        <stp>72590.T</stp>
        <stp>売買代金</stp>
        <tr r="AC78" s="3"/>
      </tp>
      <tp>
        <v>13410679</v>
        <stp/>
        <stp>Market</stp>
        <stp>STOCK</stp>
        <stp>82670.T</stp>
        <stp>売買代金</stp>
        <tr r="AC25" s="3"/>
      </tp>
      <tp>
        <v>32970834</v>
        <stp/>
        <stp>Market</stp>
        <stp>STOCK</stp>
        <stp>72670.T</stp>
        <stp>売買代金</stp>
        <tr r="AC53" s="3"/>
      </tp>
      <tp>
        <v>7589060</v>
        <stp/>
        <stp>Market</stp>
        <stp>STOCK</stp>
        <stp>72610.T</stp>
        <stp>売買代金</stp>
        <tr r="AC38" s="3"/>
      </tp>
      <tp>
        <v>19491207</v>
        <stp/>
        <stp>Market</stp>
        <stp>STOCK</stp>
        <stp>72690.T</stp>
        <stp>売買代金</stp>
        <tr r="AC35" s="3"/>
      </tp>
      <tp>
        <v>19890198</v>
        <stp/>
        <stp>Market</stp>
        <stp>STOCK</stp>
        <stp>72720.T</stp>
        <stp>売買代金</stp>
        <tr r="AC80" s="3"/>
      </tp>
      <tp>
        <v>106936756</v>
        <stp/>
        <stp>Market</stp>
        <stp>STOCK</stp>
        <stp>72030.T</stp>
        <stp>売買代金</stp>
        <tr r="AC8" s="3"/>
      </tp>
      <tp>
        <v>17309110</v>
        <stp/>
        <stp>Market</stp>
        <stp>STOCK</stp>
        <stp>72010.T</stp>
        <stp>売買代金</stp>
        <tr r="AC49" s="3"/>
      </tp>
      <tp>
        <v>4959515</v>
        <stp/>
        <stp>Market</stp>
        <stp>STOCK</stp>
        <stp>72110.T</stp>
        <stp>売買代金</stp>
        <tr r="AC65" s="3"/>
      </tp>
      <tp>
        <v>3209551</v>
        <stp/>
        <stp>Market</stp>
        <stp>STOCK</stp>
        <stp>32310.T</stp>
        <stp>売買代金</stp>
        <tr r="AC62" s="3"/>
      </tp>
    </main>
    <main first="rtdsrv.2cec402d279a46868a6623ea662e7a40">
      <tp>
        <v>12256850</v>
        <stp/>
        <stp>Market</stp>
        <stp>STOCK</stp>
        <stp>33500.T</stp>
        <stp>売買代金</stp>
        <tr r="AC88" s="3"/>
      </tp>
      <tp>
        <v>18916782</v>
        <stp/>
        <stp>Market</stp>
        <stp>STOCK</stp>
        <stp>43070.T</stp>
        <stp>売買代金</stp>
        <tr r="AC41" s="3"/>
      </tp>
      <tp>
        <v>141829929</v>
        <stp/>
        <stp>Market</stp>
        <stp>STOCK</stp>
        <stp>83060.T</stp>
        <stp>売買代金</stp>
        <tr r="AC4" s="3"/>
      </tp>
      <tp>
        <v>3234631</v>
        <stp/>
        <stp>Market</stp>
        <stp>STOCK</stp>
        <stp>83030.T</stp>
        <stp>売買代金</stp>
        <tr r="AC61" s="3"/>
      </tp>
      <tp>
        <v>21911818</v>
        <stp/>
        <stp>Market</stp>
        <stp>STOCK</stp>
        <stp>83090.T</stp>
        <stp>売買代金</stp>
        <tr r="AC18" s="3"/>
      </tp>
      <tp>
        <v>20483230</v>
        <stp/>
        <stp>Market</stp>
        <stp>STOCK</stp>
        <stp>83080.T</stp>
        <stp>売買代金</stp>
        <tr r="AC27" s="3"/>
      </tp>
      <tp>
        <v>89152740</v>
        <stp/>
        <stp>Market</stp>
        <stp>STOCK</stp>
        <stp>83160.T</stp>
        <stp>売買代金</stp>
        <tr r="AC19" s="3"/>
      </tp>
      <tp>
        <v>8707000</v>
        <stp/>
        <stp>Market</stp>
        <stp>STOCK</stp>
        <stp>63150.T</stp>
        <stp>売買代金</stp>
        <tr r="AC100" s="3"/>
      </tp>
      <tp>
        <v>20513484</v>
        <stp/>
        <stp>Market</stp>
        <stp>STOCK</stp>
        <stp>33820.T</stp>
        <stp>売買代金</stp>
        <tr r="AC98" s="3"/>
      </tp>
    </main>
    <main first="rtdsrv.2cec402d279a46868a6623ea662e7a40">
      <tp>
        <v>277</v>
        <stp/>
        <stp>Market</stp>
        <stp>STOCK</stp>
        <stp>543A0.T</stp>
        <stp>高値</stp>
        <tr r="F51" s="3"/>
      </tp>
    </main>
    <main first="rtdsrv.2cec402d279a46868a6623ea662e7a40">
      <tp>
        <v>173</v>
        <stp/>
        <stp>Market</stp>
        <stp>STOCK</stp>
        <stp>94320.T</stp>
        <stp>高値</stp>
        <tr r="F3" s="3"/>
      </tp>
      <tp>
        <v>1680</v>
        <stp/>
        <stp>Market</stp>
        <stp>STOCK</stp>
        <stp>25020.T</stp>
        <stp>高値</stp>
        <tr r="F32" s="3"/>
      </tp>
      <tp>
        <v>5458</v>
        <stp/>
        <stp>Market</stp>
        <stp>STOCK</stp>
        <stp>28020.T</stp>
        <stp>高値</stp>
        <tr r="F44" s="3"/>
      </tp>
      <tp>
        <v>2026</v>
        <stp/>
        <stp>Market</stp>
        <stp>STOCK</stp>
        <stp>33820.T</stp>
        <stp>高値</stp>
        <tr r="F98" s="3"/>
      </tp>
      <tp>
        <v>5513</v>
        <stp/>
        <stp>Market</stp>
        <stp>STOCK</stp>
        <stp>19420.T</stp>
        <stp>高値</stp>
        <tr r="F77" s="3"/>
      </tp>
      <tp>
        <v>375.5</v>
        <stp/>
        <stp>Market</stp>
        <stp>STOCK</stp>
        <stp>64720.T</stp>
        <stp>高値</stp>
        <tr r="F83" s="3"/>
      </tp>
      <tp>
        <v>3095</v>
        <stp/>
        <stp>Market</stp>
        <stp>STOCK</stp>
        <stp>67620.T</stp>
        <stp>高値</stp>
        <tr r="F55" s="3"/>
      </tp>
      <tp>
        <v>3923</v>
        <stp/>
        <stp>Market</stp>
        <stp>STOCK</stp>
        <stp>67020.T</stp>
        <stp>高値</stp>
        <tr r="F56" s="3"/>
      </tp>
      <tp>
        <v>1943.5</v>
        <stp/>
        <stp>Market</stp>
        <stp>STOCK</stp>
        <stp>69020.T</stp>
        <stp>高値</stp>
        <tr r="F11" s="3"/>
      </tp>
      <tp>
        <v>3414</v>
        <stp/>
        <stp>Market</stp>
        <stp>STOCK</stp>
        <stp>71820.T</stp>
        <stp>高値</stp>
        <tr r="F64" s="3"/>
      </tp>
      <tp>
        <v>2598.5</v>
        <stp/>
        <stp>Market</stp>
        <stp>STOCK</stp>
        <stp>70120.T</stp>
        <stp>高値</stp>
        <tr r="F60" s="3"/>
      </tp>
      <tp>
        <v>1934</v>
        <stp/>
        <stp>Market</stp>
        <stp>STOCK</stp>
        <stp>72720.T</stp>
        <stp>高値</stp>
        <tr r="F80" s="3"/>
      </tp>
      <tp>
        <v>813.7</v>
        <stp/>
        <stp>Market</stp>
        <stp>STOCK</stp>
        <stp>75320.T</stp>
        <stp>高値</stp>
        <tr r="F59" s="3"/>
      </tp>
      <tp>
        <v>5784</v>
        <stp/>
        <stp>Market</stp>
        <stp>STOCK</stp>
        <stp>45020.T</stp>
        <stp>高値</stp>
        <tr r="F76" s="3"/>
      </tp>
      <tp>
        <v>669.2</v>
        <stp/>
        <stp>Market</stp>
        <stp>STOCK</stp>
        <stp>49020.T</stp>
        <stp>高値</stp>
        <tr r="F63" s="3"/>
      </tp>
      <tp>
        <v>2228.5</v>
        <stp/>
        <stp>Market</stp>
        <stp>STOCK</stp>
        <stp>58020.T</stp>
        <stp>高値</stp>
        <tr r="F85" s="3"/>
      </tp>
    </main>
    <main first="rtdsrv.2cec402d279a46868a6623ea662e7a40">
      <tp>
        <v>1000.5</v>
        <stp/>
        <stp>Market</stp>
        <stp>STOCK</stp>
        <stp>81130.T</stp>
        <stp>高値</stp>
        <tr r="F99" s="3"/>
      </tp>
      <tp>
        <v>1798.5</v>
        <stp/>
        <stp>Market</stp>
        <stp>STOCK</stp>
        <stp>80530.T</stp>
        <stp>高値</stp>
        <tr r="F9" s="3"/>
      </tp>
      <tp>
        <v>1591</v>
        <stp/>
        <stp>Market</stp>
        <stp>STOCK</stp>
        <stp>83030.T</stp>
        <stp>高値</stp>
        <tr r="F61" s="3"/>
      </tp>
      <tp>
        <v>1401</v>
        <stp/>
        <stp>Market</stp>
        <stp>STOCK</stp>
        <stp>85930.T</stp>
        <stp>高値</stp>
        <tr r="F43" s="3"/>
      </tp>
      <tp>
        <v>3397</v>
        <stp/>
        <stp>Market</stp>
        <stp>STOCK</stp>
        <stp>84730.T</stp>
        <stp>高値</stp>
        <tr r="F29" s="3"/>
      </tp>
      <tp>
        <v>2965</v>
        <stp/>
        <stp>Market</stp>
        <stp>STOCK</stp>
        <stp>94330.T</stp>
        <stp>高値</stp>
        <tr r="F24" s="3"/>
      </tp>
      <tp>
        <v>1877</v>
        <stp/>
        <stp>Market</stp>
        <stp>STOCK</stp>
        <stp>24130.T</stp>
        <stp>高値</stp>
        <tr r="F40" s="3"/>
      </tp>
      <tp>
        <v>2391</v>
        <stp/>
        <stp>Market</stp>
        <stp>STOCK</stp>
        <stp>18030.T</stp>
        <stp>高値</stp>
        <tr r="F82" s="3"/>
      </tp>
      <tp>
        <v>5585</v>
        <stp/>
        <stp>Market</stp>
        <stp>STOCK</stp>
        <stp>65030.T</stp>
        <stp>高値</stp>
        <tr r="F96" s="3"/>
      </tp>
      <tp>
        <v>3392</v>
        <stp/>
        <stp>Market</stp>
        <stp>STOCK</stp>
        <stp>67230.T</stp>
        <stp>高値</stp>
        <tr r="F52" s="3"/>
      </tp>
      <tp>
        <v>4886</v>
        <stp/>
        <stp>Market</stp>
        <stp>STOCK</stp>
        <stp>69630.T</stp>
        <stp>高値</stp>
        <tr r="F36" s="3"/>
      </tp>
      <tp>
        <v>2734</v>
        <stp/>
        <stp>Market</stp>
        <stp>STOCK</stp>
        <stp>70130.T</stp>
        <stp>高値</stp>
        <tr r="F20" s="3"/>
      </tp>
      <tp>
        <v>3188</v>
        <stp/>
        <stp>Market</stp>
        <stp>STOCK</stp>
        <stp>72030.T</stp>
        <stp>高値</stp>
        <tr r="F8" s="3"/>
      </tp>
      <tp>
        <v>6028</v>
        <stp/>
        <stp>Market</stp>
        <stp>STOCK</stp>
        <stp>40630.T</stp>
        <stp>高値</stp>
        <tr r="F14" s="3"/>
      </tp>
      <tp>
        <v>2371.5</v>
        <stp/>
        <stp>Market</stp>
        <stp>STOCK</stp>
        <stp>45030.T</stp>
        <stp>高値</stp>
        <tr r="F73" s="3"/>
      </tp>
      <tp>
        <v>5525</v>
        <stp/>
        <stp>Market</stp>
        <stp>STOCK</stp>
        <stp>58030.T</stp>
        <stp>高値</stp>
        <tr r="F47" s="3"/>
      </tp>
    </main>
    <main first="rtdsrv.2cec402d279a46868a6623ea662e7a40">
      <tp>
        <v>340.5</v>
        <stp/>
        <stp>Market</stp>
        <stp>STOCK</stp>
        <stp>84100.T</stp>
        <stp>高値</stp>
        <tr r="F66" s="3"/>
      </tp>
      <tp>
        <v>1857.5</v>
        <stp/>
        <stp>Market</stp>
        <stp>STOCK</stp>
        <stp>87500.T</stp>
        <stp>高値</stp>
        <tr r="F68" s="3"/>
      </tp>
      <tp>
        <v>3205</v>
        <stp/>
        <stp>Market</stp>
        <stp>STOCK</stp>
        <stp>31100.T</stp>
        <stp>高値</stp>
        <tr r="F42" s="3"/>
      </tp>
      <tp>
        <v>324</v>
        <stp/>
        <stp>Market</stp>
        <stp>STOCK</stp>
        <stp>33500.T</stp>
        <stp>高値</stp>
        <tr r="F88" s="3"/>
      </tp>
      <tp>
        <v>33790</v>
        <stp/>
        <stp>Market</stp>
        <stp>STOCK</stp>
        <stp>69200.T</stp>
        <stp>高値</stp>
        <tr r="F81" s="3"/>
      </tp>
      <tp>
        <v>1340.5</v>
        <stp/>
        <stp>Market</stp>
        <stp>STOCK</stp>
        <stp>50200.T</stp>
        <stp>高値</stp>
        <tr r="F67" s="3"/>
      </tp>
    </main>
    <main first="rtdsrv.2cec402d279a46868a6623ea662e7a40">
      <tp>
        <v>5030</v>
        <stp/>
        <stp>Market</stp>
        <stp>STOCK</stp>
        <stp>80310.T</stp>
        <stp>高値</stp>
        <tr r="F46" s="3"/>
      </tp>
      <tp>
        <v>2129.5</v>
        <stp/>
        <stp>Market</stp>
        <stp>STOCK</stp>
        <stp>80010.T</stp>
        <stp>高値</stp>
        <tr r="F15" s="3"/>
      </tp>
      <tp>
        <v>8623</v>
        <stp/>
        <stp>Market</stp>
        <stp>STOCK</stp>
        <stp>84110.T</stp>
        <stp>高値</stp>
        <tr r="F57" s="3"/>
      </tp>
      <tp>
        <v>1857</v>
        <stp/>
        <stp>Market</stp>
        <stp>STOCK</stp>
        <stp>86010.T</stp>
        <stp>高値</stp>
        <tr r="F39" s="3"/>
      </tp>
      <tp>
        <v>1551.5</v>
        <stp/>
        <stp>Market</stp>
        <stp>STOCK</stp>
        <stp>88010.T</stp>
        <stp>高値</stp>
        <tr r="F94" s="3"/>
      </tp>
      <tp>
        <v>538.1</v>
        <stp/>
        <stp>Market</stp>
        <stp>STOCK</stp>
        <stp>95010.T</stp>
        <stp>高値</stp>
        <tr r="F5" s="3"/>
      </tp>
      <tp>
        <v>302.39999999999998</v>
        <stp/>
        <stp>Market</stp>
        <stp>STOCK</stp>
        <stp>21810.T</stp>
        <stp>高値</stp>
        <tr r="F31" s="3"/>
      </tp>
      <tp>
        <v>938.2</v>
        <stp/>
        <stp>Market</stp>
        <stp>STOCK</stp>
        <stp>32310.T</stp>
        <stp>高値</stp>
        <tr r="F62" s="3"/>
      </tp>
      <tp>
        <v>886.7</v>
        <stp/>
        <stp>Market</stp>
        <stp>STOCK</stp>
        <stp>38610.T</stp>
        <stp>高値</stp>
        <tr r="F37" s="3"/>
      </tp>
      <tp>
        <v>5480</v>
        <stp/>
        <stp>Market</stp>
        <stp>STOCK</stp>
        <stp>65010.T</stp>
        <stp>高値</stp>
        <tr r="F90" s="3"/>
      </tp>
      <tp>
        <v>1109.5</v>
        <stp/>
        <stp>Market</stp>
        <stp>STOCK</stp>
        <stp>64710.T</stp>
        <stp>高値</stp>
        <tr r="F75" s="3"/>
      </tp>
      <tp>
        <v>4968</v>
        <stp/>
        <stp>Market</stp>
        <stp>STOCK</stp>
        <stp>67010.T</stp>
        <stp>高値</stp>
        <tr r="F30" s="3"/>
      </tp>
      <tp>
        <v>3662</v>
        <stp/>
        <stp>Market</stp>
        <stp>STOCK</stp>
        <stp>69710.T</stp>
        <stp>高値</stp>
        <tr r="F95" s="3"/>
      </tp>
      <tp>
        <v>3966</v>
        <stp/>
        <stp>Market</stp>
        <stp>STOCK</stp>
        <stp>70110.T</stp>
        <stp>高値</stp>
        <tr r="F12" s="3"/>
      </tp>
      <tp>
        <v>1232.5</v>
        <stp/>
        <stp>Market</stp>
        <stp>STOCK</stp>
        <stp>72610.T</stp>
        <stp>高値</stp>
        <tr r="F38" s="3"/>
      </tp>
      <tp>
        <v>330.1</v>
        <stp/>
        <stp>Market</stp>
        <stp>STOCK</stp>
        <stp>72010.T</stp>
        <stp>高値</stp>
        <tr r="F49" s="3"/>
      </tp>
      <tp>
        <v>394</v>
        <stp/>
        <stp>Market</stp>
        <stp>STOCK</stp>
        <stp>72110.T</stp>
        <stp>高値</stp>
        <tr r="F65" s="3"/>
      </tp>
      <tp>
        <v>4706</v>
        <stp/>
        <stp>Market</stp>
        <stp>STOCK</stp>
        <stp>77510.T</stp>
        <stp>高値</stp>
        <tr r="F69" s="3"/>
      </tp>
      <tp>
        <v>3058</v>
        <stp/>
        <stp>Market</stp>
        <stp>STOCK</stp>
        <stp>46610.T</stp>
        <stp>高値</stp>
        <tr r="F54" s="3"/>
      </tp>
      <tp>
        <v>672.9</v>
        <stp/>
        <stp>Market</stp>
        <stp>STOCK</stp>
        <stp>54010.T</stp>
        <stp>高値</stp>
        <tr r="F6" s="3"/>
      </tp>
      <tp>
        <v>1851</v>
        <stp/>
        <stp>Market</stp>
        <stp>STOCK</stp>
        <stp>54110.T</stp>
        <stp>高値</stp>
        <tr r="F101" s="3"/>
      </tp>
      <tp>
        <v>4025</v>
        <stp/>
        <stp>Market</stp>
        <stp>STOCK</stp>
        <stp>58010.T</stp>
        <stp>高値</stp>
        <tr r="F86" s="3"/>
      </tp>
    </main>
    <main first="rtdsrv.2cec402d279a46868a6623ea662e7a40">
      <tp>
        <v>1295</v>
        <stp/>
        <stp>Market</stp>
        <stp>STOCK</stp>
        <stp>81360.T</stp>
        <stp>高値</stp>
        <tr r="F89" s="3"/>
      </tp>
      <tp>
        <v>3682</v>
        <stp/>
        <stp>Market</stp>
        <stp>STOCK</stp>
        <stp>83060.T</stp>
        <stp>高値</stp>
        <tr r="F4" s="3"/>
      </tp>
      <tp>
        <v>7004</v>
        <stp/>
        <stp>Market</stp>
        <stp>STOCK</stp>
        <stp>83160.T</stp>
        <stp>高値</stp>
        <tr r="F19" s="3"/>
      </tp>
      <tp>
        <v>240</v>
        <stp/>
        <stp>Market</stp>
        <stp>STOCK</stp>
        <stp>21460.T</stp>
        <stp>高値</stp>
        <tr r="F74" s="3"/>
      </tp>
      <tp>
        <v>3406</v>
        <stp/>
        <stp>Market</stp>
        <stp>STOCK</stp>
        <stp>34360.T</stp>
        <stp>高値</stp>
        <tr r="F58" s="3"/>
      </tp>
      <tp>
        <v>1998</v>
        <stp/>
        <stp>Market</stp>
        <stp>STOCK</stp>
        <stp>65260.T</stp>
        <stp>高値</stp>
        <tr r="F93" s="3"/>
      </tp>
      <tp>
        <v>4780</v>
        <stp/>
        <stp>Market</stp>
        <stp>STOCK</stp>
        <stp>65060.T</stp>
        <stp>高値</stp>
        <tr r="F71" s="3"/>
      </tp>
      <tp>
        <v>3794</v>
        <stp/>
        <stp>Market</stp>
        <stp>STOCK</stp>
        <stp>50160.T</stp>
        <stp>高値</stp>
        <tr r="F87" s="3"/>
      </tp>
    </main>
    <main first="rtdsrv.2cec402d279a46868a6623ea662e7a40">
      <tp>
        <v>1371.5</v>
        <stp/>
        <stp>Market</stp>
        <stp>STOCK</stp>
        <stp>82670.T</stp>
        <stp>高値</stp>
        <tr r="F25" s="3"/>
      </tp>
      <tp>
        <v>2286</v>
        <stp/>
        <stp>Market</stp>
        <stp>STOCK</stp>
        <stp>86970.T</stp>
        <stp>高値</stp>
        <tr r="F45" s="3"/>
      </tp>
      <tp>
        <v>688.4</v>
        <stp/>
        <stp>Market</stp>
        <stp>STOCK</stp>
        <stp>21270.T</stp>
        <stp>高値</stp>
        <tr r="F33" s="3"/>
      </tp>
      <tp>
        <v>1644</v>
        <stp/>
        <stp>Market</stp>
        <stp>STOCK</stp>
        <stp>34070.T</stp>
        <stp>高値</stp>
        <tr r="F26" s="3"/>
      </tp>
      <tp>
        <v>974.5</v>
        <stp/>
        <stp>Market</stp>
        <stp>STOCK</stp>
        <stp>36970.T</stp>
        <stp>高値</stp>
        <tr r="F72" s="3"/>
      </tp>
      <tp>
        <v>33880</v>
        <stp/>
        <stp>Market</stp>
        <stp>STOCK</stp>
        <stp>68570.T</stp>
        <stp>高値</stp>
        <tr r="F16" s="3"/>
      </tp>
      <tp>
        <v>1722</v>
        <stp/>
        <stp>Market</stp>
        <stp>STOCK</stp>
        <stp>72670.T</stp>
        <stp>高値</stp>
        <tr r="F53" s="3"/>
      </tp>
      <tp>
        <v>5291</v>
        <stp/>
        <stp>Market</stp>
        <stp>STOCK</stp>
        <stp>43070.T</stp>
        <stp>高値</stp>
        <tr r="F41" s="3"/>
      </tp>
    </main>
    <main first="rtdsrv.2cec402d279a46868a6623ea662e7a40">
      <tp>
        <v>32907900</v>
        <stp/>
        <stp>Market</stp>
        <stp>STOCK</stp>
        <stp>99840.T</stp>
        <stp>出来高</stp>
        <tr r="I50" s="3"/>
      </tp>
    </main>
    <main first="rtdsrv.2cec402d279a46868a6623ea662e7a40">
      <tp>
        <v>335014100</v>
        <stp/>
        <stp>Market</stp>
        <stp>STOCK</stp>
        <stp>94320.T</stp>
        <stp>出来高</stp>
        <tr r="I3" s="3"/>
      </tp>
      <tp>
        <v>10109300</v>
        <stp/>
        <stp>Market</stp>
        <stp>STOCK</stp>
        <stp>94330.T</stp>
        <stp>出来高</stp>
        <tr r="I24" s="3"/>
      </tp>
      <tp>
        <v>29112000</v>
        <stp/>
        <stp>Market</stp>
        <stp>STOCK</stp>
        <stp>95010.T</stp>
        <stp>出来高</stp>
        <tr r="I5" s="3"/>
      </tp>
    </main>
    <main first="rtdsrv.2cec402d279a46868a6623ea662e7a40">
      <tp>
        <v>1638</v>
        <stp/>
        <stp>Market</stp>
        <stp>STOCK</stp>
        <stp>86040.T</stp>
        <stp>高値</stp>
        <tr r="F13" s="3"/>
      </tp>
      <tp>
        <v>5213</v>
        <stp/>
        <stp>Market</stp>
        <stp>STOCK</stp>
        <stp>99840.T</stp>
        <stp>高値</stp>
        <tr r="F50" s="3"/>
      </tp>
      <tp>
        <v>6950</v>
        <stp/>
        <stp>Market</stp>
        <stp>STOCK</stp>
        <stp>29140.T</stp>
        <stp>高値</stp>
        <tr r="F28" s="3"/>
      </tp>
      <tp>
        <v>6078</v>
        <stp/>
        <stp>Market</stp>
        <stp>STOCK</stp>
        <stp>69540.T</stp>
        <stp>高値</stp>
        <tr r="F97" s="3"/>
      </tp>
      <tp>
        <v>9044</v>
        <stp/>
        <stp>Market</stp>
        <stp>STOCK</stp>
        <stp>79740.T</stp>
        <stp>高値</stp>
        <tr r="F17" s="3"/>
      </tp>
    </main>
    <main first="rtdsrv.2cec402d279a46868a6623ea662e7a40">
      <tp>
        <v>12481800</v>
        <stp/>
        <stp>Market</stp>
        <stp>STOCK</stp>
        <stp>88010.T</stp>
        <stp>出来高</stp>
        <tr r="I94" s="3"/>
      </tp>
    </main>
    <main first="rtdsrv.2cec402d279a46868a6623ea662e7a40">
      <tp>
        <v>9851800</v>
        <stp/>
        <stp>Market</stp>
        <stp>STOCK</stp>
        <stp>82670.T</stp>
        <stp>出来高</stp>
        <tr r="I25" s="3"/>
      </tp>
      <tp>
        <v>8130500</v>
        <stp/>
        <stp>Market</stp>
        <stp>STOCK</stp>
        <stp>83080.T</stp>
        <stp>出来高</stp>
        <tr r="I27" s="3"/>
      </tp>
      <tp>
        <v>12346700</v>
        <stp/>
        <stp>Market</stp>
        <stp>STOCK</stp>
        <stp>83090.T</stp>
        <stp>出来高</stp>
        <tr r="I18" s="3"/>
      </tp>
      <tp>
        <v>2058100</v>
        <stp/>
        <stp>Market</stp>
        <stp>STOCK</stp>
        <stp>83030.T</stp>
        <stp>出来高</stp>
        <tr r="I61" s="3"/>
      </tp>
      <tp>
        <v>38776500</v>
        <stp/>
        <stp>Market</stp>
        <stp>STOCK</stp>
        <stp>83060.T</stp>
        <stp>出来高</stp>
        <tr r="I4" s="3"/>
      </tp>
      <tp>
        <v>12850100</v>
        <stp/>
        <stp>Market</stp>
        <stp>STOCK</stp>
        <stp>83160.T</stp>
        <stp>出来高</stp>
        <tr r="I19" s="3"/>
      </tp>
      <tp>
        <v>8267900</v>
        <stp/>
        <stp>Market</stp>
        <stp>STOCK</stp>
        <stp>80580.T</stp>
        <stp>出来高</stp>
        <tr r="I34" s="3"/>
      </tp>
      <tp>
        <v>14517600</v>
        <stp/>
        <stp>Market</stp>
        <stp>STOCK</stp>
        <stp>80530.T</stp>
        <stp>出来高</stp>
        <tr r="I9" s="3"/>
      </tp>
      <tp>
        <v>7598600</v>
        <stp/>
        <stp>Market</stp>
        <stp>STOCK</stp>
        <stp>80310.T</stp>
        <stp>出来高</stp>
        <tr r="I46" s="3"/>
      </tp>
      <tp>
        <v>2776400</v>
        <stp/>
        <stp>Market</stp>
        <stp>STOCK</stp>
        <stp>80350.T</stp>
        <stp>出来高</stp>
        <tr r="I23" s="3"/>
      </tp>
      <tp>
        <v>14923200</v>
        <stp/>
        <stp>Market</stp>
        <stp>STOCK</stp>
        <stp>80010.T</stp>
        <stp>出来高</stp>
        <tr r="I15" s="3"/>
      </tp>
      <tp>
        <v>18252200</v>
        <stp/>
        <stp>Market</stp>
        <stp>STOCK</stp>
        <stp>81360.T</stp>
        <stp>出来高</stp>
        <tr r="I89" s="3"/>
      </tp>
      <tp>
        <v>10359700</v>
        <stp/>
        <stp>Market</stp>
        <stp>STOCK</stp>
        <stp>81130.T</stp>
        <stp>出来高</stp>
        <tr r="I99" s="3"/>
      </tp>
      <tp>
        <v>6808400</v>
        <stp/>
        <stp>Market</stp>
        <stp>STOCK</stp>
        <stp>86970.T</stp>
        <stp>出来高</stp>
        <tr r="I45" s="3"/>
      </tp>
      <tp>
        <v>7550000</v>
        <stp/>
        <stp>Market</stp>
        <stp>STOCK</stp>
        <stp>86010.T</stp>
        <stp>出来高</stp>
        <tr r="I39" s="3"/>
      </tp>
      <tp>
        <v>9978200</v>
        <stp/>
        <stp>Market</stp>
        <stp>STOCK</stp>
        <stp>86040.T</stp>
        <stp>出来高</stp>
        <tr r="I13" s="3"/>
      </tp>
      <tp>
        <v>13917900</v>
        <stp/>
        <stp>Market</stp>
        <stp>STOCK</stp>
        <stp>87500.T</stp>
        <stp>出来高</stp>
        <tr r="I68" s="3"/>
      </tp>
      <tp>
        <v>97537100</v>
        <stp/>
        <stp>Market</stp>
        <stp>STOCK</stp>
        <stp>87290.T</stp>
        <stp>出来高</stp>
        <tr r="I48" s="3"/>
      </tp>
      <tp>
        <v>5440900</v>
        <stp/>
        <stp>Market</stp>
        <stp>STOCK</stp>
        <stp>84730.T</stp>
        <stp>出来高</stp>
        <tr r="I29" s="3"/>
      </tp>
      <tp>
        <v>3082500</v>
        <stp/>
        <stp>Market</stp>
        <stp>STOCK</stp>
        <stp>84100.T</stp>
        <stp>出来高</stp>
        <tr r="I66" s="3"/>
      </tp>
      <tp>
        <v>11549600</v>
        <stp/>
        <stp>Market</stp>
        <stp>STOCK</stp>
        <stp>84110.T</stp>
        <stp>出来高</stp>
        <tr r="I57" s="3"/>
      </tp>
    </main>
    <main first="rtdsrv.2cec402d279a46868a6623ea662e7a40">
      <tp>
        <v>6503000</v>
        <stp/>
        <stp>Market</stp>
        <stp>STOCK</stp>
        <stp>85930.T</stp>
        <stp>出来高</stp>
        <tr r="I43" s="3"/>
      </tp>
      <tp>
        <v>56440</v>
        <stp/>
        <stp>Market</stp>
        <stp>STOCK</stp>
        <stp>80350.T</stp>
        <stp>高値</stp>
        <tr r="F23" s="3"/>
      </tp>
      <tp>
        <v>2349</v>
        <stp/>
        <stp>Market</stp>
        <stp>STOCK</stp>
        <stp>63150.T</stp>
        <stp>高値</stp>
        <tr r="F100" s="3"/>
      </tp>
      <tp>
        <v>13680</v>
        <stp/>
        <stp>Market</stp>
        <stp>STOCK</stp>
        <stp>77350.T</stp>
        <stp>高値</stp>
        <tr r="F70" s="3"/>
      </tp>
      <tp>
        <v>572.70000000000005</v>
        <stp/>
        <stp>Market</stp>
        <stp>STOCK</stp>
        <stp>40050.T</stp>
        <stp>高値</stp>
        <tr r="F21" s="3"/>
      </tp>
      <tp>
        <v>788.8</v>
        <stp/>
        <stp>Market</stp>
        <stp>STOCK</stp>
        <stp>47550.T</stp>
        <stp>高値</stp>
        <tr r="F92" s="3"/>
      </tp>
    </main>
    <main first="rtdsrv.2cec402d279a46868a6623ea662e7a40">
      <tp>
        <v>8018900</v>
        <stp/>
        <stp>Market</stp>
        <stp>STOCK</stp>
        <stp>79740.T</stp>
        <stp>出来高</stp>
        <tr r="I17" s="3"/>
      </tp>
    </main>
    <main first="rtdsrv.2cec402d279a46868a6623ea662e7a40">
      <tp>
        <v>8776900</v>
        <stp/>
        <stp>Market</stp>
        <stp>STOCK</stp>
        <stp>72690.T</stp>
        <stp>出来高</stp>
        <tr r="I35" s="3"/>
      </tp>
      <tp>
        <v>6186900</v>
        <stp/>
        <stp>Market</stp>
        <stp>STOCK</stp>
        <stp>72610.T</stp>
        <stp>出来高</stp>
        <tr r="I38" s="3"/>
      </tp>
      <tp>
        <v>19284900</v>
        <stp/>
        <stp>Market</stp>
        <stp>STOCK</stp>
        <stp>72670.T</stp>
        <stp>出来高</stp>
        <tr r="I53" s="3"/>
      </tp>
      <tp>
        <v>10427000</v>
        <stp/>
        <stp>Market</stp>
        <stp>STOCK</stp>
        <stp>72720.T</stp>
        <stp>出来高</stp>
        <tr r="I80" s="3"/>
      </tp>
      <tp>
        <v>2640900</v>
        <stp/>
        <stp>Market</stp>
        <stp>STOCK</stp>
        <stp>72590.T</stp>
        <stp>出来高</stp>
        <tr r="I78" s="3"/>
      </tp>
      <tp>
        <v>52919100</v>
        <stp/>
        <stp>Market</stp>
        <stp>STOCK</stp>
        <stp>72010.T</stp>
        <stp>出来高</stp>
        <tr r="I49" s="3"/>
      </tp>
      <tp>
        <v>33832100</v>
        <stp/>
        <stp>Market</stp>
        <stp>STOCK</stp>
        <stp>72030.T</stp>
        <stp>出来高</stp>
        <tr r="I8" s="3"/>
      </tp>
      <tp>
        <v>12651800</v>
        <stp/>
        <stp>Market</stp>
        <stp>STOCK</stp>
        <stp>72110.T</stp>
        <stp>出来高</stp>
        <tr r="I65" s="3"/>
      </tp>
      <tp>
        <v>21853600</v>
        <stp/>
        <stp>Market</stp>
        <stp>STOCK</stp>
        <stp>70110.T</stp>
        <stp>出来高</stp>
        <tr r="I12" s="3"/>
      </tp>
      <tp>
        <v>11248200</v>
        <stp/>
        <stp>Market</stp>
        <stp>STOCK</stp>
        <stp>70120.T</stp>
        <stp>出来高</stp>
        <tr r="I60" s="3"/>
      </tp>
      <tp>
        <v>10594700</v>
        <stp/>
        <stp>Market</stp>
        <stp>STOCK</stp>
        <stp>70130.T</stp>
        <stp>出来高</stp>
        <tr r="I20" s="3"/>
      </tp>
      <tp>
        <v>9253600</v>
        <stp/>
        <stp>Market</stp>
        <stp>STOCK</stp>
        <stp>71820.T</stp>
        <stp>出来高</stp>
        <tr r="I64" s="3"/>
      </tp>
      <tp>
        <v>4659700</v>
        <stp/>
        <stp>Market</stp>
        <stp>STOCK</stp>
        <stp>77510.T</stp>
        <stp>出来高</stp>
        <tr r="I69" s="3"/>
      </tp>
      <tp>
        <v>1841200</v>
        <stp/>
        <stp>Market</stp>
        <stp>STOCK</stp>
        <stp>77350.T</stp>
        <stp>出来高</stp>
        <tr r="I70" s="3"/>
      </tp>
      <tp>
        <v>12197500</v>
        <stp/>
        <stp>Market</stp>
        <stp>STOCK</stp>
        <stp>75320.T</stp>
        <stp>出来高</stp>
        <tr r="I59" s="3"/>
      </tp>
    </main>
    <main first="rtdsrv.2cec402d279a46868a6623ea662e7a40">
      <tp>
        <v>9357100</v>
        <stp/>
        <stp>Market</stp>
        <stp>STOCK</stp>
        <stp>68570.T</stp>
        <stp>出来高</stp>
        <tr r="I16" s="3"/>
      </tp>
    </main>
    <main first="rtdsrv.2cec402d279a46868a6623ea662e7a40">
      <tp>
        <v>3611500</v>
        <stp/>
        <stp>Market</stp>
        <stp>STOCK</stp>
        <stp>69630.T</stp>
        <stp>出来高</stp>
        <tr r="I36" s="3"/>
      </tp>
      <tp>
        <v>4749400</v>
        <stp/>
        <stp>Market</stp>
        <stp>STOCK</stp>
        <stp>69710.T</stp>
        <stp>出来高</stp>
        <tr r="I95" s="3"/>
      </tp>
      <tp>
        <v>5069500</v>
        <stp/>
        <stp>Market</stp>
        <stp>STOCK</stp>
        <stp>69540.T</stp>
        <stp>出来高</stp>
        <tr r="I97" s="3"/>
      </tp>
      <tp>
        <v>2467900</v>
        <stp/>
        <stp>Market</stp>
        <stp>STOCK</stp>
        <stp>69200.T</stp>
        <stp>出来高</stp>
        <tr r="I81" s="3"/>
      </tp>
      <tp>
        <v>9751200</v>
        <stp/>
        <stp>Market</stp>
        <stp>STOCK</stp>
        <stp>69020.T</stp>
        <stp>出来高</stp>
        <tr r="I11" s="3"/>
      </tp>
    </main>
    <main first="rtdsrv.2cec402d279a46868a6623ea662e7a40">
      <tp>
        <v>3787200</v>
        <stp/>
        <stp>Market</stp>
        <stp>STOCK</stp>
        <stp>63150.T</stp>
        <stp>出来高</stp>
        <tr r="I100" s="3"/>
      </tp>
      <tp>
        <v>17641000</v>
        <stp/>
        <stp>Market</stp>
        <stp>STOCK</stp>
        <stp>61780.T</stp>
        <stp>出来高</stp>
        <tr r="I79" s="3"/>
      </tp>
      <tp>
        <v>8240900</v>
        <stp/>
        <stp>Market</stp>
        <stp>STOCK</stp>
        <stp>67620.T</stp>
        <stp>出来高</stp>
        <tr r="I55" s="3"/>
      </tp>
      <tp>
        <v>23484300</v>
        <stp/>
        <stp>Market</stp>
        <stp>STOCK</stp>
        <stp>67580.T</stp>
        <stp>出来高</stp>
        <tr r="I7" s="3"/>
      </tp>
      <tp>
        <v>10263300</v>
        <stp/>
        <stp>Market</stp>
        <stp>STOCK</stp>
        <stp>67230.T</stp>
        <stp>出来高</stp>
        <tr r="I52" s="3"/>
      </tp>
      <tp>
        <v>6405200</v>
        <stp/>
        <stp>Market</stp>
        <stp>STOCK</stp>
        <stp>67010.T</stp>
        <stp>出来高</stp>
        <tr r="I30" s="3"/>
      </tp>
      <tp>
        <v>7590900</v>
        <stp/>
        <stp>Market</stp>
        <stp>STOCK</stp>
        <stp>67020.T</stp>
        <stp>出来高</stp>
        <tr r="I56" s="3"/>
      </tp>
      <tp>
        <v>3782000</v>
        <stp/>
        <stp>Market</stp>
        <stp>STOCK</stp>
        <stp>64710.T</stp>
        <stp>出来高</stp>
        <tr r="I75" s="3"/>
      </tp>
      <tp>
        <v>3247600</v>
        <stp/>
        <stp>Market</stp>
        <stp>STOCK</stp>
        <stp>64720.T</stp>
        <stp>出来高</stp>
        <tr r="I83" s="3"/>
      </tp>
    </main>
    <main first="rtdsrv.2cec402d279a46868a6623ea662e7a40">
      <tp>
        <v>5901600</v>
        <stp/>
        <stp>Market</stp>
        <stp>STOCK</stp>
        <stp>65260.T</stp>
        <stp>出来高</stp>
        <tr r="I93" s="3"/>
      </tp>
      <tp>
        <v>10725200</v>
        <stp/>
        <stp>Market</stp>
        <stp>STOCK</stp>
        <stp>65010.T</stp>
        <stp>出来高</stp>
        <tr r="I90" s="3"/>
      </tp>
      <tp>
        <v>6314700</v>
        <stp/>
        <stp>Market</stp>
        <stp>STOCK</stp>
        <stp>65030.T</stp>
        <stp>出来高</stp>
        <tr r="I96" s="3"/>
      </tp>
      <tp>
        <v>3652900</v>
        <stp/>
        <stp>Market</stp>
        <stp>STOCK</stp>
        <stp>65060.T</stp>
        <stp>出来高</stp>
        <tr r="I71" s="3"/>
      </tp>
    </main>
    <main first="rtdsrv.2cec402d279a46868a6623ea662e7a40">
      <tp>
        <v>22025500</v>
        <stp/>
        <stp>Market</stp>
        <stp>STOCK</stp>
        <stp>58010.T</stp>
        <stp>出来高</stp>
        <tr r="I86" s="3"/>
      </tp>
      <tp>
        <v>21164500</v>
        <stp/>
        <stp>Market</stp>
        <stp>STOCK</stp>
        <stp>58020.T</stp>
        <stp>出来高</stp>
        <tr r="I85" s="3"/>
      </tp>
      <tp>
        <v>47992900</v>
        <stp/>
        <stp>Market</stp>
        <stp>STOCK</stp>
        <stp>58030.T</stp>
        <stp>出来高</stp>
        <tr r="I47" s="3"/>
      </tp>
    </main>
    <main first="rtdsrv.2cec402d279a46868a6623ea662e7a40">
      <tp>
        <v>1874200</v>
        <stp/>
        <stp>Market</stp>
        <stp>STOCK</stp>
        <stp>59380.T</stp>
        <stp>出来高</stp>
        <tr r="I84" s="3"/>
      </tp>
    </main>
    <main first="rtdsrv.2cec402d279a46868a6623ea662e7a40">
      <tp>
        <v>9190000</v>
        <stp/>
        <stp>Market</stp>
        <stp>STOCK</stp>
        <stp>50200.T</stp>
        <stp>出来高</stp>
        <tr r="I67" s="3"/>
      </tp>
      <tp>
        <v>16459500</v>
        <stp/>
        <stp>Market</stp>
        <stp>STOCK</stp>
        <stp>50160.T</stp>
        <stp>出来高</stp>
        <tr r="I87" s="3"/>
      </tp>
      <tp>
        <v>15375500</v>
        <stp/>
        <stp>Market</stp>
        <stp>STOCK</stp>
        <stp>543A0.T</stp>
        <stp>出来高</stp>
        <tr r="I51" s="3"/>
      </tp>
      <tp>
        <v>41396400</v>
        <stp/>
        <stp>Market</stp>
        <stp>STOCK</stp>
        <stp>54010.T</stp>
        <stp>出来高</stp>
        <tr r="I6" s="3"/>
      </tp>
      <tp>
        <v>44293000</v>
        <stp/>
        <stp>Market</stp>
        <stp>STOCK</stp>
        <stp>54110.T</stp>
        <stp>出来高</stp>
        <tr r="I101" s="3"/>
      </tp>
    </main>
    <main first="rtdsrv.2cec402d279a46868a6623ea662e7a40">
      <tp>
        <v>4822</v>
        <stp/>
        <stp>Market</stp>
        <stp>STOCK</stp>
        <stp>80580.T</stp>
        <stp>高値</stp>
        <tr r="F34" s="3"/>
      </tp>
      <tp>
        <v>2531.5</v>
        <stp/>
        <stp>Market</stp>
        <stp>STOCK</stp>
        <stp>83080.T</stp>
        <stp>高値</stp>
        <tr r="F27" s="3"/>
      </tp>
      <tp>
        <v>2486.5</v>
        <stp/>
        <stp>Market</stp>
        <stp>STOCK</stp>
        <stp>61780.T</stp>
        <stp>高値</stp>
        <tr r="F79" s="3"/>
      </tp>
      <tp>
        <v>4041</v>
        <stp/>
        <stp>Market</stp>
        <stp>STOCK</stp>
        <stp>67580.T</stp>
        <stp>高値</stp>
        <tr r="F7" s="3"/>
      </tp>
      <tp>
        <v>1215</v>
        <stp/>
        <stp>Market</stp>
        <stp>STOCK</stp>
        <stp>41880.T</stp>
        <stp>高値</stp>
        <tr r="F22" s="3"/>
      </tp>
      <tp>
        <v>2916.5</v>
        <stp/>
        <stp>Market</stp>
        <stp>STOCK</stp>
        <stp>45680.T</stp>
        <stp>高値</stp>
        <tr r="F91" s="3"/>
      </tp>
      <tp>
        <v>1771.5</v>
        <stp/>
        <stp>Market</stp>
        <stp>STOCK</stp>
        <stp>59380.T</stp>
        <stp>高値</stp>
        <tr r="F84" s="3"/>
      </tp>
    </main>
    <main first="rtdsrv.2cec402d279a46868a6623ea662e7a40">
      <tp>
        <v>2885200</v>
        <stp/>
        <stp>Market</stp>
        <stp>STOCK</stp>
        <stp>49020.T</stp>
        <stp>出来高</stp>
        <tr r="I63" s="3"/>
      </tp>
    </main>
    <main first="rtdsrv.2cec402d279a46868a6623ea662e7a40">
      <tp>
        <v>3589700</v>
        <stp/>
        <stp>Market</stp>
        <stp>STOCK</stp>
        <stp>43070.T</stp>
        <stp>出来高</stp>
        <tr r="I41" s="3"/>
      </tp>
      <tp>
        <v>5822200</v>
        <stp/>
        <stp>Market</stp>
        <stp>STOCK</stp>
        <stp>40630.T</stp>
        <stp>出来高</stp>
        <tr r="I14" s="3"/>
      </tp>
      <tp>
        <v>13553000</v>
        <stp/>
        <stp>Market</stp>
        <stp>STOCK</stp>
        <stp>40050.T</stp>
        <stp>出来高</stp>
        <tr r="I21" s="3"/>
      </tp>
      <tp>
        <v>8167300</v>
        <stp/>
        <stp>Market</stp>
        <stp>STOCK</stp>
        <stp>41880.T</stp>
        <stp>出来高</stp>
        <tr r="I22" s="3"/>
      </tp>
      <tp>
        <v>24296700</v>
        <stp/>
        <stp>Market</stp>
        <stp>STOCK</stp>
        <stp>46890.T</stp>
        <stp>出来高</stp>
        <tr r="I10" s="3"/>
      </tp>
      <tp>
        <v>3650600</v>
        <stp/>
        <stp>Market</stp>
        <stp>STOCK</stp>
        <stp>46610.T</stp>
        <stp>出来高</stp>
        <tr r="I54" s="3"/>
      </tp>
      <tp>
        <v>15149800</v>
        <stp/>
        <stp>Market</stp>
        <stp>STOCK</stp>
        <stp>47550.T</stp>
        <stp>出来高</stp>
        <tr r="I92" s="3"/>
      </tp>
      <tp>
        <v>8976600</v>
        <stp/>
        <stp>Market</stp>
        <stp>STOCK</stp>
        <stp>45680.T</stp>
        <stp>出来高</stp>
        <tr r="I91" s="3"/>
      </tp>
      <tp>
        <v>6623900</v>
        <stp/>
        <stp>Market</stp>
        <stp>STOCK</stp>
        <stp>45020.T</stp>
        <stp>出来高</stp>
        <tr r="I76" s="3"/>
      </tp>
      <tp>
        <v>15498500</v>
        <stp/>
        <stp>Market</stp>
        <stp>STOCK</stp>
        <stp>45030.T</stp>
        <stp>出来高</stp>
        <tr r="I73" s="3"/>
      </tp>
    </main>
    <main first="rtdsrv.2cec402d279a46868a6623ea662e7a40">
      <tp>
        <v>1781.5</v>
        <stp/>
        <stp>Market</stp>
        <stp>STOCK</stp>
        <stp>83090.T</stp>
        <stp>高値</stp>
        <tr r="F18" s="3"/>
      </tp>
      <tp>
        <v>163.30000000000001</v>
        <stp/>
        <stp>Market</stp>
        <stp>STOCK</stp>
        <stp>87290.T</stp>
        <stp>高値</stp>
        <tr r="F48" s="3"/>
      </tp>
      <tp>
        <v>2240.5</v>
        <stp/>
        <stp>Market</stp>
        <stp>STOCK</stp>
        <stp>72690.T</stp>
        <stp>高値</stp>
        <tr r="F35" s="3"/>
      </tp>
      <tp>
        <v>2262</v>
        <stp/>
        <stp>Market</stp>
        <stp>STOCK</stp>
        <stp>72590.T</stp>
        <stp>高値</stp>
        <tr r="F78" s="3"/>
      </tp>
      <tp>
        <v>561.4</v>
        <stp/>
        <stp>Market</stp>
        <stp>STOCK</stp>
        <stp>46890.T</stp>
        <stp>高値</stp>
        <tr r="F10" s="3"/>
      </tp>
    </main>
    <main first="rtdsrv.2cec402d279a46868a6623ea662e7a40">
      <tp>
        <v>3671900</v>
        <stp/>
        <stp>Market</stp>
        <stp>STOCK</stp>
        <stp>38610.T</stp>
        <stp>出来高</stp>
        <tr r="I37" s="3"/>
      </tp>
    </main>
    <main first="rtdsrv.2cec402d279a46868a6623ea662e7a40">
      <tp>
        <v>3436400</v>
        <stp/>
        <stp>Market</stp>
        <stp>STOCK</stp>
        <stp>32310.T</stp>
        <stp>出来高</stp>
        <tr r="I62" s="3"/>
      </tp>
      <tp>
        <v>10164200</v>
        <stp/>
        <stp>Market</stp>
        <stp>STOCK</stp>
        <stp>33820.T</stp>
        <stp>出来高</stp>
        <tr r="I98" s="3"/>
      </tp>
      <tp>
        <v>38783500</v>
        <stp/>
        <stp>Market</stp>
        <stp>STOCK</stp>
        <stp>33500.T</stp>
        <stp>出来高</stp>
        <tr r="I88" s="3"/>
      </tp>
      <tp>
        <v>5473500</v>
        <stp/>
        <stp>Market</stp>
        <stp>STOCK</stp>
        <stp>31100.T</stp>
        <stp>出来高</stp>
        <tr r="I42" s="3"/>
      </tp>
      <tp>
        <v>5217600</v>
        <stp/>
        <stp>Market</stp>
        <stp>STOCK</stp>
        <stp>36970.T</stp>
        <stp>出来高</stp>
        <tr r="I72" s="3"/>
      </tp>
      <tp>
        <v>9191300</v>
        <stp/>
        <stp>Market</stp>
        <stp>STOCK</stp>
        <stp>34360.T</stp>
        <stp>出来高</stp>
        <tr r="I58" s="3"/>
      </tp>
      <tp>
        <v>6867300</v>
        <stp/>
        <stp>Market</stp>
        <stp>STOCK</stp>
        <stp>34070.T</stp>
        <stp>出来高</stp>
        <tr r="I26" s="3"/>
      </tp>
    </main>
    <main first="rtdsrv.2cec402d279a46868a6623ea662e7a40">
      <tp>
        <v>2995400</v>
        <stp/>
        <stp>Market</stp>
        <stp>STOCK</stp>
        <stp>28020.T</stp>
        <stp>出来高</stp>
        <tr r="I44" s="3"/>
      </tp>
    </main>
    <main first="rtdsrv.2cec402d279a46868a6623ea662e7a40">
      <tp>
        <v>3810100</v>
        <stp/>
        <stp>Market</stp>
        <stp>STOCK</stp>
        <stp>29140.T</stp>
        <stp>出来高</stp>
        <tr r="I28" s="3"/>
      </tp>
    </main>
    <main first="rtdsrv.2cec402d279a46868a6623ea662e7a40">
      <tp>
        <v>12676900</v>
        <stp/>
        <stp>Market</stp>
        <stp>STOCK</stp>
        <stp>21810.T</stp>
        <stp>出来高</stp>
        <tr r="I31" s="3"/>
      </tp>
      <tp>
        <v>7215000</v>
        <stp/>
        <stp>Market</stp>
        <stp>STOCK</stp>
        <stp>21460.T</stp>
        <stp>出来高</stp>
        <tr r="I74" s="3"/>
      </tp>
      <tp>
        <v>5962100</v>
        <stp/>
        <stp>Market</stp>
        <stp>STOCK</stp>
        <stp>21270.T</stp>
        <stp>出来高</stp>
        <tr r="I33" s="3"/>
      </tp>
      <tp>
        <v>3618600</v>
        <stp/>
        <stp>Market</stp>
        <stp>STOCK</stp>
        <stp>24130.T</stp>
        <stp>出来高</stp>
        <tr r="I40" s="3"/>
      </tp>
    </main>
    <main first="rtdsrv.2cec402d279a46868a6623ea662e7a40">
      <tp>
        <v>7999000</v>
        <stp/>
        <stp>Market</stp>
        <stp>STOCK</stp>
        <stp>25020.T</stp>
        <stp>出来高</stp>
        <tr r="I32" s="3"/>
      </tp>
    </main>
    <main first="rtdsrv.2cec402d279a46868a6623ea662e7a40">
      <tp>
        <v>3470100</v>
        <stp/>
        <stp>Market</stp>
        <stp>STOCK</stp>
        <stp>18030.T</stp>
        <stp>出来高</stp>
        <tr r="I82" s="3"/>
      </tp>
      <tp>
        <v>916200</v>
        <stp/>
        <stp>Market</stp>
        <stp>STOCK</stp>
        <stp>19420.T</stp>
        <stp>出来高</stp>
        <tr r="I77" s="3"/>
      </tp>
    </main>
    <main first="rtdsrv.2cec402d279a46868a6623ea662e7a40">
      <tp t="s">
        <v>ソシオネクスト</v>
        <stp/>
        <stp>Market</stp>
        <stp>STOCK</stp>
        <stp>65260.T</stp>
        <stp>銘柄名称</stp>
        <tr r="B38" s="2"/>
      </tp>
      <tp t="s">
        <v>パンパシフィックＨＤ</v>
        <stp/>
        <stp>Market</stp>
        <stp>STOCK</stp>
        <stp>75320.T</stp>
        <stp>銘柄名称</stp>
        <tr r="B46" s="2"/>
      </tp>
      <tp t="s">
        <v>安川電機</v>
        <stp/>
        <stp>Market</stp>
        <stp>STOCK</stp>
        <stp>65060.T</stp>
        <stp>銘柄名称</stp>
        <tr r="B75" s="2"/>
      </tp>
      <tp t="s">
        <v>東京電力ＨＤ</v>
        <stp/>
        <stp>Market</stp>
        <stp>STOCK</stp>
        <stp>95010.T</stp>
        <stp>銘柄名称</stp>
        <tr r="B10" s="2"/>
      </tp>
      <tp t="s">
        <v>日立</v>
        <stp/>
        <stp>Market</stp>
        <stp>STOCK</stp>
        <stp>65010.T</stp>
        <stp>銘柄名称</stp>
        <tr r="B28" s="2"/>
      </tp>
      <tp t="s">
        <v>武田薬品</v>
        <stp/>
        <stp>Market</stp>
        <stp>STOCK</stp>
        <stp>45020.T</stp>
        <stp>銘柄名称</stp>
        <tr r="B87" s="2"/>
      </tp>
      <tp t="s">
        <v>アサヒグループホールディン</v>
        <stp/>
        <stp>Market</stp>
        <stp>STOCK</stp>
        <stp>25020.T</stp>
        <stp>銘柄名称</stp>
        <tr r="B65" s="2"/>
      </tp>
      <tp t="s">
        <v>アステラス製薬</v>
        <stp/>
        <stp>Market</stp>
        <stp>STOCK</stp>
        <stp>45030.T</stp>
        <stp>銘柄名称</stp>
        <tr r="B79" s="2"/>
      </tp>
      <tp t="s">
        <v>三菱電機</v>
        <stp/>
        <stp>Market</stp>
        <stp>STOCK</stp>
        <stp>65030.T</stp>
        <stp>銘柄名称</stp>
        <tr r="B61" s="2"/>
      </tp>
      <tp t="s">
        <v>第一三共</v>
        <stp/>
        <stp>Market</stp>
        <stp>STOCK</stp>
        <stp>45680.T</stp>
        <stp>銘柄名称</stp>
        <tr r="B30" s="2"/>
      </tp>
      <tp t="s">
        <v>三菱ＨＣキャピタル</v>
        <stp/>
        <stp>Market</stp>
        <stp>STOCK</stp>
        <stp>85930.T</stp>
        <stp>銘柄名称</stp>
        <tr r="B90" s="2"/>
      </tp>
    </main>
    <main first="rtdsrv.2cec402d279a46868a6623ea662e7a40">
      <tp t="s">
        <v>ソフトバンク</v>
        <stp/>
        <stp>Market</stp>
        <stp>STOCK</stp>
        <stp>94340.T</stp>
        <stp>銘柄名称</stp>
        <tr r="B3" s="2"/>
      </tp>
      <tp t="s">
        <v>ＳＵＭＣＯ</v>
        <stp/>
        <stp>Market</stp>
        <stp>STOCK</stp>
        <stp>34360.T</stp>
        <stp>銘柄名称</stp>
        <tr r="B44" s="2"/>
      </tp>
      <tp t="s">
        <v>ＮＴＴ</v>
        <stp/>
        <stp>Market</stp>
        <stp>STOCK</stp>
        <stp>94320.T</stp>
        <stp>銘柄名称</stp>
        <tr r="B2" s="2"/>
      </tp>
      <tp t="s">
        <v>ＫＤＤＩ</v>
        <stp/>
        <stp>Market</stp>
        <stp>STOCK</stp>
        <stp>94330.T</stp>
        <stp>銘柄名称</stp>
        <tr r="B45" s="2"/>
      </tp>
      <tp t="s">
        <v>ＡＲＣＨＩＯＮ</v>
        <stp/>
        <stp>Market</stp>
        <stp>STOCK</stp>
        <stp>543A0.T</stp>
        <stp>銘柄名称</stp>
        <tr r="B17" s="2"/>
      </tp>
      <tp t="s">
        <v>旭化成</v>
        <stp/>
        <stp>Market</stp>
        <stp>STOCK</stp>
        <stp>34070.T</stp>
        <stp>銘柄名称</stp>
        <tr r="B50" s="2"/>
      </tp>
      <tp t="s">
        <v>日本製鉄</v>
        <stp/>
        <stp>Market</stp>
        <stp>STOCK</stp>
        <stp>54010.T</stp>
        <stp>銘柄名称</stp>
        <tr r="B11" s="2"/>
      </tp>
      <tp t="s">
        <v>セブン銀行</v>
        <stp/>
        <stp>Market</stp>
        <stp>STOCK</stp>
        <stp>84100.T</stp>
        <stp>銘柄名称</stp>
        <tr r="B62" s="2"/>
      </tp>
      <tp t="s">
        <v>みずほフィナンシャルＧ</v>
        <stp/>
        <stp>Market</stp>
        <stp>STOCK</stp>
        <stp>84110.T</stp>
        <stp>銘柄名称</stp>
        <tr r="B43" s="2"/>
      </tp>
      <tp t="s">
        <v>ＪＦＥホールディングス</v>
        <stp/>
        <stp>Market</stp>
        <stp>STOCK</stp>
        <stp>54110.T</stp>
        <stp>銘柄名称</stp>
        <tr r="B82" s="2"/>
      </tp>
      <tp t="s">
        <v>エムスリー</v>
        <stp/>
        <stp>Market</stp>
        <stp>STOCK</stp>
        <stp>24130.T</stp>
        <stp>銘柄名称</stp>
        <tr r="B86" s="2"/>
      </tp>
      <tp t="s">
        <v>日本精工</v>
        <stp/>
        <stp>Market</stp>
        <stp>STOCK</stp>
        <stp>64710.T</stp>
        <stp>銘柄名称</stp>
        <tr r="B85" s="2"/>
      </tp>
      <tp t="s">
        <v>ＮＴＮ</v>
        <stp/>
        <stp>Market</stp>
        <stp>STOCK</stp>
        <stp>64720.T</stp>
        <stp>銘柄名称</stp>
        <tr r="B100" s="2"/>
      </tp>
      <tp t="s">
        <v>ＳＢＩホールディングス</v>
        <stp/>
        <stp>Market</stp>
        <stp>STOCK</stp>
        <stp>84730.T</stp>
        <stp>銘柄名称</stp>
        <tr r="B53" s="2"/>
      </tp>
    </main>
    <main first="rtdsrv.2cec402d279a46868a6623ea662e7a40">
      <tp>
        <v>5200</v>
        <stp/>
        <stp>Market</stp>
        <stp>STOCK</stp>
        <stp>99840.T</stp>
        <stp>現在値</stp>
        <tr r="E50" s="3"/>
      </tp>
    </main>
    <main first="rtdsrv.2cec402d279a46868a6623ea662e7a40">
      <tp>
        <v>538.1</v>
        <stp/>
        <stp>Market</stp>
        <stp>STOCK</stp>
        <stp>95010.T</stp>
        <stp>現在値</stp>
        <tr r="E5" s="3"/>
      </tp>
    </main>
    <main first="rtdsrv.2cec402d279a46868a6623ea662e7a40">
      <tp>
        <v>172.5</v>
        <stp/>
        <stp>Market</stp>
        <stp>STOCK</stp>
        <stp>94320.T</stp>
        <stp>現在値</stp>
        <tr r="E3" s="3"/>
      </tp>
      <tp>
        <v>2959.5</v>
        <stp/>
        <stp>Market</stp>
        <stp>STOCK</stp>
        <stp>94330.T</stp>
        <stp>現在値</stp>
        <tr r="E24" s="3"/>
      </tp>
      <tp>
        <v>237.1</v>
        <stp/>
        <stp>Market</stp>
        <stp>STOCK</stp>
        <stp>94340.T</stp>
        <stp>現在値</stp>
        <tr r="E102" s="3"/>
      </tp>
    </main>
    <main first="rtdsrv.2cec402d279a46868a6623ea662e7a40">
      <tp t="s">
        <v>ソニーフィナンシャルグループ</v>
        <stp/>
        <stp>Market</stp>
        <stp>STOCK</stp>
        <stp>87290.T</stp>
        <stp>銘柄名称</stp>
        <tr r="B6" s="2"/>
      </tp>
      <tp t="s">
        <v>ルネサスエレクトロニクス</v>
        <stp/>
        <stp>Market</stp>
        <stp>STOCK</stp>
        <stp>67230.T</stp>
        <stp>銘柄名称</stp>
        <tr r="B19" s="2"/>
      </tp>
      <tp t="s">
        <v>ＳＣＲＥＥＮホールディングス</v>
        <stp/>
        <stp>Market</stp>
        <stp>STOCK</stp>
        <stp>77350.T</stp>
        <stp>銘柄名称</stp>
        <tr r="B74" s="2"/>
      </tp>
      <tp t="s">
        <v>日本電気</v>
        <stp/>
        <stp>Market</stp>
        <stp>STOCK</stp>
        <stp>67010.T</stp>
        <stp>銘柄名称</stp>
        <tr r="B56" s="2"/>
      </tp>
      <tp t="s">
        <v>富士通</v>
        <stp/>
        <stp>Market</stp>
        <stp>STOCK</stp>
        <stp>67020.T</stp>
        <stp>銘柄名称</stp>
        <tr r="B36" s="2"/>
      </tp>
      <tp t="s">
        <v>ＴＤＫ</v>
        <stp/>
        <stp>Market</stp>
        <stp>STOCK</stp>
        <stp>67620.T</stp>
        <stp>銘柄名称</stp>
        <tr r="B27" s="2"/>
      </tp>
      <tp t="s">
        <v>ソニーグループ</v>
        <stp/>
        <stp>Market</stp>
        <stp>STOCK</stp>
        <stp>67580.T</stp>
        <stp>銘柄名称</stp>
        <tr r="B13" s="2"/>
      </tp>
      <tp t="s">
        <v>楽天グループ</v>
        <stp/>
        <stp>Market</stp>
        <stp>STOCK</stp>
        <stp>47550.T</stp>
        <stp>銘柄名称</stp>
        <tr r="B35" s="2"/>
      </tp>
      <tp t="s">
        <v>第一ライフグループ</v>
        <stp/>
        <stp>Market</stp>
        <stp>STOCK</stp>
        <stp>87500.T</stp>
        <stp>銘柄名称</stp>
        <tr r="B70" s="2"/>
      </tp>
      <tp t="s">
        <v>キヤノン</v>
        <stp/>
        <stp>Market</stp>
        <stp>STOCK</stp>
        <stp>77510.T</stp>
        <stp>銘柄名称</stp>
        <tr r="B72" s="2"/>
      </tp>
    </main>
    <main first="rtdsrv.2cec402d279a46868a6623ea662e7a40">
      <tp>
        <v>1522.5</v>
        <stp/>
        <stp>Market</stp>
        <stp>STOCK</stp>
        <stp>88010.T</stp>
        <stp>現在値</stp>
        <tr r="E94" s="3"/>
      </tp>
    </main>
    <main first="rtdsrv.2cec402d279a46868a6623ea662e7a40">
      <tp>
        <v>1394</v>
        <stp/>
        <stp>Market</stp>
        <stp>STOCK</stp>
        <stp>85930.T</stp>
        <stp>現在値</stp>
        <tr r="E43" s="3"/>
      </tp>
    </main>
    <main first="rtdsrv.2cec402d279a46868a6623ea662e7a40">
      <tp>
        <v>338.7</v>
        <stp/>
        <stp>Market</stp>
        <stp>STOCK</stp>
        <stp>84100.T</stp>
        <stp>現在値</stp>
        <tr r="E66" s="3"/>
      </tp>
      <tp>
        <v>8623</v>
        <stp/>
        <stp>Market</stp>
        <stp>STOCK</stp>
        <stp>84110.T</stp>
        <stp>現在値</stp>
        <tr r="E57" s="3"/>
      </tp>
    </main>
    <main first="rtdsrv.2cec402d279a46868a6623ea662e7a40">
      <tp>
        <v>3314</v>
        <stp/>
        <stp>Market</stp>
        <stp>STOCK</stp>
        <stp>84730.T</stp>
        <stp>現在値</stp>
        <tr r="E29" s="3"/>
      </tp>
      <tp>
        <v>158.30000000000001</v>
        <stp/>
        <stp>Market</stp>
        <stp>STOCK</stp>
        <stp>87290.T</stp>
        <stp>現在値</stp>
        <tr r="E48" s="3"/>
      </tp>
    </main>
    <main first="rtdsrv.2cec402d279a46868a6623ea662e7a40">
      <tp>
        <v>1838.5</v>
        <stp/>
        <stp>Market</stp>
        <stp>STOCK</stp>
        <stp>87500.T</stp>
        <stp>現在値</stp>
        <tr r="E68" s="3"/>
      </tp>
      <tp>
        <v>1843.5</v>
        <stp/>
        <stp>Market</stp>
        <stp>STOCK</stp>
        <stp>86010.T</stp>
        <stp>現在値</stp>
        <tr r="E39" s="3"/>
      </tp>
      <tp>
        <v>1635.5</v>
        <stp/>
        <stp>Market</stp>
        <stp>STOCK</stp>
        <stp>86040.T</stp>
        <stp>現在値</stp>
        <tr r="E13" s="3"/>
      </tp>
      <tp>
        <v>2250</v>
        <stp/>
        <stp>Market</stp>
        <stp>STOCK</stp>
        <stp>86970.T</stp>
        <stp>現在値</stp>
        <tr r="E45" s="3"/>
      </tp>
      <tp>
        <v>1286.5</v>
        <stp/>
        <stp>Market</stp>
        <stp>STOCK</stp>
        <stp>81360.T</stp>
        <stp>現在値</stp>
        <tr r="E89" s="3"/>
      </tp>
      <tp>
        <v>997.1</v>
        <stp/>
        <stp>Market</stp>
        <stp>STOCK</stp>
        <stp>81130.T</stp>
        <stp>現在値</stp>
        <tr r="E99" s="3"/>
      </tp>
    </main>
    <main first="rtdsrv.2cec402d279a46868a6623ea662e7a40">
      <tp>
        <v>5009</v>
        <stp/>
        <stp>Market</stp>
        <stp>STOCK</stp>
        <stp>80310.T</stp>
        <stp>現在値</stp>
        <tr r="E46" s="3"/>
      </tp>
      <tp>
        <v>56440</v>
        <stp/>
        <stp>Market</stp>
        <stp>STOCK</stp>
        <stp>80350.T</stp>
        <stp>現在値</stp>
        <tr r="E23" s="3"/>
      </tp>
      <tp>
        <v>2108</v>
        <stp/>
        <stp>Market</stp>
        <stp>STOCK</stp>
        <stp>80010.T</stp>
        <stp>現在値</stp>
        <tr r="E15" s="3"/>
      </tp>
      <tp>
        <v>4804</v>
        <stp/>
        <stp>Market</stp>
        <stp>STOCK</stp>
        <stp>80580.T</stp>
        <stp>現在値</stp>
        <tr r="E34" s="3"/>
      </tp>
      <tp>
        <v>1791.5</v>
        <stp/>
        <stp>Market</stp>
        <stp>STOCK</stp>
        <stp>80530.T</stp>
        <stp>現在値</stp>
        <tr r="E9" s="3"/>
      </tp>
    </main>
    <main first="rtdsrv.2cec402d279a46868a6623ea662e7a40">
      <tp>
        <v>2530</v>
        <stp/>
        <stp>Market</stp>
        <stp>STOCK</stp>
        <stp>83080.T</stp>
        <stp>現在値</stp>
        <tr r="E27" s="3"/>
      </tp>
      <tp>
        <v>1777</v>
        <stp/>
        <stp>Market</stp>
        <stp>STOCK</stp>
        <stp>83090.T</stp>
        <stp>現在値</stp>
        <tr r="E18" s="3"/>
      </tp>
      <tp>
        <v>1570</v>
        <stp/>
        <stp>Market</stp>
        <stp>STOCK</stp>
        <stp>83030.T</stp>
        <stp>現在値</stp>
        <tr r="E61" s="3"/>
      </tp>
      <tp>
        <v>3680</v>
        <stp/>
        <stp>Market</stp>
        <stp>STOCK</stp>
        <stp>83060.T</stp>
        <stp>現在値</stp>
        <tr r="E4" s="3"/>
      </tp>
      <tp>
        <v>6975</v>
        <stp/>
        <stp>Market</stp>
        <stp>STOCK</stp>
        <stp>83160.T</stp>
        <stp>現在値</stp>
        <tr r="E19" s="3"/>
      </tp>
    </main>
    <main first="rtdsrv.2cec402d279a46868a6623ea662e7a40">
      <tp>
        <v>1356.5</v>
        <stp/>
        <stp>Market</stp>
        <stp>STOCK</stp>
        <stp>82670.T</stp>
        <stp>現在値</stp>
        <tr r="E25" s="3"/>
      </tp>
    </main>
    <main first="rtdsrv.2cec402d279a46868a6623ea662e7a40">
      <tp t="s">
        <v>野村ホールディングス</v>
        <stp/>
        <stp>Market</stp>
        <stp>STOCK</stp>
        <stp>86040.T</stp>
        <stp>銘柄名称</stp>
        <tr r="B26" s="2"/>
      </tp>
      <tp t="s">
        <v>大和証券Ｇ本社</v>
        <stp/>
        <stp>Market</stp>
        <stp>STOCK</stp>
        <stp>86010.T</stp>
        <stp>銘柄名称</stp>
        <tr r="B84" s="2"/>
      </tp>
      <tp t="s">
        <v>オリエンタルランド</v>
        <stp/>
        <stp>Market</stp>
        <stp>STOCK</stp>
        <stp>46610.T</stp>
        <stp>銘柄名称</stp>
        <tr r="B25" s="2"/>
      </tp>
      <tp t="s">
        <v>ＬＩＮＥヤフー</v>
        <stp/>
        <stp>Market</stp>
        <stp>STOCK</stp>
        <stp>46890.T</stp>
        <stp>銘柄名称</stp>
        <tr r="B20" s="2"/>
      </tp>
      <tp t="s">
        <v>日本取引所グループ</v>
        <stp/>
        <stp>Market</stp>
        <stp>STOCK</stp>
        <stp>86970.T</stp>
        <stp>銘柄名称</stp>
        <tr r="B96" s="2"/>
      </tp>
      <tp t="s">
        <v>ＳＨＩＦＴ</v>
        <stp/>
        <stp>Market</stp>
        <stp>STOCK</stp>
        <stp>36970.T</stp>
        <stp>銘柄名称</stp>
        <tr r="B77" s="2"/>
      </tp>
    </main>
    <main first="rtdsrv.2cec402d279a46868a6623ea662e7a40">
      <tp t="s">
        <v>日本Ｍ＆Ａセンターホールデ</v>
        <stp/>
        <stp>Market</stp>
        <stp>STOCK</stp>
        <stp>21270.T</stp>
        <stp>銘柄名称</stp>
        <tr r="B67" s="2"/>
      </tp>
      <tp t="s">
        <v>サンリオ</v>
        <stp/>
        <stp>Market</stp>
        <stp>STOCK</stp>
        <stp>81360.T</stp>
        <stp>銘柄名称</stp>
        <tr r="B21" s="2"/>
      </tp>
      <tp t="s">
        <v>日東紡績</v>
        <stp/>
        <stp>Market</stp>
        <stp>STOCK</stp>
        <stp>31100.T</stp>
        <stp>銘柄名称</stp>
        <tr r="B89" s="2"/>
      </tp>
      <tp t="s">
        <v>ユニ・チヤ－ム</v>
        <stp/>
        <stp>Market</stp>
        <stp>STOCK</stp>
        <stp>81130.T</stp>
        <stp>銘柄名称</stp>
        <tr r="B73" s="2"/>
      </tp>
      <tp t="s">
        <v>日本郵政</v>
        <stp/>
        <stp>Market</stp>
        <stp>STOCK</stp>
        <stp>61780.T</stp>
        <stp>銘柄名称</stp>
        <tr r="B94" s="2"/>
      </tp>
      <tp t="s">
        <v>ＵＴグループ</v>
        <stp/>
        <stp>Market</stp>
        <stp>STOCK</stp>
        <stp>21460.T</stp>
        <stp>銘柄名称</stp>
        <tr r="B80" s="2"/>
      </tp>
      <tp t="s">
        <v>三菱ケミカルグループ</v>
        <stp/>
        <stp>Market</stp>
        <stp>STOCK</stp>
        <stp>41880.T</stp>
        <stp>銘柄名称</stp>
        <tr r="B41" s="2"/>
      </tp>
      <tp t="s">
        <v>パーソルホールディングス</v>
        <stp/>
        <stp>Market</stp>
        <stp>STOCK</stp>
        <stp>21810.T</stp>
        <stp>銘柄名称</stp>
        <tr r="B63" s="2"/>
      </tp>
      <tp t="s">
        <v>ゆうちょ銀行</v>
        <stp/>
        <stp>Market</stp>
        <stp>STOCK</stp>
        <stp>71820.T</stp>
        <stp>銘柄名称</stp>
        <tr r="B57" s="2"/>
      </tp>
      <tp>
        <v>5474</v>
        <stp/>
        <stp>Market</stp>
        <stp>STOCK</stp>
        <stp>19420.T</stp>
        <stp>前日終値</stp>
        <tr r="L77" s="3"/>
      </tp>
    </main>
    <main first="rtdsrv.2cec402d279a46868a6623ea662e7a40">
      <tp>
        <v>6052</v>
        <stp/>
        <stp>Market</stp>
        <stp>STOCK</stp>
        <stp>69540.T</stp>
        <stp>前日終値</stp>
        <tr r="L97" s="3"/>
      </tp>
    </main>
    <main first="rtdsrv.2cec402d279a46868a6623ea662e7a40">
      <tp>
        <v>4830</v>
        <stp/>
        <stp>Market</stp>
        <stp>STOCK</stp>
        <stp>69630.T</stp>
        <stp>前日終値</stp>
        <tr r="L36" s="3"/>
      </tp>
      <tp>
        <v>3625</v>
        <stp/>
        <stp>Market</stp>
        <stp>STOCK</stp>
        <stp>69710.T</stp>
        <stp>前日終値</stp>
        <tr r="L95" s="3"/>
      </tp>
      <tp>
        <v>8993</v>
        <stp/>
        <stp>Market</stp>
        <stp>STOCK</stp>
        <stp>79740.T</stp>
        <stp>前日終値</stp>
        <tr r="L17" s="3"/>
      </tp>
      <tp>
        <v>1915.5</v>
        <stp/>
        <stp>Market</stp>
        <stp>STOCK</stp>
        <stp>69020.T</stp>
        <stp>前日終値</stp>
        <tr r="L11" s="3"/>
      </tp>
      <tp>
        <v>660.7</v>
        <stp/>
        <stp>Market</stp>
        <stp>STOCK</stp>
        <stp>49020.T</stp>
        <stp>前日終値</stp>
        <tr r="L63" s="3"/>
      </tp>
      <tp>
        <v>6948</v>
        <stp/>
        <stp>Market</stp>
        <stp>STOCK</stp>
        <stp>29140.T</stp>
        <stp>前日終値</stp>
        <tr r="L28" s="3"/>
      </tp>
      <tp>
        <v>34640</v>
        <stp/>
        <stp>Market</stp>
        <stp>STOCK</stp>
        <stp>69200.T</stp>
        <stp>前日終値</stp>
        <tr r="L81" s="3"/>
      </tp>
      <tp>
        <v>1758.5</v>
        <stp/>
        <stp>Market</stp>
        <stp>STOCK</stp>
        <stp>59380.T</stp>
        <stp>前日終値</stp>
        <tr r="L84" s="3"/>
      </tp>
    </main>
    <main first="rtdsrv.2cec402d279a46868a6623ea662e7a40">
      <tp>
        <v>5161</v>
        <stp/>
        <stp>Market</stp>
        <stp>STOCK</stp>
        <stp>99840.T</stp>
        <stp>前日終値</stp>
        <tr r="L50" s="3"/>
      </tp>
    </main>
    <main first="rtdsrv.2cec402d279a46868a6623ea662e7a40">
      <tp t="s">
        <v>ＥＮＥＯＳホールディングス</v>
        <stp/>
        <stp>Market</stp>
        <stp>STOCK</stp>
        <stp>50200.T</stp>
        <stp>銘柄名称</stp>
        <tr r="B64" s="2"/>
      </tp>
      <tp t="s">
        <v>東京エレクトロン</v>
        <stp/>
        <stp>Market</stp>
        <stp>STOCK</stp>
        <stp>80350.T</stp>
        <stp>銘柄名称</stp>
        <tr r="B42" s="2"/>
      </tp>
      <tp t="s">
        <v>三井物産</v>
        <stp/>
        <stp>Market</stp>
        <stp>STOCK</stp>
        <stp>80310.T</stp>
        <stp>銘柄名称</stp>
        <tr r="B99" s="2"/>
      </tp>
      <tp t="s">
        <v>住友化学</v>
        <stp/>
        <stp>Market</stp>
        <stp>STOCK</stp>
        <stp>40050.T</stp>
        <stp>銘柄名称</stp>
        <tr r="B40" s="2"/>
      </tp>
      <tp t="s">
        <v>伊藤忠</v>
        <stp/>
        <stp>Market</stp>
        <stp>STOCK</stp>
        <stp>80010.T</stp>
        <stp>銘柄名称</stp>
        <tr r="B31" s="2"/>
      </tp>
      <tp t="s">
        <v>ＪＸ金属</v>
        <stp/>
        <stp>Market</stp>
        <stp>STOCK</stp>
        <stp>50160.T</stp>
        <stp>銘柄名称</stp>
        <tr r="B15" s="2"/>
      </tp>
      <tp t="s">
        <v>三菱重工業</v>
        <stp/>
        <stp>Market</stp>
        <stp>STOCK</stp>
        <stp>70110.T</stp>
        <stp>銘柄名称</stp>
        <tr r="B24" s="2"/>
      </tp>
      <tp t="s">
        <v>川崎重工業</v>
        <stp/>
        <stp>Market</stp>
        <stp>STOCK</stp>
        <stp>70120.T</stp>
        <stp>銘柄名称</stp>
        <tr r="B48" s="2"/>
      </tp>
      <tp t="s">
        <v>ＩＨＩ</v>
        <stp/>
        <stp>Market</stp>
        <stp>STOCK</stp>
        <stp>70130.T</stp>
        <stp>銘柄名称</stp>
        <tr r="B39" s="2"/>
      </tp>
      <tp t="s">
        <v>信越化学</v>
        <stp/>
        <stp>Market</stp>
        <stp>STOCK</stp>
        <stp>40630.T</stp>
        <stp>銘柄名称</stp>
        <tr r="B29" s="2"/>
      </tp>
      <tp t="s">
        <v>三菱商事</v>
        <stp/>
        <stp>Market</stp>
        <stp>STOCK</stp>
        <stp>80580.T</stp>
        <stp>銘柄名称</stp>
        <tr r="B68" s="2"/>
      </tp>
      <tp t="s">
        <v>住友商事</v>
        <stp/>
        <stp>Market</stp>
        <stp>STOCK</stp>
        <stp>80530.T</stp>
        <stp>銘柄名称</stp>
        <tr r="B16" s="2"/>
      </tp>
    </main>
    <main first="rtdsrv.2cec402d279a46868a6623ea662e7a40">
      <tp>
        <v>35270</v>
        <stp/>
        <stp>Market</stp>
        <stp>STOCK</stp>
        <stp>68570.T</stp>
        <stp>前日終値</stp>
        <tr r="L16" s="3"/>
      </tp>
    </main>
    <main first="rtdsrv.2cec402d279a46868a6623ea662e7a40">
      <tp>
        <v>881.5</v>
        <stp/>
        <stp>Market</stp>
        <stp>STOCK</stp>
        <stp>38610.T</stp>
        <stp>前日終値</stp>
        <tr r="L37" s="3"/>
      </tp>
      <tp>
        <v>1540</v>
        <stp/>
        <stp>Market</stp>
        <stp>STOCK</stp>
        <stp>88010.T</stp>
        <stp>前日終値</stp>
        <tr r="L94" s="3"/>
      </tp>
      <tp>
        <v>3903</v>
        <stp/>
        <stp>Market</stp>
        <stp>STOCK</stp>
        <stp>58010.T</stp>
        <stp>前日終値</stp>
        <tr r="L86" s="3"/>
      </tp>
      <tp>
        <v>5431</v>
        <stp/>
        <stp>Market</stp>
        <stp>STOCK</stp>
        <stp>28020.T</stp>
        <stp>前日終値</stp>
        <tr r="L44" s="3"/>
      </tp>
      <tp>
        <v>2180</v>
        <stp/>
        <stp>Market</stp>
        <stp>STOCK</stp>
        <stp>58020.T</stp>
        <stp>前日終値</stp>
        <tr r="L85" s="3"/>
      </tp>
      <tp>
        <v>2381</v>
        <stp/>
        <stp>Market</stp>
        <stp>STOCK</stp>
        <stp>18030.T</stp>
        <stp>前日終値</stp>
        <tr r="L82" s="3"/>
      </tp>
      <tp>
        <v>5340</v>
        <stp/>
        <stp>Market</stp>
        <stp>STOCK</stp>
        <stp>58030.T</stp>
        <stp>前日終値</stp>
        <tr r="L47" s="3"/>
      </tp>
    </main>
    <main first="rtdsrv.2cec402d279a46868a6623ea662e7a40">
      <tp t="s">
        <v>りそなホールディングス</v>
        <stp/>
        <stp>Market</stp>
        <stp>STOCK</stp>
        <stp>83080.T</stp>
        <stp>銘柄名称</stp>
        <tr r="B51" s="2"/>
      </tp>
      <tp t="s">
        <v>三井住友トラストグルー</v>
        <stp/>
        <stp>Market</stp>
        <stp>STOCK</stp>
        <stp>83090.T</stp>
        <stp>銘柄名称</stp>
        <tr r="B34" s="2"/>
      </tp>
      <tp t="s">
        <v>三菱ＵＦＪフィナンシャルＧ</v>
        <stp/>
        <stp>Market</stp>
        <stp>STOCK</stp>
        <stp>83060.T</stp>
        <stp>銘柄名称</stp>
        <tr r="B9" s="2"/>
      </tp>
      <tp t="s">
        <v>野村総合研究所</v>
        <stp/>
        <stp>Market</stp>
        <stp>STOCK</stp>
        <stp>43070.T</stp>
        <stp>銘柄名称</stp>
        <tr r="B88" s="2"/>
      </tp>
      <tp t="s">
        <v>ＳＢＩ新生銀行</v>
        <stp/>
        <stp>Market</stp>
        <stp>STOCK</stp>
        <stp>83030.T</stp>
        <stp>銘柄名称</stp>
        <tr r="B49" s="2"/>
      </tp>
      <tp t="s">
        <v>ＴＯＷＡ</v>
        <stp/>
        <stp>Market</stp>
        <stp>STOCK</stp>
        <stp>63150.T</stp>
        <stp>銘柄名称</stp>
        <tr r="B78" s="2"/>
      </tp>
      <tp t="s">
        <v>三井住友フィナンシャルＧ</v>
        <stp/>
        <stp>Market</stp>
        <stp>STOCK</stp>
        <stp>83160.T</stp>
        <stp>銘柄名称</stp>
        <tr r="B37" s="2"/>
      </tp>
      <tp t="s">
        <v>メタプラネット</v>
        <stp/>
        <stp>Market</stp>
        <stp>STOCK</stp>
        <stp>33500.T</stp>
        <stp>銘柄名称</stp>
        <tr r="B18" s="2"/>
      </tp>
      <tp t="s">
        <v>セブン＆アイ・ＨＬＤＧＳ</v>
        <stp/>
        <stp>Market</stp>
        <stp>STOCK</stp>
        <stp>33820.T</stp>
        <stp>銘柄名称</stp>
        <tr r="B69" s="2"/>
      </tp>
    </main>
    <main first="rtdsrv.2cec402d279a46868a6623ea662e7a40">
      <tp t="s">
        <v>野村不動産ＨＬＤＧＳ</v>
        <stp/>
        <stp>Market</stp>
        <stp>STOCK</stp>
        <stp>32310.T</stp>
        <stp>銘柄名称</stp>
        <tr r="B54" s="2"/>
      </tp>
      <tp t="s">
        <v>日産自動車</v>
        <stp/>
        <stp>Market</stp>
        <stp>STOCK</stp>
        <stp>72010.T</stp>
        <stp>銘柄名称</stp>
        <tr r="B7" s="2"/>
      </tp>
      <tp t="s">
        <v>トヨタ自動車</v>
        <stp/>
        <stp>Market</stp>
        <stp>STOCK</stp>
        <stp>72030.T</stp>
        <stp>銘柄名称</stp>
        <tr r="B14" s="2"/>
      </tp>
      <tp t="s">
        <v>三菱自動車工業</v>
        <stp/>
        <stp>Market</stp>
        <stp>STOCK</stp>
        <stp>72110.T</stp>
        <stp>銘柄名称</stp>
        <tr r="B58" s="2"/>
      </tp>
      <tp t="s">
        <v>スズキ</v>
        <stp/>
        <stp>Market</stp>
        <stp>STOCK</stp>
        <stp>72690.T</stp>
        <stp>銘柄名称</stp>
        <tr r="B71" s="2"/>
      </tp>
      <tp t="s">
        <v>イオン</v>
        <stp/>
        <stp>Market</stp>
        <stp>STOCK</stp>
        <stp>82670.T</stp>
        <stp>銘柄名称</stp>
        <tr r="B47" s="2"/>
      </tp>
      <tp t="s">
        <v>本田技研</v>
        <stp/>
        <stp>Market</stp>
        <stp>STOCK</stp>
        <stp>72670.T</stp>
        <stp>銘柄名称</stp>
        <tr r="B23" s="2"/>
      </tp>
      <tp t="s">
        <v>マツダ</v>
        <stp/>
        <stp>Market</stp>
        <stp>STOCK</stp>
        <stp>72610.T</stp>
        <stp>銘柄名称</stp>
        <tr r="B83" s="2"/>
      </tp>
      <tp t="s">
        <v>ヤマハ発動機</v>
        <stp/>
        <stp>Market</stp>
        <stp>STOCK</stp>
        <stp>72720.T</stp>
        <stp>銘柄名称</stp>
        <tr r="B95" s="2"/>
      </tp>
      <tp t="s">
        <v>アイシン</v>
        <stp/>
        <stp>Market</stp>
        <stp>STOCK</stp>
        <stp>72590.T</stp>
        <stp>銘柄名称</stp>
        <tr r="B93" s="2"/>
      </tp>
    </main>
    <main first="rtdsrv.2cec402d279a46868a6623ea662e7a40">
      <tp>
        <v>883.2</v>
        <stp/>
        <stp>Market</stp>
        <stp>STOCK</stp>
        <stp>38610.T</stp>
        <stp>現在値</stp>
        <tr r="E37" s="3"/>
      </tp>
    </main>
    <main first="rtdsrv.2cec402d279a46868a6623ea662e7a40">
      <tp>
        <v>3400</v>
        <stp/>
        <stp>Market</stp>
        <stp>STOCK</stp>
        <stp>34360.T</stp>
        <stp>現在値</stp>
        <tr r="E58" s="3"/>
      </tp>
      <tp>
        <v>1644</v>
        <stp/>
        <stp>Market</stp>
        <stp>STOCK</stp>
        <stp>34070.T</stp>
        <stp>現在値</stp>
        <tr r="E26" s="3"/>
      </tp>
    </main>
    <main first="rtdsrv.2cec402d279a46868a6623ea662e7a40">
      <tp>
        <v>955.9</v>
        <stp/>
        <stp>Market</stp>
        <stp>STOCK</stp>
        <stp>36970.T</stp>
        <stp>現在値</stp>
        <tr r="E72" s="3"/>
      </tp>
      <tp>
        <v>3200</v>
        <stp/>
        <stp>Market</stp>
        <stp>STOCK</stp>
        <stp>31100.T</stp>
        <stp>現在値</stp>
        <tr r="E42" s="3"/>
      </tp>
    </main>
    <main first="rtdsrv.2cec402d279a46868a6623ea662e7a40">
      <tp>
        <v>312</v>
        <stp/>
        <stp>Market</stp>
        <stp>STOCK</stp>
        <stp>33500.T</stp>
        <stp>現在値</stp>
        <tr r="E88" s="3"/>
      </tp>
      <tp>
        <v>2026</v>
        <stp/>
        <stp>Market</stp>
        <stp>STOCK</stp>
        <stp>33820.T</stp>
        <stp>現在値</stp>
        <tr r="E98" s="3"/>
      </tp>
      <tp>
        <v>931.8</v>
        <stp/>
        <stp>Market</stp>
        <stp>STOCK</stp>
        <stp>32310.T</stp>
        <stp>現在値</stp>
        <tr r="E62" s="3"/>
      </tp>
    </main>
    <main first="rtdsrv.2cec402d279a46868a6623ea662e7a40">
      <tp>
        <v>2931</v>
        <stp/>
        <stp>Market</stp>
        <stp>STOCK</stp>
        <stp>45680.T</stp>
        <stp>前日終値</stp>
        <tr r="L91" s="3"/>
      </tp>
      <tp>
        <v>528.1</v>
        <stp/>
        <stp>Market</stp>
        <stp>STOCK</stp>
        <stp>95010.T</stp>
        <stp>前日終値</stp>
        <tr r="L5" s="3"/>
      </tp>
      <tp>
        <v>5550</v>
        <stp/>
        <stp>Market</stp>
        <stp>STOCK</stp>
        <stp>65010.T</stp>
        <stp>前日終値</stp>
        <tr r="L90" s="3"/>
      </tp>
      <tp>
        <v>1670.5</v>
        <stp/>
        <stp>Market</stp>
        <stp>STOCK</stp>
        <stp>25020.T</stp>
        <stp>前日終値</stp>
        <tr r="L32" s="3"/>
      </tp>
      <tp>
        <v>5800</v>
        <stp/>
        <stp>Market</stp>
        <stp>STOCK</stp>
        <stp>45020.T</stp>
        <stp>前日終値</stp>
        <tr r="L76" s="3"/>
      </tp>
      <tp>
        <v>5648</v>
        <stp/>
        <stp>Market</stp>
        <stp>STOCK</stp>
        <stp>65030.T</stp>
        <stp>前日終値</stp>
        <tr r="L96" s="3"/>
      </tp>
      <tp>
        <v>2370.5</v>
        <stp/>
        <stp>Market</stp>
        <stp>STOCK</stp>
        <stp>45030.T</stp>
        <stp>前日終値</stp>
        <tr r="L73" s="3"/>
      </tp>
      <tp>
        <v>4811</v>
        <stp/>
        <stp>Market</stp>
        <stp>STOCK</stp>
        <stp>65060.T</stp>
        <stp>前日終値</stp>
        <tr r="L71" s="3"/>
      </tp>
      <tp>
        <v>2005</v>
        <stp/>
        <stp>Market</stp>
        <stp>STOCK</stp>
        <stp>65260.T</stp>
        <stp>前日終値</stp>
        <tr r="L93" s="3"/>
      </tp>
      <tp>
        <v>809.5</v>
        <stp/>
        <stp>Market</stp>
        <stp>STOCK</stp>
        <stp>75320.T</stp>
        <stp>前日終値</stp>
        <tr r="L59" s="3"/>
      </tp>
      <tp>
        <v>1402.5</v>
        <stp/>
        <stp>Market</stp>
        <stp>STOCK</stp>
        <stp>85930.T</stp>
        <stp>前日終値</stp>
        <tr r="L43" s="3"/>
      </tp>
    </main>
    <main first="rtdsrv.2cec402d279a46868a6623ea662e7a40">
      <tp>
        <v>6935</v>
        <stp/>
        <stp>Market</stp>
        <stp>STOCK</stp>
        <stp>29140.T</stp>
        <stp>現在値</stp>
        <tr r="E28" s="3"/>
      </tp>
    </main>
    <main first="rtdsrv.2cec402d279a46868a6623ea662e7a40">
      <tp>
        <v>5402</v>
        <stp/>
        <stp>Market</stp>
        <stp>STOCK</stp>
        <stp>28020.T</stp>
        <stp>現在値</stp>
        <tr r="E44" s="3"/>
      </tp>
    </main>
    <main first="rtdsrv.2cec402d279a46868a6623ea662e7a40">
      <tp>
        <v>1676</v>
        <stp/>
        <stp>Market</stp>
        <stp>STOCK</stp>
        <stp>25020.T</stp>
        <stp>現在値</stp>
        <tr r="E32" s="3"/>
      </tp>
    </main>
    <main first="rtdsrv.2cec402d279a46868a6623ea662e7a40">
      <tp>
        <v>1834</v>
        <stp/>
        <stp>Market</stp>
        <stp>STOCK</stp>
        <stp>24130.T</stp>
        <stp>現在値</stp>
        <tr r="E40" s="3"/>
      </tp>
    </main>
    <main first="rtdsrv.2cec402d279a46868a6623ea662e7a40">
      <tp>
        <v>685.4</v>
        <stp/>
        <stp>Market</stp>
        <stp>STOCK</stp>
        <stp>21270.T</stp>
        <stp>現在値</stp>
        <tr r="E33" s="3"/>
      </tp>
    </main>
    <main first="rtdsrv.2cec402d279a46868a6623ea662e7a40">
      <tp>
        <v>239</v>
        <stp/>
        <stp>Market</stp>
        <stp>STOCK</stp>
        <stp>21460.T</stp>
        <stp>現在値</stp>
        <tr r="E74" s="3"/>
      </tp>
      <tp>
        <v>301.2</v>
        <stp/>
        <stp>Market</stp>
        <stp>STOCK</stp>
        <stp>21810.T</stp>
        <stp>現在値</stp>
        <tr r="E31" s="3"/>
      </tp>
    </main>
    <main first="rtdsrv.2cec402d279a46868a6623ea662e7a40">
      <tp>
        <v>1100.5</v>
        <stp/>
        <stp>Market</stp>
        <stp>STOCK</stp>
        <stp>64710.T</stp>
        <stp>前日終値</stp>
        <tr r="L75" s="3"/>
      </tp>
      <tp>
        <v>372.2</v>
        <stp/>
        <stp>Market</stp>
        <stp>STOCK</stp>
        <stp>64720.T</stp>
        <stp>前日終値</stp>
        <tr r="L83" s="3"/>
      </tp>
      <tp>
        <v>3427</v>
        <stp/>
        <stp>Market</stp>
        <stp>STOCK</stp>
        <stp>84730.T</stp>
        <stp>前日終値</stp>
        <tr r="L29" s="3"/>
      </tp>
      <tp>
        <v>677</v>
        <stp/>
        <stp>Market</stp>
        <stp>STOCK</stp>
        <stp>54010.T</stp>
        <stp>前日終値</stp>
        <tr r="L6" s="3"/>
      </tp>
      <tp>
        <v>1615.5</v>
        <stp/>
        <stp>Market</stp>
        <stp>STOCK</stp>
        <stp>34070.T</stp>
        <stp>前日終値</stp>
        <tr r="L26" s="3"/>
      </tp>
      <tp>
        <v>338.7</v>
        <stp/>
        <stp>Market</stp>
        <stp>STOCK</stp>
        <stp>84100.T</stp>
        <stp>前日終値</stp>
        <tr r="L66" s="3"/>
      </tp>
      <tp>
        <v>8486</v>
        <stp/>
        <stp>Market</stp>
        <stp>STOCK</stp>
        <stp>84110.T</stp>
        <stp>前日終値</stp>
        <tr r="L57" s="3"/>
      </tp>
      <tp>
        <v>1859</v>
        <stp/>
        <stp>Market</stp>
        <stp>STOCK</stp>
        <stp>54110.T</stp>
        <stp>前日終値</stp>
        <tr r="L101" s="3"/>
      </tp>
      <tp>
        <v>1855</v>
        <stp/>
        <stp>Market</stp>
        <stp>STOCK</stp>
        <stp>24130.T</stp>
        <stp>前日終値</stp>
        <tr r="L40" s="3"/>
      </tp>
      <tp>
        <v>168.6</v>
        <stp/>
        <stp>Market</stp>
        <stp>STOCK</stp>
        <stp>94320.T</stp>
        <stp>前日終値</stp>
        <tr r="L3" s="3"/>
      </tp>
      <tp>
        <v>2922</v>
        <stp/>
        <stp>Market</stp>
        <stp>STOCK</stp>
        <stp>94330.T</stp>
        <stp>前日終値</stp>
        <tr r="L24" s="3"/>
      </tp>
      <tp>
        <v>3434</v>
        <stp/>
        <stp>Market</stp>
        <stp>STOCK</stp>
        <stp>34360.T</stp>
        <stp>前日終値</stp>
        <tr r="L58" s="3"/>
      </tp>
      <tp>
        <v>275</v>
        <stp/>
        <stp>Market</stp>
        <stp>STOCK</stp>
        <stp>543A0.T</stp>
        <stp>前日終値</stp>
        <tr r="L51" s="3"/>
      </tp>
    </main>
    <main first="rtdsrv.2cec402d279a46868a6623ea662e7a40">
      <tp>
        <v>5491</v>
        <stp/>
        <stp>Market</stp>
        <stp>STOCK</stp>
        <stp>19420.T</stp>
        <stp>現在値</stp>
        <tr r="E77" s="3"/>
      </tp>
      <tp>
        <v>2388</v>
        <stp/>
        <stp>Market</stp>
        <stp>STOCK</stp>
        <stp>18030.T</stp>
        <stp>現在値</stp>
        <tr r="E82" s="3"/>
      </tp>
    </main>
    <main first="rtdsrv.2cec402d279a46868a6623ea662e7a40">
      <tp>
        <v>3928</v>
        <stp/>
        <stp>Market</stp>
        <stp>STOCK</stp>
        <stp>67580.T</stp>
        <stp>前日終値</stp>
        <tr r="L7" s="3"/>
      </tp>
      <tp>
        <v>1843</v>
        <stp/>
        <stp>Market</stp>
        <stp>STOCK</stp>
        <stp>87500.T</stp>
        <stp>前日終値</stp>
        <tr r="L68" s="3"/>
      </tp>
      <tp>
        <v>4686</v>
        <stp/>
        <stp>Market</stp>
        <stp>STOCK</stp>
        <stp>77510.T</stp>
        <stp>前日終値</stp>
        <tr r="L69" s="3"/>
      </tp>
      <tp>
        <v>792</v>
        <stp/>
        <stp>Market</stp>
        <stp>STOCK</stp>
        <stp>47550.T</stp>
        <stp>前日終値</stp>
        <tr r="L92" s="3"/>
      </tp>
    </main>
    <main first="rtdsrv.2cec402d279a46868a6623ea662e7a40">
      <tp>
        <v>3112</v>
        <stp/>
        <stp>Market</stp>
        <stp>STOCK</stp>
        <stp>67620.T</stp>
        <stp>前日終値</stp>
        <tr r="L55" s="3"/>
      </tp>
      <tp>
        <v>4908</v>
        <stp/>
        <stp>Market</stp>
        <stp>STOCK</stp>
        <stp>67010.T</stp>
        <stp>前日終値</stp>
        <tr r="L30" s="3"/>
      </tp>
      <tp>
        <v>3904</v>
        <stp/>
        <stp>Market</stp>
        <stp>STOCK</stp>
        <stp>67020.T</stp>
        <stp>前日終値</stp>
        <tr r="L56" s="3"/>
      </tp>
      <tp>
        <v>165.8</v>
        <stp/>
        <stp>Market</stp>
        <stp>STOCK</stp>
        <stp>87290.T</stp>
        <stp>前日終値</stp>
        <tr r="L48" s="3"/>
      </tp>
      <tp>
        <v>3417</v>
        <stp/>
        <stp>Market</stp>
        <stp>STOCK</stp>
        <stp>67230.T</stp>
        <stp>前日終値</stp>
        <tr r="L52" s="3"/>
      </tp>
      <tp>
        <v>13715</v>
        <stp/>
        <stp>Market</stp>
        <stp>STOCK</stp>
        <stp>77350.T</stp>
        <stp>前日終値</stp>
        <tr r="L70" s="3"/>
      </tp>
    </main>
    <main first="rtdsrv.2cec402d279a46868a6623ea662e7a40">
      <tp>
        <v>3039</v>
        <stp/>
        <stp>Market</stp>
        <stp>STOCK</stp>
        <stp>46610.T</stp>
        <stp>前日終値</stp>
        <tr r="L54" s="3"/>
      </tp>
      <tp>
        <v>1863</v>
        <stp/>
        <stp>Market</stp>
        <stp>STOCK</stp>
        <stp>86010.T</stp>
        <stp>前日終値</stp>
        <tr r="L39" s="3"/>
      </tp>
      <tp>
        <v>1642</v>
        <stp/>
        <stp>Market</stp>
        <stp>STOCK</stp>
        <stp>86040.T</stp>
        <stp>前日終値</stp>
        <tr r="L13" s="3"/>
      </tp>
    </main>
    <main first="rtdsrv.2cec402d279a46868a6623ea662e7a40">
      <tp>
        <v>554</v>
        <stp/>
        <stp>Market</stp>
        <stp>STOCK</stp>
        <stp>46890.T</stp>
        <stp>前日終値</stp>
        <tr r="L10" s="3"/>
      </tp>
    </main>
    <main first="rtdsrv.2cec402d279a46868a6623ea662e7a40">
      <tp>
        <v>2293</v>
        <stp/>
        <stp>Market</stp>
        <stp>STOCK</stp>
        <stp>86970.T</stp>
        <stp>前日終値</stp>
        <tr r="L45" s="3"/>
      </tp>
      <tp>
        <v>963.3</v>
        <stp/>
        <stp>Market</stp>
        <stp>STOCK</stp>
        <stp>36970.T</stp>
        <stp>前日終値</stp>
        <tr r="L72" s="3"/>
      </tp>
    </main>
    <main first="rtdsrv.2cec402d279a46868a6623ea662e7a40">
      <tp>
        <v>9044</v>
        <stp/>
        <stp>Market</stp>
        <stp>STOCK</stp>
        <stp>79740.T</stp>
        <stp>現在値</stp>
        <tr r="E17" s="3"/>
      </tp>
    </main>
    <main first="rtdsrv.2cec402d279a46868a6623ea662e7a40">
      <tp>
        <v>807</v>
        <stp/>
        <stp>Market</stp>
        <stp>STOCK</stp>
        <stp>75320.T</stp>
        <stp>現在値</stp>
        <tr r="E59" s="3"/>
      </tp>
      <tp>
        <v>13600</v>
        <stp/>
        <stp>Market</stp>
        <stp>STOCK</stp>
        <stp>77350.T</stp>
        <stp>現在値</stp>
        <tr r="E70" s="3"/>
      </tp>
      <tp>
        <v>4675</v>
        <stp/>
        <stp>Market</stp>
        <stp>STOCK</stp>
        <stp>77510.T</stp>
        <stp>現在値</stp>
        <tr r="E69" s="3"/>
      </tp>
      <tp>
        <v>3405</v>
        <stp/>
        <stp>Market</stp>
        <stp>STOCK</stp>
        <stp>71820.T</stp>
        <stp>現在値</stp>
        <tr r="E64" s="3"/>
      </tp>
      <tp>
        <v>2581</v>
        <stp/>
        <stp>Market</stp>
        <stp>STOCK</stp>
        <stp>70120.T</stp>
        <stp>現在値</stp>
        <tr r="E60" s="3"/>
      </tp>
      <tp>
        <v>2682</v>
        <stp/>
        <stp>Market</stp>
        <stp>STOCK</stp>
        <stp>70130.T</stp>
        <stp>現在値</stp>
        <tr r="E20" s="3"/>
      </tp>
      <tp>
        <v>3889</v>
        <stp/>
        <stp>Market</stp>
        <stp>STOCK</stp>
        <stp>70110.T</stp>
        <stp>現在値</stp>
        <tr r="E12" s="3"/>
      </tp>
      <tp>
        <v>3156</v>
        <stp/>
        <stp>Market</stp>
        <stp>STOCK</stp>
        <stp>72030.T</stp>
        <stp>現在値</stp>
        <tr r="E8" s="3"/>
      </tp>
      <tp>
        <v>328.5</v>
        <stp/>
        <stp>Market</stp>
        <stp>STOCK</stp>
        <stp>72010.T</stp>
        <stp>現在値</stp>
        <tr r="E49" s="3"/>
      </tp>
      <tp>
        <v>393.4</v>
        <stp/>
        <stp>Market</stp>
        <stp>STOCK</stp>
        <stp>72110.T</stp>
        <stp>現在値</stp>
        <tr r="E65" s="3"/>
      </tp>
      <tp>
        <v>2227</v>
        <stp/>
        <stp>Market</stp>
        <stp>STOCK</stp>
        <stp>72690.T</stp>
        <stp>現在値</stp>
        <tr r="E35" s="3"/>
      </tp>
      <tp>
        <v>1232</v>
        <stp/>
        <stp>Market</stp>
        <stp>STOCK</stp>
        <stp>72610.T</stp>
        <stp>現在値</stp>
        <tr r="E38" s="3"/>
      </tp>
      <tp>
        <v>1710</v>
        <stp/>
        <stp>Market</stp>
        <stp>STOCK</stp>
        <stp>72670.T</stp>
        <stp>現在値</stp>
        <tr r="E53" s="3"/>
      </tp>
      <tp>
        <v>1910</v>
        <stp/>
        <stp>Market</stp>
        <stp>STOCK</stp>
        <stp>72720.T</stp>
        <stp>現在値</stp>
        <tr r="E80" s="3"/>
      </tp>
      <tp>
        <v>2251</v>
        <stp/>
        <stp>Market</stp>
        <stp>STOCK</stp>
        <stp>72590.T</stp>
        <stp>現在値</stp>
        <tr r="E78" s="3"/>
      </tp>
      <tp t="s">
        <v>レーザーテック</v>
        <stp/>
        <stp>Market</stp>
        <stp>STOCK</stp>
        <stp>69200.T</stp>
        <stp>銘柄名称</stp>
        <tr r="B97" s="2"/>
      </tp>
      <tp t="s">
        <v>ＬＩＸＩＬ</v>
        <stp/>
        <stp>Market</stp>
        <stp>STOCK</stp>
        <stp>59380.T</stp>
        <stp>銘柄名称</stp>
        <tr r="B101" s="2"/>
      </tp>
      <tp t="s">
        <v>コニカミノルタ</v>
        <stp/>
        <stp>Market</stp>
        <stp>STOCK</stp>
        <stp>49020.T</stp>
        <stp>銘柄名称</stp>
        <tr r="B55" s="2"/>
      </tp>
      <tp t="s">
        <v>デンソー</v>
        <stp/>
        <stp>Market</stp>
        <stp>STOCK</stp>
        <stp>69020.T</stp>
        <stp>銘柄名称</stp>
        <tr r="B22" s="2"/>
      </tp>
      <tp t="s">
        <v>日本たばこ産業</v>
        <stp/>
        <stp>Market</stp>
        <stp>STOCK</stp>
        <stp>29140.T</stp>
        <stp>銘柄名称</stp>
        <tr r="B52" s="2"/>
      </tp>
      <tp t="s">
        <v>ローム</v>
        <stp/>
        <stp>Market</stp>
        <stp>STOCK</stp>
        <stp>69630.T</stp>
        <stp>銘柄名称</stp>
        <tr r="B76" s="2"/>
      </tp>
      <tp t="s">
        <v>任天堂</v>
        <stp/>
        <stp>Market</stp>
        <stp>STOCK</stp>
        <stp>79740.T</stp>
        <stp>銘柄名称</stp>
        <tr r="B33" s="2"/>
      </tp>
      <tp t="s">
        <v>京セラ</v>
        <stp/>
        <stp>Market</stp>
        <stp>STOCK</stp>
        <stp>69710.T</stp>
        <stp>銘柄名称</stp>
        <tr r="B60" s="2"/>
      </tp>
      <tp t="s">
        <v>関電工</v>
        <stp/>
        <stp>Market</stp>
        <stp>STOCK</stp>
        <stp>19420.T</stp>
        <stp>銘柄名称</stp>
        <tr r="B91" s="2"/>
      </tp>
      <tp t="s">
        <v>ファナック</v>
        <stp/>
        <stp>Market</stp>
        <stp>STOCK</stp>
        <stp>69540.T</stp>
        <stp>銘柄名称</stp>
        <tr r="B66" s="2"/>
      </tp>
      <tp t="s">
        <v>ソフトバンクグループ</v>
        <stp/>
        <stp>Market</stp>
        <stp>STOCK</stp>
        <stp>99840.T</stp>
        <stp>銘柄名称</stp>
        <tr r="B8" s="2"/>
      </tp>
      <tp>
        <v>235</v>
        <stp/>
        <stp>Market</stp>
        <stp>STOCK</stp>
        <stp>21460.T</stp>
        <stp>前日終値</stp>
        <tr r="L74" s="3"/>
      </tp>
      <tp>
        <v>2432.5</v>
        <stp/>
        <stp>Market</stp>
        <stp>STOCK</stp>
        <stp>61780.T</stp>
        <stp>前日終値</stp>
        <tr r="L79" s="3"/>
      </tp>
      <tp>
        <v>3035</v>
        <stp/>
        <stp>Market</stp>
        <stp>STOCK</stp>
        <stp>31100.T</stp>
        <stp>前日終値</stp>
        <tr r="L42" s="3"/>
      </tp>
      <tp>
        <v>987.6</v>
        <stp/>
        <stp>Market</stp>
        <stp>STOCK</stp>
        <stp>81130.T</stp>
        <stp>前日終値</stp>
        <tr r="L99" s="3"/>
      </tp>
      <tp>
        <v>688.5</v>
        <stp/>
        <stp>Market</stp>
        <stp>STOCK</stp>
        <stp>21270.T</stp>
        <stp>前日終値</stp>
        <tr r="L33" s="3"/>
      </tp>
      <tp>
        <v>1268</v>
        <stp/>
        <stp>Market</stp>
        <stp>STOCK</stp>
        <stp>81360.T</stp>
        <stp>前日終値</stp>
        <tr r="L89" s="3"/>
      </tp>
      <tp>
        <v>1183.5</v>
        <stp/>
        <stp>Market</stp>
        <stp>STOCK</stp>
        <stp>41880.T</stp>
        <stp>前日終値</stp>
        <tr r="L22" s="3"/>
      </tp>
      <tp>
        <v>298.89999999999998</v>
        <stp/>
        <stp>Market</stp>
        <stp>STOCK</stp>
        <stp>21810.T</stp>
        <stp>前日終値</stp>
        <tr r="L31" s="3"/>
      </tp>
      <tp>
        <v>3335</v>
        <stp/>
        <stp>Market</stp>
        <stp>STOCK</stp>
        <stp>71820.T</stp>
        <stp>前日終値</stp>
        <tr r="L64" s="3"/>
      </tp>
    </main>
    <main first="rtdsrv.2cec402d279a46868a6623ea662e7a40">
      <tp>
        <v>33640</v>
        <stp/>
        <stp>Market</stp>
        <stp>STOCK</stp>
        <stp>69200.T</stp>
        <stp>現在値</stp>
        <tr r="E81" s="3"/>
      </tp>
      <tp>
        <v>1935</v>
        <stp/>
        <stp>Market</stp>
        <stp>STOCK</stp>
        <stp>69020.T</stp>
        <stp>現在値</stp>
        <tr r="E11" s="3"/>
      </tp>
      <tp>
        <v>4869</v>
        <stp/>
        <stp>Market</stp>
        <stp>STOCK</stp>
        <stp>69630.T</stp>
        <stp>現在値</stp>
        <tr r="E36" s="3"/>
      </tp>
      <tp>
        <v>3657</v>
        <stp/>
        <stp>Market</stp>
        <stp>STOCK</stp>
        <stp>69710.T</stp>
        <stp>現在値</stp>
        <tr r="E95" s="3"/>
      </tp>
      <tp>
        <v>6055</v>
        <stp/>
        <stp>Market</stp>
        <stp>STOCK</stp>
        <stp>69540.T</stp>
        <stp>現在値</stp>
        <tr r="E97" s="3"/>
      </tp>
    </main>
    <main first="rtdsrv.2cec402d279a46868a6623ea662e7a40">
      <tp>
        <v>33690</v>
        <stp/>
        <stp>Market</stp>
        <stp>STOCK</stp>
        <stp>68570.T</stp>
        <stp>現在値</stp>
        <tr r="E16" s="3"/>
      </tp>
    </main>
    <main first="rtdsrv.2cec402d279a46868a6623ea662e7a40">
      <tp>
        <v>1998</v>
        <stp/>
        <stp>Market</stp>
        <stp>STOCK</stp>
        <stp>65260.T</stp>
        <stp>現在値</stp>
        <tr r="E93" s="3"/>
      </tp>
      <tp>
        <v>5585</v>
        <stp/>
        <stp>Market</stp>
        <stp>STOCK</stp>
        <stp>65030.T</stp>
        <stp>現在値</stp>
        <tr r="E96" s="3"/>
      </tp>
      <tp>
        <v>5438</v>
        <stp/>
        <stp>Market</stp>
        <stp>STOCK</stp>
        <stp>65010.T</stp>
        <stp>現在値</stp>
        <tr r="E90" s="3"/>
      </tp>
      <tp>
        <v>4780</v>
        <stp/>
        <stp>Market</stp>
        <stp>STOCK</stp>
        <stp>65060.T</stp>
        <stp>現在値</stp>
        <tr r="E71" s="3"/>
      </tp>
    </main>
    <main first="rtdsrv.2cec402d279a46868a6623ea662e7a40">
      <tp>
        <v>374.8</v>
        <stp/>
        <stp>Market</stp>
        <stp>STOCK</stp>
        <stp>64720.T</stp>
        <stp>現在値</stp>
        <tr r="E83" s="3"/>
      </tp>
      <tp>
        <v>1109.5</v>
        <stp/>
        <stp>Market</stp>
        <stp>STOCK</stp>
        <stp>64710.T</stp>
        <stp>現在値</stp>
        <tr r="E75" s="3"/>
      </tp>
      <tp>
        <v>3392</v>
        <stp/>
        <stp>Market</stp>
        <stp>STOCK</stp>
        <stp>67230.T</stp>
        <stp>現在値</stp>
        <tr r="E52" s="3"/>
      </tp>
      <tp>
        <v>3869</v>
        <stp/>
        <stp>Market</stp>
        <stp>STOCK</stp>
        <stp>67020.T</stp>
        <stp>現在値</stp>
        <tr r="E56" s="3"/>
      </tp>
      <tp>
        <v>4908</v>
        <stp/>
        <stp>Market</stp>
        <stp>STOCK</stp>
        <stp>67010.T</stp>
        <stp>現在値</stp>
        <tr r="E30" s="3"/>
      </tp>
      <tp>
        <v>3078</v>
        <stp/>
        <stp>Market</stp>
        <stp>STOCK</stp>
        <stp>67620.T</stp>
        <stp>現在値</stp>
        <tr r="E55" s="3"/>
      </tp>
      <tp>
        <v>4016</v>
        <stp/>
        <stp>Market</stp>
        <stp>STOCK</stp>
        <stp>67580.T</stp>
        <stp>現在値</stp>
        <tr r="E7" s="3"/>
      </tp>
      <tp>
        <v>2486.5</v>
        <stp/>
        <stp>Market</stp>
        <stp>STOCK</stp>
        <stp>61780.T</stp>
        <stp>現在値</stp>
        <tr r="E79" s="3"/>
      </tp>
      <tp>
        <v>2338</v>
        <stp/>
        <stp>Market</stp>
        <stp>STOCK</stp>
        <stp>63150.T</stp>
        <stp>現在値</stp>
        <tr r="E100" s="3"/>
      </tp>
      <tp t="s">
        <v>三井不動産</v>
        <stp/>
        <stp>Market</stp>
        <stp>STOCK</stp>
        <stp>88010.T</stp>
        <stp>銘柄名称</stp>
        <tr r="B59" s="2"/>
      </tp>
      <tp t="s">
        <v>古河電工</v>
        <stp/>
        <stp>Market</stp>
        <stp>STOCK</stp>
        <stp>58010.T</stp>
        <stp>銘柄名称</stp>
        <tr r="B12" s="2"/>
      </tp>
      <tp t="s">
        <v>住友電工</v>
        <stp/>
        <stp>Market</stp>
        <stp>STOCK</stp>
        <stp>58020.T</stp>
        <stp>銘柄名称</stp>
        <tr r="B5" s="2"/>
      </tp>
      <tp t="s">
        <v>味の素</v>
        <stp/>
        <stp>Market</stp>
        <stp>STOCK</stp>
        <stp>28020.T</stp>
        <stp>銘柄名称</stp>
        <tr r="B92" s="2"/>
      </tp>
      <tp t="s">
        <v>フジクラ</v>
        <stp/>
        <stp>Market</stp>
        <stp>STOCK</stp>
        <stp>58030.T</stp>
        <stp>銘柄名称</stp>
        <tr r="B4" s="2"/>
      </tp>
      <tp t="s">
        <v>清水建設</v>
        <stp/>
        <stp>Market</stp>
        <stp>STOCK</stp>
        <stp>18030.T</stp>
        <stp>銘柄名称</stp>
        <tr r="B98" s="2"/>
      </tp>
      <tp t="s">
        <v>王子ホールディングス</v>
        <stp/>
        <stp>Market</stp>
        <stp>STOCK</stp>
        <stp>38610.T</stp>
        <stp>銘柄名称</stp>
        <tr r="B81" s="2"/>
      </tp>
      <tp t="s">
        <v>アドバンテスト</v>
        <stp/>
        <stp>Market</stp>
        <stp>STOCK</stp>
        <stp>68570.T</stp>
        <stp>銘柄名称</stp>
        <tr r="B32" s="2"/>
      </tp>
      <tp>
        <v>4786</v>
        <stp/>
        <stp>Market</stp>
        <stp>STOCK</stp>
        <stp>80580.T</stp>
        <stp>前日終値</stp>
        <tr r="L34" s="3"/>
      </tp>
      <tp>
        <v>1775.5</v>
        <stp/>
        <stp>Market</stp>
        <stp>STOCK</stp>
        <stp>80530.T</stp>
        <stp>前日終値</stp>
        <tr r="L9" s="3"/>
      </tp>
      <tp>
        <v>6001</v>
        <stp/>
        <stp>Market</stp>
        <stp>STOCK</stp>
        <stp>40630.T</stp>
        <stp>前日終値</stp>
        <tr r="L14" s="3"/>
      </tp>
      <tp>
        <v>2116.5</v>
        <stp/>
        <stp>Market</stp>
        <stp>STOCK</stp>
        <stp>80010.T</stp>
        <stp>前日終値</stp>
        <tr r="L15" s="3"/>
      </tp>
      <tp>
        <v>555.9</v>
        <stp/>
        <stp>Market</stp>
        <stp>STOCK</stp>
        <stp>40050.T</stp>
        <stp>前日終値</stp>
        <tr r="L21" s="3"/>
      </tp>
      <tp>
        <v>4025</v>
        <stp/>
        <stp>Market</stp>
        <stp>STOCK</stp>
        <stp>70110.T</stp>
        <stp>前日終値</stp>
        <tr r="L12" s="3"/>
      </tp>
      <tp>
        <v>2623</v>
        <stp/>
        <stp>Market</stp>
        <stp>STOCK</stp>
        <stp>70120.T</stp>
        <stp>前日終値</stp>
        <tr r="L60" s="3"/>
      </tp>
      <tp>
        <v>2766</v>
        <stp/>
        <stp>Market</stp>
        <stp>STOCK</stp>
        <stp>70130.T</stp>
        <stp>前日終値</stp>
        <tr r="L20" s="3"/>
      </tp>
      <tp>
        <v>3810</v>
        <stp/>
        <stp>Market</stp>
        <stp>STOCK</stp>
        <stp>50160.T</stp>
        <stp>前日終値</stp>
        <tr r="L87" s="3"/>
      </tp>
      <tp>
        <v>1324</v>
        <stp/>
        <stp>Market</stp>
        <stp>STOCK</stp>
        <stp>50200.T</stp>
        <stp>前日終値</stp>
        <tr r="L67" s="3"/>
      </tp>
      <tp>
        <v>4979</v>
        <stp/>
        <stp>Market</stp>
        <stp>STOCK</stp>
        <stp>80310.T</stp>
        <stp>前日終値</stp>
        <tr r="L46" s="3"/>
      </tp>
      <tp>
        <v>56230</v>
        <stp/>
        <stp>Market</stp>
        <stp>STOCK</stp>
        <stp>80350.T</stp>
        <stp>前日終値</stp>
        <tr r="L23" s="3"/>
      </tp>
    </main>
    <main first="rtdsrv.2cec402d279a46868a6623ea662e7a40">
      <tp>
        <v>1771</v>
        <stp/>
        <stp>Market</stp>
        <stp>STOCK</stp>
        <stp>59380.T</stp>
        <stp>現在値</stp>
        <tr r="E84" s="3"/>
      </tp>
    </main>
    <main first="rtdsrv.2cec402d279a46868a6623ea662e7a40">
      <tp>
        <v>2221</v>
        <stp/>
        <stp>Market</stp>
        <stp>STOCK</stp>
        <stp>58020.T</stp>
        <stp>現在値</stp>
        <tr r="E85" s="3"/>
      </tp>
      <tp>
        <v>5504</v>
        <stp/>
        <stp>Market</stp>
        <stp>STOCK</stp>
        <stp>58030.T</stp>
        <stp>現在値</stp>
        <tr r="E47" s="3"/>
      </tp>
      <tp>
        <v>4020</v>
        <stp/>
        <stp>Market</stp>
        <stp>STOCK</stp>
        <stp>58010.T</stp>
        <stp>現在値</stp>
        <tr r="E86" s="3"/>
      </tp>
    </main>
    <main first="rtdsrv.2cec402d279a46868a6623ea662e7a40">
      <tp>
        <v>276</v>
        <stp/>
        <stp>Market</stp>
        <stp>STOCK</stp>
        <stp>543A0.T</stp>
        <stp>現在値</stp>
        <tr r="E51" s="3"/>
      </tp>
      <tp>
        <v>669.8</v>
        <stp/>
        <stp>Market</stp>
        <stp>STOCK</stp>
        <stp>54010.T</stp>
        <stp>現在値</stp>
        <tr r="E6" s="3"/>
      </tp>
      <tp>
        <v>1847</v>
        <stp/>
        <stp>Market</stp>
        <stp>STOCK</stp>
        <stp>54110.T</stp>
        <stp>現在値</stp>
        <tr r="E101" s="3"/>
      </tp>
      <tp>
        <v>1339</v>
        <stp/>
        <stp>Market</stp>
        <stp>STOCK</stp>
        <stp>50200.T</stp>
        <stp>現在値</stp>
        <tr r="E67" s="3"/>
      </tp>
      <tp>
        <v>3772</v>
        <stp/>
        <stp>Market</stp>
        <stp>STOCK</stp>
        <stp>50160.T</stp>
        <stp>現在値</stp>
        <tr r="E87" s="3"/>
      </tp>
      <tp>
        <v>346</v>
        <stp/>
        <stp>Market</stp>
        <stp>STOCK</stp>
        <stp>33500.T</stp>
        <stp>前日終値</stp>
        <tr r="L88" s="3"/>
      </tp>
      <tp>
        <v>2512.5</v>
        <stp/>
        <stp>Market</stp>
        <stp>STOCK</stp>
        <stp>83080.T</stp>
        <stp>前日終値</stp>
        <tr r="L27" s="3"/>
      </tp>
      <tp>
        <v>1789.5</v>
        <stp/>
        <stp>Market</stp>
        <stp>STOCK</stp>
        <stp>83090.T</stp>
        <stp>前日終値</stp>
        <tr r="L18" s="3"/>
      </tp>
      <tp>
        <v>1581</v>
        <stp/>
        <stp>Market</stp>
        <stp>STOCK</stp>
        <stp>83030.T</stp>
        <stp>前日終値</stp>
        <tr r="L61" s="3"/>
      </tp>
      <tp>
        <v>3658</v>
        <stp/>
        <stp>Market</stp>
        <stp>STOCK</stp>
        <stp>83060.T</stp>
        <stp>前日終値</stp>
        <tr r="L4" s="3"/>
      </tp>
      <tp>
        <v>5266</v>
        <stp/>
        <stp>Market</stp>
        <stp>STOCK</stp>
        <stp>43070.T</stp>
        <stp>前日終値</stp>
        <tr r="L41" s="3"/>
      </tp>
      <tp>
        <v>2317</v>
        <stp/>
        <stp>Market</stp>
        <stp>STOCK</stp>
        <stp>63150.T</stp>
        <stp>前日終値</stp>
        <tr r="L100" s="3"/>
      </tp>
      <tp>
        <v>6902</v>
        <stp/>
        <stp>Market</stp>
        <stp>STOCK</stp>
        <stp>83160.T</stp>
        <stp>前日終値</stp>
        <tr r="L19" s="3"/>
      </tp>
      <tp>
        <v>2001.5</v>
        <stp/>
        <stp>Market</stp>
        <stp>STOCK</stp>
        <stp>33820.T</stp>
        <stp>前日終値</stp>
        <tr r="L98" s="3"/>
      </tp>
    </main>
    <main first="rtdsrv.2cec402d279a46868a6623ea662e7a40">
      <tp>
        <v>666.8</v>
        <stp/>
        <stp>Market</stp>
        <stp>STOCK</stp>
        <stp>49020.T</stp>
        <stp>現在値</stp>
        <tr r="E63" s="3"/>
      </tp>
    </main>
    <main first="rtdsrv.2cec402d279a46868a6623ea662e7a40">
      <tp>
        <v>5765</v>
        <stp/>
        <stp>Market</stp>
        <stp>STOCK</stp>
        <stp>45020.T</stp>
        <stp>現在値</stp>
        <tr r="E76" s="3"/>
      </tp>
      <tp>
        <v>2371.5</v>
        <stp/>
        <stp>Market</stp>
        <stp>STOCK</stp>
        <stp>45030.T</stp>
        <stp>現在値</stp>
        <tr r="E73" s="3"/>
      </tp>
      <tp>
        <v>2848</v>
        <stp/>
        <stp>Market</stp>
        <stp>STOCK</stp>
        <stp>45680.T</stp>
        <stp>現在値</stp>
        <tr r="E91" s="3"/>
      </tp>
      <tp>
        <v>776</v>
        <stp/>
        <stp>Market</stp>
        <stp>STOCK</stp>
        <stp>47550.T</stp>
        <stp>現在値</stp>
        <tr r="E92" s="3"/>
      </tp>
      <tp>
        <v>3025</v>
        <stp/>
        <stp>Market</stp>
        <stp>STOCK</stp>
        <stp>46610.T</stp>
        <stp>現在値</stp>
        <tr r="E54" s="3"/>
      </tp>
      <tp>
        <v>556</v>
        <stp/>
        <stp>Market</stp>
        <stp>STOCK</stp>
        <stp>46890.T</stp>
        <stp>現在値</stp>
        <tr r="E10" s="3"/>
      </tp>
      <tp>
        <v>1206</v>
        <stp/>
        <stp>Market</stp>
        <stp>STOCK</stp>
        <stp>41880.T</stp>
        <stp>現在値</stp>
        <tr r="E22" s="3"/>
      </tp>
      <tp>
        <v>572.20000000000005</v>
        <stp/>
        <stp>Market</stp>
        <stp>STOCK</stp>
        <stp>40050.T</stp>
        <stp>現在値</stp>
        <tr r="E21" s="3"/>
      </tp>
      <tp>
        <v>6023</v>
        <stp/>
        <stp>Market</stp>
        <stp>STOCK</stp>
        <stp>40630.T</stp>
        <stp>現在値</stp>
        <tr r="E14" s="3"/>
      </tp>
      <tp>
        <v>5291</v>
        <stp/>
        <stp>Market</stp>
        <stp>STOCK</stp>
        <stp>43070.T</stp>
        <stp>現在値</stp>
        <tr r="E41" s="3"/>
      </tp>
      <tp>
        <v>2233</v>
        <stp/>
        <stp>Market</stp>
        <stp>STOCK</stp>
        <stp>72590.T</stp>
        <stp>前日終値</stp>
        <tr r="L78" s="3"/>
      </tp>
      <tp>
        <v>2170</v>
        <stp/>
        <stp>Market</stp>
        <stp>STOCK</stp>
        <stp>72690.T</stp>
        <stp>前日終値</stp>
        <tr r="L35" s="3"/>
      </tp>
      <tp>
        <v>1216</v>
        <stp/>
        <stp>Market</stp>
        <stp>STOCK</stp>
        <stp>72610.T</stp>
        <stp>前日終値</stp>
        <tr r="L38" s="3"/>
      </tp>
      <tp>
        <v>1358.5</v>
        <stp/>
        <stp>Market</stp>
        <stp>STOCK</stp>
        <stp>82670.T</stp>
        <stp>前日終値</stp>
        <tr r="L25" s="3"/>
      </tp>
      <tp>
        <v>1702.5</v>
        <stp/>
        <stp>Market</stp>
        <stp>STOCK</stp>
        <stp>72670.T</stp>
        <stp>前日終値</stp>
        <tr r="L53" s="3"/>
      </tp>
      <tp>
        <v>1924.5</v>
        <stp/>
        <stp>Market</stp>
        <stp>STOCK</stp>
        <stp>72720.T</stp>
        <stp>前日終値</stp>
        <tr r="L80" s="3"/>
      </tp>
      <tp>
        <v>321</v>
        <stp/>
        <stp>Market</stp>
        <stp>STOCK</stp>
        <stp>72010.T</stp>
        <stp>前日終値</stp>
        <tr r="L49" s="3"/>
      </tp>
      <tp>
        <v>3116</v>
        <stp/>
        <stp>Market</stp>
        <stp>STOCK</stp>
        <stp>72030.T</stp>
        <stp>前日終値</stp>
        <tr r="L8" s="3"/>
      </tp>
      <tp>
        <v>388.7</v>
        <stp/>
        <stp>Market</stp>
        <stp>STOCK</stp>
        <stp>72110.T</stp>
        <stp>前日終値</stp>
        <tr r="L65" s="3"/>
      </tp>
      <tp>
        <v>936.2</v>
        <stp/>
        <stp>Market</stp>
        <stp>STOCK</stp>
        <stp>32310.T</stp>
        <stp>前日終値</stp>
        <tr r="L62" s="3"/>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251460</xdr:colOff>
          <xdr:row>1</xdr:row>
          <xdr:rowOff>175260</xdr:rowOff>
        </xdr:from>
        <xdr:to>
          <xdr:col>2</xdr:col>
          <xdr:colOff>708660</xdr:colOff>
          <xdr:row>2</xdr:row>
          <xdr:rowOff>243840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銘柄反映_MS2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3</xdr:row>
          <xdr:rowOff>38100</xdr:rowOff>
        </xdr:from>
        <xdr:to>
          <xdr:col>2</xdr:col>
          <xdr:colOff>708660</xdr:colOff>
          <xdr:row>4</xdr:row>
          <xdr:rowOff>114300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RSS式セット_MS2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4</xdr:row>
          <xdr:rowOff>190500</xdr:rowOff>
        </xdr:from>
        <xdr:to>
          <xdr:col>2</xdr:col>
          <xdr:colOff>708660</xdr:colOff>
          <xdr:row>5</xdr:row>
          <xdr:rowOff>266700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判定式セット_MS2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6</xdr:row>
          <xdr:rowOff>60960</xdr:rowOff>
        </xdr:from>
        <xdr:to>
          <xdr:col>2</xdr:col>
          <xdr:colOff>708660</xdr:colOff>
          <xdr:row>7</xdr:row>
          <xdr:rowOff>129540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ATR収集_開始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7</xdr:row>
          <xdr:rowOff>205740</xdr:rowOff>
        </xdr:from>
        <xdr:to>
          <xdr:col>2</xdr:col>
          <xdr:colOff>708660</xdr:colOff>
          <xdr:row>9</xdr:row>
          <xdr:rowOff>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ATR収集_停止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9</xdr:row>
          <xdr:rowOff>76200</xdr:rowOff>
        </xdr:from>
        <xdr:to>
          <xdr:col>2</xdr:col>
          <xdr:colOff>708660</xdr:colOff>
          <xdr:row>10</xdr:row>
          <xdr:rowOff>152400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シグナル抽出_MS2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10</xdr:row>
          <xdr:rowOff>228600</xdr:rowOff>
        </xdr:from>
        <xdr:to>
          <xdr:col>2</xdr:col>
          <xdr:colOff>708660</xdr:colOff>
          <xdr:row>12</xdr:row>
          <xdr:rowOff>15240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結果判定_MS2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12</xdr:row>
          <xdr:rowOff>91440</xdr:rowOff>
        </xdr:from>
        <xdr:to>
          <xdr:col>2</xdr:col>
          <xdr:colOff>708660</xdr:colOff>
          <xdr:row>13</xdr:row>
          <xdr:rowOff>167640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ランキング_MS2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13</xdr:row>
          <xdr:rowOff>243840</xdr:rowOff>
        </xdr:from>
        <xdr:to>
          <xdr:col>2</xdr:col>
          <xdr:colOff>708660</xdr:colOff>
          <xdr:row>15</xdr:row>
          <xdr:rowOff>38100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銘柄名補完_MS2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15</xdr:row>
          <xdr:rowOff>114300</xdr:rowOff>
        </xdr:from>
        <xdr:to>
          <xdr:col>2</xdr:col>
          <xdr:colOff>708660</xdr:colOff>
          <xdr:row>16</xdr:row>
          <xdr:rowOff>182880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ヘッダー修復_MS2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16</xdr:row>
          <xdr:rowOff>259080</xdr:rowOff>
        </xdr:from>
        <xdr:to>
          <xdr:col>2</xdr:col>
          <xdr:colOff>708660</xdr:colOff>
          <xdr:row>18</xdr:row>
          <xdr:rowOff>53340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TRADE見出し修復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18</xdr:row>
          <xdr:rowOff>129540</xdr:rowOff>
        </xdr:from>
        <xdr:to>
          <xdr:col>2</xdr:col>
          <xdr:colOff>708660</xdr:colOff>
          <xdr:row>19</xdr:row>
          <xdr:rowOff>205740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ATR履歴リセット_MS2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20</xdr:row>
          <xdr:rowOff>0</xdr:rowOff>
        </xdr:from>
        <xdr:to>
          <xdr:col>2</xdr:col>
          <xdr:colOff>708660</xdr:colOff>
          <xdr:row>21</xdr:row>
          <xdr:rowOff>68580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前日値保存_MS2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21</xdr:row>
          <xdr:rowOff>144780</xdr:rowOff>
        </xdr:from>
        <xdr:to>
          <xdr:col>2</xdr:col>
          <xdr:colOff>708660</xdr:colOff>
          <xdr:row>22</xdr:row>
          <xdr:rowOff>220980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前日値反映_MS2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23</xdr:row>
          <xdr:rowOff>15240</xdr:rowOff>
        </xdr:from>
        <xdr:to>
          <xdr:col>2</xdr:col>
          <xdr:colOff>708660</xdr:colOff>
          <xdr:row>24</xdr:row>
          <xdr:rowOff>91440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前日値_自動ON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24</xdr:row>
          <xdr:rowOff>167640</xdr:rowOff>
        </xdr:from>
        <xdr:to>
          <xdr:col>2</xdr:col>
          <xdr:colOff>708660</xdr:colOff>
          <xdr:row>25</xdr:row>
          <xdr:rowOff>236220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前日値_自動OFF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26</xdr:row>
          <xdr:rowOff>30480</xdr:rowOff>
        </xdr:from>
        <xdr:to>
          <xdr:col>2</xdr:col>
          <xdr:colOff>708660</xdr:colOff>
          <xdr:row>27</xdr:row>
          <xdr:rowOff>106680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★タイマー全解除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27</xdr:row>
          <xdr:rowOff>182880</xdr:rowOff>
        </xdr:from>
        <xdr:to>
          <xdr:col>2</xdr:col>
          <xdr:colOff>708660</xdr:colOff>
          <xdr:row>28</xdr:row>
          <xdr:rowOff>259080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ログ_MS2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29</xdr:row>
          <xdr:rowOff>53340</xdr:rowOff>
        </xdr:from>
        <xdr:to>
          <xdr:col>2</xdr:col>
          <xdr:colOff>708660</xdr:colOff>
          <xdr:row>30</xdr:row>
          <xdr:rowOff>121920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全自動_MS2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3733800</xdr:colOff>
      <xdr:row>0</xdr:row>
      <xdr:rowOff>45720</xdr:rowOff>
    </xdr:from>
    <xdr:to>
      <xdr:col>2</xdr:col>
      <xdr:colOff>2352181</xdr:colOff>
      <xdr:row>0</xdr:row>
      <xdr:rowOff>864768</xdr:rowOff>
    </xdr:to>
    <xdr:pic>
      <xdr:nvPicPr>
        <xdr:cNvPr id="4" name="図 3">
          <a:extLst>
            <a:ext uri="{FF2B5EF4-FFF2-40B4-BE49-F238E27FC236}">
              <a16:creationId xmlns:a16="http://schemas.microsoft.com/office/drawing/2014/main" id="{B101FCB1-9790-4A62-2569-F27B59DC89C9}"/>
            </a:ext>
          </a:extLst>
        </xdr:cNvPr>
        <xdr:cNvPicPr>
          <a:picLocks noChangeAspect="1"/>
        </xdr:cNvPicPr>
      </xdr:nvPicPr>
      <xdr:blipFill>
        <a:blip xmlns:r="http://schemas.openxmlformats.org/officeDocument/2006/relationships" r:embed="rId1"/>
        <a:stretch>
          <a:fillRect/>
        </a:stretch>
      </xdr:blipFill>
      <xdr:spPr>
        <a:xfrm>
          <a:off x="5387340" y="45720"/>
          <a:ext cx="3952381" cy="8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980581</xdr:colOff>
      <xdr:row>0</xdr:row>
      <xdr:rowOff>819048</xdr:rowOff>
    </xdr:to>
    <xdr:pic>
      <xdr:nvPicPr>
        <xdr:cNvPr id="3" name="図 2">
          <a:extLst>
            <a:ext uri="{FF2B5EF4-FFF2-40B4-BE49-F238E27FC236}">
              <a16:creationId xmlns:a16="http://schemas.microsoft.com/office/drawing/2014/main" id="{848FCB0A-E42C-4091-7ED9-532C2DE67542}"/>
            </a:ext>
          </a:extLst>
        </xdr:cNvPr>
        <xdr:cNvPicPr>
          <a:picLocks noChangeAspect="1"/>
        </xdr:cNvPicPr>
      </xdr:nvPicPr>
      <xdr:blipFill>
        <a:blip xmlns:r="http://schemas.openxmlformats.org/officeDocument/2006/relationships" r:embed="rId1"/>
        <a:stretch>
          <a:fillRect/>
        </a:stretch>
      </xdr:blipFill>
      <xdr:spPr>
        <a:xfrm>
          <a:off x="0" y="0"/>
          <a:ext cx="3952381" cy="8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1737360</xdr:colOff>
      <xdr:row>1</xdr:row>
      <xdr:rowOff>213360</xdr:rowOff>
    </xdr:to>
    <xdr:pic>
      <xdr:nvPicPr>
        <xdr:cNvPr id="3" name="図 2">
          <a:extLst>
            <a:ext uri="{FF2B5EF4-FFF2-40B4-BE49-F238E27FC236}">
              <a16:creationId xmlns:a16="http://schemas.microsoft.com/office/drawing/2014/main" id="{C68F7B22-FCFA-D86E-1E47-D40CD17A2311}"/>
            </a:ext>
          </a:extLst>
        </xdr:cNvPr>
        <xdr:cNvPicPr>
          <a:picLocks noChangeAspect="1"/>
        </xdr:cNvPicPr>
      </xdr:nvPicPr>
      <xdr:blipFill>
        <a:blip xmlns:r="http://schemas.openxmlformats.org/officeDocument/2006/relationships" r:embed="rId1"/>
        <a:stretch>
          <a:fillRect/>
        </a:stretch>
      </xdr:blipFill>
      <xdr:spPr>
        <a:xfrm>
          <a:off x="0" y="0"/>
          <a:ext cx="1737360" cy="8001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53" row="9">
    <wetp:webextensionref xmlns:r="http://schemas.openxmlformats.org/officeDocument/2006/relationships" r:id="rId1"/>
  </wetp:taskpane>
  <wetp:taskpane dockstate="right" visibility="0" width="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83C2BE0C-67F0-4B39-AAA6-6A472FE870B4}">
  <we:reference id="wa200009404" version="1.0.0.8" store="en-US" storeType="OMEX"/>
  <we:alternateReferences>
    <we:reference id="WA200009404" version="1.0.0.8" store="" storeType="OMEX"/>
  </we:alternateReferences>
  <we:properties>
    <we:property name="claude.fileId" value="&quot;165be2b9-50a9-4c6f-97f0-61aa1bd401a8&quot;"/>
  </we:properties>
  <we:bindings/>
  <we:snapshot xmlns:r="http://schemas.openxmlformats.org/officeDocument/2006/relationships"/>
</we:webextension>
</file>

<file path=xl/webextensions/webextension2.xml><?xml version="1.0" encoding="utf-8"?>
<we:webextension xmlns:we="http://schemas.microsoft.com/office/webextensions/webextension/2010/11" id="{DF895CB3-15A2-4468-A996-1730B71788F4}">
  <we:reference id="wa200005271" version="3.0.0.4" store="ja-JP" storeType="OMEX"/>
  <we:alternateReferences>
    <we:reference id="WA200005271" version="3.0.0.4"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s>_xldudf_AI_WEB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32797-DABF-43D3-B3CC-0B8A593BE24A}">
  <sheetPr codeName="Sheet6"/>
  <dimension ref="A1:H38"/>
  <sheetViews>
    <sheetView workbookViewId="0">
      <selection activeCell="E19" sqref="E19"/>
    </sheetView>
  </sheetViews>
  <sheetFormatPr defaultRowHeight="22.2"/>
  <cols>
    <col min="5" max="5" width="32.3828125" customWidth="1"/>
    <col min="6" max="6" width="30.53515625" customWidth="1"/>
    <col min="7" max="7" width="57.3046875" bestFit="1" customWidth="1"/>
  </cols>
  <sheetData>
    <row r="1" spans="1:8" ht="52.2" customHeight="1" thickBot="1">
      <c r="A1" s="14" t="s">
        <v>59</v>
      </c>
      <c r="D1" s="37"/>
      <c r="E1" s="79" t="s">
        <v>242</v>
      </c>
    </row>
    <row r="2" spans="1:8">
      <c r="D2" s="37"/>
      <c r="G2" s="32" t="s">
        <v>60</v>
      </c>
      <c r="H2" s="32" t="s">
        <v>61</v>
      </c>
    </row>
    <row r="3" spans="1:8">
      <c r="D3" s="37"/>
      <c r="G3" t="s">
        <v>62</v>
      </c>
      <c r="H3" s="24">
        <v>1000000</v>
      </c>
    </row>
    <row r="4" spans="1:8">
      <c r="D4" s="37"/>
      <c r="G4" t="s">
        <v>63</v>
      </c>
      <c r="H4" s="25">
        <v>1.4999999999999999E-2</v>
      </c>
    </row>
    <row r="5" spans="1:8">
      <c r="D5" s="37"/>
      <c r="G5" t="s">
        <v>64</v>
      </c>
      <c r="H5" s="26">
        <v>1.5</v>
      </c>
    </row>
    <row r="6" spans="1:8">
      <c r="D6" s="37"/>
      <c r="G6" t="s">
        <v>65</v>
      </c>
      <c r="H6" s="26">
        <v>1.5</v>
      </c>
    </row>
    <row r="7" spans="1:8">
      <c r="D7" s="37" t="s">
        <v>75</v>
      </c>
      <c r="G7" t="s">
        <v>66</v>
      </c>
      <c r="H7" s="26">
        <v>2</v>
      </c>
    </row>
    <row r="8" spans="1:8">
      <c r="D8" s="37"/>
      <c r="G8" t="s">
        <v>67</v>
      </c>
      <c r="H8" s="26">
        <v>3</v>
      </c>
    </row>
    <row r="9" spans="1:8">
      <c r="D9" s="37"/>
      <c r="G9" t="s">
        <v>68</v>
      </c>
      <c r="H9" s="27">
        <v>5</v>
      </c>
    </row>
    <row r="10" spans="1:8">
      <c r="D10" s="37">
        <v>2</v>
      </c>
      <c r="G10" t="s">
        <v>69</v>
      </c>
      <c r="H10" s="28">
        <v>1</v>
      </c>
    </row>
    <row r="11" spans="1:8">
      <c r="D11" s="37"/>
      <c r="G11" t="s">
        <v>70</v>
      </c>
      <c r="H11" s="33">
        <f ca="1">MEDIAN(0,(MOD(NOW(),1)-TIME(9,0,0))*1440,150)+MEDIAN(0,(MOD(NOW(),1)-TIME(12,30,0))*1440,180)</f>
        <v>330</v>
      </c>
    </row>
    <row r="12" spans="1:8">
      <c r="D12" s="37">
        <v>3</v>
      </c>
      <c r="G12" t="s">
        <v>71</v>
      </c>
      <c r="H12" s="34">
        <f ca="1">MAX(1,H11/MAX(1,H9))</f>
        <v>66</v>
      </c>
    </row>
    <row r="13" spans="1:8">
      <c r="D13" s="37">
        <v>4</v>
      </c>
      <c r="G13" t="s">
        <v>178</v>
      </c>
      <c r="H13" s="24">
        <v>100</v>
      </c>
    </row>
    <row r="14" spans="1:8">
      <c r="D14" s="37"/>
      <c r="G14" s="29" t="s">
        <v>72</v>
      </c>
    </row>
    <row r="15" spans="1:8">
      <c r="D15" s="37"/>
    </row>
    <row r="16" spans="1:8">
      <c r="D16" s="37"/>
    </row>
    <row r="17" spans="4:7">
      <c r="D17" s="37"/>
    </row>
    <row r="18" spans="4:7">
      <c r="D18" s="37"/>
    </row>
    <row r="19" spans="4:7">
      <c r="D19" s="37"/>
    </row>
    <row r="20" spans="4:7">
      <c r="D20" s="37"/>
    </row>
    <row r="21" spans="4:7">
      <c r="D21" s="37"/>
    </row>
    <row r="22" spans="4:7">
      <c r="D22" s="37"/>
    </row>
    <row r="23" spans="4:7">
      <c r="D23" s="37"/>
    </row>
    <row r="24" spans="4:7">
      <c r="D24" s="37"/>
    </row>
    <row r="25" spans="4:7">
      <c r="D25" s="37"/>
    </row>
    <row r="26" spans="4:7">
      <c r="D26" s="37"/>
    </row>
    <row r="27" spans="4:7">
      <c r="D27" s="76" t="s">
        <v>211</v>
      </c>
      <c r="E27" s="77"/>
      <c r="F27" s="77"/>
      <c r="G27" s="78" t="s">
        <v>210</v>
      </c>
    </row>
    <row r="29" spans="4:7" ht="26.4">
      <c r="D29" s="84" t="s">
        <v>128</v>
      </c>
      <c r="E29" s="84"/>
      <c r="F29" s="84"/>
    </row>
    <row r="30" spans="4:7" ht="26.4">
      <c r="D30" s="70" t="s">
        <v>129</v>
      </c>
      <c r="E30" s="70" t="s">
        <v>130</v>
      </c>
      <c r="F30" s="70" t="s">
        <v>131</v>
      </c>
    </row>
    <row r="31" spans="4:7" ht="52.8">
      <c r="D31" s="71" t="s">
        <v>99</v>
      </c>
      <c r="E31" s="71" t="s">
        <v>132</v>
      </c>
      <c r="F31" s="72" t="s">
        <v>133</v>
      </c>
    </row>
    <row r="32" spans="4:7" ht="132">
      <c r="D32" s="71" t="s">
        <v>100</v>
      </c>
      <c r="E32" s="71" t="s">
        <v>134</v>
      </c>
      <c r="F32" s="72" t="s">
        <v>191</v>
      </c>
    </row>
    <row r="33" spans="4:6" ht="52.8">
      <c r="D33" s="71" t="s">
        <v>135</v>
      </c>
      <c r="E33" s="71" t="s">
        <v>136</v>
      </c>
      <c r="F33" s="72" t="s">
        <v>137</v>
      </c>
    </row>
    <row r="34" spans="4:6" ht="52.8">
      <c r="D34" s="71" t="s">
        <v>135</v>
      </c>
      <c r="E34" s="71" t="s">
        <v>138</v>
      </c>
      <c r="F34" s="72" t="s">
        <v>139</v>
      </c>
    </row>
    <row r="35" spans="4:6" ht="52.8">
      <c r="D35" s="71" t="s">
        <v>101</v>
      </c>
      <c r="E35" s="71" t="s">
        <v>140</v>
      </c>
      <c r="F35" s="72" t="s">
        <v>141</v>
      </c>
    </row>
    <row r="36" spans="4:6" ht="79.2">
      <c r="D36" s="71" t="s">
        <v>142</v>
      </c>
      <c r="E36" s="71" t="s">
        <v>143</v>
      </c>
      <c r="F36" s="72" t="s">
        <v>144</v>
      </c>
    </row>
    <row r="37" spans="4:6" ht="79.2">
      <c r="D37" s="73" t="s">
        <v>187</v>
      </c>
      <c r="E37" s="73" t="s">
        <v>188</v>
      </c>
      <c r="F37" s="75" t="s">
        <v>189</v>
      </c>
    </row>
    <row r="38" spans="4:6" ht="26.4">
      <c r="D38" s="74"/>
      <c r="E38" s="74"/>
      <c r="F38" s="74"/>
    </row>
  </sheetData>
  <mergeCells count="1">
    <mergeCell ref="D29:F2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1" r:id="rId3" name="Button 57">
              <controlPr defaultSize="0" print="0" autoFill="0" autoPict="0" macro="[0]!MS2_Update_StockList_To_DATA">
                <anchor moveWithCells="1" sizeWithCells="1">
                  <from>
                    <xdr:col>0</xdr:col>
                    <xdr:colOff>251460</xdr:colOff>
                    <xdr:row>1</xdr:row>
                    <xdr:rowOff>175260</xdr:rowOff>
                  </from>
                  <to>
                    <xdr:col>2</xdr:col>
                    <xdr:colOff>708660</xdr:colOff>
                    <xdr:row>2</xdr:row>
                    <xdr:rowOff>243840</xdr:rowOff>
                  </to>
                </anchor>
              </controlPr>
            </control>
          </mc:Choice>
        </mc:AlternateContent>
        <mc:AlternateContent xmlns:mc="http://schemas.openxmlformats.org/markup-compatibility/2006">
          <mc:Choice Requires="x14">
            <control shapeId="1082" r:id="rId4" name="Button 58">
              <controlPr defaultSize="0" print="0" autoFill="0" autoPict="0" macro="[0]!MS2_Set_RssMarket_Formulas">
                <anchor moveWithCells="1" sizeWithCells="1">
                  <from>
                    <xdr:col>0</xdr:col>
                    <xdr:colOff>251460</xdr:colOff>
                    <xdr:row>3</xdr:row>
                    <xdr:rowOff>38100</xdr:rowOff>
                  </from>
                  <to>
                    <xdr:col>2</xdr:col>
                    <xdr:colOff>708660</xdr:colOff>
                    <xdr:row>4</xdr:row>
                    <xdr:rowOff>114300</xdr:rowOff>
                  </to>
                </anchor>
              </controlPr>
            </control>
          </mc:Choice>
        </mc:AlternateContent>
        <mc:AlternateContent xmlns:mc="http://schemas.openxmlformats.org/markup-compatibility/2006">
          <mc:Choice Requires="x14">
            <control shapeId="1083" r:id="rId5" name="Button 59">
              <controlPr defaultSize="0" print="0" autoFill="0" autoPict="0" macro="[0]!MS2_Install_Formulas">
                <anchor moveWithCells="1" sizeWithCells="1">
                  <from>
                    <xdr:col>0</xdr:col>
                    <xdr:colOff>251460</xdr:colOff>
                    <xdr:row>4</xdr:row>
                    <xdr:rowOff>190500</xdr:rowOff>
                  </from>
                  <to>
                    <xdr:col>2</xdr:col>
                    <xdr:colOff>708660</xdr:colOff>
                    <xdr:row>5</xdr:row>
                    <xdr:rowOff>266700</xdr:rowOff>
                  </to>
                </anchor>
              </controlPr>
            </control>
          </mc:Choice>
        </mc:AlternateContent>
        <mc:AlternateContent xmlns:mc="http://schemas.openxmlformats.org/markup-compatibility/2006">
          <mc:Choice Requires="x14">
            <control shapeId="1084" r:id="rId6" name="Button 60">
              <controlPr defaultSize="0" print="0" autoFill="0" autoPict="0" macro="[0]!MS2_Start_ATR_Sampler">
                <anchor moveWithCells="1" sizeWithCells="1">
                  <from>
                    <xdr:col>0</xdr:col>
                    <xdr:colOff>251460</xdr:colOff>
                    <xdr:row>6</xdr:row>
                    <xdr:rowOff>60960</xdr:rowOff>
                  </from>
                  <to>
                    <xdr:col>2</xdr:col>
                    <xdr:colOff>708660</xdr:colOff>
                    <xdr:row>7</xdr:row>
                    <xdr:rowOff>129540</xdr:rowOff>
                  </to>
                </anchor>
              </controlPr>
            </control>
          </mc:Choice>
        </mc:AlternateContent>
        <mc:AlternateContent xmlns:mc="http://schemas.openxmlformats.org/markup-compatibility/2006">
          <mc:Choice Requires="x14">
            <control shapeId="1085" r:id="rId7" name="Button 61">
              <controlPr defaultSize="0" print="0" autoFill="0" autoPict="0" macro="[0]!MS2_Stop_ATR_Sampler">
                <anchor moveWithCells="1" sizeWithCells="1">
                  <from>
                    <xdr:col>0</xdr:col>
                    <xdr:colOff>251460</xdr:colOff>
                    <xdr:row>7</xdr:row>
                    <xdr:rowOff>205740</xdr:rowOff>
                  </from>
                  <to>
                    <xdr:col>2</xdr:col>
                    <xdr:colOff>708660</xdr:colOff>
                    <xdr:row>9</xdr:row>
                    <xdr:rowOff>0</xdr:rowOff>
                  </to>
                </anchor>
              </controlPr>
            </control>
          </mc:Choice>
        </mc:AlternateContent>
        <mc:AlternateContent xmlns:mc="http://schemas.openxmlformats.org/markup-compatibility/2006">
          <mc:Choice Requires="x14">
            <control shapeId="1086" r:id="rId8" name="Button 62">
              <controlPr defaultSize="0" print="0" autoFill="0" autoPict="0" macro="[0]!MS2_Extract_Signals">
                <anchor moveWithCells="1" sizeWithCells="1">
                  <from>
                    <xdr:col>0</xdr:col>
                    <xdr:colOff>251460</xdr:colOff>
                    <xdr:row>9</xdr:row>
                    <xdr:rowOff>76200</xdr:rowOff>
                  </from>
                  <to>
                    <xdr:col>2</xdr:col>
                    <xdr:colOff>708660</xdr:colOff>
                    <xdr:row>10</xdr:row>
                    <xdr:rowOff>152400</xdr:rowOff>
                  </to>
                </anchor>
              </controlPr>
            </control>
          </mc:Choice>
        </mc:AlternateContent>
        <mc:AlternateContent xmlns:mc="http://schemas.openxmlformats.org/markup-compatibility/2006">
          <mc:Choice Requires="x14">
            <control shapeId="1087" r:id="rId9" name="Button 63">
              <controlPr defaultSize="0" print="0" autoFill="0" autoPict="0" macro="[0]!MS2_Eval_Trades">
                <anchor moveWithCells="1" sizeWithCells="1">
                  <from>
                    <xdr:col>0</xdr:col>
                    <xdr:colOff>251460</xdr:colOff>
                    <xdr:row>10</xdr:row>
                    <xdr:rowOff>228600</xdr:rowOff>
                  </from>
                  <to>
                    <xdr:col>2</xdr:col>
                    <xdr:colOff>708660</xdr:colOff>
                    <xdr:row>12</xdr:row>
                    <xdr:rowOff>15240</xdr:rowOff>
                  </to>
                </anchor>
              </controlPr>
            </control>
          </mc:Choice>
        </mc:AlternateContent>
        <mc:AlternateContent xmlns:mc="http://schemas.openxmlformats.org/markup-compatibility/2006">
          <mc:Choice Requires="x14">
            <control shapeId="1088" r:id="rId10" name="Button 64">
              <controlPr defaultSize="0" print="0" autoFill="0" autoPict="0" macro="[0]!MS2_Update_Ranking">
                <anchor moveWithCells="1" sizeWithCells="1">
                  <from>
                    <xdr:col>0</xdr:col>
                    <xdr:colOff>251460</xdr:colOff>
                    <xdr:row>12</xdr:row>
                    <xdr:rowOff>91440</xdr:rowOff>
                  </from>
                  <to>
                    <xdr:col>2</xdr:col>
                    <xdr:colOff>708660</xdr:colOff>
                    <xdr:row>13</xdr:row>
                    <xdr:rowOff>167640</xdr:rowOff>
                  </to>
                </anchor>
              </controlPr>
            </control>
          </mc:Choice>
        </mc:AlternateContent>
        <mc:AlternateContent xmlns:mc="http://schemas.openxmlformats.org/markup-compatibility/2006">
          <mc:Choice Requires="x14">
            <control shapeId="1089" r:id="rId11" name="Button 65">
              <controlPr defaultSize="0" print="0" autoFill="0" autoPict="0" macro="[0]!MS2_Fill_Trade_Names">
                <anchor moveWithCells="1" sizeWithCells="1">
                  <from>
                    <xdr:col>0</xdr:col>
                    <xdr:colOff>251460</xdr:colOff>
                    <xdr:row>13</xdr:row>
                    <xdr:rowOff>243840</xdr:rowOff>
                  </from>
                  <to>
                    <xdr:col>2</xdr:col>
                    <xdr:colOff>708660</xdr:colOff>
                    <xdr:row>15</xdr:row>
                    <xdr:rowOff>38100</xdr:rowOff>
                  </to>
                </anchor>
              </controlPr>
            </control>
          </mc:Choice>
        </mc:AlternateContent>
        <mc:AlternateContent xmlns:mc="http://schemas.openxmlformats.org/markup-compatibility/2006">
          <mc:Choice Requires="x14">
            <control shapeId="1090" r:id="rId12" name="Button 66">
              <controlPr defaultSize="0" print="0" autoFill="0" autoPict="0" macro="[0]!MS2_Fix_DATA_Header">
                <anchor moveWithCells="1" sizeWithCells="1">
                  <from>
                    <xdr:col>0</xdr:col>
                    <xdr:colOff>251460</xdr:colOff>
                    <xdr:row>15</xdr:row>
                    <xdr:rowOff>114300</xdr:rowOff>
                  </from>
                  <to>
                    <xdr:col>2</xdr:col>
                    <xdr:colOff>708660</xdr:colOff>
                    <xdr:row>16</xdr:row>
                    <xdr:rowOff>182880</xdr:rowOff>
                  </to>
                </anchor>
              </controlPr>
            </control>
          </mc:Choice>
        </mc:AlternateContent>
        <mc:AlternateContent xmlns:mc="http://schemas.openxmlformats.org/markup-compatibility/2006">
          <mc:Choice Requires="x14">
            <control shapeId="1091" r:id="rId13" name="Button 67">
              <controlPr defaultSize="0" print="0" autoFill="0" autoPict="0" macro="[0]!MS2_Fix_TRADE_Header">
                <anchor moveWithCells="1" sizeWithCells="1">
                  <from>
                    <xdr:col>0</xdr:col>
                    <xdr:colOff>251460</xdr:colOff>
                    <xdr:row>16</xdr:row>
                    <xdr:rowOff>259080</xdr:rowOff>
                  </from>
                  <to>
                    <xdr:col>2</xdr:col>
                    <xdr:colOff>708660</xdr:colOff>
                    <xdr:row>18</xdr:row>
                    <xdr:rowOff>53340</xdr:rowOff>
                  </to>
                </anchor>
              </controlPr>
            </control>
          </mc:Choice>
        </mc:AlternateContent>
        <mc:AlternateContent xmlns:mc="http://schemas.openxmlformats.org/markup-compatibility/2006">
          <mc:Choice Requires="x14">
            <control shapeId="1092" r:id="rId14" name="Button 68">
              <controlPr defaultSize="0" print="0" autoFill="0" autoPict="0" macro="[0]!MS2_Reset_ATR_History">
                <anchor moveWithCells="1" sizeWithCells="1">
                  <from>
                    <xdr:col>0</xdr:col>
                    <xdr:colOff>251460</xdr:colOff>
                    <xdr:row>18</xdr:row>
                    <xdr:rowOff>129540</xdr:rowOff>
                  </from>
                  <to>
                    <xdr:col>2</xdr:col>
                    <xdr:colOff>708660</xdr:colOff>
                    <xdr:row>19</xdr:row>
                    <xdr:rowOff>205740</xdr:rowOff>
                  </to>
                </anchor>
              </controlPr>
            </control>
          </mc:Choice>
        </mc:AlternateContent>
        <mc:AlternateContent xmlns:mc="http://schemas.openxmlformats.org/markup-compatibility/2006">
          <mc:Choice Requires="x14">
            <control shapeId="1093" r:id="rId15" name="Button 69">
              <controlPr defaultSize="0" print="0" autoFill="0" autoPict="0" macro="[0]!MS2_Save_PrevDay">
                <anchor moveWithCells="1" sizeWithCells="1">
                  <from>
                    <xdr:col>0</xdr:col>
                    <xdr:colOff>251460</xdr:colOff>
                    <xdr:row>20</xdr:row>
                    <xdr:rowOff>0</xdr:rowOff>
                  </from>
                  <to>
                    <xdr:col>2</xdr:col>
                    <xdr:colOff>708660</xdr:colOff>
                    <xdr:row>21</xdr:row>
                    <xdr:rowOff>68580</xdr:rowOff>
                  </to>
                </anchor>
              </controlPr>
            </control>
          </mc:Choice>
        </mc:AlternateContent>
        <mc:AlternateContent xmlns:mc="http://schemas.openxmlformats.org/markup-compatibility/2006">
          <mc:Choice Requires="x14">
            <control shapeId="1094" r:id="rId16" name="Button 70">
              <controlPr defaultSize="0" print="0" autoFill="0" autoPict="0" macro="[0]!MS2_Load_PrevDay">
                <anchor moveWithCells="1" sizeWithCells="1">
                  <from>
                    <xdr:col>0</xdr:col>
                    <xdr:colOff>251460</xdr:colOff>
                    <xdr:row>21</xdr:row>
                    <xdr:rowOff>144780</xdr:rowOff>
                  </from>
                  <to>
                    <xdr:col>2</xdr:col>
                    <xdr:colOff>708660</xdr:colOff>
                    <xdr:row>22</xdr:row>
                    <xdr:rowOff>220980</xdr:rowOff>
                  </to>
                </anchor>
              </controlPr>
            </control>
          </mc:Choice>
        </mc:AlternateContent>
        <mc:AlternateContent xmlns:mc="http://schemas.openxmlformats.org/markup-compatibility/2006">
          <mc:Choice Requires="x14">
            <control shapeId="1095" r:id="rId17" name="Button 71">
              <controlPr defaultSize="0" print="0" autoFill="0" autoPict="0" macro="[0]!MS2_Enable_AutoPrevDay">
                <anchor moveWithCells="1" sizeWithCells="1">
                  <from>
                    <xdr:col>0</xdr:col>
                    <xdr:colOff>251460</xdr:colOff>
                    <xdr:row>23</xdr:row>
                    <xdr:rowOff>15240</xdr:rowOff>
                  </from>
                  <to>
                    <xdr:col>2</xdr:col>
                    <xdr:colOff>708660</xdr:colOff>
                    <xdr:row>24</xdr:row>
                    <xdr:rowOff>91440</xdr:rowOff>
                  </to>
                </anchor>
              </controlPr>
            </control>
          </mc:Choice>
        </mc:AlternateContent>
        <mc:AlternateContent xmlns:mc="http://schemas.openxmlformats.org/markup-compatibility/2006">
          <mc:Choice Requires="x14">
            <control shapeId="1096" r:id="rId18" name="Button 72">
              <controlPr defaultSize="0" print="0" autoFill="0" autoPict="0" macro="[0]!MS2_Disable_AutoPrevDay">
                <anchor moveWithCells="1" sizeWithCells="1">
                  <from>
                    <xdr:col>0</xdr:col>
                    <xdr:colOff>251460</xdr:colOff>
                    <xdr:row>24</xdr:row>
                    <xdr:rowOff>167640</xdr:rowOff>
                  </from>
                  <to>
                    <xdr:col>2</xdr:col>
                    <xdr:colOff>708660</xdr:colOff>
                    <xdr:row>25</xdr:row>
                    <xdr:rowOff>236220</xdr:rowOff>
                  </to>
                </anchor>
              </controlPr>
            </control>
          </mc:Choice>
        </mc:AlternateContent>
        <mc:AlternateContent xmlns:mc="http://schemas.openxmlformats.org/markup-compatibility/2006">
          <mc:Choice Requires="x14">
            <control shapeId="1097" r:id="rId19" name="Button 73">
              <controlPr defaultSize="0" print="0" autoFill="0" autoPict="0" macro="[0]!MS2_Force_Cancel_All">
                <anchor moveWithCells="1" sizeWithCells="1">
                  <from>
                    <xdr:col>0</xdr:col>
                    <xdr:colOff>251460</xdr:colOff>
                    <xdr:row>26</xdr:row>
                    <xdr:rowOff>30480</xdr:rowOff>
                  </from>
                  <to>
                    <xdr:col>2</xdr:col>
                    <xdr:colOff>708660</xdr:colOff>
                    <xdr:row>27</xdr:row>
                    <xdr:rowOff>106680</xdr:rowOff>
                  </to>
                </anchor>
              </controlPr>
            </control>
          </mc:Choice>
        </mc:AlternateContent>
        <mc:AlternateContent xmlns:mc="http://schemas.openxmlformats.org/markup-compatibility/2006">
          <mc:Choice Requires="x14">
            <control shapeId="1098" r:id="rId20" name="Button 74">
              <controlPr defaultSize="0" print="0" autoFill="0" autoPict="0" macro="[0]!MS2_Show_Log">
                <anchor moveWithCells="1" sizeWithCells="1">
                  <from>
                    <xdr:col>0</xdr:col>
                    <xdr:colOff>251460</xdr:colOff>
                    <xdr:row>27</xdr:row>
                    <xdr:rowOff>182880</xdr:rowOff>
                  </from>
                  <to>
                    <xdr:col>2</xdr:col>
                    <xdr:colOff>708660</xdr:colOff>
                    <xdr:row>28</xdr:row>
                    <xdr:rowOff>259080</xdr:rowOff>
                  </to>
                </anchor>
              </controlPr>
            </control>
          </mc:Choice>
        </mc:AlternateContent>
        <mc:AlternateContent xmlns:mc="http://schemas.openxmlformats.org/markup-compatibility/2006">
          <mc:Choice Requires="x14">
            <control shapeId="1099" r:id="rId21" name="Button 75">
              <controlPr defaultSize="0" print="0" autoFill="0" autoPict="0" macro="[0]!MS2_Auto_All">
                <anchor moveWithCells="1" sizeWithCells="1">
                  <from>
                    <xdr:col>0</xdr:col>
                    <xdr:colOff>251460</xdr:colOff>
                    <xdr:row>29</xdr:row>
                    <xdr:rowOff>53340</xdr:rowOff>
                  </from>
                  <to>
                    <xdr:col>2</xdr:col>
                    <xdr:colOff>708660</xdr:colOff>
                    <xdr:row>30</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1"/>
  <sheetViews>
    <sheetView showGridLines="0" tabSelected="1" topLeftCell="A40" workbookViewId="0">
      <selection activeCell="D68" sqref="D68:D69"/>
    </sheetView>
  </sheetViews>
  <sheetFormatPr defaultRowHeight="22.2"/>
  <cols>
    <col min="1" max="1" width="16.69140625" style="1" customWidth="1"/>
    <col min="2" max="2" width="53.84375" customWidth="1"/>
    <col min="3" max="3" width="38.4609375" customWidth="1"/>
  </cols>
  <sheetData>
    <row r="1" spans="1:3" ht="72.599999999999994" customHeight="1">
      <c r="A1" s="82" t="s">
        <v>102</v>
      </c>
      <c r="B1" s="82"/>
      <c r="C1" s="82"/>
    </row>
    <row r="2" spans="1:3">
      <c r="A2" s="83" t="s">
        <v>103</v>
      </c>
      <c r="B2" s="83"/>
      <c r="C2" s="83"/>
    </row>
    <row r="3" spans="1:3">
      <c r="A3" s="48"/>
      <c r="B3" s="48"/>
      <c r="C3" s="48"/>
    </row>
    <row r="4" spans="1:3">
      <c r="A4" s="81" t="s">
        <v>104</v>
      </c>
      <c r="B4" s="81"/>
      <c r="C4" s="81"/>
    </row>
    <row r="5" spans="1:3">
      <c r="A5" s="48" t="s">
        <v>105</v>
      </c>
      <c r="B5" s="48"/>
      <c r="C5" s="48"/>
    </row>
    <row r="6" spans="1:3">
      <c r="A6" s="48" t="s">
        <v>106</v>
      </c>
      <c r="B6" s="48"/>
      <c r="C6" s="48"/>
    </row>
    <row r="7" spans="1:3">
      <c r="A7" s="48" t="s">
        <v>107</v>
      </c>
      <c r="B7" s="48"/>
      <c r="C7" s="48"/>
    </row>
    <row r="8" spans="1:3">
      <c r="A8" s="48"/>
      <c r="B8" s="48"/>
      <c r="C8" s="48"/>
    </row>
    <row r="9" spans="1:3">
      <c r="A9" s="81" t="s">
        <v>108</v>
      </c>
      <c r="B9" s="81"/>
      <c r="C9" s="81"/>
    </row>
    <row r="10" spans="1:3">
      <c r="A10" s="41" t="s">
        <v>109</v>
      </c>
      <c r="B10" s="41" t="s">
        <v>90</v>
      </c>
      <c r="C10" s="41" t="s">
        <v>110</v>
      </c>
    </row>
    <row r="11" spans="1:3">
      <c r="A11" s="49" t="s">
        <v>91</v>
      </c>
      <c r="B11" s="49" t="s">
        <v>111</v>
      </c>
      <c r="C11" s="49" t="s">
        <v>112</v>
      </c>
    </row>
    <row r="12" spans="1:3">
      <c r="A12" s="49" t="s">
        <v>89</v>
      </c>
      <c r="B12" s="49" t="s">
        <v>113</v>
      </c>
      <c r="C12" s="49" t="s">
        <v>114</v>
      </c>
    </row>
    <row r="13" spans="1:3">
      <c r="A13" s="49" t="s">
        <v>92</v>
      </c>
      <c r="B13" s="49" t="s">
        <v>115</v>
      </c>
      <c r="C13" s="49" t="s">
        <v>116</v>
      </c>
    </row>
    <row r="14" spans="1:3">
      <c r="A14" s="49" t="s">
        <v>93</v>
      </c>
      <c r="B14" s="49" t="s">
        <v>94</v>
      </c>
      <c r="C14" s="49" t="s">
        <v>117</v>
      </c>
    </row>
    <row r="15" spans="1:3">
      <c r="A15" s="49" t="s">
        <v>95</v>
      </c>
      <c r="B15" s="49" t="s">
        <v>118</v>
      </c>
      <c r="C15" s="49" t="s">
        <v>119</v>
      </c>
    </row>
    <row r="16" spans="1:3">
      <c r="A16" s="49" t="s">
        <v>96</v>
      </c>
      <c r="B16" s="49" t="s">
        <v>120</v>
      </c>
      <c r="C16" s="49" t="s">
        <v>119</v>
      </c>
    </row>
    <row r="17" spans="1:3">
      <c r="A17" s="49" t="s">
        <v>97</v>
      </c>
      <c r="B17" s="49" t="s">
        <v>121</v>
      </c>
      <c r="C17" s="49" t="s">
        <v>117</v>
      </c>
    </row>
    <row r="18" spans="1:3">
      <c r="A18" s="49" t="s">
        <v>98</v>
      </c>
      <c r="B18" s="49" t="s">
        <v>190</v>
      </c>
      <c r="C18" s="49" t="s">
        <v>117</v>
      </c>
    </row>
    <row r="19" spans="1:3">
      <c r="A19" s="48"/>
      <c r="B19" s="48"/>
      <c r="C19" s="48"/>
    </row>
    <row r="20" spans="1:3">
      <c r="A20" s="81" t="s">
        <v>122</v>
      </c>
      <c r="B20" s="81"/>
      <c r="C20" s="81"/>
    </row>
    <row r="21" spans="1:3">
      <c r="A21" s="42">
        <v>1</v>
      </c>
      <c r="B21" s="48" t="s">
        <v>123</v>
      </c>
      <c r="C21" s="48"/>
    </row>
    <row r="22" spans="1:3">
      <c r="A22" s="42">
        <v>2</v>
      </c>
      <c r="B22" s="48" t="s">
        <v>124</v>
      </c>
      <c r="C22" s="48"/>
    </row>
    <row r="23" spans="1:3">
      <c r="A23" s="42">
        <v>3</v>
      </c>
      <c r="B23" s="48" t="s">
        <v>125</v>
      </c>
      <c r="C23" s="48"/>
    </row>
    <row r="24" spans="1:3">
      <c r="A24" s="42">
        <v>4</v>
      </c>
      <c r="B24" s="48" t="s">
        <v>126</v>
      </c>
      <c r="C24" s="48"/>
    </row>
    <row r="25" spans="1:3">
      <c r="A25" s="42">
        <v>5</v>
      </c>
      <c r="B25" s="48" t="s">
        <v>127</v>
      </c>
      <c r="C25" s="48"/>
    </row>
    <row r="26" spans="1:3">
      <c r="A26" s="48"/>
      <c r="B26" s="50" t="s">
        <v>192</v>
      </c>
      <c r="C26" s="48"/>
    </row>
    <row r="27" spans="1:3">
      <c r="A27" s="48"/>
      <c r="B27" s="48"/>
      <c r="C27" s="48"/>
    </row>
    <row r="28" spans="1:3" ht="26.4">
      <c r="A28" s="84" t="s">
        <v>128</v>
      </c>
      <c r="B28" s="84"/>
      <c r="C28" s="84"/>
    </row>
    <row r="29" spans="1:3" ht="26.4">
      <c r="A29" s="70" t="s">
        <v>129</v>
      </c>
      <c r="B29" s="70" t="s">
        <v>130</v>
      </c>
      <c r="C29" s="70" t="s">
        <v>131</v>
      </c>
    </row>
    <row r="30" spans="1:3" ht="52.8">
      <c r="A30" s="71" t="s">
        <v>99</v>
      </c>
      <c r="B30" s="71" t="s">
        <v>132</v>
      </c>
      <c r="C30" s="72" t="s">
        <v>133</v>
      </c>
    </row>
    <row r="31" spans="1:3" ht="105.6">
      <c r="A31" s="71" t="s">
        <v>100</v>
      </c>
      <c r="B31" s="71" t="s">
        <v>134</v>
      </c>
      <c r="C31" s="72" t="s">
        <v>191</v>
      </c>
    </row>
    <row r="32" spans="1:3" ht="52.8">
      <c r="A32" s="71" t="s">
        <v>135</v>
      </c>
      <c r="B32" s="71" t="s">
        <v>136</v>
      </c>
      <c r="C32" s="72" t="s">
        <v>137</v>
      </c>
    </row>
    <row r="33" spans="1:7" ht="52.8">
      <c r="A33" s="71" t="s">
        <v>135</v>
      </c>
      <c r="B33" s="71" t="s">
        <v>138</v>
      </c>
      <c r="C33" s="72" t="s">
        <v>139</v>
      </c>
    </row>
    <row r="34" spans="1:7" ht="26.4">
      <c r="A34" s="71" t="s">
        <v>101</v>
      </c>
      <c r="B34" s="71" t="s">
        <v>140</v>
      </c>
      <c r="C34" s="72" t="s">
        <v>141</v>
      </c>
    </row>
    <row r="35" spans="1:7" ht="79.2">
      <c r="A35" s="71" t="s">
        <v>142</v>
      </c>
      <c r="B35" s="71" t="s">
        <v>143</v>
      </c>
      <c r="C35" s="72" t="s">
        <v>144</v>
      </c>
    </row>
    <row r="36" spans="1:7" ht="79.2">
      <c r="A36" s="73" t="s">
        <v>187</v>
      </c>
      <c r="B36" s="73" t="s">
        <v>188</v>
      </c>
      <c r="C36" s="69" t="s">
        <v>189</v>
      </c>
    </row>
    <row r="37" spans="1:7" ht="26.4">
      <c r="A37" s="74"/>
      <c r="B37" s="74"/>
      <c r="C37" s="74"/>
    </row>
    <row r="38" spans="1:7">
      <c r="A38" s="81" t="s">
        <v>145</v>
      </c>
      <c r="B38" s="81"/>
      <c r="C38" s="81"/>
    </row>
    <row r="39" spans="1:7">
      <c r="A39" s="51" t="s">
        <v>73</v>
      </c>
      <c r="B39" s="48" t="s">
        <v>146</v>
      </c>
      <c r="C39" s="48"/>
    </row>
    <row r="40" spans="1:7">
      <c r="A40" s="52" t="s">
        <v>74</v>
      </c>
      <c r="B40" s="48" t="s">
        <v>147</v>
      </c>
      <c r="C40" s="48"/>
    </row>
    <row r="41" spans="1:7">
      <c r="A41" s="53" t="s">
        <v>148</v>
      </c>
      <c r="B41" s="48" t="s">
        <v>149</v>
      </c>
      <c r="C41" s="48"/>
    </row>
    <row r="42" spans="1:7">
      <c r="A42" s="48"/>
      <c r="B42" s="48"/>
      <c r="C42" s="48"/>
    </row>
    <row r="43" spans="1:7">
      <c r="A43" s="81" t="s">
        <v>150</v>
      </c>
      <c r="B43" s="81"/>
      <c r="C43" s="81"/>
    </row>
    <row r="44" spans="1:7">
      <c r="A44" s="41" t="s">
        <v>151</v>
      </c>
      <c r="B44" s="41" t="s">
        <v>152</v>
      </c>
      <c r="C44" s="41" t="s">
        <v>153</v>
      </c>
      <c r="G44" t="s">
        <v>215</v>
      </c>
    </row>
    <row r="45" spans="1:7">
      <c r="A45" s="49" t="s">
        <v>154</v>
      </c>
      <c r="B45" s="49" t="s">
        <v>155</v>
      </c>
      <c r="C45" s="43">
        <f>操作パネル_MS2!H3</f>
        <v>1000000</v>
      </c>
      <c r="G45" t="s">
        <v>216</v>
      </c>
    </row>
    <row r="46" spans="1:7">
      <c r="A46" s="49" t="s">
        <v>156</v>
      </c>
      <c r="B46" s="49" t="s">
        <v>157</v>
      </c>
      <c r="C46" s="44">
        <f>操作パネル_MS2!H4</f>
        <v>1.4999999999999999E-2</v>
      </c>
      <c r="G46" t="s">
        <v>217</v>
      </c>
    </row>
    <row r="47" spans="1:7">
      <c r="A47" s="49" t="s">
        <v>158</v>
      </c>
      <c r="B47" s="49" t="s">
        <v>159</v>
      </c>
      <c r="C47" s="45">
        <f>操作パネル_MS2!H5</f>
        <v>1.5</v>
      </c>
      <c r="G47" t="s">
        <v>218</v>
      </c>
    </row>
    <row r="48" spans="1:7">
      <c r="A48" s="49" t="s">
        <v>160</v>
      </c>
      <c r="B48" s="49" t="s">
        <v>161</v>
      </c>
      <c r="C48" s="45">
        <f>操作パネル_MS2!H6</f>
        <v>1.5</v>
      </c>
      <c r="G48" t="s">
        <v>219</v>
      </c>
    </row>
    <row r="49" spans="1:7">
      <c r="A49" s="49" t="s">
        <v>162</v>
      </c>
      <c r="B49" s="49" t="s">
        <v>163</v>
      </c>
      <c r="C49" s="45">
        <f>操作パネル_MS2!H7</f>
        <v>2</v>
      </c>
      <c r="G49" t="s">
        <v>220</v>
      </c>
    </row>
    <row r="50" spans="1:7">
      <c r="A50" s="49" t="s">
        <v>164</v>
      </c>
      <c r="B50" s="49" t="s">
        <v>165</v>
      </c>
      <c r="C50" s="45">
        <f>操作パネル_MS2!H8</f>
        <v>3</v>
      </c>
      <c r="G50" t="s">
        <v>221</v>
      </c>
    </row>
    <row r="51" spans="1:7">
      <c r="A51" s="49" t="s">
        <v>166</v>
      </c>
      <c r="B51" s="49" t="s">
        <v>167</v>
      </c>
      <c r="C51" s="46">
        <f>操作パネル_MS2!H9</f>
        <v>5</v>
      </c>
      <c r="G51" t="s">
        <v>222</v>
      </c>
    </row>
    <row r="52" spans="1:7">
      <c r="A52" s="49" t="s">
        <v>168</v>
      </c>
      <c r="B52" s="49" t="s">
        <v>169</v>
      </c>
      <c r="C52" s="47">
        <f>操作パネル_MS2!H10</f>
        <v>1</v>
      </c>
      <c r="G52" t="s">
        <v>223</v>
      </c>
    </row>
    <row r="53" spans="1:7">
      <c r="A53" s="48"/>
      <c r="B53" s="50" t="s">
        <v>170</v>
      </c>
      <c r="C53" s="48"/>
      <c r="G53" t="s">
        <v>224</v>
      </c>
    </row>
    <row r="54" spans="1:7">
      <c r="A54" s="48"/>
      <c r="B54" s="48"/>
      <c r="C54" s="48"/>
      <c r="G54" t="s">
        <v>225</v>
      </c>
    </row>
    <row r="55" spans="1:7">
      <c r="A55" s="81" t="s">
        <v>171</v>
      </c>
      <c r="B55" s="81"/>
      <c r="C55" s="81"/>
      <c r="G55" t="s">
        <v>226</v>
      </c>
    </row>
    <row r="56" spans="1:7">
      <c r="A56" s="54" t="s">
        <v>172</v>
      </c>
      <c r="B56" s="48"/>
      <c r="C56" s="48"/>
      <c r="G56" t="s">
        <v>227</v>
      </c>
    </row>
    <row r="57" spans="1:7">
      <c r="A57" s="54" t="s">
        <v>173</v>
      </c>
      <c r="B57" s="48"/>
      <c r="C57" s="48"/>
      <c r="G57" t="s">
        <v>228</v>
      </c>
    </row>
    <row r="58" spans="1:7">
      <c r="A58" s="54" t="s">
        <v>174</v>
      </c>
      <c r="B58" s="48"/>
      <c r="C58" s="48"/>
      <c r="G58" t="s">
        <v>229</v>
      </c>
    </row>
    <row r="59" spans="1:7">
      <c r="A59" s="54" t="s">
        <v>175</v>
      </c>
      <c r="B59" s="48"/>
      <c r="C59" s="48"/>
      <c r="G59" t="s">
        <v>230</v>
      </c>
    </row>
    <row r="60" spans="1:7">
      <c r="A60" s="54" t="s">
        <v>176</v>
      </c>
      <c r="B60" s="48"/>
      <c r="C60" s="48"/>
      <c r="G60" t="s">
        <v>231</v>
      </c>
    </row>
    <row r="61" spans="1:7">
      <c r="A61" s="54" t="s">
        <v>177</v>
      </c>
      <c r="B61" s="48"/>
      <c r="C61" s="48"/>
      <c r="G61" t="s">
        <v>232</v>
      </c>
    </row>
    <row r="62" spans="1:7" ht="18" customHeight="1">
      <c r="A62" s="54" t="s">
        <v>193</v>
      </c>
      <c r="G62" t="s">
        <v>233</v>
      </c>
    </row>
    <row r="63" spans="1:7" ht="18" customHeight="1">
      <c r="A63" s="54" t="s">
        <v>194</v>
      </c>
      <c r="G63" t="s">
        <v>234</v>
      </c>
    </row>
    <row r="64" spans="1:7" ht="18" customHeight="1">
      <c r="A64" s="54" t="s">
        <v>195</v>
      </c>
      <c r="G64" t="s">
        <v>235</v>
      </c>
    </row>
    <row r="65" spans="1:7" ht="18" customHeight="1">
      <c r="A65"/>
      <c r="G65" t="s">
        <v>236</v>
      </c>
    </row>
    <row r="66" spans="1:7" ht="18" customHeight="1">
      <c r="A66" s="81" t="s">
        <v>196</v>
      </c>
      <c r="B66" s="81"/>
      <c r="C66" s="81"/>
      <c r="G66" t="s">
        <v>237</v>
      </c>
    </row>
    <row r="67" spans="1:7" ht="18" customHeight="1">
      <c r="A67" s="41" t="s">
        <v>197</v>
      </c>
      <c r="B67" s="41" t="s">
        <v>131</v>
      </c>
      <c r="C67" s="68"/>
      <c r="G67" t="s">
        <v>238</v>
      </c>
    </row>
    <row r="68" spans="1:7" ht="18" customHeight="1">
      <c r="A68" s="49" t="s">
        <v>198</v>
      </c>
      <c r="B68" s="85" t="s">
        <v>199</v>
      </c>
      <c r="C68" s="85"/>
      <c r="G68" t="s">
        <v>239</v>
      </c>
    </row>
    <row r="69" spans="1:7" ht="18" customHeight="1">
      <c r="A69" s="49" t="s">
        <v>200</v>
      </c>
      <c r="B69" s="85" t="s">
        <v>201</v>
      </c>
      <c r="C69" s="85"/>
      <c r="G69" t="s">
        <v>240</v>
      </c>
    </row>
    <row r="70" spans="1:7" ht="18" customHeight="1">
      <c r="A70" s="49" t="s">
        <v>202</v>
      </c>
      <c r="B70" s="85" t="s">
        <v>203</v>
      </c>
      <c r="C70" s="85"/>
      <c r="G70" t="s">
        <v>241</v>
      </c>
    </row>
    <row r="71" spans="1:7" ht="18" customHeight="1">
      <c r="A71" s="49" t="s">
        <v>204</v>
      </c>
      <c r="B71" s="85" t="s">
        <v>205</v>
      </c>
      <c r="C71" s="85"/>
    </row>
    <row r="72" spans="1:7" ht="18" customHeight="1">
      <c r="A72" s="49" t="s">
        <v>206</v>
      </c>
      <c r="B72" s="85" t="s">
        <v>207</v>
      </c>
      <c r="C72" s="85"/>
    </row>
    <row r="73" spans="1:7" ht="18" customHeight="1">
      <c r="A73" s="49" t="s">
        <v>208</v>
      </c>
      <c r="B73" s="85" t="s">
        <v>209</v>
      </c>
      <c r="C73" s="85"/>
    </row>
    <row r="74" spans="1:7">
      <c r="A74"/>
    </row>
    <row r="75" spans="1:7">
      <c r="A75"/>
    </row>
    <row r="76" spans="1:7">
      <c r="A76"/>
    </row>
    <row r="77" spans="1:7">
      <c r="A77"/>
    </row>
    <row r="78" spans="1:7">
      <c r="A78"/>
    </row>
    <row r="79" spans="1:7">
      <c r="A79"/>
    </row>
    <row r="80" spans="1:7">
      <c r="A80"/>
    </row>
    <row r="81" spans="1:1">
      <c r="A81"/>
    </row>
  </sheetData>
  <mergeCells count="16">
    <mergeCell ref="B72:C72"/>
    <mergeCell ref="B73:C73"/>
    <mergeCell ref="A66:C66"/>
    <mergeCell ref="B68:C68"/>
    <mergeCell ref="B69:C69"/>
    <mergeCell ref="B70:C70"/>
    <mergeCell ref="B71:C71"/>
    <mergeCell ref="A38:C38"/>
    <mergeCell ref="A43:C43"/>
    <mergeCell ref="A55:C55"/>
    <mergeCell ref="A1:C1"/>
    <mergeCell ref="A2:C2"/>
    <mergeCell ref="A4:C4"/>
    <mergeCell ref="A9:C9"/>
    <mergeCell ref="A20:C20"/>
    <mergeCell ref="A28:C28"/>
  </mergeCell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sheetPr>
  <dimension ref="A1:AD354"/>
  <sheetViews>
    <sheetView workbookViewId="0">
      <pane xSplit="4" ySplit="2" topLeftCell="S3" activePane="bottomRight" state="frozen"/>
      <selection pane="topRight" activeCell="E1" sqref="E1"/>
      <selection pane="bottomLeft" activeCell="A3" sqref="A3"/>
      <selection pane="bottomRight" sqref="A1:AD1"/>
    </sheetView>
  </sheetViews>
  <sheetFormatPr defaultRowHeight="22.2"/>
  <cols>
    <col min="1" max="1" width="6" style="1" customWidth="1"/>
    <col min="2" max="2" width="10" style="1" customWidth="1"/>
    <col min="3" max="3" width="14" style="1" customWidth="1"/>
    <col min="4" max="4" width="20" style="1" customWidth="1"/>
    <col min="5" max="8" width="12" style="1" customWidth="1"/>
    <col min="9" max="9" width="14" style="1" customWidth="1"/>
    <col min="10" max="12" width="12" style="1" customWidth="1"/>
    <col min="13" max="13" width="14" style="1" customWidth="1"/>
    <col min="14" max="14" width="15" style="1" customWidth="1"/>
    <col min="15" max="24" width="12" style="1" customWidth="1"/>
    <col min="25" max="25" width="11" style="1" customWidth="1"/>
    <col min="26" max="28" width="12" style="1" customWidth="1"/>
    <col min="29" max="30" width="14.4609375" customWidth="1"/>
    <col min="31" max="31" width="12.61328125" customWidth="1"/>
  </cols>
  <sheetData>
    <row r="1" spans="1:30" ht="75.599999999999994" customHeight="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row>
    <row r="2" spans="1:30" ht="46.05" customHeight="1">
      <c r="A2" s="21" t="s">
        <v>29</v>
      </c>
      <c r="B2" s="21" t="s">
        <v>30</v>
      </c>
      <c r="C2" s="21" t="s">
        <v>31</v>
      </c>
      <c r="D2" s="21" t="s">
        <v>32</v>
      </c>
      <c r="E2" s="21" t="s">
        <v>33</v>
      </c>
      <c r="F2" s="21" t="s">
        <v>34</v>
      </c>
      <c r="G2" s="21" t="s">
        <v>35</v>
      </c>
      <c r="H2" s="21" t="s">
        <v>36</v>
      </c>
      <c r="I2" s="21" t="s">
        <v>37</v>
      </c>
      <c r="J2" s="21" t="s">
        <v>38</v>
      </c>
      <c r="K2" s="21" t="s">
        <v>39</v>
      </c>
      <c r="L2" s="21" t="s">
        <v>40</v>
      </c>
      <c r="M2" s="21" t="s">
        <v>41</v>
      </c>
      <c r="N2" s="21" t="s">
        <v>56</v>
      </c>
      <c r="O2" s="21" t="s">
        <v>42</v>
      </c>
      <c r="P2" s="21" t="s">
        <v>43</v>
      </c>
      <c r="Q2" s="21" t="s">
        <v>44</v>
      </c>
      <c r="R2" s="21" t="s">
        <v>45</v>
      </c>
      <c r="S2" s="21" t="s">
        <v>46</v>
      </c>
      <c r="T2" s="21" t="s">
        <v>47</v>
      </c>
      <c r="U2" s="21" t="s">
        <v>48</v>
      </c>
      <c r="V2" s="21" t="s">
        <v>49</v>
      </c>
      <c r="W2" s="21" t="s">
        <v>50</v>
      </c>
      <c r="X2" s="21" t="s">
        <v>51</v>
      </c>
      <c r="Y2" s="21" t="s">
        <v>52</v>
      </c>
      <c r="Z2" s="21" t="s">
        <v>53</v>
      </c>
      <c r="AA2" s="21" t="s">
        <v>54</v>
      </c>
      <c r="AB2" s="21" t="s">
        <v>55</v>
      </c>
      <c r="AC2" s="21" t="s">
        <v>57</v>
      </c>
      <c r="AD2" s="21" t="s">
        <v>58</v>
      </c>
    </row>
    <row r="3" spans="1:30" ht="25.95" customHeight="1">
      <c r="A3" s="5">
        <f t="shared" ref="A3:A66" si="0">IF(C3="","",ROW()-2)</f>
        <v>1</v>
      </c>
      <c r="B3" s="6" t="str">
        <f>IF(StockList_MS2!A2="","",HYPERLINK("https://kabutan.jp/stock/?code="&amp;StockList_MS2!A2,"株探"))</f>
        <v>株探</v>
      </c>
      <c r="C3" s="5">
        <f>IF(StockList_MS2!A2="","",StockList_MS2!A2)</f>
        <v>9432</v>
      </c>
      <c r="D3" s="7" t="str">
        <f>IF(StockList_MS2!A2="","",StockList_MS2!B2)</f>
        <v>ＮＴＴ</v>
      </c>
      <c r="E3" s="8">
        <f>_xll.RssMarket("9432","現在値")</f>
        <v>172.5</v>
      </c>
      <c r="F3" s="8">
        <f>_xll.RssMarket("9432","高値")</f>
        <v>173</v>
      </c>
      <c r="G3" s="8">
        <f>_xll.RssMarket("9432","安値")</f>
        <v>169.9</v>
      </c>
      <c r="H3" s="8" t="str">
        <f>_xll.RssMarket("9432","終値")</f>
        <v/>
      </c>
      <c r="I3" s="19">
        <f>_xll.RssMarket("9432","出来高")</f>
        <v>335014100</v>
      </c>
      <c r="J3" s="8">
        <v>169.6</v>
      </c>
      <c r="K3" s="8">
        <v>167.3</v>
      </c>
      <c r="L3" s="8">
        <f>_xll.RssMarket("9432","前日終値")</f>
        <v>168.6</v>
      </c>
      <c r="M3" s="5" t="str">
        <f t="shared" ref="M3:M34" si="1">IF(E3="","",IF(E3&gt;L3,"BUY-DAY","SELL-DAY"))</f>
        <v>BUY-DAY</v>
      </c>
      <c r="N3" s="9">
        <f>IF(OR(E3="",F3="",G3=""),"",IF(AD3&gt;0,AD3,(F3-G3)/SQRT(操作パネル_MS2!$H$12)*操作パネル_MS2!$H$10))</f>
        <v>0.2297788305517226</v>
      </c>
      <c r="O3" s="5" t="str">
        <f>IF(OR(E3="",AC3=""),"",IF(AC3&gt;=操作パネル_MS2!$H$3,"VOL-OK","VOL-NG"))</f>
        <v>VOL-OK</v>
      </c>
      <c r="P3" s="5" t="str">
        <f t="shared" ref="P3:P66" si="2">IF(E3="","",IF(E3&gt;J3,"ON","OFF"))</f>
        <v>ON</v>
      </c>
      <c r="Q3" s="5" t="str">
        <f t="shared" ref="Q3:Q66" si="3">IF(E3="","",IF(E3&lt;K3,"ON","OFF"))</f>
        <v>OFF</v>
      </c>
      <c r="R3" s="5" t="str">
        <f t="shared" ref="R3:R66" si="4">IF(OR(E3="",N3&lt;=0),"",IF(AND(M3="BUY-DAY",O3="VOL-OK",P3="ON",AA3="OK",AB3&lt;&gt;"DOWN"),"BUY",IF(AND(M3="SELL-DAY",O3="VOL-OK",Q3="ON",AA3="OK",AB3&lt;&gt;"UP"),"SELL","")))</f>
        <v>BUY</v>
      </c>
      <c r="S3" s="9">
        <f t="shared" ref="S3:S66" si="5">IF(R3="","",E3)</f>
        <v>172.5</v>
      </c>
      <c r="T3" s="9">
        <f>IF(R3="","",IF(R3="BUY",E3-N3*操作パネル_MS2!$H$5,E3+N3*操作パネル_MS2!$H$5))</f>
        <v>172.15533175417241</v>
      </c>
      <c r="U3" s="9">
        <f>IF(R3="","",IF(R3="BUY",E3+N3*操作パネル_MS2!$H$6,E3-N3*操作パネル_MS2!$H$6))</f>
        <v>172.84466824582759</v>
      </c>
      <c r="V3" s="9">
        <f>IF(R3="","",IF(R3="BUY",E3+N3*操作パネル_MS2!$H$7,E3-N3*操作パネル_MS2!$H$7))</f>
        <v>172.95955766110345</v>
      </c>
      <c r="W3" s="9">
        <f>IF(R3="","",IF(R3="BUY",E3+N3*操作パネル_MS2!$H$8,E3-N3*操作パネル_MS2!$H$8))</f>
        <v>173.18933649165515</v>
      </c>
      <c r="X3" s="5" t="str">
        <f t="shared" ref="X3:X66" si="6">IF(OR(E3="",N3&lt;=0),"",IF(AND(E3&gt;L3,ABS(E3-L3)&lt;N3*0.5),"2ND","1ST"))</f>
        <v>1ST</v>
      </c>
      <c r="Y3" s="5" t="str">
        <f t="shared" ref="Y3:Y66" ca="1" si="7">IF(OR(E3="",N3&lt;=0),"",IF(AND(TEXT(NOW(),"hh:mm")&gt;="09:00",TEXT(NOW(),"hh:mm")&lt;="09:30"),"寄り付き",IF(AND(TEXT(NOW(),"hh:mm")&gt;="12:30",TEXT(NOW(),"hh:mm")&lt;="14:30"),"後場",IF(AND(TEXT(NOW(),"hh:mm")&gt;="14:30",TEXT(NOW(),"hh:mm")&lt;="15:00"),"引け前","その他"))))</f>
        <v>その他</v>
      </c>
      <c r="Z3" s="5" t="str">
        <f>IF(OR(E3="",N3&lt;=0),"",IF(N3&gt;E3*操作パネル_MS2!$H$4,"VOL-HIGH","VOL-NORMAL"))</f>
        <v>VOL-NORMAL</v>
      </c>
      <c r="AA3" s="5" t="str">
        <f t="shared" ref="AA3:AA66" si="8">IF(OR(E3="",N3&lt;=0),"",IF(AND(O3="VOL-OK",Z3="VOL-NORMAL"),"OK","NG"))</f>
        <v>OK</v>
      </c>
      <c r="AB3" s="5" t="str">
        <f t="shared" ref="AB3:AB66" si="9">IF(OR(E3="",N3&lt;=0),"",IF(AND(F3&gt;J3,G3&gt;K3),"UP",IF(AND(F3&lt;J3,G3&lt;K3),"DOWN","FLAT")))</f>
        <v>UP</v>
      </c>
      <c r="AC3" s="30">
        <f>IF(C3="","",_xll.RssMarket(C3&amp;"","売買代金"))</f>
        <v>57607032</v>
      </c>
      <c r="AD3" s="31">
        <f>IFERROR(INDEX(ATRHIST_MS2!$H:$H,MATCH(C3,ATRHIST_MS2!$A:$A,0)),0)</f>
        <v>0.2297788305517226</v>
      </c>
    </row>
    <row r="4" spans="1:30" ht="25.95" customHeight="1">
      <c r="A4" s="10">
        <f t="shared" si="0"/>
        <v>2</v>
      </c>
      <c r="B4" s="11" t="str">
        <f>IF(StockList_MS2!A9="","",HYPERLINK("https://kabutan.jp/stock/?code="&amp;StockList_MS2!A9,"株探"))</f>
        <v>株探</v>
      </c>
      <c r="C4" s="10">
        <f>IF(StockList_MS2!A9="","",StockList_MS2!A9)</f>
        <v>8306</v>
      </c>
      <c r="D4" s="12" t="str">
        <f>IF(StockList_MS2!A9="","",StockList_MS2!B9)</f>
        <v>三菱ＵＦＪフィナンシャルＧ</v>
      </c>
      <c r="E4" s="13">
        <f>_xll.RssMarket("8306","現在値")</f>
        <v>3680</v>
      </c>
      <c r="F4" s="13">
        <f>_xll.RssMarket("8306","高値")</f>
        <v>3682</v>
      </c>
      <c r="G4" s="13">
        <f>_xll.RssMarket("8306","安値")</f>
        <v>3585</v>
      </c>
      <c r="H4" s="13" t="str">
        <f>_xll.RssMarket("8306","終値")</f>
        <v/>
      </c>
      <c r="I4" s="20">
        <f>_xll.RssMarket("8306","出来高")</f>
        <v>38776500</v>
      </c>
      <c r="J4" s="13">
        <v>3678</v>
      </c>
      <c r="K4" s="13">
        <v>3575</v>
      </c>
      <c r="L4" s="13">
        <f>_xll.RssMarket("8306","前日終値")</f>
        <v>3658</v>
      </c>
      <c r="M4" s="5" t="str">
        <f t="shared" si="1"/>
        <v>BUY-DAY</v>
      </c>
      <c r="N4" s="9">
        <f>IF(OR(E4="",F4="",G4=""),"",IF(AD4&gt;0,AD4,(F4-G4)/SQRT(操作パネル_MS2!$H$12)*操作パネル_MS2!$H$10))</f>
        <v>3.8759117149101021</v>
      </c>
      <c r="O4" s="5" t="str">
        <f>IF(OR(E4="",AC4=""),"",IF(AC4&gt;=操作パネル_MS2!$H$3,"VOL-OK","VOL-NG"))</f>
        <v>VOL-OK</v>
      </c>
      <c r="P4" s="5" t="str">
        <f t="shared" si="2"/>
        <v>ON</v>
      </c>
      <c r="Q4" s="5" t="str">
        <f t="shared" si="3"/>
        <v>OFF</v>
      </c>
      <c r="R4" s="5" t="str">
        <f t="shared" si="4"/>
        <v>BUY</v>
      </c>
      <c r="S4" s="9">
        <f t="shared" si="5"/>
        <v>3680</v>
      </c>
      <c r="T4" s="9">
        <f>IF(R4="","",IF(R4="BUY",E4-N4*操作パネル_MS2!$H$5,E4+N4*操作パネル_MS2!$H$5))</f>
        <v>3674.1861324276347</v>
      </c>
      <c r="U4" s="9">
        <f>IF(R4="","",IF(R4="BUY",E4+N4*操作パネル_MS2!$H$6,E4-N4*操作パネル_MS2!$H$6))</f>
        <v>3685.8138675723653</v>
      </c>
      <c r="V4" s="9">
        <f>IF(R4="","",IF(R4="BUY",E4+N4*操作パネル_MS2!$H$7,E4-N4*操作パネル_MS2!$H$7))</f>
        <v>3687.75182342982</v>
      </c>
      <c r="W4" s="9">
        <f>IF(R4="","",IF(R4="BUY",E4+N4*操作パネル_MS2!$H$8,E4-N4*操作パネル_MS2!$H$8))</f>
        <v>3691.6277351447302</v>
      </c>
      <c r="X4" s="5" t="str">
        <f t="shared" si="6"/>
        <v>1ST</v>
      </c>
      <c r="Y4" s="5" t="str">
        <f t="shared" ca="1" si="7"/>
        <v>その他</v>
      </c>
      <c r="Z4" s="5" t="str">
        <f>IF(OR(E4="",N4&lt;=0),"",IF(N4&gt;E4*操作パネル_MS2!$H$4,"VOL-HIGH","VOL-NORMAL"))</f>
        <v>VOL-NORMAL</v>
      </c>
      <c r="AA4" s="5" t="str">
        <f t="shared" si="8"/>
        <v>OK</v>
      </c>
      <c r="AB4" s="5" t="str">
        <f t="shared" si="9"/>
        <v>UP</v>
      </c>
      <c r="AC4" s="30">
        <f>IF(C4="","",_xll.RssMarket(C4&amp;"","売買代金"))</f>
        <v>141829929</v>
      </c>
      <c r="AD4" s="31">
        <f>IFERROR(INDEX(ATRHIST_MS2!$H:$H,MATCH(C4,ATRHIST_MS2!$A:$A,0)),0)</f>
        <v>3.8759117149101021</v>
      </c>
    </row>
    <row r="5" spans="1:30" ht="25.95" customHeight="1">
      <c r="A5" s="5">
        <f t="shared" si="0"/>
        <v>3</v>
      </c>
      <c r="B5" s="6" t="str">
        <f>IF(StockList_MS2!A10="","",HYPERLINK("https://kabutan.jp/stock/?code="&amp;StockList_MS2!A10,"株探"))</f>
        <v>株探</v>
      </c>
      <c r="C5" s="5">
        <f>IF(StockList_MS2!A10="","",StockList_MS2!A10)</f>
        <v>9501</v>
      </c>
      <c r="D5" s="7" t="str">
        <f>IF(StockList_MS2!A10="","",StockList_MS2!B10)</f>
        <v>東京電力ＨＤ</v>
      </c>
      <c r="E5" s="8">
        <f>_xll.RssMarket("9501","現在値")</f>
        <v>538.1</v>
      </c>
      <c r="F5" s="8">
        <f>_xll.RssMarket("9501","高値")</f>
        <v>538.1</v>
      </c>
      <c r="G5" s="8">
        <f>_xll.RssMarket("9501","安値")</f>
        <v>521.4</v>
      </c>
      <c r="H5" s="8" t="str">
        <f>_xll.RssMarket("9501","終値")</f>
        <v/>
      </c>
      <c r="I5" s="19">
        <f>_xll.RssMarket("9501","出来高")</f>
        <v>29112000</v>
      </c>
      <c r="J5" s="8">
        <v>535.4</v>
      </c>
      <c r="K5" s="8">
        <v>525.5</v>
      </c>
      <c r="L5" s="8">
        <f>_xll.RssMarket("9501","前日終値")</f>
        <v>528.1</v>
      </c>
      <c r="M5" s="5" t="str">
        <f t="shared" si="1"/>
        <v>BUY-DAY</v>
      </c>
      <c r="N5" s="9">
        <f>IF(OR(E5="",F5="",G5=""),"",IF(AD5&gt;0,AD5,(F5-G5)/SQRT(操作パネル_MS2!$H$12)*操作パネル_MS2!$H$10))</f>
        <v>1.6472240787649284</v>
      </c>
      <c r="O5" s="5" t="str">
        <f>IF(OR(E5="",AC5=""),"",IF(AC5&gt;=操作パネル_MS2!$H$3,"VOL-OK","VOL-NG"))</f>
        <v>VOL-OK</v>
      </c>
      <c r="P5" s="5" t="str">
        <f t="shared" si="2"/>
        <v>ON</v>
      </c>
      <c r="Q5" s="5" t="str">
        <f t="shared" si="3"/>
        <v>OFF</v>
      </c>
      <c r="R5" s="5" t="str">
        <f t="shared" si="4"/>
        <v>BUY</v>
      </c>
      <c r="S5" s="9">
        <f t="shared" si="5"/>
        <v>538.1</v>
      </c>
      <c r="T5" s="9">
        <f>IF(R5="","",IF(R5="BUY",E5-N5*操作パネル_MS2!$H$5,E5+N5*操作パネル_MS2!$H$5))</f>
        <v>535.62916388185261</v>
      </c>
      <c r="U5" s="9">
        <f>IF(R5="","",IF(R5="BUY",E5+N5*操作パネル_MS2!$H$6,E5-N5*操作パネル_MS2!$H$6))</f>
        <v>540.57083611814744</v>
      </c>
      <c r="V5" s="9">
        <f>IF(R5="","",IF(R5="BUY",E5+N5*操作パネル_MS2!$H$7,E5-N5*操作パネル_MS2!$H$7))</f>
        <v>541.39444815752984</v>
      </c>
      <c r="W5" s="9">
        <f>IF(R5="","",IF(R5="BUY",E5+N5*操作パネル_MS2!$H$8,E5-N5*操作パネル_MS2!$H$8))</f>
        <v>543.04167223629486</v>
      </c>
      <c r="X5" s="5" t="str">
        <f t="shared" si="6"/>
        <v>1ST</v>
      </c>
      <c r="Y5" s="5" t="str">
        <f t="shared" ca="1" si="7"/>
        <v>その他</v>
      </c>
      <c r="Z5" s="5" t="str">
        <f>IF(OR(E5="",N5&lt;=0),"",IF(N5&gt;E5*操作パネル_MS2!$H$4,"VOL-HIGH","VOL-NORMAL"))</f>
        <v>VOL-NORMAL</v>
      </c>
      <c r="AA5" s="5" t="str">
        <f t="shared" si="8"/>
        <v>OK</v>
      </c>
      <c r="AB5" s="5" t="str">
        <f t="shared" si="9"/>
        <v>FLAT</v>
      </c>
      <c r="AC5" s="30">
        <f>IF(C5="","",_xll.RssMarket(C5&amp;"","売買代金"))</f>
        <v>15476782</v>
      </c>
      <c r="AD5" s="31">
        <f>IFERROR(INDEX(ATRHIST_MS2!$H:$H,MATCH(C5,ATRHIST_MS2!$A:$A,0)),0)</f>
        <v>1.6472240787649284</v>
      </c>
    </row>
    <row r="6" spans="1:30" ht="25.95" customHeight="1">
      <c r="A6" s="10">
        <f t="shared" si="0"/>
        <v>4</v>
      </c>
      <c r="B6" s="11" t="str">
        <f>IF(StockList_MS2!A11="","",HYPERLINK("https://kabutan.jp/stock/?code="&amp;StockList_MS2!A11,"株探"))</f>
        <v>株探</v>
      </c>
      <c r="C6" s="10">
        <f>IF(StockList_MS2!A11="","",StockList_MS2!A11)</f>
        <v>5401</v>
      </c>
      <c r="D6" s="12" t="str">
        <f>IF(StockList_MS2!A11="","",StockList_MS2!B11)</f>
        <v>日本製鉄</v>
      </c>
      <c r="E6" s="13">
        <f>_xll.RssMarket("5401","現在値")</f>
        <v>669.8</v>
      </c>
      <c r="F6" s="13">
        <f>_xll.RssMarket("5401","高値")</f>
        <v>672.9</v>
      </c>
      <c r="G6" s="13">
        <f>_xll.RssMarket("5401","安値")</f>
        <v>663.7</v>
      </c>
      <c r="H6" s="13" t="str">
        <f>_xll.RssMarket("5401","終値")</f>
        <v/>
      </c>
      <c r="I6" s="20">
        <f>_xll.RssMarket("5401","出来高")</f>
        <v>41396400</v>
      </c>
      <c r="J6" s="13">
        <v>681</v>
      </c>
      <c r="K6" s="13">
        <v>668.3</v>
      </c>
      <c r="L6" s="13">
        <f>_xll.RssMarket("5401","前日終値")</f>
        <v>677</v>
      </c>
      <c r="M6" s="5" t="str">
        <f t="shared" si="1"/>
        <v>SELL-DAY</v>
      </c>
      <c r="N6" s="9">
        <f>IF(OR(E6="",F6="",G6=""),"",IF(AD6&gt;0,AD6,(F6-G6)/SQRT(操作パネル_MS2!$H$12)*操作パネル_MS2!$H$10))</f>
        <v>0.88193039352741065</v>
      </c>
      <c r="O6" s="5" t="str">
        <f>IF(OR(E6="",AC6=""),"",IF(AC6&gt;=操作パネル_MS2!$H$3,"VOL-OK","VOL-NG"))</f>
        <v>VOL-OK</v>
      </c>
      <c r="P6" s="5" t="str">
        <f t="shared" si="2"/>
        <v>OFF</v>
      </c>
      <c r="Q6" s="5" t="str">
        <f t="shared" si="3"/>
        <v>OFF</v>
      </c>
      <c r="R6" s="5" t="str">
        <f t="shared" si="4"/>
        <v/>
      </c>
      <c r="S6" s="9" t="str">
        <f t="shared" si="5"/>
        <v/>
      </c>
      <c r="T6" s="9" t="str">
        <f>IF(R6="","",IF(R6="BUY",E6-N6*操作パネル_MS2!$H$5,E6+N6*操作パネル_MS2!$H$5))</f>
        <v/>
      </c>
      <c r="U6" s="9" t="str">
        <f>IF(R6="","",IF(R6="BUY",E6+N6*操作パネル_MS2!$H$6,E6-N6*操作パネル_MS2!$H$6))</f>
        <v/>
      </c>
      <c r="V6" s="9" t="str">
        <f>IF(R6="","",IF(R6="BUY",E6+N6*操作パネル_MS2!$H$7,E6-N6*操作パネル_MS2!$H$7))</f>
        <v/>
      </c>
      <c r="W6" s="9" t="str">
        <f>IF(R6="","",IF(R6="BUY",E6+N6*操作パネル_MS2!$H$8,E6-N6*操作パネル_MS2!$H$8))</f>
        <v/>
      </c>
      <c r="X6" s="5" t="str">
        <f t="shared" si="6"/>
        <v>1ST</v>
      </c>
      <c r="Y6" s="5" t="str">
        <f t="shared" ca="1" si="7"/>
        <v>その他</v>
      </c>
      <c r="Z6" s="5" t="str">
        <f>IF(OR(E6="",N6&lt;=0),"",IF(N6&gt;E6*操作パネル_MS2!$H$4,"VOL-HIGH","VOL-NORMAL"))</f>
        <v>VOL-NORMAL</v>
      </c>
      <c r="AA6" s="5" t="str">
        <f t="shared" si="8"/>
        <v>OK</v>
      </c>
      <c r="AB6" s="5" t="str">
        <f t="shared" si="9"/>
        <v>DOWN</v>
      </c>
      <c r="AC6" s="30">
        <f>IF(C6="","",_xll.RssMarket(C6&amp;"","売買代金"))</f>
        <v>27673292</v>
      </c>
      <c r="AD6" s="31">
        <f>IFERROR(INDEX(ATRHIST_MS2!$H:$H,MATCH(C6,ATRHIST_MS2!$A:$A,0)),0)</f>
        <v>0.88193039352741065</v>
      </c>
    </row>
    <row r="7" spans="1:30" ht="25.95" customHeight="1">
      <c r="A7" s="10">
        <f t="shared" si="0"/>
        <v>5</v>
      </c>
      <c r="B7" s="11" t="str">
        <f>IF(StockList_MS2!A13="","",HYPERLINK("https://kabutan.jp/stock/?code="&amp;StockList_MS2!A13,"株探"))</f>
        <v>株探</v>
      </c>
      <c r="C7" s="10">
        <f>IF(StockList_MS2!A13="","",StockList_MS2!A13)</f>
        <v>6758</v>
      </c>
      <c r="D7" s="12" t="str">
        <f>IF(StockList_MS2!A13="","",StockList_MS2!B13)</f>
        <v>ソニーグループ</v>
      </c>
      <c r="E7" s="13">
        <f>_xll.RssMarket("6758","現在値")</f>
        <v>4016</v>
      </c>
      <c r="F7" s="13">
        <f>_xll.RssMarket("6758","高値")</f>
        <v>4041</v>
      </c>
      <c r="G7" s="13">
        <f>_xll.RssMarket("6758","安値")</f>
        <v>3937</v>
      </c>
      <c r="H7" s="13" t="str">
        <f>_xll.RssMarket("6758","終値")</f>
        <v/>
      </c>
      <c r="I7" s="20">
        <f>_xll.RssMarket("6758","出来高")</f>
        <v>23484300</v>
      </c>
      <c r="J7" s="13">
        <v>3968</v>
      </c>
      <c r="K7" s="13">
        <v>3875</v>
      </c>
      <c r="L7" s="13">
        <f>_xll.RssMarket("6758","前日終値")</f>
        <v>3928</v>
      </c>
      <c r="M7" s="5" t="str">
        <f t="shared" si="1"/>
        <v>BUY-DAY</v>
      </c>
      <c r="N7" s="9">
        <f>IF(OR(E7="",F7="",G7=""),"",IF(AD7&gt;0,AD7,(F7-G7)/SQRT(操作パネル_MS2!$H$12)*操作パネル_MS2!$H$10))</f>
        <v>5.9117421407317829</v>
      </c>
      <c r="O7" s="5" t="str">
        <f>IF(OR(E7="",AC7=""),"",IF(AC7&gt;=操作パネル_MS2!$H$3,"VOL-OK","VOL-NG"))</f>
        <v>VOL-OK</v>
      </c>
      <c r="P7" s="5" t="str">
        <f t="shared" si="2"/>
        <v>ON</v>
      </c>
      <c r="Q7" s="5" t="str">
        <f t="shared" si="3"/>
        <v>OFF</v>
      </c>
      <c r="R7" s="5" t="str">
        <f t="shared" si="4"/>
        <v>BUY</v>
      </c>
      <c r="S7" s="9">
        <f t="shared" si="5"/>
        <v>4016</v>
      </c>
      <c r="T7" s="9">
        <f>IF(R7="","",IF(R7="BUY",E7-N7*操作パネル_MS2!$H$5,E7+N7*操作パネル_MS2!$H$5))</f>
        <v>4007.1323867889023</v>
      </c>
      <c r="U7" s="9">
        <f>IF(R7="","",IF(R7="BUY",E7+N7*操作パネル_MS2!$H$6,E7-N7*操作パネル_MS2!$H$6))</f>
        <v>4024.8676132110977</v>
      </c>
      <c r="V7" s="9">
        <f>IF(R7="","",IF(R7="BUY",E7+N7*操作パネル_MS2!$H$7,E7-N7*操作パネル_MS2!$H$7))</f>
        <v>4027.8234842814636</v>
      </c>
      <c r="W7" s="9">
        <f>IF(R7="","",IF(R7="BUY",E7+N7*操作パネル_MS2!$H$8,E7-N7*操作パネル_MS2!$H$8))</f>
        <v>4033.7352264221954</v>
      </c>
      <c r="X7" s="5" t="str">
        <f t="shared" si="6"/>
        <v>1ST</v>
      </c>
      <c r="Y7" s="5" t="str">
        <f t="shared" ca="1" si="7"/>
        <v>その他</v>
      </c>
      <c r="Z7" s="5" t="str">
        <f>IF(OR(E7="",N7&lt;=0),"",IF(N7&gt;E7*操作パネル_MS2!$H$4,"VOL-HIGH","VOL-NORMAL"))</f>
        <v>VOL-NORMAL</v>
      </c>
      <c r="AA7" s="5" t="str">
        <f t="shared" si="8"/>
        <v>OK</v>
      </c>
      <c r="AB7" s="5" t="str">
        <f t="shared" si="9"/>
        <v>UP</v>
      </c>
      <c r="AC7" s="30">
        <f>IF(C7="","",_xll.RssMarket(C7&amp;"","売買代金"))</f>
        <v>94017166</v>
      </c>
      <c r="AD7" s="31">
        <f>IFERROR(INDEX(ATRHIST_MS2!$H:$H,MATCH(C7,ATRHIST_MS2!$A:$A,0)),0)</f>
        <v>5.9117421407317829</v>
      </c>
    </row>
    <row r="8" spans="1:30" ht="25.95" customHeight="1">
      <c r="A8" s="5">
        <f t="shared" si="0"/>
        <v>6</v>
      </c>
      <c r="B8" s="6" t="str">
        <f>IF(StockList_MS2!A14="","",HYPERLINK("https://kabutan.jp/stock/?code="&amp;StockList_MS2!A14,"株探"))</f>
        <v>株探</v>
      </c>
      <c r="C8" s="5">
        <f>IF(StockList_MS2!A14="","",StockList_MS2!A14)</f>
        <v>7203</v>
      </c>
      <c r="D8" s="7" t="str">
        <f>IF(StockList_MS2!A14="","",StockList_MS2!B14)</f>
        <v>トヨタ自動車</v>
      </c>
      <c r="E8" s="8">
        <f>_xll.RssMarket("7203","現在値")</f>
        <v>3156</v>
      </c>
      <c r="F8" s="8">
        <f>_xll.RssMarket("7203","高値")</f>
        <v>3188</v>
      </c>
      <c r="G8" s="8">
        <f>_xll.RssMarket("7203","安値")</f>
        <v>3116</v>
      </c>
      <c r="H8" s="8" t="str">
        <f>_xll.RssMarket("7203","終値")</f>
        <v/>
      </c>
      <c r="I8" s="19">
        <f>_xll.RssMarket("7203","出来高")</f>
        <v>33832100</v>
      </c>
      <c r="J8" s="8">
        <v>3145</v>
      </c>
      <c r="K8" s="8">
        <v>3081</v>
      </c>
      <c r="L8" s="8">
        <f>_xll.RssMarket("7203","前日終値")</f>
        <v>3116</v>
      </c>
      <c r="M8" s="5" t="str">
        <f t="shared" si="1"/>
        <v>BUY-DAY</v>
      </c>
      <c r="N8" s="9">
        <f>IF(OR(E8="",F8="",G8=""),"",IF(AD8&gt;0,AD8,(F8-G8)/SQRT(操作パネル_MS2!$H$12)*操作パネル_MS2!$H$10))</f>
        <v>3.3868947735072044</v>
      </c>
      <c r="O8" s="5" t="str">
        <f>IF(OR(E8="",AC8=""),"",IF(AC8&gt;=操作パネル_MS2!$H$3,"VOL-OK","VOL-NG"))</f>
        <v>VOL-OK</v>
      </c>
      <c r="P8" s="5" t="str">
        <f t="shared" si="2"/>
        <v>ON</v>
      </c>
      <c r="Q8" s="5" t="str">
        <f t="shared" si="3"/>
        <v>OFF</v>
      </c>
      <c r="R8" s="5" t="str">
        <f t="shared" si="4"/>
        <v>BUY</v>
      </c>
      <c r="S8" s="9">
        <f t="shared" si="5"/>
        <v>3156</v>
      </c>
      <c r="T8" s="9">
        <f>IF(R8="","",IF(R8="BUY",E8-N8*操作パネル_MS2!$H$5,E8+N8*操作パネル_MS2!$H$5))</f>
        <v>3150.9196578397391</v>
      </c>
      <c r="U8" s="9">
        <f>IF(R8="","",IF(R8="BUY",E8+N8*操作パネル_MS2!$H$6,E8-N8*操作パネル_MS2!$H$6))</f>
        <v>3161.0803421602609</v>
      </c>
      <c r="V8" s="9">
        <f>IF(R8="","",IF(R8="BUY",E8+N8*操作パネル_MS2!$H$7,E8-N8*操作パネル_MS2!$H$7))</f>
        <v>3162.7737895470145</v>
      </c>
      <c r="W8" s="9">
        <f>IF(R8="","",IF(R8="BUY",E8+N8*操作パネル_MS2!$H$8,E8-N8*操作パネル_MS2!$H$8))</f>
        <v>3166.1606843205218</v>
      </c>
      <c r="X8" s="5" t="str">
        <f t="shared" si="6"/>
        <v>1ST</v>
      </c>
      <c r="Y8" s="5" t="str">
        <f t="shared" ca="1" si="7"/>
        <v>その他</v>
      </c>
      <c r="Z8" s="5" t="str">
        <f>IF(OR(E8="",N8&lt;=0),"",IF(N8&gt;E8*操作パネル_MS2!$H$4,"VOL-HIGH","VOL-NORMAL"))</f>
        <v>VOL-NORMAL</v>
      </c>
      <c r="AA8" s="5" t="str">
        <f t="shared" si="8"/>
        <v>OK</v>
      </c>
      <c r="AB8" s="5" t="str">
        <f t="shared" si="9"/>
        <v>UP</v>
      </c>
      <c r="AC8" s="30">
        <f>IF(C8="","",_xll.RssMarket(C8&amp;"","売買代金"))</f>
        <v>106936756</v>
      </c>
      <c r="AD8" s="31">
        <f>IFERROR(INDEX(ATRHIST_MS2!$H:$H,MATCH(C8,ATRHIST_MS2!$A:$A,0)),0)</f>
        <v>3.3868947735072044</v>
      </c>
    </row>
    <row r="9" spans="1:30" ht="25.95" customHeight="1">
      <c r="A9" s="5">
        <f t="shared" si="0"/>
        <v>7</v>
      </c>
      <c r="B9" s="6" t="str">
        <f>IF(StockList_MS2!A16="","",HYPERLINK("https://kabutan.jp/stock/?code="&amp;StockList_MS2!A16,"株探"))</f>
        <v>株探</v>
      </c>
      <c r="C9" s="5">
        <f>IF(StockList_MS2!A16="","",StockList_MS2!A16)</f>
        <v>8053</v>
      </c>
      <c r="D9" s="7" t="str">
        <f>IF(StockList_MS2!A16="","",StockList_MS2!B16)</f>
        <v>住友商事</v>
      </c>
      <c r="E9" s="8">
        <f>_xll.RssMarket("8053","現在値")</f>
        <v>1791.5</v>
      </c>
      <c r="F9" s="8">
        <f>_xll.RssMarket("8053","高値")</f>
        <v>1798.5</v>
      </c>
      <c r="G9" s="8">
        <f>_xll.RssMarket("8053","安値")</f>
        <v>1755.5</v>
      </c>
      <c r="H9" s="8" t="str">
        <f>_xll.RssMarket("8053","終値")</f>
        <v/>
      </c>
      <c r="I9" s="19">
        <f>_xll.RssMarket("8053","出来高")</f>
        <v>14517600</v>
      </c>
      <c r="J9" s="8">
        <v>1785.5</v>
      </c>
      <c r="K9" s="8">
        <v>1738.5</v>
      </c>
      <c r="L9" s="8">
        <f>_xll.RssMarket("8053","前日終値")</f>
        <v>1775.5</v>
      </c>
      <c r="M9" s="5" t="str">
        <f t="shared" si="1"/>
        <v>BUY-DAY</v>
      </c>
      <c r="N9" s="9">
        <f>IF(OR(E9="",F9="",G9=""),"",IF(AD9&gt;0,AD9,(F9-G9)/SQRT(操作パネル_MS2!$H$12)*操作パネル_MS2!$H$10))</f>
        <v>2.4379581968528656</v>
      </c>
      <c r="O9" s="5" t="str">
        <f>IF(OR(E9="",AC9=""),"",IF(AC9&gt;=操作パネル_MS2!$H$3,"VOL-OK","VOL-NG"))</f>
        <v>VOL-OK</v>
      </c>
      <c r="P9" s="5" t="str">
        <f t="shared" si="2"/>
        <v>ON</v>
      </c>
      <c r="Q9" s="5" t="str">
        <f t="shared" si="3"/>
        <v>OFF</v>
      </c>
      <c r="R9" s="5" t="str">
        <f t="shared" si="4"/>
        <v>BUY</v>
      </c>
      <c r="S9" s="9">
        <f t="shared" si="5"/>
        <v>1791.5</v>
      </c>
      <c r="T9" s="9">
        <f>IF(R9="","",IF(R9="BUY",E9-N9*操作パネル_MS2!$H$5,E9+N9*操作パネル_MS2!$H$5))</f>
        <v>1787.8430627047208</v>
      </c>
      <c r="U9" s="9">
        <f>IF(R9="","",IF(R9="BUY",E9+N9*操作パネル_MS2!$H$6,E9-N9*操作パネル_MS2!$H$6))</f>
        <v>1795.1569372952792</v>
      </c>
      <c r="V9" s="9">
        <f>IF(R9="","",IF(R9="BUY",E9+N9*操作パネル_MS2!$H$7,E9-N9*操作パネル_MS2!$H$7))</f>
        <v>1796.3759163937057</v>
      </c>
      <c r="W9" s="9">
        <f>IF(R9="","",IF(R9="BUY",E9+N9*操作パネル_MS2!$H$8,E9-N9*操作パネル_MS2!$H$8))</f>
        <v>1798.8138745905585</v>
      </c>
      <c r="X9" s="5" t="str">
        <f t="shared" si="6"/>
        <v>1ST</v>
      </c>
      <c r="Y9" s="5" t="str">
        <f t="shared" ca="1" si="7"/>
        <v>その他</v>
      </c>
      <c r="Z9" s="5" t="str">
        <f>IF(OR(E9="",N9&lt;=0),"",IF(N9&gt;E9*操作パネル_MS2!$H$4,"VOL-HIGH","VOL-NORMAL"))</f>
        <v>VOL-NORMAL</v>
      </c>
      <c r="AA9" s="5" t="str">
        <f t="shared" si="8"/>
        <v>OK</v>
      </c>
      <c r="AB9" s="5" t="str">
        <f t="shared" si="9"/>
        <v>UP</v>
      </c>
      <c r="AC9" s="30">
        <f>IF(C9="","",_xll.RssMarket(C9&amp;"","売買代金"))</f>
        <v>25937800</v>
      </c>
      <c r="AD9" s="31">
        <f>IFERROR(INDEX(ATRHIST_MS2!$H:$H,MATCH(C9,ATRHIST_MS2!$A:$A,0)),0)</f>
        <v>2.4379581968528656</v>
      </c>
    </row>
    <row r="10" spans="1:30" ht="25.95" customHeight="1">
      <c r="A10" s="5">
        <f t="shared" si="0"/>
        <v>8</v>
      </c>
      <c r="B10" s="6" t="str">
        <f>IF(StockList_MS2!A20="","",HYPERLINK("https://kabutan.jp/stock/?code="&amp;StockList_MS2!A20,"株探"))</f>
        <v>株探</v>
      </c>
      <c r="C10" s="5">
        <f>IF(StockList_MS2!A20="","",StockList_MS2!A20)</f>
        <v>4689</v>
      </c>
      <c r="D10" s="7" t="str">
        <f>IF(StockList_MS2!A20="","",StockList_MS2!B20)</f>
        <v>ＬＩＮＥヤフー</v>
      </c>
      <c r="E10" s="8">
        <f>_xll.RssMarket("4689","現在値")</f>
        <v>556</v>
      </c>
      <c r="F10" s="8">
        <f>_xll.RssMarket("4689","高値")</f>
        <v>561.4</v>
      </c>
      <c r="G10" s="8">
        <f>_xll.RssMarket("4689","安値")</f>
        <v>552</v>
      </c>
      <c r="H10" s="8" t="str">
        <f>_xll.RssMarket("4689","終値")</f>
        <v/>
      </c>
      <c r="I10" s="19">
        <f>_xll.RssMarket("4689","出来高")</f>
        <v>24296700</v>
      </c>
      <c r="J10" s="8">
        <v>556.79999999999995</v>
      </c>
      <c r="K10" s="8">
        <v>547</v>
      </c>
      <c r="L10" s="8">
        <f>_xll.RssMarket("4689","前日終値")</f>
        <v>554</v>
      </c>
      <c r="M10" s="5" t="str">
        <f t="shared" si="1"/>
        <v>BUY-DAY</v>
      </c>
      <c r="N10" s="9">
        <f>IF(OR(E10="",F10="",G10=""),"",IF(AD10&gt;0,AD10,(F10-G10)/SQRT(操作パネル_MS2!$H$12)*操作パネル_MS2!$H$10))</f>
        <v>1.639417873610763</v>
      </c>
      <c r="O10" s="5" t="str">
        <f>IF(OR(E10="",AC10=""),"",IF(AC10&gt;=操作パネル_MS2!$H$3,"VOL-OK","VOL-NG"))</f>
        <v>VOL-OK</v>
      </c>
      <c r="P10" s="5" t="str">
        <f t="shared" si="2"/>
        <v>OFF</v>
      </c>
      <c r="Q10" s="5" t="str">
        <f t="shared" si="3"/>
        <v>OFF</v>
      </c>
      <c r="R10" s="5" t="str">
        <f t="shared" si="4"/>
        <v/>
      </c>
      <c r="S10" s="9" t="str">
        <f t="shared" si="5"/>
        <v/>
      </c>
      <c r="T10" s="9" t="str">
        <f>IF(R10="","",IF(R10="BUY",E10-N10*操作パネル_MS2!$H$5,E10+N10*操作パネル_MS2!$H$5))</f>
        <v/>
      </c>
      <c r="U10" s="9" t="str">
        <f>IF(R10="","",IF(R10="BUY",E10+N10*操作パネル_MS2!$H$6,E10-N10*操作パネル_MS2!$H$6))</f>
        <v/>
      </c>
      <c r="V10" s="9" t="str">
        <f>IF(R10="","",IF(R10="BUY",E10+N10*操作パネル_MS2!$H$7,E10-N10*操作パネル_MS2!$H$7))</f>
        <v/>
      </c>
      <c r="W10" s="9" t="str">
        <f>IF(R10="","",IF(R10="BUY",E10+N10*操作パネル_MS2!$H$8,E10-N10*操作パネル_MS2!$H$8))</f>
        <v/>
      </c>
      <c r="X10" s="5" t="str">
        <f t="shared" si="6"/>
        <v>1ST</v>
      </c>
      <c r="Y10" s="5" t="str">
        <f t="shared" ca="1" si="7"/>
        <v>その他</v>
      </c>
      <c r="Z10" s="5" t="str">
        <f>IF(OR(E10="",N10&lt;=0),"",IF(N10&gt;E10*操作パネル_MS2!$H$4,"VOL-HIGH","VOL-NORMAL"))</f>
        <v>VOL-NORMAL</v>
      </c>
      <c r="AA10" s="5" t="str">
        <f t="shared" si="8"/>
        <v>OK</v>
      </c>
      <c r="AB10" s="5" t="str">
        <f t="shared" si="9"/>
        <v>UP</v>
      </c>
      <c r="AC10" s="30">
        <f>IF(C10="","",_xll.RssMarket(C10&amp;"","売買代金"))</f>
        <v>13537438</v>
      </c>
      <c r="AD10" s="31">
        <f>IFERROR(INDEX(ATRHIST_MS2!$H:$H,MATCH(C10,ATRHIST_MS2!$A:$A,0)),0)</f>
        <v>1.639417873610763</v>
      </c>
    </row>
    <row r="11" spans="1:30" ht="25.95" customHeight="1">
      <c r="A11" s="5">
        <f t="shared" si="0"/>
        <v>9</v>
      </c>
      <c r="B11" s="6" t="str">
        <f>IF(StockList_MS2!A22="","",HYPERLINK("https://kabutan.jp/stock/?code="&amp;StockList_MS2!A22,"株探"))</f>
        <v>株探</v>
      </c>
      <c r="C11" s="5">
        <f>IF(StockList_MS2!A22="","",StockList_MS2!A22)</f>
        <v>6902</v>
      </c>
      <c r="D11" s="7" t="str">
        <f>IF(StockList_MS2!A22="","",StockList_MS2!B22)</f>
        <v>デンソー</v>
      </c>
      <c r="E11" s="8">
        <f>_xll.RssMarket("6902","現在値")</f>
        <v>1935</v>
      </c>
      <c r="F11" s="8">
        <f>_xll.RssMarket("6902","高値")</f>
        <v>1943.5</v>
      </c>
      <c r="G11" s="8">
        <f>_xll.RssMarket("6902","安値")</f>
        <v>1908</v>
      </c>
      <c r="H11" s="8" t="str">
        <f>_xll.RssMarket("6902","終値")</f>
        <v/>
      </c>
      <c r="I11" s="19">
        <f>_xll.RssMarket("6902","出来高")</f>
        <v>9751200</v>
      </c>
      <c r="J11" s="8">
        <v>1920.5</v>
      </c>
      <c r="K11" s="8">
        <v>1897</v>
      </c>
      <c r="L11" s="8">
        <f>_xll.RssMarket("6902","前日終値")</f>
        <v>1915.5</v>
      </c>
      <c r="M11" s="5" t="str">
        <f t="shared" si="1"/>
        <v>BUY-DAY</v>
      </c>
      <c r="N11" s="9">
        <f>IF(OR(E11="",F11="",G11=""),"",IF(AD11&gt;0,AD11,(F11-G11)/SQRT(操作パネル_MS2!$H$12)*操作パネル_MS2!$H$10))</f>
        <v>1.7675131183774966</v>
      </c>
      <c r="O11" s="5" t="str">
        <f>IF(OR(E11="",AC11=""),"",IF(AC11&gt;=操作パネル_MS2!$H$3,"VOL-OK","VOL-NG"))</f>
        <v>VOL-OK</v>
      </c>
      <c r="P11" s="5" t="str">
        <f t="shared" si="2"/>
        <v>ON</v>
      </c>
      <c r="Q11" s="5" t="str">
        <f t="shared" si="3"/>
        <v>OFF</v>
      </c>
      <c r="R11" s="5" t="str">
        <f t="shared" si="4"/>
        <v>BUY</v>
      </c>
      <c r="S11" s="9">
        <f t="shared" si="5"/>
        <v>1935</v>
      </c>
      <c r="T11" s="9">
        <f>IF(R11="","",IF(R11="BUY",E11-N11*操作パネル_MS2!$H$5,E11+N11*操作パネル_MS2!$H$5))</f>
        <v>1932.3487303224338</v>
      </c>
      <c r="U11" s="9">
        <f>IF(R11="","",IF(R11="BUY",E11+N11*操作パネル_MS2!$H$6,E11-N11*操作パネル_MS2!$H$6))</f>
        <v>1937.6512696775662</v>
      </c>
      <c r="V11" s="9">
        <f>IF(R11="","",IF(R11="BUY",E11+N11*操作パネル_MS2!$H$7,E11-N11*操作パネル_MS2!$H$7))</f>
        <v>1938.5350262367549</v>
      </c>
      <c r="W11" s="9">
        <f>IF(R11="","",IF(R11="BUY",E11+N11*操作パネル_MS2!$H$8,E11-N11*操作パネル_MS2!$H$8))</f>
        <v>1940.3025393551325</v>
      </c>
      <c r="X11" s="5" t="str">
        <f t="shared" si="6"/>
        <v>1ST</v>
      </c>
      <c r="Y11" s="5" t="str">
        <f t="shared" ca="1" si="7"/>
        <v>その他</v>
      </c>
      <c r="Z11" s="5" t="str">
        <f>IF(OR(E11="",N11&lt;=0),"",IF(N11&gt;E11*操作パネル_MS2!$H$4,"VOL-HIGH","VOL-NORMAL"))</f>
        <v>VOL-NORMAL</v>
      </c>
      <c r="AA11" s="5" t="str">
        <f t="shared" si="8"/>
        <v>OK</v>
      </c>
      <c r="AB11" s="5" t="str">
        <f t="shared" si="9"/>
        <v>UP</v>
      </c>
      <c r="AC11" s="30">
        <f>IF(C11="","",_xll.RssMarket(C11&amp;"","売買代金"))</f>
        <v>18821548</v>
      </c>
      <c r="AD11" s="31">
        <f>IFERROR(INDEX(ATRHIST_MS2!$H:$H,MATCH(C11,ATRHIST_MS2!$A:$A,0)),0)</f>
        <v>1.7675131183774966</v>
      </c>
    </row>
    <row r="12" spans="1:30" ht="25.95" customHeight="1">
      <c r="A12" s="5">
        <f t="shared" si="0"/>
        <v>10</v>
      </c>
      <c r="B12" s="6" t="str">
        <f>IF(StockList_MS2!A24="","",HYPERLINK("https://kabutan.jp/stock/?code="&amp;StockList_MS2!A24,"株探"))</f>
        <v>株探</v>
      </c>
      <c r="C12" s="5">
        <f>IF(StockList_MS2!A24="","",StockList_MS2!A24)</f>
        <v>7011</v>
      </c>
      <c r="D12" s="7" t="str">
        <f>IF(StockList_MS2!A24="","",StockList_MS2!B24)</f>
        <v>三菱重工業</v>
      </c>
      <c r="E12" s="8">
        <f>_xll.RssMarket("7011","現在値")</f>
        <v>3889</v>
      </c>
      <c r="F12" s="8">
        <f>_xll.RssMarket("7011","高値")</f>
        <v>3966</v>
      </c>
      <c r="G12" s="8">
        <f>_xll.RssMarket("7011","安値")</f>
        <v>3844</v>
      </c>
      <c r="H12" s="8" t="str">
        <f>_xll.RssMarket("7011","終値")</f>
        <v/>
      </c>
      <c r="I12" s="19">
        <f>_xll.RssMarket("7011","出来高")</f>
        <v>21853600</v>
      </c>
      <c r="J12" s="8">
        <v>4071</v>
      </c>
      <c r="K12" s="8">
        <v>3973</v>
      </c>
      <c r="L12" s="8">
        <f>_xll.RssMarket("7011","前日終値")</f>
        <v>4025</v>
      </c>
      <c r="M12" s="5" t="str">
        <f t="shared" si="1"/>
        <v>SELL-DAY</v>
      </c>
      <c r="N12" s="9">
        <f>IF(OR(E12="",F12="",G12=""),"",IF(AD12&gt;0,AD12,(F12-G12)/SQRT(操作パネル_MS2!$H$12)*操作パネル_MS2!$H$10))</f>
        <v>5.5742739344926369</v>
      </c>
      <c r="O12" s="5" t="str">
        <f>IF(OR(E12="",AC12=""),"",IF(AC12&gt;=操作パネル_MS2!$H$3,"VOL-OK","VOL-NG"))</f>
        <v>VOL-OK</v>
      </c>
      <c r="P12" s="5" t="str">
        <f t="shared" si="2"/>
        <v>OFF</v>
      </c>
      <c r="Q12" s="5" t="str">
        <f t="shared" si="3"/>
        <v>ON</v>
      </c>
      <c r="R12" s="5" t="str">
        <f t="shared" si="4"/>
        <v>SELL</v>
      </c>
      <c r="S12" s="9">
        <f t="shared" si="5"/>
        <v>3889</v>
      </c>
      <c r="T12" s="9">
        <f>IF(R12="","",IF(R12="BUY",E12-N12*操作パネル_MS2!$H$5,E12+N12*操作パネル_MS2!$H$5))</f>
        <v>3897.361410901739</v>
      </c>
      <c r="U12" s="9">
        <f>IF(R12="","",IF(R12="BUY",E12+N12*操作パネル_MS2!$H$6,E12-N12*操作パネル_MS2!$H$6))</f>
        <v>3880.638589098261</v>
      </c>
      <c r="V12" s="9">
        <f>IF(R12="","",IF(R12="BUY",E12+N12*操作パネル_MS2!$H$7,E12-N12*操作パネル_MS2!$H$7))</f>
        <v>3877.8514521310149</v>
      </c>
      <c r="W12" s="9">
        <f>IF(R12="","",IF(R12="BUY",E12+N12*操作パネル_MS2!$H$8,E12-N12*操作パネル_MS2!$H$8))</f>
        <v>3872.2771781965221</v>
      </c>
      <c r="X12" s="5" t="str">
        <f t="shared" si="6"/>
        <v>1ST</v>
      </c>
      <c r="Y12" s="5" t="str">
        <f t="shared" ca="1" si="7"/>
        <v>その他</v>
      </c>
      <c r="Z12" s="5" t="str">
        <f>IF(OR(E12="",N12&lt;=0),"",IF(N12&gt;E12*操作パネル_MS2!$H$4,"VOL-HIGH","VOL-NORMAL"))</f>
        <v>VOL-NORMAL</v>
      </c>
      <c r="AA12" s="5" t="str">
        <f t="shared" si="8"/>
        <v>OK</v>
      </c>
      <c r="AB12" s="5" t="str">
        <f t="shared" si="9"/>
        <v>DOWN</v>
      </c>
      <c r="AC12" s="30">
        <f>IF(C12="","",_xll.RssMarket(C12&amp;"","売買代金"))</f>
        <v>84839406</v>
      </c>
      <c r="AD12" s="31">
        <f>IFERROR(INDEX(ATRHIST_MS2!$H:$H,MATCH(C12,ATRHIST_MS2!$A:$A,0)),0)</f>
        <v>5.5742739344926369</v>
      </c>
    </row>
    <row r="13" spans="1:30" ht="25.95" customHeight="1">
      <c r="A13" s="5">
        <f t="shared" si="0"/>
        <v>11</v>
      </c>
      <c r="B13" s="6" t="str">
        <f>IF(StockList_MS2!A26="","",HYPERLINK("https://kabutan.jp/stock/?code="&amp;StockList_MS2!A26,"株探"))</f>
        <v>株探</v>
      </c>
      <c r="C13" s="5">
        <f>IF(StockList_MS2!A26="","",StockList_MS2!A26)</f>
        <v>8604</v>
      </c>
      <c r="D13" s="7" t="str">
        <f>IF(StockList_MS2!A26="","",StockList_MS2!B26)</f>
        <v>野村ホールディングス</v>
      </c>
      <c r="E13" s="8">
        <f>_xll.RssMarket("8604","現在値")</f>
        <v>1635.5</v>
      </c>
      <c r="F13" s="8">
        <f>_xll.RssMarket("8604","高値")</f>
        <v>1638</v>
      </c>
      <c r="G13" s="8">
        <f>_xll.RssMarket("8604","安値")</f>
        <v>1615.5</v>
      </c>
      <c r="H13" s="8" t="str">
        <f>_xll.RssMarket("8604","終値")</f>
        <v/>
      </c>
      <c r="I13" s="19">
        <f>_xll.RssMarket("8604","出来高")</f>
        <v>9978200</v>
      </c>
      <c r="J13" s="8">
        <v>1652</v>
      </c>
      <c r="K13" s="8">
        <v>1600.5</v>
      </c>
      <c r="L13" s="8">
        <f>_xll.RssMarket("8604","前日終値")</f>
        <v>1642</v>
      </c>
      <c r="M13" s="5" t="str">
        <f t="shared" si="1"/>
        <v>SELL-DAY</v>
      </c>
      <c r="N13" s="9">
        <f>IF(OR(E13="",F13="",G13=""),"",IF(AD13&gt;0,AD13,(F13-G13)/SQRT(操作パネル_MS2!$H$12)*操作パネル_MS2!$H$10))</f>
        <v>3.435914555027261</v>
      </c>
      <c r="O13" s="5" t="str">
        <f>IF(OR(E13="",AC13=""),"",IF(AC13&gt;=操作パネル_MS2!$H$3,"VOL-OK","VOL-NG"))</f>
        <v>VOL-OK</v>
      </c>
      <c r="P13" s="5" t="str">
        <f t="shared" si="2"/>
        <v>OFF</v>
      </c>
      <c r="Q13" s="5" t="str">
        <f t="shared" si="3"/>
        <v>OFF</v>
      </c>
      <c r="R13" s="5" t="str">
        <f t="shared" si="4"/>
        <v/>
      </c>
      <c r="S13" s="9" t="str">
        <f t="shared" si="5"/>
        <v/>
      </c>
      <c r="T13" s="9" t="str">
        <f>IF(R13="","",IF(R13="BUY",E13-N13*操作パネル_MS2!$H$5,E13+N13*操作パネル_MS2!$H$5))</f>
        <v/>
      </c>
      <c r="U13" s="9" t="str">
        <f>IF(R13="","",IF(R13="BUY",E13+N13*操作パネル_MS2!$H$6,E13-N13*操作パネル_MS2!$H$6))</f>
        <v/>
      </c>
      <c r="V13" s="9" t="str">
        <f>IF(R13="","",IF(R13="BUY",E13+N13*操作パネル_MS2!$H$7,E13-N13*操作パネル_MS2!$H$7))</f>
        <v/>
      </c>
      <c r="W13" s="9" t="str">
        <f>IF(R13="","",IF(R13="BUY",E13+N13*操作パネル_MS2!$H$8,E13-N13*操作パネル_MS2!$H$8))</f>
        <v/>
      </c>
      <c r="X13" s="5" t="str">
        <f t="shared" si="6"/>
        <v>1ST</v>
      </c>
      <c r="Y13" s="5" t="str">
        <f t="shared" ca="1" si="7"/>
        <v>その他</v>
      </c>
      <c r="Z13" s="5" t="str">
        <f>IF(OR(E13="",N13&lt;=0),"",IF(N13&gt;E13*操作パネル_MS2!$H$4,"VOL-HIGH","VOL-NORMAL"))</f>
        <v>VOL-NORMAL</v>
      </c>
      <c r="AA13" s="5" t="str">
        <f t="shared" si="8"/>
        <v>OK</v>
      </c>
      <c r="AB13" s="5" t="str">
        <f t="shared" si="9"/>
        <v>FLAT</v>
      </c>
      <c r="AC13" s="30">
        <f>IF(C13="","",_xll.RssMarket(C13&amp;"","売買代金"))</f>
        <v>16279391</v>
      </c>
      <c r="AD13" s="31">
        <f>IFERROR(INDEX(ATRHIST_MS2!$H:$H,MATCH(C13,ATRHIST_MS2!$A:$A,0)),0)</f>
        <v>3.435914555027261</v>
      </c>
    </row>
    <row r="14" spans="1:30" ht="25.95" customHeight="1">
      <c r="A14" s="10">
        <f t="shared" si="0"/>
        <v>12</v>
      </c>
      <c r="B14" s="11" t="str">
        <f>IF(StockList_MS2!A29="","",HYPERLINK("https://kabutan.jp/stock/?code="&amp;StockList_MS2!A29,"株探"))</f>
        <v>株探</v>
      </c>
      <c r="C14" s="10">
        <f>IF(StockList_MS2!A29="","",StockList_MS2!A29)</f>
        <v>4063</v>
      </c>
      <c r="D14" s="12" t="str">
        <f>IF(StockList_MS2!A29="","",StockList_MS2!B29)</f>
        <v>信越化学</v>
      </c>
      <c r="E14" s="13">
        <f>_xll.RssMarket("4063","現在値")</f>
        <v>6023</v>
      </c>
      <c r="F14" s="13">
        <f>_xll.RssMarket("4063","高値")</f>
        <v>6028</v>
      </c>
      <c r="G14" s="13">
        <f>_xll.RssMarket("4063","安値")</f>
        <v>5925</v>
      </c>
      <c r="H14" s="13" t="str">
        <f>_xll.RssMarket("4063","終値")</f>
        <v/>
      </c>
      <c r="I14" s="20">
        <f>_xll.RssMarket("4063","出来高")</f>
        <v>5822200</v>
      </c>
      <c r="J14" s="13">
        <v>6068</v>
      </c>
      <c r="K14" s="13">
        <v>6001</v>
      </c>
      <c r="L14" s="13">
        <f>_xll.RssMarket("4063","前日終値")</f>
        <v>6001</v>
      </c>
      <c r="M14" s="5" t="str">
        <f t="shared" si="1"/>
        <v>BUY-DAY</v>
      </c>
      <c r="N14" s="9">
        <f>IF(OR(E14="",F14="",G14=""),"",IF(AD14&gt;0,AD14,(F14-G14)/SQRT(操作パネル_MS2!$H$12)*操作パネル_MS2!$H$10))</f>
        <v>6.8319698493077352</v>
      </c>
      <c r="O14" s="5" t="str">
        <f>IF(OR(E14="",AC14=""),"",IF(AC14&gt;=操作パネル_MS2!$H$3,"VOL-OK","VOL-NG"))</f>
        <v>VOL-OK</v>
      </c>
      <c r="P14" s="5" t="str">
        <f t="shared" si="2"/>
        <v>OFF</v>
      </c>
      <c r="Q14" s="5" t="str">
        <f t="shared" si="3"/>
        <v>OFF</v>
      </c>
      <c r="R14" s="5" t="str">
        <f t="shared" si="4"/>
        <v/>
      </c>
      <c r="S14" s="9" t="str">
        <f t="shared" si="5"/>
        <v/>
      </c>
      <c r="T14" s="9" t="str">
        <f>IF(R14="","",IF(R14="BUY",E14-N14*操作パネル_MS2!$H$5,E14+N14*操作パネル_MS2!$H$5))</f>
        <v/>
      </c>
      <c r="U14" s="9" t="str">
        <f>IF(R14="","",IF(R14="BUY",E14+N14*操作パネル_MS2!$H$6,E14-N14*操作パネル_MS2!$H$6))</f>
        <v/>
      </c>
      <c r="V14" s="9" t="str">
        <f>IF(R14="","",IF(R14="BUY",E14+N14*操作パネル_MS2!$H$7,E14-N14*操作パネル_MS2!$H$7))</f>
        <v/>
      </c>
      <c r="W14" s="9" t="str">
        <f>IF(R14="","",IF(R14="BUY",E14+N14*操作パネル_MS2!$H$8,E14-N14*操作パネル_MS2!$H$8))</f>
        <v/>
      </c>
      <c r="X14" s="5" t="str">
        <f t="shared" si="6"/>
        <v>1ST</v>
      </c>
      <c r="Y14" s="5" t="str">
        <f t="shared" ca="1" si="7"/>
        <v>その他</v>
      </c>
      <c r="Z14" s="5" t="str">
        <f>IF(OR(E14="",N14&lt;=0),"",IF(N14&gt;E14*操作パネル_MS2!$H$4,"VOL-HIGH","VOL-NORMAL"))</f>
        <v>VOL-NORMAL</v>
      </c>
      <c r="AA14" s="5" t="str">
        <f t="shared" si="8"/>
        <v>OK</v>
      </c>
      <c r="AB14" s="5" t="str">
        <f t="shared" si="9"/>
        <v>DOWN</v>
      </c>
      <c r="AC14" s="30">
        <f>IF(C14="","",_xll.RssMarket(C14&amp;"","売買代金"))</f>
        <v>34923573</v>
      </c>
      <c r="AD14" s="31">
        <f>IFERROR(INDEX(ATRHIST_MS2!$H:$H,MATCH(C14,ATRHIST_MS2!$A:$A,0)),0)</f>
        <v>6.8319698493077352</v>
      </c>
    </row>
    <row r="15" spans="1:30" ht="25.95" customHeight="1">
      <c r="A15" s="10">
        <f t="shared" si="0"/>
        <v>13</v>
      </c>
      <c r="B15" s="11" t="str">
        <f>IF(StockList_MS2!A31="","",HYPERLINK("https://kabutan.jp/stock/?code="&amp;StockList_MS2!A31,"株探"))</f>
        <v>株探</v>
      </c>
      <c r="C15" s="10">
        <f>IF(StockList_MS2!A31="","",StockList_MS2!A31)</f>
        <v>8001</v>
      </c>
      <c r="D15" s="12" t="str">
        <f>IF(StockList_MS2!A31="","",StockList_MS2!B31)</f>
        <v>伊藤忠</v>
      </c>
      <c r="E15" s="13">
        <f>_xll.RssMarket("8001","現在値")</f>
        <v>2108</v>
      </c>
      <c r="F15" s="13">
        <f>_xll.RssMarket("8001","高値")</f>
        <v>2129.5</v>
      </c>
      <c r="G15" s="13">
        <f>_xll.RssMarket("8001","安値")</f>
        <v>2095.5</v>
      </c>
      <c r="H15" s="13" t="str">
        <f>_xll.RssMarket("8001","終値")</f>
        <v/>
      </c>
      <c r="I15" s="20">
        <f>_xll.RssMarket("8001","出来高")</f>
        <v>14923200</v>
      </c>
      <c r="J15" s="13">
        <v>2132</v>
      </c>
      <c r="K15" s="13">
        <v>2096</v>
      </c>
      <c r="L15" s="13">
        <f>_xll.RssMarket("8001","前日終値")</f>
        <v>2116.5</v>
      </c>
      <c r="M15" s="5" t="str">
        <f t="shared" si="1"/>
        <v>SELL-DAY</v>
      </c>
      <c r="N15" s="9">
        <f>IF(OR(E15="",F15="",G15=""),"",IF(AD15&gt;0,AD15,(F15-G15)/SQRT(操作パネル_MS2!$H$12)*操作パネル_MS2!$H$10))</f>
        <v>3.4939316120353578</v>
      </c>
      <c r="O15" s="5" t="str">
        <f>IF(OR(E15="",AC15=""),"",IF(AC15&gt;=操作パネル_MS2!$H$3,"VOL-OK","VOL-NG"))</f>
        <v>VOL-OK</v>
      </c>
      <c r="P15" s="5" t="str">
        <f t="shared" si="2"/>
        <v>OFF</v>
      </c>
      <c r="Q15" s="5" t="str">
        <f t="shared" si="3"/>
        <v>OFF</v>
      </c>
      <c r="R15" s="5" t="str">
        <f t="shared" si="4"/>
        <v/>
      </c>
      <c r="S15" s="9" t="str">
        <f t="shared" si="5"/>
        <v/>
      </c>
      <c r="T15" s="9" t="str">
        <f>IF(R15="","",IF(R15="BUY",E15-N15*操作パネル_MS2!$H$5,E15+N15*操作パネル_MS2!$H$5))</f>
        <v/>
      </c>
      <c r="U15" s="9" t="str">
        <f>IF(R15="","",IF(R15="BUY",E15+N15*操作パネル_MS2!$H$6,E15-N15*操作パネル_MS2!$H$6))</f>
        <v/>
      </c>
      <c r="V15" s="9" t="str">
        <f>IF(R15="","",IF(R15="BUY",E15+N15*操作パネル_MS2!$H$7,E15-N15*操作パネル_MS2!$H$7))</f>
        <v/>
      </c>
      <c r="W15" s="9" t="str">
        <f>IF(R15="","",IF(R15="BUY",E15+N15*操作パネル_MS2!$H$8,E15-N15*操作パネル_MS2!$H$8))</f>
        <v/>
      </c>
      <c r="X15" s="5" t="str">
        <f t="shared" si="6"/>
        <v>1ST</v>
      </c>
      <c r="Y15" s="5" t="str">
        <f t="shared" ca="1" si="7"/>
        <v>その他</v>
      </c>
      <c r="Z15" s="5" t="str">
        <f>IF(OR(E15="",N15&lt;=0),"",IF(N15&gt;E15*操作パネル_MS2!$H$4,"VOL-HIGH","VOL-NORMAL"))</f>
        <v>VOL-NORMAL</v>
      </c>
      <c r="AA15" s="5" t="str">
        <f t="shared" si="8"/>
        <v>OK</v>
      </c>
      <c r="AB15" s="5" t="str">
        <f t="shared" si="9"/>
        <v>DOWN</v>
      </c>
      <c r="AC15" s="30">
        <f>IF(C15="","",_xll.RssMarket(C15&amp;"","売買代金"))</f>
        <v>31476278</v>
      </c>
      <c r="AD15" s="31">
        <f>IFERROR(INDEX(ATRHIST_MS2!$H:$H,MATCH(C15,ATRHIST_MS2!$A:$A,0)),0)</f>
        <v>3.4939316120353578</v>
      </c>
    </row>
    <row r="16" spans="1:30" ht="25.95" customHeight="1">
      <c r="A16" s="5">
        <f t="shared" si="0"/>
        <v>14</v>
      </c>
      <c r="B16" s="6" t="str">
        <f>IF(StockList_MS2!A32="","",HYPERLINK("https://kabutan.jp/stock/?code="&amp;StockList_MS2!A32,"株探"))</f>
        <v>株探</v>
      </c>
      <c r="C16" s="5">
        <f>IF(StockList_MS2!A32="","",StockList_MS2!A32)</f>
        <v>6857</v>
      </c>
      <c r="D16" s="7" t="str">
        <f>IF(StockList_MS2!A32="","",StockList_MS2!B32)</f>
        <v>アドバンテスト</v>
      </c>
      <c r="E16" s="8">
        <f>_xll.RssMarket("6857","現在値")</f>
        <v>33690</v>
      </c>
      <c r="F16" s="8">
        <f>_xll.RssMarket("6857","高値")</f>
        <v>33880</v>
      </c>
      <c r="G16" s="8">
        <f>_xll.RssMarket("6857","安値")</f>
        <v>32280</v>
      </c>
      <c r="H16" s="8" t="str">
        <f>_xll.RssMarket("6857","終値")</f>
        <v/>
      </c>
      <c r="I16" s="19">
        <f>_xll.RssMarket("6857","出来高")</f>
        <v>9357100</v>
      </c>
      <c r="J16" s="8">
        <v>35600</v>
      </c>
      <c r="K16" s="8">
        <v>34230</v>
      </c>
      <c r="L16" s="8">
        <f>_xll.RssMarket("6857","前日終値")</f>
        <v>35270</v>
      </c>
      <c r="M16" s="5" t="str">
        <f t="shared" si="1"/>
        <v>SELL-DAY</v>
      </c>
      <c r="N16" s="9">
        <f>IF(OR(E16="",F16="",G16=""),"",IF(AD16&gt;0,AD16,(F16-G16)/SQRT(操作パネル_MS2!$H$12)*操作パネル_MS2!$H$10))</f>
        <v>85.638781090184253</v>
      </c>
      <c r="O16" s="5" t="str">
        <f>IF(OR(E16="",AC16=""),"",IF(AC16&gt;=操作パネル_MS2!$H$3,"VOL-OK","VOL-NG"))</f>
        <v>VOL-OK</v>
      </c>
      <c r="P16" s="5" t="str">
        <f t="shared" si="2"/>
        <v>OFF</v>
      </c>
      <c r="Q16" s="5" t="str">
        <f t="shared" si="3"/>
        <v>ON</v>
      </c>
      <c r="R16" s="5" t="str">
        <f t="shared" si="4"/>
        <v>SELL</v>
      </c>
      <c r="S16" s="9">
        <f t="shared" si="5"/>
        <v>33690</v>
      </c>
      <c r="T16" s="9">
        <f>IF(R16="","",IF(R16="BUY",E16-N16*操作パネル_MS2!$H$5,E16+N16*操作パネル_MS2!$H$5))</f>
        <v>33818.458171635277</v>
      </c>
      <c r="U16" s="9">
        <f>IF(R16="","",IF(R16="BUY",E16+N16*操作パネル_MS2!$H$6,E16-N16*操作パネル_MS2!$H$6))</f>
        <v>33561.541828364723</v>
      </c>
      <c r="V16" s="9">
        <f>IF(R16="","",IF(R16="BUY",E16+N16*操作パネル_MS2!$H$7,E16-N16*操作パネル_MS2!$H$7))</f>
        <v>33518.722437819633</v>
      </c>
      <c r="W16" s="9">
        <f>IF(R16="","",IF(R16="BUY",E16+N16*操作パネル_MS2!$H$8,E16-N16*操作パネル_MS2!$H$8))</f>
        <v>33433.083656729446</v>
      </c>
      <c r="X16" s="5" t="str">
        <f t="shared" si="6"/>
        <v>1ST</v>
      </c>
      <c r="Y16" s="5" t="str">
        <f t="shared" ca="1" si="7"/>
        <v>その他</v>
      </c>
      <c r="Z16" s="5" t="str">
        <f>IF(OR(E16="",N16&lt;=0),"",IF(N16&gt;E16*操作パネル_MS2!$H$4,"VOL-HIGH","VOL-NORMAL"))</f>
        <v>VOL-NORMAL</v>
      </c>
      <c r="AA16" s="5" t="str">
        <f t="shared" si="8"/>
        <v>OK</v>
      </c>
      <c r="AB16" s="5" t="str">
        <f t="shared" si="9"/>
        <v>DOWN</v>
      </c>
      <c r="AC16" s="30">
        <f>IF(C16="","",_xll.RssMarket(C16&amp;"","売買代金"))</f>
        <v>310408322</v>
      </c>
      <c r="AD16" s="31">
        <f>IFERROR(INDEX(ATRHIST_MS2!$H:$H,MATCH(C16,ATRHIST_MS2!$A:$A,0)),0)</f>
        <v>85.638781090184253</v>
      </c>
    </row>
    <row r="17" spans="1:30" ht="25.95" customHeight="1">
      <c r="A17" s="10">
        <f t="shared" si="0"/>
        <v>15</v>
      </c>
      <c r="B17" s="11" t="str">
        <f>IF(StockList_MS2!A33="","",HYPERLINK("https://kabutan.jp/stock/?code="&amp;StockList_MS2!A33,"株探"))</f>
        <v>株探</v>
      </c>
      <c r="C17" s="10">
        <f>IF(StockList_MS2!A33="","",StockList_MS2!A33)</f>
        <v>7974</v>
      </c>
      <c r="D17" s="12" t="str">
        <f>IF(StockList_MS2!A33="","",StockList_MS2!B33)</f>
        <v>任天堂</v>
      </c>
      <c r="E17" s="13">
        <f>_xll.RssMarket("7974","現在値")</f>
        <v>9044</v>
      </c>
      <c r="F17" s="13">
        <f>_xll.RssMarket("7974","高値")</f>
        <v>9044</v>
      </c>
      <c r="G17" s="13">
        <f>_xll.RssMarket("7974","安値")</f>
        <v>8877</v>
      </c>
      <c r="H17" s="13" t="str">
        <f>_xll.RssMarket("7974","終値")</f>
        <v/>
      </c>
      <c r="I17" s="20">
        <f>_xll.RssMarket("7974","出来高")</f>
        <v>8018900</v>
      </c>
      <c r="J17" s="13">
        <v>9095</v>
      </c>
      <c r="K17" s="13">
        <v>8767</v>
      </c>
      <c r="L17" s="13">
        <f>_xll.RssMarket("7974","前日終値")</f>
        <v>8993</v>
      </c>
      <c r="M17" s="5" t="str">
        <f t="shared" si="1"/>
        <v>BUY-DAY</v>
      </c>
      <c r="N17" s="9">
        <f>IF(OR(E17="",F17="",G17=""),"",IF(AD17&gt;0,AD17,(F17-G17)/SQRT(操作パネル_MS2!$H$12)*操作パネル_MS2!$H$10))</f>
        <v>16.193419390355547</v>
      </c>
      <c r="O17" s="5" t="str">
        <f>IF(OR(E17="",AC17=""),"",IF(AC17&gt;=操作パネル_MS2!$H$3,"VOL-OK","VOL-NG"))</f>
        <v>VOL-OK</v>
      </c>
      <c r="P17" s="5" t="str">
        <f t="shared" si="2"/>
        <v>OFF</v>
      </c>
      <c r="Q17" s="5" t="str">
        <f t="shared" si="3"/>
        <v>OFF</v>
      </c>
      <c r="R17" s="5" t="str">
        <f t="shared" si="4"/>
        <v/>
      </c>
      <c r="S17" s="9" t="str">
        <f t="shared" si="5"/>
        <v/>
      </c>
      <c r="T17" s="9" t="str">
        <f>IF(R17="","",IF(R17="BUY",E17-N17*操作パネル_MS2!$H$5,E17+N17*操作パネル_MS2!$H$5))</f>
        <v/>
      </c>
      <c r="U17" s="9" t="str">
        <f>IF(R17="","",IF(R17="BUY",E17+N17*操作パネル_MS2!$H$6,E17-N17*操作パネル_MS2!$H$6))</f>
        <v/>
      </c>
      <c r="V17" s="9" t="str">
        <f>IF(R17="","",IF(R17="BUY",E17+N17*操作パネル_MS2!$H$7,E17-N17*操作パネル_MS2!$H$7))</f>
        <v/>
      </c>
      <c r="W17" s="9" t="str">
        <f>IF(R17="","",IF(R17="BUY",E17+N17*操作パネル_MS2!$H$8,E17-N17*操作パネル_MS2!$H$8))</f>
        <v/>
      </c>
      <c r="X17" s="5" t="str">
        <f t="shared" si="6"/>
        <v>1ST</v>
      </c>
      <c r="Y17" s="5" t="str">
        <f t="shared" ca="1" si="7"/>
        <v>その他</v>
      </c>
      <c r="Z17" s="5" t="str">
        <f>IF(OR(E17="",N17&lt;=0),"",IF(N17&gt;E17*操作パネル_MS2!$H$4,"VOL-HIGH","VOL-NORMAL"))</f>
        <v>VOL-NORMAL</v>
      </c>
      <c r="AA17" s="5" t="str">
        <f t="shared" si="8"/>
        <v>OK</v>
      </c>
      <c r="AB17" s="5" t="str">
        <f t="shared" si="9"/>
        <v>FLAT</v>
      </c>
      <c r="AC17" s="30">
        <f>IF(C17="","",_xll.RssMarket(C17&amp;"","売買代金"))</f>
        <v>72076461</v>
      </c>
      <c r="AD17" s="31">
        <f>IFERROR(INDEX(ATRHIST_MS2!$H:$H,MATCH(C17,ATRHIST_MS2!$A:$A,0)),0)</f>
        <v>16.193419390355547</v>
      </c>
    </row>
    <row r="18" spans="1:30" ht="25.95" customHeight="1">
      <c r="A18" s="5">
        <f t="shared" si="0"/>
        <v>16</v>
      </c>
      <c r="B18" s="6" t="str">
        <f>IF(StockList_MS2!A34="","",HYPERLINK("https://kabutan.jp/stock/?code="&amp;StockList_MS2!A34,"株探"))</f>
        <v>株探</v>
      </c>
      <c r="C18" s="5">
        <f>IF(StockList_MS2!A34="","",StockList_MS2!A34)</f>
        <v>8309</v>
      </c>
      <c r="D18" s="7" t="str">
        <f>IF(StockList_MS2!A34="","",StockList_MS2!B34)</f>
        <v>三井住友トラストグルー</v>
      </c>
      <c r="E18" s="8">
        <f>_xll.RssMarket("8309","現在値")</f>
        <v>1777</v>
      </c>
      <c r="F18" s="8">
        <f>_xll.RssMarket("8309","高値")</f>
        <v>1781.5</v>
      </c>
      <c r="G18" s="8">
        <f>_xll.RssMarket("8309","安値")</f>
        <v>1750</v>
      </c>
      <c r="H18" s="8" t="str">
        <f>_xll.RssMarket("8309","終値")</f>
        <v/>
      </c>
      <c r="I18" s="19">
        <f>_xll.RssMarket("8309","出来高")</f>
        <v>12346700</v>
      </c>
      <c r="J18" s="8">
        <v>1798</v>
      </c>
      <c r="K18" s="8">
        <v>1747</v>
      </c>
      <c r="L18" s="8">
        <f>_xll.RssMarket("8309","前日終値")</f>
        <v>1789.5</v>
      </c>
      <c r="M18" s="5" t="str">
        <f t="shared" si="1"/>
        <v>SELL-DAY</v>
      </c>
      <c r="N18" s="9">
        <f>IF(OR(E18="",F18="",G18=""),"",IF(AD18&gt;0,AD18,(F18-G18)/SQRT(操作パネル_MS2!$H$12)*操作パネル_MS2!$H$10))</f>
        <v>2.5120179071754314</v>
      </c>
      <c r="O18" s="5" t="str">
        <f>IF(OR(E18="",AC18=""),"",IF(AC18&gt;=操作パネル_MS2!$H$3,"VOL-OK","VOL-NG"))</f>
        <v>VOL-OK</v>
      </c>
      <c r="P18" s="5" t="str">
        <f t="shared" si="2"/>
        <v>OFF</v>
      </c>
      <c r="Q18" s="5" t="str">
        <f t="shared" si="3"/>
        <v>OFF</v>
      </c>
      <c r="R18" s="5" t="str">
        <f t="shared" si="4"/>
        <v/>
      </c>
      <c r="S18" s="9" t="str">
        <f t="shared" si="5"/>
        <v/>
      </c>
      <c r="T18" s="9" t="str">
        <f>IF(R18="","",IF(R18="BUY",E18-N18*操作パネル_MS2!$H$5,E18+N18*操作パネル_MS2!$H$5))</f>
        <v/>
      </c>
      <c r="U18" s="9" t="str">
        <f>IF(R18="","",IF(R18="BUY",E18+N18*操作パネル_MS2!$H$6,E18-N18*操作パネル_MS2!$H$6))</f>
        <v/>
      </c>
      <c r="V18" s="9" t="str">
        <f>IF(R18="","",IF(R18="BUY",E18+N18*操作パネル_MS2!$H$7,E18-N18*操作パネル_MS2!$H$7))</f>
        <v/>
      </c>
      <c r="W18" s="9" t="str">
        <f>IF(R18="","",IF(R18="BUY",E18+N18*操作パネル_MS2!$H$8,E18-N18*操作パネル_MS2!$H$8))</f>
        <v/>
      </c>
      <c r="X18" s="5" t="str">
        <f t="shared" si="6"/>
        <v>1ST</v>
      </c>
      <c r="Y18" s="5" t="str">
        <f t="shared" ca="1" si="7"/>
        <v>その他</v>
      </c>
      <c r="Z18" s="5" t="str">
        <f>IF(OR(E18="",N18&lt;=0),"",IF(N18&gt;E18*操作パネル_MS2!$H$4,"VOL-HIGH","VOL-NORMAL"))</f>
        <v>VOL-NORMAL</v>
      </c>
      <c r="AA18" s="5" t="str">
        <f t="shared" si="8"/>
        <v>OK</v>
      </c>
      <c r="AB18" s="5" t="str">
        <f t="shared" si="9"/>
        <v>FLAT</v>
      </c>
      <c r="AC18" s="30">
        <f>IF(C18="","",_xll.RssMarket(C18&amp;"","売買代金"))</f>
        <v>21911818</v>
      </c>
      <c r="AD18" s="31">
        <f>IFERROR(INDEX(ATRHIST_MS2!$H:$H,MATCH(C18,ATRHIST_MS2!$A:$A,0)),0)</f>
        <v>2.5120179071754314</v>
      </c>
    </row>
    <row r="19" spans="1:30" ht="25.95" customHeight="1">
      <c r="A19" s="10">
        <f t="shared" si="0"/>
        <v>17</v>
      </c>
      <c r="B19" s="11" t="str">
        <f>IF(StockList_MS2!A37="","",HYPERLINK("https://kabutan.jp/stock/?code="&amp;StockList_MS2!A37,"株探"))</f>
        <v>株探</v>
      </c>
      <c r="C19" s="10">
        <f>IF(StockList_MS2!A37="","",StockList_MS2!A37)</f>
        <v>8316</v>
      </c>
      <c r="D19" s="12" t="str">
        <f>IF(StockList_MS2!A37="","",StockList_MS2!B37)</f>
        <v>三井住友フィナンシャルＧ</v>
      </c>
      <c r="E19" s="13">
        <f>_xll.RssMarket("8316","現在値")</f>
        <v>6975</v>
      </c>
      <c r="F19" s="13">
        <f>_xll.RssMarket("8316","高値")</f>
        <v>7004</v>
      </c>
      <c r="G19" s="13">
        <f>_xll.RssMarket("8316","安値")</f>
        <v>6776</v>
      </c>
      <c r="H19" s="13" t="str">
        <f>_xll.RssMarket("8316","終値")</f>
        <v/>
      </c>
      <c r="I19" s="20">
        <f>_xll.RssMarket("8316","出来高")</f>
        <v>12850100</v>
      </c>
      <c r="J19" s="13">
        <v>6937</v>
      </c>
      <c r="K19" s="13">
        <v>6770</v>
      </c>
      <c r="L19" s="13">
        <f>_xll.RssMarket("8316","前日終値")</f>
        <v>6902</v>
      </c>
      <c r="M19" s="5" t="str">
        <f t="shared" si="1"/>
        <v>BUY-DAY</v>
      </c>
      <c r="N19" s="9">
        <f>IF(OR(E19="",F19="",G19=""),"",IF(AD19&gt;0,AD19,(F19-G19)/SQRT(操作パネル_MS2!$H$12)*操作パネル_MS2!$H$10))</f>
        <v>8.0756303715043742</v>
      </c>
      <c r="O19" s="5" t="str">
        <f>IF(OR(E19="",AC19=""),"",IF(AC19&gt;=操作パネル_MS2!$H$3,"VOL-OK","VOL-NG"))</f>
        <v>VOL-OK</v>
      </c>
      <c r="P19" s="5" t="str">
        <f t="shared" si="2"/>
        <v>ON</v>
      </c>
      <c r="Q19" s="5" t="str">
        <f t="shared" si="3"/>
        <v>OFF</v>
      </c>
      <c r="R19" s="5" t="str">
        <f t="shared" si="4"/>
        <v>BUY</v>
      </c>
      <c r="S19" s="9">
        <f t="shared" si="5"/>
        <v>6975</v>
      </c>
      <c r="T19" s="9">
        <f>IF(R19="","",IF(R19="BUY",E19-N19*操作パネル_MS2!$H$5,E19+N19*操作パネル_MS2!$H$5))</f>
        <v>6962.8865544427435</v>
      </c>
      <c r="U19" s="9">
        <f>IF(R19="","",IF(R19="BUY",E19+N19*操作パネル_MS2!$H$6,E19-N19*操作パネル_MS2!$H$6))</f>
        <v>6987.1134455572565</v>
      </c>
      <c r="V19" s="9">
        <f>IF(R19="","",IF(R19="BUY",E19+N19*操作パネル_MS2!$H$7,E19-N19*操作パネル_MS2!$H$7))</f>
        <v>6991.1512607430086</v>
      </c>
      <c r="W19" s="9">
        <f>IF(R19="","",IF(R19="BUY",E19+N19*操作パネル_MS2!$H$8,E19-N19*操作パネル_MS2!$H$8))</f>
        <v>6999.2268911145129</v>
      </c>
      <c r="X19" s="5" t="str">
        <f t="shared" si="6"/>
        <v>1ST</v>
      </c>
      <c r="Y19" s="5" t="str">
        <f t="shared" ca="1" si="7"/>
        <v>その他</v>
      </c>
      <c r="Z19" s="5" t="str">
        <f>IF(OR(E19="",N19&lt;=0),"",IF(N19&gt;E19*操作パネル_MS2!$H$4,"VOL-HIGH","VOL-NORMAL"))</f>
        <v>VOL-NORMAL</v>
      </c>
      <c r="AA19" s="5" t="str">
        <f t="shared" si="8"/>
        <v>OK</v>
      </c>
      <c r="AB19" s="5" t="str">
        <f t="shared" si="9"/>
        <v>UP</v>
      </c>
      <c r="AC19" s="30">
        <f>IF(C19="","",_xll.RssMarket(C19&amp;"","売買代金"))</f>
        <v>89152740</v>
      </c>
      <c r="AD19" s="31">
        <f>IFERROR(INDEX(ATRHIST_MS2!$H:$H,MATCH(C19,ATRHIST_MS2!$A:$A,0)),0)</f>
        <v>8.0756303715043742</v>
      </c>
    </row>
    <row r="20" spans="1:30" ht="25.95" customHeight="1">
      <c r="A20" s="10">
        <f t="shared" si="0"/>
        <v>18</v>
      </c>
      <c r="B20" s="11" t="str">
        <f>IF(StockList_MS2!A39="","",HYPERLINK("https://kabutan.jp/stock/?code="&amp;StockList_MS2!A39,"株探"))</f>
        <v>株探</v>
      </c>
      <c r="C20" s="10">
        <f>IF(StockList_MS2!A39="","",StockList_MS2!A39)</f>
        <v>7013</v>
      </c>
      <c r="D20" s="12" t="str">
        <f>IF(StockList_MS2!A39="","",StockList_MS2!B39)</f>
        <v>ＩＨＩ</v>
      </c>
      <c r="E20" s="13">
        <f>_xll.RssMarket("7013","現在値")</f>
        <v>2682</v>
      </c>
      <c r="F20" s="13">
        <f>_xll.RssMarket("7013","高値")</f>
        <v>2734</v>
      </c>
      <c r="G20" s="13">
        <f>_xll.RssMarket("7013","安値")</f>
        <v>2664.5</v>
      </c>
      <c r="H20" s="13" t="str">
        <f>_xll.RssMarket("7013","終値")</f>
        <v/>
      </c>
      <c r="I20" s="20">
        <f>_xll.RssMarket("7013","出来高")</f>
        <v>10594700</v>
      </c>
      <c r="J20" s="13">
        <v>2806</v>
      </c>
      <c r="K20" s="13">
        <v>2704.5</v>
      </c>
      <c r="L20" s="13">
        <f>_xll.RssMarket("7013","前日終値")</f>
        <v>2766</v>
      </c>
      <c r="M20" s="5" t="str">
        <f t="shared" si="1"/>
        <v>SELL-DAY</v>
      </c>
      <c r="N20" s="9">
        <f>IF(OR(E20="",F20="",G20=""),"",IF(AD20&gt;0,AD20,(F20-G20)/SQRT(操作パネル_MS2!$H$12)*操作パネル_MS2!$H$10))</f>
        <v>3.753622610356758</v>
      </c>
      <c r="O20" s="5" t="str">
        <f>IF(OR(E20="",AC20=""),"",IF(AC20&gt;=操作パネル_MS2!$H$3,"VOL-OK","VOL-NG"))</f>
        <v>VOL-OK</v>
      </c>
      <c r="P20" s="5" t="str">
        <f t="shared" si="2"/>
        <v>OFF</v>
      </c>
      <c r="Q20" s="5" t="str">
        <f t="shared" si="3"/>
        <v>ON</v>
      </c>
      <c r="R20" s="5" t="str">
        <f t="shared" si="4"/>
        <v>SELL</v>
      </c>
      <c r="S20" s="9">
        <f t="shared" si="5"/>
        <v>2682</v>
      </c>
      <c r="T20" s="9">
        <f>IF(R20="","",IF(R20="BUY",E20-N20*操作パネル_MS2!$H$5,E20+N20*操作パネル_MS2!$H$5))</f>
        <v>2687.6304339155349</v>
      </c>
      <c r="U20" s="9">
        <f>IF(R20="","",IF(R20="BUY",E20+N20*操作パネル_MS2!$H$6,E20-N20*操作パネル_MS2!$H$6))</f>
        <v>2676.3695660844651</v>
      </c>
      <c r="V20" s="9">
        <f>IF(R20="","",IF(R20="BUY",E20+N20*操作パネル_MS2!$H$7,E20-N20*操作パネル_MS2!$H$7))</f>
        <v>2674.4927547792863</v>
      </c>
      <c r="W20" s="9">
        <f>IF(R20="","",IF(R20="BUY",E20+N20*操作パネル_MS2!$H$8,E20-N20*操作パネル_MS2!$H$8))</f>
        <v>2670.7391321689297</v>
      </c>
      <c r="X20" s="5" t="str">
        <f t="shared" si="6"/>
        <v>1ST</v>
      </c>
      <c r="Y20" s="5" t="str">
        <f t="shared" ca="1" si="7"/>
        <v>その他</v>
      </c>
      <c r="Z20" s="5" t="str">
        <f>IF(OR(E20="",N20&lt;=0),"",IF(N20&gt;E20*操作パネル_MS2!$H$4,"VOL-HIGH","VOL-NORMAL"))</f>
        <v>VOL-NORMAL</v>
      </c>
      <c r="AA20" s="5" t="str">
        <f t="shared" si="8"/>
        <v>OK</v>
      </c>
      <c r="AB20" s="5" t="str">
        <f t="shared" si="9"/>
        <v>DOWN</v>
      </c>
      <c r="AC20" s="30">
        <f>IF(C20="","",_xll.RssMarket(C20&amp;"","売買代金"))</f>
        <v>28502199</v>
      </c>
      <c r="AD20" s="31">
        <f>IFERROR(INDEX(ATRHIST_MS2!$H:$H,MATCH(C20,ATRHIST_MS2!$A:$A,0)),0)</f>
        <v>3.753622610356758</v>
      </c>
    </row>
    <row r="21" spans="1:30" ht="25.95" customHeight="1">
      <c r="A21" s="5">
        <f t="shared" si="0"/>
        <v>19</v>
      </c>
      <c r="B21" s="6" t="str">
        <f>IF(StockList_MS2!A40="","",HYPERLINK("https://kabutan.jp/stock/?code="&amp;StockList_MS2!A40,"株探"))</f>
        <v>株探</v>
      </c>
      <c r="C21" s="5">
        <f>IF(StockList_MS2!A40="","",StockList_MS2!A40)</f>
        <v>4005</v>
      </c>
      <c r="D21" s="7" t="str">
        <f>IF(StockList_MS2!A40="","",StockList_MS2!B40)</f>
        <v>住友化学</v>
      </c>
      <c r="E21" s="8">
        <f>_xll.RssMarket("4005","現在値")</f>
        <v>572.20000000000005</v>
      </c>
      <c r="F21" s="8">
        <f>_xll.RssMarket("4005","高値")</f>
        <v>572.70000000000005</v>
      </c>
      <c r="G21" s="8">
        <f>_xll.RssMarket("4005","安値")</f>
        <v>549.6</v>
      </c>
      <c r="H21" s="8" t="str">
        <f>_xll.RssMarket("4005","終値")</f>
        <v/>
      </c>
      <c r="I21" s="19">
        <f>_xll.RssMarket("4005","出来高")</f>
        <v>13553000</v>
      </c>
      <c r="J21" s="8">
        <v>563.70000000000005</v>
      </c>
      <c r="K21" s="8">
        <v>553.9</v>
      </c>
      <c r="L21" s="8">
        <f>_xll.RssMarket("4005","前日終値")</f>
        <v>555.9</v>
      </c>
      <c r="M21" s="5" t="str">
        <f t="shared" si="1"/>
        <v>BUY-DAY</v>
      </c>
      <c r="N21" s="9">
        <f>IF(OR(E21="",F21="",G21=""),"",IF(AD21&gt;0,AD21,(F21-G21)/SQRT(操作パネル_MS2!$H$12)*操作パネル_MS2!$H$10))</f>
        <v>0.76477247031615114</v>
      </c>
      <c r="O21" s="5" t="str">
        <f>IF(OR(E21="",AC21=""),"",IF(AC21&gt;=操作パネル_MS2!$H$3,"VOL-OK","VOL-NG"))</f>
        <v>VOL-OK</v>
      </c>
      <c r="P21" s="5" t="str">
        <f t="shared" si="2"/>
        <v>ON</v>
      </c>
      <c r="Q21" s="5" t="str">
        <f t="shared" si="3"/>
        <v>OFF</v>
      </c>
      <c r="R21" s="5" t="str">
        <f t="shared" si="4"/>
        <v>BUY</v>
      </c>
      <c r="S21" s="9">
        <f t="shared" si="5"/>
        <v>572.20000000000005</v>
      </c>
      <c r="T21" s="9">
        <f>IF(R21="","",IF(R21="BUY",E21-N21*操作パネル_MS2!$H$5,E21+N21*操作パネル_MS2!$H$5))</f>
        <v>571.05284129452582</v>
      </c>
      <c r="U21" s="9">
        <f>IF(R21="","",IF(R21="BUY",E21+N21*操作パネル_MS2!$H$6,E21-N21*操作パネル_MS2!$H$6))</f>
        <v>573.34715870547427</v>
      </c>
      <c r="V21" s="9">
        <f>IF(R21="","",IF(R21="BUY",E21+N21*操作パネル_MS2!$H$7,E21-N21*操作パネル_MS2!$H$7))</f>
        <v>573.72954494063231</v>
      </c>
      <c r="W21" s="9">
        <f>IF(R21="","",IF(R21="BUY",E21+N21*操作パネル_MS2!$H$8,E21-N21*操作パネル_MS2!$H$8))</f>
        <v>574.4943174109485</v>
      </c>
      <c r="X21" s="5" t="str">
        <f t="shared" si="6"/>
        <v>1ST</v>
      </c>
      <c r="Y21" s="5" t="str">
        <f t="shared" ca="1" si="7"/>
        <v>その他</v>
      </c>
      <c r="Z21" s="5" t="str">
        <f>IF(OR(E21="",N21&lt;=0),"",IF(N21&gt;E21*操作パネル_MS2!$H$4,"VOL-HIGH","VOL-NORMAL"))</f>
        <v>VOL-NORMAL</v>
      </c>
      <c r="AA21" s="5" t="str">
        <f t="shared" si="8"/>
        <v>OK</v>
      </c>
      <c r="AB21" s="5" t="str">
        <f t="shared" si="9"/>
        <v>FLAT</v>
      </c>
      <c r="AC21" s="30">
        <f>IF(C21="","",_xll.RssMarket(C21&amp;"","売買代金"))</f>
        <v>7666888</v>
      </c>
      <c r="AD21" s="31">
        <f>IFERROR(INDEX(ATRHIST_MS2!$H:$H,MATCH(C21,ATRHIST_MS2!$A:$A,0)),0)</f>
        <v>0.76477247031615114</v>
      </c>
    </row>
    <row r="22" spans="1:30" ht="25.95" customHeight="1">
      <c r="A22" s="10">
        <f t="shared" si="0"/>
        <v>20</v>
      </c>
      <c r="B22" s="11" t="str">
        <f>IF(StockList_MS2!A41="","",HYPERLINK("https://kabutan.jp/stock/?code="&amp;StockList_MS2!A41,"株探"))</f>
        <v>株探</v>
      </c>
      <c r="C22" s="10">
        <f>IF(StockList_MS2!A41="","",StockList_MS2!A41)</f>
        <v>4188</v>
      </c>
      <c r="D22" s="12" t="str">
        <f>IF(StockList_MS2!A41="","",StockList_MS2!B41)</f>
        <v>三菱ケミカルグループ</v>
      </c>
      <c r="E22" s="13">
        <f>_xll.RssMarket("4188","現在値")</f>
        <v>1206</v>
      </c>
      <c r="F22" s="13">
        <f>_xll.RssMarket("4188","高値")</f>
        <v>1215</v>
      </c>
      <c r="G22" s="13">
        <f>_xll.RssMarket("4188","安値")</f>
        <v>1167.5</v>
      </c>
      <c r="H22" s="13" t="str">
        <f>_xll.RssMarket("4188","終値")</f>
        <v/>
      </c>
      <c r="I22" s="20">
        <f>_xll.RssMarket("4188","出来高")</f>
        <v>8167300</v>
      </c>
      <c r="J22" s="13">
        <v>1188.5</v>
      </c>
      <c r="K22" s="13">
        <v>1169.5</v>
      </c>
      <c r="L22" s="13">
        <f>_xll.RssMarket("4188","前日終値")</f>
        <v>1183.5</v>
      </c>
      <c r="M22" s="5" t="str">
        <f t="shared" si="1"/>
        <v>BUY-DAY</v>
      </c>
      <c r="N22" s="9">
        <f>IF(OR(E22="",F22="",G22=""),"",IF(AD22&gt;0,AD22,(F22-G22)/SQRT(操作パネル_MS2!$H$12)*操作パネル_MS2!$H$10))</f>
        <v>1.5962630870204231</v>
      </c>
      <c r="O22" s="5" t="str">
        <f>IF(OR(E22="",AC22=""),"",IF(AC22&gt;=操作パネル_MS2!$H$3,"VOL-OK","VOL-NG"))</f>
        <v>VOL-OK</v>
      </c>
      <c r="P22" s="5" t="str">
        <f t="shared" si="2"/>
        <v>ON</v>
      </c>
      <c r="Q22" s="5" t="str">
        <f t="shared" si="3"/>
        <v>OFF</v>
      </c>
      <c r="R22" s="5" t="str">
        <f t="shared" si="4"/>
        <v>BUY</v>
      </c>
      <c r="S22" s="9">
        <f t="shared" si="5"/>
        <v>1206</v>
      </c>
      <c r="T22" s="9">
        <f>IF(R22="","",IF(R22="BUY",E22-N22*操作パネル_MS2!$H$5,E22+N22*操作パネル_MS2!$H$5))</f>
        <v>1203.6056053694695</v>
      </c>
      <c r="U22" s="9">
        <f>IF(R22="","",IF(R22="BUY",E22+N22*操作パネル_MS2!$H$6,E22-N22*操作パネル_MS2!$H$6))</f>
        <v>1208.3943946305305</v>
      </c>
      <c r="V22" s="9">
        <f>IF(R22="","",IF(R22="BUY",E22+N22*操作パネル_MS2!$H$7,E22-N22*操作パネル_MS2!$H$7))</f>
        <v>1209.1925261740409</v>
      </c>
      <c r="W22" s="9">
        <f>IF(R22="","",IF(R22="BUY",E22+N22*操作パネル_MS2!$H$8,E22-N22*操作パネル_MS2!$H$8))</f>
        <v>1210.7887892610613</v>
      </c>
      <c r="X22" s="5" t="str">
        <f t="shared" si="6"/>
        <v>1ST</v>
      </c>
      <c r="Y22" s="5" t="str">
        <f t="shared" ca="1" si="7"/>
        <v>その他</v>
      </c>
      <c r="Z22" s="5" t="str">
        <f>IF(OR(E22="",N22&lt;=0),"",IF(N22&gt;E22*操作パネル_MS2!$H$4,"VOL-HIGH","VOL-NORMAL"))</f>
        <v>VOL-NORMAL</v>
      </c>
      <c r="AA22" s="5" t="str">
        <f t="shared" si="8"/>
        <v>OK</v>
      </c>
      <c r="AB22" s="5" t="str">
        <f t="shared" si="9"/>
        <v>FLAT</v>
      </c>
      <c r="AC22" s="30">
        <f>IF(C22="","",_xll.RssMarket(C22&amp;"","売買代金"))</f>
        <v>9826112</v>
      </c>
      <c r="AD22" s="31">
        <f>IFERROR(INDEX(ATRHIST_MS2!$H:$H,MATCH(C22,ATRHIST_MS2!$A:$A,0)),0)</f>
        <v>1.5962630870204231</v>
      </c>
    </row>
    <row r="23" spans="1:30" ht="25.95" customHeight="1">
      <c r="A23" s="5">
        <f t="shared" si="0"/>
        <v>21</v>
      </c>
      <c r="B23" s="6" t="str">
        <f>IF(StockList_MS2!A42="","",HYPERLINK("https://kabutan.jp/stock/?code="&amp;StockList_MS2!A42,"株探"))</f>
        <v>株探</v>
      </c>
      <c r="C23" s="5">
        <f>IF(StockList_MS2!A42="","",StockList_MS2!A42)</f>
        <v>8035</v>
      </c>
      <c r="D23" s="7" t="str">
        <f>IF(StockList_MS2!A42="","",StockList_MS2!B42)</f>
        <v>東京エレクトロン</v>
      </c>
      <c r="E23" s="8">
        <f>_xll.RssMarket("8035","現在値")</f>
        <v>56440</v>
      </c>
      <c r="F23" s="8">
        <f>_xll.RssMarket("8035","高値")</f>
        <v>56440</v>
      </c>
      <c r="G23" s="8">
        <f>_xll.RssMarket("8035","安値")</f>
        <v>53360</v>
      </c>
      <c r="H23" s="8" t="str">
        <f>_xll.RssMarket("8035","終値")</f>
        <v/>
      </c>
      <c r="I23" s="19">
        <f>_xll.RssMarket("8035","出来高")</f>
        <v>2776400</v>
      </c>
      <c r="J23" s="8">
        <v>57520</v>
      </c>
      <c r="K23" s="8">
        <v>55900</v>
      </c>
      <c r="L23" s="8">
        <f>_xll.RssMarket("8035","前日終値")</f>
        <v>56230</v>
      </c>
      <c r="M23" s="5" t="str">
        <f t="shared" si="1"/>
        <v>BUY-DAY</v>
      </c>
      <c r="N23" s="9">
        <f>IF(OR(E23="",F23="",G23=""),"",IF(AD23&gt;0,AD23,(F23-G23)/SQRT(操作パネル_MS2!$H$12)*操作パネル_MS2!$H$10))</f>
        <v>102.68661256916997</v>
      </c>
      <c r="O23" s="5" t="str">
        <f>IF(OR(E23="",AC23=""),"",IF(AC23&gt;=操作パネル_MS2!$H$3,"VOL-OK","VOL-NG"))</f>
        <v>VOL-OK</v>
      </c>
      <c r="P23" s="5" t="str">
        <f t="shared" si="2"/>
        <v>OFF</v>
      </c>
      <c r="Q23" s="5" t="str">
        <f t="shared" si="3"/>
        <v>OFF</v>
      </c>
      <c r="R23" s="5" t="str">
        <f t="shared" si="4"/>
        <v/>
      </c>
      <c r="S23" s="9" t="str">
        <f t="shared" si="5"/>
        <v/>
      </c>
      <c r="T23" s="9" t="str">
        <f>IF(R23="","",IF(R23="BUY",E23-N23*操作パネル_MS2!$H$5,E23+N23*操作パネル_MS2!$H$5))</f>
        <v/>
      </c>
      <c r="U23" s="9" t="str">
        <f>IF(R23="","",IF(R23="BUY",E23+N23*操作パネル_MS2!$H$6,E23-N23*操作パネル_MS2!$H$6))</f>
        <v/>
      </c>
      <c r="V23" s="9" t="str">
        <f>IF(R23="","",IF(R23="BUY",E23+N23*操作パネル_MS2!$H$7,E23-N23*操作パネル_MS2!$H$7))</f>
        <v/>
      </c>
      <c r="W23" s="9" t="str">
        <f>IF(R23="","",IF(R23="BUY",E23+N23*操作パネル_MS2!$H$8,E23-N23*操作パネル_MS2!$H$8))</f>
        <v/>
      </c>
      <c r="X23" s="5" t="str">
        <f t="shared" si="6"/>
        <v>1ST</v>
      </c>
      <c r="Y23" s="5" t="str">
        <f t="shared" ca="1" si="7"/>
        <v>その他</v>
      </c>
      <c r="Z23" s="5" t="str">
        <f>IF(OR(E23="",N23&lt;=0),"",IF(N23&gt;E23*操作パネル_MS2!$H$4,"VOL-HIGH","VOL-NORMAL"))</f>
        <v>VOL-NORMAL</v>
      </c>
      <c r="AA23" s="5" t="str">
        <f t="shared" si="8"/>
        <v>OK</v>
      </c>
      <c r="AB23" s="5" t="str">
        <f t="shared" si="9"/>
        <v>DOWN</v>
      </c>
      <c r="AC23" s="30">
        <f>IF(C23="","",_xll.RssMarket(C23&amp;"","売買代金"))</f>
        <v>153549719</v>
      </c>
      <c r="AD23" s="31">
        <f>IFERROR(INDEX(ATRHIST_MS2!$H:$H,MATCH(C23,ATRHIST_MS2!$A:$A,0)),0)</f>
        <v>102.68661256916997</v>
      </c>
    </row>
    <row r="24" spans="1:30" ht="25.95" customHeight="1">
      <c r="A24" s="10">
        <f t="shared" si="0"/>
        <v>22</v>
      </c>
      <c r="B24" s="11" t="str">
        <f>IF(StockList_MS2!A45="","",HYPERLINK("https://kabutan.jp/stock/?code="&amp;StockList_MS2!A45,"株探"))</f>
        <v>株探</v>
      </c>
      <c r="C24" s="10">
        <f>IF(StockList_MS2!A45="","",StockList_MS2!A45)</f>
        <v>9433</v>
      </c>
      <c r="D24" s="12" t="str">
        <f>IF(StockList_MS2!A45="","",StockList_MS2!B45)</f>
        <v>ＫＤＤＩ</v>
      </c>
      <c r="E24" s="13">
        <f>_xll.RssMarket("9433","現在値")</f>
        <v>2959.5</v>
      </c>
      <c r="F24" s="13">
        <f>_xll.RssMarket("9433","高値")</f>
        <v>2965</v>
      </c>
      <c r="G24" s="13">
        <f>_xll.RssMarket("9433","安値")</f>
        <v>2913.5</v>
      </c>
      <c r="H24" s="13" t="str">
        <f>_xll.RssMarket("9433","終値")</f>
        <v/>
      </c>
      <c r="I24" s="20">
        <f>_xll.RssMarket("9433","出来高")</f>
        <v>10109300</v>
      </c>
      <c r="J24" s="13">
        <v>2922</v>
      </c>
      <c r="K24" s="13">
        <v>2867</v>
      </c>
      <c r="L24" s="13">
        <f>_xll.RssMarket("9433","前日終値")</f>
        <v>2922</v>
      </c>
      <c r="M24" s="5" t="str">
        <f t="shared" si="1"/>
        <v>BUY-DAY</v>
      </c>
      <c r="N24" s="9">
        <f>IF(OR(E24="",F24="",G24=""),"",IF(AD24&gt;0,AD24,(F24-G24)/SQRT(操作パネル_MS2!$H$12)*操作パネル_MS2!$H$10))</f>
        <v>2.6552545371637319</v>
      </c>
      <c r="O24" s="5" t="str">
        <f>IF(OR(E24="",AC24=""),"",IF(AC24&gt;=操作パネル_MS2!$H$3,"VOL-OK","VOL-NG"))</f>
        <v>VOL-OK</v>
      </c>
      <c r="P24" s="5" t="str">
        <f t="shared" si="2"/>
        <v>ON</v>
      </c>
      <c r="Q24" s="5" t="str">
        <f t="shared" si="3"/>
        <v>OFF</v>
      </c>
      <c r="R24" s="5" t="str">
        <f t="shared" si="4"/>
        <v>BUY</v>
      </c>
      <c r="S24" s="9">
        <f t="shared" si="5"/>
        <v>2959.5</v>
      </c>
      <c r="T24" s="9">
        <f>IF(R24="","",IF(R24="BUY",E24-N24*操作パネル_MS2!$H$5,E24+N24*操作パネル_MS2!$H$5))</f>
        <v>2955.5171181942542</v>
      </c>
      <c r="U24" s="9">
        <f>IF(R24="","",IF(R24="BUY",E24+N24*操作パネル_MS2!$H$6,E24-N24*操作パネル_MS2!$H$6))</f>
        <v>2963.4828818057458</v>
      </c>
      <c r="V24" s="9">
        <f>IF(R24="","",IF(R24="BUY",E24+N24*操作パネル_MS2!$H$7,E24-N24*操作パネル_MS2!$H$7))</f>
        <v>2964.8105090743275</v>
      </c>
      <c r="W24" s="9">
        <f>IF(R24="","",IF(R24="BUY",E24+N24*操作パネル_MS2!$H$8,E24-N24*操作パネル_MS2!$H$8))</f>
        <v>2967.4657636114912</v>
      </c>
      <c r="X24" s="5" t="str">
        <f t="shared" si="6"/>
        <v>1ST</v>
      </c>
      <c r="Y24" s="5" t="str">
        <f t="shared" ca="1" si="7"/>
        <v>その他</v>
      </c>
      <c r="Z24" s="5" t="str">
        <f>IF(OR(E24="",N24&lt;=0),"",IF(N24&gt;E24*操作パネル_MS2!$H$4,"VOL-HIGH","VOL-NORMAL"))</f>
        <v>VOL-NORMAL</v>
      </c>
      <c r="AA24" s="5" t="str">
        <f t="shared" si="8"/>
        <v>OK</v>
      </c>
      <c r="AB24" s="5" t="str">
        <f t="shared" si="9"/>
        <v>UP</v>
      </c>
      <c r="AC24" s="30">
        <f>IF(C24="","",_xll.RssMarket(C24&amp;"","売買代金"))</f>
        <v>29825631</v>
      </c>
      <c r="AD24" s="31">
        <f>IFERROR(INDEX(ATRHIST_MS2!$H:$H,MATCH(C24,ATRHIST_MS2!$A:$A,0)),0)</f>
        <v>2.6552545371637319</v>
      </c>
    </row>
    <row r="25" spans="1:30" ht="25.95" customHeight="1">
      <c r="A25" s="10">
        <f t="shared" si="0"/>
        <v>23</v>
      </c>
      <c r="B25" s="11" t="str">
        <f>IF(StockList_MS2!A47="","",HYPERLINK("https://kabutan.jp/stock/?code="&amp;StockList_MS2!A47,"株探"))</f>
        <v>株探</v>
      </c>
      <c r="C25" s="10">
        <f>IF(StockList_MS2!A47="","",StockList_MS2!A47)</f>
        <v>8267</v>
      </c>
      <c r="D25" s="12" t="str">
        <f>IF(StockList_MS2!A47="","",StockList_MS2!B47)</f>
        <v>イオン</v>
      </c>
      <c r="E25" s="13">
        <f>_xll.RssMarket("8267","現在値")</f>
        <v>1356.5</v>
      </c>
      <c r="F25" s="13">
        <f>_xll.RssMarket("8267","高値")</f>
        <v>1371.5</v>
      </c>
      <c r="G25" s="13">
        <f>_xll.RssMarket("8267","安値")</f>
        <v>1355.5</v>
      </c>
      <c r="H25" s="13" t="str">
        <f>_xll.RssMarket("8267","終値")</f>
        <v/>
      </c>
      <c r="I25" s="20">
        <f>_xll.RssMarket("8267","出来高")</f>
        <v>9851800</v>
      </c>
      <c r="J25" s="13">
        <v>1362</v>
      </c>
      <c r="K25" s="13">
        <v>1328</v>
      </c>
      <c r="L25" s="13">
        <f>_xll.RssMarket("8267","前日終値")</f>
        <v>1358.5</v>
      </c>
      <c r="M25" s="5" t="str">
        <f t="shared" si="1"/>
        <v>SELL-DAY</v>
      </c>
      <c r="N25" s="9">
        <f>IF(OR(E25="",F25="",G25=""),"",IF(AD25&gt;0,AD25,(F25-G25)/SQRT(操作パネル_MS2!$H$12)*操作パネル_MS2!$H$10))</f>
        <v>1.2814011917783223</v>
      </c>
      <c r="O25" s="5" t="str">
        <f>IF(OR(E25="",AC25=""),"",IF(AC25&gt;=操作パネル_MS2!$H$3,"VOL-OK","VOL-NG"))</f>
        <v>VOL-OK</v>
      </c>
      <c r="P25" s="5" t="str">
        <f t="shared" si="2"/>
        <v>OFF</v>
      </c>
      <c r="Q25" s="5" t="str">
        <f t="shared" si="3"/>
        <v>OFF</v>
      </c>
      <c r="R25" s="5" t="str">
        <f t="shared" si="4"/>
        <v/>
      </c>
      <c r="S25" s="9" t="str">
        <f t="shared" si="5"/>
        <v/>
      </c>
      <c r="T25" s="9" t="str">
        <f>IF(R25="","",IF(R25="BUY",E25-N25*操作パネル_MS2!$H$5,E25+N25*操作パネル_MS2!$H$5))</f>
        <v/>
      </c>
      <c r="U25" s="9" t="str">
        <f>IF(R25="","",IF(R25="BUY",E25+N25*操作パネル_MS2!$H$6,E25-N25*操作パネル_MS2!$H$6))</f>
        <v/>
      </c>
      <c r="V25" s="9" t="str">
        <f>IF(R25="","",IF(R25="BUY",E25+N25*操作パネル_MS2!$H$7,E25-N25*操作パネル_MS2!$H$7))</f>
        <v/>
      </c>
      <c r="W25" s="9" t="str">
        <f>IF(R25="","",IF(R25="BUY",E25+N25*操作パネル_MS2!$H$8,E25-N25*操作パネル_MS2!$H$8))</f>
        <v/>
      </c>
      <c r="X25" s="5" t="str">
        <f t="shared" si="6"/>
        <v>1ST</v>
      </c>
      <c r="Y25" s="5" t="str">
        <f t="shared" ca="1" si="7"/>
        <v>その他</v>
      </c>
      <c r="Z25" s="5" t="str">
        <f>IF(OR(E25="",N25&lt;=0),"",IF(N25&gt;E25*操作パネル_MS2!$H$4,"VOL-HIGH","VOL-NORMAL"))</f>
        <v>VOL-NORMAL</v>
      </c>
      <c r="AA25" s="5" t="str">
        <f t="shared" si="8"/>
        <v>OK</v>
      </c>
      <c r="AB25" s="5" t="str">
        <f t="shared" si="9"/>
        <v>UP</v>
      </c>
      <c r="AC25" s="30">
        <f>IF(C25="","",_xll.RssMarket(C25&amp;"","売買代金"))</f>
        <v>13410679</v>
      </c>
      <c r="AD25" s="31">
        <f>IFERROR(INDEX(ATRHIST_MS2!$H:$H,MATCH(C25,ATRHIST_MS2!$A:$A,0)),0)</f>
        <v>1.2814011917783223</v>
      </c>
    </row>
    <row r="26" spans="1:30" ht="25.95" customHeight="1">
      <c r="A26" s="5">
        <f t="shared" si="0"/>
        <v>24</v>
      </c>
      <c r="B26" s="6" t="str">
        <f>IF(StockList_MS2!A50="","",HYPERLINK("https://kabutan.jp/stock/?code="&amp;StockList_MS2!A50,"株探"))</f>
        <v>株探</v>
      </c>
      <c r="C26" s="5">
        <f>IF(StockList_MS2!A50="","",StockList_MS2!A50)</f>
        <v>3407</v>
      </c>
      <c r="D26" s="7" t="str">
        <f>IF(StockList_MS2!A50="","",StockList_MS2!B50)</f>
        <v>旭化成</v>
      </c>
      <c r="E26" s="8">
        <f>_xll.RssMarket("3407","現在値")</f>
        <v>1644</v>
      </c>
      <c r="F26" s="8">
        <f>_xll.RssMarket("3407","高値")</f>
        <v>1644</v>
      </c>
      <c r="G26" s="8">
        <f>_xll.RssMarket("3407","安値")</f>
        <v>1595</v>
      </c>
      <c r="H26" s="8" t="str">
        <f>_xll.RssMarket("3407","終値")</f>
        <v/>
      </c>
      <c r="I26" s="19">
        <f>_xll.RssMarket("3407","出来高")</f>
        <v>6867300</v>
      </c>
      <c r="J26" s="8">
        <v>1651.5</v>
      </c>
      <c r="K26" s="8">
        <v>1610</v>
      </c>
      <c r="L26" s="8">
        <f>_xll.RssMarket("3407","前日終値")</f>
        <v>1615.5</v>
      </c>
      <c r="M26" s="5" t="str">
        <f t="shared" si="1"/>
        <v>BUY-DAY</v>
      </c>
      <c r="N26" s="9">
        <f>IF(OR(E26="",F26="",G26=""),"",IF(AD26&gt;0,AD26,(F26-G26)/SQRT(操作パネル_MS2!$H$12)*操作パネル_MS2!$H$10))</f>
        <v>1.5632850530064022</v>
      </c>
      <c r="O26" s="5" t="str">
        <f>IF(OR(E26="",AC26=""),"",IF(AC26&gt;=操作パネル_MS2!$H$3,"VOL-OK","VOL-NG"))</f>
        <v>VOL-OK</v>
      </c>
      <c r="P26" s="5" t="str">
        <f t="shared" si="2"/>
        <v>OFF</v>
      </c>
      <c r="Q26" s="5" t="str">
        <f t="shared" si="3"/>
        <v>OFF</v>
      </c>
      <c r="R26" s="5" t="str">
        <f t="shared" si="4"/>
        <v/>
      </c>
      <c r="S26" s="9" t="str">
        <f t="shared" si="5"/>
        <v/>
      </c>
      <c r="T26" s="9" t="str">
        <f>IF(R26="","",IF(R26="BUY",E26-N26*操作パネル_MS2!$H$5,E26+N26*操作パネル_MS2!$H$5))</f>
        <v/>
      </c>
      <c r="U26" s="9" t="str">
        <f>IF(R26="","",IF(R26="BUY",E26+N26*操作パネル_MS2!$H$6,E26-N26*操作パネル_MS2!$H$6))</f>
        <v/>
      </c>
      <c r="V26" s="9" t="str">
        <f>IF(R26="","",IF(R26="BUY",E26+N26*操作パネル_MS2!$H$7,E26-N26*操作パネル_MS2!$H$7))</f>
        <v/>
      </c>
      <c r="W26" s="9" t="str">
        <f>IF(R26="","",IF(R26="BUY",E26+N26*操作パネル_MS2!$H$8,E26-N26*操作パネル_MS2!$H$8))</f>
        <v/>
      </c>
      <c r="X26" s="5" t="str">
        <f t="shared" si="6"/>
        <v>1ST</v>
      </c>
      <c r="Y26" s="5" t="str">
        <f t="shared" ca="1" si="7"/>
        <v>その他</v>
      </c>
      <c r="Z26" s="5" t="str">
        <f>IF(OR(E26="",N26&lt;=0),"",IF(N26&gt;E26*操作パネル_MS2!$H$4,"VOL-HIGH","VOL-NORMAL"))</f>
        <v>VOL-NORMAL</v>
      </c>
      <c r="AA26" s="5" t="str">
        <f t="shared" si="8"/>
        <v>OK</v>
      </c>
      <c r="AB26" s="5" t="str">
        <f t="shared" si="9"/>
        <v>DOWN</v>
      </c>
      <c r="AC26" s="30">
        <f>IF(C26="","",_xll.RssMarket(C26&amp;"","売買代金"))</f>
        <v>11228994</v>
      </c>
      <c r="AD26" s="31">
        <f>IFERROR(INDEX(ATRHIST_MS2!$H:$H,MATCH(C26,ATRHIST_MS2!$A:$A,0)),0)</f>
        <v>1.5632850530064022</v>
      </c>
    </row>
    <row r="27" spans="1:30" ht="25.95" customHeight="1">
      <c r="A27" s="10">
        <f t="shared" si="0"/>
        <v>25</v>
      </c>
      <c r="B27" s="11" t="str">
        <f>IF(StockList_MS2!A51="","",HYPERLINK("https://kabutan.jp/stock/?code="&amp;StockList_MS2!A51,"株探"))</f>
        <v>株探</v>
      </c>
      <c r="C27" s="10">
        <f>IF(StockList_MS2!A51="","",StockList_MS2!A51)</f>
        <v>8308</v>
      </c>
      <c r="D27" s="12" t="str">
        <f>IF(StockList_MS2!A51="","",StockList_MS2!B51)</f>
        <v>りそなホールディングス</v>
      </c>
      <c r="E27" s="13">
        <f>_xll.RssMarket("8308","現在値")</f>
        <v>2530</v>
      </c>
      <c r="F27" s="13">
        <f>_xll.RssMarket("8308","高値")</f>
        <v>2531.5</v>
      </c>
      <c r="G27" s="13">
        <f>_xll.RssMarket("8308","安値")</f>
        <v>2483.5</v>
      </c>
      <c r="H27" s="13" t="str">
        <f>_xll.RssMarket("8308","終値")</f>
        <v/>
      </c>
      <c r="I27" s="20">
        <f>_xll.RssMarket("8308","出来高")</f>
        <v>8130500</v>
      </c>
      <c r="J27" s="13">
        <v>2540</v>
      </c>
      <c r="K27" s="13">
        <v>2442.5</v>
      </c>
      <c r="L27" s="13">
        <f>_xll.RssMarket("8308","前日終値")</f>
        <v>2512.5</v>
      </c>
      <c r="M27" s="5" t="str">
        <f t="shared" si="1"/>
        <v>BUY-DAY</v>
      </c>
      <c r="N27" s="9">
        <f>IF(OR(E27="",F27="",G27=""),"",IF(AD27&gt;0,AD27,(F27-G27)/SQRT(操作パネル_MS2!$H$12)*操作パネル_MS2!$H$10))</f>
        <v>4.0651015317954506</v>
      </c>
      <c r="O27" s="5" t="str">
        <f>IF(OR(E27="",AC27=""),"",IF(AC27&gt;=操作パネル_MS2!$H$3,"VOL-OK","VOL-NG"))</f>
        <v>VOL-OK</v>
      </c>
      <c r="P27" s="5" t="str">
        <f t="shared" si="2"/>
        <v>OFF</v>
      </c>
      <c r="Q27" s="5" t="str">
        <f t="shared" si="3"/>
        <v>OFF</v>
      </c>
      <c r="R27" s="5" t="str">
        <f t="shared" si="4"/>
        <v/>
      </c>
      <c r="S27" s="9" t="str">
        <f t="shared" si="5"/>
        <v/>
      </c>
      <c r="T27" s="9" t="str">
        <f>IF(R27="","",IF(R27="BUY",E27-N27*操作パネル_MS2!$H$5,E27+N27*操作パネル_MS2!$H$5))</f>
        <v/>
      </c>
      <c r="U27" s="9" t="str">
        <f>IF(R27="","",IF(R27="BUY",E27+N27*操作パネル_MS2!$H$6,E27-N27*操作パネル_MS2!$H$6))</f>
        <v/>
      </c>
      <c r="V27" s="9" t="str">
        <f>IF(R27="","",IF(R27="BUY",E27+N27*操作パネル_MS2!$H$7,E27-N27*操作パネル_MS2!$H$7))</f>
        <v/>
      </c>
      <c r="W27" s="9" t="str">
        <f>IF(R27="","",IF(R27="BUY",E27+N27*操作パネル_MS2!$H$8,E27-N27*操作パネル_MS2!$H$8))</f>
        <v/>
      </c>
      <c r="X27" s="5" t="str">
        <f t="shared" si="6"/>
        <v>1ST</v>
      </c>
      <c r="Y27" s="5" t="str">
        <f t="shared" ca="1" si="7"/>
        <v>その他</v>
      </c>
      <c r="Z27" s="5" t="str">
        <f>IF(OR(E27="",N27&lt;=0),"",IF(N27&gt;E27*操作パネル_MS2!$H$4,"VOL-HIGH","VOL-NORMAL"))</f>
        <v>VOL-NORMAL</v>
      </c>
      <c r="AA27" s="5" t="str">
        <f t="shared" si="8"/>
        <v>OK</v>
      </c>
      <c r="AB27" s="5" t="str">
        <f t="shared" si="9"/>
        <v>FLAT</v>
      </c>
      <c r="AC27" s="30">
        <f>IF(C27="","",_xll.RssMarket(C27&amp;"","売買代金"))</f>
        <v>20483230</v>
      </c>
      <c r="AD27" s="31">
        <f>IFERROR(INDEX(ATRHIST_MS2!$H:$H,MATCH(C27,ATRHIST_MS2!$A:$A,0)),0)</f>
        <v>4.0651015317954506</v>
      </c>
    </row>
    <row r="28" spans="1:30" ht="25.95" customHeight="1">
      <c r="A28" s="5">
        <f t="shared" si="0"/>
        <v>26</v>
      </c>
      <c r="B28" s="6" t="str">
        <f>IF(StockList_MS2!A52="","",HYPERLINK("https://kabutan.jp/stock/?code="&amp;StockList_MS2!A52,"株探"))</f>
        <v>株探</v>
      </c>
      <c r="C28" s="5">
        <f>IF(StockList_MS2!A52="","",StockList_MS2!A52)</f>
        <v>2914</v>
      </c>
      <c r="D28" s="7" t="str">
        <f>IF(StockList_MS2!A52="","",StockList_MS2!B52)</f>
        <v>日本たばこ産業</v>
      </c>
      <c r="E28" s="8">
        <f>_xll.RssMarket("2914","現在値")</f>
        <v>6935</v>
      </c>
      <c r="F28" s="8">
        <f>_xll.RssMarket("2914","高値")</f>
        <v>6950</v>
      </c>
      <c r="G28" s="8">
        <f>_xll.RssMarket("2914","安値")</f>
        <v>6901</v>
      </c>
      <c r="H28" s="8" t="str">
        <f>_xll.RssMarket("2914","終値")</f>
        <v/>
      </c>
      <c r="I28" s="19">
        <f>_xll.RssMarket("2914","出来高")</f>
        <v>3810100</v>
      </c>
      <c r="J28" s="8">
        <v>6996</v>
      </c>
      <c r="K28" s="8">
        <v>6926</v>
      </c>
      <c r="L28" s="8">
        <f>_xll.RssMarket("2914","前日終値")</f>
        <v>6948</v>
      </c>
      <c r="M28" s="5" t="str">
        <f t="shared" si="1"/>
        <v>SELL-DAY</v>
      </c>
      <c r="N28" s="9">
        <f>IF(OR(E28="",F28="",G28=""),"",IF(AD28&gt;0,AD28,(F28-G28)/SQRT(操作パネル_MS2!$H$12)*操作パネル_MS2!$H$10))</f>
        <v>4.5741755084502032</v>
      </c>
      <c r="O28" s="5" t="str">
        <f>IF(OR(E28="",AC28=""),"",IF(AC28&gt;=操作パネル_MS2!$H$3,"VOL-OK","VOL-NG"))</f>
        <v>VOL-OK</v>
      </c>
      <c r="P28" s="5" t="str">
        <f t="shared" si="2"/>
        <v>OFF</v>
      </c>
      <c r="Q28" s="5" t="str">
        <f t="shared" si="3"/>
        <v>OFF</v>
      </c>
      <c r="R28" s="5" t="str">
        <f t="shared" si="4"/>
        <v/>
      </c>
      <c r="S28" s="9" t="str">
        <f t="shared" si="5"/>
        <v/>
      </c>
      <c r="T28" s="9" t="str">
        <f>IF(R28="","",IF(R28="BUY",E28-N28*操作パネル_MS2!$H$5,E28+N28*操作パネル_MS2!$H$5))</f>
        <v/>
      </c>
      <c r="U28" s="9" t="str">
        <f>IF(R28="","",IF(R28="BUY",E28+N28*操作パネル_MS2!$H$6,E28-N28*操作パネル_MS2!$H$6))</f>
        <v/>
      </c>
      <c r="V28" s="9" t="str">
        <f>IF(R28="","",IF(R28="BUY",E28+N28*操作パネル_MS2!$H$7,E28-N28*操作パネル_MS2!$H$7))</f>
        <v/>
      </c>
      <c r="W28" s="9" t="str">
        <f>IF(R28="","",IF(R28="BUY",E28+N28*操作パネル_MS2!$H$8,E28-N28*操作パネル_MS2!$H$8))</f>
        <v/>
      </c>
      <c r="X28" s="5" t="str">
        <f t="shared" si="6"/>
        <v>1ST</v>
      </c>
      <c r="Y28" s="5" t="str">
        <f t="shared" ca="1" si="7"/>
        <v>その他</v>
      </c>
      <c r="Z28" s="5" t="str">
        <f>IF(OR(E28="",N28&lt;=0),"",IF(N28&gt;E28*操作パネル_MS2!$H$4,"VOL-HIGH","VOL-NORMAL"))</f>
        <v>VOL-NORMAL</v>
      </c>
      <c r="AA28" s="5" t="str">
        <f t="shared" si="8"/>
        <v>OK</v>
      </c>
      <c r="AB28" s="5" t="str">
        <f t="shared" si="9"/>
        <v>DOWN</v>
      </c>
      <c r="AC28" s="30">
        <f>IF(C28="","",_xll.RssMarket(C28&amp;"","売買代金"))</f>
        <v>26415182</v>
      </c>
      <c r="AD28" s="31">
        <f>IFERROR(INDEX(ATRHIST_MS2!$H:$H,MATCH(C28,ATRHIST_MS2!$A:$A,0)),0)</f>
        <v>4.5741755084502032</v>
      </c>
    </row>
    <row r="29" spans="1:30" ht="25.95" customHeight="1">
      <c r="A29" s="10">
        <f t="shared" si="0"/>
        <v>27</v>
      </c>
      <c r="B29" s="11" t="str">
        <f>IF(StockList_MS2!A53="","",HYPERLINK("https://kabutan.jp/stock/?code="&amp;StockList_MS2!A53,"株探"))</f>
        <v>株探</v>
      </c>
      <c r="C29" s="10">
        <f>IF(StockList_MS2!A53="","",StockList_MS2!A53)</f>
        <v>8473</v>
      </c>
      <c r="D29" s="12" t="str">
        <f>IF(StockList_MS2!A53="","",StockList_MS2!B53)</f>
        <v>ＳＢＩホールディングス</v>
      </c>
      <c r="E29" s="13">
        <f>_xll.RssMarket("8473","現在値")</f>
        <v>3314</v>
      </c>
      <c r="F29" s="13">
        <f>_xll.RssMarket("8473","高値")</f>
        <v>3397</v>
      </c>
      <c r="G29" s="13">
        <f>_xll.RssMarket("8473","安値")</f>
        <v>3282</v>
      </c>
      <c r="H29" s="13" t="str">
        <f>_xll.RssMarket("8473","終値")</f>
        <v/>
      </c>
      <c r="I29" s="20">
        <f>_xll.RssMarket("8473","出来高")</f>
        <v>5440900</v>
      </c>
      <c r="J29" s="13">
        <v>3440</v>
      </c>
      <c r="K29" s="13">
        <v>3362</v>
      </c>
      <c r="L29" s="13">
        <f>_xll.RssMarket("8473","前日終値")</f>
        <v>3427</v>
      </c>
      <c r="M29" s="5" t="str">
        <f t="shared" si="1"/>
        <v>SELL-DAY</v>
      </c>
      <c r="N29" s="9">
        <f>IF(OR(E29="",F29="",G29=""),"",IF(AD29&gt;0,AD29,(F29-G29)/SQRT(操作パネル_MS2!$H$12)*操作パネル_MS2!$H$10))</f>
        <v>9.8838047553322212</v>
      </c>
      <c r="O29" s="5" t="str">
        <f>IF(OR(E29="",AC29=""),"",IF(AC29&gt;=操作パネル_MS2!$H$3,"VOL-OK","VOL-NG"))</f>
        <v>VOL-OK</v>
      </c>
      <c r="P29" s="5" t="str">
        <f t="shared" si="2"/>
        <v>OFF</v>
      </c>
      <c r="Q29" s="5" t="str">
        <f t="shared" si="3"/>
        <v>ON</v>
      </c>
      <c r="R29" s="5" t="str">
        <f t="shared" si="4"/>
        <v>SELL</v>
      </c>
      <c r="S29" s="9">
        <f t="shared" si="5"/>
        <v>3314</v>
      </c>
      <c r="T29" s="9">
        <f>IF(R29="","",IF(R29="BUY",E29-N29*操作パネル_MS2!$H$5,E29+N29*操作パネル_MS2!$H$5))</f>
        <v>3328.8257071329981</v>
      </c>
      <c r="U29" s="9">
        <f>IF(R29="","",IF(R29="BUY",E29+N29*操作パネル_MS2!$H$6,E29-N29*操作パネル_MS2!$H$6))</f>
        <v>3299.1742928670019</v>
      </c>
      <c r="V29" s="9">
        <f>IF(R29="","",IF(R29="BUY",E29+N29*操作パネル_MS2!$H$7,E29-N29*操作パネル_MS2!$H$7))</f>
        <v>3294.2323904893356</v>
      </c>
      <c r="W29" s="9">
        <f>IF(R29="","",IF(R29="BUY",E29+N29*操作パネル_MS2!$H$8,E29-N29*操作パネル_MS2!$H$8))</f>
        <v>3284.3485857340033</v>
      </c>
      <c r="X29" s="5" t="str">
        <f t="shared" si="6"/>
        <v>1ST</v>
      </c>
      <c r="Y29" s="5" t="str">
        <f t="shared" ca="1" si="7"/>
        <v>その他</v>
      </c>
      <c r="Z29" s="5" t="str">
        <f>IF(OR(E29="",N29&lt;=0),"",IF(N29&gt;E29*操作パネル_MS2!$H$4,"VOL-HIGH","VOL-NORMAL"))</f>
        <v>VOL-NORMAL</v>
      </c>
      <c r="AA29" s="5" t="str">
        <f t="shared" si="8"/>
        <v>OK</v>
      </c>
      <c r="AB29" s="5" t="str">
        <f t="shared" si="9"/>
        <v>DOWN</v>
      </c>
      <c r="AC29" s="30">
        <f>IF(C29="","",_xll.RssMarket(C29&amp;"","売買代金"))</f>
        <v>18053074</v>
      </c>
      <c r="AD29" s="31">
        <f>IFERROR(INDEX(ATRHIST_MS2!$H:$H,MATCH(C29,ATRHIST_MS2!$A:$A,0)),0)</f>
        <v>9.8838047553322212</v>
      </c>
    </row>
    <row r="30" spans="1:30" ht="25.95" customHeight="1">
      <c r="A30" s="5">
        <f t="shared" si="0"/>
        <v>28</v>
      </c>
      <c r="B30" s="6" t="str">
        <f>IF(StockList_MS2!A56="","",HYPERLINK("https://kabutan.jp/stock/?code="&amp;StockList_MS2!A56,"株探"))</f>
        <v>株探</v>
      </c>
      <c r="C30" s="5">
        <f>IF(StockList_MS2!A56="","",StockList_MS2!A56)</f>
        <v>6701</v>
      </c>
      <c r="D30" s="7" t="str">
        <f>IF(StockList_MS2!A56="","",StockList_MS2!B56)</f>
        <v>日本電気</v>
      </c>
      <c r="E30" s="8">
        <f>_xll.RssMarket("6701","現在値")</f>
        <v>4908</v>
      </c>
      <c r="F30" s="8">
        <f>_xll.RssMarket("6701","高値")</f>
        <v>4968</v>
      </c>
      <c r="G30" s="8">
        <f>_xll.RssMarket("6701","安値")</f>
        <v>4878</v>
      </c>
      <c r="H30" s="8" t="str">
        <f>_xll.RssMarket("6701","終値")</f>
        <v/>
      </c>
      <c r="I30" s="19">
        <f>_xll.RssMarket("6701","出来高")</f>
        <v>6405200</v>
      </c>
      <c r="J30" s="8">
        <v>4963</v>
      </c>
      <c r="K30" s="8">
        <v>4866</v>
      </c>
      <c r="L30" s="8">
        <f>_xll.RssMarket("6701","前日終値")</f>
        <v>4908</v>
      </c>
      <c r="M30" s="5" t="str">
        <f t="shared" si="1"/>
        <v>SELL-DAY</v>
      </c>
      <c r="N30" s="9">
        <f>IF(OR(E30="",F30="",G30=""),"",IF(AD30&gt;0,AD30,(F30-G30)/SQRT(操作パネル_MS2!$H$12)*操作パネル_MS2!$H$10))</f>
        <v>6.753433168414829</v>
      </c>
      <c r="O30" s="5" t="str">
        <f>IF(OR(E30="",AC30=""),"",IF(AC30&gt;=操作パネル_MS2!$H$3,"VOL-OK","VOL-NG"))</f>
        <v>VOL-OK</v>
      </c>
      <c r="P30" s="5" t="str">
        <f t="shared" si="2"/>
        <v>OFF</v>
      </c>
      <c r="Q30" s="5" t="str">
        <f t="shared" si="3"/>
        <v>OFF</v>
      </c>
      <c r="R30" s="5" t="str">
        <f t="shared" si="4"/>
        <v/>
      </c>
      <c r="S30" s="9" t="str">
        <f t="shared" si="5"/>
        <v/>
      </c>
      <c r="T30" s="9" t="str">
        <f>IF(R30="","",IF(R30="BUY",E30-N30*操作パネル_MS2!$H$5,E30+N30*操作パネル_MS2!$H$5))</f>
        <v/>
      </c>
      <c r="U30" s="9" t="str">
        <f>IF(R30="","",IF(R30="BUY",E30+N30*操作パネル_MS2!$H$6,E30-N30*操作パネル_MS2!$H$6))</f>
        <v/>
      </c>
      <c r="V30" s="9" t="str">
        <f>IF(R30="","",IF(R30="BUY",E30+N30*操作パネル_MS2!$H$7,E30-N30*操作パネル_MS2!$H$7))</f>
        <v/>
      </c>
      <c r="W30" s="9" t="str">
        <f>IF(R30="","",IF(R30="BUY",E30+N30*操作パネル_MS2!$H$8,E30-N30*操作パネル_MS2!$H$8))</f>
        <v/>
      </c>
      <c r="X30" s="5" t="str">
        <f t="shared" si="6"/>
        <v>1ST</v>
      </c>
      <c r="Y30" s="5" t="str">
        <f t="shared" ca="1" si="7"/>
        <v>その他</v>
      </c>
      <c r="Z30" s="5" t="str">
        <f>IF(OR(E30="",N30&lt;=0),"",IF(N30&gt;E30*操作パネル_MS2!$H$4,"VOL-HIGH","VOL-NORMAL"))</f>
        <v>VOL-NORMAL</v>
      </c>
      <c r="AA30" s="5" t="str">
        <f t="shared" si="8"/>
        <v>OK</v>
      </c>
      <c r="AB30" s="5" t="str">
        <f t="shared" si="9"/>
        <v>UP</v>
      </c>
      <c r="AC30" s="30">
        <f>IF(C30="","",_xll.RssMarket(C30&amp;"","売買代金"))</f>
        <v>31517388</v>
      </c>
      <c r="AD30" s="31">
        <f>IFERROR(INDEX(ATRHIST_MS2!$H:$H,MATCH(C30,ATRHIST_MS2!$A:$A,0)),0)</f>
        <v>6.753433168414829</v>
      </c>
    </row>
    <row r="31" spans="1:30" ht="25.95" customHeight="1">
      <c r="A31" s="10">
        <f t="shared" si="0"/>
        <v>29</v>
      </c>
      <c r="B31" s="11" t="str">
        <f>IF(StockList_MS2!A63="","",HYPERLINK("https://kabutan.jp/stock/?code="&amp;StockList_MS2!A63,"株探"))</f>
        <v>株探</v>
      </c>
      <c r="C31" s="10">
        <f>IF(StockList_MS2!A63="","",StockList_MS2!A63)</f>
        <v>2181</v>
      </c>
      <c r="D31" s="12" t="str">
        <f>IF(StockList_MS2!A63="","",StockList_MS2!B63)</f>
        <v>パーソルホールディングス</v>
      </c>
      <c r="E31" s="13">
        <f>_xll.RssMarket("2181","現在値")</f>
        <v>301.2</v>
      </c>
      <c r="F31" s="13">
        <f>_xll.RssMarket("2181","高値")</f>
        <v>302.39999999999998</v>
      </c>
      <c r="G31" s="13">
        <f>_xll.RssMarket("2181","安値")</f>
        <v>297.2</v>
      </c>
      <c r="H31" s="13" t="str">
        <f>_xll.RssMarket("2181","終値")</f>
        <v/>
      </c>
      <c r="I31" s="20">
        <f>_xll.RssMarket("2181","出来高")</f>
        <v>12676900</v>
      </c>
      <c r="J31" s="13">
        <v>299.89999999999998</v>
      </c>
      <c r="K31" s="13">
        <v>295</v>
      </c>
      <c r="L31" s="13">
        <f>_xll.RssMarket("2181","前日終値")</f>
        <v>298.89999999999998</v>
      </c>
      <c r="M31" s="5" t="str">
        <f t="shared" si="1"/>
        <v>BUY-DAY</v>
      </c>
      <c r="N31" s="9">
        <f>IF(OR(E31="",F31="",G31=""),"",IF(AD31&gt;0,AD31,(F31-G31)/SQRT(操作パネル_MS2!$H$12)*操作パネル_MS2!$H$10))</f>
        <v>0.30692961430023474</v>
      </c>
      <c r="O31" s="5" t="str">
        <f>IF(OR(E31="",AC31=""),"",IF(AC31&gt;=操作パネル_MS2!$H$3,"VOL-OK","VOL-NG"))</f>
        <v>VOL-OK</v>
      </c>
      <c r="P31" s="5" t="str">
        <f t="shared" si="2"/>
        <v>ON</v>
      </c>
      <c r="Q31" s="5" t="str">
        <f t="shared" si="3"/>
        <v>OFF</v>
      </c>
      <c r="R31" s="5" t="str">
        <f t="shared" si="4"/>
        <v>BUY</v>
      </c>
      <c r="S31" s="9">
        <f t="shared" si="5"/>
        <v>301.2</v>
      </c>
      <c r="T31" s="9">
        <f>IF(R31="","",IF(R31="BUY",E31-N31*操作パネル_MS2!$H$5,E31+N31*操作パネル_MS2!$H$5))</f>
        <v>300.73960557854963</v>
      </c>
      <c r="U31" s="9">
        <f>IF(R31="","",IF(R31="BUY",E31+N31*操作パネル_MS2!$H$6,E31-N31*操作パネル_MS2!$H$6))</f>
        <v>301.66039442145035</v>
      </c>
      <c r="V31" s="9">
        <f>IF(R31="","",IF(R31="BUY",E31+N31*操作パネル_MS2!$H$7,E31-N31*操作パネル_MS2!$H$7))</f>
        <v>301.81385922860045</v>
      </c>
      <c r="W31" s="9">
        <f>IF(R31="","",IF(R31="BUY",E31+N31*操作パネル_MS2!$H$8,E31-N31*操作パネル_MS2!$H$8))</f>
        <v>302.12078884290071</v>
      </c>
      <c r="X31" s="5" t="str">
        <f t="shared" si="6"/>
        <v>1ST</v>
      </c>
      <c r="Y31" s="5" t="str">
        <f t="shared" ca="1" si="7"/>
        <v>その他</v>
      </c>
      <c r="Z31" s="5" t="str">
        <f>IF(OR(E31="",N31&lt;=0),"",IF(N31&gt;E31*操作パネル_MS2!$H$4,"VOL-HIGH","VOL-NORMAL"))</f>
        <v>VOL-NORMAL</v>
      </c>
      <c r="AA31" s="5" t="str">
        <f t="shared" si="8"/>
        <v>OK</v>
      </c>
      <c r="AB31" s="5" t="str">
        <f t="shared" si="9"/>
        <v>UP</v>
      </c>
      <c r="AC31" s="30">
        <f>IF(C31="","",_xll.RssMarket(C31&amp;"","売買代金"))</f>
        <v>3814415</v>
      </c>
      <c r="AD31" s="31">
        <f>IFERROR(INDEX(ATRHIST_MS2!$H:$H,MATCH(C31,ATRHIST_MS2!$A:$A,0)),0)</f>
        <v>0.30692961430023474</v>
      </c>
    </row>
    <row r="32" spans="1:30" ht="25.95" customHeight="1">
      <c r="A32" s="10">
        <f t="shared" si="0"/>
        <v>30</v>
      </c>
      <c r="B32" s="11" t="str">
        <f>IF(StockList_MS2!A65="","",HYPERLINK("https://kabutan.jp/stock/?code="&amp;StockList_MS2!A65,"株探"))</f>
        <v>株探</v>
      </c>
      <c r="C32" s="10">
        <f>IF(StockList_MS2!A65="","",StockList_MS2!A65)</f>
        <v>2502</v>
      </c>
      <c r="D32" s="12" t="str">
        <f>IF(StockList_MS2!A65="","",StockList_MS2!B65)</f>
        <v>アサヒグループホールディン</v>
      </c>
      <c r="E32" s="13">
        <f>_xll.RssMarket("2502","現在値")</f>
        <v>1676</v>
      </c>
      <c r="F32" s="13">
        <f>_xll.RssMarket("2502","高値")</f>
        <v>1680</v>
      </c>
      <c r="G32" s="13">
        <f>_xll.RssMarket("2502","安値")</f>
        <v>1667</v>
      </c>
      <c r="H32" s="13" t="str">
        <f>_xll.RssMarket("2502","終値")</f>
        <v/>
      </c>
      <c r="I32" s="20">
        <f>_xll.RssMarket("2502","出来高")</f>
        <v>7999000</v>
      </c>
      <c r="J32" s="13">
        <v>1670.5</v>
      </c>
      <c r="K32" s="13">
        <v>1637</v>
      </c>
      <c r="L32" s="13">
        <f>_xll.RssMarket("2502","前日終値")</f>
        <v>1670.5</v>
      </c>
      <c r="M32" s="5" t="str">
        <f t="shared" si="1"/>
        <v>BUY-DAY</v>
      </c>
      <c r="N32" s="9">
        <f>IF(OR(E32="",F32="",G32=""),"",IF(AD32&gt;0,AD32,(F32-G32)/SQRT(操作パネル_MS2!$H$12)*操作パネル_MS2!$H$10))</f>
        <v>1.4486481171955166</v>
      </c>
      <c r="O32" s="5" t="str">
        <f>IF(OR(E32="",AC32=""),"",IF(AC32&gt;=操作パネル_MS2!$H$3,"VOL-OK","VOL-NG"))</f>
        <v>VOL-OK</v>
      </c>
      <c r="P32" s="5" t="str">
        <f t="shared" si="2"/>
        <v>ON</v>
      </c>
      <c r="Q32" s="5" t="str">
        <f t="shared" si="3"/>
        <v>OFF</v>
      </c>
      <c r="R32" s="5" t="str">
        <f t="shared" si="4"/>
        <v>BUY</v>
      </c>
      <c r="S32" s="9">
        <f t="shared" si="5"/>
        <v>1676</v>
      </c>
      <c r="T32" s="9">
        <f>IF(R32="","",IF(R32="BUY",E32-N32*操作パネル_MS2!$H$5,E32+N32*操作パネル_MS2!$H$5))</f>
        <v>1673.8270278242067</v>
      </c>
      <c r="U32" s="9">
        <f>IF(R32="","",IF(R32="BUY",E32+N32*操作パネル_MS2!$H$6,E32-N32*操作パネル_MS2!$H$6))</f>
        <v>1678.1729721757933</v>
      </c>
      <c r="V32" s="9">
        <f>IF(R32="","",IF(R32="BUY",E32+N32*操作パネル_MS2!$H$7,E32-N32*操作パネル_MS2!$H$7))</f>
        <v>1678.897296234391</v>
      </c>
      <c r="W32" s="9">
        <f>IF(R32="","",IF(R32="BUY",E32+N32*操作パネル_MS2!$H$8,E32-N32*操作パネル_MS2!$H$8))</f>
        <v>1680.3459443515865</v>
      </c>
      <c r="X32" s="5" t="str">
        <f t="shared" si="6"/>
        <v>1ST</v>
      </c>
      <c r="Y32" s="5" t="str">
        <f t="shared" ca="1" si="7"/>
        <v>その他</v>
      </c>
      <c r="Z32" s="5" t="str">
        <f>IF(OR(E32="",N32&lt;=0),"",IF(N32&gt;E32*操作パネル_MS2!$H$4,"VOL-HIGH","VOL-NORMAL"))</f>
        <v>VOL-NORMAL</v>
      </c>
      <c r="AA32" s="5" t="str">
        <f t="shared" si="8"/>
        <v>OK</v>
      </c>
      <c r="AB32" s="5" t="str">
        <f t="shared" si="9"/>
        <v>UP</v>
      </c>
      <c r="AC32" s="30">
        <f>IF(C32="","",_xll.RssMarket(C32&amp;"","売買代金"))</f>
        <v>13400599</v>
      </c>
      <c r="AD32" s="31">
        <f>IFERROR(INDEX(ATRHIST_MS2!$H:$H,MATCH(C32,ATRHIST_MS2!$A:$A,0)),0)</f>
        <v>1.4486481171955166</v>
      </c>
    </row>
    <row r="33" spans="1:30" ht="25.95" customHeight="1">
      <c r="A33" s="10">
        <f t="shared" si="0"/>
        <v>31</v>
      </c>
      <c r="B33" s="11" t="str">
        <f>IF(StockList_MS2!A67="","",HYPERLINK("https://kabutan.jp/stock/?code="&amp;StockList_MS2!A67,"株探"))</f>
        <v>株探</v>
      </c>
      <c r="C33" s="10">
        <f>IF(StockList_MS2!A67="","",StockList_MS2!A67)</f>
        <v>2127</v>
      </c>
      <c r="D33" s="12" t="str">
        <f>IF(StockList_MS2!A67="","",StockList_MS2!B67)</f>
        <v>日本Ｍ＆Ａセンターホールデ</v>
      </c>
      <c r="E33" s="13">
        <f>_xll.RssMarket("2127","現在値")</f>
        <v>685.4</v>
      </c>
      <c r="F33" s="13">
        <f>_xll.RssMarket("2127","高値")</f>
        <v>688.4</v>
      </c>
      <c r="G33" s="13">
        <f>_xll.RssMarket("2127","安値")</f>
        <v>678</v>
      </c>
      <c r="H33" s="13" t="str">
        <f>_xll.RssMarket("2127","終値")</f>
        <v/>
      </c>
      <c r="I33" s="20">
        <f>_xll.RssMarket("2127","出来高")</f>
        <v>5962100</v>
      </c>
      <c r="J33" s="13">
        <v>691.6</v>
      </c>
      <c r="K33" s="13">
        <v>679.2</v>
      </c>
      <c r="L33" s="13">
        <f>_xll.RssMarket("2127","前日終値")</f>
        <v>688.5</v>
      </c>
      <c r="M33" s="5" t="str">
        <f t="shared" si="1"/>
        <v>SELL-DAY</v>
      </c>
      <c r="N33" s="9">
        <f>IF(OR(E33="",F33="",G33=""),"",IF(AD33&gt;0,AD33,(F33-G33)/SQRT(操作パネル_MS2!$H$12)*操作パネル_MS2!$H$10))</f>
        <v>0.83672899026287895</v>
      </c>
      <c r="O33" s="5" t="str">
        <f>IF(OR(E33="",AC33=""),"",IF(AC33&gt;=操作パネル_MS2!$H$3,"VOL-OK","VOL-NG"))</f>
        <v>VOL-OK</v>
      </c>
      <c r="P33" s="5" t="str">
        <f t="shared" si="2"/>
        <v>OFF</v>
      </c>
      <c r="Q33" s="5" t="str">
        <f t="shared" si="3"/>
        <v>OFF</v>
      </c>
      <c r="R33" s="5" t="str">
        <f t="shared" si="4"/>
        <v/>
      </c>
      <c r="S33" s="9" t="str">
        <f t="shared" si="5"/>
        <v/>
      </c>
      <c r="T33" s="9" t="str">
        <f>IF(R33="","",IF(R33="BUY",E33-N33*操作パネル_MS2!$H$5,E33+N33*操作パネル_MS2!$H$5))</f>
        <v/>
      </c>
      <c r="U33" s="9" t="str">
        <f>IF(R33="","",IF(R33="BUY",E33+N33*操作パネル_MS2!$H$6,E33-N33*操作パネル_MS2!$H$6))</f>
        <v/>
      </c>
      <c r="V33" s="9" t="str">
        <f>IF(R33="","",IF(R33="BUY",E33+N33*操作パネル_MS2!$H$7,E33-N33*操作パネル_MS2!$H$7))</f>
        <v/>
      </c>
      <c r="W33" s="9" t="str">
        <f>IF(R33="","",IF(R33="BUY",E33+N33*操作パネル_MS2!$H$8,E33-N33*操作パネル_MS2!$H$8))</f>
        <v/>
      </c>
      <c r="X33" s="5" t="str">
        <f t="shared" si="6"/>
        <v>1ST</v>
      </c>
      <c r="Y33" s="5" t="str">
        <f t="shared" ca="1" si="7"/>
        <v>その他</v>
      </c>
      <c r="Z33" s="5" t="str">
        <f>IF(OR(E33="",N33&lt;=0),"",IF(N33&gt;E33*操作パネル_MS2!$H$4,"VOL-HIGH","VOL-NORMAL"))</f>
        <v>VOL-NORMAL</v>
      </c>
      <c r="AA33" s="5" t="str">
        <f t="shared" si="8"/>
        <v>OK</v>
      </c>
      <c r="AB33" s="5" t="str">
        <f t="shared" si="9"/>
        <v>DOWN</v>
      </c>
      <c r="AC33" s="30">
        <f>IF(C33="","",_xll.RssMarket(C33&amp;"","売買代金"))</f>
        <v>4075118</v>
      </c>
      <c r="AD33" s="31">
        <f>IFERROR(INDEX(ATRHIST_MS2!$H:$H,MATCH(C33,ATRHIST_MS2!$A:$A,0)),0)</f>
        <v>0.83672899026287895</v>
      </c>
    </row>
    <row r="34" spans="1:30" ht="25.95" customHeight="1">
      <c r="A34" s="5">
        <f t="shared" si="0"/>
        <v>32</v>
      </c>
      <c r="B34" s="6" t="str">
        <f>IF(StockList_MS2!A68="","",HYPERLINK("https://kabutan.jp/stock/?code="&amp;StockList_MS2!A68,"株探"))</f>
        <v>株探</v>
      </c>
      <c r="C34" s="5">
        <f>IF(StockList_MS2!A68="","",StockList_MS2!A68)</f>
        <v>8058</v>
      </c>
      <c r="D34" s="7" t="str">
        <f>IF(StockList_MS2!A68="","",StockList_MS2!B68)</f>
        <v>三菱商事</v>
      </c>
      <c r="E34" s="8">
        <f>_xll.RssMarket("8058","現在値")</f>
        <v>4804</v>
      </c>
      <c r="F34" s="8">
        <f>_xll.RssMarket("8058","高値")</f>
        <v>4822</v>
      </c>
      <c r="G34" s="8">
        <f>_xll.RssMarket("8058","安値")</f>
        <v>4721</v>
      </c>
      <c r="H34" s="8" t="str">
        <f>_xll.RssMarket("8058","終値")</f>
        <v/>
      </c>
      <c r="I34" s="19">
        <f>_xll.RssMarket("8058","出来高")</f>
        <v>8267900</v>
      </c>
      <c r="J34" s="8">
        <v>4810</v>
      </c>
      <c r="K34" s="8">
        <v>4708</v>
      </c>
      <c r="L34" s="8">
        <f>_xll.RssMarket("8058","前日終値")</f>
        <v>4786</v>
      </c>
      <c r="M34" s="5" t="str">
        <f t="shared" si="1"/>
        <v>BUY-DAY</v>
      </c>
      <c r="N34" s="9">
        <f>IF(OR(E34="",F34="",G34=""),"",IF(AD34&gt;0,AD34,(F34-G34)/SQRT(操作パネル_MS2!$H$12)*操作パネル_MS2!$H$10))</f>
        <v>4.5755297426961192</v>
      </c>
      <c r="O34" s="5" t="str">
        <f>IF(OR(E34="",AC34=""),"",IF(AC34&gt;=操作パネル_MS2!$H$3,"VOL-OK","VOL-NG"))</f>
        <v>VOL-OK</v>
      </c>
      <c r="P34" s="5" t="str">
        <f t="shared" si="2"/>
        <v>OFF</v>
      </c>
      <c r="Q34" s="5" t="str">
        <f t="shared" si="3"/>
        <v>OFF</v>
      </c>
      <c r="R34" s="5" t="str">
        <f t="shared" si="4"/>
        <v/>
      </c>
      <c r="S34" s="9" t="str">
        <f t="shared" si="5"/>
        <v/>
      </c>
      <c r="T34" s="9" t="str">
        <f>IF(R34="","",IF(R34="BUY",E34-N34*操作パネル_MS2!$H$5,E34+N34*操作パネル_MS2!$H$5))</f>
        <v/>
      </c>
      <c r="U34" s="9" t="str">
        <f>IF(R34="","",IF(R34="BUY",E34+N34*操作パネル_MS2!$H$6,E34-N34*操作パネル_MS2!$H$6))</f>
        <v/>
      </c>
      <c r="V34" s="9" t="str">
        <f>IF(R34="","",IF(R34="BUY",E34+N34*操作パネル_MS2!$H$7,E34-N34*操作パネル_MS2!$H$7))</f>
        <v/>
      </c>
      <c r="W34" s="9" t="str">
        <f>IF(R34="","",IF(R34="BUY",E34+N34*操作パネル_MS2!$H$8,E34-N34*操作パネル_MS2!$H$8))</f>
        <v/>
      </c>
      <c r="X34" s="5" t="str">
        <f t="shared" si="6"/>
        <v>1ST</v>
      </c>
      <c r="Y34" s="5" t="str">
        <f t="shared" ca="1" si="7"/>
        <v>その他</v>
      </c>
      <c r="Z34" s="5" t="str">
        <f>IF(OR(E34="",N34&lt;=0),"",IF(N34&gt;E34*操作パネル_MS2!$H$4,"VOL-HIGH","VOL-NORMAL"))</f>
        <v>VOL-NORMAL</v>
      </c>
      <c r="AA34" s="5" t="str">
        <f t="shared" si="8"/>
        <v>OK</v>
      </c>
      <c r="AB34" s="5" t="str">
        <f t="shared" si="9"/>
        <v>UP</v>
      </c>
      <c r="AC34" s="30">
        <f>IF(C34="","",_xll.RssMarket(C34&amp;"","売買代金"))</f>
        <v>39635681</v>
      </c>
      <c r="AD34" s="31">
        <f>IFERROR(INDEX(ATRHIST_MS2!$H:$H,MATCH(C34,ATRHIST_MS2!$A:$A,0)),0)</f>
        <v>4.5755297426961192</v>
      </c>
    </row>
    <row r="35" spans="1:30" ht="25.95" customHeight="1">
      <c r="A35" s="10">
        <f t="shared" si="0"/>
        <v>33</v>
      </c>
      <c r="B35" s="11" t="str">
        <f>IF(StockList_MS2!A71="","",HYPERLINK("https://kabutan.jp/stock/?code="&amp;StockList_MS2!A71,"株探"))</f>
        <v>株探</v>
      </c>
      <c r="C35" s="10">
        <f>IF(StockList_MS2!A71="","",StockList_MS2!A71)</f>
        <v>7269</v>
      </c>
      <c r="D35" s="12" t="str">
        <f>IF(StockList_MS2!A71="","",StockList_MS2!B71)</f>
        <v>スズキ</v>
      </c>
      <c r="E35" s="13">
        <f>_xll.RssMarket("7269","現在値")</f>
        <v>2227</v>
      </c>
      <c r="F35" s="13">
        <f>_xll.RssMarket("7269","高値")</f>
        <v>2240.5</v>
      </c>
      <c r="G35" s="13">
        <f>_xll.RssMarket("7269","安値")</f>
        <v>2170</v>
      </c>
      <c r="H35" s="13" t="str">
        <f>_xll.RssMarket("7269","終値")</f>
        <v/>
      </c>
      <c r="I35" s="20">
        <f>_xll.RssMarket("7269","出来高")</f>
        <v>8776900</v>
      </c>
      <c r="J35" s="13">
        <v>2173</v>
      </c>
      <c r="K35" s="13">
        <v>2142</v>
      </c>
      <c r="L35" s="13">
        <f>_xll.RssMarket("7269","前日終値")</f>
        <v>2170</v>
      </c>
      <c r="M35" s="5" t="str">
        <f t="shared" ref="M35:M66" si="10">IF(E35="","",IF(E35&gt;L35,"BUY-DAY","SELL-DAY"))</f>
        <v>BUY-DAY</v>
      </c>
      <c r="N35" s="9">
        <f>IF(OR(E35="",F35="",G35=""),"",IF(AD35&gt;0,AD35,(F35-G35)/SQRT(操作パネル_MS2!$H$12)*操作パネル_MS2!$H$10))</f>
        <v>2.8308576528781266</v>
      </c>
      <c r="O35" s="5" t="str">
        <f>IF(OR(E35="",AC35=""),"",IF(AC35&gt;=操作パネル_MS2!$H$3,"VOL-OK","VOL-NG"))</f>
        <v>VOL-OK</v>
      </c>
      <c r="P35" s="5" t="str">
        <f t="shared" si="2"/>
        <v>ON</v>
      </c>
      <c r="Q35" s="5" t="str">
        <f t="shared" si="3"/>
        <v>OFF</v>
      </c>
      <c r="R35" s="5" t="str">
        <f t="shared" si="4"/>
        <v>BUY</v>
      </c>
      <c r="S35" s="9">
        <f t="shared" si="5"/>
        <v>2227</v>
      </c>
      <c r="T35" s="9">
        <f>IF(R35="","",IF(R35="BUY",E35-N35*操作パネル_MS2!$H$5,E35+N35*操作パネル_MS2!$H$5))</f>
        <v>2222.7537135206826</v>
      </c>
      <c r="U35" s="9">
        <f>IF(R35="","",IF(R35="BUY",E35+N35*操作パネル_MS2!$H$6,E35-N35*操作パネル_MS2!$H$6))</f>
        <v>2231.2462864793174</v>
      </c>
      <c r="V35" s="9">
        <f>IF(R35="","",IF(R35="BUY",E35+N35*操作パネル_MS2!$H$7,E35-N35*操作パネル_MS2!$H$7))</f>
        <v>2232.6617153057564</v>
      </c>
      <c r="W35" s="9">
        <f>IF(R35="","",IF(R35="BUY",E35+N35*操作パネル_MS2!$H$8,E35-N35*操作パネル_MS2!$H$8))</f>
        <v>2235.4925729586344</v>
      </c>
      <c r="X35" s="5" t="str">
        <f t="shared" si="6"/>
        <v>1ST</v>
      </c>
      <c r="Y35" s="5" t="str">
        <f t="shared" ca="1" si="7"/>
        <v>その他</v>
      </c>
      <c r="Z35" s="5" t="str">
        <f>IF(OR(E35="",N35&lt;=0),"",IF(N35&gt;E35*操作パネル_MS2!$H$4,"VOL-HIGH","VOL-NORMAL"))</f>
        <v>VOL-NORMAL</v>
      </c>
      <c r="AA35" s="5" t="str">
        <f t="shared" si="8"/>
        <v>OK</v>
      </c>
      <c r="AB35" s="5" t="str">
        <f t="shared" si="9"/>
        <v>UP</v>
      </c>
      <c r="AC35" s="30">
        <f>IF(C35="","",_xll.RssMarket(C35&amp;"","売買代金"))</f>
        <v>19491207</v>
      </c>
      <c r="AD35" s="31">
        <f>IFERROR(INDEX(ATRHIST_MS2!$H:$H,MATCH(C35,ATRHIST_MS2!$A:$A,0)),0)</f>
        <v>2.8308576528781266</v>
      </c>
    </row>
    <row r="36" spans="1:30" ht="25.95" customHeight="1">
      <c r="A36" s="5">
        <f t="shared" si="0"/>
        <v>34</v>
      </c>
      <c r="B36" s="6" t="str">
        <f>IF(StockList_MS2!A76="","",HYPERLINK("https://kabutan.jp/stock/?code="&amp;StockList_MS2!A76,"株探"))</f>
        <v>株探</v>
      </c>
      <c r="C36" s="5">
        <f>IF(StockList_MS2!A76="","",StockList_MS2!A76)</f>
        <v>6963</v>
      </c>
      <c r="D36" s="7" t="str">
        <f>IF(StockList_MS2!A76="","",StockList_MS2!B76)</f>
        <v>ローム</v>
      </c>
      <c r="E36" s="8">
        <f>_xll.RssMarket("6963","現在値")</f>
        <v>4869</v>
      </c>
      <c r="F36" s="8">
        <f>_xll.RssMarket("6963","高値")</f>
        <v>4886</v>
      </c>
      <c r="G36" s="8">
        <f>_xll.RssMarket("6963","安値")</f>
        <v>4637</v>
      </c>
      <c r="H36" s="8" t="str">
        <f>_xll.RssMarket("6963","終値")</f>
        <v/>
      </c>
      <c r="I36" s="19">
        <f>_xll.RssMarket("6963","出来高")</f>
        <v>3611500</v>
      </c>
      <c r="J36" s="8">
        <v>4975</v>
      </c>
      <c r="K36" s="8">
        <v>4788</v>
      </c>
      <c r="L36" s="8">
        <f>_xll.RssMarket("6963","前日終値")</f>
        <v>4830</v>
      </c>
      <c r="M36" s="5" t="str">
        <f t="shared" si="10"/>
        <v>BUY-DAY</v>
      </c>
      <c r="N36" s="9">
        <f>IF(OR(E36="",F36="",G36=""),"",IF(AD36&gt;0,AD36,(F36-G36)/SQRT(操作パネル_MS2!$H$12)*操作パネル_MS2!$H$10))</f>
        <v>10.463763412664191</v>
      </c>
      <c r="O36" s="5" t="str">
        <f>IF(OR(E36="",AC36=""),"",IF(AC36&gt;=操作パネル_MS2!$H$3,"VOL-OK","VOL-NG"))</f>
        <v>VOL-OK</v>
      </c>
      <c r="P36" s="5" t="str">
        <f t="shared" si="2"/>
        <v>OFF</v>
      </c>
      <c r="Q36" s="5" t="str">
        <f t="shared" si="3"/>
        <v>OFF</v>
      </c>
      <c r="R36" s="5" t="str">
        <f t="shared" si="4"/>
        <v/>
      </c>
      <c r="S36" s="9" t="str">
        <f t="shared" si="5"/>
        <v/>
      </c>
      <c r="T36" s="9" t="str">
        <f>IF(R36="","",IF(R36="BUY",E36-N36*操作パネル_MS2!$H$5,E36+N36*操作パネル_MS2!$H$5))</f>
        <v/>
      </c>
      <c r="U36" s="9" t="str">
        <f>IF(R36="","",IF(R36="BUY",E36+N36*操作パネル_MS2!$H$6,E36-N36*操作パネル_MS2!$H$6))</f>
        <v/>
      </c>
      <c r="V36" s="9" t="str">
        <f>IF(R36="","",IF(R36="BUY",E36+N36*操作パネル_MS2!$H$7,E36-N36*操作パネル_MS2!$H$7))</f>
        <v/>
      </c>
      <c r="W36" s="9" t="str">
        <f>IF(R36="","",IF(R36="BUY",E36+N36*操作パネル_MS2!$H$8,E36-N36*操作パネル_MS2!$H$8))</f>
        <v/>
      </c>
      <c r="X36" s="5" t="str">
        <f t="shared" si="6"/>
        <v>1ST</v>
      </c>
      <c r="Y36" s="5" t="str">
        <f t="shared" ca="1" si="7"/>
        <v>その他</v>
      </c>
      <c r="Z36" s="5" t="str">
        <f>IF(OR(E36="",N36&lt;=0),"",IF(N36&gt;E36*操作パネル_MS2!$H$4,"VOL-HIGH","VOL-NORMAL"))</f>
        <v>VOL-NORMAL</v>
      </c>
      <c r="AA36" s="5" t="str">
        <f t="shared" si="8"/>
        <v>OK</v>
      </c>
      <c r="AB36" s="5" t="str">
        <f t="shared" si="9"/>
        <v>DOWN</v>
      </c>
      <c r="AC36" s="30">
        <f>IF(C36="","",_xll.RssMarket(C36&amp;"","売買代金"))</f>
        <v>17323490</v>
      </c>
      <c r="AD36" s="31">
        <f>IFERROR(INDEX(ATRHIST_MS2!$H:$H,MATCH(C36,ATRHIST_MS2!$A:$A,0)),0)</f>
        <v>10.463763412664191</v>
      </c>
    </row>
    <row r="37" spans="1:30" ht="25.95" customHeight="1">
      <c r="A37" s="10">
        <f t="shared" si="0"/>
        <v>35</v>
      </c>
      <c r="B37" s="11" t="str">
        <f>IF(StockList_MS2!A81="","",HYPERLINK("https://kabutan.jp/stock/?code="&amp;StockList_MS2!A81,"株探"))</f>
        <v>株探</v>
      </c>
      <c r="C37" s="10">
        <f>IF(StockList_MS2!A81="","",StockList_MS2!A81)</f>
        <v>3861</v>
      </c>
      <c r="D37" s="12" t="str">
        <f>IF(StockList_MS2!A81="","",StockList_MS2!B81)</f>
        <v>王子ホールディングス</v>
      </c>
      <c r="E37" s="13">
        <f>_xll.RssMarket("3861","現在値")</f>
        <v>883.2</v>
      </c>
      <c r="F37" s="13">
        <f>_xll.RssMarket("3861","高値")</f>
        <v>886.7</v>
      </c>
      <c r="G37" s="13">
        <f>_xll.RssMarket("3861","安値")</f>
        <v>877.9</v>
      </c>
      <c r="H37" s="13" t="str">
        <f>_xll.RssMarket("3861","終値")</f>
        <v/>
      </c>
      <c r="I37" s="20">
        <f>_xll.RssMarket("3861","出来高")</f>
        <v>3671900</v>
      </c>
      <c r="J37" s="13">
        <v>881.5</v>
      </c>
      <c r="K37" s="13">
        <v>873.5</v>
      </c>
      <c r="L37" s="13">
        <f>_xll.RssMarket("3861","前日終値")</f>
        <v>881.5</v>
      </c>
      <c r="M37" s="5" t="str">
        <f t="shared" si="10"/>
        <v>BUY-DAY</v>
      </c>
      <c r="N37" s="9">
        <f>IF(OR(E37="",F37="",G37=""),"",IF(AD37&gt;0,AD37,(F37-G37)/SQRT(操作パネル_MS2!$H$12)*操作パネル_MS2!$H$10))</f>
        <v>0.84613155599500534</v>
      </c>
      <c r="O37" s="5" t="str">
        <f>IF(OR(E37="",AC37=""),"",IF(AC37&gt;=操作パネル_MS2!$H$3,"VOL-OK","VOL-NG"))</f>
        <v>VOL-OK</v>
      </c>
      <c r="P37" s="5" t="str">
        <f t="shared" si="2"/>
        <v>ON</v>
      </c>
      <c r="Q37" s="5" t="str">
        <f t="shared" si="3"/>
        <v>OFF</v>
      </c>
      <c r="R37" s="5" t="str">
        <f t="shared" si="4"/>
        <v>BUY</v>
      </c>
      <c r="S37" s="9">
        <f t="shared" si="5"/>
        <v>883.2</v>
      </c>
      <c r="T37" s="9">
        <f>IF(R37="","",IF(R37="BUY",E37-N37*操作パネル_MS2!$H$5,E37+N37*操作パネル_MS2!$H$5))</f>
        <v>881.93080266600759</v>
      </c>
      <c r="U37" s="9">
        <f>IF(R37="","",IF(R37="BUY",E37+N37*操作パネル_MS2!$H$6,E37-N37*操作パネル_MS2!$H$6))</f>
        <v>884.4691973339925</v>
      </c>
      <c r="V37" s="9">
        <f>IF(R37="","",IF(R37="BUY",E37+N37*操作パネル_MS2!$H$7,E37-N37*操作パネル_MS2!$H$7))</f>
        <v>884.89226311199002</v>
      </c>
      <c r="W37" s="9">
        <f>IF(R37="","",IF(R37="BUY",E37+N37*操作パネル_MS2!$H$8,E37-N37*操作パネル_MS2!$H$8))</f>
        <v>885.73839466798506</v>
      </c>
      <c r="X37" s="5" t="str">
        <f t="shared" si="6"/>
        <v>1ST</v>
      </c>
      <c r="Y37" s="5" t="str">
        <f t="shared" ca="1" si="7"/>
        <v>その他</v>
      </c>
      <c r="Z37" s="5" t="str">
        <f>IF(OR(E37="",N37&lt;=0),"",IF(N37&gt;E37*操作パネル_MS2!$H$4,"VOL-HIGH","VOL-NORMAL"))</f>
        <v>VOL-NORMAL</v>
      </c>
      <c r="AA37" s="5" t="str">
        <f t="shared" si="8"/>
        <v>OK</v>
      </c>
      <c r="AB37" s="5" t="str">
        <f t="shared" si="9"/>
        <v>UP</v>
      </c>
      <c r="AC37" s="30">
        <f>IF(C37="","",_xll.RssMarket(C37&amp;"","売買代金"))</f>
        <v>3243776</v>
      </c>
      <c r="AD37" s="31">
        <f>IFERROR(INDEX(ATRHIST_MS2!$H:$H,MATCH(C37,ATRHIST_MS2!$A:$A,0)),0)</f>
        <v>0.84613155599500534</v>
      </c>
    </row>
    <row r="38" spans="1:30" ht="25.95" customHeight="1">
      <c r="A38" s="10">
        <f t="shared" si="0"/>
        <v>36</v>
      </c>
      <c r="B38" s="11" t="str">
        <f>IF(StockList_MS2!A83="","",HYPERLINK("https://kabutan.jp/stock/?code="&amp;StockList_MS2!A83,"株探"))</f>
        <v>株探</v>
      </c>
      <c r="C38" s="10">
        <f>IF(StockList_MS2!A83="","",StockList_MS2!A83)</f>
        <v>7261</v>
      </c>
      <c r="D38" s="12" t="str">
        <f>IF(StockList_MS2!A83="","",StockList_MS2!B83)</f>
        <v>マツダ</v>
      </c>
      <c r="E38" s="13">
        <f>_xll.RssMarket("7261","現在値")</f>
        <v>1232</v>
      </c>
      <c r="F38" s="13">
        <f>_xll.RssMarket("7261","高値")</f>
        <v>1232.5</v>
      </c>
      <c r="G38" s="13">
        <f>_xll.RssMarket("7261","安値")</f>
        <v>1207</v>
      </c>
      <c r="H38" s="13" t="str">
        <f>_xll.RssMarket("7261","終値")</f>
        <v/>
      </c>
      <c r="I38" s="20">
        <f>_xll.RssMarket("7261","出来高")</f>
        <v>6186900</v>
      </c>
      <c r="J38" s="13">
        <v>1224</v>
      </c>
      <c r="K38" s="13">
        <v>1201</v>
      </c>
      <c r="L38" s="13">
        <f>_xll.RssMarket("7261","前日終値")</f>
        <v>1216</v>
      </c>
      <c r="M38" s="5" t="str">
        <f t="shared" si="10"/>
        <v>BUY-DAY</v>
      </c>
      <c r="N38" s="9">
        <f>IF(OR(E38="",F38="",G38=""),"",IF(AD38&gt;0,AD38,(F38-G38)/SQRT(操作パネル_MS2!$H$12)*操作パネル_MS2!$H$10))</f>
        <v>1.4476243442081618</v>
      </c>
      <c r="O38" s="5" t="str">
        <f>IF(OR(E38="",AC38=""),"",IF(AC38&gt;=操作パネル_MS2!$H$3,"VOL-OK","VOL-NG"))</f>
        <v>VOL-OK</v>
      </c>
      <c r="P38" s="5" t="str">
        <f t="shared" si="2"/>
        <v>ON</v>
      </c>
      <c r="Q38" s="5" t="str">
        <f t="shared" si="3"/>
        <v>OFF</v>
      </c>
      <c r="R38" s="5" t="str">
        <f t="shared" si="4"/>
        <v>BUY</v>
      </c>
      <c r="S38" s="9">
        <f t="shared" si="5"/>
        <v>1232</v>
      </c>
      <c r="T38" s="9">
        <f>IF(R38="","",IF(R38="BUY",E38-N38*操作パネル_MS2!$H$5,E38+N38*操作パネル_MS2!$H$5))</f>
        <v>1229.8285634836877</v>
      </c>
      <c r="U38" s="9">
        <f>IF(R38="","",IF(R38="BUY",E38+N38*操作パネル_MS2!$H$6,E38-N38*操作パネル_MS2!$H$6))</f>
        <v>1234.1714365163123</v>
      </c>
      <c r="V38" s="9">
        <f>IF(R38="","",IF(R38="BUY",E38+N38*操作パネル_MS2!$H$7,E38-N38*操作パネル_MS2!$H$7))</f>
        <v>1234.8952486884164</v>
      </c>
      <c r="W38" s="9">
        <f>IF(R38="","",IF(R38="BUY",E38+N38*操作パネル_MS2!$H$8,E38-N38*操作パネル_MS2!$H$8))</f>
        <v>1236.3428730326245</v>
      </c>
      <c r="X38" s="5" t="str">
        <f t="shared" si="6"/>
        <v>1ST</v>
      </c>
      <c r="Y38" s="5" t="str">
        <f t="shared" ca="1" si="7"/>
        <v>その他</v>
      </c>
      <c r="Z38" s="5" t="str">
        <f>IF(OR(E38="",N38&lt;=0),"",IF(N38&gt;E38*操作パネル_MS2!$H$4,"VOL-HIGH","VOL-NORMAL"))</f>
        <v>VOL-NORMAL</v>
      </c>
      <c r="AA38" s="5" t="str">
        <f t="shared" si="8"/>
        <v>OK</v>
      </c>
      <c r="AB38" s="5" t="str">
        <f t="shared" si="9"/>
        <v>UP</v>
      </c>
      <c r="AC38" s="30">
        <f>IF(C38="","",_xll.RssMarket(C38&amp;"","売買代金"))</f>
        <v>7589060</v>
      </c>
      <c r="AD38" s="31">
        <f>IFERROR(INDEX(ATRHIST_MS2!$H:$H,MATCH(C38,ATRHIST_MS2!$A:$A,0)),0)</f>
        <v>1.4476243442081618</v>
      </c>
    </row>
    <row r="39" spans="1:30" ht="25.95" customHeight="1">
      <c r="A39" s="5">
        <f t="shared" si="0"/>
        <v>37</v>
      </c>
      <c r="B39" s="6" t="str">
        <f>IF(StockList_MS2!A84="","",HYPERLINK("https://kabutan.jp/stock/?code="&amp;StockList_MS2!A84,"株探"))</f>
        <v>株探</v>
      </c>
      <c r="C39" s="5">
        <f>IF(StockList_MS2!A84="","",StockList_MS2!A84)</f>
        <v>8601</v>
      </c>
      <c r="D39" s="7" t="str">
        <f>IF(StockList_MS2!A84="","",StockList_MS2!B84)</f>
        <v>大和証券Ｇ本社</v>
      </c>
      <c r="E39" s="8">
        <f>_xll.RssMarket("8601","現在値")</f>
        <v>1843.5</v>
      </c>
      <c r="F39" s="8">
        <f>_xll.RssMarket("8601","高値")</f>
        <v>1857</v>
      </c>
      <c r="G39" s="8">
        <f>_xll.RssMarket("8601","安値")</f>
        <v>1826.5</v>
      </c>
      <c r="H39" s="8" t="str">
        <f>_xll.RssMarket("8601","終値")</f>
        <v/>
      </c>
      <c r="I39" s="19">
        <f>_xll.RssMarket("8601","出来高")</f>
        <v>7550000</v>
      </c>
      <c r="J39" s="8">
        <v>1874</v>
      </c>
      <c r="K39" s="8">
        <v>1823.5</v>
      </c>
      <c r="L39" s="8">
        <f>_xll.RssMarket("8601","前日終値")</f>
        <v>1863</v>
      </c>
      <c r="M39" s="5" t="str">
        <f t="shared" si="10"/>
        <v>SELL-DAY</v>
      </c>
      <c r="N39" s="9">
        <f>IF(OR(E39="",F39="",G39=""),"",IF(AD39&gt;0,AD39,(F39-G39)/SQRT(操作パネル_MS2!$H$12)*操作パネル_MS2!$H$10))</f>
        <v>2.4220239613656642</v>
      </c>
      <c r="O39" s="5" t="str">
        <f>IF(OR(E39="",AC39=""),"",IF(AC39&gt;=操作パネル_MS2!$H$3,"VOL-OK","VOL-NG"))</f>
        <v>VOL-OK</v>
      </c>
      <c r="P39" s="5" t="str">
        <f t="shared" si="2"/>
        <v>OFF</v>
      </c>
      <c r="Q39" s="5" t="str">
        <f t="shared" si="3"/>
        <v>OFF</v>
      </c>
      <c r="R39" s="5" t="str">
        <f t="shared" si="4"/>
        <v/>
      </c>
      <c r="S39" s="9" t="str">
        <f t="shared" si="5"/>
        <v/>
      </c>
      <c r="T39" s="9" t="str">
        <f>IF(R39="","",IF(R39="BUY",E39-N39*操作パネル_MS2!$H$5,E39+N39*操作パネル_MS2!$H$5))</f>
        <v/>
      </c>
      <c r="U39" s="9" t="str">
        <f>IF(R39="","",IF(R39="BUY",E39+N39*操作パネル_MS2!$H$6,E39-N39*操作パネル_MS2!$H$6))</f>
        <v/>
      </c>
      <c r="V39" s="9" t="str">
        <f>IF(R39="","",IF(R39="BUY",E39+N39*操作パネル_MS2!$H$7,E39-N39*操作パネル_MS2!$H$7))</f>
        <v/>
      </c>
      <c r="W39" s="9" t="str">
        <f>IF(R39="","",IF(R39="BUY",E39+N39*操作パネル_MS2!$H$8,E39-N39*操作パネル_MS2!$H$8))</f>
        <v/>
      </c>
      <c r="X39" s="5" t="str">
        <f t="shared" si="6"/>
        <v>1ST</v>
      </c>
      <c r="Y39" s="5" t="str">
        <f t="shared" ca="1" si="7"/>
        <v>その他</v>
      </c>
      <c r="Z39" s="5" t="str">
        <f>IF(OR(E39="",N39&lt;=0),"",IF(N39&gt;E39*操作パネル_MS2!$H$4,"VOL-HIGH","VOL-NORMAL"))</f>
        <v>VOL-NORMAL</v>
      </c>
      <c r="AA39" s="5" t="str">
        <f t="shared" si="8"/>
        <v>OK</v>
      </c>
      <c r="AB39" s="5" t="str">
        <f t="shared" si="9"/>
        <v>FLAT</v>
      </c>
      <c r="AC39" s="30">
        <f>IF(C39="","",_xll.RssMarket(C39&amp;"","売買代金"))</f>
        <v>13919472</v>
      </c>
      <c r="AD39" s="31">
        <f>IFERROR(INDEX(ATRHIST_MS2!$H:$H,MATCH(C39,ATRHIST_MS2!$A:$A,0)),0)</f>
        <v>2.4220239613656642</v>
      </c>
    </row>
    <row r="40" spans="1:30" ht="25.95" customHeight="1">
      <c r="A40" s="5">
        <f t="shared" si="0"/>
        <v>38</v>
      </c>
      <c r="B40" s="6" t="str">
        <f>IF(StockList_MS2!A86="","",HYPERLINK("https://kabutan.jp/stock/?code="&amp;StockList_MS2!A86,"株探"))</f>
        <v>株探</v>
      </c>
      <c r="C40" s="5">
        <f>IF(StockList_MS2!A86="","",StockList_MS2!A86)</f>
        <v>2413</v>
      </c>
      <c r="D40" s="7" t="str">
        <f>IF(StockList_MS2!A86="","",StockList_MS2!B86)</f>
        <v>エムスリー</v>
      </c>
      <c r="E40" s="8">
        <f>_xll.RssMarket("2413","現在値")</f>
        <v>1834</v>
      </c>
      <c r="F40" s="8">
        <f>_xll.RssMarket("2413","高値")</f>
        <v>1877</v>
      </c>
      <c r="G40" s="8">
        <f>_xll.RssMarket("2413","安値")</f>
        <v>1828</v>
      </c>
      <c r="H40" s="8" t="str">
        <f>_xll.RssMarket("2413","終値")</f>
        <v/>
      </c>
      <c r="I40" s="19">
        <f>_xll.RssMarket("2413","出来高")</f>
        <v>3618600</v>
      </c>
      <c r="J40" s="8">
        <v>1870</v>
      </c>
      <c r="K40" s="8">
        <v>1780</v>
      </c>
      <c r="L40" s="8">
        <f>_xll.RssMarket("2413","前日終値")</f>
        <v>1855</v>
      </c>
      <c r="M40" s="5" t="str">
        <f t="shared" si="10"/>
        <v>SELL-DAY</v>
      </c>
      <c r="N40" s="9">
        <f>IF(OR(E40="",F40="",G40=""),"",IF(AD40&gt;0,AD40,(F40-G40)/SQRT(操作パネル_MS2!$H$12)*操作パネル_MS2!$H$10))</f>
        <v>3.21923848676541</v>
      </c>
      <c r="O40" s="5" t="str">
        <f>IF(OR(E40="",AC40=""),"",IF(AC40&gt;=操作パネル_MS2!$H$3,"VOL-OK","VOL-NG"))</f>
        <v>VOL-OK</v>
      </c>
      <c r="P40" s="5" t="str">
        <f t="shared" si="2"/>
        <v>OFF</v>
      </c>
      <c r="Q40" s="5" t="str">
        <f t="shared" si="3"/>
        <v>OFF</v>
      </c>
      <c r="R40" s="5" t="str">
        <f t="shared" si="4"/>
        <v/>
      </c>
      <c r="S40" s="9" t="str">
        <f t="shared" si="5"/>
        <v/>
      </c>
      <c r="T40" s="9" t="str">
        <f>IF(R40="","",IF(R40="BUY",E40-N40*操作パネル_MS2!$H$5,E40+N40*操作パネル_MS2!$H$5))</f>
        <v/>
      </c>
      <c r="U40" s="9" t="str">
        <f>IF(R40="","",IF(R40="BUY",E40+N40*操作パネル_MS2!$H$6,E40-N40*操作パネル_MS2!$H$6))</f>
        <v/>
      </c>
      <c r="V40" s="9" t="str">
        <f>IF(R40="","",IF(R40="BUY",E40+N40*操作パネル_MS2!$H$7,E40-N40*操作パネル_MS2!$H$7))</f>
        <v/>
      </c>
      <c r="W40" s="9" t="str">
        <f>IF(R40="","",IF(R40="BUY",E40+N40*操作パネル_MS2!$H$8,E40-N40*操作パネル_MS2!$H$8))</f>
        <v/>
      </c>
      <c r="X40" s="5" t="str">
        <f t="shared" si="6"/>
        <v>1ST</v>
      </c>
      <c r="Y40" s="5" t="str">
        <f t="shared" ca="1" si="7"/>
        <v>その他</v>
      </c>
      <c r="Z40" s="5" t="str">
        <f>IF(OR(E40="",N40&lt;=0),"",IF(N40&gt;E40*操作パネル_MS2!$H$4,"VOL-HIGH","VOL-NORMAL"))</f>
        <v>VOL-NORMAL</v>
      </c>
      <c r="AA40" s="5" t="str">
        <f t="shared" si="8"/>
        <v>OK</v>
      </c>
      <c r="AB40" s="5" t="str">
        <f t="shared" si="9"/>
        <v>UP</v>
      </c>
      <c r="AC40" s="30">
        <f>IF(C40="","",_xll.RssMarket(C40&amp;"","売買代金"))</f>
        <v>6656203</v>
      </c>
      <c r="AD40" s="31">
        <f>IFERROR(INDEX(ATRHIST_MS2!$H:$H,MATCH(C40,ATRHIST_MS2!$A:$A,0)),0)</f>
        <v>3.21923848676541</v>
      </c>
    </row>
    <row r="41" spans="1:30" ht="25.95" customHeight="1">
      <c r="A41" s="5">
        <f t="shared" si="0"/>
        <v>39</v>
      </c>
      <c r="B41" s="6" t="str">
        <f>IF(StockList_MS2!A88="","",HYPERLINK("https://kabutan.jp/stock/?code="&amp;StockList_MS2!A88,"株探"))</f>
        <v>株探</v>
      </c>
      <c r="C41" s="5">
        <f>IF(StockList_MS2!A88="","",StockList_MS2!A88)</f>
        <v>4307</v>
      </c>
      <c r="D41" s="7" t="str">
        <f>IF(StockList_MS2!A88="","",StockList_MS2!B88)</f>
        <v>野村総合研究所</v>
      </c>
      <c r="E41" s="8">
        <f>_xll.RssMarket("4307","現在値")</f>
        <v>5291</v>
      </c>
      <c r="F41" s="8">
        <f>_xll.RssMarket("4307","高値")</f>
        <v>5291</v>
      </c>
      <c r="G41" s="8">
        <f>_xll.RssMarket("4307","安値")</f>
        <v>5208</v>
      </c>
      <c r="H41" s="8" t="str">
        <f>_xll.RssMarket("4307","終値")</f>
        <v/>
      </c>
      <c r="I41" s="19">
        <f>_xll.RssMarket("4307","出来高")</f>
        <v>3589700</v>
      </c>
      <c r="J41" s="8">
        <v>5315</v>
      </c>
      <c r="K41" s="8">
        <v>5076</v>
      </c>
      <c r="L41" s="8">
        <f>_xll.RssMarket("4307","前日終値")</f>
        <v>5266</v>
      </c>
      <c r="M41" s="5" t="str">
        <f t="shared" si="10"/>
        <v>BUY-DAY</v>
      </c>
      <c r="N41" s="9">
        <f>IF(OR(E41="",F41="",G41=""),"",IF(AD41&gt;0,AD41,(F41-G41)/SQRT(操作パネル_MS2!$H$12)*操作パネル_MS2!$H$10))</f>
        <v>7.2202588687082656</v>
      </c>
      <c r="O41" s="5" t="str">
        <f>IF(OR(E41="",AC41=""),"",IF(AC41&gt;=操作パネル_MS2!$H$3,"VOL-OK","VOL-NG"))</f>
        <v>VOL-OK</v>
      </c>
      <c r="P41" s="5" t="str">
        <f t="shared" si="2"/>
        <v>OFF</v>
      </c>
      <c r="Q41" s="5" t="str">
        <f t="shared" si="3"/>
        <v>OFF</v>
      </c>
      <c r="R41" s="5" t="str">
        <f t="shared" si="4"/>
        <v/>
      </c>
      <c r="S41" s="9" t="str">
        <f t="shared" si="5"/>
        <v/>
      </c>
      <c r="T41" s="9" t="str">
        <f>IF(R41="","",IF(R41="BUY",E41-N41*操作パネル_MS2!$H$5,E41+N41*操作パネル_MS2!$H$5))</f>
        <v/>
      </c>
      <c r="U41" s="9" t="str">
        <f>IF(R41="","",IF(R41="BUY",E41+N41*操作パネル_MS2!$H$6,E41-N41*操作パネル_MS2!$H$6))</f>
        <v/>
      </c>
      <c r="V41" s="9" t="str">
        <f>IF(R41="","",IF(R41="BUY",E41+N41*操作パネル_MS2!$H$7,E41-N41*操作パネル_MS2!$H$7))</f>
        <v/>
      </c>
      <c r="W41" s="9" t="str">
        <f>IF(R41="","",IF(R41="BUY",E41+N41*操作パネル_MS2!$H$8,E41-N41*操作パネル_MS2!$H$8))</f>
        <v/>
      </c>
      <c r="X41" s="5" t="str">
        <f t="shared" si="6"/>
        <v>1ST</v>
      </c>
      <c r="Y41" s="5" t="str">
        <f t="shared" ca="1" si="7"/>
        <v>その他</v>
      </c>
      <c r="Z41" s="5" t="str">
        <f>IF(OR(E41="",N41&lt;=0),"",IF(N41&gt;E41*操作パネル_MS2!$H$4,"VOL-HIGH","VOL-NORMAL"))</f>
        <v>VOL-NORMAL</v>
      </c>
      <c r="AA41" s="5" t="str">
        <f t="shared" si="8"/>
        <v>OK</v>
      </c>
      <c r="AB41" s="5" t="str">
        <f t="shared" si="9"/>
        <v>FLAT</v>
      </c>
      <c r="AC41" s="30">
        <f>IF(C41="","",_xll.RssMarket(C41&amp;"","売買代金"))</f>
        <v>18916782</v>
      </c>
      <c r="AD41" s="31">
        <f>IFERROR(INDEX(ATRHIST_MS2!$H:$H,MATCH(C41,ATRHIST_MS2!$A:$A,0)),0)</f>
        <v>7.2202588687082656</v>
      </c>
    </row>
    <row r="42" spans="1:30" ht="25.95" customHeight="1">
      <c r="A42" s="10">
        <f t="shared" si="0"/>
        <v>40</v>
      </c>
      <c r="B42" s="11" t="str">
        <f>IF(StockList_MS2!A89="","",HYPERLINK("https://kabutan.jp/stock/?code="&amp;StockList_MS2!A89,"株探"))</f>
        <v>株探</v>
      </c>
      <c r="C42" s="10">
        <f>IF(StockList_MS2!A89="","",StockList_MS2!A89)</f>
        <v>3110</v>
      </c>
      <c r="D42" s="12" t="str">
        <f>IF(StockList_MS2!A89="","",StockList_MS2!B89)</f>
        <v>日東紡績</v>
      </c>
      <c r="E42" s="13">
        <f>_xll.RssMarket("3110","現在値")</f>
        <v>3200</v>
      </c>
      <c r="F42" s="13">
        <f>_xll.RssMarket("3110","高値")</f>
        <v>3205</v>
      </c>
      <c r="G42" s="13">
        <f>_xll.RssMarket("3110","安値")</f>
        <v>2901</v>
      </c>
      <c r="H42" s="13" t="str">
        <f>_xll.RssMarket("3110","終値")</f>
        <v/>
      </c>
      <c r="I42" s="20">
        <f>_xll.RssMarket("3110","出来高")</f>
        <v>5473500</v>
      </c>
      <c r="J42" s="13">
        <v>3085</v>
      </c>
      <c r="K42" s="13">
        <v>2981</v>
      </c>
      <c r="L42" s="13">
        <f>_xll.RssMarket("3110","前日終値")</f>
        <v>3035</v>
      </c>
      <c r="M42" s="5" t="str">
        <f t="shared" si="10"/>
        <v>BUY-DAY</v>
      </c>
      <c r="N42" s="9">
        <f>IF(OR(E42="",F42="",G42=""),"",IF(AD42&gt;0,AD42,(F42-G42)/SQRT(操作パネル_MS2!$H$12)*操作パネル_MS2!$H$10))</f>
        <v>10.069746885647652</v>
      </c>
      <c r="O42" s="5" t="str">
        <f>IF(OR(E42="",AC42=""),"",IF(AC42&gt;=操作パネル_MS2!$H$3,"VOL-OK","VOL-NG"))</f>
        <v>VOL-OK</v>
      </c>
      <c r="P42" s="5" t="str">
        <f t="shared" si="2"/>
        <v>ON</v>
      </c>
      <c r="Q42" s="5" t="str">
        <f t="shared" si="3"/>
        <v>OFF</v>
      </c>
      <c r="R42" s="5" t="str">
        <f t="shared" si="4"/>
        <v>BUY</v>
      </c>
      <c r="S42" s="9">
        <f t="shared" si="5"/>
        <v>3200</v>
      </c>
      <c r="T42" s="9">
        <f>IF(R42="","",IF(R42="BUY",E42-N42*操作パネル_MS2!$H$5,E42+N42*操作パネル_MS2!$H$5))</f>
        <v>3184.8953796715286</v>
      </c>
      <c r="U42" s="9">
        <f>IF(R42="","",IF(R42="BUY",E42+N42*操作パネル_MS2!$H$6,E42-N42*操作パネル_MS2!$H$6))</f>
        <v>3215.1046203284714</v>
      </c>
      <c r="V42" s="9">
        <f>IF(R42="","",IF(R42="BUY",E42+N42*操作パネル_MS2!$H$7,E42-N42*操作パネル_MS2!$H$7))</f>
        <v>3220.1394937712953</v>
      </c>
      <c r="W42" s="9">
        <f>IF(R42="","",IF(R42="BUY",E42+N42*操作パネル_MS2!$H$8,E42-N42*操作パネル_MS2!$H$8))</f>
        <v>3230.2092406569432</v>
      </c>
      <c r="X42" s="5" t="str">
        <f t="shared" si="6"/>
        <v>1ST</v>
      </c>
      <c r="Y42" s="5" t="str">
        <f t="shared" ca="1" si="7"/>
        <v>その他</v>
      </c>
      <c r="Z42" s="5" t="str">
        <f>IF(OR(E42="",N42&lt;=0),"",IF(N42&gt;E42*操作パネル_MS2!$H$4,"VOL-HIGH","VOL-NORMAL"))</f>
        <v>VOL-NORMAL</v>
      </c>
      <c r="AA42" s="5" t="str">
        <f t="shared" si="8"/>
        <v>OK</v>
      </c>
      <c r="AB42" s="5" t="str">
        <f t="shared" si="9"/>
        <v>FLAT</v>
      </c>
      <c r="AC42" s="30">
        <f>IF(C42="","",_xll.RssMarket(C42&amp;"","売買代金"))</f>
        <v>17014453</v>
      </c>
      <c r="AD42" s="31">
        <f>IFERROR(INDEX(ATRHIST_MS2!$H:$H,MATCH(C42,ATRHIST_MS2!$A:$A,0)),0)</f>
        <v>10.069746885647652</v>
      </c>
    </row>
    <row r="43" spans="1:30" ht="25.95" customHeight="1">
      <c r="A43" s="5">
        <f t="shared" si="0"/>
        <v>41</v>
      </c>
      <c r="B43" s="6" t="str">
        <f>IF(StockList_MS2!A90="","",HYPERLINK("https://kabutan.jp/stock/?code="&amp;StockList_MS2!A90,"株探"))</f>
        <v>株探</v>
      </c>
      <c r="C43" s="5">
        <f>IF(StockList_MS2!A90="","",StockList_MS2!A90)</f>
        <v>8593</v>
      </c>
      <c r="D43" s="7" t="str">
        <f>IF(StockList_MS2!A90="","",StockList_MS2!B90)</f>
        <v>三菱ＨＣキャピタル</v>
      </c>
      <c r="E43" s="8">
        <f>_xll.RssMarket("8593","現在値")</f>
        <v>1394</v>
      </c>
      <c r="F43" s="8">
        <f>_xll.RssMarket("8593","高値")</f>
        <v>1401</v>
      </c>
      <c r="G43" s="8">
        <f>_xll.RssMarket("8593","安値")</f>
        <v>1385</v>
      </c>
      <c r="H43" s="8" t="str">
        <f>_xll.RssMarket("8593","終値")</f>
        <v/>
      </c>
      <c r="I43" s="19">
        <f>_xll.RssMarket("8593","出来高")</f>
        <v>6503000</v>
      </c>
      <c r="J43" s="8">
        <v>1404.5</v>
      </c>
      <c r="K43" s="8">
        <v>1390</v>
      </c>
      <c r="L43" s="8">
        <f>_xll.RssMarket("8593","前日終値")</f>
        <v>1402.5</v>
      </c>
      <c r="M43" s="5" t="str">
        <f t="shared" si="10"/>
        <v>SELL-DAY</v>
      </c>
      <c r="N43" s="9">
        <f>IF(OR(E43="",F43="",G43=""),"",IF(AD43&gt;0,AD43,(F43-G43)/SQRT(操作パネル_MS2!$H$12)*操作パネル_MS2!$H$10))</f>
        <v>1.0607701348680953</v>
      </c>
      <c r="O43" s="5" t="str">
        <f>IF(OR(E43="",AC43=""),"",IF(AC43&gt;=操作パネル_MS2!$H$3,"VOL-OK","VOL-NG"))</f>
        <v>VOL-OK</v>
      </c>
      <c r="P43" s="5" t="str">
        <f t="shared" si="2"/>
        <v>OFF</v>
      </c>
      <c r="Q43" s="5" t="str">
        <f t="shared" si="3"/>
        <v>OFF</v>
      </c>
      <c r="R43" s="5" t="str">
        <f t="shared" si="4"/>
        <v/>
      </c>
      <c r="S43" s="9" t="str">
        <f t="shared" si="5"/>
        <v/>
      </c>
      <c r="T43" s="9" t="str">
        <f>IF(R43="","",IF(R43="BUY",E43-N43*操作パネル_MS2!$H$5,E43+N43*操作パネル_MS2!$H$5))</f>
        <v/>
      </c>
      <c r="U43" s="9" t="str">
        <f>IF(R43="","",IF(R43="BUY",E43+N43*操作パネル_MS2!$H$6,E43-N43*操作パネル_MS2!$H$6))</f>
        <v/>
      </c>
      <c r="V43" s="9" t="str">
        <f>IF(R43="","",IF(R43="BUY",E43+N43*操作パネル_MS2!$H$7,E43-N43*操作パネル_MS2!$H$7))</f>
        <v/>
      </c>
      <c r="W43" s="9" t="str">
        <f>IF(R43="","",IF(R43="BUY",E43+N43*操作パネル_MS2!$H$8,E43-N43*操作パネル_MS2!$H$8))</f>
        <v/>
      </c>
      <c r="X43" s="5" t="str">
        <f t="shared" si="6"/>
        <v>1ST</v>
      </c>
      <c r="Y43" s="5" t="str">
        <f t="shared" ca="1" si="7"/>
        <v>その他</v>
      </c>
      <c r="Z43" s="5" t="str">
        <f>IF(OR(E43="",N43&lt;=0),"",IF(N43&gt;E43*操作パネル_MS2!$H$4,"VOL-HIGH","VOL-NORMAL"))</f>
        <v>VOL-NORMAL</v>
      </c>
      <c r="AA43" s="5" t="str">
        <f t="shared" si="8"/>
        <v>OK</v>
      </c>
      <c r="AB43" s="5" t="str">
        <f t="shared" si="9"/>
        <v>DOWN</v>
      </c>
      <c r="AC43" s="30">
        <f>IF(C43="","",_xll.RssMarket(C43&amp;"","売買代金"))</f>
        <v>9067124</v>
      </c>
      <c r="AD43" s="31">
        <f>IFERROR(INDEX(ATRHIST_MS2!$H:$H,MATCH(C43,ATRHIST_MS2!$A:$A,0)),0)</f>
        <v>1.0607701348680953</v>
      </c>
    </row>
    <row r="44" spans="1:30" ht="25.95" customHeight="1">
      <c r="A44" s="5">
        <f t="shared" si="0"/>
        <v>42</v>
      </c>
      <c r="B44" s="6" t="str">
        <f>IF(StockList_MS2!A92="","",HYPERLINK("https://kabutan.jp/stock/?code="&amp;StockList_MS2!A92,"株探"))</f>
        <v>株探</v>
      </c>
      <c r="C44" s="5">
        <f>IF(StockList_MS2!A92="","",StockList_MS2!A92)</f>
        <v>2802</v>
      </c>
      <c r="D44" s="7" t="str">
        <f>IF(StockList_MS2!A92="","",StockList_MS2!B92)</f>
        <v>味の素</v>
      </c>
      <c r="E44" s="8">
        <f>_xll.RssMarket("2802","現在値")</f>
        <v>5402</v>
      </c>
      <c r="F44" s="8">
        <f>_xll.RssMarket("2802","高値")</f>
        <v>5458</v>
      </c>
      <c r="G44" s="8">
        <f>_xll.RssMarket("2802","安値")</f>
        <v>5304</v>
      </c>
      <c r="H44" s="8" t="str">
        <f>_xll.RssMarket("2802","終値")</f>
        <v/>
      </c>
      <c r="I44" s="19">
        <f>_xll.RssMarket("2802","出来高")</f>
        <v>2995400</v>
      </c>
      <c r="J44" s="8">
        <v>5509</v>
      </c>
      <c r="K44" s="8">
        <v>5401</v>
      </c>
      <c r="L44" s="8">
        <f>_xll.RssMarket("2802","前日終値")</f>
        <v>5431</v>
      </c>
      <c r="M44" s="5" t="str">
        <f t="shared" si="10"/>
        <v>SELL-DAY</v>
      </c>
      <c r="N44" s="9">
        <f>IF(OR(E44="",F44="",G44=""),"",IF(AD44&gt;0,AD44,(F44-G44)/SQRT(操作パネル_MS2!$H$12)*操作パネル_MS2!$H$10))</f>
        <v>7.3109014935409276</v>
      </c>
      <c r="O44" s="5" t="str">
        <f>IF(OR(E44="",AC44=""),"",IF(AC44&gt;=操作パネル_MS2!$H$3,"VOL-OK","VOL-NG"))</f>
        <v>VOL-OK</v>
      </c>
      <c r="P44" s="5" t="str">
        <f t="shared" si="2"/>
        <v>OFF</v>
      </c>
      <c r="Q44" s="5" t="str">
        <f t="shared" si="3"/>
        <v>OFF</v>
      </c>
      <c r="R44" s="5" t="str">
        <f t="shared" si="4"/>
        <v/>
      </c>
      <c r="S44" s="9" t="str">
        <f t="shared" si="5"/>
        <v/>
      </c>
      <c r="T44" s="9" t="str">
        <f>IF(R44="","",IF(R44="BUY",E44-N44*操作パネル_MS2!$H$5,E44+N44*操作パネル_MS2!$H$5))</f>
        <v/>
      </c>
      <c r="U44" s="9" t="str">
        <f>IF(R44="","",IF(R44="BUY",E44+N44*操作パネル_MS2!$H$6,E44-N44*操作パネル_MS2!$H$6))</f>
        <v/>
      </c>
      <c r="V44" s="9" t="str">
        <f>IF(R44="","",IF(R44="BUY",E44+N44*操作パネル_MS2!$H$7,E44-N44*操作パネル_MS2!$H$7))</f>
        <v/>
      </c>
      <c r="W44" s="9" t="str">
        <f>IF(R44="","",IF(R44="BUY",E44+N44*操作パネル_MS2!$H$8,E44-N44*操作パネル_MS2!$H$8))</f>
        <v/>
      </c>
      <c r="X44" s="5" t="str">
        <f t="shared" si="6"/>
        <v>1ST</v>
      </c>
      <c r="Y44" s="5" t="str">
        <f t="shared" ca="1" si="7"/>
        <v>その他</v>
      </c>
      <c r="Z44" s="5" t="str">
        <f>IF(OR(E44="",N44&lt;=0),"",IF(N44&gt;E44*操作パネル_MS2!$H$4,"VOL-HIGH","VOL-NORMAL"))</f>
        <v>VOL-NORMAL</v>
      </c>
      <c r="AA44" s="5" t="str">
        <f t="shared" si="8"/>
        <v>OK</v>
      </c>
      <c r="AB44" s="5" t="str">
        <f t="shared" si="9"/>
        <v>DOWN</v>
      </c>
      <c r="AC44" s="30">
        <f>IF(C44="","",_xll.RssMarket(C44&amp;"","売買代金"))</f>
        <v>16140346</v>
      </c>
      <c r="AD44" s="31">
        <f>IFERROR(INDEX(ATRHIST_MS2!$H:$H,MATCH(C44,ATRHIST_MS2!$A:$A,0)),0)</f>
        <v>7.3109014935409276</v>
      </c>
    </row>
    <row r="45" spans="1:30" ht="25.95" customHeight="1">
      <c r="A45" s="5">
        <f t="shared" si="0"/>
        <v>43</v>
      </c>
      <c r="B45" s="6" t="str">
        <f>IF(StockList_MS2!A96="","",HYPERLINK("https://kabutan.jp/stock/?code="&amp;StockList_MS2!A96,"株探"))</f>
        <v>株探</v>
      </c>
      <c r="C45" s="5">
        <f>IF(StockList_MS2!A96="","",StockList_MS2!A96)</f>
        <v>8697</v>
      </c>
      <c r="D45" s="7" t="str">
        <f>IF(StockList_MS2!A96="","",StockList_MS2!B96)</f>
        <v>日本取引所グループ</v>
      </c>
      <c r="E45" s="8">
        <f>_xll.RssMarket("8697","現在値")</f>
        <v>2250</v>
      </c>
      <c r="F45" s="8">
        <f>_xll.RssMarket("8697","高値")</f>
        <v>2286</v>
      </c>
      <c r="G45" s="8">
        <f>_xll.RssMarket("8697","安値")</f>
        <v>2250</v>
      </c>
      <c r="H45" s="8" t="str">
        <f>_xll.RssMarket("8697","終値")</f>
        <v/>
      </c>
      <c r="I45" s="19">
        <f>_xll.RssMarket("8697","出来高")</f>
        <v>6808400</v>
      </c>
      <c r="J45" s="8">
        <v>2313</v>
      </c>
      <c r="K45" s="8">
        <v>2280</v>
      </c>
      <c r="L45" s="8">
        <f>_xll.RssMarket("8697","前日終値")</f>
        <v>2293</v>
      </c>
      <c r="M45" s="5" t="str">
        <f t="shared" si="10"/>
        <v>SELL-DAY</v>
      </c>
      <c r="N45" s="9">
        <f>IF(OR(E45="",F45="",G45=""),"",IF(AD45&gt;0,AD45,(F45-G45)/SQRT(操作パネル_MS2!$H$12)*操作パネル_MS2!$H$10))</f>
        <v>3.263843043720414</v>
      </c>
      <c r="O45" s="5" t="str">
        <f>IF(OR(E45="",AC45=""),"",IF(AC45&gt;=操作パネル_MS2!$H$3,"VOL-OK","VOL-NG"))</f>
        <v>VOL-OK</v>
      </c>
      <c r="P45" s="5" t="str">
        <f t="shared" si="2"/>
        <v>OFF</v>
      </c>
      <c r="Q45" s="5" t="str">
        <f t="shared" si="3"/>
        <v>ON</v>
      </c>
      <c r="R45" s="5" t="str">
        <f t="shared" si="4"/>
        <v>SELL</v>
      </c>
      <c r="S45" s="9">
        <f t="shared" si="5"/>
        <v>2250</v>
      </c>
      <c r="T45" s="9">
        <f>IF(R45="","",IF(R45="BUY",E45-N45*操作パネル_MS2!$H$5,E45+N45*操作パネル_MS2!$H$5))</f>
        <v>2254.8957645655805</v>
      </c>
      <c r="U45" s="9">
        <f>IF(R45="","",IF(R45="BUY",E45+N45*操作パネル_MS2!$H$6,E45-N45*操作パネル_MS2!$H$6))</f>
        <v>2245.1042354344195</v>
      </c>
      <c r="V45" s="9">
        <f>IF(R45="","",IF(R45="BUY",E45+N45*操作パネル_MS2!$H$7,E45-N45*操作パネル_MS2!$H$7))</f>
        <v>2243.472313912559</v>
      </c>
      <c r="W45" s="9">
        <f>IF(R45="","",IF(R45="BUY",E45+N45*操作パネル_MS2!$H$8,E45-N45*操作パネル_MS2!$H$8))</f>
        <v>2240.208470868839</v>
      </c>
      <c r="X45" s="5" t="str">
        <f t="shared" si="6"/>
        <v>1ST</v>
      </c>
      <c r="Y45" s="5" t="str">
        <f t="shared" ca="1" si="7"/>
        <v>その他</v>
      </c>
      <c r="Z45" s="5" t="str">
        <f>IF(OR(E45="",N45&lt;=0),"",IF(N45&gt;E45*操作パネル_MS2!$H$4,"VOL-HIGH","VOL-NORMAL"))</f>
        <v>VOL-NORMAL</v>
      </c>
      <c r="AA45" s="5" t="str">
        <f t="shared" si="8"/>
        <v>OK</v>
      </c>
      <c r="AB45" s="5" t="str">
        <f t="shared" si="9"/>
        <v>DOWN</v>
      </c>
      <c r="AC45" s="30">
        <f>IF(C45="","",_xll.RssMarket(C45&amp;"","売買代金"))</f>
        <v>15359234</v>
      </c>
      <c r="AD45" s="31">
        <f>IFERROR(INDEX(ATRHIST_MS2!$H:$H,MATCH(C45,ATRHIST_MS2!$A:$A,0)),0)</f>
        <v>3.263843043720414</v>
      </c>
    </row>
    <row r="46" spans="1:30" ht="25.95" customHeight="1">
      <c r="A46" s="10">
        <f t="shared" si="0"/>
        <v>44</v>
      </c>
      <c r="B46" s="11" t="str">
        <f>IF(StockList_MS2!A99="","",HYPERLINK("https://kabutan.jp/stock/?code="&amp;StockList_MS2!A99,"株探"))</f>
        <v>株探</v>
      </c>
      <c r="C46" s="10">
        <f>IF(StockList_MS2!A99="","",StockList_MS2!A99)</f>
        <v>8031</v>
      </c>
      <c r="D46" s="12" t="str">
        <f>IF(StockList_MS2!A99="","",StockList_MS2!B99)</f>
        <v>三井物産</v>
      </c>
      <c r="E46" s="13">
        <f>_xll.RssMarket("8031","現在値")</f>
        <v>5009</v>
      </c>
      <c r="F46" s="13">
        <f>_xll.RssMarket("8031","高値")</f>
        <v>5030</v>
      </c>
      <c r="G46" s="13">
        <f>_xll.RssMarket("8031","安値")</f>
        <v>4902</v>
      </c>
      <c r="H46" s="13" t="str">
        <f>_xll.RssMarket("8031","終値")</f>
        <v/>
      </c>
      <c r="I46" s="20">
        <f>_xll.RssMarket("8031","出来高")</f>
        <v>7598600</v>
      </c>
      <c r="J46" s="13">
        <v>4988</v>
      </c>
      <c r="K46" s="13">
        <v>4888</v>
      </c>
      <c r="L46" s="13">
        <f>_xll.RssMarket("8031","前日終値")</f>
        <v>4979</v>
      </c>
      <c r="M46" s="5" t="str">
        <f t="shared" si="10"/>
        <v>BUY-DAY</v>
      </c>
      <c r="N46" s="9">
        <f>IF(OR(E46="",F46="",G46=""),"",IF(AD46&gt;0,AD46,(F46-G46)/SQRT(操作パネル_MS2!$H$12)*操作パネル_MS2!$H$10))</f>
        <v>4.2894278053017318</v>
      </c>
      <c r="O46" s="5" t="str">
        <f>IF(OR(E46="",AC46=""),"",IF(AC46&gt;=操作パネル_MS2!$H$3,"VOL-OK","VOL-NG"))</f>
        <v>VOL-OK</v>
      </c>
      <c r="P46" s="5" t="str">
        <f t="shared" si="2"/>
        <v>ON</v>
      </c>
      <c r="Q46" s="5" t="str">
        <f t="shared" si="3"/>
        <v>OFF</v>
      </c>
      <c r="R46" s="5" t="str">
        <f t="shared" si="4"/>
        <v>BUY</v>
      </c>
      <c r="S46" s="9">
        <f t="shared" si="5"/>
        <v>5009</v>
      </c>
      <c r="T46" s="9">
        <f>IF(R46="","",IF(R46="BUY",E46-N46*操作パネル_MS2!$H$5,E46+N46*操作パネル_MS2!$H$5))</f>
        <v>5002.5658582920478</v>
      </c>
      <c r="U46" s="9">
        <f>IF(R46="","",IF(R46="BUY",E46+N46*操作パネル_MS2!$H$6,E46-N46*操作パネル_MS2!$H$6))</f>
        <v>5015.4341417079522</v>
      </c>
      <c r="V46" s="9">
        <f>IF(R46="","",IF(R46="BUY",E46+N46*操作パネル_MS2!$H$7,E46-N46*操作パネル_MS2!$H$7))</f>
        <v>5017.5788556106036</v>
      </c>
      <c r="W46" s="9">
        <f>IF(R46="","",IF(R46="BUY",E46+N46*操作パネル_MS2!$H$8,E46-N46*操作パネル_MS2!$H$8))</f>
        <v>5021.8682834159054</v>
      </c>
      <c r="X46" s="5" t="str">
        <f t="shared" si="6"/>
        <v>1ST</v>
      </c>
      <c r="Y46" s="5" t="str">
        <f t="shared" ca="1" si="7"/>
        <v>その他</v>
      </c>
      <c r="Z46" s="5" t="str">
        <f>IF(OR(E46="",N46&lt;=0),"",IF(N46&gt;E46*操作パネル_MS2!$H$4,"VOL-HIGH","VOL-NORMAL"))</f>
        <v>VOL-NORMAL</v>
      </c>
      <c r="AA46" s="5" t="str">
        <f t="shared" si="8"/>
        <v>OK</v>
      </c>
      <c r="AB46" s="5" t="str">
        <f t="shared" si="9"/>
        <v>UP</v>
      </c>
      <c r="AC46" s="30">
        <f>IF(C46="","",_xll.RssMarket(C46&amp;"","売買代金"))</f>
        <v>37977147</v>
      </c>
      <c r="AD46" s="31">
        <f>IFERROR(INDEX(ATRHIST_MS2!$H:$H,MATCH(C46,ATRHIST_MS2!$A:$A,0)),0)</f>
        <v>4.2894278053017318</v>
      </c>
    </row>
    <row r="47" spans="1:30" ht="25.95" customHeight="1">
      <c r="A47" s="5">
        <f t="shared" si="0"/>
        <v>45</v>
      </c>
      <c r="B47" s="6" t="str">
        <f>IF(StockList_MS2!A4="","",HYPERLINK("https://kabutan.jp/stock/?code="&amp;StockList_MS2!A4,"株探"))</f>
        <v>株探</v>
      </c>
      <c r="C47" s="5">
        <f>IF(StockList_MS2!A4="","",StockList_MS2!A4)</f>
        <v>5803</v>
      </c>
      <c r="D47" s="7" t="str">
        <f>IF(StockList_MS2!A4="","",StockList_MS2!B4)</f>
        <v>フジクラ</v>
      </c>
      <c r="E47" s="8">
        <f>_xll.RssMarket("5803","現在値")</f>
        <v>5504</v>
      </c>
      <c r="F47" s="8">
        <f>_xll.RssMarket("5803","高値")</f>
        <v>5525</v>
      </c>
      <c r="G47" s="8">
        <f>_xll.RssMarket("5803","安値")</f>
        <v>5123</v>
      </c>
      <c r="H47" s="8" t="str">
        <f>_xll.RssMarket("5803","終値")</f>
        <v/>
      </c>
      <c r="I47" s="19">
        <f>_xll.RssMarket("5803","出来高")</f>
        <v>47992900</v>
      </c>
      <c r="J47" s="8">
        <v>5485</v>
      </c>
      <c r="K47" s="8">
        <v>5301</v>
      </c>
      <c r="L47" s="8">
        <f>_xll.RssMarket("5803","前日終値")</f>
        <v>5340</v>
      </c>
      <c r="M47" s="5" t="str">
        <f t="shared" si="10"/>
        <v>BUY-DAY</v>
      </c>
      <c r="N47" s="9">
        <f>IF(OR(E47="",F47="",G47=""),"",IF(AD47&gt;0,AD47,(F47-G47)/SQRT(操作パネル_MS2!$H$12)*操作パネル_MS2!$H$10))</f>
        <v>15.6396956853494</v>
      </c>
      <c r="O47" s="5" t="str">
        <f>IF(OR(E47="",AC47=""),"",IF(AC47&gt;=操作パネル_MS2!$H$3,"VOL-OK","VOL-NG"))</f>
        <v>VOL-OK</v>
      </c>
      <c r="P47" s="5" t="str">
        <f t="shared" si="2"/>
        <v>ON</v>
      </c>
      <c r="Q47" s="5" t="str">
        <f t="shared" si="3"/>
        <v>OFF</v>
      </c>
      <c r="R47" s="5" t="str">
        <f t="shared" si="4"/>
        <v>BUY</v>
      </c>
      <c r="S47" s="9">
        <f t="shared" si="5"/>
        <v>5504</v>
      </c>
      <c r="T47" s="9">
        <f>IF(R47="","",IF(R47="BUY",E47-N47*操作パネル_MS2!$H$5,E47+N47*操作パネル_MS2!$H$5))</f>
        <v>5480.5404564719756</v>
      </c>
      <c r="U47" s="9">
        <f>IF(R47="","",IF(R47="BUY",E47+N47*操作パネル_MS2!$H$6,E47-N47*操作パネル_MS2!$H$6))</f>
        <v>5527.4595435280244</v>
      </c>
      <c r="V47" s="9">
        <f>IF(R47="","",IF(R47="BUY",E47+N47*操作パネル_MS2!$H$7,E47-N47*操作パネル_MS2!$H$7))</f>
        <v>5535.2793913706992</v>
      </c>
      <c r="W47" s="9">
        <f>IF(R47="","",IF(R47="BUY",E47+N47*操作パネル_MS2!$H$8,E47-N47*操作パネル_MS2!$H$8))</f>
        <v>5550.9190870560478</v>
      </c>
      <c r="X47" s="5" t="str">
        <f t="shared" si="6"/>
        <v>1ST</v>
      </c>
      <c r="Y47" s="5" t="str">
        <f t="shared" ca="1" si="7"/>
        <v>その他</v>
      </c>
      <c r="Z47" s="5" t="str">
        <f>IF(OR(E47="",N47&lt;=0),"",IF(N47&gt;E47*操作パネル_MS2!$H$4,"VOL-HIGH","VOL-NORMAL"))</f>
        <v>VOL-NORMAL</v>
      </c>
      <c r="AA47" s="5" t="str">
        <f t="shared" si="8"/>
        <v>OK</v>
      </c>
      <c r="AB47" s="5" t="str">
        <f t="shared" si="9"/>
        <v>FLAT</v>
      </c>
      <c r="AC47" s="30">
        <f>IF(C47="","",_xll.RssMarket(C47&amp;"","売買代金"))</f>
        <v>257546466</v>
      </c>
      <c r="AD47" s="31">
        <f>IFERROR(INDEX(ATRHIST_MS2!$H:$H,MATCH(C47,ATRHIST_MS2!$A:$A,0)),0)</f>
        <v>15.6396956853494</v>
      </c>
    </row>
    <row r="48" spans="1:30" ht="25.95" customHeight="1">
      <c r="A48" s="5">
        <f t="shared" si="0"/>
        <v>46</v>
      </c>
      <c r="B48" s="6" t="str">
        <f>IF(StockList_MS2!A6="","",HYPERLINK("https://kabutan.jp/stock/?code="&amp;StockList_MS2!A6,"株探"))</f>
        <v>株探</v>
      </c>
      <c r="C48" s="5">
        <f>IF(StockList_MS2!A6="","",StockList_MS2!A6)</f>
        <v>8729</v>
      </c>
      <c r="D48" s="7" t="str">
        <f>IF(StockList_MS2!A6="","",StockList_MS2!B6)</f>
        <v>ソニーフィナンシャルグループ</v>
      </c>
      <c r="E48" s="8">
        <f>_xll.RssMarket("8729","現在値")</f>
        <v>158.30000000000001</v>
      </c>
      <c r="F48" s="8">
        <f>_xll.RssMarket("8729","高値")</f>
        <v>163.30000000000001</v>
      </c>
      <c r="G48" s="8">
        <f>_xll.RssMarket("8729","安値")</f>
        <v>158</v>
      </c>
      <c r="H48" s="8" t="str">
        <f>_xll.RssMarket("8729","終値")</f>
        <v/>
      </c>
      <c r="I48" s="19">
        <f>_xll.RssMarket("8729","出来高")</f>
        <v>97537100</v>
      </c>
      <c r="J48" s="8">
        <v>166.3</v>
      </c>
      <c r="K48" s="8">
        <v>161.80000000000001</v>
      </c>
      <c r="L48" s="8">
        <f>_xll.RssMarket("8729","前日終値")</f>
        <v>165.8</v>
      </c>
      <c r="M48" s="5" t="str">
        <f t="shared" si="10"/>
        <v>SELL-DAY</v>
      </c>
      <c r="N48" s="9">
        <f>IF(OR(E48="",F48="",G48=""),"",IF(AD48&gt;0,AD48,(F48-G48)/SQRT(操作パネル_MS2!$H$12)*操作パネル_MS2!$H$10))</f>
        <v>0.24575779560313873</v>
      </c>
      <c r="O48" s="5" t="str">
        <f>IF(OR(E48="",AC48=""),"",IF(AC48&gt;=操作パネル_MS2!$H$3,"VOL-OK","VOL-NG"))</f>
        <v>VOL-OK</v>
      </c>
      <c r="P48" s="5" t="str">
        <f t="shared" si="2"/>
        <v>OFF</v>
      </c>
      <c r="Q48" s="5" t="str">
        <f t="shared" si="3"/>
        <v>ON</v>
      </c>
      <c r="R48" s="5" t="str">
        <f t="shared" si="4"/>
        <v>SELL</v>
      </c>
      <c r="S48" s="9">
        <f t="shared" si="5"/>
        <v>158.30000000000001</v>
      </c>
      <c r="T48" s="9">
        <f>IF(R48="","",IF(R48="BUY",E48-N48*操作パネル_MS2!$H$5,E48+N48*操作パネル_MS2!$H$5))</f>
        <v>158.66863669340472</v>
      </c>
      <c r="U48" s="9">
        <f>IF(R48="","",IF(R48="BUY",E48+N48*操作パネル_MS2!$H$6,E48-N48*操作パネル_MS2!$H$6))</f>
        <v>157.9313633065953</v>
      </c>
      <c r="V48" s="9">
        <f>IF(R48="","",IF(R48="BUY",E48+N48*操作パネル_MS2!$H$7,E48-N48*操作パネル_MS2!$H$7))</f>
        <v>157.80848440879373</v>
      </c>
      <c r="W48" s="9">
        <f>IF(R48="","",IF(R48="BUY",E48+N48*操作パネル_MS2!$H$8,E48-N48*操作パネル_MS2!$H$8))</f>
        <v>157.56272661319059</v>
      </c>
      <c r="X48" s="5" t="str">
        <f t="shared" si="6"/>
        <v>1ST</v>
      </c>
      <c r="Y48" s="5" t="str">
        <f t="shared" ca="1" si="7"/>
        <v>その他</v>
      </c>
      <c r="Z48" s="5" t="str">
        <f>IF(OR(E48="",N48&lt;=0),"",IF(N48&gt;E48*操作パネル_MS2!$H$4,"VOL-HIGH","VOL-NORMAL"))</f>
        <v>VOL-NORMAL</v>
      </c>
      <c r="AA48" s="5" t="str">
        <f t="shared" si="8"/>
        <v>OK</v>
      </c>
      <c r="AB48" s="5" t="str">
        <f t="shared" si="9"/>
        <v>DOWN</v>
      </c>
      <c r="AC48" s="30">
        <f>IF(C48="","",_xll.RssMarket(C48&amp;"","売買代金"))</f>
        <v>15586966</v>
      </c>
      <c r="AD48" s="31">
        <f>IFERROR(INDEX(ATRHIST_MS2!$H:$H,MATCH(C48,ATRHIST_MS2!$A:$A,0)),0)</f>
        <v>0.24575779560313873</v>
      </c>
    </row>
    <row r="49" spans="1:30" ht="25.95" customHeight="1">
      <c r="A49" s="10">
        <f t="shared" si="0"/>
        <v>47</v>
      </c>
      <c r="B49" s="11" t="str">
        <f>IF(StockList_MS2!A7="","",HYPERLINK("https://kabutan.jp/stock/?code="&amp;StockList_MS2!A7,"株探"))</f>
        <v>株探</v>
      </c>
      <c r="C49" s="10">
        <f>IF(StockList_MS2!A7="","",StockList_MS2!A7)</f>
        <v>7201</v>
      </c>
      <c r="D49" s="12" t="str">
        <f>IF(StockList_MS2!A7="","",StockList_MS2!B7)</f>
        <v>日産自動車</v>
      </c>
      <c r="E49" s="13">
        <f>_xll.RssMarket("7201","現在値")</f>
        <v>328.5</v>
      </c>
      <c r="F49" s="13">
        <f>_xll.RssMarket("7201","高値")</f>
        <v>330.1</v>
      </c>
      <c r="G49" s="13">
        <f>_xll.RssMarket("7201","安値")</f>
        <v>319.8</v>
      </c>
      <c r="H49" s="13" t="str">
        <f>_xll.RssMarket("7201","終値")</f>
        <v/>
      </c>
      <c r="I49" s="20">
        <f>_xll.RssMarket("7201","出来高")</f>
        <v>52919100</v>
      </c>
      <c r="J49" s="13">
        <v>322.89999999999998</v>
      </c>
      <c r="K49" s="13">
        <v>312.8</v>
      </c>
      <c r="L49" s="13">
        <f>_xll.RssMarket("7201","前日終値")</f>
        <v>321</v>
      </c>
      <c r="M49" s="5" t="str">
        <f t="shared" si="10"/>
        <v>BUY-DAY</v>
      </c>
      <c r="N49" s="9">
        <f>IF(OR(E49="",F49="",G49=""),"",IF(AD49&gt;0,AD49,(F49-G49)/SQRT(操作パネル_MS2!$H$12)*操作パネル_MS2!$H$10))</f>
        <v>0.67928426042186463</v>
      </c>
      <c r="O49" s="5" t="str">
        <f>IF(OR(E49="",AC49=""),"",IF(AC49&gt;=操作パネル_MS2!$H$3,"VOL-OK","VOL-NG"))</f>
        <v>VOL-OK</v>
      </c>
      <c r="P49" s="5" t="str">
        <f t="shared" si="2"/>
        <v>ON</v>
      </c>
      <c r="Q49" s="5" t="str">
        <f t="shared" si="3"/>
        <v>OFF</v>
      </c>
      <c r="R49" s="5" t="str">
        <f t="shared" si="4"/>
        <v>BUY</v>
      </c>
      <c r="S49" s="9">
        <f t="shared" si="5"/>
        <v>328.5</v>
      </c>
      <c r="T49" s="9">
        <f>IF(R49="","",IF(R49="BUY",E49-N49*操作パネル_MS2!$H$5,E49+N49*操作パネル_MS2!$H$5))</f>
        <v>327.48107360936723</v>
      </c>
      <c r="U49" s="9">
        <f>IF(R49="","",IF(R49="BUY",E49+N49*操作パネル_MS2!$H$6,E49-N49*操作パネル_MS2!$H$6))</f>
        <v>329.51892639063277</v>
      </c>
      <c r="V49" s="9">
        <f>IF(R49="","",IF(R49="BUY",E49+N49*操作パネル_MS2!$H$7,E49-N49*操作パネル_MS2!$H$7))</f>
        <v>329.85856852084373</v>
      </c>
      <c r="W49" s="9">
        <f>IF(R49="","",IF(R49="BUY",E49+N49*操作パネル_MS2!$H$8,E49-N49*操作パネル_MS2!$H$8))</f>
        <v>330.5378527812656</v>
      </c>
      <c r="X49" s="5" t="str">
        <f t="shared" si="6"/>
        <v>1ST</v>
      </c>
      <c r="Y49" s="5" t="str">
        <f t="shared" ca="1" si="7"/>
        <v>その他</v>
      </c>
      <c r="Z49" s="5" t="str">
        <f>IF(OR(E49="",N49&lt;=0),"",IF(N49&gt;E49*操作パネル_MS2!$H$4,"VOL-HIGH","VOL-NORMAL"))</f>
        <v>VOL-NORMAL</v>
      </c>
      <c r="AA49" s="5" t="str">
        <f t="shared" si="8"/>
        <v>OK</v>
      </c>
      <c r="AB49" s="5" t="str">
        <f t="shared" si="9"/>
        <v>UP</v>
      </c>
      <c r="AC49" s="30">
        <f>IF(C49="","",_xll.RssMarket(C49&amp;"","売買代金"))</f>
        <v>17309110</v>
      </c>
      <c r="AD49" s="31">
        <f>IFERROR(INDEX(ATRHIST_MS2!$H:$H,MATCH(C49,ATRHIST_MS2!$A:$A,0)),0)</f>
        <v>0.67928426042186463</v>
      </c>
    </row>
    <row r="50" spans="1:30" ht="25.95" customHeight="1">
      <c r="A50" s="5">
        <f t="shared" si="0"/>
        <v>48</v>
      </c>
      <c r="B50" s="6" t="str">
        <f>IF(StockList_MS2!A8="","",HYPERLINK("https://kabutan.jp/stock/?code="&amp;StockList_MS2!A8,"株探"))</f>
        <v>株探</v>
      </c>
      <c r="C50" s="5">
        <f>IF(StockList_MS2!A8="","",StockList_MS2!A8)</f>
        <v>9984</v>
      </c>
      <c r="D50" s="7" t="str">
        <f>IF(StockList_MS2!A8="","",StockList_MS2!B8)</f>
        <v>ソフトバンクグループ</v>
      </c>
      <c r="E50" s="8">
        <f>_xll.RssMarket("9984","現在値")</f>
        <v>5200</v>
      </c>
      <c r="F50" s="8">
        <f>_xll.RssMarket("9984","高値")</f>
        <v>5213</v>
      </c>
      <c r="G50" s="8">
        <f>_xll.RssMarket("9984","安値")</f>
        <v>4883</v>
      </c>
      <c r="H50" s="8" t="str">
        <f>_xll.RssMarket("9984","終値")</f>
        <v/>
      </c>
      <c r="I50" s="19">
        <f>_xll.RssMarket("9984","出来高")</f>
        <v>32907900</v>
      </c>
      <c r="J50" s="8">
        <v>5263</v>
      </c>
      <c r="K50" s="8">
        <v>5136</v>
      </c>
      <c r="L50" s="8">
        <f>_xll.RssMarket("9984","前日終値")</f>
        <v>5161</v>
      </c>
      <c r="M50" s="5" t="str">
        <f t="shared" si="10"/>
        <v>BUY-DAY</v>
      </c>
      <c r="N50" s="9">
        <f>IF(OR(E50="",F50="",G50=""),"",IF(AD50&gt;0,AD50,(F50-G50)/SQRT(操作パネル_MS2!$H$12)*操作パネル_MS2!$H$10))</f>
        <v>16.355656729889922</v>
      </c>
      <c r="O50" s="5" t="str">
        <f>IF(OR(E50="",AC50=""),"",IF(AC50&gt;=操作パネル_MS2!$H$3,"VOL-OK","VOL-NG"))</f>
        <v>VOL-OK</v>
      </c>
      <c r="P50" s="5" t="str">
        <f t="shared" si="2"/>
        <v>OFF</v>
      </c>
      <c r="Q50" s="5" t="str">
        <f t="shared" si="3"/>
        <v>OFF</v>
      </c>
      <c r="R50" s="5" t="str">
        <f t="shared" si="4"/>
        <v/>
      </c>
      <c r="S50" s="9" t="str">
        <f t="shared" si="5"/>
        <v/>
      </c>
      <c r="T50" s="9" t="str">
        <f>IF(R50="","",IF(R50="BUY",E50-N50*操作パネル_MS2!$H$5,E50+N50*操作パネル_MS2!$H$5))</f>
        <v/>
      </c>
      <c r="U50" s="9" t="str">
        <f>IF(R50="","",IF(R50="BUY",E50+N50*操作パネル_MS2!$H$6,E50-N50*操作パネル_MS2!$H$6))</f>
        <v/>
      </c>
      <c r="V50" s="9" t="str">
        <f>IF(R50="","",IF(R50="BUY",E50+N50*操作パネル_MS2!$H$7,E50-N50*操作パネル_MS2!$H$7))</f>
        <v/>
      </c>
      <c r="W50" s="9" t="str">
        <f>IF(R50="","",IF(R50="BUY",E50+N50*操作パネル_MS2!$H$8,E50-N50*操作パネル_MS2!$H$8))</f>
        <v/>
      </c>
      <c r="X50" s="5" t="str">
        <f t="shared" si="6"/>
        <v>1ST</v>
      </c>
      <c r="Y50" s="5" t="str">
        <f t="shared" ca="1" si="7"/>
        <v>その他</v>
      </c>
      <c r="Z50" s="5" t="str">
        <f>IF(OR(E50="",N50&lt;=0),"",IF(N50&gt;E50*操作パネル_MS2!$H$4,"VOL-HIGH","VOL-NORMAL"))</f>
        <v>VOL-NORMAL</v>
      </c>
      <c r="AA50" s="5" t="str">
        <f t="shared" si="8"/>
        <v>OK</v>
      </c>
      <c r="AB50" s="5" t="str">
        <f t="shared" si="9"/>
        <v>DOWN</v>
      </c>
      <c r="AC50" s="30">
        <f>IF(C50="","",_xll.RssMarket(C50&amp;"","売買代金"))</f>
        <v>167359467</v>
      </c>
      <c r="AD50" s="31">
        <f>IFERROR(INDEX(ATRHIST_MS2!$H:$H,MATCH(C50,ATRHIST_MS2!$A:$A,0)),0)</f>
        <v>16.355656729889922</v>
      </c>
    </row>
    <row r="51" spans="1:30" ht="25.95" customHeight="1">
      <c r="A51" s="10">
        <f t="shared" si="0"/>
        <v>49</v>
      </c>
      <c r="B51" s="11" t="str">
        <f>IF(StockList_MS2!A17="","",HYPERLINK("https://kabutan.jp/stock/?code="&amp;StockList_MS2!A17,"株探"))</f>
        <v>株探</v>
      </c>
      <c r="C51" s="10" t="str">
        <f>IF(StockList_MS2!A17="","",StockList_MS2!A17)</f>
        <v>543A</v>
      </c>
      <c r="D51" s="12" t="str">
        <f>IF(StockList_MS2!A17="","",StockList_MS2!B17)</f>
        <v>ＡＲＣＨＩＯＮ</v>
      </c>
      <c r="E51" s="13">
        <f>_xll.RssMarket("543A","現在値")</f>
        <v>276</v>
      </c>
      <c r="F51" s="13">
        <f>_xll.RssMarket("543A","高値")</f>
        <v>277</v>
      </c>
      <c r="G51" s="13">
        <f>_xll.RssMarket("543A","安値")</f>
        <v>272</v>
      </c>
      <c r="H51" s="13" t="str">
        <f>_xll.RssMarket("543A","終値")</f>
        <v/>
      </c>
      <c r="I51" s="20">
        <f>_xll.RssMarket("543A","出来高")</f>
        <v>15375500</v>
      </c>
      <c r="J51" s="13">
        <v>277</v>
      </c>
      <c r="K51" s="13">
        <v>272</v>
      </c>
      <c r="L51" s="13">
        <f>_xll.RssMarket("543A","前日終値")</f>
        <v>275</v>
      </c>
      <c r="M51" s="5" t="str">
        <f t="shared" si="10"/>
        <v>BUY-DAY</v>
      </c>
      <c r="N51" s="9">
        <f>IF(OR(E51="",F51="",G51=""),"",IF(AD51&gt;0,AD51,(F51-G51)/SQRT(操作パネル_MS2!$H$12)*操作パネル_MS2!$H$10))</f>
        <v>1.1140950240273835</v>
      </c>
      <c r="O51" s="5" t="str">
        <f>IF(OR(E51="",AC51=""),"",IF(AC51&gt;=操作パネル_MS2!$H$3,"VOL-OK","VOL-NG"))</f>
        <v>VOL-OK</v>
      </c>
      <c r="P51" s="5" t="str">
        <f t="shared" si="2"/>
        <v>OFF</v>
      </c>
      <c r="Q51" s="5" t="str">
        <f t="shared" si="3"/>
        <v>OFF</v>
      </c>
      <c r="R51" s="5" t="str">
        <f t="shared" si="4"/>
        <v/>
      </c>
      <c r="S51" s="9" t="str">
        <f t="shared" si="5"/>
        <v/>
      </c>
      <c r="T51" s="9" t="str">
        <f>IF(R51="","",IF(R51="BUY",E51-N51*操作パネル_MS2!$H$5,E51+N51*操作パネル_MS2!$H$5))</f>
        <v/>
      </c>
      <c r="U51" s="9" t="str">
        <f>IF(R51="","",IF(R51="BUY",E51+N51*操作パネル_MS2!$H$6,E51-N51*操作パネル_MS2!$H$6))</f>
        <v/>
      </c>
      <c r="V51" s="9" t="str">
        <f>IF(R51="","",IF(R51="BUY",E51+N51*操作パネル_MS2!$H$7,E51-N51*操作パネル_MS2!$H$7))</f>
        <v/>
      </c>
      <c r="W51" s="9" t="str">
        <f>IF(R51="","",IF(R51="BUY",E51+N51*操作パネル_MS2!$H$8,E51-N51*操作パネル_MS2!$H$8))</f>
        <v/>
      </c>
      <c r="X51" s="5" t="str">
        <f t="shared" si="6"/>
        <v>1ST</v>
      </c>
      <c r="Y51" s="5" t="str">
        <f t="shared" ca="1" si="7"/>
        <v>その他</v>
      </c>
      <c r="Z51" s="5" t="str">
        <f>IF(OR(E51="",N51&lt;=0),"",IF(N51&gt;E51*操作パネル_MS2!$H$4,"VOL-HIGH","VOL-NORMAL"))</f>
        <v>VOL-NORMAL</v>
      </c>
      <c r="AA51" s="5" t="str">
        <f t="shared" si="8"/>
        <v>OK</v>
      </c>
      <c r="AB51" s="5" t="str">
        <f t="shared" si="9"/>
        <v>FLAT</v>
      </c>
      <c r="AC51" s="30">
        <f>IF(C51="","",_xll.RssMarket(C51&amp;"","売買代金"))</f>
        <v>4225830</v>
      </c>
      <c r="AD51" s="31">
        <f>IFERROR(INDEX(ATRHIST_MS2!$H:$H,MATCH(C51,ATRHIST_MS2!$A:$A,0)),0)</f>
        <v>1.1140950240273835</v>
      </c>
    </row>
    <row r="52" spans="1:30" ht="25.95" customHeight="1">
      <c r="A52" s="10">
        <f t="shared" si="0"/>
        <v>50</v>
      </c>
      <c r="B52" s="11" t="str">
        <f>IF(StockList_MS2!A19="","",HYPERLINK("https://kabutan.jp/stock/?code="&amp;StockList_MS2!A19,"株探"))</f>
        <v>株探</v>
      </c>
      <c r="C52" s="10">
        <f>IF(StockList_MS2!A19="","",StockList_MS2!A19)</f>
        <v>6723</v>
      </c>
      <c r="D52" s="12" t="str">
        <f>IF(StockList_MS2!A19="","",StockList_MS2!B19)</f>
        <v>ルネサスエレクトロニクス</v>
      </c>
      <c r="E52" s="13">
        <f>_xll.RssMarket("6723","現在値")</f>
        <v>3392</v>
      </c>
      <c r="F52" s="13">
        <f>_xll.RssMarket("6723","高値")</f>
        <v>3392</v>
      </c>
      <c r="G52" s="13">
        <f>_xll.RssMarket("6723","安値")</f>
        <v>3258</v>
      </c>
      <c r="H52" s="13" t="str">
        <f>_xll.RssMarket("6723","終値")</f>
        <v/>
      </c>
      <c r="I52" s="20">
        <f>_xll.RssMarket("6723","出来高")</f>
        <v>10263300</v>
      </c>
      <c r="J52" s="13">
        <v>3626</v>
      </c>
      <c r="K52" s="13">
        <v>3404</v>
      </c>
      <c r="L52" s="13">
        <f>_xll.RssMarket("6723","前日終値")</f>
        <v>3417</v>
      </c>
      <c r="M52" s="5" t="str">
        <f t="shared" si="10"/>
        <v>SELL-DAY</v>
      </c>
      <c r="N52" s="9">
        <f>IF(OR(E52="",F52="",G52=""),"",IF(AD52&gt;0,AD52,(F52-G52)/SQRT(操作パネル_MS2!$H$12)*操作パネル_MS2!$H$10))</f>
        <v>6.7970259465118605</v>
      </c>
      <c r="O52" s="5" t="str">
        <f>IF(OR(E52="",AC52=""),"",IF(AC52&gt;=操作パネル_MS2!$H$3,"VOL-OK","VOL-NG"))</f>
        <v>VOL-OK</v>
      </c>
      <c r="P52" s="5" t="str">
        <f t="shared" si="2"/>
        <v>OFF</v>
      </c>
      <c r="Q52" s="5" t="str">
        <f t="shared" si="3"/>
        <v>ON</v>
      </c>
      <c r="R52" s="5" t="str">
        <f t="shared" si="4"/>
        <v>SELL</v>
      </c>
      <c r="S52" s="9">
        <f t="shared" si="5"/>
        <v>3392</v>
      </c>
      <c r="T52" s="9">
        <f>IF(R52="","",IF(R52="BUY",E52-N52*操作パネル_MS2!$H$5,E52+N52*操作パネル_MS2!$H$5))</f>
        <v>3402.1955389197678</v>
      </c>
      <c r="U52" s="9">
        <f>IF(R52="","",IF(R52="BUY",E52+N52*操作パネル_MS2!$H$6,E52-N52*操作パネル_MS2!$H$6))</f>
        <v>3381.8044610802322</v>
      </c>
      <c r="V52" s="9">
        <f>IF(R52="","",IF(R52="BUY",E52+N52*操作パネル_MS2!$H$7,E52-N52*操作パネル_MS2!$H$7))</f>
        <v>3378.4059481069762</v>
      </c>
      <c r="W52" s="9">
        <f>IF(R52="","",IF(R52="BUY",E52+N52*操作パネル_MS2!$H$8,E52-N52*操作パネル_MS2!$H$8))</f>
        <v>3371.6089221604643</v>
      </c>
      <c r="X52" s="5" t="str">
        <f t="shared" si="6"/>
        <v>1ST</v>
      </c>
      <c r="Y52" s="5" t="str">
        <f t="shared" ca="1" si="7"/>
        <v>その他</v>
      </c>
      <c r="Z52" s="5" t="str">
        <f>IF(OR(E52="",N52&lt;=0),"",IF(N52&gt;E52*操作パネル_MS2!$H$4,"VOL-HIGH","VOL-NORMAL"))</f>
        <v>VOL-NORMAL</v>
      </c>
      <c r="AA52" s="5" t="str">
        <f t="shared" si="8"/>
        <v>OK</v>
      </c>
      <c r="AB52" s="5" t="str">
        <f t="shared" si="9"/>
        <v>DOWN</v>
      </c>
      <c r="AC52" s="30">
        <f>IF(C52="","",_xll.RssMarket(C52&amp;"","売買代金"))</f>
        <v>34368567</v>
      </c>
      <c r="AD52" s="31">
        <f>IFERROR(INDEX(ATRHIST_MS2!$H:$H,MATCH(C52,ATRHIST_MS2!$A:$A,0)),0)</f>
        <v>6.7970259465118605</v>
      </c>
    </row>
    <row r="53" spans="1:30" ht="25.95" customHeight="1">
      <c r="A53" s="10">
        <f t="shared" si="0"/>
        <v>51</v>
      </c>
      <c r="B53" s="11" t="str">
        <f>IF(StockList_MS2!A23="","",HYPERLINK("https://kabutan.jp/stock/?code="&amp;StockList_MS2!A23,"株探"))</f>
        <v>株探</v>
      </c>
      <c r="C53" s="10">
        <f>IF(StockList_MS2!A23="","",StockList_MS2!A23)</f>
        <v>7267</v>
      </c>
      <c r="D53" s="12" t="str">
        <f>IF(StockList_MS2!A23="","",StockList_MS2!B23)</f>
        <v>本田技研</v>
      </c>
      <c r="E53" s="13">
        <f>_xll.RssMarket("7267","現在値")</f>
        <v>1710</v>
      </c>
      <c r="F53" s="13">
        <f>_xll.RssMarket("7267","高値")</f>
        <v>1722</v>
      </c>
      <c r="G53" s="13">
        <f>_xll.RssMarket("7267","安値")</f>
        <v>1697</v>
      </c>
      <c r="H53" s="13" t="str">
        <f>_xll.RssMarket("7267","終値")</f>
        <v/>
      </c>
      <c r="I53" s="20">
        <f>_xll.RssMarket("7267","出来高")</f>
        <v>19284900</v>
      </c>
      <c r="J53" s="13">
        <v>1713</v>
      </c>
      <c r="K53" s="13">
        <v>1658.5</v>
      </c>
      <c r="L53" s="13">
        <f>_xll.RssMarket("7267","前日終値")</f>
        <v>1702.5</v>
      </c>
      <c r="M53" s="5" t="str">
        <f t="shared" si="10"/>
        <v>BUY-DAY</v>
      </c>
      <c r="N53" s="9">
        <f>IF(OR(E53="",F53="",G53=""),"",IF(AD53&gt;0,AD53,(F53-G53)/SQRT(操作パネル_MS2!$H$12)*操作パネル_MS2!$H$10))</f>
        <v>3.0675969810568295</v>
      </c>
      <c r="O53" s="5" t="str">
        <f>IF(OR(E53="",AC53=""),"",IF(AC53&gt;=操作パネル_MS2!$H$3,"VOL-OK","VOL-NG"))</f>
        <v>VOL-OK</v>
      </c>
      <c r="P53" s="5" t="str">
        <f t="shared" si="2"/>
        <v>OFF</v>
      </c>
      <c r="Q53" s="5" t="str">
        <f t="shared" si="3"/>
        <v>OFF</v>
      </c>
      <c r="R53" s="5" t="str">
        <f t="shared" si="4"/>
        <v/>
      </c>
      <c r="S53" s="9" t="str">
        <f t="shared" si="5"/>
        <v/>
      </c>
      <c r="T53" s="9" t="str">
        <f>IF(R53="","",IF(R53="BUY",E53-N53*操作パネル_MS2!$H$5,E53+N53*操作パネル_MS2!$H$5))</f>
        <v/>
      </c>
      <c r="U53" s="9" t="str">
        <f>IF(R53="","",IF(R53="BUY",E53+N53*操作パネル_MS2!$H$6,E53-N53*操作パネル_MS2!$H$6))</f>
        <v/>
      </c>
      <c r="V53" s="9" t="str">
        <f>IF(R53="","",IF(R53="BUY",E53+N53*操作パネル_MS2!$H$7,E53-N53*操作パネル_MS2!$H$7))</f>
        <v/>
      </c>
      <c r="W53" s="9" t="str">
        <f>IF(R53="","",IF(R53="BUY",E53+N53*操作パネル_MS2!$H$8,E53-N53*操作パネル_MS2!$H$8))</f>
        <v/>
      </c>
      <c r="X53" s="5" t="str">
        <f t="shared" si="6"/>
        <v>1ST</v>
      </c>
      <c r="Y53" s="5" t="str">
        <f t="shared" ca="1" si="7"/>
        <v>その他</v>
      </c>
      <c r="Z53" s="5" t="str">
        <f>IF(OR(E53="",N53&lt;=0),"",IF(N53&gt;E53*操作パネル_MS2!$H$4,"VOL-HIGH","VOL-NORMAL"))</f>
        <v>VOL-NORMAL</v>
      </c>
      <c r="AA53" s="5" t="str">
        <f t="shared" si="8"/>
        <v>OK</v>
      </c>
      <c r="AB53" s="5" t="str">
        <f t="shared" si="9"/>
        <v>UP</v>
      </c>
      <c r="AC53" s="30">
        <f>IF(C53="","",_xll.RssMarket(C53&amp;"","売買代金"))</f>
        <v>32970834</v>
      </c>
      <c r="AD53" s="31">
        <f>IFERROR(INDEX(ATRHIST_MS2!$H:$H,MATCH(C53,ATRHIST_MS2!$A:$A,0)),0)</f>
        <v>3.0675969810568295</v>
      </c>
    </row>
    <row r="54" spans="1:30" ht="25.95" customHeight="1">
      <c r="A54" s="10">
        <f t="shared" si="0"/>
        <v>52</v>
      </c>
      <c r="B54" s="11" t="str">
        <f>IF(StockList_MS2!A25="","",HYPERLINK("https://kabutan.jp/stock/?code="&amp;StockList_MS2!A25,"株探"))</f>
        <v>株探</v>
      </c>
      <c r="C54" s="10">
        <f>IF(StockList_MS2!A25="","",StockList_MS2!A25)</f>
        <v>4661</v>
      </c>
      <c r="D54" s="12" t="str">
        <f>IF(StockList_MS2!A25="","",StockList_MS2!B25)</f>
        <v>オリエンタルランド</v>
      </c>
      <c r="E54" s="13">
        <f>_xll.RssMarket("4661","現在値")</f>
        <v>3025</v>
      </c>
      <c r="F54" s="13">
        <f>_xll.RssMarket("4661","高値")</f>
        <v>3058</v>
      </c>
      <c r="G54" s="13">
        <f>_xll.RssMarket("4661","安値")</f>
        <v>3023</v>
      </c>
      <c r="H54" s="13" t="str">
        <f>_xll.RssMarket("4661","終値")</f>
        <v/>
      </c>
      <c r="I54" s="20">
        <f>_xll.RssMarket("4661","出来高")</f>
        <v>3650600</v>
      </c>
      <c r="J54" s="13">
        <v>3039</v>
      </c>
      <c r="K54" s="13">
        <v>2990</v>
      </c>
      <c r="L54" s="13">
        <f>_xll.RssMarket("4661","前日終値")</f>
        <v>3039</v>
      </c>
      <c r="M54" s="5" t="str">
        <f t="shared" si="10"/>
        <v>SELL-DAY</v>
      </c>
      <c r="N54" s="9">
        <f>IF(OR(E54="",F54="",G54=""),"",IF(AD54&gt;0,AD54,(F54-G54)/SQRT(操作パネル_MS2!$H$12)*操作パネル_MS2!$H$10))</f>
        <v>3.1313497674919972</v>
      </c>
      <c r="O54" s="5" t="str">
        <f>IF(OR(E54="",AC54=""),"",IF(AC54&gt;=操作パネル_MS2!$H$3,"VOL-OK","VOL-NG"))</f>
        <v>VOL-OK</v>
      </c>
      <c r="P54" s="5" t="str">
        <f t="shared" si="2"/>
        <v>OFF</v>
      </c>
      <c r="Q54" s="5" t="str">
        <f t="shared" si="3"/>
        <v>OFF</v>
      </c>
      <c r="R54" s="5" t="str">
        <f t="shared" si="4"/>
        <v/>
      </c>
      <c r="S54" s="9" t="str">
        <f t="shared" si="5"/>
        <v/>
      </c>
      <c r="T54" s="9" t="str">
        <f>IF(R54="","",IF(R54="BUY",E54-N54*操作パネル_MS2!$H$5,E54+N54*操作パネル_MS2!$H$5))</f>
        <v/>
      </c>
      <c r="U54" s="9" t="str">
        <f>IF(R54="","",IF(R54="BUY",E54+N54*操作パネル_MS2!$H$6,E54-N54*操作パネル_MS2!$H$6))</f>
        <v/>
      </c>
      <c r="V54" s="9" t="str">
        <f>IF(R54="","",IF(R54="BUY",E54+N54*操作パネル_MS2!$H$7,E54-N54*操作パネル_MS2!$H$7))</f>
        <v/>
      </c>
      <c r="W54" s="9" t="str">
        <f>IF(R54="","",IF(R54="BUY",E54+N54*操作パネル_MS2!$H$8,E54-N54*操作パネル_MS2!$H$8))</f>
        <v/>
      </c>
      <c r="X54" s="5" t="str">
        <f t="shared" si="6"/>
        <v>1ST</v>
      </c>
      <c r="Y54" s="5" t="str">
        <f t="shared" ca="1" si="7"/>
        <v>その他</v>
      </c>
      <c r="Z54" s="5" t="str">
        <f>IF(OR(E54="",N54&lt;=0),"",IF(N54&gt;E54*操作パネル_MS2!$H$4,"VOL-HIGH","VOL-NORMAL"))</f>
        <v>VOL-NORMAL</v>
      </c>
      <c r="AA54" s="5" t="str">
        <f t="shared" si="8"/>
        <v>OK</v>
      </c>
      <c r="AB54" s="5" t="str">
        <f t="shared" si="9"/>
        <v>UP</v>
      </c>
      <c r="AC54" s="30">
        <f>IF(C54="","",_xll.RssMarket(C54&amp;"","売買代金"))</f>
        <v>11075367</v>
      </c>
      <c r="AD54" s="31">
        <f>IFERROR(INDEX(ATRHIST_MS2!$H:$H,MATCH(C54,ATRHIST_MS2!$A:$A,0)),0)</f>
        <v>3.1313497674919972</v>
      </c>
    </row>
    <row r="55" spans="1:30" ht="25.95" customHeight="1">
      <c r="A55" s="10">
        <f t="shared" si="0"/>
        <v>53</v>
      </c>
      <c r="B55" s="11" t="str">
        <f>IF(StockList_MS2!A27="","",HYPERLINK("https://kabutan.jp/stock/?code="&amp;StockList_MS2!A27,"株探"))</f>
        <v>株探</v>
      </c>
      <c r="C55" s="10">
        <f>IF(StockList_MS2!A27="","",StockList_MS2!A27)</f>
        <v>6762</v>
      </c>
      <c r="D55" s="12" t="str">
        <f>IF(StockList_MS2!A27="","",StockList_MS2!B27)</f>
        <v>ＴＤＫ</v>
      </c>
      <c r="E55" s="13">
        <f>_xll.RssMarket("6762","現在値")</f>
        <v>3078</v>
      </c>
      <c r="F55" s="13">
        <f>_xll.RssMarket("6762","高値")</f>
        <v>3095</v>
      </c>
      <c r="G55" s="13">
        <f>_xll.RssMarket("6762","安値")</f>
        <v>3002</v>
      </c>
      <c r="H55" s="13" t="str">
        <f>_xll.RssMarket("6762","終値")</f>
        <v/>
      </c>
      <c r="I55" s="20">
        <f>_xll.RssMarket("6762","出来高")</f>
        <v>8240900</v>
      </c>
      <c r="J55" s="13">
        <v>3135</v>
      </c>
      <c r="K55" s="13">
        <v>3035</v>
      </c>
      <c r="L55" s="13">
        <f>_xll.RssMarket("6762","前日終値")</f>
        <v>3112</v>
      </c>
      <c r="M55" s="5" t="str">
        <f t="shared" si="10"/>
        <v>SELL-DAY</v>
      </c>
      <c r="N55" s="9">
        <f>IF(OR(E55="",F55="",G55=""),"",IF(AD55&gt;0,AD55,(F55-G55)/SQRT(操作パネル_MS2!$H$12)*操作パネル_MS2!$H$10))</f>
        <v>5.746949454143425</v>
      </c>
      <c r="O55" s="5" t="str">
        <f>IF(OR(E55="",AC55=""),"",IF(AC55&gt;=操作パネル_MS2!$H$3,"VOL-OK","VOL-NG"))</f>
        <v>VOL-OK</v>
      </c>
      <c r="P55" s="5" t="str">
        <f t="shared" si="2"/>
        <v>OFF</v>
      </c>
      <c r="Q55" s="5" t="str">
        <f t="shared" si="3"/>
        <v>OFF</v>
      </c>
      <c r="R55" s="5" t="str">
        <f t="shared" si="4"/>
        <v/>
      </c>
      <c r="S55" s="9" t="str">
        <f t="shared" si="5"/>
        <v/>
      </c>
      <c r="T55" s="9" t="str">
        <f>IF(R55="","",IF(R55="BUY",E55-N55*操作パネル_MS2!$H$5,E55+N55*操作パネル_MS2!$H$5))</f>
        <v/>
      </c>
      <c r="U55" s="9" t="str">
        <f>IF(R55="","",IF(R55="BUY",E55+N55*操作パネル_MS2!$H$6,E55-N55*操作パネル_MS2!$H$6))</f>
        <v/>
      </c>
      <c r="V55" s="9" t="str">
        <f>IF(R55="","",IF(R55="BUY",E55+N55*操作パネル_MS2!$H$7,E55-N55*操作パネル_MS2!$H$7))</f>
        <v/>
      </c>
      <c r="W55" s="9" t="str">
        <f>IF(R55="","",IF(R55="BUY",E55+N55*操作パネル_MS2!$H$8,E55-N55*操作パネル_MS2!$H$8))</f>
        <v/>
      </c>
      <c r="X55" s="5" t="str">
        <f t="shared" si="6"/>
        <v>1ST</v>
      </c>
      <c r="Y55" s="5" t="str">
        <f t="shared" ca="1" si="7"/>
        <v>その他</v>
      </c>
      <c r="Z55" s="5" t="str">
        <f>IF(OR(E55="",N55&lt;=0),"",IF(N55&gt;E55*操作パネル_MS2!$H$4,"VOL-HIGH","VOL-NORMAL"))</f>
        <v>VOL-NORMAL</v>
      </c>
      <c r="AA55" s="5" t="str">
        <f t="shared" si="8"/>
        <v>OK</v>
      </c>
      <c r="AB55" s="5" t="str">
        <f t="shared" si="9"/>
        <v>DOWN</v>
      </c>
      <c r="AC55" s="30">
        <f>IF(C55="","",_xll.RssMarket(C55&amp;"","売買代金"))</f>
        <v>25255250</v>
      </c>
      <c r="AD55" s="31">
        <f>IFERROR(INDEX(ATRHIST_MS2!$H:$H,MATCH(C55,ATRHIST_MS2!$A:$A,0)),0)</f>
        <v>5.746949454143425</v>
      </c>
    </row>
    <row r="56" spans="1:30" ht="25.95" customHeight="1">
      <c r="A56" s="5">
        <f t="shared" si="0"/>
        <v>54</v>
      </c>
      <c r="B56" s="6" t="str">
        <f>IF(StockList_MS2!A36="","",HYPERLINK("https://kabutan.jp/stock/?code="&amp;StockList_MS2!A36,"株探"))</f>
        <v>株探</v>
      </c>
      <c r="C56" s="5">
        <f>IF(StockList_MS2!A36="","",StockList_MS2!A36)</f>
        <v>6702</v>
      </c>
      <c r="D56" s="7" t="str">
        <f>IF(StockList_MS2!A36="","",StockList_MS2!B36)</f>
        <v>富士通</v>
      </c>
      <c r="E56" s="8">
        <f>_xll.RssMarket("6702","現在値")</f>
        <v>3869</v>
      </c>
      <c r="F56" s="8">
        <f>_xll.RssMarket("6702","高値")</f>
        <v>3923</v>
      </c>
      <c r="G56" s="8">
        <f>_xll.RssMarket("6702","安値")</f>
        <v>3864</v>
      </c>
      <c r="H56" s="8" t="str">
        <f>_xll.RssMarket("6702","終値")</f>
        <v/>
      </c>
      <c r="I56" s="19">
        <f>_xll.RssMarket("6702","出来高")</f>
        <v>7590900</v>
      </c>
      <c r="J56" s="8">
        <v>3953</v>
      </c>
      <c r="K56" s="8">
        <v>3844</v>
      </c>
      <c r="L56" s="8">
        <f>_xll.RssMarket("6702","前日終値")</f>
        <v>3904</v>
      </c>
      <c r="M56" s="5" t="str">
        <f t="shared" si="10"/>
        <v>SELL-DAY</v>
      </c>
      <c r="N56" s="9">
        <f>IF(OR(E56="",F56="",G56=""),"",IF(AD56&gt;0,AD56,(F56-G56)/SQRT(操作パネル_MS2!$H$12)*操作パネル_MS2!$H$10))</f>
        <v>5.0229864514215103</v>
      </c>
      <c r="O56" s="5" t="str">
        <f>IF(OR(E56="",AC56=""),"",IF(AC56&gt;=操作パネル_MS2!$H$3,"VOL-OK","VOL-NG"))</f>
        <v>VOL-OK</v>
      </c>
      <c r="P56" s="5" t="str">
        <f t="shared" si="2"/>
        <v>OFF</v>
      </c>
      <c r="Q56" s="5" t="str">
        <f t="shared" si="3"/>
        <v>OFF</v>
      </c>
      <c r="R56" s="5" t="str">
        <f t="shared" si="4"/>
        <v/>
      </c>
      <c r="S56" s="9" t="str">
        <f t="shared" si="5"/>
        <v/>
      </c>
      <c r="T56" s="9" t="str">
        <f>IF(R56="","",IF(R56="BUY",E56-N56*操作パネル_MS2!$H$5,E56+N56*操作パネル_MS2!$H$5))</f>
        <v/>
      </c>
      <c r="U56" s="9" t="str">
        <f>IF(R56="","",IF(R56="BUY",E56+N56*操作パネル_MS2!$H$6,E56-N56*操作パネル_MS2!$H$6))</f>
        <v/>
      </c>
      <c r="V56" s="9" t="str">
        <f>IF(R56="","",IF(R56="BUY",E56+N56*操作パネル_MS2!$H$7,E56-N56*操作パネル_MS2!$H$7))</f>
        <v/>
      </c>
      <c r="W56" s="9" t="str">
        <f>IF(R56="","",IF(R56="BUY",E56+N56*操作パネル_MS2!$H$8,E56-N56*操作パネル_MS2!$H$8))</f>
        <v/>
      </c>
      <c r="X56" s="5" t="str">
        <f t="shared" si="6"/>
        <v>1ST</v>
      </c>
      <c r="Y56" s="5" t="str">
        <f t="shared" ca="1" si="7"/>
        <v>その他</v>
      </c>
      <c r="Z56" s="5" t="str">
        <f>IF(OR(E56="",N56&lt;=0),"",IF(N56&gt;E56*操作パネル_MS2!$H$4,"VOL-HIGH","VOL-NORMAL"))</f>
        <v>VOL-NORMAL</v>
      </c>
      <c r="AA56" s="5" t="str">
        <f t="shared" si="8"/>
        <v>OK</v>
      </c>
      <c r="AB56" s="5" t="str">
        <f t="shared" si="9"/>
        <v>FLAT</v>
      </c>
      <c r="AC56" s="30">
        <f>IF(C56="","",_xll.RssMarket(C56&amp;"","売買代金"))</f>
        <v>29469801</v>
      </c>
      <c r="AD56" s="31">
        <f>IFERROR(INDEX(ATRHIST_MS2!$H:$H,MATCH(C56,ATRHIST_MS2!$A:$A,0)),0)</f>
        <v>5.0229864514215103</v>
      </c>
    </row>
    <row r="57" spans="1:30" ht="25.95" customHeight="1">
      <c r="A57" s="10">
        <f t="shared" si="0"/>
        <v>55</v>
      </c>
      <c r="B57" s="11" t="str">
        <f>IF(StockList_MS2!A43="","",HYPERLINK("https://kabutan.jp/stock/?code="&amp;StockList_MS2!A43,"株探"))</f>
        <v>株探</v>
      </c>
      <c r="C57" s="10">
        <f>IF(StockList_MS2!A43="","",StockList_MS2!A43)</f>
        <v>8411</v>
      </c>
      <c r="D57" s="12" t="str">
        <f>IF(StockList_MS2!A43="","",StockList_MS2!B43)</f>
        <v>みずほフィナンシャルＧ</v>
      </c>
      <c r="E57" s="13">
        <f>_xll.RssMarket("8411","現在値")</f>
        <v>8623</v>
      </c>
      <c r="F57" s="13">
        <f>_xll.RssMarket("8411","高値")</f>
        <v>8623</v>
      </c>
      <c r="G57" s="13">
        <f>_xll.RssMarket("8411","安値")</f>
        <v>8325</v>
      </c>
      <c r="H57" s="13" t="str">
        <f>_xll.RssMarket("8411","終値")</f>
        <v/>
      </c>
      <c r="I57" s="20">
        <f>_xll.RssMarket("8411","出来高")</f>
        <v>11549600</v>
      </c>
      <c r="J57" s="13">
        <v>8525</v>
      </c>
      <c r="K57" s="13">
        <v>8290</v>
      </c>
      <c r="L57" s="13">
        <f>_xll.RssMarket("8411","前日終値")</f>
        <v>8486</v>
      </c>
      <c r="M57" s="5" t="str">
        <f t="shared" si="10"/>
        <v>BUY-DAY</v>
      </c>
      <c r="N57" s="9">
        <f>IF(OR(E57="",F57="",G57=""),"",IF(AD57&gt;0,AD57,(F57-G57)/SQRT(操作パネル_MS2!$H$12)*操作パネル_MS2!$H$10))</f>
        <v>11.660459252229007</v>
      </c>
      <c r="O57" s="5" t="str">
        <f>IF(OR(E57="",AC57=""),"",IF(AC57&gt;=操作パネル_MS2!$H$3,"VOL-OK","VOL-NG"))</f>
        <v>VOL-OK</v>
      </c>
      <c r="P57" s="5" t="str">
        <f t="shared" si="2"/>
        <v>ON</v>
      </c>
      <c r="Q57" s="5" t="str">
        <f t="shared" si="3"/>
        <v>OFF</v>
      </c>
      <c r="R57" s="5" t="str">
        <f t="shared" si="4"/>
        <v>BUY</v>
      </c>
      <c r="S57" s="9">
        <f t="shared" si="5"/>
        <v>8623</v>
      </c>
      <c r="T57" s="9">
        <f>IF(R57="","",IF(R57="BUY",E57-N57*操作パネル_MS2!$H$5,E57+N57*操作パネル_MS2!$H$5))</f>
        <v>8605.5093111216556</v>
      </c>
      <c r="U57" s="9">
        <f>IF(R57="","",IF(R57="BUY",E57+N57*操作パネル_MS2!$H$6,E57-N57*操作パネル_MS2!$H$6))</f>
        <v>8640.4906888783444</v>
      </c>
      <c r="V57" s="9">
        <f>IF(R57="","",IF(R57="BUY",E57+N57*操作パネル_MS2!$H$7,E57-N57*操作パネル_MS2!$H$7))</f>
        <v>8646.3209185044579</v>
      </c>
      <c r="W57" s="9">
        <f>IF(R57="","",IF(R57="BUY",E57+N57*操作パネル_MS2!$H$8,E57-N57*操作パネル_MS2!$H$8))</f>
        <v>8657.9813777566869</v>
      </c>
      <c r="X57" s="5" t="str">
        <f t="shared" si="6"/>
        <v>1ST</v>
      </c>
      <c r="Y57" s="5" t="str">
        <f t="shared" ca="1" si="7"/>
        <v>その他</v>
      </c>
      <c r="Z57" s="5" t="str">
        <f>IF(OR(E57="",N57&lt;=0),"",IF(N57&gt;E57*操作パネル_MS2!$H$4,"VOL-HIGH","VOL-NORMAL"))</f>
        <v>VOL-NORMAL</v>
      </c>
      <c r="AA57" s="5" t="str">
        <f t="shared" si="8"/>
        <v>OK</v>
      </c>
      <c r="AB57" s="5" t="str">
        <f t="shared" si="9"/>
        <v>UP</v>
      </c>
      <c r="AC57" s="30">
        <f>IF(C57="","",_xll.RssMarket(C57&amp;"","売買代金"))</f>
        <v>98830464</v>
      </c>
      <c r="AD57" s="31">
        <f>IFERROR(INDEX(ATRHIST_MS2!$H:$H,MATCH(C57,ATRHIST_MS2!$A:$A,0)),0)</f>
        <v>11.660459252229007</v>
      </c>
    </row>
    <row r="58" spans="1:30" ht="25.95" customHeight="1">
      <c r="A58" s="5">
        <f t="shared" si="0"/>
        <v>56</v>
      </c>
      <c r="B58" s="6" t="str">
        <f>IF(StockList_MS2!A44="","",HYPERLINK("https://kabutan.jp/stock/?code="&amp;StockList_MS2!A44,"株探"))</f>
        <v>株探</v>
      </c>
      <c r="C58" s="5">
        <f>IF(StockList_MS2!A44="","",StockList_MS2!A44)</f>
        <v>3436</v>
      </c>
      <c r="D58" s="7" t="str">
        <f>IF(StockList_MS2!A44="","",StockList_MS2!B44)</f>
        <v>ＳＵＭＣＯ</v>
      </c>
      <c r="E58" s="8">
        <f>_xll.RssMarket("3436","現在値")</f>
        <v>3400</v>
      </c>
      <c r="F58" s="8">
        <f>_xll.RssMarket("3436","高値")</f>
        <v>3406</v>
      </c>
      <c r="G58" s="8">
        <f>_xll.RssMarket("3436","安値")</f>
        <v>3241</v>
      </c>
      <c r="H58" s="8" t="str">
        <f>_xll.RssMarket("3436","終値")</f>
        <v/>
      </c>
      <c r="I58" s="19">
        <f>_xll.RssMarket("3436","出来高")</f>
        <v>9191300</v>
      </c>
      <c r="J58" s="8">
        <v>3623</v>
      </c>
      <c r="K58" s="8">
        <v>3401</v>
      </c>
      <c r="L58" s="8">
        <f>_xll.RssMarket("3436","前日終値")</f>
        <v>3434</v>
      </c>
      <c r="M58" s="5" t="str">
        <f t="shared" si="10"/>
        <v>SELL-DAY</v>
      </c>
      <c r="N58" s="9">
        <f>IF(OR(E58="",F58="",G58=""),"",IF(AD58&gt;0,AD58,(F58-G58)/SQRT(操作パネル_MS2!$H$12)*操作パネル_MS2!$H$10))</f>
        <v>10.387759002039809</v>
      </c>
      <c r="O58" s="5" t="str">
        <f>IF(OR(E58="",AC58=""),"",IF(AC58&gt;=操作パネル_MS2!$H$3,"VOL-OK","VOL-NG"))</f>
        <v>VOL-OK</v>
      </c>
      <c r="P58" s="5" t="str">
        <f t="shared" si="2"/>
        <v>OFF</v>
      </c>
      <c r="Q58" s="5" t="str">
        <f t="shared" si="3"/>
        <v>ON</v>
      </c>
      <c r="R58" s="5" t="str">
        <f t="shared" si="4"/>
        <v>SELL</v>
      </c>
      <c r="S58" s="9">
        <f t="shared" si="5"/>
        <v>3400</v>
      </c>
      <c r="T58" s="9">
        <f>IF(R58="","",IF(R58="BUY",E58-N58*操作パネル_MS2!$H$5,E58+N58*操作パネル_MS2!$H$5))</f>
        <v>3415.5816385030598</v>
      </c>
      <c r="U58" s="9">
        <f>IF(R58="","",IF(R58="BUY",E58+N58*操作パネル_MS2!$H$6,E58-N58*操作パネル_MS2!$H$6))</f>
        <v>3384.4183614969402</v>
      </c>
      <c r="V58" s="9">
        <f>IF(R58="","",IF(R58="BUY",E58+N58*操作パネル_MS2!$H$7,E58-N58*操作パネル_MS2!$H$7))</f>
        <v>3379.2244819959205</v>
      </c>
      <c r="W58" s="9">
        <f>IF(R58="","",IF(R58="BUY",E58+N58*操作パネル_MS2!$H$8,E58-N58*操作パネル_MS2!$H$8))</f>
        <v>3368.8367229938804</v>
      </c>
      <c r="X58" s="5" t="str">
        <f t="shared" si="6"/>
        <v>1ST</v>
      </c>
      <c r="Y58" s="5" t="str">
        <f t="shared" ca="1" si="7"/>
        <v>その他</v>
      </c>
      <c r="Z58" s="5" t="str">
        <f>IF(OR(E58="",N58&lt;=0),"",IF(N58&gt;E58*操作パネル_MS2!$H$4,"VOL-HIGH","VOL-NORMAL"))</f>
        <v>VOL-NORMAL</v>
      </c>
      <c r="AA58" s="5" t="str">
        <f t="shared" si="8"/>
        <v>OK</v>
      </c>
      <c r="AB58" s="5" t="str">
        <f t="shared" si="9"/>
        <v>DOWN</v>
      </c>
      <c r="AC58" s="30">
        <f>IF(C58="","",_xll.RssMarket(C58&amp;"","売買代金"))</f>
        <v>30602371</v>
      </c>
      <c r="AD58" s="31">
        <f>IFERROR(INDEX(ATRHIST_MS2!$H:$H,MATCH(C58,ATRHIST_MS2!$A:$A,0)),0)</f>
        <v>10.387759002039809</v>
      </c>
    </row>
    <row r="59" spans="1:30" ht="25.95" customHeight="1">
      <c r="A59" s="5">
        <f t="shared" si="0"/>
        <v>57</v>
      </c>
      <c r="B59" s="6" t="str">
        <f>IF(StockList_MS2!A46="","",HYPERLINK("https://kabutan.jp/stock/?code="&amp;StockList_MS2!A46,"株探"))</f>
        <v>株探</v>
      </c>
      <c r="C59" s="5">
        <f>IF(StockList_MS2!A46="","",StockList_MS2!A46)</f>
        <v>7532</v>
      </c>
      <c r="D59" s="7" t="str">
        <f>IF(StockList_MS2!A46="","",StockList_MS2!B46)</f>
        <v>パンパシフィックＨＤ</v>
      </c>
      <c r="E59" s="8">
        <f>_xll.RssMarket("7532","現在値")</f>
        <v>807</v>
      </c>
      <c r="F59" s="8">
        <f>_xll.RssMarket("7532","高値")</f>
        <v>813.7</v>
      </c>
      <c r="G59" s="8">
        <f>_xll.RssMarket("7532","安値")</f>
        <v>801.5</v>
      </c>
      <c r="H59" s="8" t="str">
        <f>_xll.RssMarket("7532","終値")</f>
        <v/>
      </c>
      <c r="I59" s="19">
        <f>_xll.RssMarket("7532","出来高")</f>
        <v>12197500</v>
      </c>
      <c r="J59" s="8">
        <v>810.2</v>
      </c>
      <c r="K59" s="8">
        <v>798.6</v>
      </c>
      <c r="L59" s="8">
        <f>_xll.RssMarket("7532","前日終値")</f>
        <v>809.5</v>
      </c>
      <c r="M59" s="5" t="str">
        <f t="shared" si="10"/>
        <v>SELL-DAY</v>
      </c>
      <c r="N59" s="9">
        <f>IF(OR(E59="",F59="",G59=""),"",IF(AD59&gt;0,AD59,(F59-G59)/SQRT(操作パネル_MS2!$H$12)*操作パネル_MS2!$H$10))</f>
        <v>1.0898822278169706</v>
      </c>
      <c r="O59" s="5" t="str">
        <f>IF(OR(E59="",AC59=""),"",IF(AC59&gt;=操作パネル_MS2!$H$3,"VOL-OK","VOL-NG"))</f>
        <v>VOL-OK</v>
      </c>
      <c r="P59" s="5" t="str">
        <f t="shared" si="2"/>
        <v>OFF</v>
      </c>
      <c r="Q59" s="5" t="str">
        <f t="shared" si="3"/>
        <v>OFF</v>
      </c>
      <c r="R59" s="5" t="str">
        <f t="shared" si="4"/>
        <v/>
      </c>
      <c r="S59" s="9" t="str">
        <f t="shared" si="5"/>
        <v/>
      </c>
      <c r="T59" s="9" t="str">
        <f>IF(R59="","",IF(R59="BUY",E59-N59*操作パネル_MS2!$H$5,E59+N59*操作パネル_MS2!$H$5))</f>
        <v/>
      </c>
      <c r="U59" s="9" t="str">
        <f>IF(R59="","",IF(R59="BUY",E59+N59*操作パネル_MS2!$H$6,E59-N59*操作パネル_MS2!$H$6))</f>
        <v/>
      </c>
      <c r="V59" s="9" t="str">
        <f>IF(R59="","",IF(R59="BUY",E59+N59*操作パネル_MS2!$H$7,E59-N59*操作パネル_MS2!$H$7))</f>
        <v/>
      </c>
      <c r="W59" s="9" t="str">
        <f>IF(R59="","",IF(R59="BUY",E59+N59*操作パネル_MS2!$H$8,E59-N59*操作パネル_MS2!$H$8))</f>
        <v/>
      </c>
      <c r="X59" s="5" t="str">
        <f t="shared" si="6"/>
        <v>1ST</v>
      </c>
      <c r="Y59" s="5" t="str">
        <f t="shared" ca="1" si="7"/>
        <v>その他</v>
      </c>
      <c r="Z59" s="5" t="str">
        <f>IF(OR(E59="",N59&lt;=0),"",IF(N59&gt;E59*操作パネル_MS2!$H$4,"VOL-HIGH","VOL-NORMAL"))</f>
        <v>VOL-NORMAL</v>
      </c>
      <c r="AA59" s="5" t="str">
        <f t="shared" si="8"/>
        <v>OK</v>
      </c>
      <c r="AB59" s="5" t="str">
        <f t="shared" si="9"/>
        <v>UP</v>
      </c>
      <c r="AC59" s="30">
        <f>IF(C59="","",_xll.RssMarket(C59&amp;"","売買代金"))</f>
        <v>9842355</v>
      </c>
      <c r="AD59" s="31">
        <f>IFERROR(INDEX(ATRHIST_MS2!$H:$H,MATCH(C59,ATRHIST_MS2!$A:$A,0)),0)</f>
        <v>1.0898822278169706</v>
      </c>
    </row>
    <row r="60" spans="1:30" ht="25.95" customHeight="1">
      <c r="A60" s="5">
        <f t="shared" si="0"/>
        <v>58</v>
      </c>
      <c r="B60" s="6" t="str">
        <f>IF(StockList_MS2!A48="","",HYPERLINK("https://kabutan.jp/stock/?code="&amp;StockList_MS2!A48,"株探"))</f>
        <v>株探</v>
      </c>
      <c r="C60" s="5">
        <f>IF(StockList_MS2!A48="","",StockList_MS2!A48)</f>
        <v>7012</v>
      </c>
      <c r="D60" s="7" t="str">
        <f>IF(StockList_MS2!A48="","",StockList_MS2!B48)</f>
        <v>川崎重工業</v>
      </c>
      <c r="E60" s="8">
        <f>_xll.RssMarket("7012","現在値")</f>
        <v>2581</v>
      </c>
      <c r="F60" s="8">
        <f>_xll.RssMarket("7012","高値")</f>
        <v>2598.5</v>
      </c>
      <c r="G60" s="8">
        <f>_xll.RssMarket("7012","安値")</f>
        <v>2547</v>
      </c>
      <c r="H60" s="8" t="str">
        <f>_xll.RssMarket("7012","終値")</f>
        <v/>
      </c>
      <c r="I60" s="19">
        <f>_xll.RssMarket("7012","出来高")</f>
        <v>11248200</v>
      </c>
      <c r="J60" s="8">
        <v>2647</v>
      </c>
      <c r="K60" s="8">
        <v>2601</v>
      </c>
      <c r="L60" s="8">
        <f>_xll.RssMarket("7012","前日終値")</f>
        <v>2623</v>
      </c>
      <c r="M60" s="5" t="str">
        <f t="shared" si="10"/>
        <v>SELL-DAY</v>
      </c>
      <c r="N60" s="9">
        <f>IF(OR(E60="",F60="",G60=""),"",IF(AD60&gt;0,AD60,(F60-G60)/SQRT(操作パネル_MS2!$H$12)*操作パネル_MS2!$H$10))</f>
        <v>2.8425841622728218</v>
      </c>
      <c r="O60" s="5" t="str">
        <f>IF(OR(E60="",AC60=""),"",IF(AC60&gt;=操作パネル_MS2!$H$3,"VOL-OK","VOL-NG"))</f>
        <v>VOL-OK</v>
      </c>
      <c r="P60" s="5" t="str">
        <f t="shared" si="2"/>
        <v>OFF</v>
      </c>
      <c r="Q60" s="5" t="str">
        <f t="shared" si="3"/>
        <v>ON</v>
      </c>
      <c r="R60" s="5" t="str">
        <f t="shared" si="4"/>
        <v>SELL</v>
      </c>
      <c r="S60" s="9">
        <f t="shared" si="5"/>
        <v>2581</v>
      </c>
      <c r="T60" s="9">
        <f>IF(R60="","",IF(R60="BUY",E60-N60*操作パネル_MS2!$H$5,E60+N60*操作パネル_MS2!$H$5))</f>
        <v>2585.2638762434094</v>
      </c>
      <c r="U60" s="9">
        <f>IF(R60="","",IF(R60="BUY",E60+N60*操作パネル_MS2!$H$6,E60-N60*操作パネル_MS2!$H$6))</f>
        <v>2576.7361237565906</v>
      </c>
      <c r="V60" s="9">
        <f>IF(R60="","",IF(R60="BUY",E60+N60*操作パネル_MS2!$H$7,E60-N60*操作パネル_MS2!$H$7))</f>
        <v>2575.3148316754546</v>
      </c>
      <c r="W60" s="9">
        <f>IF(R60="","",IF(R60="BUY",E60+N60*操作パネル_MS2!$H$8,E60-N60*操作パネル_MS2!$H$8))</f>
        <v>2572.4722475131816</v>
      </c>
      <c r="X60" s="5" t="str">
        <f t="shared" si="6"/>
        <v>1ST</v>
      </c>
      <c r="Y60" s="5" t="str">
        <f t="shared" ca="1" si="7"/>
        <v>その他</v>
      </c>
      <c r="Z60" s="5" t="str">
        <f>IF(OR(E60="",N60&lt;=0),"",IF(N60&gt;E60*操作パネル_MS2!$H$4,"VOL-HIGH","VOL-NORMAL"))</f>
        <v>VOL-NORMAL</v>
      </c>
      <c r="AA60" s="5" t="str">
        <f t="shared" si="8"/>
        <v>OK</v>
      </c>
      <c r="AB60" s="5" t="str">
        <f t="shared" si="9"/>
        <v>DOWN</v>
      </c>
      <c r="AC60" s="30">
        <f>IF(C60="","",_xll.RssMarket(C60&amp;"","売買代金"))</f>
        <v>28884014</v>
      </c>
      <c r="AD60" s="31">
        <f>IFERROR(INDEX(ATRHIST_MS2!$H:$H,MATCH(C60,ATRHIST_MS2!$A:$A,0)),0)</f>
        <v>2.8425841622728218</v>
      </c>
    </row>
    <row r="61" spans="1:30" ht="25.95" customHeight="1">
      <c r="A61" s="10">
        <f t="shared" si="0"/>
        <v>59</v>
      </c>
      <c r="B61" s="11" t="str">
        <f>IF(StockList_MS2!A49="","",HYPERLINK("https://kabutan.jp/stock/?code="&amp;StockList_MS2!A49,"株探"))</f>
        <v>株探</v>
      </c>
      <c r="C61" s="10">
        <f>IF(StockList_MS2!A49="","",StockList_MS2!A49)</f>
        <v>8303</v>
      </c>
      <c r="D61" s="12" t="str">
        <f>IF(StockList_MS2!A49="","",StockList_MS2!B49)</f>
        <v>ＳＢＩ新生銀行</v>
      </c>
      <c r="E61" s="13">
        <f>_xll.RssMarket("8303","現在値")</f>
        <v>1570</v>
      </c>
      <c r="F61" s="13">
        <f>_xll.RssMarket("8303","高値")</f>
        <v>1591</v>
      </c>
      <c r="G61" s="13">
        <f>_xll.RssMarket("8303","安値")</f>
        <v>1556.5</v>
      </c>
      <c r="H61" s="13" t="str">
        <f>_xll.RssMarket("8303","終値")</f>
        <v/>
      </c>
      <c r="I61" s="20">
        <f>_xll.RssMarket("8303","出来高")</f>
        <v>2058100</v>
      </c>
      <c r="J61" s="13">
        <v>1585</v>
      </c>
      <c r="K61" s="13">
        <v>1554</v>
      </c>
      <c r="L61" s="13">
        <f>_xll.RssMarket("8303","前日終値")</f>
        <v>1581</v>
      </c>
      <c r="M61" s="5" t="str">
        <f t="shared" si="10"/>
        <v>SELL-DAY</v>
      </c>
      <c r="N61" s="9">
        <f>IF(OR(E61="",F61="",G61=""),"",IF(AD61&gt;0,AD61,(F61-G61)/SQRT(操作パネル_MS2!$H$12)*操作パネル_MS2!$H$10))</f>
        <v>1.9159023739297074</v>
      </c>
      <c r="O61" s="5" t="str">
        <f>IF(OR(E61="",AC61=""),"",IF(AC61&gt;=操作パネル_MS2!$H$3,"VOL-OK","VOL-NG"))</f>
        <v>VOL-OK</v>
      </c>
      <c r="P61" s="5" t="str">
        <f t="shared" si="2"/>
        <v>OFF</v>
      </c>
      <c r="Q61" s="5" t="str">
        <f t="shared" si="3"/>
        <v>OFF</v>
      </c>
      <c r="R61" s="5" t="str">
        <f t="shared" si="4"/>
        <v/>
      </c>
      <c r="S61" s="9" t="str">
        <f t="shared" si="5"/>
        <v/>
      </c>
      <c r="T61" s="9" t="str">
        <f>IF(R61="","",IF(R61="BUY",E61-N61*操作パネル_MS2!$H$5,E61+N61*操作パネル_MS2!$H$5))</f>
        <v/>
      </c>
      <c r="U61" s="9" t="str">
        <f>IF(R61="","",IF(R61="BUY",E61+N61*操作パネル_MS2!$H$6,E61-N61*操作パネル_MS2!$H$6))</f>
        <v/>
      </c>
      <c r="V61" s="9" t="str">
        <f>IF(R61="","",IF(R61="BUY",E61+N61*操作パネル_MS2!$H$7,E61-N61*操作パネル_MS2!$H$7))</f>
        <v/>
      </c>
      <c r="W61" s="9" t="str">
        <f>IF(R61="","",IF(R61="BUY",E61+N61*操作パネル_MS2!$H$8,E61-N61*操作パネル_MS2!$H$8))</f>
        <v/>
      </c>
      <c r="X61" s="5" t="str">
        <f t="shared" si="6"/>
        <v>1ST</v>
      </c>
      <c r="Y61" s="5" t="str">
        <f t="shared" ca="1" si="7"/>
        <v>その他</v>
      </c>
      <c r="Z61" s="5" t="str">
        <f>IF(OR(E61="",N61&lt;=0),"",IF(N61&gt;E61*操作パネル_MS2!$H$4,"VOL-HIGH","VOL-NORMAL"))</f>
        <v>VOL-NORMAL</v>
      </c>
      <c r="AA61" s="5" t="str">
        <f t="shared" si="8"/>
        <v>OK</v>
      </c>
      <c r="AB61" s="5" t="str">
        <f t="shared" si="9"/>
        <v>UP</v>
      </c>
      <c r="AC61" s="30">
        <f>IF(C61="","",_xll.RssMarket(C61&amp;"","売買代金"))</f>
        <v>3234631</v>
      </c>
      <c r="AD61" s="31">
        <f>IFERROR(INDEX(ATRHIST_MS2!$H:$H,MATCH(C61,ATRHIST_MS2!$A:$A,0)),0)</f>
        <v>1.9159023739297074</v>
      </c>
    </row>
    <row r="62" spans="1:30" ht="25.95" customHeight="1">
      <c r="A62" s="5">
        <f t="shared" si="0"/>
        <v>60</v>
      </c>
      <c r="B62" s="6" t="str">
        <f>IF(StockList_MS2!A54="","",HYPERLINK("https://kabutan.jp/stock/?code="&amp;StockList_MS2!A54,"株探"))</f>
        <v>株探</v>
      </c>
      <c r="C62" s="5">
        <f>IF(StockList_MS2!A54="","",StockList_MS2!A54)</f>
        <v>3231</v>
      </c>
      <c r="D62" s="7" t="str">
        <f>IF(StockList_MS2!A54="","",StockList_MS2!B54)</f>
        <v>野村不動産ＨＬＤＧＳ</v>
      </c>
      <c r="E62" s="8">
        <f>_xll.RssMarket("3231","現在値")</f>
        <v>931.8</v>
      </c>
      <c r="F62" s="8">
        <f>_xll.RssMarket("3231","高値")</f>
        <v>938.2</v>
      </c>
      <c r="G62" s="8">
        <f>_xll.RssMarket("3231","安値")</f>
        <v>931.5</v>
      </c>
      <c r="H62" s="8" t="str">
        <f>_xll.RssMarket("3231","終値")</f>
        <v/>
      </c>
      <c r="I62" s="19">
        <f>_xll.RssMarket("3231","出来高")</f>
        <v>3436400</v>
      </c>
      <c r="J62" s="8">
        <v>937.4</v>
      </c>
      <c r="K62" s="8">
        <v>928</v>
      </c>
      <c r="L62" s="8">
        <f>_xll.RssMarket("3231","前日終値")</f>
        <v>936.2</v>
      </c>
      <c r="M62" s="5" t="str">
        <f t="shared" si="10"/>
        <v>SELL-DAY</v>
      </c>
      <c r="N62" s="9">
        <f>IF(OR(E62="",F62="",G62=""),"",IF(AD62&gt;0,AD62,(F62-G62)/SQRT(操作パネル_MS2!$H$12)*操作パネル_MS2!$H$10))</f>
        <v>0.666730200201618</v>
      </c>
      <c r="O62" s="5" t="str">
        <f>IF(OR(E62="",AC62=""),"",IF(AC62&gt;=操作パネル_MS2!$H$3,"VOL-OK","VOL-NG"))</f>
        <v>VOL-OK</v>
      </c>
      <c r="P62" s="5" t="str">
        <f t="shared" si="2"/>
        <v>OFF</v>
      </c>
      <c r="Q62" s="5" t="str">
        <f t="shared" si="3"/>
        <v>OFF</v>
      </c>
      <c r="R62" s="5" t="str">
        <f t="shared" si="4"/>
        <v/>
      </c>
      <c r="S62" s="9" t="str">
        <f t="shared" si="5"/>
        <v/>
      </c>
      <c r="T62" s="9" t="str">
        <f>IF(R62="","",IF(R62="BUY",E62-N62*操作パネル_MS2!$H$5,E62+N62*操作パネル_MS2!$H$5))</f>
        <v/>
      </c>
      <c r="U62" s="9" t="str">
        <f>IF(R62="","",IF(R62="BUY",E62+N62*操作パネル_MS2!$H$6,E62-N62*操作パネル_MS2!$H$6))</f>
        <v/>
      </c>
      <c r="V62" s="9" t="str">
        <f>IF(R62="","",IF(R62="BUY",E62+N62*操作パネル_MS2!$H$7,E62-N62*操作パネル_MS2!$H$7))</f>
        <v/>
      </c>
      <c r="W62" s="9" t="str">
        <f>IF(R62="","",IF(R62="BUY",E62+N62*操作パネル_MS2!$H$8,E62-N62*操作パネル_MS2!$H$8))</f>
        <v/>
      </c>
      <c r="X62" s="5" t="str">
        <f t="shared" si="6"/>
        <v>1ST</v>
      </c>
      <c r="Y62" s="5" t="str">
        <f t="shared" ca="1" si="7"/>
        <v>その他</v>
      </c>
      <c r="Z62" s="5" t="str">
        <f>IF(OR(E62="",N62&lt;=0),"",IF(N62&gt;E62*操作パネル_MS2!$H$4,"VOL-HIGH","VOL-NORMAL"))</f>
        <v>VOL-NORMAL</v>
      </c>
      <c r="AA62" s="5" t="str">
        <f t="shared" si="8"/>
        <v>OK</v>
      </c>
      <c r="AB62" s="5" t="str">
        <f t="shared" si="9"/>
        <v>UP</v>
      </c>
      <c r="AC62" s="30">
        <f>IF(C62="","",_xll.RssMarket(C62&amp;"","売買代金"))</f>
        <v>3209551</v>
      </c>
      <c r="AD62" s="31">
        <f>IFERROR(INDEX(ATRHIST_MS2!$H:$H,MATCH(C62,ATRHIST_MS2!$A:$A,0)),0)</f>
        <v>0.666730200201618</v>
      </c>
    </row>
    <row r="63" spans="1:30" ht="25.95" customHeight="1">
      <c r="A63" s="10">
        <f t="shared" si="0"/>
        <v>61</v>
      </c>
      <c r="B63" s="11" t="str">
        <f>IF(StockList_MS2!A55="","",HYPERLINK("https://kabutan.jp/stock/?code="&amp;StockList_MS2!A55,"株探"))</f>
        <v>株探</v>
      </c>
      <c r="C63" s="10">
        <f>IF(StockList_MS2!A55="","",StockList_MS2!A55)</f>
        <v>4902</v>
      </c>
      <c r="D63" s="12" t="str">
        <f>IF(StockList_MS2!A55="","",StockList_MS2!B55)</f>
        <v>コニカミノルタ</v>
      </c>
      <c r="E63" s="13">
        <f>_xll.RssMarket("4902","現在値")</f>
        <v>666.8</v>
      </c>
      <c r="F63" s="13">
        <f>_xll.RssMarket("4902","高値")</f>
        <v>669.2</v>
      </c>
      <c r="G63" s="13">
        <f>_xll.RssMarket("4902","安値")</f>
        <v>651.5</v>
      </c>
      <c r="H63" s="13" t="str">
        <f>_xll.RssMarket("4902","終値")</f>
        <v/>
      </c>
      <c r="I63" s="20">
        <f>_xll.RssMarket("4902","出来高")</f>
        <v>2885200</v>
      </c>
      <c r="J63" s="13">
        <v>666.4</v>
      </c>
      <c r="K63" s="13">
        <v>655.4</v>
      </c>
      <c r="L63" s="13">
        <f>_xll.RssMarket("4902","前日終値")</f>
        <v>660.7</v>
      </c>
      <c r="M63" s="5" t="str">
        <f t="shared" si="10"/>
        <v>BUY-DAY</v>
      </c>
      <c r="N63" s="9">
        <f>IF(OR(E63="",F63="",G63=""),"",IF(AD63&gt;0,AD63,(F63-G63)/SQRT(操作パネル_MS2!$H$12)*操作パネル_MS2!$H$10))</f>
        <v>1.1990195505258299</v>
      </c>
      <c r="O63" s="5" t="str">
        <f>IF(OR(E63="",AC63=""),"",IF(AC63&gt;=操作パネル_MS2!$H$3,"VOL-OK","VOL-NG"))</f>
        <v>VOL-OK</v>
      </c>
      <c r="P63" s="5" t="str">
        <f t="shared" si="2"/>
        <v>ON</v>
      </c>
      <c r="Q63" s="5" t="str">
        <f t="shared" si="3"/>
        <v>OFF</v>
      </c>
      <c r="R63" s="5" t="str">
        <f t="shared" si="4"/>
        <v>BUY</v>
      </c>
      <c r="S63" s="9">
        <f t="shared" si="5"/>
        <v>666.8</v>
      </c>
      <c r="T63" s="9">
        <f>IF(R63="","",IF(R63="BUY",E63-N63*操作パネル_MS2!$H$5,E63+N63*操作パネル_MS2!$H$5))</f>
        <v>665.00147067421119</v>
      </c>
      <c r="U63" s="9">
        <f>IF(R63="","",IF(R63="BUY",E63+N63*操作パネル_MS2!$H$6,E63-N63*操作パネル_MS2!$H$6))</f>
        <v>668.59852932578872</v>
      </c>
      <c r="V63" s="9">
        <f>IF(R63="","",IF(R63="BUY",E63+N63*操作パネル_MS2!$H$7,E63-N63*操作パネル_MS2!$H$7))</f>
        <v>669.19803910105156</v>
      </c>
      <c r="W63" s="9">
        <f>IF(R63="","",IF(R63="BUY",E63+N63*操作パネル_MS2!$H$8,E63-N63*操作パネル_MS2!$H$8))</f>
        <v>670.39705865157748</v>
      </c>
      <c r="X63" s="5" t="str">
        <f t="shared" si="6"/>
        <v>1ST</v>
      </c>
      <c r="Y63" s="5" t="str">
        <f t="shared" ca="1" si="7"/>
        <v>その他</v>
      </c>
      <c r="Z63" s="5" t="str">
        <f>IF(OR(E63="",N63&lt;=0),"",IF(N63&gt;E63*操作パネル_MS2!$H$4,"VOL-HIGH","VOL-NORMAL"))</f>
        <v>VOL-NORMAL</v>
      </c>
      <c r="AA63" s="5" t="str">
        <f t="shared" si="8"/>
        <v>OK</v>
      </c>
      <c r="AB63" s="5" t="str">
        <f t="shared" si="9"/>
        <v>FLAT</v>
      </c>
      <c r="AC63" s="30">
        <f>IF(C63="","",_xll.RssMarket(C63&amp;"","売買代金"))</f>
        <v>1916845</v>
      </c>
      <c r="AD63" s="31">
        <f>IFERROR(INDEX(ATRHIST_MS2!$H:$H,MATCH(C63,ATRHIST_MS2!$A:$A,0)),0)</f>
        <v>1.1990195505258299</v>
      </c>
    </row>
    <row r="64" spans="1:30" ht="25.95" customHeight="1">
      <c r="A64" s="10">
        <f t="shared" si="0"/>
        <v>62</v>
      </c>
      <c r="B64" s="11" t="str">
        <f>IF(StockList_MS2!A57="","",HYPERLINK("https://kabutan.jp/stock/?code="&amp;StockList_MS2!A57,"株探"))</f>
        <v>株探</v>
      </c>
      <c r="C64" s="10">
        <f>IF(StockList_MS2!A57="","",StockList_MS2!A57)</f>
        <v>7182</v>
      </c>
      <c r="D64" s="12" t="str">
        <f>IF(StockList_MS2!A57="","",StockList_MS2!B57)</f>
        <v>ゆうちょ銀行</v>
      </c>
      <c r="E64" s="13">
        <f>_xll.RssMarket("7182","現在値")</f>
        <v>3405</v>
      </c>
      <c r="F64" s="13">
        <f>_xll.RssMarket("7182","高値")</f>
        <v>3414</v>
      </c>
      <c r="G64" s="13">
        <f>_xll.RssMarket("7182","安値")</f>
        <v>3286</v>
      </c>
      <c r="H64" s="13" t="str">
        <f>_xll.RssMarket("7182","終値")</f>
        <v/>
      </c>
      <c r="I64" s="20">
        <f>_xll.RssMarket("7182","出来高")</f>
        <v>9253600</v>
      </c>
      <c r="J64" s="13">
        <v>3368</v>
      </c>
      <c r="K64" s="13">
        <v>3270</v>
      </c>
      <c r="L64" s="13">
        <f>_xll.RssMarket("7182","前日終値")</f>
        <v>3335</v>
      </c>
      <c r="M64" s="5" t="str">
        <f t="shared" si="10"/>
        <v>BUY-DAY</v>
      </c>
      <c r="N64" s="9">
        <f>IF(OR(E64="",F64="",G64=""),"",IF(AD64&gt;0,AD64,(F64-G64)/SQRT(操作パネル_MS2!$H$12)*操作パネル_MS2!$H$10))</f>
        <v>4.9355530863707733</v>
      </c>
      <c r="O64" s="5" t="str">
        <f>IF(OR(E64="",AC64=""),"",IF(AC64&gt;=操作パネル_MS2!$H$3,"VOL-OK","VOL-NG"))</f>
        <v>VOL-OK</v>
      </c>
      <c r="P64" s="5" t="str">
        <f t="shared" si="2"/>
        <v>ON</v>
      </c>
      <c r="Q64" s="5" t="str">
        <f t="shared" si="3"/>
        <v>OFF</v>
      </c>
      <c r="R64" s="5" t="str">
        <f t="shared" si="4"/>
        <v>BUY</v>
      </c>
      <c r="S64" s="9">
        <f t="shared" si="5"/>
        <v>3405</v>
      </c>
      <c r="T64" s="9">
        <f>IF(R64="","",IF(R64="BUY",E64-N64*操作パネル_MS2!$H$5,E64+N64*操作パネル_MS2!$H$5))</f>
        <v>3397.5966703704439</v>
      </c>
      <c r="U64" s="9">
        <f>IF(R64="","",IF(R64="BUY",E64+N64*操作パネル_MS2!$H$6,E64-N64*操作パネル_MS2!$H$6))</f>
        <v>3412.4033296295561</v>
      </c>
      <c r="V64" s="9">
        <f>IF(R64="","",IF(R64="BUY",E64+N64*操作パネル_MS2!$H$7,E64-N64*操作パネル_MS2!$H$7))</f>
        <v>3414.8711061727417</v>
      </c>
      <c r="W64" s="9">
        <f>IF(R64="","",IF(R64="BUY",E64+N64*操作パネル_MS2!$H$8,E64-N64*操作パネル_MS2!$H$8))</f>
        <v>3419.8066592591122</v>
      </c>
      <c r="X64" s="5" t="str">
        <f t="shared" si="6"/>
        <v>1ST</v>
      </c>
      <c r="Y64" s="5" t="str">
        <f t="shared" ca="1" si="7"/>
        <v>その他</v>
      </c>
      <c r="Z64" s="5" t="str">
        <f>IF(OR(E64="",N64&lt;=0),"",IF(N64&gt;E64*操作パネル_MS2!$H$4,"VOL-HIGH","VOL-NORMAL"))</f>
        <v>VOL-NORMAL</v>
      </c>
      <c r="AA64" s="5" t="str">
        <f t="shared" si="8"/>
        <v>OK</v>
      </c>
      <c r="AB64" s="5" t="str">
        <f t="shared" si="9"/>
        <v>UP</v>
      </c>
      <c r="AC64" s="30">
        <f>IF(C64="","",_xll.RssMarket(C64&amp;"","売買代金"))</f>
        <v>31367884</v>
      </c>
      <c r="AD64" s="31">
        <f>IFERROR(INDEX(ATRHIST_MS2!$H:$H,MATCH(C64,ATRHIST_MS2!$A:$A,0)),0)</f>
        <v>4.9355530863707733</v>
      </c>
    </row>
    <row r="65" spans="1:30" ht="25.95" customHeight="1">
      <c r="A65" s="5">
        <f t="shared" si="0"/>
        <v>63</v>
      </c>
      <c r="B65" s="6" t="str">
        <f>IF(StockList_MS2!A58="","",HYPERLINK("https://kabutan.jp/stock/?code="&amp;StockList_MS2!A58,"株探"))</f>
        <v>株探</v>
      </c>
      <c r="C65" s="5">
        <f>IF(StockList_MS2!A58="","",StockList_MS2!A58)</f>
        <v>7211</v>
      </c>
      <c r="D65" s="7" t="str">
        <f>IF(StockList_MS2!A58="","",StockList_MS2!B58)</f>
        <v>三菱自動車工業</v>
      </c>
      <c r="E65" s="8">
        <f>_xll.RssMarket("7211","現在値")</f>
        <v>393.4</v>
      </c>
      <c r="F65" s="8">
        <f>_xll.RssMarket("7211","高値")</f>
        <v>394</v>
      </c>
      <c r="G65" s="8">
        <f>_xll.RssMarket("7211","安値")</f>
        <v>385.5</v>
      </c>
      <c r="H65" s="8" t="str">
        <f>_xll.RssMarket("7211","終値")</f>
        <v/>
      </c>
      <c r="I65" s="19">
        <f>_xll.RssMarket("7211","出来高")</f>
        <v>12651800</v>
      </c>
      <c r="J65" s="8">
        <v>388.7</v>
      </c>
      <c r="K65" s="8">
        <v>371</v>
      </c>
      <c r="L65" s="8">
        <f>_xll.RssMarket("7211","前日終値")</f>
        <v>388.7</v>
      </c>
      <c r="M65" s="5" t="str">
        <f t="shared" si="10"/>
        <v>BUY-DAY</v>
      </c>
      <c r="N65" s="9">
        <f>IF(OR(E65="",F65="",G65=""),"",IF(AD65&gt;0,AD65,(F65-G65)/SQRT(操作パネル_MS2!$H$12)*操作パネル_MS2!$H$10))</f>
        <v>0.72575498185153908</v>
      </c>
      <c r="O65" s="5" t="str">
        <f>IF(OR(E65="",AC65=""),"",IF(AC65&gt;=操作パネル_MS2!$H$3,"VOL-OK","VOL-NG"))</f>
        <v>VOL-OK</v>
      </c>
      <c r="P65" s="5" t="str">
        <f t="shared" si="2"/>
        <v>ON</v>
      </c>
      <c r="Q65" s="5" t="str">
        <f t="shared" si="3"/>
        <v>OFF</v>
      </c>
      <c r="R65" s="5" t="str">
        <f t="shared" si="4"/>
        <v>BUY</v>
      </c>
      <c r="S65" s="9">
        <f t="shared" si="5"/>
        <v>393.4</v>
      </c>
      <c r="T65" s="9">
        <f>IF(R65="","",IF(R65="BUY",E65-N65*操作パネル_MS2!$H$5,E65+N65*操作パネル_MS2!$H$5))</f>
        <v>392.31136752722267</v>
      </c>
      <c r="U65" s="9">
        <f>IF(R65="","",IF(R65="BUY",E65+N65*操作パネル_MS2!$H$6,E65-N65*操作パネル_MS2!$H$6))</f>
        <v>394.48863247277728</v>
      </c>
      <c r="V65" s="9">
        <f>IF(R65="","",IF(R65="BUY",E65+N65*操作パネル_MS2!$H$7,E65-N65*操作パネル_MS2!$H$7))</f>
        <v>394.85150996370305</v>
      </c>
      <c r="W65" s="9">
        <f>IF(R65="","",IF(R65="BUY",E65+N65*操作パネル_MS2!$H$8,E65-N65*操作パネル_MS2!$H$8))</f>
        <v>395.57726494555459</v>
      </c>
      <c r="X65" s="5" t="str">
        <f t="shared" si="6"/>
        <v>1ST</v>
      </c>
      <c r="Y65" s="5" t="str">
        <f t="shared" ca="1" si="7"/>
        <v>その他</v>
      </c>
      <c r="Z65" s="5" t="str">
        <f>IF(OR(E65="",N65&lt;=0),"",IF(N65&gt;E65*操作パネル_MS2!$H$4,"VOL-HIGH","VOL-NORMAL"))</f>
        <v>VOL-NORMAL</v>
      </c>
      <c r="AA65" s="5" t="str">
        <f t="shared" si="8"/>
        <v>OK</v>
      </c>
      <c r="AB65" s="5" t="str">
        <f t="shared" si="9"/>
        <v>UP</v>
      </c>
      <c r="AC65" s="30">
        <f>IF(C65="","",_xll.RssMarket(C65&amp;"","売買代金"))</f>
        <v>4959515</v>
      </c>
      <c r="AD65" s="31">
        <f>IFERROR(INDEX(ATRHIST_MS2!$H:$H,MATCH(C65,ATRHIST_MS2!$A:$A,0)),0)</f>
        <v>0.72575498185153908</v>
      </c>
    </row>
    <row r="66" spans="1:30" ht="25.95" customHeight="1">
      <c r="A66" s="5">
        <f t="shared" si="0"/>
        <v>64</v>
      </c>
      <c r="B66" s="6" t="str">
        <f>IF(StockList_MS2!A62="","",HYPERLINK("https://kabutan.jp/stock/?code="&amp;StockList_MS2!A62,"株探"))</f>
        <v>株探</v>
      </c>
      <c r="C66" s="5">
        <f>IF(StockList_MS2!A62="","",StockList_MS2!A62)</f>
        <v>8410</v>
      </c>
      <c r="D66" s="7" t="str">
        <f>IF(StockList_MS2!A62="","",StockList_MS2!B62)</f>
        <v>セブン銀行</v>
      </c>
      <c r="E66" s="8">
        <f>_xll.RssMarket("8410","現在値")</f>
        <v>338.7</v>
      </c>
      <c r="F66" s="8">
        <f>_xll.RssMarket("8410","高値")</f>
        <v>340.5</v>
      </c>
      <c r="G66" s="8">
        <f>_xll.RssMarket("8410","安値")</f>
        <v>336.2</v>
      </c>
      <c r="H66" s="8" t="str">
        <f>_xll.RssMarket("8410","終値")</f>
        <v/>
      </c>
      <c r="I66" s="19">
        <f>_xll.RssMarket("8410","出来高")</f>
        <v>3082500</v>
      </c>
      <c r="J66" s="8">
        <v>339.6</v>
      </c>
      <c r="K66" s="8">
        <v>334.2</v>
      </c>
      <c r="L66" s="8">
        <f>_xll.RssMarket("8410","前日終値")</f>
        <v>338.7</v>
      </c>
      <c r="M66" s="5" t="str">
        <f t="shared" si="10"/>
        <v>SELL-DAY</v>
      </c>
      <c r="N66" s="9">
        <f>IF(OR(E66="",F66="",G66=""),"",IF(AD66&gt;0,AD66,(F66-G66)/SQRT(操作パネル_MS2!$H$12)*操作パネル_MS2!$H$10))</f>
        <v>0.35283015602610568</v>
      </c>
      <c r="O66" s="5" t="str">
        <f>IF(OR(E66="",AC66=""),"",IF(AC66&gt;=操作パネル_MS2!$H$3,"VOL-OK","VOL-NG"))</f>
        <v>VOL-OK</v>
      </c>
      <c r="P66" s="5" t="str">
        <f t="shared" si="2"/>
        <v>OFF</v>
      </c>
      <c r="Q66" s="5" t="str">
        <f t="shared" si="3"/>
        <v>OFF</v>
      </c>
      <c r="R66" s="5" t="str">
        <f t="shared" si="4"/>
        <v/>
      </c>
      <c r="S66" s="9" t="str">
        <f t="shared" si="5"/>
        <v/>
      </c>
      <c r="T66" s="9" t="str">
        <f>IF(R66="","",IF(R66="BUY",E66-N66*操作パネル_MS2!$H$5,E66+N66*操作パネル_MS2!$H$5))</f>
        <v/>
      </c>
      <c r="U66" s="9" t="str">
        <f>IF(R66="","",IF(R66="BUY",E66+N66*操作パネル_MS2!$H$6,E66-N66*操作パネル_MS2!$H$6))</f>
        <v/>
      </c>
      <c r="V66" s="9" t="str">
        <f>IF(R66="","",IF(R66="BUY",E66+N66*操作パネル_MS2!$H$7,E66-N66*操作パネル_MS2!$H$7))</f>
        <v/>
      </c>
      <c r="W66" s="9" t="str">
        <f>IF(R66="","",IF(R66="BUY",E66+N66*操作パネル_MS2!$H$8,E66-N66*操作パネル_MS2!$H$8))</f>
        <v/>
      </c>
      <c r="X66" s="5" t="str">
        <f t="shared" si="6"/>
        <v>1ST</v>
      </c>
      <c r="Y66" s="5" t="str">
        <f t="shared" ca="1" si="7"/>
        <v>その他</v>
      </c>
      <c r="Z66" s="5" t="str">
        <f>IF(OR(E66="",N66&lt;=0),"",IF(N66&gt;E66*操作パネル_MS2!$H$4,"VOL-HIGH","VOL-NORMAL"))</f>
        <v>VOL-NORMAL</v>
      </c>
      <c r="AA66" s="5" t="str">
        <f t="shared" si="8"/>
        <v>OK</v>
      </c>
      <c r="AB66" s="5" t="str">
        <f t="shared" si="9"/>
        <v>UP</v>
      </c>
      <c r="AC66" s="30">
        <f>IF(C66="","",_xll.RssMarket(C66&amp;"","売買代金"))</f>
        <v>1044947</v>
      </c>
      <c r="AD66" s="31">
        <f>IFERROR(INDEX(ATRHIST_MS2!$H:$H,MATCH(C66,ATRHIST_MS2!$A:$A,0)),0)</f>
        <v>0.35283015602610568</v>
      </c>
    </row>
    <row r="67" spans="1:30" ht="25.95" customHeight="1">
      <c r="A67" s="5">
        <f t="shared" ref="A67:A130" si="11">IF(C67="","",ROW()-2)</f>
        <v>65</v>
      </c>
      <c r="B67" s="6" t="str">
        <f>IF(StockList_MS2!A64="","",HYPERLINK("https://kabutan.jp/stock/?code="&amp;StockList_MS2!A64,"株探"))</f>
        <v>株探</v>
      </c>
      <c r="C67" s="5">
        <f>IF(StockList_MS2!A64="","",StockList_MS2!A64)</f>
        <v>5020</v>
      </c>
      <c r="D67" s="7" t="str">
        <f>IF(StockList_MS2!A64="","",StockList_MS2!B64)</f>
        <v>ＥＮＥＯＳホールディングス</v>
      </c>
      <c r="E67" s="8">
        <f>_xll.RssMarket("5020","現在値")</f>
        <v>1339</v>
      </c>
      <c r="F67" s="8">
        <f>_xll.RssMarket("5020","高値")</f>
        <v>1340.5</v>
      </c>
      <c r="G67" s="8">
        <f>_xll.RssMarket("5020","安値")</f>
        <v>1320.5</v>
      </c>
      <c r="H67" s="8" t="str">
        <f>_xll.RssMarket("5020","終値")</f>
        <v/>
      </c>
      <c r="I67" s="19">
        <f>_xll.RssMarket("5020","出来高")</f>
        <v>9190000</v>
      </c>
      <c r="J67" s="8">
        <v>1345</v>
      </c>
      <c r="K67" s="8">
        <v>1321.5</v>
      </c>
      <c r="L67" s="8">
        <f>_xll.RssMarket("5020","前日終値")</f>
        <v>1324</v>
      </c>
      <c r="M67" s="5" t="str">
        <f t="shared" ref="M67:M98" si="12">IF(E67="","",IF(E67&gt;L67,"BUY-DAY","SELL-DAY"))</f>
        <v>BUY-DAY</v>
      </c>
      <c r="N67" s="9">
        <f>IF(OR(E67="",F67="",G67=""),"",IF(AD67&gt;0,AD67,(F67-G67)/SQRT(操作パネル_MS2!$H$12)*操作パネル_MS2!$H$10))</f>
        <v>1.5636822003815951</v>
      </c>
      <c r="O67" s="5" t="str">
        <f>IF(OR(E67="",AC67=""),"",IF(AC67&gt;=操作パネル_MS2!$H$3,"VOL-OK","VOL-NG"))</f>
        <v>VOL-OK</v>
      </c>
      <c r="P67" s="5" t="str">
        <f t="shared" ref="P67:P130" si="13">IF(E67="","",IF(E67&gt;J67,"ON","OFF"))</f>
        <v>OFF</v>
      </c>
      <c r="Q67" s="5" t="str">
        <f t="shared" ref="Q67:Q130" si="14">IF(E67="","",IF(E67&lt;K67,"ON","OFF"))</f>
        <v>OFF</v>
      </c>
      <c r="R67" s="5" t="str">
        <f t="shared" ref="R67:R130" si="15">IF(OR(E67="",N67&lt;=0),"",IF(AND(M67="BUY-DAY",O67="VOL-OK",P67="ON",AA67="OK",AB67&lt;&gt;"DOWN"),"BUY",IF(AND(M67="SELL-DAY",O67="VOL-OK",Q67="ON",AA67="OK",AB67&lt;&gt;"UP"),"SELL","")))</f>
        <v/>
      </c>
      <c r="S67" s="9" t="str">
        <f t="shared" ref="S67:S130" si="16">IF(R67="","",E67)</f>
        <v/>
      </c>
      <c r="T67" s="9" t="str">
        <f>IF(R67="","",IF(R67="BUY",E67-N67*操作パネル_MS2!$H$5,E67+N67*操作パネル_MS2!$H$5))</f>
        <v/>
      </c>
      <c r="U67" s="9" t="str">
        <f>IF(R67="","",IF(R67="BUY",E67+N67*操作パネル_MS2!$H$6,E67-N67*操作パネル_MS2!$H$6))</f>
        <v/>
      </c>
      <c r="V67" s="9" t="str">
        <f>IF(R67="","",IF(R67="BUY",E67+N67*操作パネル_MS2!$H$7,E67-N67*操作パネル_MS2!$H$7))</f>
        <v/>
      </c>
      <c r="W67" s="9" t="str">
        <f>IF(R67="","",IF(R67="BUY",E67+N67*操作パネル_MS2!$H$8,E67-N67*操作パネル_MS2!$H$8))</f>
        <v/>
      </c>
      <c r="X67" s="5" t="str">
        <f t="shared" ref="X67:X130" si="17">IF(OR(E67="",N67&lt;=0),"",IF(AND(E67&gt;L67,ABS(E67-L67)&lt;N67*0.5),"2ND","1ST"))</f>
        <v>1ST</v>
      </c>
      <c r="Y67" s="5" t="str">
        <f t="shared" ref="Y67:Y130" ca="1" si="18">IF(OR(E67="",N67&lt;=0),"",IF(AND(TEXT(NOW(),"hh:mm")&gt;="09:00",TEXT(NOW(),"hh:mm")&lt;="09:30"),"寄り付き",IF(AND(TEXT(NOW(),"hh:mm")&gt;="12:30",TEXT(NOW(),"hh:mm")&lt;="14:30"),"後場",IF(AND(TEXT(NOW(),"hh:mm")&gt;="14:30",TEXT(NOW(),"hh:mm")&lt;="15:00"),"引け前","その他"))))</f>
        <v>その他</v>
      </c>
      <c r="Z67" s="5" t="str">
        <f>IF(OR(E67="",N67&lt;=0),"",IF(N67&gt;E67*操作パネル_MS2!$H$4,"VOL-HIGH","VOL-NORMAL"))</f>
        <v>VOL-NORMAL</v>
      </c>
      <c r="AA67" s="5" t="str">
        <f t="shared" ref="AA67:AA130" si="19">IF(OR(E67="",N67&lt;=0),"",IF(AND(O67="VOL-OK",Z67="VOL-NORMAL"),"OK","NG"))</f>
        <v>OK</v>
      </c>
      <c r="AB67" s="5" t="str">
        <f t="shared" ref="AB67:AB130" si="20">IF(OR(E67="",N67&lt;=0),"",IF(AND(F67&gt;J67,G67&gt;K67),"UP",IF(AND(F67&lt;J67,G67&lt;K67),"DOWN","FLAT")))</f>
        <v>DOWN</v>
      </c>
      <c r="AC67" s="30">
        <f>IF(C67="","",_xll.RssMarket(C67&amp;"","売買代金"))</f>
        <v>12281221</v>
      </c>
      <c r="AD67" s="31">
        <f>IFERROR(INDEX(ATRHIST_MS2!$H:$H,MATCH(C67,ATRHIST_MS2!$A:$A,0)),0)</f>
        <v>1.5636822003815951</v>
      </c>
    </row>
    <row r="68" spans="1:30" ht="25.95" customHeight="1">
      <c r="A68" s="5">
        <f t="shared" si="11"/>
        <v>66</v>
      </c>
      <c r="B68" s="6" t="str">
        <f>IF(StockList_MS2!A70="","",HYPERLINK("https://kabutan.jp/stock/?code="&amp;StockList_MS2!A70,"株探"))</f>
        <v>株探</v>
      </c>
      <c r="C68" s="5">
        <f>IF(StockList_MS2!A70="","",StockList_MS2!A70)</f>
        <v>8750</v>
      </c>
      <c r="D68" s="7" t="str">
        <f>IF(StockList_MS2!A70="","",StockList_MS2!B70)</f>
        <v>第一ライフグループ</v>
      </c>
      <c r="E68" s="8">
        <f>_xll.RssMarket("8750","現在値")</f>
        <v>1838.5</v>
      </c>
      <c r="F68" s="8">
        <f>_xll.RssMarket("8750","高値")</f>
        <v>1857.5</v>
      </c>
      <c r="G68" s="8">
        <f>_xll.RssMarket("8750","安値")</f>
        <v>1811</v>
      </c>
      <c r="H68" s="8" t="str">
        <f>_xll.RssMarket("8750","終値")</f>
        <v/>
      </c>
      <c r="I68" s="19">
        <f>_xll.RssMarket("8750","出来高")</f>
        <v>13917900</v>
      </c>
      <c r="J68" s="8">
        <v>1857</v>
      </c>
      <c r="K68" s="8">
        <v>1810.5</v>
      </c>
      <c r="L68" s="8">
        <f>_xll.RssMarket("8750","前日終値")</f>
        <v>1843</v>
      </c>
      <c r="M68" s="5" t="str">
        <f t="shared" si="12"/>
        <v>SELL-DAY</v>
      </c>
      <c r="N68" s="9">
        <f>IF(OR(E68="",F68="",G68=""),"",IF(AD68&gt;0,AD68,(F68-G68)/SQRT(操作パネル_MS2!$H$12)*操作パネル_MS2!$H$10))</f>
        <v>2.2473457442678724</v>
      </c>
      <c r="O68" s="5" t="str">
        <f>IF(OR(E68="",AC68=""),"",IF(AC68&gt;=操作パネル_MS2!$H$3,"VOL-OK","VOL-NG"))</f>
        <v>VOL-OK</v>
      </c>
      <c r="P68" s="5" t="str">
        <f t="shared" si="13"/>
        <v>OFF</v>
      </c>
      <c r="Q68" s="5" t="str">
        <f t="shared" si="14"/>
        <v>OFF</v>
      </c>
      <c r="R68" s="5" t="str">
        <f t="shared" si="15"/>
        <v/>
      </c>
      <c r="S68" s="9" t="str">
        <f t="shared" si="16"/>
        <v/>
      </c>
      <c r="T68" s="9" t="str">
        <f>IF(R68="","",IF(R68="BUY",E68-N68*操作パネル_MS2!$H$5,E68+N68*操作パネル_MS2!$H$5))</f>
        <v/>
      </c>
      <c r="U68" s="9" t="str">
        <f>IF(R68="","",IF(R68="BUY",E68+N68*操作パネル_MS2!$H$6,E68-N68*操作パネル_MS2!$H$6))</f>
        <v/>
      </c>
      <c r="V68" s="9" t="str">
        <f>IF(R68="","",IF(R68="BUY",E68+N68*操作パネル_MS2!$H$7,E68-N68*操作パネル_MS2!$H$7))</f>
        <v/>
      </c>
      <c r="W68" s="9" t="str">
        <f>IF(R68="","",IF(R68="BUY",E68+N68*操作パネル_MS2!$H$8,E68-N68*操作パネル_MS2!$H$8))</f>
        <v/>
      </c>
      <c r="X68" s="5" t="str">
        <f t="shared" si="17"/>
        <v>1ST</v>
      </c>
      <c r="Y68" s="5" t="str">
        <f t="shared" ca="1" si="18"/>
        <v>その他</v>
      </c>
      <c r="Z68" s="5" t="str">
        <f>IF(OR(E68="",N68&lt;=0),"",IF(N68&gt;E68*操作パネル_MS2!$H$4,"VOL-HIGH","VOL-NORMAL"))</f>
        <v>VOL-NORMAL</v>
      </c>
      <c r="AA68" s="5" t="str">
        <f t="shared" si="19"/>
        <v>OK</v>
      </c>
      <c r="AB68" s="5" t="str">
        <f t="shared" si="20"/>
        <v>UP</v>
      </c>
      <c r="AC68" s="30">
        <f>IF(C68="","",_xll.RssMarket(C68&amp;"","売買代金"))</f>
        <v>25557220</v>
      </c>
      <c r="AD68" s="31">
        <f>IFERROR(INDEX(ATRHIST_MS2!$H:$H,MATCH(C68,ATRHIST_MS2!$A:$A,0)),0)</f>
        <v>2.2473457442678724</v>
      </c>
    </row>
    <row r="69" spans="1:30" ht="25.95" customHeight="1">
      <c r="A69" s="5">
        <f t="shared" si="11"/>
        <v>67</v>
      </c>
      <c r="B69" s="6" t="str">
        <f>IF(StockList_MS2!A72="","",HYPERLINK("https://kabutan.jp/stock/?code="&amp;StockList_MS2!A72,"株探"))</f>
        <v>株探</v>
      </c>
      <c r="C69" s="5">
        <f>IF(StockList_MS2!A72="","",StockList_MS2!A72)</f>
        <v>7751</v>
      </c>
      <c r="D69" s="7" t="str">
        <f>IF(StockList_MS2!A72="","",StockList_MS2!B72)</f>
        <v>キヤノン</v>
      </c>
      <c r="E69" s="8">
        <f>_xll.RssMarket("7751","現在値")</f>
        <v>4675</v>
      </c>
      <c r="F69" s="8">
        <f>_xll.RssMarket("7751","高値")</f>
        <v>4706</v>
      </c>
      <c r="G69" s="8">
        <f>_xll.RssMarket("7751","安値")</f>
        <v>4657</v>
      </c>
      <c r="H69" s="8" t="str">
        <f>_xll.RssMarket("7751","終値")</f>
        <v/>
      </c>
      <c r="I69" s="19">
        <f>_xll.RssMarket("7751","出来高")</f>
        <v>4659700</v>
      </c>
      <c r="J69" s="8">
        <v>4721</v>
      </c>
      <c r="K69" s="8">
        <v>4671</v>
      </c>
      <c r="L69" s="8">
        <f>_xll.RssMarket("7751","前日終値")</f>
        <v>4686</v>
      </c>
      <c r="M69" s="5" t="str">
        <f t="shared" si="12"/>
        <v>SELL-DAY</v>
      </c>
      <c r="N69" s="9">
        <f>IF(OR(E69="",F69="",G69=""),"",IF(AD69&gt;0,AD69,(F69-G69)/SQRT(操作パネル_MS2!$H$12)*操作パネル_MS2!$H$10))</f>
        <v>5.8112368766348519</v>
      </c>
      <c r="O69" s="5" t="str">
        <f>IF(OR(E69="",AC69=""),"",IF(AC69&gt;=操作パネル_MS2!$H$3,"VOL-OK","VOL-NG"))</f>
        <v>VOL-OK</v>
      </c>
      <c r="P69" s="5" t="str">
        <f t="shared" si="13"/>
        <v>OFF</v>
      </c>
      <c r="Q69" s="5" t="str">
        <f t="shared" si="14"/>
        <v>OFF</v>
      </c>
      <c r="R69" s="5" t="str">
        <f t="shared" si="15"/>
        <v/>
      </c>
      <c r="S69" s="9" t="str">
        <f t="shared" si="16"/>
        <v/>
      </c>
      <c r="T69" s="9" t="str">
        <f>IF(R69="","",IF(R69="BUY",E69-N69*操作パネル_MS2!$H$5,E69+N69*操作パネル_MS2!$H$5))</f>
        <v/>
      </c>
      <c r="U69" s="9" t="str">
        <f>IF(R69="","",IF(R69="BUY",E69+N69*操作パネル_MS2!$H$6,E69-N69*操作パネル_MS2!$H$6))</f>
        <v/>
      </c>
      <c r="V69" s="9" t="str">
        <f>IF(R69="","",IF(R69="BUY",E69+N69*操作パネル_MS2!$H$7,E69-N69*操作パネル_MS2!$H$7))</f>
        <v/>
      </c>
      <c r="W69" s="9" t="str">
        <f>IF(R69="","",IF(R69="BUY",E69+N69*操作パネル_MS2!$H$8,E69-N69*操作パネル_MS2!$H$8))</f>
        <v/>
      </c>
      <c r="X69" s="5" t="str">
        <f t="shared" si="17"/>
        <v>1ST</v>
      </c>
      <c r="Y69" s="5" t="str">
        <f t="shared" ca="1" si="18"/>
        <v>その他</v>
      </c>
      <c r="Z69" s="5" t="str">
        <f>IF(OR(E69="",N69&lt;=0),"",IF(N69&gt;E69*操作パネル_MS2!$H$4,"VOL-HIGH","VOL-NORMAL"))</f>
        <v>VOL-NORMAL</v>
      </c>
      <c r="AA69" s="5" t="str">
        <f t="shared" si="19"/>
        <v>OK</v>
      </c>
      <c r="AB69" s="5" t="str">
        <f t="shared" si="20"/>
        <v>DOWN</v>
      </c>
      <c r="AC69" s="30">
        <f>IF(C69="","",_xll.RssMarket(C69&amp;"","売買代金"))</f>
        <v>21792272</v>
      </c>
      <c r="AD69" s="31">
        <f>IFERROR(INDEX(ATRHIST_MS2!$H:$H,MATCH(C69,ATRHIST_MS2!$A:$A,0)),0)</f>
        <v>5.8112368766348519</v>
      </c>
    </row>
    <row r="70" spans="1:30" ht="25.95" customHeight="1">
      <c r="A70" s="5">
        <f t="shared" si="11"/>
        <v>68</v>
      </c>
      <c r="B70" s="6" t="str">
        <f>IF(StockList_MS2!A74="","",HYPERLINK("https://kabutan.jp/stock/?code="&amp;StockList_MS2!A74,"株探"))</f>
        <v>株探</v>
      </c>
      <c r="C70" s="5">
        <f>IF(StockList_MS2!A74="","",StockList_MS2!A74)</f>
        <v>7735</v>
      </c>
      <c r="D70" s="7" t="str">
        <f>IF(StockList_MS2!A74="","",StockList_MS2!B74)</f>
        <v>ＳＣＲＥＥＮホールディングス</v>
      </c>
      <c r="E70" s="8">
        <f>_xll.RssMarket("7735","現在値")</f>
        <v>13600</v>
      </c>
      <c r="F70" s="8">
        <f>_xll.RssMarket("7735","高値")</f>
        <v>13680</v>
      </c>
      <c r="G70" s="8">
        <f>_xll.RssMarket("7735","安値")</f>
        <v>13105</v>
      </c>
      <c r="H70" s="8" t="str">
        <f>_xll.RssMarket("7735","終値")</f>
        <v/>
      </c>
      <c r="I70" s="19">
        <f>_xll.RssMarket("7735","出来高")</f>
        <v>1841200</v>
      </c>
      <c r="J70" s="8">
        <v>14025</v>
      </c>
      <c r="K70" s="8">
        <v>13525</v>
      </c>
      <c r="L70" s="8">
        <f>_xll.RssMarket("7735","前日終値")</f>
        <v>13715</v>
      </c>
      <c r="M70" s="5" t="str">
        <f t="shared" si="12"/>
        <v>SELL-DAY</v>
      </c>
      <c r="N70" s="9">
        <f>IF(OR(E70="",F70="",G70=""),"",IF(AD70&gt;0,AD70,(F70-G70)/SQRT(操作パネル_MS2!$H$12)*操作パネル_MS2!$H$10))</f>
        <v>29.155628315245941</v>
      </c>
      <c r="O70" s="5" t="str">
        <f>IF(OR(E70="",AC70=""),"",IF(AC70&gt;=操作パネル_MS2!$H$3,"VOL-OK","VOL-NG"))</f>
        <v>VOL-OK</v>
      </c>
      <c r="P70" s="5" t="str">
        <f t="shared" si="13"/>
        <v>OFF</v>
      </c>
      <c r="Q70" s="5" t="str">
        <f t="shared" si="14"/>
        <v>OFF</v>
      </c>
      <c r="R70" s="5" t="str">
        <f t="shared" si="15"/>
        <v/>
      </c>
      <c r="S70" s="9" t="str">
        <f t="shared" si="16"/>
        <v/>
      </c>
      <c r="T70" s="9" t="str">
        <f>IF(R70="","",IF(R70="BUY",E70-N70*操作パネル_MS2!$H$5,E70+N70*操作パネル_MS2!$H$5))</f>
        <v/>
      </c>
      <c r="U70" s="9" t="str">
        <f>IF(R70="","",IF(R70="BUY",E70+N70*操作パネル_MS2!$H$6,E70-N70*操作パネル_MS2!$H$6))</f>
        <v/>
      </c>
      <c r="V70" s="9" t="str">
        <f>IF(R70="","",IF(R70="BUY",E70+N70*操作パネル_MS2!$H$7,E70-N70*操作パネル_MS2!$H$7))</f>
        <v/>
      </c>
      <c r="W70" s="9" t="str">
        <f>IF(R70="","",IF(R70="BUY",E70+N70*操作パネル_MS2!$H$8,E70-N70*操作パネル_MS2!$H$8))</f>
        <v/>
      </c>
      <c r="X70" s="5" t="str">
        <f t="shared" si="17"/>
        <v>1ST</v>
      </c>
      <c r="Y70" s="5" t="str">
        <f t="shared" ca="1" si="18"/>
        <v>その他</v>
      </c>
      <c r="Z70" s="5" t="str">
        <f>IF(OR(E70="",N70&lt;=0),"",IF(N70&gt;E70*操作パネル_MS2!$H$4,"VOL-HIGH","VOL-NORMAL"))</f>
        <v>VOL-NORMAL</v>
      </c>
      <c r="AA70" s="5" t="str">
        <f t="shared" si="19"/>
        <v>OK</v>
      </c>
      <c r="AB70" s="5" t="str">
        <f t="shared" si="20"/>
        <v>DOWN</v>
      </c>
      <c r="AC70" s="30">
        <f>IF(C70="","",_xll.RssMarket(C70&amp;"","売買代金"))</f>
        <v>24740036</v>
      </c>
      <c r="AD70" s="31">
        <f>IFERROR(INDEX(ATRHIST_MS2!$H:$H,MATCH(C70,ATRHIST_MS2!$A:$A,0)),0)</f>
        <v>29.155628315245941</v>
      </c>
    </row>
    <row r="71" spans="1:30" ht="25.95" customHeight="1">
      <c r="A71" s="10">
        <f t="shared" si="11"/>
        <v>69</v>
      </c>
      <c r="B71" s="11" t="str">
        <f>IF(StockList_MS2!A75="","",HYPERLINK("https://kabutan.jp/stock/?code="&amp;StockList_MS2!A75,"株探"))</f>
        <v>株探</v>
      </c>
      <c r="C71" s="10">
        <f>IF(StockList_MS2!A75="","",StockList_MS2!A75)</f>
        <v>6506</v>
      </c>
      <c r="D71" s="12" t="str">
        <f>IF(StockList_MS2!A75="","",StockList_MS2!B75)</f>
        <v>安川電機</v>
      </c>
      <c r="E71" s="13">
        <f>_xll.RssMarket("6506","現在値")</f>
        <v>4780</v>
      </c>
      <c r="F71" s="13">
        <f>_xll.RssMarket("6506","高値")</f>
        <v>4780</v>
      </c>
      <c r="G71" s="13">
        <f>_xll.RssMarket("6506","安値")</f>
        <v>4618</v>
      </c>
      <c r="H71" s="13" t="str">
        <f>_xll.RssMarket("6506","終値")</f>
        <v/>
      </c>
      <c r="I71" s="20">
        <f>_xll.RssMarket("6506","出来高")</f>
        <v>3652900</v>
      </c>
      <c r="J71" s="13">
        <v>4889</v>
      </c>
      <c r="K71" s="13">
        <v>4773</v>
      </c>
      <c r="L71" s="13">
        <f>_xll.RssMarket("6506","前日終値")</f>
        <v>4811</v>
      </c>
      <c r="M71" s="5" t="str">
        <f t="shared" si="12"/>
        <v>SELL-DAY</v>
      </c>
      <c r="N71" s="9">
        <f>IF(OR(E71="",F71="",G71=""),"",IF(AD71&gt;0,AD71,(F71-G71)/SQRT(操作パネル_MS2!$H$12)*操作パネル_MS2!$H$10))</f>
        <v>8.0178596229876504</v>
      </c>
      <c r="O71" s="5" t="str">
        <f>IF(OR(E71="",AC71=""),"",IF(AC71&gt;=操作パネル_MS2!$H$3,"VOL-OK","VOL-NG"))</f>
        <v>VOL-OK</v>
      </c>
      <c r="P71" s="5" t="str">
        <f t="shared" si="13"/>
        <v>OFF</v>
      </c>
      <c r="Q71" s="5" t="str">
        <f t="shared" si="14"/>
        <v>OFF</v>
      </c>
      <c r="R71" s="5" t="str">
        <f t="shared" si="15"/>
        <v/>
      </c>
      <c r="S71" s="9" t="str">
        <f t="shared" si="16"/>
        <v/>
      </c>
      <c r="T71" s="9" t="str">
        <f>IF(R71="","",IF(R71="BUY",E71-N71*操作パネル_MS2!$H$5,E71+N71*操作パネル_MS2!$H$5))</f>
        <v/>
      </c>
      <c r="U71" s="9" t="str">
        <f>IF(R71="","",IF(R71="BUY",E71+N71*操作パネル_MS2!$H$6,E71-N71*操作パネル_MS2!$H$6))</f>
        <v/>
      </c>
      <c r="V71" s="9" t="str">
        <f>IF(R71="","",IF(R71="BUY",E71+N71*操作パネル_MS2!$H$7,E71-N71*操作パネル_MS2!$H$7))</f>
        <v/>
      </c>
      <c r="W71" s="9" t="str">
        <f>IF(R71="","",IF(R71="BUY",E71+N71*操作パネル_MS2!$H$8,E71-N71*操作パネル_MS2!$H$8))</f>
        <v/>
      </c>
      <c r="X71" s="5" t="str">
        <f t="shared" si="17"/>
        <v>1ST</v>
      </c>
      <c r="Y71" s="5" t="str">
        <f t="shared" ca="1" si="18"/>
        <v>その他</v>
      </c>
      <c r="Z71" s="5" t="str">
        <f>IF(OR(E71="",N71&lt;=0),"",IF(N71&gt;E71*操作パネル_MS2!$H$4,"VOL-HIGH","VOL-NORMAL"))</f>
        <v>VOL-NORMAL</v>
      </c>
      <c r="AA71" s="5" t="str">
        <f t="shared" si="19"/>
        <v>OK</v>
      </c>
      <c r="AB71" s="5" t="str">
        <f t="shared" si="20"/>
        <v>DOWN</v>
      </c>
      <c r="AC71" s="30">
        <f>IF(C71="","",_xll.RssMarket(C71&amp;"","売買代金"))</f>
        <v>17235206</v>
      </c>
      <c r="AD71" s="31">
        <f>IFERROR(INDEX(ATRHIST_MS2!$H:$H,MATCH(C71,ATRHIST_MS2!$A:$A,0)),0)</f>
        <v>8.0178596229876504</v>
      </c>
    </row>
    <row r="72" spans="1:30" ht="25.95" customHeight="1">
      <c r="A72" s="10">
        <f t="shared" si="11"/>
        <v>70</v>
      </c>
      <c r="B72" s="11" t="str">
        <f>IF(StockList_MS2!A77="","",HYPERLINK("https://kabutan.jp/stock/?code="&amp;StockList_MS2!A77,"株探"))</f>
        <v>株探</v>
      </c>
      <c r="C72" s="10">
        <f>IF(StockList_MS2!A77="","",StockList_MS2!A77)</f>
        <v>3697</v>
      </c>
      <c r="D72" s="12" t="str">
        <f>IF(StockList_MS2!A77="","",StockList_MS2!B77)</f>
        <v>ＳＨＩＦＴ</v>
      </c>
      <c r="E72" s="13">
        <f>_xll.RssMarket("3697","現在値")</f>
        <v>955.9</v>
      </c>
      <c r="F72" s="13">
        <f>_xll.RssMarket("3697","高値")</f>
        <v>974.5</v>
      </c>
      <c r="G72" s="13">
        <f>_xll.RssMarket("3697","安値")</f>
        <v>947.5</v>
      </c>
      <c r="H72" s="13" t="str">
        <f>_xll.RssMarket("3697","終値")</f>
        <v/>
      </c>
      <c r="I72" s="20">
        <f>_xll.RssMarket("3697","出来高")</f>
        <v>5217600</v>
      </c>
      <c r="J72" s="13">
        <v>1021</v>
      </c>
      <c r="K72" s="13">
        <v>960.1</v>
      </c>
      <c r="L72" s="13">
        <f>_xll.RssMarket("3697","前日終値")</f>
        <v>963.3</v>
      </c>
      <c r="M72" s="5" t="str">
        <f t="shared" si="12"/>
        <v>SELL-DAY</v>
      </c>
      <c r="N72" s="9">
        <f>IF(OR(E72="",F72="",G72=""),"",IF(AD72&gt;0,AD72,(F72-G72)/SQRT(操作パネル_MS2!$H$12)*操作パネル_MS2!$H$10))</f>
        <v>2.1966470014038877</v>
      </c>
      <c r="O72" s="5" t="str">
        <f>IF(OR(E72="",AC72=""),"",IF(AC72&gt;=操作パネル_MS2!$H$3,"VOL-OK","VOL-NG"))</f>
        <v>VOL-OK</v>
      </c>
      <c r="P72" s="5" t="str">
        <f t="shared" si="13"/>
        <v>OFF</v>
      </c>
      <c r="Q72" s="5" t="str">
        <f t="shared" si="14"/>
        <v>ON</v>
      </c>
      <c r="R72" s="5" t="str">
        <f t="shared" si="15"/>
        <v>SELL</v>
      </c>
      <c r="S72" s="9">
        <f t="shared" si="16"/>
        <v>955.9</v>
      </c>
      <c r="T72" s="9">
        <f>IF(R72="","",IF(R72="BUY",E72-N72*操作パネル_MS2!$H$5,E72+N72*操作パネル_MS2!$H$5))</f>
        <v>959.19497050210578</v>
      </c>
      <c r="U72" s="9">
        <f>IF(R72="","",IF(R72="BUY",E72+N72*操作パネル_MS2!$H$6,E72-N72*操作パネル_MS2!$H$6))</f>
        <v>952.60502949789418</v>
      </c>
      <c r="V72" s="9">
        <f>IF(R72="","",IF(R72="BUY",E72+N72*操作パネル_MS2!$H$7,E72-N72*操作パネル_MS2!$H$7))</f>
        <v>951.50670599719217</v>
      </c>
      <c r="W72" s="9">
        <f>IF(R72="","",IF(R72="BUY",E72+N72*操作パネル_MS2!$H$8,E72-N72*操作パネル_MS2!$H$8))</f>
        <v>949.31005899578827</v>
      </c>
      <c r="X72" s="5" t="str">
        <f t="shared" si="17"/>
        <v>1ST</v>
      </c>
      <c r="Y72" s="5" t="str">
        <f t="shared" ca="1" si="18"/>
        <v>その他</v>
      </c>
      <c r="Z72" s="5" t="str">
        <f>IF(OR(E72="",N72&lt;=0),"",IF(N72&gt;E72*操作パネル_MS2!$H$4,"VOL-HIGH","VOL-NORMAL"))</f>
        <v>VOL-NORMAL</v>
      </c>
      <c r="AA72" s="5" t="str">
        <f t="shared" si="19"/>
        <v>OK</v>
      </c>
      <c r="AB72" s="5" t="str">
        <f t="shared" si="20"/>
        <v>DOWN</v>
      </c>
      <c r="AC72" s="30">
        <f>IF(C72="","",_xll.RssMarket(C72&amp;"","売買代金"))</f>
        <v>5002280</v>
      </c>
      <c r="AD72" s="31">
        <f>IFERROR(INDEX(ATRHIST_MS2!$H:$H,MATCH(C72,ATRHIST_MS2!$A:$A,0)),0)</f>
        <v>2.1966470014038877</v>
      </c>
    </row>
    <row r="73" spans="1:30" ht="25.95" customHeight="1">
      <c r="A73" s="10">
        <f t="shared" si="11"/>
        <v>71</v>
      </c>
      <c r="B73" s="11" t="str">
        <f>IF(StockList_MS2!A79="","",HYPERLINK("https://kabutan.jp/stock/?code="&amp;StockList_MS2!A79,"株探"))</f>
        <v>株探</v>
      </c>
      <c r="C73" s="10">
        <f>IF(StockList_MS2!A79="","",StockList_MS2!A79)</f>
        <v>4503</v>
      </c>
      <c r="D73" s="12" t="str">
        <f>IF(StockList_MS2!A79="","",StockList_MS2!B79)</f>
        <v>アステラス製薬</v>
      </c>
      <c r="E73" s="13">
        <f>_xll.RssMarket("4503","現在値")</f>
        <v>2371.5</v>
      </c>
      <c r="F73" s="13">
        <f>_xll.RssMarket("4503","高値")</f>
        <v>2371.5</v>
      </c>
      <c r="G73" s="13">
        <f>_xll.RssMarket("4503","安値")</f>
        <v>2330.5</v>
      </c>
      <c r="H73" s="13" t="str">
        <f>_xll.RssMarket("4503","終値")</f>
        <v/>
      </c>
      <c r="I73" s="20">
        <f>_xll.RssMarket("4503","出来高")</f>
        <v>15498500</v>
      </c>
      <c r="J73" s="13">
        <v>2404</v>
      </c>
      <c r="K73" s="13">
        <v>2364</v>
      </c>
      <c r="L73" s="13">
        <f>_xll.RssMarket("4503","前日終値")</f>
        <v>2370.5</v>
      </c>
      <c r="M73" s="5" t="str">
        <f t="shared" si="12"/>
        <v>BUY-DAY</v>
      </c>
      <c r="N73" s="9">
        <f>IF(OR(E73="",F73="",G73=""),"",IF(AD73&gt;0,AD73,(F73-G73)/SQRT(操作パネル_MS2!$H$12)*操作パネル_MS2!$H$10))</f>
        <v>3.408924962784702</v>
      </c>
      <c r="O73" s="5" t="str">
        <f>IF(OR(E73="",AC73=""),"",IF(AC73&gt;=操作パネル_MS2!$H$3,"VOL-OK","VOL-NG"))</f>
        <v>VOL-OK</v>
      </c>
      <c r="P73" s="5" t="str">
        <f t="shared" si="13"/>
        <v>OFF</v>
      </c>
      <c r="Q73" s="5" t="str">
        <f t="shared" si="14"/>
        <v>OFF</v>
      </c>
      <c r="R73" s="5" t="str">
        <f t="shared" si="15"/>
        <v/>
      </c>
      <c r="S73" s="9" t="str">
        <f t="shared" si="16"/>
        <v/>
      </c>
      <c r="T73" s="9" t="str">
        <f>IF(R73="","",IF(R73="BUY",E73-N73*操作パネル_MS2!$H$5,E73+N73*操作パネル_MS2!$H$5))</f>
        <v/>
      </c>
      <c r="U73" s="9" t="str">
        <f>IF(R73="","",IF(R73="BUY",E73+N73*操作パネル_MS2!$H$6,E73-N73*操作パネル_MS2!$H$6))</f>
        <v/>
      </c>
      <c r="V73" s="9" t="str">
        <f>IF(R73="","",IF(R73="BUY",E73+N73*操作パネル_MS2!$H$7,E73-N73*操作パネル_MS2!$H$7))</f>
        <v/>
      </c>
      <c r="W73" s="9" t="str">
        <f>IF(R73="","",IF(R73="BUY",E73+N73*操作パネル_MS2!$H$8,E73-N73*操作パネル_MS2!$H$8))</f>
        <v/>
      </c>
      <c r="X73" s="5" t="str">
        <f t="shared" si="17"/>
        <v>2ND</v>
      </c>
      <c r="Y73" s="5" t="str">
        <f t="shared" ca="1" si="18"/>
        <v>その他</v>
      </c>
      <c r="Z73" s="5" t="str">
        <f>IF(OR(E73="",N73&lt;=0),"",IF(N73&gt;E73*操作パネル_MS2!$H$4,"VOL-HIGH","VOL-NORMAL"))</f>
        <v>VOL-NORMAL</v>
      </c>
      <c r="AA73" s="5" t="str">
        <f t="shared" si="19"/>
        <v>OK</v>
      </c>
      <c r="AB73" s="5" t="str">
        <f t="shared" si="20"/>
        <v>DOWN</v>
      </c>
      <c r="AC73" s="30">
        <f>IF(C73="","",_xll.RssMarket(C73&amp;"","売買代金"))</f>
        <v>36708878</v>
      </c>
      <c r="AD73" s="31">
        <f>IFERROR(INDEX(ATRHIST_MS2!$H:$H,MATCH(C73,ATRHIST_MS2!$A:$A,0)),0)</f>
        <v>3.408924962784702</v>
      </c>
    </row>
    <row r="74" spans="1:30" ht="25.95" customHeight="1">
      <c r="A74" s="5">
        <f t="shared" si="11"/>
        <v>72</v>
      </c>
      <c r="B74" s="6" t="str">
        <f>IF(StockList_MS2!A80="","",HYPERLINK("https://kabutan.jp/stock/?code="&amp;StockList_MS2!A80,"株探"))</f>
        <v>株探</v>
      </c>
      <c r="C74" s="5">
        <f>IF(StockList_MS2!A80="","",StockList_MS2!A80)</f>
        <v>2146</v>
      </c>
      <c r="D74" s="7" t="str">
        <f>IF(StockList_MS2!A80="","",StockList_MS2!B80)</f>
        <v>ＵＴグループ</v>
      </c>
      <c r="E74" s="8">
        <f>_xll.RssMarket("2146","現在値")</f>
        <v>239</v>
      </c>
      <c r="F74" s="8">
        <f>_xll.RssMarket("2146","高値")</f>
        <v>240</v>
      </c>
      <c r="G74" s="8">
        <f>_xll.RssMarket("2146","安値")</f>
        <v>234</v>
      </c>
      <c r="H74" s="8" t="str">
        <f>_xll.RssMarket("2146","終値")</f>
        <v/>
      </c>
      <c r="I74" s="19">
        <f>_xll.RssMarket("2146","出来高")</f>
        <v>7215000</v>
      </c>
      <c r="J74" s="8">
        <v>236</v>
      </c>
      <c r="K74" s="8">
        <v>230</v>
      </c>
      <c r="L74" s="8">
        <f>_xll.RssMarket("2146","前日終値")</f>
        <v>235</v>
      </c>
      <c r="M74" s="5" t="str">
        <f t="shared" si="12"/>
        <v>BUY-DAY</v>
      </c>
      <c r="N74" s="9">
        <f>IF(OR(E74="",F74="",G74=""),"",IF(AD74&gt;0,AD74,(F74-G74)/SQRT(操作パネル_MS2!$H$12)*操作パネル_MS2!$H$10))</f>
        <v>0.66020121010700628</v>
      </c>
      <c r="O74" s="5" t="str">
        <f>IF(OR(E74="",AC74=""),"",IF(AC74&gt;=操作パネル_MS2!$H$3,"VOL-OK","VOL-NG"))</f>
        <v>VOL-OK</v>
      </c>
      <c r="P74" s="5" t="str">
        <f t="shared" si="13"/>
        <v>ON</v>
      </c>
      <c r="Q74" s="5" t="str">
        <f t="shared" si="14"/>
        <v>OFF</v>
      </c>
      <c r="R74" s="5" t="str">
        <f t="shared" si="15"/>
        <v>BUY</v>
      </c>
      <c r="S74" s="9">
        <f t="shared" si="16"/>
        <v>239</v>
      </c>
      <c r="T74" s="9">
        <f>IF(R74="","",IF(R74="BUY",E74-N74*操作パネル_MS2!$H$5,E74+N74*操作パネル_MS2!$H$5))</f>
        <v>238.00969818483949</v>
      </c>
      <c r="U74" s="9">
        <f>IF(R74="","",IF(R74="BUY",E74+N74*操作パネル_MS2!$H$6,E74-N74*操作パネル_MS2!$H$6))</f>
        <v>239.99030181516051</v>
      </c>
      <c r="V74" s="9">
        <f>IF(R74="","",IF(R74="BUY",E74+N74*操作パネル_MS2!$H$7,E74-N74*操作パネル_MS2!$H$7))</f>
        <v>240.32040242021401</v>
      </c>
      <c r="W74" s="9">
        <f>IF(R74="","",IF(R74="BUY",E74+N74*操作パネル_MS2!$H$8,E74-N74*操作パネル_MS2!$H$8))</f>
        <v>240.98060363032101</v>
      </c>
      <c r="X74" s="5" t="str">
        <f t="shared" si="17"/>
        <v>1ST</v>
      </c>
      <c r="Y74" s="5" t="str">
        <f t="shared" ca="1" si="18"/>
        <v>その他</v>
      </c>
      <c r="Z74" s="5" t="str">
        <f>IF(OR(E74="",N74&lt;=0),"",IF(N74&gt;E74*操作パネル_MS2!$H$4,"VOL-HIGH","VOL-NORMAL"))</f>
        <v>VOL-NORMAL</v>
      </c>
      <c r="AA74" s="5" t="str">
        <f t="shared" si="19"/>
        <v>OK</v>
      </c>
      <c r="AB74" s="5" t="str">
        <f t="shared" si="20"/>
        <v>UP</v>
      </c>
      <c r="AC74" s="30">
        <f>IF(C74="","",_xll.RssMarket(C74&amp;"","売買代金"))</f>
        <v>1714736</v>
      </c>
      <c r="AD74" s="31">
        <f>IFERROR(INDEX(ATRHIST_MS2!$H:$H,MATCH(C74,ATRHIST_MS2!$A:$A,0)),0)</f>
        <v>0.66020121010700628</v>
      </c>
    </row>
    <row r="75" spans="1:30" ht="25.95" customHeight="1">
      <c r="A75" s="10">
        <f t="shared" si="11"/>
        <v>73</v>
      </c>
      <c r="B75" s="11" t="str">
        <f>IF(StockList_MS2!A85="","",HYPERLINK("https://kabutan.jp/stock/?code="&amp;StockList_MS2!A85,"株探"))</f>
        <v>株探</v>
      </c>
      <c r="C75" s="10">
        <f>IF(StockList_MS2!A85="","",StockList_MS2!A85)</f>
        <v>6471</v>
      </c>
      <c r="D75" s="12" t="str">
        <f>IF(StockList_MS2!A85="","",StockList_MS2!B85)</f>
        <v>日本精工</v>
      </c>
      <c r="E75" s="13">
        <f>_xll.RssMarket("6471","現在値")</f>
        <v>1109.5</v>
      </c>
      <c r="F75" s="13">
        <f>_xll.RssMarket("6471","高値")</f>
        <v>1109.5</v>
      </c>
      <c r="G75" s="13">
        <f>_xll.RssMarket("6471","安値")</f>
        <v>1082</v>
      </c>
      <c r="H75" s="13" t="str">
        <f>_xll.RssMarket("6471","終値")</f>
        <v/>
      </c>
      <c r="I75" s="20">
        <f>_xll.RssMarket("6471","出来高")</f>
        <v>3782000</v>
      </c>
      <c r="J75" s="13">
        <v>1119</v>
      </c>
      <c r="K75" s="13">
        <v>1096.5</v>
      </c>
      <c r="L75" s="13">
        <f>_xll.RssMarket("6471","前日終値")</f>
        <v>1100.5</v>
      </c>
      <c r="M75" s="5" t="str">
        <f t="shared" si="12"/>
        <v>BUY-DAY</v>
      </c>
      <c r="N75" s="9">
        <f>IF(OR(E75="",F75="",G75=""),"",IF(AD75&gt;0,AD75,(F75-G75)/SQRT(操作パネル_MS2!$H$12)*操作パネル_MS2!$H$10))</f>
        <v>1.091916224180667</v>
      </c>
      <c r="O75" s="5" t="str">
        <f>IF(OR(E75="",AC75=""),"",IF(AC75&gt;=操作パネル_MS2!$H$3,"VOL-OK","VOL-NG"))</f>
        <v>VOL-OK</v>
      </c>
      <c r="P75" s="5" t="str">
        <f t="shared" si="13"/>
        <v>OFF</v>
      </c>
      <c r="Q75" s="5" t="str">
        <f t="shared" si="14"/>
        <v>OFF</v>
      </c>
      <c r="R75" s="5" t="str">
        <f t="shared" si="15"/>
        <v/>
      </c>
      <c r="S75" s="9" t="str">
        <f t="shared" si="16"/>
        <v/>
      </c>
      <c r="T75" s="9" t="str">
        <f>IF(R75="","",IF(R75="BUY",E75-N75*操作パネル_MS2!$H$5,E75+N75*操作パネル_MS2!$H$5))</f>
        <v/>
      </c>
      <c r="U75" s="9" t="str">
        <f>IF(R75="","",IF(R75="BUY",E75+N75*操作パネル_MS2!$H$6,E75-N75*操作パネル_MS2!$H$6))</f>
        <v/>
      </c>
      <c r="V75" s="9" t="str">
        <f>IF(R75="","",IF(R75="BUY",E75+N75*操作パネル_MS2!$H$7,E75-N75*操作パネル_MS2!$H$7))</f>
        <v/>
      </c>
      <c r="W75" s="9" t="str">
        <f>IF(R75="","",IF(R75="BUY",E75+N75*操作パネル_MS2!$H$8,E75-N75*操作パネル_MS2!$H$8))</f>
        <v/>
      </c>
      <c r="X75" s="5" t="str">
        <f t="shared" si="17"/>
        <v>1ST</v>
      </c>
      <c r="Y75" s="5" t="str">
        <f t="shared" ca="1" si="18"/>
        <v>その他</v>
      </c>
      <c r="Z75" s="5" t="str">
        <f>IF(OR(E75="",N75&lt;=0),"",IF(N75&gt;E75*操作パネル_MS2!$H$4,"VOL-HIGH","VOL-NORMAL"))</f>
        <v>VOL-NORMAL</v>
      </c>
      <c r="AA75" s="5" t="str">
        <f t="shared" si="19"/>
        <v>OK</v>
      </c>
      <c r="AB75" s="5" t="str">
        <f t="shared" si="20"/>
        <v>DOWN</v>
      </c>
      <c r="AC75" s="30">
        <f>IF(C75="","",_xll.RssMarket(C75&amp;"","売買代金"))</f>
        <v>4183440</v>
      </c>
      <c r="AD75" s="31">
        <f>IFERROR(INDEX(ATRHIST_MS2!$H:$H,MATCH(C75,ATRHIST_MS2!$A:$A,0)),0)</f>
        <v>1.091916224180667</v>
      </c>
    </row>
    <row r="76" spans="1:30" ht="25.95" customHeight="1">
      <c r="A76" s="10">
        <f t="shared" si="11"/>
        <v>74</v>
      </c>
      <c r="B76" s="11" t="str">
        <f>IF(StockList_MS2!A87="","",HYPERLINK("https://kabutan.jp/stock/?code="&amp;StockList_MS2!A87,"株探"))</f>
        <v>株探</v>
      </c>
      <c r="C76" s="10">
        <f>IF(StockList_MS2!A87="","",StockList_MS2!A87)</f>
        <v>4502</v>
      </c>
      <c r="D76" s="12" t="str">
        <f>IF(StockList_MS2!A87="","",StockList_MS2!B87)</f>
        <v>武田薬品</v>
      </c>
      <c r="E76" s="13">
        <f>_xll.RssMarket("4502","現在値")</f>
        <v>5765</v>
      </c>
      <c r="F76" s="13">
        <f>_xll.RssMarket("4502","高値")</f>
        <v>5784</v>
      </c>
      <c r="G76" s="13">
        <f>_xll.RssMarket("4502","安値")</f>
        <v>5721</v>
      </c>
      <c r="H76" s="13" t="str">
        <f>_xll.RssMarket("4502","終値")</f>
        <v/>
      </c>
      <c r="I76" s="20">
        <f>_xll.RssMarket("4502","出来高")</f>
        <v>6623900</v>
      </c>
      <c r="J76" s="13">
        <v>5849</v>
      </c>
      <c r="K76" s="13">
        <v>5781</v>
      </c>
      <c r="L76" s="13">
        <f>_xll.RssMarket("4502","前日終値")</f>
        <v>5800</v>
      </c>
      <c r="M76" s="5" t="str">
        <f t="shared" si="12"/>
        <v>SELL-DAY</v>
      </c>
      <c r="N76" s="9">
        <f>IF(OR(E76="",F76="",G76=""),"",IF(AD76&gt;0,AD76,(F76-G76)/SQRT(操作パネル_MS2!$H$12)*操作パネル_MS2!$H$10))</f>
        <v>6.8005396669129761</v>
      </c>
      <c r="O76" s="5" t="str">
        <f>IF(OR(E76="",AC76=""),"",IF(AC76&gt;=操作パネル_MS2!$H$3,"VOL-OK","VOL-NG"))</f>
        <v>VOL-OK</v>
      </c>
      <c r="P76" s="5" t="str">
        <f t="shared" si="13"/>
        <v>OFF</v>
      </c>
      <c r="Q76" s="5" t="str">
        <f t="shared" si="14"/>
        <v>ON</v>
      </c>
      <c r="R76" s="5" t="str">
        <f t="shared" si="15"/>
        <v>SELL</v>
      </c>
      <c r="S76" s="9">
        <f t="shared" si="16"/>
        <v>5765</v>
      </c>
      <c r="T76" s="9">
        <f>IF(R76="","",IF(R76="BUY",E76-N76*操作パネル_MS2!$H$5,E76+N76*操作パネル_MS2!$H$5))</f>
        <v>5775.2008095003694</v>
      </c>
      <c r="U76" s="9">
        <f>IF(R76="","",IF(R76="BUY",E76+N76*操作パネル_MS2!$H$6,E76-N76*操作パネル_MS2!$H$6))</f>
        <v>5754.7991904996306</v>
      </c>
      <c r="V76" s="9">
        <f>IF(R76="","",IF(R76="BUY",E76+N76*操作パネル_MS2!$H$7,E76-N76*操作パネル_MS2!$H$7))</f>
        <v>5751.3989206661745</v>
      </c>
      <c r="W76" s="9">
        <f>IF(R76="","",IF(R76="BUY",E76+N76*操作パネル_MS2!$H$8,E76-N76*操作パネル_MS2!$H$8))</f>
        <v>5744.5983809992613</v>
      </c>
      <c r="X76" s="5" t="str">
        <f t="shared" si="17"/>
        <v>1ST</v>
      </c>
      <c r="Y76" s="5" t="str">
        <f t="shared" ca="1" si="18"/>
        <v>その他</v>
      </c>
      <c r="Z76" s="5" t="str">
        <f>IF(OR(E76="",N76&lt;=0),"",IF(N76&gt;E76*操作パネル_MS2!$H$4,"VOL-HIGH","VOL-NORMAL"))</f>
        <v>VOL-NORMAL</v>
      </c>
      <c r="AA76" s="5" t="str">
        <f t="shared" si="19"/>
        <v>OK</v>
      </c>
      <c r="AB76" s="5" t="str">
        <f t="shared" si="20"/>
        <v>DOWN</v>
      </c>
      <c r="AC76" s="30">
        <f>IF(C76="","",_xll.RssMarket(C76&amp;"","売買代金"))</f>
        <v>38172764</v>
      </c>
      <c r="AD76" s="31">
        <f>IFERROR(INDEX(ATRHIST_MS2!$H:$H,MATCH(C76,ATRHIST_MS2!$A:$A,0)),0)</f>
        <v>6.8005396669129761</v>
      </c>
    </row>
    <row r="77" spans="1:30" ht="25.95" customHeight="1">
      <c r="A77" s="10">
        <f t="shared" si="11"/>
        <v>75</v>
      </c>
      <c r="B77" s="11" t="str">
        <f>IF(StockList_MS2!A91="","",HYPERLINK("https://kabutan.jp/stock/?code="&amp;StockList_MS2!A91,"株探"))</f>
        <v>株探</v>
      </c>
      <c r="C77" s="10">
        <f>IF(StockList_MS2!A91="","",StockList_MS2!A91)</f>
        <v>1942</v>
      </c>
      <c r="D77" s="12" t="str">
        <f>IF(StockList_MS2!A91="","",StockList_MS2!B91)</f>
        <v>関電工</v>
      </c>
      <c r="E77" s="13">
        <f>_xll.RssMarket("1942","現在値")</f>
        <v>5491</v>
      </c>
      <c r="F77" s="13">
        <f>_xll.RssMarket("1942","高値")</f>
        <v>5513</v>
      </c>
      <c r="G77" s="13">
        <f>_xll.RssMarket("1942","安値")</f>
        <v>5401</v>
      </c>
      <c r="H77" s="13" t="str">
        <f>_xll.RssMarket("1942","終値")</f>
        <v/>
      </c>
      <c r="I77" s="20">
        <f>_xll.RssMarket("1942","出来高")</f>
        <v>916200</v>
      </c>
      <c r="J77" s="13">
        <v>5484</v>
      </c>
      <c r="K77" s="13">
        <v>5396</v>
      </c>
      <c r="L77" s="13">
        <f>_xll.RssMarket("1942","前日終値")</f>
        <v>5474</v>
      </c>
      <c r="M77" s="5" t="str">
        <f t="shared" si="12"/>
        <v>BUY-DAY</v>
      </c>
      <c r="N77" s="9">
        <f>IF(OR(E77="",F77="",G77=""),"",IF(AD77&gt;0,AD77,(F77-G77)/SQRT(操作パネル_MS2!$H$12)*操作パネル_MS2!$H$10))</f>
        <v>7.1977563329822747</v>
      </c>
      <c r="O77" s="5" t="str">
        <f>IF(OR(E77="",AC77=""),"",IF(AC77&gt;=操作パネル_MS2!$H$3,"VOL-OK","VOL-NG"))</f>
        <v>VOL-OK</v>
      </c>
      <c r="P77" s="5" t="str">
        <f t="shared" si="13"/>
        <v>ON</v>
      </c>
      <c r="Q77" s="5" t="str">
        <f t="shared" si="14"/>
        <v>OFF</v>
      </c>
      <c r="R77" s="5" t="str">
        <f t="shared" si="15"/>
        <v>BUY</v>
      </c>
      <c r="S77" s="9">
        <f t="shared" si="16"/>
        <v>5491</v>
      </c>
      <c r="T77" s="9">
        <f>IF(R77="","",IF(R77="BUY",E77-N77*操作パネル_MS2!$H$5,E77+N77*操作パネル_MS2!$H$5))</f>
        <v>5480.2033655005262</v>
      </c>
      <c r="U77" s="9">
        <f>IF(R77="","",IF(R77="BUY",E77+N77*操作パネル_MS2!$H$6,E77-N77*操作パネル_MS2!$H$6))</f>
        <v>5501.7966344994738</v>
      </c>
      <c r="V77" s="9">
        <f>IF(R77="","",IF(R77="BUY",E77+N77*操作パネル_MS2!$H$7,E77-N77*操作パネル_MS2!$H$7))</f>
        <v>5505.3955126659648</v>
      </c>
      <c r="W77" s="9">
        <f>IF(R77="","",IF(R77="BUY",E77+N77*操作パネル_MS2!$H$8,E77-N77*操作パネル_MS2!$H$8))</f>
        <v>5512.5932689989468</v>
      </c>
      <c r="X77" s="5" t="str">
        <f t="shared" si="17"/>
        <v>1ST</v>
      </c>
      <c r="Y77" s="5" t="str">
        <f t="shared" ca="1" si="18"/>
        <v>その他</v>
      </c>
      <c r="Z77" s="5" t="str">
        <f>IF(OR(E77="",N77&lt;=0),"",IF(N77&gt;E77*操作パネル_MS2!$H$4,"VOL-HIGH","VOL-NORMAL"))</f>
        <v>VOL-NORMAL</v>
      </c>
      <c r="AA77" s="5" t="str">
        <f t="shared" si="19"/>
        <v>OK</v>
      </c>
      <c r="AB77" s="5" t="str">
        <f t="shared" si="20"/>
        <v>UP</v>
      </c>
      <c r="AC77" s="30">
        <f>IF(C77="","",_xll.RssMarket(C77&amp;"","売買代金"))</f>
        <v>5025808</v>
      </c>
      <c r="AD77" s="31">
        <f>IFERROR(INDEX(ATRHIST_MS2!$H:$H,MATCH(C77,ATRHIST_MS2!$A:$A,0)),0)</f>
        <v>7.1977563329822747</v>
      </c>
    </row>
    <row r="78" spans="1:30" ht="25.95" customHeight="1">
      <c r="A78" s="10">
        <f t="shared" si="11"/>
        <v>76</v>
      </c>
      <c r="B78" s="11" t="str">
        <f>IF(StockList_MS2!A93="","",HYPERLINK("https://kabutan.jp/stock/?code="&amp;StockList_MS2!A93,"株探"))</f>
        <v>株探</v>
      </c>
      <c r="C78" s="10">
        <f>IF(StockList_MS2!A93="","",StockList_MS2!A93)</f>
        <v>7259</v>
      </c>
      <c r="D78" s="12" t="str">
        <f>IF(StockList_MS2!A93="","",StockList_MS2!B93)</f>
        <v>アイシン</v>
      </c>
      <c r="E78" s="13">
        <f>_xll.RssMarket("7259","現在値")</f>
        <v>2251</v>
      </c>
      <c r="F78" s="13">
        <f>_xll.RssMarket("7259","高値")</f>
        <v>2262</v>
      </c>
      <c r="G78" s="13">
        <f>_xll.RssMarket("7259","安値")</f>
        <v>2229.5</v>
      </c>
      <c r="H78" s="13" t="str">
        <f>_xll.RssMarket("7259","終値")</f>
        <v/>
      </c>
      <c r="I78" s="20">
        <f>_xll.RssMarket("7259","出来高")</f>
        <v>2640900</v>
      </c>
      <c r="J78" s="13">
        <v>2249.5</v>
      </c>
      <c r="K78" s="13">
        <v>2224.5</v>
      </c>
      <c r="L78" s="13">
        <f>_xll.RssMarket("7259","前日終値")</f>
        <v>2233</v>
      </c>
      <c r="M78" s="5" t="str">
        <f t="shared" si="12"/>
        <v>BUY-DAY</v>
      </c>
      <c r="N78" s="9">
        <f>IF(OR(E78="",F78="",G78=""),"",IF(AD78&gt;0,AD78,(F78-G78)/SQRT(操作パネル_MS2!$H$12)*操作パネル_MS2!$H$10))</f>
        <v>1.9556905792774386</v>
      </c>
      <c r="O78" s="5" t="str">
        <f>IF(OR(E78="",AC78=""),"",IF(AC78&gt;=操作パネル_MS2!$H$3,"VOL-OK","VOL-NG"))</f>
        <v>VOL-OK</v>
      </c>
      <c r="P78" s="5" t="str">
        <f t="shared" si="13"/>
        <v>ON</v>
      </c>
      <c r="Q78" s="5" t="str">
        <f t="shared" si="14"/>
        <v>OFF</v>
      </c>
      <c r="R78" s="5" t="str">
        <f t="shared" si="15"/>
        <v>BUY</v>
      </c>
      <c r="S78" s="9">
        <f t="shared" si="16"/>
        <v>2251</v>
      </c>
      <c r="T78" s="9">
        <f>IF(R78="","",IF(R78="BUY",E78-N78*操作パネル_MS2!$H$5,E78+N78*操作パネル_MS2!$H$5))</f>
        <v>2248.0664641310836</v>
      </c>
      <c r="U78" s="9">
        <f>IF(R78="","",IF(R78="BUY",E78+N78*操作パネル_MS2!$H$6,E78-N78*操作パネル_MS2!$H$6))</f>
        <v>2253.9335358689164</v>
      </c>
      <c r="V78" s="9">
        <f>IF(R78="","",IF(R78="BUY",E78+N78*操作パネル_MS2!$H$7,E78-N78*操作パネル_MS2!$H$7))</f>
        <v>2254.9113811585548</v>
      </c>
      <c r="W78" s="9">
        <f>IF(R78="","",IF(R78="BUY",E78+N78*操作パネル_MS2!$H$8,E78-N78*操作パネル_MS2!$H$8))</f>
        <v>2256.8670717378322</v>
      </c>
      <c r="X78" s="5" t="str">
        <f t="shared" si="17"/>
        <v>1ST</v>
      </c>
      <c r="Y78" s="5" t="str">
        <f t="shared" ca="1" si="18"/>
        <v>その他</v>
      </c>
      <c r="Z78" s="5" t="str">
        <f>IF(OR(E78="",N78&lt;=0),"",IF(N78&gt;E78*操作パネル_MS2!$H$4,"VOL-HIGH","VOL-NORMAL"))</f>
        <v>VOL-NORMAL</v>
      </c>
      <c r="AA78" s="5" t="str">
        <f t="shared" si="19"/>
        <v>OK</v>
      </c>
      <c r="AB78" s="5" t="str">
        <f t="shared" si="20"/>
        <v>UP</v>
      </c>
      <c r="AC78" s="30">
        <f>IF(C78="","",_xll.RssMarket(C78&amp;"","売買代金"))</f>
        <v>5942380</v>
      </c>
      <c r="AD78" s="31">
        <f>IFERROR(INDEX(ATRHIST_MS2!$H:$H,MATCH(C78,ATRHIST_MS2!$A:$A,0)),0)</f>
        <v>1.9556905792774386</v>
      </c>
    </row>
    <row r="79" spans="1:30" ht="25.95" customHeight="1">
      <c r="A79" s="5">
        <f t="shared" si="11"/>
        <v>77</v>
      </c>
      <c r="B79" s="6" t="str">
        <f>IF(StockList_MS2!A94="","",HYPERLINK("https://kabutan.jp/stock/?code="&amp;StockList_MS2!A94,"株探"))</f>
        <v>株探</v>
      </c>
      <c r="C79" s="5">
        <f>IF(StockList_MS2!A94="","",StockList_MS2!A94)</f>
        <v>6178</v>
      </c>
      <c r="D79" s="7" t="str">
        <f>IF(StockList_MS2!A94="","",StockList_MS2!B94)</f>
        <v>日本郵政</v>
      </c>
      <c r="E79" s="8">
        <f>_xll.RssMarket("6178","現在値")</f>
        <v>2486.5</v>
      </c>
      <c r="F79" s="8">
        <f>_xll.RssMarket("6178","高値")</f>
        <v>2486.5</v>
      </c>
      <c r="G79" s="8">
        <f>_xll.RssMarket("6178","安値")</f>
        <v>2404</v>
      </c>
      <c r="H79" s="8" t="str">
        <f>_xll.RssMarket("6178","終値")</f>
        <v/>
      </c>
      <c r="I79" s="19">
        <f>_xll.RssMarket("6178","出来高")</f>
        <v>17641000</v>
      </c>
      <c r="J79" s="8">
        <v>2442</v>
      </c>
      <c r="K79" s="8">
        <v>2370.5</v>
      </c>
      <c r="L79" s="8">
        <f>_xll.RssMarket("6178","前日終値")</f>
        <v>2432.5</v>
      </c>
      <c r="M79" s="5" t="str">
        <f t="shared" si="12"/>
        <v>BUY-DAY</v>
      </c>
      <c r="N79" s="9">
        <f>IF(OR(E79="",F79="",G79=""),"",IF(AD79&gt;0,AD79,(F79-G79)/SQRT(操作パネル_MS2!$H$12)*操作パネル_MS2!$H$10))</f>
        <v>3.1173040135726775</v>
      </c>
      <c r="O79" s="5" t="str">
        <f>IF(OR(E79="",AC79=""),"",IF(AC79&gt;=操作パネル_MS2!$H$3,"VOL-OK","VOL-NG"))</f>
        <v>VOL-OK</v>
      </c>
      <c r="P79" s="5" t="str">
        <f t="shared" si="13"/>
        <v>ON</v>
      </c>
      <c r="Q79" s="5" t="str">
        <f t="shared" si="14"/>
        <v>OFF</v>
      </c>
      <c r="R79" s="5" t="str">
        <f t="shared" si="15"/>
        <v>BUY</v>
      </c>
      <c r="S79" s="9">
        <f t="shared" si="16"/>
        <v>2486.5</v>
      </c>
      <c r="T79" s="9">
        <f>IF(R79="","",IF(R79="BUY",E79-N79*操作パネル_MS2!$H$5,E79+N79*操作パネル_MS2!$H$5))</f>
        <v>2481.8240439796409</v>
      </c>
      <c r="U79" s="9">
        <f>IF(R79="","",IF(R79="BUY",E79+N79*操作パネル_MS2!$H$6,E79-N79*操作パネル_MS2!$H$6))</f>
        <v>2491.1759560203591</v>
      </c>
      <c r="V79" s="9">
        <f>IF(R79="","",IF(R79="BUY",E79+N79*操作パネル_MS2!$H$7,E79-N79*操作パネル_MS2!$H$7))</f>
        <v>2492.7346080271454</v>
      </c>
      <c r="W79" s="9">
        <f>IF(R79="","",IF(R79="BUY",E79+N79*操作パネル_MS2!$H$8,E79-N79*操作パネル_MS2!$H$8))</f>
        <v>2495.8519120407182</v>
      </c>
      <c r="X79" s="5" t="str">
        <f t="shared" si="17"/>
        <v>1ST</v>
      </c>
      <c r="Y79" s="5" t="str">
        <f t="shared" ca="1" si="18"/>
        <v>その他</v>
      </c>
      <c r="Z79" s="5" t="str">
        <f>IF(OR(E79="",N79&lt;=0),"",IF(N79&gt;E79*操作パネル_MS2!$H$4,"VOL-HIGH","VOL-NORMAL"))</f>
        <v>VOL-NORMAL</v>
      </c>
      <c r="AA79" s="5" t="str">
        <f t="shared" si="19"/>
        <v>OK</v>
      </c>
      <c r="AB79" s="5" t="str">
        <f t="shared" si="20"/>
        <v>UP</v>
      </c>
      <c r="AC79" s="30">
        <f>IF(C79="","",_xll.RssMarket(C79&amp;"","売買代金"))</f>
        <v>43740964</v>
      </c>
      <c r="AD79" s="31">
        <f>IFERROR(INDEX(ATRHIST_MS2!$H:$H,MATCH(C79,ATRHIST_MS2!$A:$A,0)),0)</f>
        <v>3.1173040135726775</v>
      </c>
    </row>
    <row r="80" spans="1:30" ht="25.95" customHeight="1">
      <c r="A80" s="10">
        <f t="shared" si="11"/>
        <v>78</v>
      </c>
      <c r="B80" s="11" t="str">
        <f>IF(StockList_MS2!A95="","",HYPERLINK("https://kabutan.jp/stock/?code="&amp;StockList_MS2!A95,"株探"))</f>
        <v>株探</v>
      </c>
      <c r="C80" s="10">
        <f>IF(StockList_MS2!A95="","",StockList_MS2!A95)</f>
        <v>7272</v>
      </c>
      <c r="D80" s="12" t="str">
        <f>IF(StockList_MS2!A95="","",StockList_MS2!B95)</f>
        <v>ヤマハ発動機</v>
      </c>
      <c r="E80" s="13">
        <f>_xll.RssMarket("7272","現在値")</f>
        <v>1910</v>
      </c>
      <c r="F80" s="13">
        <f>_xll.RssMarket("7272","高値")</f>
        <v>1934</v>
      </c>
      <c r="G80" s="13">
        <f>_xll.RssMarket("7272","安値")</f>
        <v>1885</v>
      </c>
      <c r="H80" s="13" t="str">
        <f>_xll.RssMarket("7272","終値")</f>
        <v/>
      </c>
      <c r="I80" s="20">
        <f>_xll.RssMarket("7272","出来高")</f>
        <v>10427000</v>
      </c>
      <c r="J80" s="13">
        <v>1945.5</v>
      </c>
      <c r="K80" s="13">
        <v>1889</v>
      </c>
      <c r="L80" s="13">
        <f>_xll.RssMarket("7272","前日終値")</f>
        <v>1924.5</v>
      </c>
      <c r="M80" s="5" t="str">
        <f t="shared" si="12"/>
        <v>SELL-DAY</v>
      </c>
      <c r="N80" s="9">
        <f>IF(OR(E80="",F80="",G80=""),"",IF(AD80&gt;0,AD80,(F80-G80)/SQRT(操作パネル_MS2!$H$12)*操作パネル_MS2!$H$10))</f>
        <v>2.614279564558045</v>
      </c>
      <c r="O80" s="5" t="str">
        <f>IF(OR(E80="",AC80=""),"",IF(AC80&gt;=操作パネル_MS2!$H$3,"VOL-OK","VOL-NG"))</f>
        <v>VOL-OK</v>
      </c>
      <c r="P80" s="5" t="str">
        <f t="shared" si="13"/>
        <v>OFF</v>
      </c>
      <c r="Q80" s="5" t="str">
        <f t="shared" si="14"/>
        <v>OFF</v>
      </c>
      <c r="R80" s="5" t="str">
        <f t="shared" si="15"/>
        <v/>
      </c>
      <c r="S80" s="9" t="str">
        <f t="shared" si="16"/>
        <v/>
      </c>
      <c r="T80" s="9" t="str">
        <f>IF(R80="","",IF(R80="BUY",E80-N80*操作パネル_MS2!$H$5,E80+N80*操作パネル_MS2!$H$5))</f>
        <v/>
      </c>
      <c r="U80" s="9" t="str">
        <f>IF(R80="","",IF(R80="BUY",E80+N80*操作パネル_MS2!$H$6,E80-N80*操作パネル_MS2!$H$6))</f>
        <v/>
      </c>
      <c r="V80" s="9" t="str">
        <f>IF(R80="","",IF(R80="BUY",E80+N80*操作パネル_MS2!$H$7,E80-N80*操作パネル_MS2!$H$7))</f>
        <v/>
      </c>
      <c r="W80" s="9" t="str">
        <f>IF(R80="","",IF(R80="BUY",E80+N80*操作パネル_MS2!$H$8,E80-N80*操作パネル_MS2!$H$8))</f>
        <v/>
      </c>
      <c r="X80" s="5" t="str">
        <f t="shared" si="17"/>
        <v>1ST</v>
      </c>
      <c r="Y80" s="5" t="str">
        <f t="shared" ca="1" si="18"/>
        <v>その他</v>
      </c>
      <c r="Z80" s="5" t="str">
        <f>IF(OR(E80="",N80&lt;=0),"",IF(N80&gt;E80*操作パネル_MS2!$H$4,"VOL-HIGH","VOL-NORMAL"))</f>
        <v>VOL-NORMAL</v>
      </c>
      <c r="AA80" s="5" t="str">
        <f t="shared" si="19"/>
        <v>OK</v>
      </c>
      <c r="AB80" s="5" t="str">
        <f t="shared" si="20"/>
        <v>DOWN</v>
      </c>
      <c r="AC80" s="30">
        <f>IF(C80="","",_xll.RssMarket(C80&amp;"","売買代金"))</f>
        <v>19890198</v>
      </c>
      <c r="AD80" s="31">
        <f>IFERROR(INDEX(ATRHIST_MS2!$H:$H,MATCH(C80,ATRHIST_MS2!$A:$A,0)),0)</f>
        <v>2.614279564558045</v>
      </c>
    </row>
    <row r="81" spans="1:30" ht="25.95" customHeight="1">
      <c r="A81" s="10">
        <f t="shared" si="11"/>
        <v>79</v>
      </c>
      <c r="B81" s="11" t="str">
        <f>IF(StockList_MS2!A97="","",HYPERLINK("https://kabutan.jp/stock/?code="&amp;StockList_MS2!A97,"株探"))</f>
        <v>株探</v>
      </c>
      <c r="C81" s="10">
        <f>IF(StockList_MS2!A97="","",StockList_MS2!A97)</f>
        <v>6920</v>
      </c>
      <c r="D81" s="12" t="str">
        <f>IF(StockList_MS2!A97="","",StockList_MS2!B97)</f>
        <v>レーザーテック</v>
      </c>
      <c r="E81" s="13">
        <f>_xll.RssMarket("6920","現在値")</f>
        <v>33640</v>
      </c>
      <c r="F81" s="13">
        <f>_xll.RssMarket("6920","高値")</f>
        <v>33790</v>
      </c>
      <c r="G81" s="13">
        <f>_xll.RssMarket("6920","安値")</f>
        <v>32640</v>
      </c>
      <c r="H81" s="13" t="str">
        <f>_xll.RssMarket("6920","終値")</f>
        <v/>
      </c>
      <c r="I81" s="20">
        <f>_xll.RssMarket("6920","出来高")</f>
        <v>2467900</v>
      </c>
      <c r="J81" s="13">
        <v>35430</v>
      </c>
      <c r="K81" s="13">
        <v>34500</v>
      </c>
      <c r="L81" s="13">
        <f>_xll.RssMarket("6920","前日終値")</f>
        <v>34640</v>
      </c>
      <c r="M81" s="5" t="str">
        <f t="shared" si="12"/>
        <v>SELL-DAY</v>
      </c>
      <c r="N81" s="9">
        <f>IF(OR(E81="",F81="",G81=""),"",IF(AD81&gt;0,AD81,(F81-G81)/SQRT(操作パネル_MS2!$H$12)*操作パネル_MS2!$H$10))</f>
        <v>79.212659417545566</v>
      </c>
      <c r="O81" s="5" t="str">
        <f>IF(OR(E81="",AC81=""),"",IF(AC81&gt;=操作パネル_MS2!$H$3,"VOL-OK","VOL-NG"))</f>
        <v>VOL-OK</v>
      </c>
      <c r="P81" s="5" t="str">
        <f t="shared" si="13"/>
        <v>OFF</v>
      </c>
      <c r="Q81" s="5" t="str">
        <f t="shared" si="14"/>
        <v>ON</v>
      </c>
      <c r="R81" s="5" t="str">
        <f t="shared" si="15"/>
        <v>SELL</v>
      </c>
      <c r="S81" s="9">
        <f t="shared" si="16"/>
        <v>33640</v>
      </c>
      <c r="T81" s="9">
        <f>IF(R81="","",IF(R81="BUY",E81-N81*操作パネル_MS2!$H$5,E81+N81*操作パネル_MS2!$H$5))</f>
        <v>33758.818989126317</v>
      </c>
      <c r="U81" s="9">
        <f>IF(R81="","",IF(R81="BUY",E81+N81*操作パネル_MS2!$H$6,E81-N81*操作パネル_MS2!$H$6))</f>
        <v>33521.181010873683</v>
      </c>
      <c r="V81" s="9">
        <f>IF(R81="","",IF(R81="BUY",E81+N81*操作パネル_MS2!$H$7,E81-N81*操作パネル_MS2!$H$7))</f>
        <v>33481.574681164908</v>
      </c>
      <c r="W81" s="9">
        <f>IF(R81="","",IF(R81="BUY",E81+N81*操作パネル_MS2!$H$8,E81-N81*操作パネル_MS2!$H$8))</f>
        <v>33402.362021747365</v>
      </c>
      <c r="X81" s="5" t="str">
        <f t="shared" si="17"/>
        <v>1ST</v>
      </c>
      <c r="Y81" s="5" t="str">
        <f t="shared" ca="1" si="18"/>
        <v>その他</v>
      </c>
      <c r="Z81" s="5" t="str">
        <f>IF(OR(E81="",N81&lt;=0),"",IF(N81&gt;E81*操作パネル_MS2!$H$4,"VOL-HIGH","VOL-NORMAL"))</f>
        <v>VOL-NORMAL</v>
      </c>
      <c r="AA81" s="5" t="str">
        <f t="shared" si="19"/>
        <v>OK</v>
      </c>
      <c r="AB81" s="5" t="str">
        <f t="shared" si="20"/>
        <v>DOWN</v>
      </c>
      <c r="AC81" s="30">
        <f>IF(C81="","",_xll.RssMarket(C81&amp;"","売買代金"))</f>
        <v>81861610</v>
      </c>
      <c r="AD81" s="31">
        <f>IFERROR(INDEX(ATRHIST_MS2!$H:$H,MATCH(C81,ATRHIST_MS2!$A:$A,0)),0)</f>
        <v>79.212659417545566</v>
      </c>
    </row>
    <row r="82" spans="1:30" ht="25.95" customHeight="1">
      <c r="A82" s="5">
        <f t="shared" si="11"/>
        <v>80</v>
      </c>
      <c r="B82" s="6" t="str">
        <f>IF(StockList_MS2!A98="","",HYPERLINK("https://kabutan.jp/stock/?code="&amp;StockList_MS2!A98,"株探"))</f>
        <v>株探</v>
      </c>
      <c r="C82" s="5">
        <f>IF(StockList_MS2!A98="","",StockList_MS2!A98)</f>
        <v>1803</v>
      </c>
      <c r="D82" s="7" t="str">
        <f>IF(StockList_MS2!A98="","",StockList_MS2!B98)</f>
        <v>清水建設</v>
      </c>
      <c r="E82" s="8">
        <f>_xll.RssMarket("1803","現在値")</f>
        <v>2388</v>
      </c>
      <c r="F82" s="8">
        <f>_xll.RssMarket("1803","高値")</f>
        <v>2391</v>
      </c>
      <c r="G82" s="8">
        <f>_xll.RssMarket("1803","安値")</f>
        <v>2348.5</v>
      </c>
      <c r="H82" s="8" t="str">
        <f>_xll.RssMarket("1803","終値")</f>
        <v/>
      </c>
      <c r="I82" s="19">
        <f>_xll.RssMarket("1803","出来高")</f>
        <v>3470100</v>
      </c>
      <c r="J82" s="8">
        <v>2408</v>
      </c>
      <c r="K82" s="8">
        <v>2375.5</v>
      </c>
      <c r="L82" s="8">
        <f>_xll.RssMarket("1803","前日終値")</f>
        <v>2381</v>
      </c>
      <c r="M82" s="5" t="str">
        <f t="shared" si="12"/>
        <v>BUY-DAY</v>
      </c>
      <c r="N82" s="9">
        <f>IF(OR(E82="",F82="",G82=""),"",IF(AD82&gt;0,AD82,(F82-G82)/SQRT(操作パネル_MS2!$H$12)*操作パネル_MS2!$H$10))</f>
        <v>3.5272241065307903</v>
      </c>
      <c r="O82" s="5" t="str">
        <f>IF(OR(E82="",AC82=""),"",IF(AC82&gt;=操作パネル_MS2!$H$3,"VOL-OK","VOL-NG"))</f>
        <v>VOL-OK</v>
      </c>
      <c r="P82" s="5" t="str">
        <f t="shared" si="13"/>
        <v>OFF</v>
      </c>
      <c r="Q82" s="5" t="str">
        <f t="shared" si="14"/>
        <v>OFF</v>
      </c>
      <c r="R82" s="5" t="str">
        <f t="shared" si="15"/>
        <v/>
      </c>
      <c r="S82" s="9" t="str">
        <f t="shared" si="16"/>
        <v/>
      </c>
      <c r="T82" s="9" t="str">
        <f>IF(R82="","",IF(R82="BUY",E82-N82*操作パネル_MS2!$H$5,E82+N82*操作パネル_MS2!$H$5))</f>
        <v/>
      </c>
      <c r="U82" s="9" t="str">
        <f>IF(R82="","",IF(R82="BUY",E82+N82*操作パネル_MS2!$H$6,E82-N82*操作パネル_MS2!$H$6))</f>
        <v/>
      </c>
      <c r="V82" s="9" t="str">
        <f>IF(R82="","",IF(R82="BUY",E82+N82*操作パネル_MS2!$H$7,E82-N82*操作パネル_MS2!$H$7))</f>
        <v/>
      </c>
      <c r="W82" s="9" t="str">
        <f>IF(R82="","",IF(R82="BUY",E82+N82*操作パネル_MS2!$H$8,E82-N82*操作パネル_MS2!$H$8))</f>
        <v/>
      </c>
      <c r="X82" s="5" t="str">
        <f t="shared" si="17"/>
        <v>1ST</v>
      </c>
      <c r="Y82" s="5" t="str">
        <f t="shared" ca="1" si="18"/>
        <v>その他</v>
      </c>
      <c r="Z82" s="5" t="str">
        <f>IF(OR(E82="",N82&lt;=0),"",IF(N82&gt;E82*操作パネル_MS2!$H$4,"VOL-HIGH","VOL-NORMAL"))</f>
        <v>VOL-NORMAL</v>
      </c>
      <c r="AA82" s="5" t="str">
        <f t="shared" si="19"/>
        <v>OK</v>
      </c>
      <c r="AB82" s="5" t="str">
        <f t="shared" si="20"/>
        <v>DOWN</v>
      </c>
      <c r="AC82" s="30">
        <f>IF(C82="","",_xll.RssMarket(C82&amp;"","売買代金"))</f>
        <v>8266817</v>
      </c>
      <c r="AD82" s="31">
        <f>IFERROR(INDEX(ATRHIST_MS2!$H:$H,MATCH(C82,ATRHIST_MS2!$A:$A,0)),0)</f>
        <v>3.5272241065307903</v>
      </c>
    </row>
    <row r="83" spans="1:30" ht="25.95" customHeight="1">
      <c r="A83" s="5">
        <f t="shared" si="11"/>
        <v>81</v>
      </c>
      <c r="B83" s="6" t="str">
        <f>IF(StockList_MS2!A100="","",HYPERLINK("https://kabutan.jp/stock/?code="&amp;StockList_MS2!A100,"株探"))</f>
        <v>株探</v>
      </c>
      <c r="C83" s="5">
        <f>IF(StockList_MS2!A100="","",StockList_MS2!A100)</f>
        <v>6472</v>
      </c>
      <c r="D83" s="7" t="str">
        <f>IF(StockList_MS2!A100="","",StockList_MS2!B100)</f>
        <v>ＮＴＮ</v>
      </c>
      <c r="E83" s="8">
        <f>_xll.RssMarket("6472","現在値")</f>
        <v>374.8</v>
      </c>
      <c r="F83" s="8">
        <f>_xll.RssMarket("6472","高値")</f>
        <v>375.5</v>
      </c>
      <c r="G83" s="8">
        <f>_xll.RssMarket("6472","安値")</f>
        <v>364.9</v>
      </c>
      <c r="H83" s="8" t="str">
        <f>_xll.RssMarket("6472","終値")</f>
        <v/>
      </c>
      <c r="I83" s="19">
        <f>_xll.RssMarket("6472","出来高")</f>
        <v>3247600</v>
      </c>
      <c r="J83" s="8">
        <v>376.4</v>
      </c>
      <c r="K83" s="8">
        <v>371.6</v>
      </c>
      <c r="L83" s="8">
        <f>_xll.RssMarket("6472","前日終値")</f>
        <v>372.2</v>
      </c>
      <c r="M83" s="5" t="str">
        <f t="shared" si="12"/>
        <v>BUY-DAY</v>
      </c>
      <c r="N83" s="9">
        <f>IF(OR(E83="",F83="",G83=""),"",IF(AD83&gt;0,AD83,(F83-G83)/SQRT(操作パネル_MS2!$H$12)*操作パネル_MS2!$H$10))</f>
        <v>0.37840254462474754</v>
      </c>
      <c r="O83" s="5" t="str">
        <f>IF(OR(E83="",AC83=""),"",IF(AC83&gt;=操作パネル_MS2!$H$3,"VOL-OK","VOL-NG"))</f>
        <v>VOL-OK</v>
      </c>
      <c r="P83" s="5" t="str">
        <f t="shared" si="13"/>
        <v>OFF</v>
      </c>
      <c r="Q83" s="5" t="str">
        <f t="shared" si="14"/>
        <v>OFF</v>
      </c>
      <c r="R83" s="5" t="str">
        <f t="shared" si="15"/>
        <v/>
      </c>
      <c r="S83" s="9" t="str">
        <f t="shared" si="16"/>
        <v/>
      </c>
      <c r="T83" s="9" t="str">
        <f>IF(R83="","",IF(R83="BUY",E83-N83*操作パネル_MS2!$H$5,E83+N83*操作パネル_MS2!$H$5))</f>
        <v/>
      </c>
      <c r="U83" s="9" t="str">
        <f>IF(R83="","",IF(R83="BUY",E83+N83*操作パネル_MS2!$H$6,E83-N83*操作パネル_MS2!$H$6))</f>
        <v/>
      </c>
      <c r="V83" s="9" t="str">
        <f>IF(R83="","",IF(R83="BUY",E83+N83*操作パネル_MS2!$H$7,E83-N83*操作パネル_MS2!$H$7))</f>
        <v/>
      </c>
      <c r="W83" s="9" t="str">
        <f>IF(R83="","",IF(R83="BUY",E83+N83*操作パネル_MS2!$H$8,E83-N83*操作パネル_MS2!$H$8))</f>
        <v/>
      </c>
      <c r="X83" s="5" t="str">
        <f t="shared" si="17"/>
        <v>1ST</v>
      </c>
      <c r="Y83" s="5" t="str">
        <f t="shared" ca="1" si="18"/>
        <v>その他</v>
      </c>
      <c r="Z83" s="5" t="str">
        <f>IF(OR(E83="",N83&lt;=0),"",IF(N83&gt;E83*操作パネル_MS2!$H$4,"VOL-HIGH","VOL-NORMAL"))</f>
        <v>VOL-NORMAL</v>
      </c>
      <c r="AA83" s="5" t="str">
        <f t="shared" si="19"/>
        <v>OK</v>
      </c>
      <c r="AB83" s="5" t="str">
        <f t="shared" si="20"/>
        <v>DOWN</v>
      </c>
      <c r="AC83" s="30">
        <f>IF(C83="","",_xll.RssMarket(C83&amp;"","売買代金"))</f>
        <v>1209153</v>
      </c>
      <c r="AD83" s="31">
        <f>IFERROR(INDEX(ATRHIST_MS2!$H:$H,MATCH(C83,ATRHIST_MS2!$A:$A,0)),0)</f>
        <v>0.37840254462474754</v>
      </c>
    </row>
    <row r="84" spans="1:30" ht="25.95" customHeight="1">
      <c r="A84" s="10">
        <f t="shared" si="11"/>
        <v>82</v>
      </c>
      <c r="B84" s="11" t="str">
        <f>IF(StockList_MS2!A101="","",HYPERLINK("https://kabutan.jp/stock/?code="&amp;StockList_MS2!A101,"株探"))</f>
        <v>株探</v>
      </c>
      <c r="C84" s="10">
        <f>IF(StockList_MS2!A101="","",StockList_MS2!A101)</f>
        <v>5938</v>
      </c>
      <c r="D84" s="12" t="str">
        <f>IF(StockList_MS2!A101="","",StockList_MS2!B101)</f>
        <v>ＬＩＸＩＬ</v>
      </c>
      <c r="E84" s="13">
        <f>_xll.RssMarket("5938","現在値")</f>
        <v>1771</v>
      </c>
      <c r="F84" s="13">
        <f>_xll.RssMarket("5938","高値")</f>
        <v>1771.5</v>
      </c>
      <c r="G84" s="13">
        <f>_xll.RssMarket("5938","安値")</f>
        <v>1751.5</v>
      </c>
      <c r="H84" s="13" t="str">
        <f>_xll.RssMarket("5938","終値")</f>
        <v/>
      </c>
      <c r="I84" s="20">
        <f>_xll.RssMarket("5938","出来高")</f>
        <v>1874200</v>
      </c>
      <c r="J84" s="13">
        <v>1778.5</v>
      </c>
      <c r="K84" s="13">
        <v>1758.5</v>
      </c>
      <c r="L84" s="13">
        <f>_xll.RssMarket("5938","前日終値")</f>
        <v>1758.5</v>
      </c>
      <c r="M84" s="5" t="str">
        <f t="shared" si="12"/>
        <v>BUY-DAY</v>
      </c>
      <c r="N84" s="9">
        <f>IF(OR(E84="",F84="",G84=""),"",IF(AD84&gt;0,AD84,(F84-G84)/SQRT(操作パネル_MS2!$H$12)*操作パネル_MS2!$H$10))</f>
        <v>1.4713329081263899</v>
      </c>
      <c r="O84" s="5" t="str">
        <f>IF(OR(E84="",AC84=""),"",IF(AC84&gt;=操作パネル_MS2!$H$3,"VOL-OK","VOL-NG"))</f>
        <v>VOL-OK</v>
      </c>
      <c r="P84" s="5" t="str">
        <f t="shared" si="13"/>
        <v>OFF</v>
      </c>
      <c r="Q84" s="5" t="str">
        <f t="shared" si="14"/>
        <v>OFF</v>
      </c>
      <c r="R84" s="5" t="str">
        <f t="shared" si="15"/>
        <v/>
      </c>
      <c r="S84" s="9" t="str">
        <f t="shared" si="16"/>
        <v/>
      </c>
      <c r="T84" s="9" t="str">
        <f>IF(R84="","",IF(R84="BUY",E84-N84*操作パネル_MS2!$H$5,E84+N84*操作パネル_MS2!$H$5))</f>
        <v/>
      </c>
      <c r="U84" s="9" t="str">
        <f>IF(R84="","",IF(R84="BUY",E84+N84*操作パネル_MS2!$H$6,E84-N84*操作パネル_MS2!$H$6))</f>
        <v/>
      </c>
      <c r="V84" s="9" t="str">
        <f>IF(R84="","",IF(R84="BUY",E84+N84*操作パネル_MS2!$H$7,E84-N84*操作パネル_MS2!$H$7))</f>
        <v/>
      </c>
      <c r="W84" s="9" t="str">
        <f>IF(R84="","",IF(R84="BUY",E84+N84*操作パネル_MS2!$H$8,E84-N84*操作パネル_MS2!$H$8))</f>
        <v/>
      </c>
      <c r="X84" s="5" t="str">
        <f t="shared" si="17"/>
        <v>1ST</v>
      </c>
      <c r="Y84" s="5" t="str">
        <f t="shared" ca="1" si="18"/>
        <v>その他</v>
      </c>
      <c r="Z84" s="5" t="str">
        <f>IF(OR(E84="",N84&lt;=0),"",IF(N84&gt;E84*操作パネル_MS2!$H$4,"VOL-HIGH","VOL-NORMAL"))</f>
        <v>VOL-NORMAL</v>
      </c>
      <c r="AA84" s="5" t="str">
        <f t="shared" si="19"/>
        <v>OK</v>
      </c>
      <c r="AB84" s="5" t="str">
        <f t="shared" si="20"/>
        <v>DOWN</v>
      </c>
      <c r="AC84" s="30">
        <f>IF(C84="","",_xll.RssMarket(C84&amp;"","売買代金"))</f>
        <v>3310325</v>
      </c>
      <c r="AD84" s="31">
        <f>IFERROR(INDEX(ATRHIST_MS2!$H:$H,MATCH(C84,ATRHIST_MS2!$A:$A,0)),0)</f>
        <v>1.4713329081263899</v>
      </c>
    </row>
    <row r="85" spans="1:30" ht="25.95" customHeight="1">
      <c r="A85" s="10">
        <f t="shared" si="11"/>
        <v>83</v>
      </c>
      <c r="B85" s="11" t="str">
        <f>IF(StockList_MS2!A5="","",HYPERLINK("https://kabutan.jp/stock/?code="&amp;StockList_MS2!A5,"株探"))</f>
        <v>株探</v>
      </c>
      <c r="C85" s="10">
        <f>IF(StockList_MS2!A5="","",StockList_MS2!A5)</f>
        <v>5802</v>
      </c>
      <c r="D85" s="12" t="str">
        <f>IF(StockList_MS2!A5="","",StockList_MS2!B5)</f>
        <v>住友電工</v>
      </c>
      <c r="E85" s="13">
        <f>_xll.RssMarket("5802","現在値")</f>
        <v>2221</v>
      </c>
      <c r="F85" s="13">
        <f>_xll.RssMarket("5802","高値")</f>
        <v>2228.5</v>
      </c>
      <c r="G85" s="13">
        <f>_xll.RssMarket("5802","安値")</f>
        <v>2123</v>
      </c>
      <c r="H85" s="13" t="str">
        <f>_xll.RssMarket("5802","終値")</f>
        <v/>
      </c>
      <c r="I85" s="20">
        <f>_xll.RssMarket("5802","出来高")</f>
        <v>21164500</v>
      </c>
      <c r="J85" s="22">
        <v>2232</v>
      </c>
      <c r="K85" s="13">
        <v>2165.5</v>
      </c>
      <c r="L85" s="13">
        <f>_xll.RssMarket("5802","前日終値")</f>
        <v>2180</v>
      </c>
      <c r="M85" s="5" t="str">
        <f t="shared" si="12"/>
        <v>BUY-DAY</v>
      </c>
      <c r="N85" s="9">
        <f>IF(OR(E85="",F85="",G85=""),"",IF(AD85&gt;0,AD85,(F85-G85)/SQRT(操作パネル_MS2!$H$12)*操作パネル_MS2!$H$10))</f>
        <v>4.6740768666879253</v>
      </c>
      <c r="O85" s="5" t="str">
        <f>IF(OR(E85="",AC85=""),"",IF(AC85&gt;=操作パネル_MS2!$H$3,"VOL-OK","VOL-NG"))</f>
        <v>VOL-OK</v>
      </c>
      <c r="P85" s="5" t="str">
        <f t="shared" si="13"/>
        <v>OFF</v>
      </c>
      <c r="Q85" s="5" t="str">
        <f t="shared" si="14"/>
        <v>OFF</v>
      </c>
      <c r="R85" s="5" t="str">
        <f t="shared" si="15"/>
        <v/>
      </c>
      <c r="S85" s="9" t="str">
        <f t="shared" si="16"/>
        <v/>
      </c>
      <c r="T85" s="9" t="str">
        <f>IF(R85="","",IF(R85="BUY",E85-N85*操作パネル_MS2!$H$5,E85+N85*操作パネル_MS2!$H$5))</f>
        <v/>
      </c>
      <c r="U85" s="9" t="str">
        <f>IF(R85="","",IF(R85="BUY",E85+N85*操作パネル_MS2!$H$6,E85-N85*操作パネル_MS2!$H$6))</f>
        <v/>
      </c>
      <c r="V85" s="9" t="str">
        <f>IF(R85="","",IF(R85="BUY",E85+N85*操作パネル_MS2!$H$7,E85-N85*操作パネル_MS2!$H$7))</f>
        <v/>
      </c>
      <c r="W85" s="9" t="str">
        <f>IF(R85="","",IF(R85="BUY",E85+N85*操作パネル_MS2!$H$8,E85-N85*操作パネル_MS2!$H$8))</f>
        <v/>
      </c>
      <c r="X85" s="5" t="str">
        <f t="shared" si="17"/>
        <v>1ST</v>
      </c>
      <c r="Y85" s="5" t="str">
        <f t="shared" ca="1" si="18"/>
        <v>その他</v>
      </c>
      <c r="Z85" s="5" t="str">
        <f>IF(OR(E85="",N85&lt;=0),"",IF(N85&gt;E85*操作パネル_MS2!$H$4,"VOL-HIGH","VOL-NORMAL"))</f>
        <v>VOL-NORMAL</v>
      </c>
      <c r="AA85" s="5" t="str">
        <f t="shared" si="19"/>
        <v>OK</v>
      </c>
      <c r="AB85" s="5" t="str">
        <f t="shared" si="20"/>
        <v>DOWN</v>
      </c>
      <c r="AC85" s="30">
        <f>IF(C85="","",_xll.RssMarket(C85&amp;"","売買代金"))</f>
        <v>46474167</v>
      </c>
      <c r="AD85" s="31">
        <f>IFERROR(INDEX(ATRHIST_MS2!$H:$H,MATCH(C85,ATRHIST_MS2!$A:$A,0)),0)</f>
        <v>4.6740768666879253</v>
      </c>
    </row>
    <row r="86" spans="1:30" ht="25.95" customHeight="1">
      <c r="A86" s="5">
        <f t="shared" si="11"/>
        <v>84</v>
      </c>
      <c r="B86" s="6" t="str">
        <f>IF(StockList_MS2!A12="","",HYPERLINK("https://kabutan.jp/stock/?code="&amp;StockList_MS2!A12,"株探"))</f>
        <v>株探</v>
      </c>
      <c r="C86" s="5">
        <f>IF(StockList_MS2!A12="","",StockList_MS2!A12)</f>
        <v>5801</v>
      </c>
      <c r="D86" s="7" t="str">
        <f>IF(StockList_MS2!A12="","",StockList_MS2!B12)</f>
        <v>古河電工</v>
      </c>
      <c r="E86" s="8">
        <f>_xll.RssMarket("5801","現在値")</f>
        <v>4020</v>
      </c>
      <c r="F86" s="8">
        <f>_xll.RssMarket("5801","高値")</f>
        <v>4025</v>
      </c>
      <c r="G86" s="8">
        <f>_xll.RssMarket("5801","安値")</f>
        <v>3697</v>
      </c>
      <c r="H86" s="8" t="str">
        <f>_xll.RssMarket("5801","終値")</f>
        <v/>
      </c>
      <c r="I86" s="19">
        <f>_xll.RssMarket("5801","出来高")</f>
        <v>22025500</v>
      </c>
      <c r="J86" s="8">
        <v>4072</v>
      </c>
      <c r="K86" s="8">
        <v>3883</v>
      </c>
      <c r="L86" s="8">
        <f>_xll.RssMarket("5801","前日終値")</f>
        <v>3903</v>
      </c>
      <c r="M86" s="5" t="str">
        <f t="shared" si="12"/>
        <v>BUY-DAY</v>
      </c>
      <c r="N86" s="9">
        <f>IF(OR(E86="",F86="",G86=""),"",IF(AD86&gt;0,AD86,(F86-G86)/SQRT(操作パネル_MS2!$H$12)*操作パネル_MS2!$H$10))</f>
        <v>13.107246685379932</v>
      </c>
      <c r="O86" s="5" t="str">
        <f>IF(OR(E86="",AC86=""),"",IF(AC86&gt;=操作パネル_MS2!$H$3,"VOL-OK","VOL-NG"))</f>
        <v>VOL-OK</v>
      </c>
      <c r="P86" s="5" t="str">
        <f t="shared" si="13"/>
        <v>OFF</v>
      </c>
      <c r="Q86" s="5" t="str">
        <f t="shared" si="14"/>
        <v>OFF</v>
      </c>
      <c r="R86" s="5" t="str">
        <f t="shared" si="15"/>
        <v/>
      </c>
      <c r="S86" s="9" t="str">
        <f t="shared" si="16"/>
        <v/>
      </c>
      <c r="T86" s="9" t="str">
        <f>IF(R86="","",IF(R86="BUY",E86-N86*操作パネル_MS2!$H$5,E86+N86*操作パネル_MS2!$H$5))</f>
        <v/>
      </c>
      <c r="U86" s="9" t="str">
        <f>IF(R86="","",IF(R86="BUY",E86+N86*操作パネル_MS2!$H$6,E86-N86*操作パネル_MS2!$H$6))</f>
        <v/>
      </c>
      <c r="V86" s="9" t="str">
        <f>IF(R86="","",IF(R86="BUY",E86+N86*操作パネル_MS2!$H$7,E86-N86*操作パネル_MS2!$H$7))</f>
        <v/>
      </c>
      <c r="W86" s="9" t="str">
        <f>IF(R86="","",IF(R86="BUY",E86+N86*操作パネル_MS2!$H$8,E86-N86*操作パネル_MS2!$H$8))</f>
        <v/>
      </c>
      <c r="X86" s="5" t="str">
        <f t="shared" si="17"/>
        <v>1ST</v>
      </c>
      <c r="Y86" s="5" t="str">
        <f t="shared" ca="1" si="18"/>
        <v>その他</v>
      </c>
      <c r="Z86" s="5" t="str">
        <f>IF(OR(E86="",N86&lt;=0),"",IF(N86&gt;E86*操作パネル_MS2!$H$4,"VOL-HIGH","VOL-NORMAL"))</f>
        <v>VOL-NORMAL</v>
      </c>
      <c r="AA86" s="5" t="str">
        <f t="shared" si="19"/>
        <v>OK</v>
      </c>
      <c r="AB86" s="5" t="str">
        <f t="shared" si="20"/>
        <v>DOWN</v>
      </c>
      <c r="AC86" s="30">
        <f>IF(C86="","",_xll.RssMarket(C86&amp;"","売買代金"))</f>
        <v>86240519</v>
      </c>
      <c r="AD86" s="31">
        <f>IFERROR(INDEX(ATRHIST_MS2!$H:$H,MATCH(C86,ATRHIST_MS2!$A:$A,0)),0)</f>
        <v>13.107246685379932</v>
      </c>
    </row>
    <row r="87" spans="1:30" ht="25.95" customHeight="1">
      <c r="A87" s="10">
        <f t="shared" si="11"/>
        <v>85</v>
      </c>
      <c r="B87" s="11" t="str">
        <f>IF(StockList_MS2!A15="","",HYPERLINK("https://kabutan.jp/stock/?code="&amp;StockList_MS2!A15,"株探"))</f>
        <v>株探</v>
      </c>
      <c r="C87" s="10">
        <f>IF(StockList_MS2!A15="","",StockList_MS2!A15)</f>
        <v>5016</v>
      </c>
      <c r="D87" s="12" t="str">
        <f>IF(StockList_MS2!A15="","",StockList_MS2!B15)</f>
        <v>ＪＸ金属</v>
      </c>
      <c r="E87" s="13">
        <f>_xll.RssMarket("5016","現在値")</f>
        <v>3772</v>
      </c>
      <c r="F87" s="13">
        <f>_xll.RssMarket("5016","高値")</f>
        <v>3794</v>
      </c>
      <c r="G87" s="13">
        <f>_xll.RssMarket("5016","安値")</f>
        <v>3598</v>
      </c>
      <c r="H87" s="13" t="str">
        <f>_xll.RssMarket("5016","終値")</f>
        <v/>
      </c>
      <c r="I87" s="20">
        <f>_xll.RssMarket("5016","出来高")</f>
        <v>16459500</v>
      </c>
      <c r="J87" s="13">
        <v>3888</v>
      </c>
      <c r="K87" s="13">
        <v>3794</v>
      </c>
      <c r="L87" s="13">
        <f>_xll.RssMarket("5016","前日終値")</f>
        <v>3810</v>
      </c>
      <c r="M87" s="5" t="str">
        <f t="shared" si="12"/>
        <v>SELL-DAY</v>
      </c>
      <c r="N87" s="9">
        <f>IF(OR(E87="",F87="",G87=""),"",IF(AD87&gt;0,AD87,(F87-G87)/SQRT(操作パネル_MS2!$H$12)*操作パネル_MS2!$H$10))</f>
        <v>10.924901004692924</v>
      </c>
      <c r="O87" s="5" t="str">
        <f>IF(OR(E87="",AC87=""),"",IF(AC87&gt;=操作パネル_MS2!$H$3,"VOL-OK","VOL-NG"))</f>
        <v>VOL-OK</v>
      </c>
      <c r="P87" s="5" t="str">
        <f t="shared" si="13"/>
        <v>OFF</v>
      </c>
      <c r="Q87" s="5" t="str">
        <f t="shared" si="14"/>
        <v>ON</v>
      </c>
      <c r="R87" s="5" t="str">
        <f t="shared" si="15"/>
        <v>SELL</v>
      </c>
      <c r="S87" s="9">
        <f t="shared" si="16"/>
        <v>3772</v>
      </c>
      <c r="T87" s="9">
        <f>IF(R87="","",IF(R87="BUY",E87-N87*操作パネル_MS2!$H$5,E87+N87*操作パネル_MS2!$H$5))</f>
        <v>3788.3873515070395</v>
      </c>
      <c r="U87" s="9">
        <f>IF(R87="","",IF(R87="BUY",E87+N87*操作パネル_MS2!$H$6,E87-N87*操作パネル_MS2!$H$6))</f>
        <v>3755.6126484929605</v>
      </c>
      <c r="V87" s="9">
        <f>IF(R87="","",IF(R87="BUY",E87+N87*操作パネル_MS2!$H$7,E87-N87*操作パネル_MS2!$H$7))</f>
        <v>3750.1501979906143</v>
      </c>
      <c r="W87" s="9">
        <f>IF(R87="","",IF(R87="BUY",E87+N87*操作パネル_MS2!$H$8,E87-N87*操作パネル_MS2!$H$8))</f>
        <v>3739.2252969859214</v>
      </c>
      <c r="X87" s="5" t="str">
        <f t="shared" si="17"/>
        <v>1ST</v>
      </c>
      <c r="Y87" s="5" t="str">
        <f t="shared" ca="1" si="18"/>
        <v>その他</v>
      </c>
      <c r="Z87" s="5" t="str">
        <f>IF(OR(E87="",N87&lt;=0),"",IF(N87&gt;E87*操作パネル_MS2!$H$4,"VOL-HIGH","VOL-NORMAL"))</f>
        <v>VOL-NORMAL</v>
      </c>
      <c r="AA87" s="5" t="str">
        <f t="shared" si="19"/>
        <v>OK</v>
      </c>
      <c r="AB87" s="5" t="str">
        <f t="shared" si="20"/>
        <v>DOWN</v>
      </c>
      <c r="AC87" s="30">
        <f>IF(C87="","",_xll.RssMarket(C87&amp;"","売買代金"))</f>
        <v>61187951</v>
      </c>
      <c r="AD87" s="31">
        <f>IFERROR(INDEX(ATRHIST_MS2!$H:$H,MATCH(C87,ATRHIST_MS2!$A:$A,0)),0)</f>
        <v>10.924901004692924</v>
      </c>
    </row>
    <row r="88" spans="1:30" ht="25.95" customHeight="1">
      <c r="A88" s="5">
        <f t="shared" si="11"/>
        <v>86</v>
      </c>
      <c r="B88" s="6" t="str">
        <f>IF(StockList_MS2!A18="","",HYPERLINK("https://kabutan.jp/stock/?code="&amp;StockList_MS2!A18,"株探"))</f>
        <v>株探</v>
      </c>
      <c r="C88" s="5">
        <f>IF(StockList_MS2!A18="","",StockList_MS2!A18)</f>
        <v>3350</v>
      </c>
      <c r="D88" s="7" t="str">
        <f>IF(StockList_MS2!A18="","",StockList_MS2!B18)</f>
        <v>メタプラネット</v>
      </c>
      <c r="E88" s="8">
        <f>_xll.RssMarket("3350","現在値")</f>
        <v>312</v>
      </c>
      <c r="F88" s="8">
        <f>_xll.RssMarket("3350","高値")</f>
        <v>324</v>
      </c>
      <c r="G88" s="8">
        <f>_xll.RssMarket("3350","安値")</f>
        <v>309</v>
      </c>
      <c r="H88" s="8" t="str">
        <f>_xll.RssMarket("3350","終値")</f>
        <v/>
      </c>
      <c r="I88" s="19">
        <f>_xll.RssMarket("3350","出来高")</f>
        <v>38783500</v>
      </c>
      <c r="J88" s="8">
        <v>359</v>
      </c>
      <c r="K88" s="8">
        <v>318</v>
      </c>
      <c r="L88" s="8">
        <f>_xll.RssMarket("3350","前日終値")</f>
        <v>346</v>
      </c>
      <c r="M88" s="5" t="str">
        <f t="shared" si="12"/>
        <v>SELL-DAY</v>
      </c>
      <c r="N88" s="9">
        <f>IF(OR(E88="",F88="",G88=""),"",IF(AD88&gt;0,AD88,(F88-G88)/SQRT(操作パネル_MS2!$H$12)*操作パネル_MS2!$H$10))</f>
        <v>1.6421264790870169</v>
      </c>
      <c r="O88" s="5" t="str">
        <f>IF(OR(E88="",AC88=""),"",IF(AC88&gt;=操作パネル_MS2!$H$3,"VOL-OK","VOL-NG"))</f>
        <v>VOL-OK</v>
      </c>
      <c r="P88" s="5" t="str">
        <f t="shared" si="13"/>
        <v>OFF</v>
      </c>
      <c r="Q88" s="5" t="str">
        <f t="shared" si="14"/>
        <v>ON</v>
      </c>
      <c r="R88" s="5" t="str">
        <f t="shared" si="15"/>
        <v>SELL</v>
      </c>
      <c r="S88" s="9">
        <f t="shared" si="16"/>
        <v>312</v>
      </c>
      <c r="T88" s="9">
        <f>IF(R88="","",IF(R88="BUY",E88-N88*操作パネル_MS2!$H$5,E88+N88*操作パネル_MS2!$H$5))</f>
        <v>314.46318971863053</v>
      </c>
      <c r="U88" s="9">
        <f>IF(R88="","",IF(R88="BUY",E88+N88*操作パネル_MS2!$H$6,E88-N88*操作パネル_MS2!$H$6))</f>
        <v>309.53681028136947</v>
      </c>
      <c r="V88" s="9">
        <f>IF(R88="","",IF(R88="BUY",E88+N88*操作パネル_MS2!$H$7,E88-N88*操作パネル_MS2!$H$7))</f>
        <v>308.71574704182598</v>
      </c>
      <c r="W88" s="9">
        <f>IF(R88="","",IF(R88="BUY",E88+N88*操作パネル_MS2!$H$8,E88-N88*操作パネル_MS2!$H$8))</f>
        <v>307.07362056273894</v>
      </c>
      <c r="X88" s="5" t="str">
        <f t="shared" si="17"/>
        <v>1ST</v>
      </c>
      <c r="Y88" s="5" t="str">
        <f t="shared" ca="1" si="18"/>
        <v>その他</v>
      </c>
      <c r="Z88" s="5" t="str">
        <f>IF(OR(E88="",N88&lt;=0),"",IF(N88&gt;E88*操作パネル_MS2!$H$4,"VOL-HIGH","VOL-NORMAL"))</f>
        <v>VOL-NORMAL</v>
      </c>
      <c r="AA88" s="5" t="str">
        <f t="shared" si="19"/>
        <v>OK</v>
      </c>
      <c r="AB88" s="5" t="str">
        <f t="shared" si="20"/>
        <v>DOWN</v>
      </c>
      <c r="AC88" s="30">
        <f>IF(C88="","",_xll.RssMarket(C88&amp;"","売買代金"))</f>
        <v>12256850</v>
      </c>
      <c r="AD88" s="31">
        <f>IFERROR(INDEX(ATRHIST_MS2!$H:$H,MATCH(C88,ATRHIST_MS2!$A:$A,0)),0)</f>
        <v>1.6421264790870169</v>
      </c>
    </row>
    <row r="89" spans="1:30" ht="25.95" customHeight="1">
      <c r="A89" s="10">
        <f t="shared" si="11"/>
        <v>87</v>
      </c>
      <c r="B89" s="11" t="str">
        <f>IF(StockList_MS2!A21="","",HYPERLINK("https://kabutan.jp/stock/?code="&amp;StockList_MS2!A21,"株探"))</f>
        <v>株探</v>
      </c>
      <c r="C89" s="10">
        <f>IF(StockList_MS2!A21="","",StockList_MS2!A21)</f>
        <v>8136</v>
      </c>
      <c r="D89" s="12" t="str">
        <f>IF(StockList_MS2!A21="","",StockList_MS2!B21)</f>
        <v>サンリオ</v>
      </c>
      <c r="E89" s="13">
        <f>_xll.RssMarket("8136","現在値")</f>
        <v>1286.5</v>
      </c>
      <c r="F89" s="13">
        <f>_xll.RssMarket("8136","高値")</f>
        <v>1295</v>
      </c>
      <c r="G89" s="13">
        <f>_xll.RssMarket("8136","安値")</f>
        <v>1274</v>
      </c>
      <c r="H89" s="13" t="str">
        <f>_xll.RssMarket("8136","終値")</f>
        <v/>
      </c>
      <c r="I89" s="20">
        <f>_xll.RssMarket("8136","出来高")</f>
        <v>18252200</v>
      </c>
      <c r="J89" s="13">
        <v>1277</v>
      </c>
      <c r="K89" s="13">
        <v>1238.5</v>
      </c>
      <c r="L89" s="13">
        <f>_xll.RssMarket("8136","前日終値")</f>
        <v>1268</v>
      </c>
      <c r="M89" s="5" t="str">
        <f t="shared" si="12"/>
        <v>BUY-DAY</v>
      </c>
      <c r="N89" s="9">
        <f>IF(OR(E89="",F89="",G89=""),"",IF(AD89&gt;0,AD89,(F89-G89)/SQRT(操作パネル_MS2!$H$12)*操作パネル_MS2!$H$10))</f>
        <v>2.6424602666694024</v>
      </c>
      <c r="O89" s="5" t="str">
        <f>IF(OR(E89="",AC89=""),"",IF(AC89&gt;=操作パネル_MS2!$H$3,"VOL-OK","VOL-NG"))</f>
        <v>VOL-OK</v>
      </c>
      <c r="P89" s="5" t="str">
        <f t="shared" si="13"/>
        <v>ON</v>
      </c>
      <c r="Q89" s="5" t="str">
        <f t="shared" si="14"/>
        <v>OFF</v>
      </c>
      <c r="R89" s="5" t="str">
        <f t="shared" si="15"/>
        <v>BUY</v>
      </c>
      <c r="S89" s="9">
        <f t="shared" si="16"/>
        <v>1286.5</v>
      </c>
      <c r="T89" s="9">
        <f>IF(R89="","",IF(R89="BUY",E89-N89*操作パネル_MS2!$H$5,E89+N89*操作パネル_MS2!$H$5))</f>
        <v>1282.536309599996</v>
      </c>
      <c r="U89" s="9">
        <f>IF(R89="","",IF(R89="BUY",E89+N89*操作パネル_MS2!$H$6,E89-N89*操作パネル_MS2!$H$6))</f>
        <v>1290.463690400004</v>
      </c>
      <c r="V89" s="9">
        <f>IF(R89="","",IF(R89="BUY",E89+N89*操作パネル_MS2!$H$7,E89-N89*操作パネル_MS2!$H$7))</f>
        <v>1291.7849205333389</v>
      </c>
      <c r="W89" s="9">
        <f>IF(R89="","",IF(R89="BUY",E89+N89*操作パネル_MS2!$H$8,E89-N89*操作パネル_MS2!$H$8))</f>
        <v>1294.4273808000082</v>
      </c>
      <c r="X89" s="5" t="str">
        <f t="shared" si="17"/>
        <v>1ST</v>
      </c>
      <c r="Y89" s="5" t="str">
        <f t="shared" ca="1" si="18"/>
        <v>その他</v>
      </c>
      <c r="Z89" s="5" t="str">
        <f>IF(OR(E89="",N89&lt;=0),"",IF(N89&gt;E89*操作パネル_MS2!$H$4,"VOL-HIGH","VOL-NORMAL"))</f>
        <v>VOL-NORMAL</v>
      </c>
      <c r="AA89" s="5" t="str">
        <f t="shared" si="19"/>
        <v>OK</v>
      </c>
      <c r="AB89" s="5" t="str">
        <f t="shared" si="20"/>
        <v>UP</v>
      </c>
      <c r="AC89" s="30">
        <f>IF(C89="","",_xll.RssMarket(C89&amp;"","売買代金"))</f>
        <v>23439337</v>
      </c>
      <c r="AD89" s="31">
        <f>IFERROR(INDEX(ATRHIST_MS2!$H:$H,MATCH(C89,ATRHIST_MS2!$A:$A,0)),0)</f>
        <v>2.6424602666694024</v>
      </c>
    </row>
    <row r="90" spans="1:30" ht="25.95" customHeight="1">
      <c r="A90" s="5">
        <f t="shared" si="11"/>
        <v>88</v>
      </c>
      <c r="B90" s="6" t="str">
        <f>IF(StockList_MS2!A28="","",HYPERLINK("https://kabutan.jp/stock/?code="&amp;StockList_MS2!A28,"株探"))</f>
        <v>株探</v>
      </c>
      <c r="C90" s="5">
        <f>IF(StockList_MS2!A28="","",StockList_MS2!A28)</f>
        <v>6501</v>
      </c>
      <c r="D90" s="7" t="str">
        <f>IF(StockList_MS2!A28="","",StockList_MS2!B28)</f>
        <v>日立</v>
      </c>
      <c r="E90" s="8">
        <f>_xll.RssMarket("6501","現在値")</f>
        <v>5438</v>
      </c>
      <c r="F90" s="8">
        <f>_xll.RssMarket("6501","高値")</f>
        <v>5480</v>
      </c>
      <c r="G90" s="8">
        <f>_xll.RssMarket("6501","安値")</f>
        <v>5395</v>
      </c>
      <c r="H90" s="8" t="str">
        <f>_xll.RssMarket("6501","終値")</f>
        <v/>
      </c>
      <c r="I90" s="19">
        <f>_xll.RssMarket("6501","出来高")</f>
        <v>10725200</v>
      </c>
      <c r="J90" s="8">
        <v>5645</v>
      </c>
      <c r="K90" s="8">
        <v>5486</v>
      </c>
      <c r="L90" s="8">
        <f>_xll.RssMarket("6501","前日終値")</f>
        <v>5550</v>
      </c>
      <c r="M90" s="5" t="str">
        <f t="shared" si="12"/>
        <v>SELL-DAY</v>
      </c>
      <c r="N90" s="9">
        <f>IF(OR(E90="",F90="",G90=""),"",IF(AD90&gt;0,AD90,(F90-G90)/SQRT(操作パネル_MS2!$H$12)*操作パネル_MS2!$H$10))</f>
        <v>7.5018346641130265</v>
      </c>
      <c r="O90" s="5" t="str">
        <f>IF(OR(E90="",AC90=""),"",IF(AC90&gt;=操作パネル_MS2!$H$3,"VOL-OK","VOL-NG"))</f>
        <v>VOL-OK</v>
      </c>
      <c r="P90" s="5" t="str">
        <f t="shared" si="13"/>
        <v>OFF</v>
      </c>
      <c r="Q90" s="5" t="str">
        <f t="shared" si="14"/>
        <v>ON</v>
      </c>
      <c r="R90" s="5" t="str">
        <f t="shared" si="15"/>
        <v>SELL</v>
      </c>
      <c r="S90" s="9">
        <f t="shared" si="16"/>
        <v>5438</v>
      </c>
      <c r="T90" s="9">
        <f>IF(R90="","",IF(R90="BUY",E90-N90*操作パネル_MS2!$H$5,E90+N90*操作パネル_MS2!$H$5))</f>
        <v>5449.2527519961695</v>
      </c>
      <c r="U90" s="9">
        <f>IF(R90="","",IF(R90="BUY",E90+N90*操作パネル_MS2!$H$6,E90-N90*操作パネル_MS2!$H$6))</f>
        <v>5426.7472480038305</v>
      </c>
      <c r="V90" s="9">
        <f>IF(R90="","",IF(R90="BUY",E90+N90*操作パネル_MS2!$H$7,E90-N90*操作パネル_MS2!$H$7))</f>
        <v>5422.9963306717736</v>
      </c>
      <c r="W90" s="9">
        <f>IF(R90="","",IF(R90="BUY",E90+N90*操作パネル_MS2!$H$8,E90-N90*操作パネル_MS2!$H$8))</f>
        <v>5415.4944960076609</v>
      </c>
      <c r="X90" s="5" t="str">
        <f t="shared" si="17"/>
        <v>1ST</v>
      </c>
      <c r="Y90" s="5" t="str">
        <f t="shared" ca="1" si="18"/>
        <v>その他</v>
      </c>
      <c r="Z90" s="5" t="str">
        <f>IF(OR(E90="",N90&lt;=0),"",IF(N90&gt;E90*操作パネル_MS2!$H$4,"VOL-HIGH","VOL-NORMAL"))</f>
        <v>VOL-NORMAL</v>
      </c>
      <c r="AA90" s="5" t="str">
        <f t="shared" si="19"/>
        <v>OK</v>
      </c>
      <c r="AB90" s="5" t="str">
        <f t="shared" si="20"/>
        <v>DOWN</v>
      </c>
      <c r="AC90" s="30">
        <f>IF(C90="","",_xll.RssMarket(C90&amp;"","売買代金"))</f>
        <v>58390662</v>
      </c>
      <c r="AD90" s="31">
        <f>IFERROR(INDEX(ATRHIST_MS2!$H:$H,MATCH(C90,ATRHIST_MS2!$A:$A,0)),0)</f>
        <v>7.5018346641130265</v>
      </c>
    </row>
    <row r="91" spans="1:30" ht="25.95" customHeight="1">
      <c r="A91" s="5">
        <f t="shared" si="11"/>
        <v>89</v>
      </c>
      <c r="B91" s="6" t="str">
        <f>IF(StockList_MS2!A30="","",HYPERLINK("https://kabutan.jp/stock/?code="&amp;StockList_MS2!A30,"株探"))</f>
        <v>株探</v>
      </c>
      <c r="C91" s="5">
        <f>IF(StockList_MS2!A30="","",StockList_MS2!A30)</f>
        <v>4568</v>
      </c>
      <c r="D91" s="7" t="str">
        <f>IF(StockList_MS2!A30="","",StockList_MS2!B30)</f>
        <v>第一三共</v>
      </c>
      <c r="E91" s="8">
        <f>_xll.RssMarket("4568","現在値")</f>
        <v>2848</v>
      </c>
      <c r="F91" s="8">
        <f>_xll.RssMarket("4568","高値")</f>
        <v>2916.5</v>
      </c>
      <c r="G91" s="8">
        <f>_xll.RssMarket("4568","安値")</f>
        <v>2845</v>
      </c>
      <c r="H91" s="8" t="str">
        <f>_xll.RssMarket("4568","終値")</f>
        <v/>
      </c>
      <c r="I91" s="19">
        <f>_xll.RssMarket("4568","出来高")</f>
        <v>8976600</v>
      </c>
      <c r="J91" s="8">
        <v>2958</v>
      </c>
      <c r="K91" s="8">
        <v>2887</v>
      </c>
      <c r="L91" s="8">
        <f>_xll.RssMarket("4568","前日終値")</f>
        <v>2931</v>
      </c>
      <c r="M91" s="5" t="str">
        <f t="shared" si="12"/>
        <v>SELL-DAY</v>
      </c>
      <c r="N91" s="9">
        <f>IF(OR(E91="",F91="",G91=""),"",IF(AD91&gt;0,AD91,(F91-G91)/SQRT(操作パネル_MS2!$H$12)*操作パネル_MS2!$H$10))</f>
        <v>4.9253433764061558</v>
      </c>
      <c r="O91" s="5" t="str">
        <f>IF(OR(E91="",AC91=""),"",IF(AC91&gt;=操作パネル_MS2!$H$3,"VOL-OK","VOL-NG"))</f>
        <v>VOL-OK</v>
      </c>
      <c r="P91" s="5" t="str">
        <f t="shared" si="13"/>
        <v>OFF</v>
      </c>
      <c r="Q91" s="5" t="str">
        <f t="shared" si="14"/>
        <v>ON</v>
      </c>
      <c r="R91" s="5" t="str">
        <f t="shared" si="15"/>
        <v>SELL</v>
      </c>
      <c r="S91" s="9">
        <f t="shared" si="16"/>
        <v>2848</v>
      </c>
      <c r="T91" s="9">
        <f>IF(R91="","",IF(R91="BUY",E91-N91*操作パネル_MS2!$H$5,E91+N91*操作パネル_MS2!$H$5))</f>
        <v>2855.3880150646091</v>
      </c>
      <c r="U91" s="9">
        <f>IF(R91="","",IF(R91="BUY",E91+N91*操作パネル_MS2!$H$6,E91-N91*操作パネル_MS2!$H$6))</f>
        <v>2840.6119849353909</v>
      </c>
      <c r="V91" s="9">
        <f>IF(R91="","",IF(R91="BUY",E91+N91*操作パネル_MS2!$H$7,E91-N91*操作パネル_MS2!$H$7))</f>
        <v>2838.1493132471878</v>
      </c>
      <c r="W91" s="9">
        <f>IF(R91="","",IF(R91="BUY",E91+N91*操作パネル_MS2!$H$8,E91-N91*操作パネル_MS2!$H$8))</f>
        <v>2833.2239698707817</v>
      </c>
      <c r="X91" s="5" t="str">
        <f t="shared" si="17"/>
        <v>1ST</v>
      </c>
      <c r="Y91" s="5" t="str">
        <f t="shared" ca="1" si="18"/>
        <v>その他</v>
      </c>
      <c r="Z91" s="5" t="str">
        <f>IF(OR(E91="",N91&lt;=0),"",IF(N91&gt;E91*操作パネル_MS2!$H$4,"VOL-HIGH","VOL-NORMAL"))</f>
        <v>VOL-NORMAL</v>
      </c>
      <c r="AA91" s="5" t="str">
        <f t="shared" si="19"/>
        <v>OK</v>
      </c>
      <c r="AB91" s="5" t="str">
        <f t="shared" si="20"/>
        <v>DOWN</v>
      </c>
      <c r="AC91" s="30">
        <f>IF(C91="","",_xll.RssMarket(C91&amp;"","売買代金"))</f>
        <v>25649015</v>
      </c>
      <c r="AD91" s="31">
        <f>IFERROR(INDEX(ATRHIST_MS2!$H:$H,MATCH(C91,ATRHIST_MS2!$A:$A,0)),0)</f>
        <v>4.9253433764061558</v>
      </c>
    </row>
    <row r="92" spans="1:30" ht="25.95" customHeight="1">
      <c r="A92" s="10">
        <f t="shared" si="11"/>
        <v>90</v>
      </c>
      <c r="B92" s="11" t="str">
        <f>IF(StockList_MS2!A35="","",HYPERLINK("https://kabutan.jp/stock/?code="&amp;StockList_MS2!A35,"株探"))</f>
        <v>株探</v>
      </c>
      <c r="C92" s="10">
        <f>IF(StockList_MS2!A35="","",StockList_MS2!A35)</f>
        <v>4755</v>
      </c>
      <c r="D92" s="12" t="str">
        <f>IF(StockList_MS2!A35="","",StockList_MS2!B35)</f>
        <v>楽天グループ</v>
      </c>
      <c r="E92" s="13">
        <f>_xll.RssMarket("4755","現在値")</f>
        <v>776</v>
      </c>
      <c r="F92" s="13">
        <f>_xll.RssMarket("4755","高値")</f>
        <v>788.8</v>
      </c>
      <c r="G92" s="13">
        <f>_xll.RssMarket("4755","安値")</f>
        <v>776</v>
      </c>
      <c r="H92" s="13" t="str">
        <f>_xll.RssMarket("4755","終値")</f>
        <v/>
      </c>
      <c r="I92" s="20">
        <f>_xll.RssMarket("4755","出来高")</f>
        <v>15149800</v>
      </c>
      <c r="J92" s="22">
        <v>794.6</v>
      </c>
      <c r="K92" s="13">
        <v>775.9</v>
      </c>
      <c r="L92" s="13">
        <f>_xll.RssMarket("4755","前日終値")</f>
        <v>792</v>
      </c>
      <c r="M92" s="5" t="str">
        <f t="shared" si="12"/>
        <v>SELL-DAY</v>
      </c>
      <c r="N92" s="9">
        <f>IF(OR(E92="",F92="",G92=""),"",IF(AD92&gt;0,AD92,(F92-G92)/SQRT(操作パネル_MS2!$H$12)*操作パネル_MS2!$H$10))</f>
        <v>0.83405404487738355</v>
      </c>
      <c r="O92" s="5" t="str">
        <f>IF(OR(E92="",AC92=""),"",IF(AC92&gt;=操作パネル_MS2!$H$3,"VOL-OK","VOL-NG"))</f>
        <v>VOL-OK</v>
      </c>
      <c r="P92" s="5" t="str">
        <f t="shared" si="13"/>
        <v>OFF</v>
      </c>
      <c r="Q92" s="5" t="str">
        <f t="shared" si="14"/>
        <v>OFF</v>
      </c>
      <c r="R92" s="5" t="str">
        <f t="shared" si="15"/>
        <v/>
      </c>
      <c r="S92" s="9" t="str">
        <f t="shared" si="16"/>
        <v/>
      </c>
      <c r="T92" s="9" t="str">
        <f>IF(R92="","",IF(R92="BUY",E92-N92*操作パネル_MS2!$H$5,E92+N92*操作パネル_MS2!$H$5))</f>
        <v/>
      </c>
      <c r="U92" s="9" t="str">
        <f>IF(R92="","",IF(R92="BUY",E92+N92*操作パネル_MS2!$H$6,E92-N92*操作パネル_MS2!$H$6))</f>
        <v/>
      </c>
      <c r="V92" s="9" t="str">
        <f>IF(R92="","",IF(R92="BUY",E92+N92*操作パネル_MS2!$H$7,E92-N92*操作パネル_MS2!$H$7))</f>
        <v/>
      </c>
      <c r="W92" s="9" t="str">
        <f>IF(R92="","",IF(R92="BUY",E92+N92*操作パネル_MS2!$H$8,E92-N92*操作パネル_MS2!$H$8))</f>
        <v/>
      </c>
      <c r="X92" s="5" t="str">
        <f t="shared" si="17"/>
        <v>1ST</v>
      </c>
      <c r="Y92" s="5" t="str">
        <f t="shared" ca="1" si="18"/>
        <v>その他</v>
      </c>
      <c r="Z92" s="5" t="str">
        <f>IF(OR(E92="",N92&lt;=0),"",IF(N92&gt;E92*操作パネル_MS2!$H$4,"VOL-HIGH","VOL-NORMAL"))</f>
        <v>VOL-NORMAL</v>
      </c>
      <c r="AA92" s="5" t="str">
        <f t="shared" si="19"/>
        <v>OK</v>
      </c>
      <c r="AB92" s="5" t="str">
        <f t="shared" si="20"/>
        <v>FLAT</v>
      </c>
      <c r="AC92" s="30">
        <f>IF(C92="","",_xll.RssMarket(C92&amp;"","売買代金"))</f>
        <v>11793793</v>
      </c>
      <c r="AD92" s="31">
        <f>IFERROR(INDEX(ATRHIST_MS2!$H:$H,MATCH(C92,ATRHIST_MS2!$A:$A,0)),0)</f>
        <v>0.83405404487738355</v>
      </c>
    </row>
    <row r="93" spans="1:30" ht="25.95" customHeight="1">
      <c r="A93" s="5">
        <f t="shared" si="11"/>
        <v>91</v>
      </c>
      <c r="B93" s="6" t="str">
        <f>IF(StockList_MS2!A38="","",HYPERLINK("https://kabutan.jp/stock/?code="&amp;StockList_MS2!A38,"株探"))</f>
        <v>株探</v>
      </c>
      <c r="C93" s="5">
        <f>IF(StockList_MS2!A38="","",StockList_MS2!A38)</f>
        <v>6526</v>
      </c>
      <c r="D93" s="7" t="str">
        <f>IF(StockList_MS2!A38="","",StockList_MS2!B38)</f>
        <v>ソシオネクスト</v>
      </c>
      <c r="E93" s="8">
        <f>_xll.RssMarket("6526","現在値")</f>
        <v>1998</v>
      </c>
      <c r="F93" s="8">
        <f>_xll.RssMarket("6526","高値")</f>
        <v>1998</v>
      </c>
      <c r="G93" s="8">
        <f>_xll.RssMarket("6526","安値")</f>
        <v>1936</v>
      </c>
      <c r="H93" s="8" t="str">
        <f>_xll.RssMarket("6526","終値")</f>
        <v/>
      </c>
      <c r="I93" s="19">
        <f>_xll.RssMarket("6526","出来高")</f>
        <v>5901600</v>
      </c>
      <c r="J93" s="8">
        <v>2098</v>
      </c>
      <c r="K93" s="8">
        <v>1991.5</v>
      </c>
      <c r="L93" s="8">
        <f>_xll.RssMarket("6526","前日終値")</f>
        <v>2005</v>
      </c>
      <c r="M93" s="5" t="str">
        <f t="shared" si="12"/>
        <v>SELL-DAY</v>
      </c>
      <c r="N93" s="9">
        <f>IF(OR(E93="",F93="",G93=""),"",IF(AD93&gt;0,AD93,(F93-G93)/SQRT(操作パネル_MS2!$H$12)*操作パネル_MS2!$H$10))</f>
        <v>5.9222151573190285</v>
      </c>
      <c r="O93" s="5" t="str">
        <f>IF(OR(E93="",AC93=""),"",IF(AC93&gt;=操作パネル_MS2!$H$3,"VOL-OK","VOL-NG"))</f>
        <v>VOL-OK</v>
      </c>
      <c r="P93" s="5" t="str">
        <f t="shared" si="13"/>
        <v>OFF</v>
      </c>
      <c r="Q93" s="5" t="str">
        <f t="shared" si="14"/>
        <v>OFF</v>
      </c>
      <c r="R93" s="5" t="str">
        <f t="shared" si="15"/>
        <v/>
      </c>
      <c r="S93" s="9" t="str">
        <f t="shared" si="16"/>
        <v/>
      </c>
      <c r="T93" s="9" t="str">
        <f>IF(R93="","",IF(R93="BUY",E93-N93*操作パネル_MS2!$H$5,E93+N93*操作パネル_MS2!$H$5))</f>
        <v/>
      </c>
      <c r="U93" s="9" t="str">
        <f>IF(R93="","",IF(R93="BUY",E93+N93*操作パネル_MS2!$H$6,E93-N93*操作パネル_MS2!$H$6))</f>
        <v/>
      </c>
      <c r="V93" s="9" t="str">
        <f>IF(R93="","",IF(R93="BUY",E93+N93*操作パネル_MS2!$H$7,E93-N93*操作パネル_MS2!$H$7))</f>
        <v/>
      </c>
      <c r="W93" s="9" t="str">
        <f>IF(R93="","",IF(R93="BUY",E93+N93*操作パネル_MS2!$H$8,E93-N93*操作パネル_MS2!$H$8))</f>
        <v/>
      </c>
      <c r="X93" s="5" t="str">
        <f t="shared" si="17"/>
        <v>1ST</v>
      </c>
      <c r="Y93" s="5" t="str">
        <f t="shared" ca="1" si="18"/>
        <v>その他</v>
      </c>
      <c r="Z93" s="5" t="str">
        <f>IF(OR(E93="",N93&lt;=0),"",IF(N93&gt;E93*操作パネル_MS2!$H$4,"VOL-HIGH","VOL-NORMAL"))</f>
        <v>VOL-NORMAL</v>
      </c>
      <c r="AA93" s="5" t="str">
        <f t="shared" si="19"/>
        <v>OK</v>
      </c>
      <c r="AB93" s="5" t="str">
        <f t="shared" si="20"/>
        <v>DOWN</v>
      </c>
      <c r="AC93" s="30">
        <f>IF(C93="","",_xll.RssMarket(C93&amp;"","売買代金"))</f>
        <v>11635921</v>
      </c>
      <c r="AD93" s="31">
        <f>IFERROR(INDEX(ATRHIST_MS2!$H:$H,MATCH(C93,ATRHIST_MS2!$A:$A,0)),0)</f>
        <v>5.9222151573190285</v>
      </c>
    </row>
    <row r="94" spans="1:30" ht="25.95" customHeight="1">
      <c r="A94" s="10">
        <f t="shared" si="11"/>
        <v>92</v>
      </c>
      <c r="B94" s="11" t="str">
        <f>IF(StockList_MS2!A59="","",HYPERLINK("https://kabutan.jp/stock/?code="&amp;StockList_MS2!A59,"株探"))</f>
        <v>株探</v>
      </c>
      <c r="C94" s="10">
        <f>IF(StockList_MS2!A59="","",StockList_MS2!A59)</f>
        <v>8801</v>
      </c>
      <c r="D94" s="12" t="str">
        <f>IF(StockList_MS2!A59="","",StockList_MS2!B59)</f>
        <v>三井不動産</v>
      </c>
      <c r="E94" s="13">
        <f>_xll.RssMarket("8801","現在値")</f>
        <v>1522.5</v>
      </c>
      <c r="F94" s="13">
        <f>_xll.RssMarket("8801","高値")</f>
        <v>1551.5</v>
      </c>
      <c r="G94" s="13">
        <f>_xll.RssMarket("8801","安値")</f>
        <v>1522.5</v>
      </c>
      <c r="H94" s="13" t="str">
        <f>_xll.RssMarket("8801","終値")</f>
        <v/>
      </c>
      <c r="I94" s="20">
        <f>_xll.RssMarket("8801","出来高")</f>
        <v>12481800</v>
      </c>
      <c r="J94" s="13">
        <v>1542</v>
      </c>
      <c r="K94" s="13">
        <v>1504</v>
      </c>
      <c r="L94" s="13">
        <f>_xll.RssMarket("8801","前日終値")</f>
        <v>1540</v>
      </c>
      <c r="M94" s="5" t="str">
        <f t="shared" si="12"/>
        <v>SELL-DAY</v>
      </c>
      <c r="N94" s="9">
        <f>IF(OR(E94="",F94="",G94=""),"",IF(AD94&gt;0,AD94,(F94-G94)/SQRT(操作パネル_MS2!$H$12)*操作パネル_MS2!$H$10))</f>
        <v>1.6365455437428822</v>
      </c>
      <c r="O94" s="5" t="str">
        <f>IF(OR(E94="",AC94=""),"",IF(AC94&gt;=操作パネル_MS2!$H$3,"VOL-OK","VOL-NG"))</f>
        <v>VOL-OK</v>
      </c>
      <c r="P94" s="5" t="str">
        <f t="shared" si="13"/>
        <v>OFF</v>
      </c>
      <c r="Q94" s="5" t="str">
        <f t="shared" si="14"/>
        <v>OFF</v>
      </c>
      <c r="R94" s="5" t="str">
        <f t="shared" si="15"/>
        <v/>
      </c>
      <c r="S94" s="9" t="str">
        <f t="shared" si="16"/>
        <v/>
      </c>
      <c r="T94" s="9" t="str">
        <f>IF(R94="","",IF(R94="BUY",E94-N94*操作パネル_MS2!$H$5,E94+N94*操作パネル_MS2!$H$5))</f>
        <v/>
      </c>
      <c r="U94" s="9" t="str">
        <f>IF(R94="","",IF(R94="BUY",E94+N94*操作パネル_MS2!$H$6,E94-N94*操作パネル_MS2!$H$6))</f>
        <v/>
      </c>
      <c r="V94" s="9" t="str">
        <f>IF(R94="","",IF(R94="BUY",E94+N94*操作パネル_MS2!$H$7,E94-N94*操作パネル_MS2!$H$7))</f>
        <v/>
      </c>
      <c r="W94" s="9" t="str">
        <f>IF(R94="","",IF(R94="BUY",E94+N94*操作パネル_MS2!$H$8,E94-N94*操作パネル_MS2!$H$8))</f>
        <v/>
      </c>
      <c r="X94" s="5" t="str">
        <f t="shared" si="17"/>
        <v>1ST</v>
      </c>
      <c r="Y94" s="5" t="str">
        <f t="shared" ca="1" si="18"/>
        <v>その他</v>
      </c>
      <c r="Z94" s="5" t="str">
        <f>IF(OR(E94="",N94&lt;=0),"",IF(N94&gt;E94*操作パネル_MS2!$H$4,"VOL-HIGH","VOL-NORMAL"))</f>
        <v>VOL-NORMAL</v>
      </c>
      <c r="AA94" s="5" t="str">
        <f t="shared" si="19"/>
        <v>OK</v>
      </c>
      <c r="AB94" s="5" t="str">
        <f t="shared" si="20"/>
        <v>UP</v>
      </c>
      <c r="AC94" s="30">
        <f>IF(C94="","",_xll.RssMarket(C94&amp;"","売買代金"))</f>
        <v>19092018</v>
      </c>
      <c r="AD94" s="31">
        <f>IFERROR(INDEX(ATRHIST_MS2!$H:$H,MATCH(C94,ATRHIST_MS2!$A:$A,0)),0)</f>
        <v>1.6365455437428822</v>
      </c>
    </row>
    <row r="95" spans="1:30" ht="25.95" customHeight="1">
      <c r="A95" s="5">
        <f t="shared" si="11"/>
        <v>93</v>
      </c>
      <c r="B95" s="6" t="str">
        <f>IF(StockList_MS2!A60="","",HYPERLINK("https://kabutan.jp/stock/?code="&amp;StockList_MS2!A60,"株探"))</f>
        <v>株探</v>
      </c>
      <c r="C95" s="5">
        <f>IF(StockList_MS2!A60="","",StockList_MS2!A60)</f>
        <v>6971</v>
      </c>
      <c r="D95" s="7" t="str">
        <f>IF(StockList_MS2!A60="","",StockList_MS2!B60)</f>
        <v>京セラ</v>
      </c>
      <c r="E95" s="8">
        <f>_xll.RssMarket("6971","現在値")</f>
        <v>3657</v>
      </c>
      <c r="F95" s="8">
        <f>_xll.RssMarket("6971","高値")</f>
        <v>3662</v>
      </c>
      <c r="G95" s="8">
        <f>_xll.RssMarket("6971","安値")</f>
        <v>3573</v>
      </c>
      <c r="H95" s="8" t="str">
        <f>_xll.RssMarket("6971","終値")</f>
        <v/>
      </c>
      <c r="I95" s="19">
        <f>_xll.RssMarket("6971","出来高")</f>
        <v>4749400</v>
      </c>
      <c r="J95" s="8">
        <v>3661</v>
      </c>
      <c r="K95" s="8">
        <v>3621</v>
      </c>
      <c r="L95" s="8">
        <f>_xll.RssMarket("6971","前日終値")</f>
        <v>3625</v>
      </c>
      <c r="M95" s="5" t="str">
        <f t="shared" si="12"/>
        <v>BUY-DAY</v>
      </c>
      <c r="N95" s="9">
        <f>IF(OR(E95="",F95="",G95=""),"",IF(AD95&gt;0,AD95,(F95-G95)/SQRT(操作パネル_MS2!$H$12)*操作パネル_MS2!$H$10))</f>
        <v>5.9844722866711484</v>
      </c>
      <c r="O95" s="5" t="str">
        <f>IF(OR(E95="",AC95=""),"",IF(AC95&gt;=操作パネル_MS2!$H$3,"VOL-OK","VOL-NG"))</f>
        <v>VOL-OK</v>
      </c>
      <c r="P95" s="5" t="str">
        <f t="shared" si="13"/>
        <v>OFF</v>
      </c>
      <c r="Q95" s="5" t="str">
        <f t="shared" si="14"/>
        <v>OFF</v>
      </c>
      <c r="R95" s="5" t="str">
        <f t="shared" si="15"/>
        <v/>
      </c>
      <c r="S95" s="9" t="str">
        <f t="shared" si="16"/>
        <v/>
      </c>
      <c r="T95" s="9" t="str">
        <f>IF(R95="","",IF(R95="BUY",E95-N95*操作パネル_MS2!$H$5,E95+N95*操作パネル_MS2!$H$5))</f>
        <v/>
      </c>
      <c r="U95" s="9" t="str">
        <f>IF(R95="","",IF(R95="BUY",E95+N95*操作パネル_MS2!$H$6,E95-N95*操作パネル_MS2!$H$6))</f>
        <v/>
      </c>
      <c r="V95" s="9" t="str">
        <f>IF(R95="","",IF(R95="BUY",E95+N95*操作パネル_MS2!$H$7,E95-N95*操作パネル_MS2!$H$7))</f>
        <v/>
      </c>
      <c r="W95" s="9" t="str">
        <f>IF(R95="","",IF(R95="BUY",E95+N95*操作パネル_MS2!$H$8,E95-N95*操作パネル_MS2!$H$8))</f>
        <v/>
      </c>
      <c r="X95" s="5" t="str">
        <f t="shared" si="17"/>
        <v>1ST</v>
      </c>
      <c r="Y95" s="5" t="str">
        <f t="shared" ca="1" si="18"/>
        <v>その他</v>
      </c>
      <c r="Z95" s="5" t="str">
        <f>IF(OR(E95="",N95&lt;=0),"",IF(N95&gt;E95*操作パネル_MS2!$H$4,"VOL-HIGH","VOL-NORMAL"))</f>
        <v>VOL-NORMAL</v>
      </c>
      <c r="AA95" s="5" t="str">
        <f t="shared" si="19"/>
        <v>OK</v>
      </c>
      <c r="AB95" s="5" t="str">
        <f t="shared" si="20"/>
        <v>FLAT</v>
      </c>
      <c r="AC95" s="30">
        <f>IF(C95="","",_xll.RssMarket(C95&amp;"","売買代金"))</f>
        <v>17280827</v>
      </c>
      <c r="AD95" s="31">
        <f>IFERROR(INDEX(ATRHIST_MS2!$H:$H,MATCH(C95,ATRHIST_MS2!$A:$A,0)),0)</f>
        <v>5.9844722866711484</v>
      </c>
    </row>
    <row r="96" spans="1:30" ht="25.95" customHeight="1">
      <c r="A96" s="10">
        <f t="shared" si="11"/>
        <v>94</v>
      </c>
      <c r="B96" s="11" t="str">
        <f>IF(StockList_MS2!A61="","",HYPERLINK("https://kabutan.jp/stock/?code="&amp;StockList_MS2!A61,"株探"))</f>
        <v>株探</v>
      </c>
      <c r="C96" s="10">
        <f>IF(StockList_MS2!A61="","",StockList_MS2!A61)</f>
        <v>6503</v>
      </c>
      <c r="D96" s="12" t="str">
        <f>IF(StockList_MS2!A61="","",StockList_MS2!B61)</f>
        <v>三菱電機</v>
      </c>
      <c r="E96" s="13">
        <f>_xll.RssMarket("6503","現在値")</f>
        <v>5585</v>
      </c>
      <c r="F96" s="13">
        <f>_xll.RssMarket("6503","高値")</f>
        <v>5585</v>
      </c>
      <c r="G96" s="13">
        <f>_xll.RssMarket("6503","安値")</f>
        <v>5464</v>
      </c>
      <c r="H96" s="13" t="str">
        <f>_xll.RssMarket("6503","終値")</f>
        <v/>
      </c>
      <c r="I96" s="20">
        <f>_xll.RssMarket("6503","出来高")</f>
        <v>6314700</v>
      </c>
      <c r="J96" s="13">
        <v>5679</v>
      </c>
      <c r="K96" s="13">
        <v>5590</v>
      </c>
      <c r="L96" s="13">
        <f>_xll.RssMarket("6503","前日終値")</f>
        <v>5648</v>
      </c>
      <c r="M96" s="5" t="str">
        <f t="shared" si="12"/>
        <v>SELL-DAY</v>
      </c>
      <c r="N96" s="9">
        <f>IF(OR(E96="",F96="",G96=""),"",IF(AD96&gt;0,AD96,(F96-G96)/SQRT(操作パネル_MS2!$H$12)*操作パネル_MS2!$H$10))</f>
        <v>7.1334272579161597</v>
      </c>
      <c r="O96" s="5" t="str">
        <f>IF(OR(E96="",AC96=""),"",IF(AC96&gt;=操作パネル_MS2!$H$3,"VOL-OK","VOL-NG"))</f>
        <v>VOL-OK</v>
      </c>
      <c r="P96" s="5" t="str">
        <f t="shared" si="13"/>
        <v>OFF</v>
      </c>
      <c r="Q96" s="5" t="str">
        <f t="shared" si="14"/>
        <v>ON</v>
      </c>
      <c r="R96" s="5" t="str">
        <f t="shared" si="15"/>
        <v>SELL</v>
      </c>
      <c r="S96" s="9">
        <f t="shared" si="16"/>
        <v>5585</v>
      </c>
      <c r="T96" s="9">
        <f>IF(R96="","",IF(R96="BUY",E96-N96*操作パネル_MS2!$H$5,E96+N96*操作パネル_MS2!$H$5))</f>
        <v>5595.7001408868746</v>
      </c>
      <c r="U96" s="9">
        <f>IF(R96="","",IF(R96="BUY",E96+N96*操作パネル_MS2!$H$6,E96-N96*操作パネル_MS2!$H$6))</f>
        <v>5574.2998591131254</v>
      </c>
      <c r="V96" s="9">
        <f>IF(R96="","",IF(R96="BUY",E96+N96*操作パネル_MS2!$H$7,E96-N96*操作パネル_MS2!$H$7))</f>
        <v>5570.7331454841678</v>
      </c>
      <c r="W96" s="9">
        <f>IF(R96="","",IF(R96="BUY",E96+N96*操作パネル_MS2!$H$8,E96-N96*操作パネル_MS2!$H$8))</f>
        <v>5563.5997182262518</v>
      </c>
      <c r="X96" s="5" t="str">
        <f t="shared" si="17"/>
        <v>1ST</v>
      </c>
      <c r="Y96" s="5" t="str">
        <f t="shared" ca="1" si="18"/>
        <v>その他</v>
      </c>
      <c r="Z96" s="5" t="str">
        <f>IF(OR(E96="",N96&lt;=0),"",IF(N96&gt;E96*操作パネル_MS2!$H$4,"VOL-HIGH","VOL-NORMAL"))</f>
        <v>VOL-NORMAL</v>
      </c>
      <c r="AA96" s="5" t="str">
        <f t="shared" si="19"/>
        <v>OK</v>
      </c>
      <c r="AB96" s="5" t="str">
        <f t="shared" si="20"/>
        <v>DOWN</v>
      </c>
      <c r="AC96" s="30">
        <f>IF(C96="","",_xll.RssMarket(C96&amp;"","売買代金"))</f>
        <v>35064627</v>
      </c>
      <c r="AD96" s="31">
        <f>IFERROR(INDEX(ATRHIST_MS2!$H:$H,MATCH(C96,ATRHIST_MS2!$A:$A,0)),0)</f>
        <v>7.1334272579161597</v>
      </c>
    </row>
    <row r="97" spans="1:30" ht="25.95" customHeight="1">
      <c r="A97" s="5">
        <f t="shared" si="11"/>
        <v>95</v>
      </c>
      <c r="B97" s="6" t="str">
        <f>IF(StockList_MS2!A66="","",HYPERLINK("https://kabutan.jp/stock/?code="&amp;StockList_MS2!A66,"株探"))</f>
        <v>株探</v>
      </c>
      <c r="C97" s="5">
        <f>IF(StockList_MS2!A66="","",StockList_MS2!A66)</f>
        <v>6954</v>
      </c>
      <c r="D97" s="7" t="str">
        <f>IF(StockList_MS2!A66="","",StockList_MS2!B66)</f>
        <v>ファナック</v>
      </c>
      <c r="E97" s="8">
        <f>_xll.RssMarket("6954","現在値")</f>
        <v>6055</v>
      </c>
      <c r="F97" s="8">
        <f>_xll.RssMarket("6954","高値")</f>
        <v>6078</v>
      </c>
      <c r="G97" s="8">
        <f>_xll.RssMarket("6954","安値")</f>
        <v>5870</v>
      </c>
      <c r="H97" s="8" t="str">
        <f>_xll.RssMarket("6954","終値")</f>
        <v/>
      </c>
      <c r="I97" s="19">
        <f>_xll.RssMarket("6954","出来高")</f>
        <v>5069500</v>
      </c>
      <c r="J97" s="8">
        <v>6147</v>
      </c>
      <c r="K97" s="8">
        <v>6031</v>
      </c>
      <c r="L97" s="8">
        <f>_xll.RssMarket("6954","前日終値")</f>
        <v>6052</v>
      </c>
      <c r="M97" s="5" t="str">
        <f t="shared" si="12"/>
        <v>BUY-DAY</v>
      </c>
      <c r="N97" s="9">
        <f>IF(OR(E97="",F97="",G97=""),"",IF(AD97&gt;0,AD97,(F97-G97)/SQRT(操作パネル_MS2!$H$12)*操作パネル_MS2!$H$10))</f>
        <v>7.1542610707959629</v>
      </c>
      <c r="O97" s="5" t="str">
        <f>IF(OR(E97="",AC97=""),"",IF(AC97&gt;=操作パネル_MS2!$H$3,"VOL-OK","VOL-NG"))</f>
        <v>VOL-OK</v>
      </c>
      <c r="P97" s="5" t="str">
        <f t="shared" si="13"/>
        <v>OFF</v>
      </c>
      <c r="Q97" s="5" t="str">
        <f t="shared" si="14"/>
        <v>OFF</v>
      </c>
      <c r="R97" s="5" t="str">
        <f t="shared" si="15"/>
        <v/>
      </c>
      <c r="S97" s="9" t="str">
        <f t="shared" si="16"/>
        <v/>
      </c>
      <c r="T97" s="9" t="str">
        <f>IF(R97="","",IF(R97="BUY",E97-N97*操作パネル_MS2!$H$5,E97+N97*操作パネル_MS2!$H$5))</f>
        <v/>
      </c>
      <c r="U97" s="9" t="str">
        <f>IF(R97="","",IF(R97="BUY",E97+N97*操作パネル_MS2!$H$6,E97-N97*操作パネル_MS2!$H$6))</f>
        <v/>
      </c>
      <c r="V97" s="9" t="str">
        <f>IF(R97="","",IF(R97="BUY",E97+N97*操作パネル_MS2!$H$7,E97-N97*操作パネル_MS2!$H$7))</f>
        <v/>
      </c>
      <c r="W97" s="9" t="str">
        <f>IF(R97="","",IF(R97="BUY",E97+N97*操作パネル_MS2!$H$8,E97-N97*操作パネル_MS2!$H$8))</f>
        <v/>
      </c>
      <c r="X97" s="5" t="str">
        <f t="shared" si="17"/>
        <v>2ND</v>
      </c>
      <c r="Y97" s="5" t="str">
        <f t="shared" ca="1" si="18"/>
        <v>その他</v>
      </c>
      <c r="Z97" s="5" t="str">
        <f>IF(OR(E97="",N97&lt;=0),"",IF(N97&gt;E97*操作パネル_MS2!$H$4,"VOL-HIGH","VOL-NORMAL"))</f>
        <v>VOL-NORMAL</v>
      </c>
      <c r="AA97" s="5" t="str">
        <f t="shared" si="19"/>
        <v>OK</v>
      </c>
      <c r="AB97" s="5" t="str">
        <f t="shared" si="20"/>
        <v>DOWN</v>
      </c>
      <c r="AC97" s="30">
        <f>IF(C97="","",_xll.RssMarket(C97&amp;"","売買代金"))</f>
        <v>30476195</v>
      </c>
      <c r="AD97" s="31">
        <f>IFERROR(INDEX(ATRHIST_MS2!$H:$H,MATCH(C97,ATRHIST_MS2!$A:$A,0)),0)</f>
        <v>7.1542610707959629</v>
      </c>
    </row>
    <row r="98" spans="1:30" ht="25.95" customHeight="1">
      <c r="A98" s="10">
        <f t="shared" si="11"/>
        <v>96</v>
      </c>
      <c r="B98" s="11" t="str">
        <f>IF(StockList_MS2!A69="","",HYPERLINK("https://kabutan.jp/stock/?code="&amp;StockList_MS2!A69,"株探"))</f>
        <v>株探</v>
      </c>
      <c r="C98" s="10">
        <f>IF(StockList_MS2!A69="","",StockList_MS2!A69)</f>
        <v>3382</v>
      </c>
      <c r="D98" s="12" t="str">
        <f>IF(StockList_MS2!A69="","",StockList_MS2!B69)</f>
        <v>セブン＆アイ・ＨＬＤＧＳ</v>
      </c>
      <c r="E98" s="13">
        <f>_xll.RssMarket("3382","現在値")</f>
        <v>2026</v>
      </c>
      <c r="F98" s="13">
        <f>_xll.RssMarket("3382","高値")</f>
        <v>2026</v>
      </c>
      <c r="G98" s="13">
        <f>_xll.RssMarket("3382","安値")</f>
        <v>1990</v>
      </c>
      <c r="H98" s="13" t="str">
        <f>_xll.RssMarket("3382","終値")</f>
        <v/>
      </c>
      <c r="I98" s="20">
        <f>_xll.RssMarket("3382","出来高")</f>
        <v>10164200</v>
      </c>
      <c r="J98" s="13">
        <v>2001.5</v>
      </c>
      <c r="K98" s="13">
        <v>1957.5</v>
      </c>
      <c r="L98" s="13">
        <f>_xll.RssMarket("3382","前日終値")</f>
        <v>2001.5</v>
      </c>
      <c r="M98" s="5" t="str">
        <f t="shared" si="12"/>
        <v>BUY-DAY</v>
      </c>
      <c r="N98" s="9">
        <f>IF(OR(E98="",F98="",G98=""),"",IF(AD98&gt;0,AD98,(F98-G98)/SQRT(操作パネル_MS2!$H$12)*操作パネル_MS2!$H$10))</f>
        <v>1.713124158631339</v>
      </c>
      <c r="O98" s="5" t="str">
        <f>IF(OR(E98="",AC98=""),"",IF(AC98&gt;=操作パネル_MS2!$H$3,"VOL-OK","VOL-NG"))</f>
        <v>VOL-OK</v>
      </c>
      <c r="P98" s="5" t="str">
        <f t="shared" si="13"/>
        <v>ON</v>
      </c>
      <c r="Q98" s="5" t="str">
        <f t="shared" si="14"/>
        <v>OFF</v>
      </c>
      <c r="R98" s="5" t="str">
        <f t="shared" si="15"/>
        <v>BUY</v>
      </c>
      <c r="S98" s="9">
        <f t="shared" si="16"/>
        <v>2026</v>
      </c>
      <c r="T98" s="9">
        <f>IF(R98="","",IF(R98="BUY",E98-N98*操作パネル_MS2!$H$5,E98+N98*操作パネル_MS2!$H$5))</f>
        <v>2023.4303137620529</v>
      </c>
      <c r="U98" s="9">
        <f>IF(R98="","",IF(R98="BUY",E98+N98*操作パネル_MS2!$H$6,E98-N98*操作パネル_MS2!$H$6))</f>
        <v>2028.5696862379471</v>
      </c>
      <c r="V98" s="9">
        <f>IF(R98="","",IF(R98="BUY",E98+N98*操作パネル_MS2!$H$7,E98-N98*操作パネル_MS2!$H$7))</f>
        <v>2029.4262483172627</v>
      </c>
      <c r="W98" s="9">
        <f>IF(R98="","",IF(R98="BUY",E98+N98*操作パネル_MS2!$H$8,E98-N98*操作パネル_MS2!$H$8))</f>
        <v>2031.1393724758941</v>
      </c>
      <c r="X98" s="5" t="str">
        <f t="shared" si="17"/>
        <v>1ST</v>
      </c>
      <c r="Y98" s="5" t="str">
        <f t="shared" ca="1" si="18"/>
        <v>その他</v>
      </c>
      <c r="Z98" s="5" t="str">
        <f>IF(OR(E98="",N98&lt;=0),"",IF(N98&gt;E98*操作パネル_MS2!$H$4,"VOL-HIGH","VOL-NORMAL"))</f>
        <v>VOL-NORMAL</v>
      </c>
      <c r="AA98" s="5" t="str">
        <f t="shared" si="19"/>
        <v>OK</v>
      </c>
      <c r="AB98" s="5" t="str">
        <f t="shared" si="20"/>
        <v>UP</v>
      </c>
      <c r="AC98" s="30">
        <f>IF(C98="","",_xll.RssMarket(C98&amp;"","売買代金"))</f>
        <v>20513484</v>
      </c>
      <c r="AD98" s="31">
        <f>IFERROR(INDEX(ATRHIST_MS2!$H:$H,MATCH(C98,ATRHIST_MS2!$A:$A,0)),0)</f>
        <v>1.713124158631339</v>
      </c>
    </row>
    <row r="99" spans="1:30" ht="25.95" customHeight="1">
      <c r="A99" s="10">
        <f t="shared" si="11"/>
        <v>97</v>
      </c>
      <c r="B99" s="11" t="str">
        <f>IF(StockList_MS2!A73="","",HYPERLINK("https://kabutan.jp/stock/?code="&amp;StockList_MS2!A73,"株探"))</f>
        <v>株探</v>
      </c>
      <c r="C99" s="10">
        <f>IF(StockList_MS2!A73="","",StockList_MS2!A73)</f>
        <v>8113</v>
      </c>
      <c r="D99" s="12" t="str">
        <f>IF(StockList_MS2!A73="","",StockList_MS2!B73)</f>
        <v>ユニ・チヤ－ム</v>
      </c>
      <c r="E99" s="13">
        <f>_xll.RssMarket("8113","現在値")</f>
        <v>997.1</v>
      </c>
      <c r="F99" s="13">
        <f>_xll.RssMarket("8113","高値")</f>
        <v>1000.5</v>
      </c>
      <c r="G99" s="13">
        <f>_xll.RssMarket("8113","安値")</f>
        <v>990.4</v>
      </c>
      <c r="H99" s="13" t="str">
        <f>_xll.RssMarket("8113","終値")</f>
        <v/>
      </c>
      <c r="I99" s="20">
        <f>_xll.RssMarket("8113","出来高")</f>
        <v>10359700</v>
      </c>
      <c r="J99" s="13">
        <v>987.6</v>
      </c>
      <c r="K99" s="13">
        <v>974.2</v>
      </c>
      <c r="L99" s="13">
        <f>_xll.RssMarket("8113","前日終値")</f>
        <v>987.6</v>
      </c>
      <c r="M99" s="5" t="str">
        <f>IF(E99="","",IF(E99&gt;L99,"BUY-DAY","SELL-DAY"))</f>
        <v>BUY-DAY</v>
      </c>
      <c r="N99" s="9">
        <f>IF(OR(E99="",F99="",G99=""),"",IF(AD99&gt;0,AD99,(F99-G99)/SQRT(操作パネル_MS2!$H$12)*操作パネル_MS2!$H$10))</f>
        <v>1.0746791769823181</v>
      </c>
      <c r="O99" s="5" t="str">
        <f>IF(OR(E99="",AC99=""),"",IF(AC99&gt;=操作パネル_MS2!$H$3,"VOL-OK","VOL-NG"))</f>
        <v>VOL-OK</v>
      </c>
      <c r="P99" s="5" t="str">
        <f t="shared" si="13"/>
        <v>ON</v>
      </c>
      <c r="Q99" s="5" t="str">
        <f t="shared" si="14"/>
        <v>OFF</v>
      </c>
      <c r="R99" s="5" t="str">
        <f t="shared" si="15"/>
        <v>BUY</v>
      </c>
      <c r="S99" s="9">
        <f t="shared" si="16"/>
        <v>997.1</v>
      </c>
      <c r="T99" s="9">
        <f>IF(R99="","",IF(R99="BUY",E99-N99*操作パネル_MS2!$H$5,E99+N99*操作パネル_MS2!$H$5))</f>
        <v>995.4879812345265</v>
      </c>
      <c r="U99" s="9">
        <f>IF(R99="","",IF(R99="BUY",E99+N99*操作パネル_MS2!$H$6,E99-N99*操作パネル_MS2!$H$6))</f>
        <v>998.71201876547354</v>
      </c>
      <c r="V99" s="9">
        <f>IF(R99="","",IF(R99="BUY",E99+N99*操作パネル_MS2!$H$7,E99-N99*操作パネル_MS2!$H$7))</f>
        <v>999.24935835396468</v>
      </c>
      <c r="W99" s="9">
        <f>IF(R99="","",IF(R99="BUY",E99+N99*操作パネル_MS2!$H$8,E99-N99*操作パネル_MS2!$H$8))</f>
        <v>1000.324037530947</v>
      </c>
      <c r="X99" s="5" t="str">
        <f t="shared" si="17"/>
        <v>1ST</v>
      </c>
      <c r="Y99" s="5" t="str">
        <f t="shared" ca="1" si="18"/>
        <v>その他</v>
      </c>
      <c r="Z99" s="5" t="str">
        <f>IF(OR(E99="",N99&lt;=0),"",IF(N99&gt;E99*操作パネル_MS2!$H$4,"VOL-HIGH","VOL-NORMAL"))</f>
        <v>VOL-NORMAL</v>
      </c>
      <c r="AA99" s="5" t="str">
        <f t="shared" si="19"/>
        <v>OK</v>
      </c>
      <c r="AB99" s="5" t="str">
        <f t="shared" si="20"/>
        <v>UP</v>
      </c>
      <c r="AC99" s="30">
        <f>IF(C99="","",_xll.RssMarket(C99&amp;"","売買代金"))</f>
        <v>10331862</v>
      </c>
      <c r="AD99" s="31">
        <f>IFERROR(INDEX(ATRHIST_MS2!$H:$H,MATCH(C99,ATRHIST_MS2!$A:$A,0)),0)</f>
        <v>1.0746791769823181</v>
      </c>
    </row>
    <row r="100" spans="1:30" ht="25.95" customHeight="1">
      <c r="A100" s="5">
        <f t="shared" si="11"/>
        <v>98</v>
      </c>
      <c r="B100" s="6" t="str">
        <f>IF(StockList_MS2!A78="","",HYPERLINK("https://kabutan.jp/stock/?code="&amp;StockList_MS2!A78,"株探"))</f>
        <v>株探</v>
      </c>
      <c r="C100" s="5">
        <f>IF(StockList_MS2!A78="","",StockList_MS2!A78)</f>
        <v>6315</v>
      </c>
      <c r="D100" s="7" t="str">
        <f>IF(StockList_MS2!A78="","",StockList_MS2!B78)</f>
        <v>ＴＯＷＡ</v>
      </c>
      <c r="E100" s="8">
        <f>_xll.RssMarket("6315","現在値")</f>
        <v>2338</v>
      </c>
      <c r="F100" s="8">
        <f>_xll.RssMarket("6315","高値")</f>
        <v>2349</v>
      </c>
      <c r="G100" s="8">
        <f>_xll.RssMarket("6315","安値")</f>
        <v>2247</v>
      </c>
      <c r="H100" s="8" t="str">
        <f>_xll.RssMarket("6315","終値")</f>
        <v/>
      </c>
      <c r="I100" s="19">
        <f>_xll.RssMarket("6315","出来高")</f>
        <v>3787200</v>
      </c>
      <c r="J100" s="8">
        <v>2361</v>
      </c>
      <c r="K100" s="8">
        <v>2300</v>
      </c>
      <c r="L100" s="8">
        <f>_xll.RssMarket("6315","前日終値")</f>
        <v>2317</v>
      </c>
      <c r="M100" s="5" t="str">
        <f>IF(E100="","",IF(E100&gt;L100,"BUY-DAY","SELL-DAY"))</f>
        <v>BUY-DAY</v>
      </c>
      <c r="N100" s="9">
        <f>IF(OR(E100="",F100="",G100=""),"",IF(AD100&gt;0,AD100,(F100-G100)/SQRT(操作パネル_MS2!$H$12)*操作パネル_MS2!$H$10))</f>
        <v>4.738000390055114</v>
      </c>
      <c r="O100" s="5" t="str">
        <f>IF(OR(E100="",AC100=""),"",IF(AC100&gt;=操作パネル_MS2!$H$3,"VOL-OK","VOL-NG"))</f>
        <v>VOL-OK</v>
      </c>
      <c r="P100" s="5" t="str">
        <f t="shared" si="13"/>
        <v>OFF</v>
      </c>
      <c r="Q100" s="5" t="str">
        <f t="shared" si="14"/>
        <v>OFF</v>
      </c>
      <c r="R100" s="5" t="str">
        <f t="shared" si="15"/>
        <v/>
      </c>
      <c r="S100" s="9" t="str">
        <f t="shared" si="16"/>
        <v/>
      </c>
      <c r="T100" s="9" t="str">
        <f>IF(R100="","",IF(R100="BUY",E100-N100*操作パネル_MS2!$H$5,E100+N100*操作パネル_MS2!$H$5))</f>
        <v/>
      </c>
      <c r="U100" s="9" t="str">
        <f>IF(R100="","",IF(R100="BUY",E100+N100*操作パネル_MS2!$H$6,E100-N100*操作パネル_MS2!$H$6))</f>
        <v/>
      </c>
      <c r="V100" s="9" t="str">
        <f>IF(R100="","",IF(R100="BUY",E100+N100*操作パネル_MS2!$H$7,E100-N100*操作パネル_MS2!$H$7))</f>
        <v/>
      </c>
      <c r="W100" s="9" t="str">
        <f>IF(R100="","",IF(R100="BUY",E100+N100*操作パネル_MS2!$H$8,E100-N100*操作パネル_MS2!$H$8))</f>
        <v/>
      </c>
      <c r="X100" s="5" t="str">
        <f t="shared" si="17"/>
        <v>1ST</v>
      </c>
      <c r="Y100" s="5" t="str">
        <f t="shared" ca="1" si="18"/>
        <v>その他</v>
      </c>
      <c r="Z100" s="5" t="str">
        <f>IF(OR(E100="",N100&lt;=0),"",IF(N100&gt;E100*操作パネル_MS2!$H$4,"VOL-HIGH","VOL-NORMAL"))</f>
        <v>VOL-NORMAL</v>
      </c>
      <c r="AA100" s="5" t="str">
        <f t="shared" si="19"/>
        <v>OK</v>
      </c>
      <c r="AB100" s="5" t="str">
        <f t="shared" si="20"/>
        <v>DOWN</v>
      </c>
      <c r="AC100" s="30">
        <f>IF(C100="","",_xll.RssMarket(C100&amp;"","売買代金"))</f>
        <v>8707000</v>
      </c>
      <c r="AD100" s="31">
        <f>IFERROR(INDEX(ATRHIST_MS2!$H:$H,MATCH(C100,ATRHIST_MS2!$A:$A,0)),0)</f>
        <v>4.738000390055114</v>
      </c>
    </row>
    <row r="101" spans="1:30" ht="25.95" customHeight="1">
      <c r="A101" s="5">
        <f t="shared" si="11"/>
        <v>99</v>
      </c>
      <c r="B101" s="6" t="str">
        <f>IF(StockList_MS2!A82="","",HYPERLINK("https://kabutan.jp/stock/?code="&amp;StockList_MS2!A82,"株探"))</f>
        <v>株探</v>
      </c>
      <c r="C101" s="5">
        <f>IF(StockList_MS2!A82="","",StockList_MS2!A82)</f>
        <v>5411</v>
      </c>
      <c r="D101" s="7" t="str">
        <f>IF(StockList_MS2!A82="","",StockList_MS2!B82)</f>
        <v>ＪＦＥホールディングス</v>
      </c>
      <c r="E101" s="8">
        <f>_xll.RssMarket("5411","現在値")</f>
        <v>1847</v>
      </c>
      <c r="F101" s="8">
        <f>_xll.RssMarket("5411","高値")</f>
        <v>1851</v>
      </c>
      <c r="G101" s="8">
        <f>_xll.RssMarket("5411","安値")</f>
        <v>1824.5</v>
      </c>
      <c r="H101" s="8" t="str">
        <f>_xll.RssMarket("5411","終値")</f>
        <v/>
      </c>
      <c r="I101" s="19">
        <f>_xll.RssMarket("5411","出来高")</f>
        <v>44293000</v>
      </c>
      <c r="J101" s="8">
        <v>1862.5</v>
      </c>
      <c r="K101" s="8">
        <v>1836.5</v>
      </c>
      <c r="L101" s="8">
        <f>_xll.RssMarket("5411","前日終値")</f>
        <v>1859</v>
      </c>
      <c r="M101" s="5" t="str">
        <f>IF(E101="","",IF(E101&gt;L101,"BUY-DAY","SELL-DAY"))</f>
        <v>SELL-DAY</v>
      </c>
      <c r="N101" s="9">
        <f>IF(OR(E101="",F101="",G101=""),"",IF(AD101&gt;0,AD101,(F101-G101)/SQRT(操作パネル_MS2!$H$12)*操作パネル_MS2!$H$10))</f>
        <v>1.7934092918806648</v>
      </c>
      <c r="O101" s="5" t="str">
        <f>IF(OR(E101="",AC101=""),"",IF(AC101&gt;=操作パネル_MS2!$H$3,"VOL-OK","VOL-NG"))</f>
        <v>VOL-OK</v>
      </c>
      <c r="P101" s="5" t="str">
        <f t="shared" si="13"/>
        <v>OFF</v>
      </c>
      <c r="Q101" s="5" t="str">
        <f t="shared" si="14"/>
        <v>OFF</v>
      </c>
      <c r="R101" s="5" t="str">
        <f t="shared" si="15"/>
        <v/>
      </c>
      <c r="S101" s="9" t="str">
        <f t="shared" si="16"/>
        <v/>
      </c>
      <c r="T101" s="9" t="str">
        <f>IF(R101="","",IF(R101="BUY",E101-N101*操作パネル_MS2!$H$5,E101+N101*操作パネル_MS2!$H$5))</f>
        <v/>
      </c>
      <c r="U101" s="9" t="str">
        <f>IF(R101="","",IF(R101="BUY",E101+N101*操作パネル_MS2!$H$6,E101-N101*操作パネル_MS2!$H$6))</f>
        <v/>
      </c>
      <c r="V101" s="9" t="str">
        <f>IF(R101="","",IF(R101="BUY",E101+N101*操作パネル_MS2!$H$7,E101-N101*操作パネル_MS2!$H$7))</f>
        <v/>
      </c>
      <c r="W101" s="9" t="str">
        <f>IF(R101="","",IF(R101="BUY",E101+N101*操作パネル_MS2!$H$8,E101-N101*操作パネル_MS2!$H$8))</f>
        <v/>
      </c>
      <c r="X101" s="5" t="str">
        <f t="shared" si="17"/>
        <v>1ST</v>
      </c>
      <c r="Y101" s="5" t="str">
        <f t="shared" ca="1" si="18"/>
        <v>その他</v>
      </c>
      <c r="Z101" s="5" t="str">
        <f>IF(OR(E101="",N101&lt;=0),"",IF(N101&gt;E101*操作パネル_MS2!$H$4,"VOL-HIGH","VOL-NORMAL"))</f>
        <v>VOL-NORMAL</v>
      </c>
      <c r="AA101" s="5" t="str">
        <f t="shared" si="19"/>
        <v>OK</v>
      </c>
      <c r="AB101" s="5" t="str">
        <f t="shared" si="20"/>
        <v>DOWN</v>
      </c>
      <c r="AC101" s="30">
        <f>IF(C101="","",_xll.RssMarket(C101&amp;"","売買代金"))</f>
        <v>81764498</v>
      </c>
      <c r="AD101" s="31">
        <f>IFERROR(INDEX(ATRHIST_MS2!$H:$H,MATCH(C101,ATRHIST_MS2!$A:$A,0)),0)</f>
        <v>1.7934092918806648</v>
      </c>
    </row>
    <row r="102" spans="1:30" ht="25.95" customHeight="1">
      <c r="A102" s="10">
        <f t="shared" si="11"/>
        <v>100</v>
      </c>
      <c r="B102" s="11" t="str">
        <f>IF(StockList_MS2!A3="","",HYPERLINK("https://kabutan.jp/stock/?code="&amp;StockList_MS2!A3,"株探"))</f>
        <v>株探</v>
      </c>
      <c r="C102" s="10">
        <f>IF(StockList_MS2!A3="","",StockList_MS2!A3)</f>
        <v>9434</v>
      </c>
      <c r="D102" s="12" t="str">
        <f>IF(StockList_MS2!A3="","",StockList_MS2!B3)</f>
        <v>ソフトバンク</v>
      </c>
      <c r="E102" s="13">
        <f>_xll.RssMarket("9434","現在値")</f>
        <v>237.1</v>
      </c>
      <c r="F102" s="13">
        <v>8344</v>
      </c>
      <c r="G102" s="13" t="s">
        <v>85</v>
      </c>
      <c r="H102" s="13">
        <v>100</v>
      </c>
      <c r="I102" s="20">
        <v>4150</v>
      </c>
      <c r="J102" s="13">
        <v>230.8</v>
      </c>
      <c r="K102" s="13">
        <v>227.6</v>
      </c>
      <c r="L102" s="13" t="s">
        <v>86</v>
      </c>
      <c r="M102" s="5"/>
      <c r="N102" s="9"/>
      <c r="O102" s="5" t="str">
        <f>IF(OR(E102="",AC102=""),"",IF(AC102&gt;=操作パネル_MS2!$H$3,"VOL-OK","VOL-NG"))</f>
        <v>VOL-OK</v>
      </c>
      <c r="P102" s="5" t="str">
        <f t="shared" si="13"/>
        <v>ON</v>
      </c>
      <c r="Q102" s="5" t="str">
        <f t="shared" si="14"/>
        <v>OFF</v>
      </c>
      <c r="R102" s="5" t="str">
        <f t="shared" si="15"/>
        <v/>
      </c>
      <c r="S102" s="9" t="str">
        <f t="shared" si="16"/>
        <v/>
      </c>
      <c r="T102" s="9" t="str">
        <f>IF(R102="","",IF(R102="BUY",E102-N102*操作パネル_MS2!$H$5,E102+N102*操作パネル_MS2!$H$5))</f>
        <v/>
      </c>
      <c r="U102" s="9" t="str">
        <f>IF(R102="","",IF(R102="BUY",E102+N102*操作パネル_MS2!$H$6,E102-N102*操作パネル_MS2!$H$6))</f>
        <v/>
      </c>
      <c r="V102" s="9" t="str">
        <f>IF(R102="","",IF(R102="BUY",E102+N102*操作パネル_MS2!$H$7,E102-N102*操作パネル_MS2!$H$7))</f>
        <v/>
      </c>
      <c r="W102" s="9" t="str">
        <f>IF(R102="","",IF(R102="BUY",E102+N102*操作パネル_MS2!$H$8,E102-N102*操作パネル_MS2!$H$8))</f>
        <v/>
      </c>
      <c r="X102" s="5" t="str">
        <f t="shared" si="17"/>
        <v/>
      </c>
      <c r="Y102" s="5" t="str">
        <f t="shared" ca="1" si="18"/>
        <v/>
      </c>
      <c r="Z102" s="5" t="str">
        <f>IF(OR(E102="",N102&lt;=0),"",IF(N102&gt;E102*操作パネル_MS2!$H$4,"VOL-HIGH","VOL-NORMAL"))</f>
        <v/>
      </c>
      <c r="AA102" s="5" t="str">
        <f t="shared" si="19"/>
        <v/>
      </c>
      <c r="AB102" s="5" t="str">
        <f t="shared" si="20"/>
        <v/>
      </c>
      <c r="AC102" s="30">
        <f>IF(C102="","",_xll.RssMarket(C102&amp;"","売買代金"))</f>
        <v>20324565</v>
      </c>
      <c r="AD102" s="31">
        <f>IFERROR(INDEX(ATRHIST_MS2!$H:$H,MATCH(C102,ATRHIST_MS2!$A:$A,0)),0)</f>
        <v>0.31896714767640966</v>
      </c>
    </row>
    <row r="103" spans="1:30" ht="25.95" customHeight="1">
      <c r="A103" s="5" t="str">
        <f t="shared" si="11"/>
        <v/>
      </c>
      <c r="B103" s="6" t="str">
        <f>IF(StockList_MS2!A102="","",HYPERLINK("https://kabutan.jp/stock/?code="&amp;StockList_MS2!A102,"株探"))</f>
        <v/>
      </c>
      <c r="C103" s="5" t="str">
        <f>IF(StockList_MS2!A102="","",StockList_MS2!A102)</f>
        <v/>
      </c>
      <c r="D103" s="7" t="str">
        <f>IF(StockList_MS2!A102="","",StockList_MS2!B102)</f>
        <v/>
      </c>
      <c r="E103" s="8"/>
      <c r="F103" s="8"/>
      <c r="G103" s="8"/>
      <c r="H103" s="8"/>
      <c r="I103" s="19"/>
      <c r="J103" s="8"/>
      <c r="K103" s="8"/>
      <c r="L103" s="8"/>
      <c r="M103" s="5" t="str">
        <f t="shared" ref="M103:M166" si="21">IF(E103="","",IF(E103&gt;L103,"BUY-DAY","SELL-DAY"))</f>
        <v/>
      </c>
      <c r="N103" s="9" t="str">
        <f>IF(OR(E103="",F103="",G103=""),"",IF(AD103&gt;0,AD103,(F103-G103)/SQRT(操作パネル_MS2!$H$12)*操作パネル_MS2!$H$10))</f>
        <v/>
      </c>
      <c r="O103" s="5" t="str">
        <f>IF(OR(E103="",AC103=""),"",IF(AC103&gt;=操作パネル_MS2!$H$3,"VOL-OK","VOL-NG"))</f>
        <v/>
      </c>
      <c r="P103" s="5" t="str">
        <f t="shared" si="13"/>
        <v/>
      </c>
      <c r="Q103" s="5" t="str">
        <f t="shared" si="14"/>
        <v/>
      </c>
      <c r="R103" s="5" t="str">
        <f t="shared" si="15"/>
        <v/>
      </c>
      <c r="S103" s="9" t="str">
        <f t="shared" si="16"/>
        <v/>
      </c>
      <c r="T103" s="9" t="str">
        <f>IF(R103="","",IF(R103="BUY",E103-N103*操作パネル_MS2!$H$5,E103+N103*操作パネル_MS2!$H$5))</f>
        <v/>
      </c>
      <c r="U103" s="9" t="str">
        <f>IF(R103="","",IF(R103="BUY",E103+N103*操作パネル_MS2!$H$6,E103-N103*操作パネル_MS2!$H$6))</f>
        <v/>
      </c>
      <c r="V103" s="9" t="str">
        <f>IF(R103="","",IF(R103="BUY",E103+N103*操作パネル_MS2!$H$7,E103-N103*操作パネル_MS2!$H$7))</f>
        <v/>
      </c>
      <c r="W103" s="9" t="str">
        <f>IF(R103="","",IF(R103="BUY",E103+N103*操作パネル_MS2!$H$8,E103-N103*操作パネル_MS2!$H$8))</f>
        <v/>
      </c>
      <c r="X103" s="5" t="str">
        <f t="shared" si="17"/>
        <v/>
      </c>
      <c r="Y103" s="5" t="str">
        <f t="shared" ca="1" si="18"/>
        <v/>
      </c>
      <c r="Z103" s="5" t="str">
        <f>IF(OR(E103="",N103&lt;=0),"",IF(N103&gt;E103*操作パネル_MS2!$H$4,"VOL-HIGH","VOL-NORMAL"))</f>
        <v/>
      </c>
      <c r="AA103" s="5" t="str">
        <f t="shared" si="19"/>
        <v/>
      </c>
      <c r="AB103" s="5" t="str">
        <f t="shared" si="20"/>
        <v/>
      </c>
      <c r="AC103" s="30" t="str">
        <f>IF(C103="","",_xll.RssMarket(C103&amp;"","売買代金"))</f>
        <v/>
      </c>
      <c r="AD103" s="31">
        <f>IFERROR(INDEX(ATRHIST_MS2!$H:$H,MATCH(C103,ATRHIST_MS2!$A:$A,0)),0)</f>
        <v>0</v>
      </c>
    </row>
    <row r="104" spans="1:30" ht="25.95" customHeight="1">
      <c r="A104" s="10" t="str">
        <f t="shared" si="11"/>
        <v/>
      </c>
      <c r="B104" s="11" t="str">
        <f>IF(StockList_MS2!A103="","",HYPERLINK("https://kabutan.jp/stock/?code="&amp;StockList_MS2!A103,"株探"))</f>
        <v/>
      </c>
      <c r="C104" s="10" t="str">
        <f>IF(StockList_MS2!A103="","",StockList_MS2!A103)</f>
        <v/>
      </c>
      <c r="D104" s="12" t="str">
        <f>IF(StockList_MS2!A103="","",StockList_MS2!B103)</f>
        <v/>
      </c>
      <c r="E104" s="13"/>
      <c r="F104" s="13"/>
      <c r="G104" s="13"/>
      <c r="H104" s="13"/>
      <c r="I104" s="20"/>
      <c r="J104" s="13"/>
      <c r="K104" s="13"/>
      <c r="L104" s="13"/>
      <c r="M104" s="5" t="str">
        <f t="shared" si="21"/>
        <v/>
      </c>
      <c r="N104" s="9" t="str">
        <f>IF(OR(E104="",F104="",G104=""),"",IF(AD104&gt;0,AD104,(F104-G104)/SQRT(操作パネル_MS2!$H$12)*操作パネル_MS2!$H$10))</f>
        <v/>
      </c>
      <c r="O104" s="5" t="str">
        <f>IF(OR(E104="",AC104=""),"",IF(AC104&gt;=操作パネル_MS2!$H$3,"VOL-OK","VOL-NG"))</f>
        <v/>
      </c>
      <c r="P104" s="5" t="str">
        <f t="shared" si="13"/>
        <v/>
      </c>
      <c r="Q104" s="5" t="str">
        <f t="shared" si="14"/>
        <v/>
      </c>
      <c r="R104" s="5" t="str">
        <f t="shared" si="15"/>
        <v/>
      </c>
      <c r="S104" s="9" t="str">
        <f t="shared" si="16"/>
        <v/>
      </c>
      <c r="T104" s="9" t="str">
        <f>IF(R104="","",IF(R104="BUY",E104-N104*操作パネル_MS2!$H$5,E104+N104*操作パネル_MS2!$H$5))</f>
        <v/>
      </c>
      <c r="U104" s="9" t="str">
        <f>IF(R104="","",IF(R104="BUY",E104+N104*操作パネル_MS2!$H$6,E104-N104*操作パネル_MS2!$H$6))</f>
        <v/>
      </c>
      <c r="V104" s="9" t="str">
        <f>IF(R104="","",IF(R104="BUY",E104+N104*操作パネル_MS2!$H$7,E104-N104*操作パネル_MS2!$H$7))</f>
        <v/>
      </c>
      <c r="W104" s="9" t="str">
        <f>IF(R104="","",IF(R104="BUY",E104+N104*操作パネル_MS2!$H$8,E104-N104*操作パネル_MS2!$H$8))</f>
        <v/>
      </c>
      <c r="X104" s="5" t="str">
        <f t="shared" si="17"/>
        <v/>
      </c>
      <c r="Y104" s="5" t="str">
        <f t="shared" ca="1" si="18"/>
        <v/>
      </c>
      <c r="Z104" s="5" t="str">
        <f>IF(OR(E104="",N104&lt;=0),"",IF(N104&gt;E104*操作パネル_MS2!$H$4,"VOL-HIGH","VOL-NORMAL"))</f>
        <v/>
      </c>
      <c r="AA104" s="5" t="str">
        <f t="shared" si="19"/>
        <v/>
      </c>
      <c r="AB104" s="5" t="str">
        <f t="shared" si="20"/>
        <v/>
      </c>
      <c r="AC104" s="30" t="str">
        <f>IF(C104="","",_xll.RssMarket(C104&amp;"","売買代金"))</f>
        <v/>
      </c>
      <c r="AD104" s="31">
        <f>IFERROR(INDEX(ATRHIST_MS2!$H:$H,MATCH(C104,ATRHIST_MS2!$A:$A,0)),0)</f>
        <v>0</v>
      </c>
    </row>
    <row r="105" spans="1:30" ht="25.95" customHeight="1">
      <c r="A105" s="5" t="str">
        <f t="shared" si="11"/>
        <v/>
      </c>
      <c r="B105" s="6" t="str">
        <f>IF(StockList_MS2!A104="","",HYPERLINK("https://kabutan.jp/stock/?code="&amp;StockList_MS2!A104,"株探"))</f>
        <v/>
      </c>
      <c r="C105" s="5" t="str">
        <f>IF(StockList_MS2!A104="","",StockList_MS2!A104)</f>
        <v/>
      </c>
      <c r="D105" s="7" t="str">
        <f>IF(StockList_MS2!A104="","",StockList_MS2!B104)</f>
        <v/>
      </c>
      <c r="E105" s="8"/>
      <c r="F105" s="8"/>
      <c r="G105" s="8"/>
      <c r="H105" s="8"/>
      <c r="I105" s="19"/>
      <c r="J105" s="8"/>
      <c r="K105" s="8"/>
      <c r="L105" s="8"/>
      <c r="M105" s="5" t="str">
        <f t="shared" si="21"/>
        <v/>
      </c>
      <c r="N105" s="9" t="str">
        <f>IF(OR(E105="",F105="",G105=""),"",IF(AD105&gt;0,AD105,(F105-G105)/SQRT(操作パネル_MS2!$H$12)*操作パネル_MS2!$H$10))</f>
        <v/>
      </c>
      <c r="O105" s="5" t="str">
        <f>IF(OR(E105="",AC105=""),"",IF(AC105&gt;=操作パネル_MS2!$H$3,"VOL-OK","VOL-NG"))</f>
        <v/>
      </c>
      <c r="P105" s="5" t="str">
        <f t="shared" si="13"/>
        <v/>
      </c>
      <c r="Q105" s="5" t="str">
        <f t="shared" si="14"/>
        <v/>
      </c>
      <c r="R105" s="5" t="str">
        <f t="shared" si="15"/>
        <v/>
      </c>
      <c r="S105" s="9" t="str">
        <f t="shared" si="16"/>
        <v/>
      </c>
      <c r="T105" s="9" t="str">
        <f>IF(R105="","",IF(R105="BUY",E105-N105*操作パネル_MS2!$H$5,E105+N105*操作パネル_MS2!$H$5))</f>
        <v/>
      </c>
      <c r="U105" s="9" t="str">
        <f>IF(R105="","",IF(R105="BUY",E105+N105*操作パネル_MS2!$H$6,E105-N105*操作パネル_MS2!$H$6))</f>
        <v/>
      </c>
      <c r="V105" s="9" t="str">
        <f>IF(R105="","",IF(R105="BUY",E105+N105*操作パネル_MS2!$H$7,E105-N105*操作パネル_MS2!$H$7))</f>
        <v/>
      </c>
      <c r="W105" s="9" t="str">
        <f>IF(R105="","",IF(R105="BUY",E105+N105*操作パネル_MS2!$H$8,E105-N105*操作パネル_MS2!$H$8))</f>
        <v/>
      </c>
      <c r="X105" s="5" t="str">
        <f t="shared" si="17"/>
        <v/>
      </c>
      <c r="Y105" s="5" t="str">
        <f t="shared" ca="1" si="18"/>
        <v/>
      </c>
      <c r="Z105" s="5" t="str">
        <f>IF(OR(E105="",N105&lt;=0),"",IF(N105&gt;E105*操作パネル_MS2!$H$4,"VOL-HIGH","VOL-NORMAL"))</f>
        <v/>
      </c>
      <c r="AA105" s="5" t="str">
        <f t="shared" si="19"/>
        <v/>
      </c>
      <c r="AB105" s="5" t="str">
        <f t="shared" si="20"/>
        <v/>
      </c>
      <c r="AC105" s="30" t="str">
        <f>IF(C105="","",_xll.RssMarket(C105&amp;"","売買代金"))</f>
        <v/>
      </c>
      <c r="AD105" s="31">
        <f>IFERROR(INDEX(ATRHIST_MS2!$H:$H,MATCH(C105,ATRHIST_MS2!$A:$A,0)),0)</f>
        <v>0</v>
      </c>
    </row>
    <row r="106" spans="1:30" ht="25.95" customHeight="1">
      <c r="A106" s="10" t="str">
        <f t="shared" si="11"/>
        <v/>
      </c>
      <c r="B106" s="11" t="str">
        <f>IF(StockList_MS2!A105="","",HYPERLINK("https://kabutan.jp/stock/?code="&amp;StockList_MS2!A105,"株探"))</f>
        <v/>
      </c>
      <c r="C106" s="10" t="str">
        <f>IF(StockList_MS2!A105="","",StockList_MS2!A105)</f>
        <v/>
      </c>
      <c r="D106" s="12" t="str">
        <f>IF(StockList_MS2!A105="","",StockList_MS2!B105)</f>
        <v/>
      </c>
      <c r="E106" s="13"/>
      <c r="F106" s="13"/>
      <c r="G106" s="13"/>
      <c r="H106" s="13"/>
      <c r="I106" s="20"/>
      <c r="J106" s="13"/>
      <c r="K106" s="13"/>
      <c r="L106" s="13"/>
      <c r="M106" s="5" t="str">
        <f t="shared" si="21"/>
        <v/>
      </c>
      <c r="N106" s="9" t="str">
        <f>IF(OR(E106="",F106="",G106=""),"",IF(AD106&gt;0,AD106,(F106-G106)/SQRT(操作パネル_MS2!$H$12)*操作パネル_MS2!$H$10))</f>
        <v/>
      </c>
      <c r="O106" s="5" t="str">
        <f>IF(OR(E106="",AC106=""),"",IF(AC106&gt;=操作パネル_MS2!$H$3,"VOL-OK","VOL-NG"))</f>
        <v/>
      </c>
      <c r="P106" s="5" t="str">
        <f t="shared" si="13"/>
        <v/>
      </c>
      <c r="Q106" s="5" t="str">
        <f t="shared" si="14"/>
        <v/>
      </c>
      <c r="R106" s="5" t="str">
        <f t="shared" si="15"/>
        <v/>
      </c>
      <c r="S106" s="9" t="str">
        <f t="shared" si="16"/>
        <v/>
      </c>
      <c r="T106" s="9" t="str">
        <f>IF(R106="","",IF(R106="BUY",E106-N106*操作パネル_MS2!$H$5,E106+N106*操作パネル_MS2!$H$5))</f>
        <v/>
      </c>
      <c r="U106" s="9" t="str">
        <f>IF(R106="","",IF(R106="BUY",E106+N106*操作パネル_MS2!$H$6,E106-N106*操作パネル_MS2!$H$6))</f>
        <v/>
      </c>
      <c r="V106" s="9" t="str">
        <f>IF(R106="","",IF(R106="BUY",E106+N106*操作パネル_MS2!$H$7,E106-N106*操作パネル_MS2!$H$7))</f>
        <v/>
      </c>
      <c r="W106" s="9" t="str">
        <f>IF(R106="","",IF(R106="BUY",E106+N106*操作パネル_MS2!$H$8,E106-N106*操作パネル_MS2!$H$8))</f>
        <v/>
      </c>
      <c r="X106" s="5" t="str">
        <f t="shared" si="17"/>
        <v/>
      </c>
      <c r="Y106" s="5" t="str">
        <f t="shared" ca="1" si="18"/>
        <v/>
      </c>
      <c r="Z106" s="5" t="str">
        <f>IF(OR(E106="",N106&lt;=0),"",IF(N106&gt;E106*操作パネル_MS2!$H$4,"VOL-HIGH","VOL-NORMAL"))</f>
        <v/>
      </c>
      <c r="AA106" s="5" t="str">
        <f t="shared" si="19"/>
        <v/>
      </c>
      <c r="AB106" s="5" t="str">
        <f t="shared" si="20"/>
        <v/>
      </c>
      <c r="AC106" s="30" t="str">
        <f>IF(C106="","",_xll.RssMarket(C106&amp;"","売買代金"))</f>
        <v/>
      </c>
      <c r="AD106" s="31">
        <f>IFERROR(INDEX(ATRHIST_MS2!$H:$H,MATCH(C106,ATRHIST_MS2!$A:$A,0)),0)</f>
        <v>0</v>
      </c>
    </row>
    <row r="107" spans="1:30" ht="25.95" customHeight="1">
      <c r="A107" s="5" t="str">
        <f t="shared" si="11"/>
        <v/>
      </c>
      <c r="B107" s="6" t="str">
        <f>IF(StockList_MS2!A106="","",HYPERLINK("https://kabutan.jp/stock/?code="&amp;StockList_MS2!A106,"株探"))</f>
        <v/>
      </c>
      <c r="C107" s="5" t="str">
        <f>IF(StockList_MS2!A106="","",StockList_MS2!A106)</f>
        <v/>
      </c>
      <c r="D107" s="7" t="str">
        <f>IF(StockList_MS2!A106="","",StockList_MS2!B106)</f>
        <v/>
      </c>
      <c r="E107" s="8"/>
      <c r="F107" s="8"/>
      <c r="G107" s="8"/>
      <c r="H107" s="8"/>
      <c r="I107" s="19"/>
      <c r="J107" s="8"/>
      <c r="K107" s="8"/>
      <c r="L107" s="8"/>
      <c r="M107" s="5" t="str">
        <f t="shared" si="21"/>
        <v/>
      </c>
      <c r="N107" s="9" t="str">
        <f>IF(OR(E107="",F107="",G107=""),"",IF(AD107&gt;0,AD107,(F107-G107)/SQRT(操作パネル_MS2!$H$12)*操作パネル_MS2!$H$10))</f>
        <v/>
      </c>
      <c r="O107" s="5" t="str">
        <f>IF(OR(E107="",AC107=""),"",IF(AC107&gt;=操作パネル_MS2!$H$3,"VOL-OK","VOL-NG"))</f>
        <v/>
      </c>
      <c r="P107" s="5" t="str">
        <f t="shared" si="13"/>
        <v/>
      </c>
      <c r="Q107" s="5" t="str">
        <f t="shared" si="14"/>
        <v/>
      </c>
      <c r="R107" s="5" t="str">
        <f t="shared" si="15"/>
        <v/>
      </c>
      <c r="S107" s="9" t="str">
        <f t="shared" si="16"/>
        <v/>
      </c>
      <c r="T107" s="9" t="str">
        <f>IF(R107="","",IF(R107="BUY",E107-N107*操作パネル_MS2!$H$5,E107+N107*操作パネル_MS2!$H$5))</f>
        <v/>
      </c>
      <c r="U107" s="9" t="str">
        <f>IF(R107="","",IF(R107="BUY",E107+N107*操作パネル_MS2!$H$6,E107-N107*操作パネル_MS2!$H$6))</f>
        <v/>
      </c>
      <c r="V107" s="9" t="str">
        <f>IF(R107="","",IF(R107="BUY",E107+N107*操作パネル_MS2!$H$7,E107-N107*操作パネル_MS2!$H$7))</f>
        <v/>
      </c>
      <c r="W107" s="9" t="str">
        <f>IF(R107="","",IF(R107="BUY",E107+N107*操作パネル_MS2!$H$8,E107-N107*操作パネル_MS2!$H$8))</f>
        <v/>
      </c>
      <c r="X107" s="5" t="str">
        <f t="shared" si="17"/>
        <v/>
      </c>
      <c r="Y107" s="5" t="str">
        <f t="shared" ca="1" si="18"/>
        <v/>
      </c>
      <c r="Z107" s="5" t="str">
        <f>IF(OR(E107="",N107&lt;=0),"",IF(N107&gt;E107*操作パネル_MS2!$H$4,"VOL-HIGH","VOL-NORMAL"))</f>
        <v/>
      </c>
      <c r="AA107" s="5" t="str">
        <f t="shared" si="19"/>
        <v/>
      </c>
      <c r="AB107" s="5" t="str">
        <f t="shared" si="20"/>
        <v/>
      </c>
      <c r="AC107" s="30" t="str">
        <f>IF(C107="","",_xll.RssMarket(C107&amp;"","売買代金"))</f>
        <v/>
      </c>
      <c r="AD107" s="31">
        <f>IFERROR(INDEX(ATRHIST_MS2!$H:$H,MATCH(C107,ATRHIST_MS2!$A:$A,0)),0)</f>
        <v>0</v>
      </c>
    </row>
    <row r="108" spans="1:30" ht="25.95" customHeight="1">
      <c r="A108" s="10" t="str">
        <f t="shared" si="11"/>
        <v/>
      </c>
      <c r="B108" s="11" t="str">
        <f>IF(StockList_MS2!A107="","",HYPERLINK("https://kabutan.jp/stock/?code="&amp;StockList_MS2!A107,"株探"))</f>
        <v/>
      </c>
      <c r="C108" s="10" t="str">
        <f>IF(StockList_MS2!A107="","",StockList_MS2!A107)</f>
        <v/>
      </c>
      <c r="D108" s="12" t="str">
        <f>IF(StockList_MS2!A107="","",StockList_MS2!B107)</f>
        <v/>
      </c>
      <c r="E108" s="13"/>
      <c r="F108" s="13"/>
      <c r="G108" s="13"/>
      <c r="H108" s="13"/>
      <c r="I108" s="20"/>
      <c r="J108" s="13"/>
      <c r="K108" s="13"/>
      <c r="L108" s="13"/>
      <c r="M108" s="5" t="str">
        <f t="shared" si="21"/>
        <v/>
      </c>
      <c r="N108" s="9" t="str">
        <f>IF(OR(E108="",F108="",G108=""),"",IF(AD108&gt;0,AD108,(F108-G108)/SQRT(操作パネル_MS2!$H$12)*操作パネル_MS2!$H$10))</f>
        <v/>
      </c>
      <c r="O108" s="5" t="str">
        <f>IF(OR(E108="",AC108=""),"",IF(AC108&gt;=操作パネル_MS2!$H$3,"VOL-OK","VOL-NG"))</f>
        <v/>
      </c>
      <c r="P108" s="5" t="str">
        <f t="shared" si="13"/>
        <v/>
      </c>
      <c r="Q108" s="5" t="str">
        <f t="shared" si="14"/>
        <v/>
      </c>
      <c r="R108" s="5" t="str">
        <f t="shared" si="15"/>
        <v/>
      </c>
      <c r="S108" s="9" t="str">
        <f t="shared" si="16"/>
        <v/>
      </c>
      <c r="T108" s="9" t="str">
        <f>IF(R108="","",IF(R108="BUY",E108-N108*操作パネル_MS2!$H$5,E108+N108*操作パネル_MS2!$H$5))</f>
        <v/>
      </c>
      <c r="U108" s="9" t="str">
        <f>IF(R108="","",IF(R108="BUY",E108+N108*操作パネル_MS2!$H$6,E108-N108*操作パネル_MS2!$H$6))</f>
        <v/>
      </c>
      <c r="V108" s="9" t="str">
        <f>IF(R108="","",IF(R108="BUY",E108+N108*操作パネル_MS2!$H$7,E108-N108*操作パネル_MS2!$H$7))</f>
        <v/>
      </c>
      <c r="W108" s="9" t="str">
        <f>IF(R108="","",IF(R108="BUY",E108+N108*操作パネル_MS2!$H$8,E108-N108*操作パネル_MS2!$H$8))</f>
        <v/>
      </c>
      <c r="X108" s="5" t="str">
        <f t="shared" si="17"/>
        <v/>
      </c>
      <c r="Y108" s="5" t="str">
        <f t="shared" ca="1" si="18"/>
        <v/>
      </c>
      <c r="Z108" s="5" t="str">
        <f>IF(OR(E108="",N108&lt;=0),"",IF(N108&gt;E108*操作パネル_MS2!$H$4,"VOL-HIGH","VOL-NORMAL"))</f>
        <v/>
      </c>
      <c r="AA108" s="5" t="str">
        <f t="shared" si="19"/>
        <v/>
      </c>
      <c r="AB108" s="5" t="str">
        <f t="shared" si="20"/>
        <v/>
      </c>
      <c r="AC108" s="30" t="str">
        <f>IF(C108="","",_xll.RssMarket(C108&amp;"","売買代金"))</f>
        <v/>
      </c>
      <c r="AD108" s="31">
        <f>IFERROR(INDEX(ATRHIST_MS2!$H:$H,MATCH(C108,ATRHIST_MS2!$A:$A,0)),0)</f>
        <v>0</v>
      </c>
    </row>
    <row r="109" spans="1:30" ht="25.95" customHeight="1">
      <c r="A109" s="5" t="str">
        <f t="shared" si="11"/>
        <v/>
      </c>
      <c r="B109" s="6" t="str">
        <f>IF(StockList_MS2!A108="","",HYPERLINK("https://kabutan.jp/stock/?code="&amp;StockList_MS2!A108,"株探"))</f>
        <v/>
      </c>
      <c r="C109" s="5" t="str">
        <f>IF(StockList_MS2!A108="","",StockList_MS2!A108)</f>
        <v/>
      </c>
      <c r="D109" s="7" t="str">
        <f>IF(StockList_MS2!A108="","",StockList_MS2!B108)</f>
        <v/>
      </c>
      <c r="E109" s="8"/>
      <c r="F109" s="8"/>
      <c r="G109" s="8"/>
      <c r="H109" s="8"/>
      <c r="I109" s="19"/>
      <c r="J109" s="8"/>
      <c r="K109" s="8"/>
      <c r="L109" s="8"/>
      <c r="M109" s="5" t="str">
        <f t="shared" si="21"/>
        <v/>
      </c>
      <c r="N109" s="9" t="str">
        <f>IF(OR(E109="",F109="",G109=""),"",IF(AD109&gt;0,AD109,(F109-G109)/SQRT(操作パネル_MS2!$H$12)*操作パネル_MS2!$H$10))</f>
        <v/>
      </c>
      <c r="O109" s="5" t="str">
        <f>IF(OR(E109="",AC109=""),"",IF(AC109&gt;=操作パネル_MS2!$H$3,"VOL-OK","VOL-NG"))</f>
        <v/>
      </c>
      <c r="P109" s="5" t="str">
        <f t="shared" si="13"/>
        <v/>
      </c>
      <c r="Q109" s="5" t="str">
        <f t="shared" si="14"/>
        <v/>
      </c>
      <c r="R109" s="5" t="str">
        <f t="shared" si="15"/>
        <v/>
      </c>
      <c r="S109" s="9" t="str">
        <f t="shared" si="16"/>
        <v/>
      </c>
      <c r="T109" s="9" t="str">
        <f>IF(R109="","",IF(R109="BUY",E109-N109*操作パネル_MS2!$H$5,E109+N109*操作パネル_MS2!$H$5))</f>
        <v/>
      </c>
      <c r="U109" s="9" t="str">
        <f>IF(R109="","",IF(R109="BUY",E109+N109*操作パネル_MS2!$H$6,E109-N109*操作パネル_MS2!$H$6))</f>
        <v/>
      </c>
      <c r="V109" s="9" t="str">
        <f>IF(R109="","",IF(R109="BUY",E109+N109*操作パネル_MS2!$H$7,E109-N109*操作パネル_MS2!$H$7))</f>
        <v/>
      </c>
      <c r="W109" s="9" t="str">
        <f>IF(R109="","",IF(R109="BUY",E109+N109*操作パネル_MS2!$H$8,E109-N109*操作パネル_MS2!$H$8))</f>
        <v/>
      </c>
      <c r="X109" s="5" t="str">
        <f t="shared" si="17"/>
        <v/>
      </c>
      <c r="Y109" s="5" t="str">
        <f t="shared" ca="1" si="18"/>
        <v/>
      </c>
      <c r="Z109" s="5" t="str">
        <f>IF(OR(E109="",N109&lt;=0),"",IF(N109&gt;E109*操作パネル_MS2!$H$4,"VOL-HIGH","VOL-NORMAL"))</f>
        <v/>
      </c>
      <c r="AA109" s="5" t="str">
        <f t="shared" si="19"/>
        <v/>
      </c>
      <c r="AB109" s="5" t="str">
        <f t="shared" si="20"/>
        <v/>
      </c>
      <c r="AC109" s="30" t="str">
        <f>IF(C109="","",_xll.RssMarket(C109&amp;"","売買代金"))</f>
        <v/>
      </c>
      <c r="AD109" s="31">
        <f>IFERROR(INDEX(ATRHIST_MS2!$H:$H,MATCH(C109,ATRHIST_MS2!$A:$A,0)),0)</f>
        <v>0</v>
      </c>
    </row>
    <row r="110" spans="1:30" ht="25.95" customHeight="1">
      <c r="A110" s="10" t="str">
        <f t="shared" si="11"/>
        <v/>
      </c>
      <c r="B110" s="11" t="str">
        <f>IF(StockList_MS2!A109="","",HYPERLINK("https://kabutan.jp/stock/?code="&amp;StockList_MS2!A109,"株探"))</f>
        <v/>
      </c>
      <c r="C110" s="10" t="str">
        <f>IF(StockList_MS2!A109="","",StockList_MS2!A109)</f>
        <v/>
      </c>
      <c r="D110" s="12" t="str">
        <f>IF(StockList_MS2!A109="","",StockList_MS2!B109)</f>
        <v/>
      </c>
      <c r="E110" s="13"/>
      <c r="F110" s="13"/>
      <c r="G110" s="13"/>
      <c r="H110" s="13"/>
      <c r="I110" s="20"/>
      <c r="J110" s="13"/>
      <c r="K110" s="13"/>
      <c r="L110" s="13"/>
      <c r="M110" s="5" t="str">
        <f t="shared" si="21"/>
        <v/>
      </c>
      <c r="N110" s="9" t="str">
        <f>IF(OR(E110="",F110="",G110=""),"",IF(AD110&gt;0,AD110,(F110-G110)/SQRT(操作パネル_MS2!$H$12)*操作パネル_MS2!$H$10))</f>
        <v/>
      </c>
      <c r="O110" s="5" t="str">
        <f>IF(OR(E110="",AC110=""),"",IF(AC110&gt;=操作パネル_MS2!$H$3,"VOL-OK","VOL-NG"))</f>
        <v/>
      </c>
      <c r="P110" s="5" t="str">
        <f t="shared" si="13"/>
        <v/>
      </c>
      <c r="Q110" s="5" t="str">
        <f t="shared" si="14"/>
        <v/>
      </c>
      <c r="R110" s="5" t="str">
        <f t="shared" si="15"/>
        <v/>
      </c>
      <c r="S110" s="9" t="str">
        <f t="shared" si="16"/>
        <v/>
      </c>
      <c r="T110" s="9" t="str">
        <f>IF(R110="","",IF(R110="BUY",E110-N110*操作パネル_MS2!$H$5,E110+N110*操作パネル_MS2!$H$5))</f>
        <v/>
      </c>
      <c r="U110" s="9" t="str">
        <f>IF(R110="","",IF(R110="BUY",E110+N110*操作パネル_MS2!$H$6,E110-N110*操作パネル_MS2!$H$6))</f>
        <v/>
      </c>
      <c r="V110" s="9" t="str">
        <f>IF(R110="","",IF(R110="BUY",E110+N110*操作パネル_MS2!$H$7,E110-N110*操作パネル_MS2!$H$7))</f>
        <v/>
      </c>
      <c r="W110" s="9" t="str">
        <f>IF(R110="","",IF(R110="BUY",E110+N110*操作パネル_MS2!$H$8,E110-N110*操作パネル_MS2!$H$8))</f>
        <v/>
      </c>
      <c r="X110" s="5" t="str">
        <f t="shared" si="17"/>
        <v/>
      </c>
      <c r="Y110" s="5" t="str">
        <f t="shared" ca="1" si="18"/>
        <v/>
      </c>
      <c r="Z110" s="5" t="str">
        <f>IF(OR(E110="",N110&lt;=0),"",IF(N110&gt;E110*操作パネル_MS2!$H$4,"VOL-HIGH","VOL-NORMAL"))</f>
        <v/>
      </c>
      <c r="AA110" s="5" t="str">
        <f t="shared" si="19"/>
        <v/>
      </c>
      <c r="AB110" s="5" t="str">
        <f t="shared" si="20"/>
        <v/>
      </c>
      <c r="AC110" s="30" t="str">
        <f>IF(C110="","",_xll.RssMarket(C110&amp;"","売買代金"))</f>
        <v/>
      </c>
      <c r="AD110" s="31">
        <f>IFERROR(INDEX(ATRHIST_MS2!$H:$H,MATCH(C110,ATRHIST_MS2!$A:$A,0)),0)</f>
        <v>0</v>
      </c>
    </row>
    <row r="111" spans="1:30" ht="25.95" customHeight="1">
      <c r="A111" s="5" t="str">
        <f t="shared" si="11"/>
        <v/>
      </c>
      <c r="B111" s="6" t="str">
        <f>IF(StockList_MS2!A110="","",HYPERLINK("https://kabutan.jp/stock/?code="&amp;StockList_MS2!A110,"株探"))</f>
        <v/>
      </c>
      <c r="C111" s="5" t="str">
        <f>IF(StockList_MS2!A110="","",StockList_MS2!A110)</f>
        <v/>
      </c>
      <c r="D111" s="7" t="str">
        <f>IF(StockList_MS2!A110="","",StockList_MS2!B110)</f>
        <v/>
      </c>
      <c r="E111" s="8"/>
      <c r="F111" s="8"/>
      <c r="G111" s="8"/>
      <c r="H111" s="8"/>
      <c r="I111" s="19"/>
      <c r="J111" s="8"/>
      <c r="K111" s="8"/>
      <c r="L111" s="8"/>
      <c r="M111" s="5" t="str">
        <f t="shared" si="21"/>
        <v/>
      </c>
      <c r="N111" s="9" t="str">
        <f>IF(OR(E111="",F111="",G111=""),"",IF(AD111&gt;0,AD111,(F111-G111)/SQRT(操作パネル_MS2!$H$12)*操作パネル_MS2!$H$10))</f>
        <v/>
      </c>
      <c r="O111" s="5" t="str">
        <f>IF(OR(E111="",AC111=""),"",IF(AC111&gt;=操作パネル_MS2!$H$3,"VOL-OK","VOL-NG"))</f>
        <v/>
      </c>
      <c r="P111" s="5" t="str">
        <f t="shared" si="13"/>
        <v/>
      </c>
      <c r="Q111" s="5" t="str">
        <f t="shared" si="14"/>
        <v/>
      </c>
      <c r="R111" s="5" t="str">
        <f t="shared" si="15"/>
        <v/>
      </c>
      <c r="S111" s="9" t="str">
        <f t="shared" si="16"/>
        <v/>
      </c>
      <c r="T111" s="9" t="str">
        <f>IF(R111="","",IF(R111="BUY",E111-N111*操作パネル_MS2!$H$5,E111+N111*操作パネル_MS2!$H$5))</f>
        <v/>
      </c>
      <c r="U111" s="9" t="str">
        <f>IF(R111="","",IF(R111="BUY",E111+N111*操作パネル_MS2!$H$6,E111-N111*操作パネル_MS2!$H$6))</f>
        <v/>
      </c>
      <c r="V111" s="9" t="str">
        <f>IF(R111="","",IF(R111="BUY",E111+N111*操作パネル_MS2!$H$7,E111-N111*操作パネル_MS2!$H$7))</f>
        <v/>
      </c>
      <c r="W111" s="9" t="str">
        <f>IF(R111="","",IF(R111="BUY",E111+N111*操作パネル_MS2!$H$8,E111-N111*操作パネル_MS2!$H$8))</f>
        <v/>
      </c>
      <c r="X111" s="5" t="str">
        <f t="shared" si="17"/>
        <v/>
      </c>
      <c r="Y111" s="5" t="str">
        <f t="shared" ca="1" si="18"/>
        <v/>
      </c>
      <c r="Z111" s="5" t="str">
        <f>IF(OR(E111="",N111&lt;=0),"",IF(N111&gt;E111*操作パネル_MS2!$H$4,"VOL-HIGH","VOL-NORMAL"))</f>
        <v/>
      </c>
      <c r="AA111" s="5" t="str">
        <f t="shared" si="19"/>
        <v/>
      </c>
      <c r="AB111" s="5" t="str">
        <f t="shared" si="20"/>
        <v/>
      </c>
      <c r="AC111" s="30" t="str">
        <f>IF(C111="","",_xll.RssMarket(C111&amp;"","売買代金"))</f>
        <v/>
      </c>
      <c r="AD111" s="31">
        <f>IFERROR(INDEX(ATRHIST_MS2!$H:$H,MATCH(C111,ATRHIST_MS2!$A:$A,0)),0)</f>
        <v>0</v>
      </c>
    </row>
    <row r="112" spans="1:30" ht="25.95" customHeight="1">
      <c r="A112" s="10" t="str">
        <f t="shared" si="11"/>
        <v/>
      </c>
      <c r="B112" s="11" t="str">
        <f>IF(StockList_MS2!A111="","",HYPERLINK("https://kabutan.jp/stock/?code="&amp;StockList_MS2!A111,"株探"))</f>
        <v/>
      </c>
      <c r="C112" s="10" t="str">
        <f>IF(StockList_MS2!A111="","",StockList_MS2!A111)</f>
        <v/>
      </c>
      <c r="D112" s="12" t="str">
        <f>IF(StockList_MS2!A111="","",StockList_MS2!B111)</f>
        <v/>
      </c>
      <c r="E112" s="13"/>
      <c r="F112" s="13"/>
      <c r="G112" s="13"/>
      <c r="H112" s="13"/>
      <c r="I112" s="20"/>
      <c r="J112" s="13"/>
      <c r="K112" s="13"/>
      <c r="L112" s="13"/>
      <c r="M112" s="5" t="str">
        <f t="shared" si="21"/>
        <v/>
      </c>
      <c r="N112" s="9" t="str">
        <f>IF(OR(E112="",F112="",G112=""),"",IF(AD112&gt;0,AD112,(F112-G112)/SQRT(操作パネル_MS2!$H$12)*操作パネル_MS2!$H$10))</f>
        <v/>
      </c>
      <c r="O112" s="5" t="str">
        <f>IF(OR(E112="",AC112=""),"",IF(AC112&gt;=操作パネル_MS2!$H$3,"VOL-OK","VOL-NG"))</f>
        <v/>
      </c>
      <c r="P112" s="5" t="str">
        <f t="shared" si="13"/>
        <v/>
      </c>
      <c r="Q112" s="5" t="str">
        <f t="shared" si="14"/>
        <v/>
      </c>
      <c r="R112" s="5" t="str">
        <f t="shared" si="15"/>
        <v/>
      </c>
      <c r="S112" s="9" t="str">
        <f t="shared" si="16"/>
        <v/>
      </c>
      <c r="T112" s="9" t="str">
        <f>IF(R112="","",IF(R112="BUY",E112-N112*操作パネル_MS2!$H$5,E112+N112*操作パネル_MS2!$H$5))</f>
        <v/>
      </c>
      <c r="U112" s="9" t="str">
        <f>IF(R112="","",IF(R112="BUY",E112+N112*操作パネル_MS2!$H$6,E112-N112*操作パネル_MS2!$H$6))</f>
        <v/>
      </c>
      <c r="V112" s="9" t="str">
        <f>IF(R112="","",IF(R112="BUY",E112+N112*操作パネル_MS2!$H$7,E112-N112*操作パネル_MS2!$H$7))</f>
        <v/>
      </c>
      <c r="W112" s="9" t="str">
        <f>IF(R112="","",IF(R112="BUY",E112+N112*操作パネル_MS2!$H$8,E112-N112*操作パネル_MS2!$H$8))</f>
        <v/>
      </c>
      <c r="X112" s="5" t="str">
        <f t="shared" si="17"/>
        <v/>
      </c>
      <c r="Y112" s="5" t="str">
        <f t="shared" ca="1" si="18"/>
        <v/>
      </c>
      <c r="Z112" s="5" t="str">
        <f>IF(OR(E112="",N112&lt;=0),"",IF(N112&gt;E112*操作パネル_MS2!$H$4,"VOL-HIGH","VOL-NORMAL"))</f>
        <v/>
      </c>
      <c r="AA112" s="5" t="str">
        <f t="shared" si="19"/>
        <v/>
      </c>
      <c r="AB112" s="5" t="str">
        <f t="shared" si="20"/>
        <v/>
      </c>
      <c r="AC112" s="30" t="str">
        <f>IF(C112="","",_xll.RssMarket(C112&amp;"","売買代金"))</f>
        <v/>
      </c>
      <c r="AD112" s="31">
        <f>IFERROR(INDEX(ATRHIST_MS2!$H:$H,MATCH(C112,ATRHIST_MS2!$A:$A,0)),0)</f>
        <v>0</v>
      </c>
    </row>
    <row r="113" spans="1:30" ht="25.95" customHeight="1">
      <c r="A113" s="5" t="str">
        <f t="shared" si="11"/>
        <v/>
      </c>
      <c r="B113" s="6" t="str">
        <f>IF(StockList_MS2!A112="","",HYPERLINK("https://kabutan.jp/stock/?code="&amp;StockList_MS2!A112,"株探"))</f>
        <v/>
      </c>
      <c r="C113" s="5" t="str">
        <f>IF(StockList_MS2!A112="","",StockList_MS2!A112)</f>
        <v/>
      </c>
      <c r="D113" s="7" t="str">
        <f>IF(StockList_MS2!A112="","",StockList_MS2!B112)</f>
        <v/>
      </c>
      <c r="E113" s="8"/>
      <c r="F113" s="8"/>
      <c r="G113" s="8"/>
      <c r="H113" s="8"/>
      <c r="I113" s="19"/>
      <c r="J113" s="8"/>
      <c r="K113" s="8"/>
      <c r="L113" s="8"/>
      <c r="M113" s="5" t="str">
        <f t="shared" si="21"/>
        <v/>
      </c>
      <c r="N113" s="9" t="str">
        <f>IF(OR(E113="",F113="",G113=""),"",IF(AD113&gt;0,AD113,(F113-G113)/SQRT(操作パネル_MS2!$H$12)*操作パネル_MS2!$H$10))</f>
        <v/>
      </c>
      <c r="O113" s="5" t="str">
        <f>IF(OR(E113="",AC113=""),"",IF(AC113&gt;=操作パネル_MS2!$H$3,"VOL-OK","VOL-NG"))</f>
        <v/>
      </c>
      <c r="P113" s="5" t="str">
        <f t="shared" si="13"/>
        <v/>
      </c>
      <c r="Q113" s="5" t="str">
        <f t="shared" si="14"/>
        <v/>
      </c>
      <c r="R113" s="5" t="str">
        <f t="shared" si="15"/>
        <v/>
      </c>
      <c r="S113" s="9" t="str">
        <f t="shared" si="16"/>
        <v/>
      </c>
      <c r="T113" s="9" t="str">
        <f>IF(R113="","",IF(R113="BUY",E113-N113*操作パネル_MS2!$H$5,E113+N113*操作パネル_MS2!$H$5))</f>
        <v/>
      </c>
      <c r="U113" s="9" t="str">
        <f>IF(R113="","",IF(R113="BUY",E113+N113*操作パネル_MS2!$H$6,E113-N113*操作パネル_MS2!$H$6))</f>
        <v/>
      </c>
      <c r="V113" s="9" t="str">
        <f>IF(R113="","",IF(R113="BUY",E113+N113*操作パネル_MS2!$H$7,E113-N113*操作パネル_MS2!$H$7))</f>
        <v/>
      </c>
      <c r="W113" s="9" t="str">
        <f>IF(R113="","",IF(R113="BUY",E113+N113*操作パネル_MS2!$H$8,E113-N113*操作パネル_MS2!$H$8))</f>
        <v/>
      </c>
      <c r="X113" s="5" t="str">
        <f t="shared" si="17"/>
        <v/>
      </c>
      <c r="Y113" s="5" t="str">
        <f t="shared" ca="1" si="18"/>
        <v/>
      </c>
      <c r="Z113" s="5" t="str">
        <f>IF(OR(E113="",N113&lt;=0),"",IF(N113&gt;E113*操作パネル_MS2!$H$4,"VOL-HIGH","VOL-NORMAL"))</f>
        <v/>
      </c>
      <c r="AA113" s="5" t="str">
        <f t="shared" si="19"/>
        <v/>
      </c>
      <c r="AB113" s="5" t="str">
        <f t="shared" si="20"/>
        <v/>
      </c>
      <c r="AC113" s="30" t="str">
        <f>IF(C113="","",_xll.RssMarket(C113&amp;"","売買代金"))</f>
        <v/>
      </c>
      <c r="AD113" s="31">
        <f>IFERROR(INDEX(ATRHIST_MS2!$H:$H,MATCH(C113,ATRHIST_MS2!$A:$A,0)),0)</f>
        <v>0</v>
      </c>
    </row>
    <row r="114" spans="1:30" ht="25.95" customHeight="1">
      <c r="A114" s="10" t="str">
        <f t="shared" si="11"/>
        <v/>
      </c>
      <c r="B114" s="11" t="str">
        <f>IF(StockList_MS2!A113="","",HYPERLINK("https://kabutan.jp/stock/?code="&amp;StockList_MS2!A113,"株探"))</f>
        <v/>
      </c>
      <c r="C114" s="10" t="str">
        <f>IF(StockList_MS2!A113="","",StockList_MS2!A113)</f>
        <v/>
      </c>
      <c r="D114" s="12" t="str">
        <f>IF(StockList_MS2!A113="","",StockList_MS2!B113)</f>
        <v/>
      </c>
      <c r="E114" s="13"/>
      <c r="F114" s="13"/>
      <c r="G114" s="13"/>
      <c r="H114" s="13"/>
      <c r="I114" s="20"/>
      <c r="J114" s="13"/>
      <c r="K114" s="13"/>
      <c r="L114" s="13"/>
      <c r="M114" s="5" t="str">
        <f t="shared" si="21"/>
        <v/>
      </c>
      <c r="N114" s="9" t="str">
        <f>IF(OR(E114="",F114="",G114=""),"",IF(AD114&gt;0,AD114,(F114-G114)/SQRT(操作パネル_MS2!$H$12)*操作パネル_MS2!$H$10))</f>
        <v/>
      </c>
      <c r="O114" s="5" t="str">
        <f>IF(OR(E114="",AC114=""),"",IF(AC114&gt;=操作パネル_MS2!$H$3,"VOL-OK","VOL-NG"))</f>
        <v/>
      </c>
      <c r="P114" s="5" t="str">
        <f t="shared" si="13"/>
        <v/>
      </c>
      <c r="Q114" s="5" t="str">
        <f t="shared" si="14"/>
        <v/>
      </c>
      <c r="R114" s="5" t="str">
        <f t="shared" si="15"/>
        <v/>
      </c>
      <c r="S114" s="9" t="str">
        <f t="shared" si="16"/>
        <v/>
      </c>
      <c r="T114" s="9" t="str">
        <f>IF(R114="","",IF(R114="BUY",E114-N114*操作パネル_MS2!$H$5,E114+N114*操作パネル_MS2!$H$5))</f>
        <v/>
      </c>
      <c r="U114" s="9" t="str">
        <f>IF(R114="","",IF(R114="BUY",E114+N114*操作パネル_MS2!$H$6,E114-N114*操作パネル_MS2!$H$6))</f>
        <v/>
      </c>
      <c r="V114" s="9" t="str">
        <f>IF(R114="","",IF(R114="BUY",E114+N114*操作パネル_MS2!$H$7,E114-N114*操作パネル_MS2!$H$7))</f>
        <v/>
      </c>
      <c r="W114" s="9" t="str">
        <f>IF(R114="","",IF(R114="BUY",E114+N114*操作パネル_MS2!$H$8,E114-N114*操作パネル_MS2!$H$8))</f>
        <v/>
      </c>
      <c r="X114" s="5" t="str">
        <f t="shared" si="17"/>
        <v/>
      </c>
      <c r="Y114" s="5" t="str">
        <f t="shared" ca="1" si="18"/>
        <v/>
      </c>
      <c r="Z114" s="5" t="str">
        <f>IF(OR(E114="",N114&lt;=0),"",IF(N114&gt;E114*操作パネル_MS2!$H$4,"VOL-HIGH","VOL-NORMAL"))</f>
        <v/>
      </c>
      <c r="AA114" s="5" t="str">
        <f t="shared" si="19"/>
        <v/>
      </c>
      <c r="AB114" s="5" t="str">
        <f t="shared" si="20"/>
        <v/>
      </c>
      <c r="AC114" s="30" t="str">
        <f>IF(C114="","",_xll.RssMarket(C114&amp;"","売買代金"))</f>
        <v/>
      </c>
      <c r="AD114" s="31">
        <f>IFERROR(INDEX(ATRHIST_MS2!$H:$H,MATCH(C114,ATRHIST_MS2!$A:$A,0)),0)</f>
        <v>0</v>
      </c>
    </row>
    <row r="115" spans="1:30" ht="25.95" customHeight="1">
      <c r="A115" s="5" t="str">
        <f t="shared" si="11"/>
        <v/>
      </c>
      <c r="B115" s="6" t="str">
        <f>IF(StockList_MS2!A114="","",HYPERLINK("https://kabutan.jp/stock/?code="&amp;StockList_MS2!A114,"株探"))</f>
        <v/>
      </c>
      <c r="C115" s="5" t="str">
        <f>IF(StockList_MS2!A114="","",StockList_MS2!A114)</f>
        <v/>
      </c>
      <c r="D115" s="7" t="str">
        <f>IF(StockList_MS2!A114="","",StockList_MS2!B114)</f>
        <v/>
      </c>
      <c r="E115" s="8"/>
      <c r="F115" s="8"/>
      <c r="G115" s="8"/>
      <c r="H115" s="8"/>
      <c r="I115" s="19"/>
      <c r="J115" s="8"/>
      <c r="K115" s="8"/>
      <c r="L115" s="8"/>
      <c r="M115" s="5" t="str">
        <f t="shared" si="21"/>
        <v/>
      </c>
      <c r="N115" s="9" t="str">
        <f>IF(OR(E115="",F115="",G115=""),"",IF(AD115&gt;0,AD115,(F115-G115)/SQRT(操作パネル_MS2!$H$12)*操作パネル_MS2!$H$10))</f>
        <v/>
      </c>
      <c r="O115" s="5" t="str">
        <f>IF(OR(E115="",AC115=""),"",IF(AC115&gt;=操作パネル_MS2!$H$3,"VOL-OK","VOL-NG"))</f>
        <v/>
      </c>
      <c r="P115" s="5" t="str">
        <f t="shared" si="13"/>
        <v/>
      </c>
      <c r="Q115" s="5" t="str">
        <f t="shared" si="14"/>
        <v/>
      </c>
      <c r="R115" s="5" t="str">
        <f t="shared" si="15"/>
        <v/>
      </c>
      <c r="S115" s="9" t="str">
        <f t="shared" si="16"/>
        <v/>
      </c>
      <c r="T115" s="9" t="str">
        <f>IF(R115="","",IF(R115="BUY",E115-N115*操作パネル_MS2!$H$5,E115+N115*操作パネル_MS2!$H$5))</f>
        <v/>
      </c>
      <c r="U115" s="9" t="str">
        <f>IF(R115="","",IF(R115="BUY",E115+N115*操作パネル_MS2!$H$6,E115-N115*操作パネル_MS2!$H$6))</f>
        <v/>
      </c>
      <c r="V115" s="9" t="str">
        <f>IF(R115="","",IF(R115="BUY",E115+N115*操作パネル_MS2!$H$7,E115-N115*操作パネル_MS2!$H$7))</f>
        <v/>
      </c>
      <c r="W115" s="9" t="str">
        <f>IF(R115="","",IF(R115="BUY",E115+N115*操作パネル_MS2!$H$8,E115-N115*操作パネル_MS2!$H$8))</f>
        <v/>
      </c>
      <c r="X115" s="5" t="str">
        <f t="shared" si="17"/>
        <v/>
      </c>
      <c r="Y115" s="5" t="str">
        <f t="shared" ca="1" si="18"/>
        <v/>
      </c>
      <c r="Z115" s="5" t="str">
        <f>IF(OR(E115="",N115&lt;=0),"",IF(N115&gt;E115*操作パネル_MS2!$H$4,"VOL-HIGH","VOL-NORMAL"))</f>
        <v/>
      </c>
      <c r="AA115" s="5" t="str">
        <f t="shared" si="19"/>
        <v/>
      </c>
      <c r="AB115" s="5" t="str">
        <f t="shared" si="20"/>
        <v/>
      </c>
      <c r="AC115" s="30" t="str">
        <f>IF(C115="","",_xll.RssMarket(C115&amp;"","売買代金"))</f>
        <v/>
      </c>
      <c r="AD115" s="31">
        <f>IFERROR(INDEX(ATRHIST_MS2!$H:$H,MATCH(C115,ATRHIST_MS2!$A:$A,0)),0)</f>
        <v>0</v>
      </c>
    </row>
    <row r="116" spans="1:30" ht="25.95" customHeight="1">
      <c r="A116" s="10" t="str">
        <f t="shared" si="11"/>
        <v/>
      </c>
      <c r="B116" s="11" t="str">
        <f>IF(StockList_MS2!A115="","",HYPERLINK("https://kabutan.jp/stock/?code="&amp;StockList_MS2!A115,"株探"))</f>
        <v/>
      </c>
      <c r="C116" s="10" t="str">
        <f>IF(StockList_MS2!A115="","",StockList_MS2!A115)</f>
        <v/>
      </c>
      <c r="D116" s="12" t="str">
        <f>IF(StockList_MS2!A115="","",StockList_MS2!B115)</f>
        <v/>
      </c>
      <c r="E116" s="13"/>
      <c r="F116" s="13"/>
      <c r="G116" s="13"/>
      <c r="H116" s="13"/>
      <c r="I116" s="20"/>
      <c r="J116" s="13"/>
      <c r="K116" s="13"/>
      <c r="L116" s="13"/>
      <c r="M116" s="5" t="str">
        <f t="shared" si="21"/>
        <v/>
      </c>
      <c r="N116" s="9" t="str">
        <f>IF(OR(E116="",F116="",G116=""),"",IF(AD116&gt;0,AD116,(F116-G116)/SQRT(操作パネル_MS2!$H$12)*操作パネル_MS2!$H$10))</f>
        <v/>
      </c>
      <c r="O116" s="5" t="str">
        <f>IF(OR(E116="",AC116=""),"",IF(AC116&gt;=操作パネル_MS2!$H$3,"VOL-OK","VOL-NG"))</f>
        <v/>
      </c>
      <c r="P116" s="5" t="str">
        <f t="shared" si="13"/>
        <v/>
      </c>
      <c r="Q116" s="5" t="str">
        <f t="shared" si="14"/>
        <v/>
      </c>
      <c r="R116" s="5" t="str">
        <f t="shared" si="15"/>
        <v/>
      </c>
      <c r="S116" s="9" t="str">
        <f t="shared" si="16"/>
        <v/>
      </c>
      <c r="T116" s="9" t="str">
        <f>IF(R116="","",IF(R116="BUY",E116-N116*操作パネル_MS2!$H$5,E116+N116*操作パネル_MS2!$H$5))</f>
        <v/>
      </c>
      <c r="U116" s="9" t="str">
        <f>IF(R116="","",IF(R116="BUY",E116+N116*操作パネル_MS2!$H$6,E116-N116*操作パネル_MS2!$H$6))</f>
        <v/>
      </c>
      <c r="V116" s="9" t="str">
        <f>IF(R116="","",IF(R116="BUY",E116+N116*操作パネル_MS2!$H$7,E116-N116*操作パネル_MS2!$H$7))</f>
        <v/>
      </c>
      <c r="W116" s="9" t="str">
        <f>IF(R116="","",IF(R116="BUY",E116+N116*操作パネル_MS2!$H$8,E116-N116*操作パネル_MS2!$H$8))</f>
        <v/>
      </c>
      <c r="X116" s="5" t="str">
        <f t="shared" si="17"/>
        <v/>
      </c>
      <c r="Y116" s="5" t="str">
        <f t="shared" ca="1" si="18"/>
        <v/>
      </c>
      <c r="Z116" s="5" t="str">
        <f>IF(OR(E116="",N116&lt;=0),"",IF(N116&gt;E116*操作パネル_MS2!$H$4,"VOL-HIGH","VOL-NORMAL"))</f>
        <v/>
      </c>
      <c r="AA116" s="5" t="str">
        <f t="shared" si="19"/>
        <v/>
      </c>
      <c r="AB116" s="5" t="str">
        <f t="shared" si="20"/>
        <v/>
      </c>
      <c r="AC116" s="30" t="str">
        <f>IF(C116="","",_xll.RssMarket(C116&amp;"","売買代金"))</f>
        <v/>
      </c>
      <c r="AD116" s="31">
        <f>IFERROR(INDEX(ATRHIST_MS2!$H:$H,MATCH(C116,ATRHIST_MS2!$A:$A,0)),0)</f>
        <v>0</v>
      </c>
    </row>
    <row r="117" spans="1:30" ht="25.95" customHeight="1">
      <c r="A117" s="5" t="str">
        <f t="shared" si="11"/>
        <v/>
      </c>
      <c r="B117" s="6" t="str">
        <f>IF(StockList_MS2!A116="","",HYPERLINK("https://kabutan.jp/stock/?code="&amp;StockList_MS2!A116,"株探"))</f>
        <v/>
      </c>
      <c r="C117" s="5" t="str">
        <f>IF(StockList_MS2!A116="","",StockList_MS2!A116)</f>
        <v/>
      </c>
      <c r="D117" s="7" t="str">
        <f>IF(StockList_MS2!A116="","",StockList_MS2!B116)</f>
        <v/>
      </c>
      <c r="E117" s="8"/>
      <c r="F117" s="8"/>
      <c r="G117" s="8"/>
      <c r="H117" s="8"/>
      <c r="I117" s="19"/>
      <c r="J117" s="8"/>
      <c r="K117" s="8"/>
      <c r="L117" s="8"/>
      <c r="M117" s="5" t="str">
        <f t="shared" si="21"/>
        <v/>
      </c>
      <c r="N117" s="9" t="str">
        <f>IF(OR(E117="",F117="",G117=""),"",IF(AD117&gt;0,AD117,(F117-G117)/SQRT(操作パネル_MS2!$H$12)*操作パネル_MS2!$H$10))</f>
        <v/>
      </c>
      <c r="O117" s="5" t="str">
        <f>IF(OR(E117="",AC117=""),"",IF(AC117&gt;=操作パネル_MS2!$H$3,"VOL-OK","VOL-NG"))</f>
        <v/>
      </c>
      <c r="P117" s="5" t="str">
        <f t="shared" si="13"/>
        <v/>
      </c>
      <c r="Q117" s="5" t="str">
        <f t="shared" si="14"/>
        <v/>
      </c>
      <c r="R117" s="5" t="str">
        <f t="shared" si="15"/>
        <v/>
      </c>
      <c r="S117" s="9" t="str">
        <f t="shared" si="16"/>
        <v/>
      </c>
      <c r="T117" s="9" t="str">
        <f>IF(R117="","",IF(R117="BUY",E117-N117*操作パネル_MS2!$H$5,E117+N117*操作パネル_MS2!$H$5))</f>
        <v/>
      </c>
      <c r="U117" s="9" t="str">
        <f>IF(R117="","",IF(R117="BUY",E117+N117*操作パネル_MS2!$H$6,E117-N117*操作パネル_MS2!$H$6))</f>
        <v/>
      </c>
      <c r="V117" s="9" t="str">
        <f>IF(R117="","",IF(R117="BUY",E117+N117*操作パネル_MS2!$H$7,E117-N117*操作パネル_MS2!$H$7))</f>
        <v/>
      </c>
      <c r="W117" s="9" t="str">
        <f>IF(R117="","",IF(R117="BUY",E117+N117*操作パネル_MS2!$H$8,E117-N117*操作パネル_MS2!$H$8))</f>
        <v/>
      </c>
      <c r="X117" s="5" t="str">
        <f t="shared" si="17"/>
        <v/>
      </c>
      <c r="Y117" s="5" t="str">
        <f t="shared" ca="1" si="18"/>
        <v/>
      </c>
      <c r="Z117" s="5" t="str">
        <f>IF(OR(E117="",N117&lt;=0),"",IF(N117&gt;E117*操作パネル_MS2!$H$4,"VOL-HIGH","VOL-NORMAL"))</f>
        <v/>
      </c>
      <c r="AA117" s="5" t="str">
        <f t="shared" si="19"/>
        <v/>
      </c>
      <c r="AB117" s="5" t="str">
        <f t="shared" si="20"/>
        <v/>
      </c>
      <c r="AC117" s="30" t="str">
        <f>IF(C117="","",_xll.RssMarket(C117&amp;"","売買代金"))</f>
        <v/>
      </c>
      <c r="AD117" s="31">
        <f>IFERROR(INDEX(ATRHIST_MS2!$H:$H,MATCH(C117,ATRHIST_MS2!$A:$A,0)),0)</f>
        <v>0</v>
      </c>
    </row>
    <row r="118" spans="1:30" ht="25.95" customHeight="1">
      <c r="A118" s="10" t="str">
        <f t="shared" si="11"/>
        <v/>
      </c>
      <c r="B118" s="11" t="str">
        <f>IF(StockList_MS2!A117="","",HYPERLINK("https://kabutan.jp/stock/?code="&amp;StockList_MS2!A117,"株探"))</f>
        <v/>
      </c>
      <c r="C118" s="10" t="str">
        <f>IF(StockList_MS2!A117="","",StockList_MS2!A117)</f>
        <v/>
      </c>
      <c r="D118" s="12" t="str">
        <f>IF(StockList_MS2!A117="","",StockList_MS2!B117)</f>
        <v/>
      </c>
      <c r="E118" s="13"/>
      <c r="F118" s="13"/>
      <c r="G118" s="13"/>
      <c r="H118" s="13"/>
      <c r="I118" s="20"/>
      <c r="J118" s="13"/>
      <c r="K118" s="13"/>
      <c r="L118" s="13"/>
      <c r="M118" s="5" t="str">
        <f t="shared" si="21"/>
        <v/>
      </c>
      <c r="N118" s="9" t="str">
        <f>IF(OR(E118="",F118="",G118=""),"",IF(AD118&gt;0,AD118,(F118-G118)/SQRT(操作パネル_MS2!$H$12)*操作パネル_MS2!$H$10))</f>
        <v/>
      </c>
      <c r="O118" s="5" t="str">
        <f>IF(OR(E118="",AC118=""),"",IF(AC118&gt;=操作パネル_MS2!$H$3,"VOL-OK","VOL-NG"))</f>
        <v/>
      </c>
      <c r="P118" s="5" t="str">
        <f t="shared" si="13"/>
        <v/>
      </c>
      <c r="Q118" s="5" t="str">
        <f t="shared" si="14"/>
        <v/>
      </c>
      <c r="R118" s="5" t="str">
        <f t="shared" si="15"/>
        <v/>
      </c>
      <c r="S118" s="9" t="str">
        <f t="shared" si="16"/>
        <v/>
      </c>
      <c r="T118" s="9" t="str">
        <f>IF(R118="","",IF(R118="BUY",E118-N118*操作パネル_MS2!$H$5,E118+N118*操作パネル_MS2!$H$5))</f>
        <v/>
      </c>
      <c r="U118" s="9" t="str">
        <f>IF(R118="","",IF(R118="BUY",E118+N118*操作パネル_MS2!$H$6,E118-N118*操作パネル_MS2!$H$6))</f>
        <v/>
      </c>
      <c r="V118" s="9" t="str">
        <f>IF(R118="","",IF(R118="BUY",E118+N118*操作パネル_MS2!$H$7,E118-N118*操作パネル_MS2!$H$7))</f>
        <v/>
      </c>
      <c r="W118" s="9" t="str">
        <f>IF(R118="","",IF(R118="BUY",E118+N118*操作パネル_MS2!$H$8,E118-N118*操作パネル_MS2!$H$8))</f>
        <v/>
      </c>
      <c r="X118" s="5" t="str">
        <f t="shared" si="17"/>
        <v/>
      </c>
      <c r="Y118" s="5" t="str">
        <f t="shared" ca="1" si="18"/>
        <v/>
      </c>
      <c r="Z118" s="5" t="str">
        <f>IF(OR(E118="",N118&lt;=0),"",IF(N118&gt;E118*操作パネル_MS2!$H$4,"VOL-HIGH","VOL-NORMAL"))</f>
        <v/>
      </c>
      <c r="AA118" s="5" t="str">
        <f t="shared" si="19"/>
        <v/>
      </c>
      <c r="AB118" s="5" t="str">
        <f t="shared" si="20"/>
        <v/>
      </c>
      <c r="AC118" s="30" t="str">
        <f>IF(C118="","",_xll.RssMarket(C118&amp;"","売買代金"))</f>
        <v/>
      </c>
      <c r="AD118" s="31">
        <f>IFERROR(INDEX(ATRHIST_MS2!$H:$H,MATCH(C118,ATRHIST_MS2!$A:$A,0)),0)</f>
        <v>0</v>
      </c>
    </row>
    <row r="119" spans="1:30" ht="25.95" customHeight="1">
      <c r="A119" s="5" t="str">
        <f t="shared" si="11"/>
        <v/>
      </c>
      <c r="B119" s="6" t="str">
        <f>IF(StockList_MS2!A118="","",HYPERLINK("https://kabutan.jp/stock/?code="&amp;StockList_MS2!A118,"株探"))</f>
        <v/>
      </c>
      <c r="C119" s="5" t="str">
        <f>IF(StockList_MS2!A118="","",StockList_MS2!A118)</f>
        <v/>
      </c>
      <c r="D119" s="7" t="str">
        <f>IF(StockList_MS2!A118="","",StockList_MS2!B118)</f>
        <v/>
      </c>
      <c r="E119" s="8"/>
      <c r="F119" s="8"/>
      <c r="G119" s="8"/>
      <c r="H119" s="8"/>
      <c r="I119" s="19"/>
      <c r="J119" s="8"/>
      <c r="K119" s="8"/>
      <c r="L119" s="8"/>
      <c r="M119" s="5" t="str">
        <f t="shared" si="21"/>
        <v/>
      </c>
      <c r="N119" s="9" t="str">
        <f>IF(OR(E119="",F119="",G119=""),"",IF(AD119&gt;0,AD119,(F119-G119)/SQRT(操作パネル_MS2!$H$12)*操作パネル_MS2!$H$10))</f>
        <v/>
      </c>
      <c r="O119" s="5" t="str">
        <f>IF(OR(E119="",AC119=""),"",IF(AC119&gt;=操作パネル_MS2!$H$3,"VOL-OK","VOL-NG"))</f>
        <v/>
      </c>
      <c r="P119" s="5" t="str">
        <f t="shared" si="13"/>
        <v/>
      </c>
      <c r="Q119" s="5" t="str">
        <f t="shared" si="14"/>
        <v/>
      </c>
      <c r="R119" s="5" t="str">
        <f t="shared" si="15"/>
        <v/>
      </c>
      <c r="S119" s="9" t="str">
        <f t="shared" si="16"/>
        <v/>
      </c>
      <c r="T119" s="9" t="str">
        <f>IF(R119="","",IF(R119="BUY",E119-N119*操作パネル_MS2!$H$5,E119+N119*操作パネル_MS2!$H$5))</f>
        <v/>
      </c>
      <c r="U119" s="9" t="str">
        <f>IF(R119="","",IF(R119="BUY",E119+N119*操作パネル_MS2!$H$6,E119-N119*操作パネル_MS2!$H$6))</f>
        <v/>
      </c>
      <c r="V119" s="9" t="str">
        <f>IF(R119="","",IF(R119="BUY",E119+N119*操作パネル_MS2!$H$7,E119-N119*操作パネル_MS2!$H$7))</f>
        <v/>
      </c>
      <c r="W119" s="9" t="str">
        <f>IF(R119="","",IF(R119="BUY",E119+N119*操作パネル_MS2!$H$8,E119-N119*操作パネル_MS2!$H$8))</f>
        <v/>
      </c>
      <c r="X119" s="5" t="str">
        <f t="shared" si="17"/>
        <v/>
      </c>
      <c r="Y119" s="5" t="str">
        <f t="shared" ca="1" si="18"/>
        <v/>
      </c>
      <c r="Z119" s="5" t="str">
        <f>IF(OR(E119="",N119&lt;=0),"",IF(N119&gt;E119*操作パネル_MS2!$H$4,"VOL-HIGH","VOL-NORMAL"))</f>
        <v/>
      </c>
      <c r="AA119" s="5" t="str">
        <f t="shared" si="19"/>
        <v/>
      </c>
      <c r="AB119" s="5" t="str">
        <f t="shared" si="20"/>
        <v/>
      </c>
      <c r="AC119" s="30" t="str">
        <f>IF(C119="","",_xll.RssMarket(C119&amp;"","売買代金"))</f>
        <v/>
      </c>
      <c r="AD119" s="31">
        <f>IFERROR(INDEX(ATRHIST_MS2!$H:$H,MATCH(C119,ATRHIST_MS2!$A:$A,0)),0)</f>
        <v>0</v>
      </c>
    </row>
    <row r="120" spans="1:30" ht="25.95" customHeight="1">
      <c r="A120" s="10" t="str">
        <f t="shared" si="11"/>
        <v/>
      </c>
      <c r="B120" s="11" t="str">
        <f>IF(StockList_MS2!A119="","",HYPERLINK("https://kabutan.jp/stock/?code="&amp;StockList_MS2!A119,"株探"))</f>
        <v/>
      </c>
      <c r="C120" s="10" t="str">
        <f>IF(StockList_MS2!A119="","",StockList_MS2!A119)</f>
        <v/>
      </c>
      <c r="D120" s="12" t="str">
        <f>IF(StockList_MS2!A119="","",StockList_MS2!B119)</f>
        <v/>
      </c>
      <c r="E120" s="13"/>
      <c r="F120" s="13"/>
      <c r="G120" s="13"/>
      <c r="H120" s="13"/>
      <c r="I120" s="20"/>
      <c r="J120" s="13"/>
      <c r="K120" s="13"/>
      <c r="L120" s="13"/>
      <c r="M120" s="5" t="str">
        <f t="shared" si="21"/>
        <v/>
      </c>
      <c r="N120" s="9" t="str">
        <f>IF(OR(E120="",F120="",G120=""),"",IF(AD120&gt;0,AD120,(F120-G120)/SQRT(操作パネル_MS2!$H$12)*操作パネル_MS2!$H$10))</f>
        <v/>
      </c>
      <c r="O120" s="5" t="str">
        <f>IF(OR(E120="",AC120=""),"",IF(AC120&gt;=操作パネル_MS2!$H$3,"VOL-OK","VOL-NG"))</f>
        <v/>
      </c>
      <c r="P120" s="5" t="str">
        <f t="shared" si="13"/>
        <v/>
      </c>
      <c r="Q120" s="5" t="str">
        <f t="shared" si="14"/>
        <v/>
      </c>
      <c r="R120" s="5" t="str">
        <f t="shared" si="15"/>
        <v/>
      </c>
      <c r="S120" s="9" t="str">
        <f t="shared" si="16"/>
        <v/>
      </c>
      <c r="T120" s="9" t="str">
        <f>IF(R120="","",IF(R120="BUY",E120-N120*操作パネル_MS2!$H$5,E120+N120*操作パネル_MS2!$H$5))</f>
        <v/>
      </c>
      <c r="U120" s="9" t="str">
        <f>IF(R120="","",IF(R120="BUY",E120+N120*操作パネル_MS2!$H$6,E120-N120*操作パネル_MS2!$H$6))</f>
        <v/>
      </c>
      <c r="V120" s="9" t="str">
        <f>IF(R120="","",IF(R120="BUY",E120+N120*操作パネル_MS2!$H$7,E120-N120*操作パネル_MS2!$H$7))</f>
        <v/>
      </c>
      <c r="W120" s="9" t="str">
        <f>IF(R120="","",IF(R120="BUY",E120+N120*操作パネル_MS2!$H$8,E120-N120*操作パネル_MS2!$H$8))</f>
        <v/>
      </c>
      <c r="X120" s="5" t="str">
        <f t="shared" si="17"/>
        <v/>
      </c>
      <c r="Y120" s="5" t="str">
        <f t="shared" ca="1" si="18"/>
        <v/>
      </c>
      <c r="Z120" s="5" t="str">
        <f>IF(OR(E120="",N120&lt;=0),"",IF(N120&gt;E120*操作パネル_MS2!$H$4,"VOL-HIGH","VOL-NORMAL"))</f>
        <v/>
      </c>
      <c r="AA120" s="5" t="str">
        <f t="shared" si="19"/>
        <v/>
      </c>
      <c r="AB120" s="5" t="str">
        <f t="shared" si="20"/>
        <v/>
      </c>
      <c r="AC120" s="30" t="str">
        <f>IF(C120="","",_xll.RssMarket(C120&amp;"","売買代金"))</f>
        <v/>
      </c>
      <c r="AD120" s="31">
        <f>IFERROR(INDEX(ATRHIST_MS2!$H:$H,MATCH(C120,ATRHIST_MS2!$A:$A,0)),0)</f>
        <v>0</v>
      </c>
    </row>
    <row r="121" spans="1:30" ht="25.95" customHeight="1">
      <c r="A121" s="5" t="str">
        <f t="shared" si="11"/>
        <v/>
      </c>
      <c r="B121" s="6" t="str">
        <f>IF(StockList_MS2!A120="","",HYPERLINK("https://kabutan.jp/stock/?code="&amp;StockList_MS2!A120,"株探"))</f>
        <v/>
      </c>
      <c r="C121" s="5" t="str">
        <f>IF(StockList_MS2!A120="","",StockList_MS2!A120)</f>
        <v/>
      </c>
      <c r="D121" s="7" t="str">
        <f>IF(StockList_MS2!A120="","",StockList_MS2!B120)</f>
        <v/>
      </c>
      <c r="E121" s="8"/>
      <c r="F121" s="8"/>
      <c r="G121" s="8"/>
      <c r="H121" s="8"/>
      <c r="I121" s="19"/>
      <c r="J121" s="8"/>
      <c r="K121" s="8"/>
      <c r="L121" s="8"/>
      <c r="M121" s="5" t="str">
        <f t="shared" si="21"/>
        <v/>
      </c>
      <c r="N121" s="9" t="str">
        <f>IF(OR(E121="",F121="",G121=""),"",IF(AD121&gt;0,AD121,(F121-G121)/SQRT(操作パネル_MS2!$H$12)*操作パネル_MS2!$H$10))</f>
        <v/>
      </c>
      <c r="O121" s="5" t="str">
        <f>IF(OR(E121="",AC121=""),"",IF(AC121&gt;=操作パネル_MS2!$H$3,"VOL-OK","VOL-NG"))</f>
        <v/>
      </c>
      <c r="P121" s="5" t="str">
        <f t="shared" si="13"/>
        <v/>
      </c>
      <c r="Q121" s="5" t="str">
        <f t="shared" si="14"/>
        <v/>
      </c>
      <c r="R121" s="5" t="str">
        <f t="shared" si="15"/>
        <v/>
      </c>
      <c r="S121" s="9" t="str">
        <f t="shared" si="16"/>
        <v/>
      </c>
      <c r="T121" s="9" t="str">
        <f>IF(R121="","",IF(R121="BUY",E121-N121*操作パネル_MS2!$H$5,E121+N121*操作パネル_MS2!$H$5))</f>
        <v/>
      </c>
      <c r="U121" s="9" t="str">
        <f>IF(R121="","",IF(R121="BUY",E121+N121*操作パネル_MS2!$H$6,E121-N121*操作パネル_MS2!$H$6))</f>
        <v/>
      </c>
      <c r="V121" s="9" t="str">
        <f>IF(R121="","",IF(R121="BUY",E121+N121*操作パネル_MS2!$H$7,E121-N121*操作パネル_MS2!$H$7))</f>
        <v/>
      </c>
      <c r="W121" s="9" t="str">
        <f>IF(R121="","",IF(R121="BUY",E121+N121*操作パネル_MS2!$H$8,E121-N121*操作パネル_MS2!$H$8))</f>
        <v/>
      </c>
      <c r="X121" s="5" t="str">
        <f t="shared" si="17"/>
        <v/>
      </c>
      <c r="Y121" s="5" t="str">
        <f t="shared" ca="1" si="18"/>
        <v/>
      </c>
      <c r="Z121" s="5" t="str">
        <f>IF(OR(E121="",N121&lt;=0),"",IF(N121&gt;E121*操作パネル_MS2!$H$4,"VOL-HIGH","VOL-NORMAL"))</f>
        <v/>
      </c>
      <c r="AA121" s="5" t="str">
        <f t="shared" si="19"/>
        <v/>
      </c>
      <c r="AB121" s="5" t="str">
        <f t="shared" si="20"/>
        <v/>
      </c>
      <c r="AC121" s="30" t="str">
        <f>IF(C121="","",_xll.RssMarket(C121&amp;"","売買代金"))</f>
        <v/>
      </c>
      <c r="AD121" s="31">
        <f>IFERROR(INDEX(ATRHIST_MS2!$H:$H,MATCH(C121,ATRHIST_MS2!$A:$A,0)),0)</f>
        <v>0</v>
      </c>
    </row>
    <row r="122" spans="1:30" ht="25.95" customHeight="1">
      <c r="A122" s="10" t="str">
        <f t="shared" si="11"/>
        <v/>
      </c>
      <c r="B122" s="11" t="str">
        <f>IF(StockList_MS2!A121="","",HYPERLINK("https://kabutan.jp/stock/?code="&amp;StockList_MS2!A121,"株探"))</f>
        <v/>
      </c>
      <c r="C122" s="10" t="str">
        <f>IF(StockList_MS2!A121="","",StockList_MS2!A121)</f>
        <v/>
      </c>
      <c r="D122" s="12" t="str">
        <f>IF(StockList_MS2!A121="","",StockList_MS2!B121)</f>
        <v/>
      </c>
      <c r="E122" s="13"/>
      <c r="F122" s="13"/>
      <c r="G122" s="13"/>
      <c r="H122" s="13"/>
      <c r="I122" s="20"/>
      <c r="J122" s="13"/>
      <c r="K122" s="13"/>
      <c r="L122" s="13"/>
      <c r="M122" s="5" t="str">
        <f t="shared" si="21"/>
        <v/>
      </c>
      <c r="N122" s="9" t="str">
        <f>IF(OR(E122="",F122="",G122=""),"",IF(AD122&gt;0,AD122,(F122-G122)/SQRT(操作パネル_MS2!$H$12)*操作パネル_MS2!$H$10))</f>
        <v/>
      </c>
      <c r="O122" s="5" t="str">
        <f>IF(OR(E122="",AC122=""),"",IF(AC122&gt;=操作パネル_MS2!$H$3,"VOL-OK","VOL-NG"))</f>
        <v/>
      </c>
      <c r="P122" s="5" t="str">
        <f t="shared" si="13"/>
        <v/>
      </c>
      <c r="Q122" s="5" t="str">
        <f t="shared" si="14"/>
        <v/>
      </c>
      <c r="R122" s="5" t="str">
        <f t="shared" si="15"/>
        <v/>
      </c>
      <c r="S122" s="9" t="str">
        <f t="shared" si="16"/>
        <v/>
      </c>
      <c r="T122" s="9" t="str">
        <f>IF(R122="","",IF(R122="BUY",E122-N122*操作パネル_MS2!$H$5,E122+N122*操作パネル_MS2!$H$5))</f>
        <v/>
      </c>
      <c r="U122" s="9" t="str">
        <f>IF(R122="","",IF(R122="BUY",E122+N122*操作パネル_MS2!$H$6,E122-N122*操作パネル_MS2!$H$6))</f>
        <v/>
      </c>
      <c r="V122" s="9" t="str">
        <f>IF(R122="","",IF(R122="BUY",E122+N122*操作パネル_MS2!$H$7,E122-N122*操作パネル_MS2!$H$7))</f>
        <v/>
      </c>
      <c r="W122" s="9" t="str">
        <f>IF(R122="","",IF(R122="BUY",E122+N122*操作パネル_MS2!$H$8,E122-N122*操作パネル_MS2!$H$8))</f>
        <v/>
      </c>
      <c r="X122" s="5" t="str">
        <f t="shared" si="17"/>
        <v/>
      </c>
      <c r="Y122" s="5" t="str">
        <f t="shared" ca="1" si="18"/>
        <v/>
      </c>
      <c r="Z122" s="5" t="str">
        <f>IF(OR(E122="",N122&lt;=0),"",IF(N122&gt;E122*操作パネル_MS2!$H$4,"VOL-HIGH","VOL-NORMAL"))</f>
        <v/>
      </c>
      <c r="AA122" s="5" t="str">
        <f t="shared" si="19"/>
        <v/>
      </c>
      <c r="AB122" s="5" t="str">
        <f t="shared" si="20"/>
        <v/>
      </c>
      <c r="AC122" s="30" t="str">
        <f>IF(C122="","",_xll.RssMarket(C122&amp;"","売買代金"))</f>
        <v/>
      </c>
      <c r="AD122" s="31">
        <f>IFERROR(INDEX(ATRHIST_MS2!$H:$H,MATCH(C122,ATRHIST_MS2!$A:$A,0)),0)</f>
        <v>0</v>
      </c>
    </row>
    <row r="123" spans="1:30" ht="25.95" customHeight="1">
      <c r="A123" s="5" t="str">
        <f t="shared" si="11"/>
        <v/>
      </c>
      <c r="B123" s="6" t="str">
        <f>IF(StockList_MS2!A122="","",HYPERLINK("https://kabutan.jp/stock/?code="&amp;StockList_MS2!A122,"株探"))</f>
        <v/>
      </c>
      <c r="C123" s="5" t="str">
        <f>IF(StockList_MS2!A122="","",StockList_MS2!A122)</f>
        <v/>
      </c>
      <c r="D123" s="7" t="str">
        <f>IF(StockList_MS2!A122="","",StockList_MS2!B122)</f>
        <v/>
      </c>
      <c r="E123" s="8"/>
      <c r="F123" s="8"/>
      <c r="G123" s="8"/>
      <c r="H123" s="8"/>
      <c r="I123" s="19"/>
      <c r="J123" s="8"/>
      <c r="K123" s="8"/>
      <c r="L123" s="8"/>
      <c r="M123" s="5" t="str">
        <f t="shared" si="21"/>
        <v/>
      </c>
      <c r="N123" s="9" t="str">
        <f>IF(OR(E123="",F123="",G123=""),"",IF(AD123&gt;0,AD123,(F123-G123)/SQRT(操作パネル_MS2!$H$12)*操作パネル_MS2!$H$10))</f>
        <v/>
      </c>
      <c r="O123" s="5" t="str">
        <f>IF(OR(E123="",AC123=""),"",IF(AC123&gt;=操作パネル_MS2!$H$3,"VOL-OK","VOL-NG"))</f>
        <v/>
      </c>
      <c r="P123" s="5" t="str">
        <f t="shared" si="13"/>
        <v/>
      </c>
      <c r="Q123" s="5" t="str">
        <f t="shared" si="14"/>
        <v/>
      </c>
      <c r="R123" s="5" t="str">
        <f t="shared" si="15"/>
        <v/>
      </c>
      <c r="S123" s="9" t="str">
        <f t="shared" si="16"/>
        <v/>
      </c>
      <c r="T123" s="9" t="str">
        <f>IF(R123="","",IF(R123="BUY",E123-N123*操作パネル_MS2!$H$5,E123+N123*操作パネル_MS2!$H$5))</f>
        <v/>
      </c>
      <c r="U123" s="9" t="str">
        <f>IF(R123="","",IF(R123="BUY",E123+N123*操作パネル_MS2!$H$6,E123-N123*操作パネル_MS2!$H$6))</f>
        <v/>
      </c>
      <c r="V123" s="9" t="str">
        <f>IF(R123="","",IF(R123="BUY",E123+N123*操作パネル_MS2!$H$7,E123-N123*操作パネル_MS2!$H$7))</f>
        <v/>
      </c>
      <c r="W123" s="9" t="str">
        <f>IF(R123="","",IF(R123="BUY",E123+N123*操作パネル_MS2!$H$8,E123-N123*操作パネル_MS2!$H$8))</f>
        <v/>
      </c>
      <c r="X123" s="5" t="str">
        <f t="shared" si="17"/>
        <v/>
      </c>
      <c r="Y123" s="5" t="str">
        <f t="shared" ca="1" si="18"/>
        <v/>
      </c>
      <c r="Z123" s="5" t="str">
        <f>IF(OR(E123="",N123&lt;=0),"",IF(N123&gt;E123*操作パネル_MS2!$H$4,"VOL-HIGH","VOL-NORMAL"))</f>
        <v/>
      </c>
      <c r="AA123" s="5" t="str">
        <f t="shared" si="19"/>
        <v/>
      </c>
      <c r="AB123" s="5" t="str">
        <f t="shared" si="20"/>
        <v/>
      </c>
      <c r="AC123" s="30" t="str">
        <f>IF(C123="","",_xll.RssMarket(C123&amp;"","売買代金"))</f>
        <v/>
      </c>
      <c r="AD123" s="31">
        <f>IFERROR(INDEX(ATRHIST_MS2!$H:$H,MATCH(C123,ATRHIST_MS2!$A:$A,0)),0)</f>
        <v>0</v>
      </c>
    </row>
    <row r="124" spans="1:30" ht="25.95" customHeight="1">
      <c r="A124" s="10" t="str">
        <f t="shared" si="11"/>
        <v/>
      </c>
      <c r="B124" s="11" t="str">
        <f>IF(StockList_MS2!A123="","",HYPERLINK("https://kabutan.jp/stock/?code="&amp;StockList_MS2!A123,"株探"))</f>
        <v/>
      </c>
      <c r="C124" s="10" t="str">
        <f>IF(StockList_MS2!A123="","",StockList_MS2!A123)</f>
        <v/>
      </c>
      <c r="D124" s="12" t="str">
        <f>IF(StockList_MS2!A123="","",StockList_MS2!B123)</f>
        <v/>
      </c>
      <c r="E124" s="13"/>
      <c r="F124" s="13"/>
      <c r="G124" s="13"/>
      <c r="H124" s="13"/>
      <c r="I124" s="20"/>
      <c r="J124" s="13"/>
      <c r="K124" s="13"/>
      <c r="L124" s="13"/>
      <c r="M124" s="5" t="str">
        <f t="shared" si="21"/>
        <v/>
      </c>
      <c r="N124" s="9" t="str">
        <f>IF(OR(E124="",F124="",G124=""),"",IF(AD124&gt;0,AD124,(F124-G124)/SQRT(操作パネル_MS2!$H$12)*操作パネル_MS2!$H$10))</f>
        <v/>
      </c>
      <c r="O124" s="5" t="str">
        <f>IF(OR(E124="",AC124=""),"",IF(AC124&gt;=操作パネル_MS2!$H$3,"VOL-OK","VOL-NG"))</f>
        <v/>
      </c>
      <c r="P124" s="5" t="str">
        <f t="shared" si="13"/>
        <v/>
      </c>
      <c r="Q124" s="5" t="str">
        <f t="shared" si="14"/>
        <v/>
      </c>
      <c r="R124" s="5" t="str">
        <f t="shared" si="15"/>
        <v/>
      </c>
      <c r="S124" s="9" t="str">
        <f t="shared" si="16"/>
        <v/>
      </c>
      <c r="T124" s="9" t="str">
        <f>IF(R124="","",IF(R124="BUY",E124-N124*操作パネル_MS2!$H$5,E124+N124*操作パネル_MS2!$H$5))</f>
        <v/>
      </c>
      <c r="U124" s="9" t="str">
        <f>IF(R124="","",IF(R124="BUY",E124+N124*操作パネル_MS2!$H$6,E124-N124*操作パネル_MS2!$H$6))</f>
        <v/>
      </c>
      <c r="V124" s="9" t="str">
        <f>IF(R124="","",IF(R124="BUY",E124+N124*操作パネル_MS2!$H$7,E124-N124*操作パネル_MS2!$H$7))</f>
        <v/>
      </c>
      <c r="W124" s="9" t="str">
        <f>IF(R124="","",IF(R124="BUY",E124+N124*操作パネル_MS2!$H$8,E124-N124*操作パネル_MS2!$H$8))</f>
        <v/>
      </c>
      <c r="X124" s="5" t="str">
        <f t="shared" si="17"/>
        <v/>
      </c>
      <c r="Y124" s="5" t="str">
        <f t="shared" ca="1" si="18"/>
        <v/>
      </c>
      <c r="Z124" s="5" t="str">
        <f>IF(OR(E124="",N124&lt;=0),"",IF(N124&gt;E124*操作パネル_MS2!$H$4,"VOL-HIGH","VOL-NORMAL"))</f>
        <v/>
      </c>
      <c r="AA124" s="5" t="str">
        <f t="shared" si="19"/>
        <v/>
      </c>
      <c r="AB124" s="5" t="str">
        <f t="shared" si="20"/>
        <v/>
      </c>
      <c r="AC124" s="30" t="str">
        <f>IF(C124="","",_xll.RssMarket(C124&amp;"","売買代金"))</f>
        <v/>
      </c>
      <c r="AD124" s="31">
        <f>IFERROR(INDEX(ATRHIST_MS2!$H:$H,MATCH(C124,ATRHIST_MS2!$A:$A,0)),0)</f>
        <v>0</v>
      </c>
    </row>
    <row r="125" spans="1:30" ht="25.95" customHeight="1">
      <c r="A125" s="5" t="str">
        <f t="shared" si="11"/>
        <v/>
      </c>
      <c r="B125" s="6" t="str">
        <f>IF(StockList_MS2!A124="","",HYPERLINK("https://kabutan.jp/stock/?code="&amp;StockList_MS2!A124,"株探"))</f>
        <v/>
      </c>
      <c r="C125" s="5" t="str">
        <f>IF(StockList_MS2!A124="","",StockList_MS2!A124)</f>
        <v/>
      </c>
      <c r="D125" s="7" t="str">
        <f>IF(StockList_MS2!A124="","",StockList_MS2!B124)</f>
        <v/>
      </c>
      <c r="E125" s="8"/>
      <c r="F125" s="8"/>
      <c r="G125" s="8"/>
      <c r="H125" s="8"/>
      <c r="I125" s="19"/>
      <c r="J125" s="8"/>
      <c r="K125" s="8"/>
      <c r="L125" s="8"/>
      <c r="M125" s="5" t="str">
        <f t="shared" si="21"/>
        <v/>
      </c>
      <c r="N125" s="9" t="str">
        <f>IF(OR(E125="",F125="",G125=""),"",IF(AD125&gt;0,AD125,(F125-G125)/SQRT(操作パネル_MS2!$H$12)*操作パネル_MS2!$H$10))</f>
        <v/>
      </c>
      <c r="O125" s="5" t="str">
        <f>IF(OR(E125="",AC125=""),"",IF(AC125&gt;=操作パネル_MS2!$H$3,"VOL-OK","VOL-NG"))</f>
        <v/>
      </c>
      <c r="P125" s="5" t="str">
        <f t="shared" si="13"/>
        <v/>
      </c>
      <c r="Q125" s="5" t="str">
        <f t="shared" si="14"/>
        <v/>
      </c>
      <c r="R125" s="5" t="str">
        <f t="shared" si="15"/>
        <v/>
      </c>
      <c r="S125" s="9" t="str">
        <f t="shared" si="16"/>
        <v/>
      </c>
      <c r="T125" s="9" t="str">
        <f>IF(R125="","",IF(R125="BUY",E125-N125*操作パネル_MS2!$H$5,E125+N125*操作パネル_MS2!$H$5))</f>
        <v/>
      </c>
      <c r="U125" s="9" t="str">
        <f>IF(R125="","",IF(R125="BUY",E125+N125*操作パネル_MS2!$H$6,E125-N125*操作パネル_MS2!$H$6))</f>
        <v/>
      </c>
      <c r="V125" s="9" t="str">
        <f>IF(R125="","",IF(R125="BUY",E125+N125*操作パネル_MS2!$H$7,E125-N125*操作パネル_MS2!$H$7))</f>
        <v/>
      </c>
      <c r="W125" s="9" t="str">
        <f>IF(R125="","",IF(R125="BUY",E125+N125*操作パネル_MS2!$H$8,E125-N125*操作パネル_MS2!$H$8))</f>
        <v/>
      </c>
      <c r="X125" s="5" t="str">
        <f t="shared" si="17"/>
        <v/>
      </c>
      <c r="Y125" s="5" t="str">
        <f t="shared" ca="1" si="18"/>
        <v/>
      </c>
      <c r="Z125" s="5" t="str">
        <f>IF(OR(E125="",N125&lt;=0),"",IF(N125&gt;E125*操作パネル_MS2!$H$4,"VOL-HIGH","VOL-NORMAL"))</f>
        <v/>
      </c>
      <c r="AA125" s="5" t="str">
        <f t="shared" si="19"/>
        <v/>
      </c>
      <c r="AB125" s="5" t="str">
        <f t="shared" si="20"/>
        <v/>
      </c>
      <c r="AC125" s="30" t="str">
        <f>IF(C125="","",_xll.RssMarket(C125&amp;"","売買代金"))</f>
        <v/>
      </c>
      <c r="AD125" s="31">
        <f>IFERROR(INDEX(ATRHIST_MS2!$H:$H,MATCH(C125,ATRHIST_MS2!$A:$A,0)),0)</f>
        <v>0</v>
      </c>
    </row>
    <row r="126" spans="1:30" ht="25.95" customHeight="1">
      <c r="A126" s="10" t="str">
        <f t="shared" si="11"/>
        <v/>
      </c>
      <c r="B126" s="11" t="str">
        <f>IF(StockList_MS2!A125="","",HYPERLINK("https://kabutan.jp/stock/?code="&amp;StockList_MS2!A125,"株探"))</f>
        <v/>
      </c>
      <c r="C126" s="10" t="str">
        <f>IF(StockList_MS2!A125="","",StockList_MS2!A125)</f>
        <v/>
      </c>
      <c r="D126" s="12" t="str">
        <f>IF(StockList_MS2!A125="","",StockList_MS2!B125)</f>
        <v/>
      </c>
      <c r="E126" s="13"/>
      <c r="F126" s="13"/>
      <c r="G126" s="13"/>
      <c r="H126" s="13"/>
      <c r="I126" s="20"/>
      <c r="J126" s="13"/>
      <c r="K126" s="13"/>
      <c r="L126" s="13"/>
      <c r="M126" s="5" t="str">
        <f t="shared" si="21"/>
        <v/>
      </c>
      <c r="N126" s="9" t="str">
        <f>IF(OR(E126="",F126="",G126=""),"",IF(AD126&gt;0,AD126,(F126-G126)/SQRT(操作パネル_MS2!$H$12)*操作パネル_MS2!$H$10))</f>
        <v/>
      </c>
      <c r="O126" s="5" t="str">
        <f>IF(OR(E126="",AC126=""),"",IF(AC126&gt;=操作パネル_MS2!$H$3,"VOL-OK","VOL-NG"))</f>
        <v/>
      </c>
      <c r="P126" s="5" t="str">
        <f t="shared" si="13"/>
        <v/>
      </c>
      <c r="Q126" s="5" t="str">
        <f t="shared" si="14"/>
        <v/>
      </c>
      <c r="R126" s="5" t="str">
        <f t="shared" si="15"/>
        <v/>
      </c>
      <c r="S126" s="9" t="str">
        <f t="shared" si="16"/>
        <v/>
      </c>
      <c r="T126" s="9" t="str">
        <f>IF(R126="","",IF(R126="BUY",E126-N126*操作パネル_MS2!$H$5,E126+N126*操作パネル_MS2!$H$5))</f>
        <v/>
      </c>
      <c r="U126" s="9" t="str">
        <f>IF(R126="","",IF(R126="BUY",E126+N126*操作パネル_MS2!$H$6,E126-N126*操作パネル_MS2!$H$6))</f>
        <v/>
      </c>
      <c r="V126" s="9" t="str">
        <f>IF(R126="","",IF(R126="BUY",E126+N126*操作パネル_MS2!$H$7,E126-N126*操作パネル_MS2!$H$7))</f>
        <v/>
      </c>
      <c r="W126" s="9" t="str">
        <f>IF(R126="","",IF(R126="BUY",E126+N126*操作パネル_MS2!$H$8,E126-N126*操作パネル_MS2!$H$8))</f>
        <v/>
      </c>
      <c r="X126" s="5" t="str">
        <f t="shared" si="17"/>
        <v/>
      </c>
      <c r="Y126" s="5" t="str">
        <f t="shared" ca="1" si="18"/>
        <v/>
      </c>
      <c r="Z126" s="5" t="str">
        <f>IF(OR(E126="",N126&lt;=0),"",IF(N126&gt;E126*操作パネル_MS2!$H$4,"VOL-HIGH","VOL-NORMAL"))</f>
        <v/>
      </c>
      <c r="AA126" s="5" t="str">
        <f t="shared" si="19"/>
        <v/>
      </c>
      <c r="AB126" s="5" t="str">
        <f t="shared" si="20"/>
        <v/>
      </c>
      <c r="AC126" s="30" t="str">
        <f>IF(C126="","",_xll.RssMarket(C126&amp;"","売買代金"))</f>
        <v/>
      </c>
      <c r="AD126" s="31">
        <f>IFERROR(INDEX(ATRHIST_MS2!$H:$H,MATCH(C126,ATRHIST_MS2!$A:$A,0)),0)</f>
        <v>0</v>
      </c>
    </row>
    <row r="127" spans="1:30" ht="25.95" customHeight="1">
      <c r="A127" s="5" t="str">
        <f t="shared" si="11"/>
        <v/>
      </c>
      <c r="B127" s="6" t="str">
        <f>IF(StockList_MS2!A126="","",HYPERLINK("https://kabutan.jp/stock/?code="&amp;StockList_MS2!A126,"株探"))</f>
        <v/>
      </c>
      <c r="C127" s="5" t="str">
        <f>IF(StockList_MS2!A126="","",StockList_MS2!A126)</f>
        <v/>
      </c>
      <c r="D127" s="7" t="str">
        <f>IF(StockList_MS2!A126="","",StockList_MS2!B126)</f>
        <v/>
      </c>
      <c r="E127" s="8"/>
      <c r="F127" s="8"/>
      <c r="G127" s="8"/>
      <c r="H127" s="8"/>
      <c r="I127" s="19"/>
      <c r="J127" s="8"/>
      <c r="K127" s="8"/>
      <c r="L127" s="8"/>
      <c r="M127" s="5" t="str">
        <f t="shared" si="21"/>
        <v/>
      </c>
      <c r="N127" s="9" t="str">
        <f>IF(OR(E127="",F127="",G127=""),"",IF(AD127&gt;0,AD127,(F127-G127)/SQRT(操作パネル_MS2!$H$12)*操作パネル_MS2!$H$10))</f>
        <v/>
      </c>
      <c r="O127" s="5" t="str">
        <f>IF(OR(E127="",AC127=""),"",IF(AC127&gt;=操作パネル_MS2!$H$3,"VOL-OK","VOL-NG"))</f>
        <v/>
      </c>
      <c r="P127" s="5" t="str">
        <f t="shared" si="13"/>
        <v/>
      </c>
      <c r="Q127" s="5" t="str">
        <f t="shared" si="14"/>
        <v/>
      </c>
      <c r="R127" s="5" t="str">
        <f t="shared" si="15"/>
        <v/>
      </c>
      <c r="S127" s="9" t="str">
        <f t="shared" si="16"/>
        <v/>
      </c>
      <c r="T127" s="9" t="str">
        <f>IF(R127="","",IF(R127="BUY",E127-N127*操作パネル_MS2!$H$5,E127+N127*操作パネル_MS2!$H$5))</f>
        <v/>
      </c>
      <c r="U127" s="9" t="str">
        <f>IF(R127="","",IF(R127="BUY",E127+N127*操作パネル_MS2!$H$6,E127-N127*操作パネル_MS2!$H$6))</f>
        <v/>
      </c>
      <c r="V127" s="9" t="str">
        <f>IF(R127="","",IF(R127="BUY",E127+N127*操作パネル_MS2!$H$7,E127-N127*操作パネル_MS2!$H$7))</f>
        <v/>
      </c>
      <c r="W127" s="9" t="str">
        <f>IF(R127="","",IF(R127="BUY",E127+N127*操作パネル_MS2!$H$8,E127-N127*操作パネル_MS2!$H$8))</f>
        <v/>
      </c>
      <c r="X127" s="5" t="str">
        <f t="shared" si="17"/>
        <v/>
      </c>
      <c r="Y127" s="5" t="str">
        <f t="shared" ca="1" si="18"/>
        <v/>
      </c>
      <c r="Z127" s="5" t="str">
        <f>IF(OR(E127="",N127&lt;=0),"",IF(N127&gt;E127*操作パネル_MS2!$H$4,"VOL-HIGH","VOL-NORMAL"))</f>
        <v/>
      </c>
      <c r="AA127" s="5" t="str">
        <f t="shared" si="19"/>
        <v/>
      </c>
      <c r="AB127" s="5" t="str">
        <f t="shared" si="20"/>
        <v/>
      </c>
      <c r="AC127" s="30" t="str">
        <f>IF(C127="","",_xll.RssMarket(C127&amp;"","売買代金"))</f>
        <v/>
      </c>
      <c r="AD127" s="31">
        <f>IFERROR(INDEX(ATRHIST_MS2!$H:$H,MATCH(C127,ATRHIST_MS2!$A:$A,0)),0)</f>
        <v>0</v>
      </c>
    </row>
    <row r="128" spans="1:30" ht="25.95" customHeight="1">
      <c r="A128" s="10" t="str">
        <f t="shared" si="11"/>
        <v/>
      </c>
      <c r="B128" s="11" t="str">
        <f>IF(StockList_MS2!A127="","",HYPERLINK("https://kabutan.jp/stock/?code="&amp;StockList_MS2!A127,"株探"))</f>
        <v/>
      </c>
      <c r="C128" s="10" t="str">
        <f>IF(StockList_MS2!A127="","",StockList_MS2!A127)</f>
        <v/>
      </c>
      <c r="D128" s="12" t="str">
        <f>IF(StockList_MS2!A127="","",StockList_MS2!B127)</f>
        <v/>
      </c>
      <c r="E128" s="13"/>
      <c r="F128" s="13"/>
      <c r="G128" s="13"/>
      <c r="H128" s="13"/>
      <c r="I128" s="20"/>
      <c r="J128" s="13"/>
      <c r="K128" s="13"/>
      <c r="L128" s="13"/>
      <c r="M128" s="5" t="str">
        <f t="shared" si="21"/>
        <v/>
      </c>
      <c r="N128" s="9" t="str">
        <f>IF(OR(E128="",F128="",G128=""),"",IF(AD128&gt;0,AD128,(F128-G128)/SQRT(操作パネル_MS2!$H$12)*操作パネル_MS2!$H$10))</f>
        <v/>
      </c>
      <c r="O128" s="5" t="str">
        <f>IF(OR(E128="",AC128=""),"",IF(AC128&gt;=操作パネル_MS2!$H$3,"VOL-OK","VOL-NG"))</f>
        <v/>
      </c>
      <c r="P128" s="5" t="str">
        <f t="shared" si="13"/>
        <v/>
      </c>
      <c r="Q128" s="5" t="str">
        <f t="shared" si="14"/>
        <v/>
      </c>
      <c r="R128" s="5" t="str">
        <f t="shared" si="15"/>
        <v/>
      </c>
      <c r="S128" s="9" t="str">
        <f t="shared" si="16"/>
        <v/>
      </c>
      <c r="T128" s="9" t="str">
        <f>IF(R128="","",IF(R128="BUY",E128-N128*操作パネル_MS2!$H$5,E128+N128*操作パネル_MS2!$H$5))</f>
        <v/>
      </c>
      <c r="U128" s="9" t="str">
        <f>IF(R128="","",IF(R128="BUY",E128+N128*操作パネル_MS2!$H$6,E128-N128*操作パネル_MS2!$H$6))</f>
        <v/>
      </c>
      <c r="V128" s="9" t="str">
        <f>IF(R128="","",IF(R128="BUY",E128+N128*操作パネル_MS2!$H$7,E128-N128*操作パネル_MS2!$H$7))</f>
        <v/>
      </c>
      <c r="W128" s="9" t="str">
        <f>IF(R128="","",IF(R128="BUY",E128+N128*操作パネル_MS2!$H$8,E128-N128*操作パネル_MS2!$H$8))</f>
        <v/>
      </c>
      <c r="X128" s="5" t="str">
        <f t="shared" si="17"/>
        <v/>
      </c>
      <c r="Y128" s="5" t="str">
        <f t="shared" ca="1" si="18"/>
        <v/>
      </c>
      <c r="Z128" s="5" t="str">
        <f>IF(OR(E128="",N128&lt;=0),"",IF(N128&gt;E128*操作パネル_MS2!$H$4,"VOL-HIGH","VOL-NORMAL"))</f>
        <v/>
      </c>
      <c r="AA128" s="5" t="str">
        <f t="shared" si="19"/>
        <v/>
      </c>
      <c r="AB128" s="5" t="str">
        <f t="shared" si="20"/>
        <v/>
      </c>
      <c r="AC128" s="30" t="str">
        <f>IF(C128="","",_xll.RssMarket(C128&amp;"","売買代金"))</f>
        <v/>
      </c>
      <c r="AD128" s="31">
        <f>IFERROR(INDEX(ATRHIST_MS2!$H:$H,MATCH(C128,ATRHIST_MS2!$A:$A,0)),0)</f>
        <v>0</v>
      </c>
    </row>
    <row r="129" spans="1:30" ht="25.95" customHeight="1">
      <c r="A129" s="5" t="str">
        <f t="shared" si="11"/>
        <v/>
      </c>
      <c r="B129" s="6" t="str">
        <f>IF(StockList_MS2!A128="","",HYPERLINK("https://kabutan.jp/stock/?code="&amp;StockList_MS2!A128,"株探"))</f>
        <v/>
      </c>
      <c r="C129" s="5" t="str">
        <f>IF(StockList_MS2!A128="","",StockList_MS2!A128)</f>
        <v/>
      </c>
      <c r="D129" s="7" t="str">
        <f>IF(StockList_MS2!A128="","",StockList_MS2!B128)</f>
        <v/>
      </c>
      <c r="E129" s="8"/>
      <c r="F129" s="8"/>
      <c r="G129" s="8"/>
      <c r="H129" s="8"/>
      <c r="I129" s="19"/>
      <c r="J129" s="8"/>
      <c r="K129" s="8"/>
      <c r="L129" s="8"/>
      <c r="M129" s="5" t="str">
        <f t="shared" si="21"/>
        <v/>
      </c>
      <c r="N129" s="9" t="str">
        <f>IF(OR(E129="",F129="",G129=""),"",IF(AD129&gt;0,AD129,(F129-G129)/SQRT(操作パネル_MS2!$H$12)*操作パネル_MS2!$H$10))</f>
        <v/>
      </c>
      <c r="O129" s="5" t="str">
        <f>IF(OR(E129="",AC129=""),"",IF(AC129&gt;=操作パネル_MS2!$H$3,"VOL-OK","VOL-NG"))</f>
        <v/>
      </c>
      <c r="P129" s="5" t="str">
        <f t="shared" si="13"/>
        <v/>
      </c>
      <c r="Q129" s="5" t="str">
        <f t="shared" si="14"/>
        <v/>
      </c>
      <c r="R129" s="5" t="str">
        <f t="shared" si="15"/>
        <v/>
      </c>
      <c r="S129" s="9" t="str">
        <f t="shared" si="16"/>
        <v/>
      </c>
      <c r="T129" s="9" t="str">
        <f>IF(R129="","",IF(R129="BUY",E129-N129*操作パネル_MS2!$H$5,E129+N129*操作パネル_MS2!$H$5))</f>
        <v/>
      </c>
      <c r="U129" s="9" t="str">
        <f>IF(R129="","",IF(R129="BUY",E129+N129*操作パネル_MS2!$H$6,E129-N129*操作パネル_MS2!$H$6))</f>
        <v/>
      </c>
      <c r="V129" s="9" t="str">
        <f>IF(R129="","",IF(R129="BUY",E129+N129*操作パネル_MS2!$H$7,E129-N129*操作パネル_MS2!$H$7))</f>
        <v/>
      </c>
      <c r="W129" s="9" t="str">
        <f>IF(R129="","",IF(R129="BUY",E129+N129*操作パネル_MS2!$H$8,E129-N129*操作パネル_MS2!$H$8))</f>
        <v/>
      </c>
      <c r="X129" s="5" t="str">
        <f t="shared" si="17"/>
        <v/>
      </c>
      <c r="Y129" s="5" t="str">
        <f t="shared" ca="1" si="18"/>
        <v/>
      </c>
      <c r="Z129" s="5" t="str">
        <f>IF(OR(E129="",N129&lt;=0),"",IF(N129&gt;E129*操作パネル_MS2!$H$4,"VOL-HIGH","VOL-NORMAL"))</f>
        <v/>
      </c>
      <c r="AA129" s="5" t="str">
        <f t="shared" si="19"/>
        <v/>
      </c>
      <c r="AB129" s="5" t="str">
        <f t="shared" si="20"/>
        <v/>
      </c>
      <c r="AC129" s="30" t="str">
        <f>IF(C129="","",_xll.RssMarket(C129&amp;"","売買代金"))</f>
        <v/>
      </c>
      <c r="AD129" s="31">
        <f>IFERROR(INDEX(ATRHIST_MS2!$H:$H,MATCH(C129,ATRHIST_MS2!$A:$A,0)),0)</f>
        <v>0</v>
      </c>
    </row>
    <row r="130" spans="1:30" ht="25.95" customHeight="1">
      <c r="A130" s="10" t="str">
        <f t="shared" si="11"/>
        <v/>
      </c>
      <c r="B130" s="11" t="str">
        <f>IF(StockList_MS2!A129="","",HYPERLINK("https://kabutan.jp/stock/?code="&amp;StockList_MS2!A129,"株探"))</f>
        <v/>
      </c>
      <c r="C130" s="10" t="str">
        <f>IF(StockList_MS2!A129="","",StockList_MS2!A129)</f>
        <v/>
      </c>
      <c r="D130" s="12" t="str">
        <f>IF(StockList_MS2!A129="","",StockList_MS2!B129)</f>
        <v/>
      </c>
      <c r="E130" s="13"/>
      <c r="F130" s="13"/>
      <c r="G130" s="13"/>
      <c r="H130" s="13"/>
      <c r="I130" s="20"/>
      <c r="J130" s="13"/>
      <c r="K130" s="13"/>
      <c r="L130" s="13"/>
      <c r="M130" s="5" t="str">
        <f t="shared" si="21"/>
        <v/>
      </c>
      <c r="N130" s="9" t="str">
        <f>IF(OR(E130="",F130="",G130=""),"",IF(AD130&gt;0,AD130,(F130-G130)/SQRT(操作パネル_MS2!$H$12)*操作パネル_MS2!$H$10))</f>
        <v/>
      </c>
      <c r="O130" s="5" t="str">
        <f>IF(OR(E130="",AC130=""),"",IF(AC130&gt;=操作パネル_MS2!$H$3,"VOL-OK","VOL-NG"))</f>
        <v/>
      </c>
      <c r="P130" s="5" t="str">
        <f t="shared" si="13"/>
        <v/>
      </c>
      <c r="Q130" s="5" t="str">
        <f t="shared" si="14"/>
        <v/>
      </c>
      <c r="R130" s="5" t="str">
        <f t="shared" si="15"/>
        <v/>
      </c>
      <c r="S130" s="9" t="str">
        <f t="shared" si="16"/>
        <v/>
      </c>
      <c r="T130" s="9" t="str">
        <f>IF(R130="","",IF(R130="BUY",E130-N130*操作パネル_MS2!$H$5,E130+N130*操作パネル_MS2!$H$5))</f>
        <v/>
      </c>
      <c r="U130" s="9" t="str">
        <f>IF(R130="","",IF(R130="BUY",E130+N130*操作パネル_MS2!$H$6,E130-N130*操作パネル_MS2!$H$6))</f>
        <v/>
      </c>
      <c r="V130" s="9" t="str">
        <f>IF(R130="","",IF(R130="BUY",E130+N130*操作パネル_MS2!$H$7,E130-N130*操作パネル_MS2!$H$7))</f>
        <v/>
      </c>
      <c r="W130" s="9" t="str">
        <f>IF(R130="","",IF(R130="BUY",E130+N130*操作パネル_MS2!$H$8,E130-N130*操作パネル_MS2!$H$8))</f>
        <v/>
      </c>
      <c r="X130" s="5" t="str">
        <f t="shared" si="17"/>
        <v/>
      </c>
      <c r="Y130" s="5" t="str">
        <f t="shared" ca="1" si="18"/>
        <v/>
      </c>
      <c r="Z130" s="5" t="str">
        <f>IF(OR(E130="",N130&lt;=0),"",IF(N130&gt;E130*操作パネル_MS2!$H$4,"VOL-HIGH","VOL-NORMAL"))</f>
        <v/>
      </c>
      <c r="AA130" s="5" t="str">
        <f t="shared" si="19"/>
        <v/>
      </c>
      <c r="AB130" s="5" t="str">
        <f t="shared" si="20"/>
        <v/>
      </c>
      <c r="AC130" s="30" t="str">
        <f>IF(C130="","",_xll.RssMarket(C130&amp;"","売買代金"))</f>
        <v/>
      </c>
      <c r="AD130" s="31">
        <f>IFERROR(INDEX(ATRHIST_MS2!$H:$H,MATCH(C130,ATRHIST_MS2!$A:$A,0)),0)</f>
        <v>0</v>
      </c>
    </row>
    <row r="131" spans="1:30" ht="25.95" customHeight="1">
      <c r="A131" s="5" t="str">
        <f t="shared" ref="A131:A194" si="22">IF(C131="","",ROW()-2)</f>
        <v/>
      </c>
      <c r="B131" s="6" t="str">
        <f>IF(StockList_MS2!A130="","",HYPERLINK("https://kabutan.jp/stock/?code="&amp;StockList_MS2!A130,"株探"))</f>
        <v/>
      </c>
      <c r="C131" s="5" t="str">
        <f>IF(StockList_MS2!A130="","",StockList_MS2!A130)</f>
        <v/>
      </c>
      <c r="D131" s="7" t="str">
        <f>IF(StockList_MS2!A130="","",StockList_MS2!B130)</f>
        <v/>
      </c>
      <c r="E131" s="8"/>
      <c r="F131" s="8"/>
      <c r="G131" s="8"/>
      <c r="H131" s="8"/>
      <c r="I131" s="19"/>
      <c r="J131" s="8"/>
      <c r="K131" s="8"/>
      <c r="L131" s="8"/>
      <c r="M131" s="5" t="str">
        <f t="shared" si="21"/>
        <v/>
      </c>
      <c r="N131" s="9" t="str">
        <f>IF(OR(E131="",F131="",G131=""),"",IF(AD131&gt;0,AD131,(F131-G131)/SQRT(操作パネル_MS2!$H$12)*操作パネル_MS2!$H$10))</f>
        <v/>
      </c>
      <c r="O131" s="5" t="str">
        <f>IF(OR(E131="",AC131=""),"",IF(AC131&gt;=操作パネル_MS2!$H$3,"VOL-OK","VOL-NG"))</f>
        <v/>
      </c>
      <c r="P131" s="5" t="str">
        <f t="shared" ref="P131:P194" si="23">IF(E131="","",IF(E131&gt;J131,"ON","OFF"))</f>
        <v/>
      </c>
      <c r="Q131" s="5" t="str">
        <f t="shared" ref="Q131:Q194" si="24">IF(E131="","",IF(E131&lt;K131,"ON","OFF"))</f>
        <v/>
      </c>
      <c r="R131" s="5" t="str">
        <f t="shared" ref="R131:R194" si="25">IF(OR(E131="",N131&lt;=0),"",IF(AND(M131="BUY-DAY",O131="VOL-OK",P131="ON",AA131="OK",AB131&lt;&gt;"DOWN"),"BUY",IF(AND(M131="SELL-DAY",O131="VOL-OK",Q131="ON",AA131="OK",AB131&lt;&gt;"UP"),"SELL","")))</f>
        <v/>
      </c>
      <c r="S131" s="9" t="str">
        <f t="shared" ref="S131:S194" si="26">IF(R131="","",E131)</f>
        <v/>
      </c>
      <c r="T131" s="9" t="str">
        <f>IF(R131="","",IF(R131="BUY",E131-N131*操作パネル_MS2!$H$5,E131+N131*操作パネル_MS2!$H$5))</f>
        <v/>
      </c>
      <c r="U131" s="9" t="str">
        <f>IF(R131="","",IF(R131="BUY",E131+N131*操作パネル_MS2!$H$6,E131-N131*操作パネル_MS2!$H$6))</f>
        <v/>
      </c>
      <c r="V131" s="9" t="str">
        <f>IF(R131="","",IF(R131="BUY",E131+N131*操作パネル_MS2!$H$7,E131-N131*操作パネル_MS2!$H$7))</f>
        <v/>
      </c>
      <c r="W131" s="9" t="str">
        <f>IF(R131="","",IF(R131="BUY",E131+N131*操作パネル_MS2!$H$8,E131-N131*操作パネル_MS2!$H$8))</f>
        <v/>
      </c>
      <c r="X131" s="5" t="str">
        <f t="shared" ref="X131:X194" si="27">IF(OR(E131="",N131&lt;=0),"",IF(AND(E131&gt;L131,ABS(E131-L131)&lt;N131*0.5),"2ND","1ST"))</f>
        <v/>
      </c>
      <c r="Y131" s="5" t="str">
        <f t="shared" ref="Y131:Y194" ca="1" si="28">IF(OR(E131="",N131&lt;=0),"",IF(AND(TEXT(NOW(),"hh:mm")&gt;="09:00",TEXT(NOW(),"hh:mm")&lt;="09:30"),"寄り付き",IF(AND(TEXT(NOW(),"hh:mm")&gt;="12:30",TEXT(NOW(),"hh:mm")&lt;="14:30"),"後場",IF(AND(TEXT(NOW(),"hh:mm")&gt;="14:30",TEXT(NOW(),"hh:mm")&lt;="15:00"),"引け前","その他"))))</f>
        <v/>
      </c>
      <c r="Z131" s="5" t="str">
        <f>IF(OR(E131="",N131&lt;=0),"",IF(N131&gt;E131*操作パネル_MS2!$H$4,"VOL-HIGH","VOL-NORMAL"))</f>
        <v/>
      </c>
      <c r="AA131" s="5" t="str">
        <f t="shared" ref="AA131:AA194" si="29">IF(OR(E131="",N131&lt;=0),"",IF(AND(O131="VOL-OK",Z131="VOL-NORMAL"),"OK","NG"))</f>
        <v/>
      </c>
      <c r="AB131" s="5" t="str">
        <f t="shared" ref="AB131:AB194" si="30">IF(OR(E131="",N131&lt;=0),"",IF(AND(F131&gt;J131,G131&gt;K131),"UP",IF(AND(F131&lt;J131,G131&lt;K131),"DOWN","FLAT")))</f>
        <v/>
      </c>
      <c r="AC131" s="30" t="str">
        <f>IF(C131="","",_xll.RssMarket(C131&amp;"","売買代金"))</f>
        <v/>
      </c>
      <c r="AD131" s="31">
        <f>IFERROR(INDEX(ATRHIST_MS2!$H:$H,MATCH(C131,ATRHIST_MS2!$A:$A,0)),0)</f>
        <v>0</v>
      </c>
    </row>
    <row r="132" spans="1:30" ht="25.95" customHeight="1">
      <c r="A132" s="10" t="str">
        <f t="shared" si="22"/>
        <v/>
      </c>
      <c r="B132" s="11" t="str">
        <f>IF(StockList_MS2!A131="","",HYPERLINK("https://kabutan.jp/stock/?code="&amp;StockList_MS2!A131,"株探"))</f>
        <v/>
      </c>
      <c r="C132" s="10" t="str">
        <f>IF(StockList_MS2!A131="","",StockList_MS2!A131)</f>
        <v/>
      </c>
      <c r="D132" s="12" t="str">
        <f>IF(StockList_MS2!A131="","",StockList_MS2!B131)</f>
        <v/>
      </c>
      <c r="E132" s="13"/>
      <c r="F132" s="13"/>
      <c r="G132" s="13"/>
      <c r="H132" s="13"/>
      <c r="I132" s="20"/>
      <c r="J132" s="13"/>
      <c r="K132" s="13"/>
      <c r="L132" s="13"/>
      <c r="M132" s="5" t="str">
        <f t="shared" si="21"/>
        <v/>
      </c>
      <c r="N132" s="9" t="str">
        <f>IF(OR(E132="",F132="",G132=""),"",IF(AD132&gt;0,AD132,(F132-G132)/SQRT(操作パネル_MS2!$H$12)*操作パネル_MS2!$H$10))</f>
        <v/>
      </c>
      <c r="O132" s="5" t="str">
        <f>IF(OR(E132="",AC132=""),"",IF(AC132&gt;=操作パネル_MS2!$H$3,"VOL-OK","VOL-NG"))</f>
        <v/>
      </c>
      <c r="P132" s="5" t="str">
        <f t="shared" si="23"/>
        <v/>
      </c>
      <c r="Q132" s="5" t="str">
        <f t="shared" si="24"/>
        <v/>
      </c>
      <c r="R132" s="5" t="str">
        <f t="shared" si="25"/>
        <v/>
      </c>
      <c r="S132" s="9" t="str">
        <f t="shared" si="26"/>
        <v/>
      </c>
      <c r="T132" s="9" t="str">
        <f>IF(R132="","",IF(R132="BUY",E132-N132*操作パネル_MS2!$H$5,E132+N132*操作パネル_MS2!$H$5))</f>
        <v/>
      </c>
      <c r="U132" s="9" t="str">
        <f>IF(R132="","",IF(R132="BUY",E132+N132*操作パネル_MS2!$H$6,E132-N132*操作パネル_MS2!$H$6))</f>
        <v/>
      </c>
      <c r="V132" s="9" t="str">
        <f>IF(R132="","",IF(R132="BUY",E132+N132*操作パネル_MS2!$H$7,E132-N132*操作パネル_MS2!$H$7))</f>
        <v/>
      </c>
      <c r="W132" s="9" t="str">
        <f>IF(R132="","",IF(R132="BUY",E132+N132*操作パネル_MS2!$H$8,E132-N132*操作パネル_MS2!$H$8))</f>
        <v/>
      </c>
      <c r="X132" s="5" t="str">
        <f t="shared" si="27"/>
        <v/>
      </c>
      <c r="Y132" s="5" t="str">
        <f t="shared" ca="1" si="28"/>
        <v/>
      </c>
      <c r="Z132" s="5" t="str">
        <f>IF(OR(E132="",N132&lt;=0),"",IF(N132&gt;E132*操作パネル_MS2!$H$4,"VOL-HIGH","VOL-NORMAL"))</f>
        <v/>
      </c>
      <c r="AA132" s="5" t="str">
        <f t="shared" si="29"/>
        <v/>
      </c>
      <c r="AB132" s="5" t="str">
        <f t="shared" si="30"/>
        <v/>
      </c>
      <c r="AC132" s="30" t="str">
        <f>IF(C132="","",_xll.RssMarket(C132&amp;"","売買代金"))</f>
        <v/>
      </c>
      <c r="AD132" s="31">
        <f>IFERROR(INDEX(ATRHIST_MS2!$H:$H,MATCH(C132,ATRHIST_MS2!$A:$A,0)),0)</f>
        <v>0</v>
      </c>
    </row>
    <row r="133" spans="1:30" ht="25.95" customHeight="1">
      <c r="A133" s="5" t="str">
        <f t="shared" si="22"/>
        <v/>
      </c>
      <c r="B133" s="6" t="str">
        <f>IF(StockList_MS2!A132="","",HYPERLINK("https://kabutan.jp/stock/?code="&amp;StockList_MS2!A132,"株探"))</f>
        <v/>
      </c>
      <c r="C133" s="5" t="str">
        <f>IF(StockList_MS2!A132="","",StockList_MS2!A132)</f>
        <v/>
      </c>
      <c r="D133" s="7" t="str">
        <f>IF(StockList_MS2!A132="","",StockList_MS2!B132)</f>
        <v/>
      </c>
      <c r="E133" s="8"/>
      <c r="F133" s="8"/>
      <c r="G133" s="8"/>
      <c r="H133" s="8"/>
      <c r="I133" s="19"/>
      <c r="J133" s="8"/>
      <c r="K133" s="8"/>
      <c r="L133" s="8"/>
      <c r="M133" s="5" t="str">
        <f t="shared" si="21"/>
        <v/>
      </c>
      <c r="N133" s="9" t="str">
        <f>IF(OR(E133="",F133="",G133=""),"",IF(AD133&gt;0,AD133,(F133-G133)/SQRT(操作パネル_MS2!$H$12)*操作パネル_MS2!$H$10))</f>
        <v/>
      </c>
      <c r="O133" s="5" t="str">
        <f>IF(OR(E133="",AC133=""),"",IF(AC133&gt;=操作パネル_MS2!$H$3,"VOL-OK","VOL-NG"))</f>
        <v/>
      </c>
      <c r="P133" s="5" t="str">
        <f t="shared" si="23"/>
        <v/>
      </c>
      <c r="Q133" s="5" t="str">
        <f t="shared" si="24"/>
        <v/>
      </c>
      <c r="R133" s="5" t="str">
        <f t="shared" si="25"/>
        <v/>
      </c>
      <c r="S133" s="9" t="str">
        <f t="shared" si="26"/>
        <v/>
      </c>
      <c r="T133" s="9" t="str">
        <f>IF(R133="","",IF(R133="BUY",E133-N133*操作パネル_MS2!$H$5,E133+N133*操作パネル_MS2!$H$5))</f>
        <v/>
      </c>
      <c r="U133" s="9" t="str">
        <f>IF(R133="","",IF(R133="BUY",E133+N133*操作パネル_MS2!$H$6,E133-N133*操作パネル_MS2!$H$6))</f>
        <v/>
      </c>
      <c r="V133" s="9" t="str">
        <f>IF(R133="","",IF(R133="BUY",E133+N133*操作パネル_MS2!$H$7,E133-N133*操作パネル_MS2!$H$7))</f>
        <v/>
      </c>
      <c r="W133" s="9" t="str">
        <f>IF(R133="","",IF(R133="BUY",E133+N133*操作パネル_MS2!$H$8,E133-N133*操作パネル_MS2!$H$8))</f>
        <v/>
      </c>
      <c r="X133" s="5" t="str">
        <f t="shared" si="27"/>
        <v/>
      </c>
      <c r="Y133" s="5" t="str">
        <f t="shared" ca="1" si="28"/>
        <v/>
      </c>
      <c r="Z133" s="5" t="str">
        <f>IF(OR(E133="",N133&lt;=0),"",IF(N133&gt;E133*操作パネル_MS2!$H$4,"VOL-HIGH","VOL-NORMAL"))</f>
        <v/>
      </c>
      <c r="AA133" s="5" t="str">
        <f t="shared" si="29"/>
        <v/>
      </c>
      <c r="AB133" s="5" t="str">
        <f t="shared" si="30"/>
        <v/>
      </c>
      <c r="AC133" s="30" t="str">
        <f>IF(C133="","",_xll.RssMarket(C133&amp;"","売買代金"))</f>
        <v/>
      </c>
      <c r="AD133" s="31">
        <f>IFERROR(INDEX(ATRHIST_MS2!$H:$H,MATCH(C133,ATRHIST_MS2!$A:$A,0)),0)</f>
        <v>0</v>
      </c>
    </row>
    <row r="134" spans="1:30" ht="25.95" customHeight="1">
      <c r="A134" s="10" t="str">
        <f t="shared" si="22"/>
        <v/>
      </c>
      <c r="B134" s="11" t="str">
        <f>IF(StockList_MS2!A133="","",HYPERLINK("https://kabutan.jp/stock/?code="&amp;StockList_MS2!A133,"株探"))</f>
        <v/>
      </c>
      <c r="C134" s="10" t="str">
        <f>IF(StockList_MS2!A133="","",StockList_MS2!A133)</f>
        <v/>
      </c>
      <c r="D134" s="12" t="str">
        <f>IF(StockList_MS2!A133="","",StockList_MS2!B133)</f>
        <v/>
      </c>
      <c r="E134" s="13"/>
      <c r="F134" s="13"/>
      <c r="G134" s="13"/>
      <c r="H134" s="13"/>
      <c r="I134" s="20"/>
      <c r="J134" s="13"/>
      <c r="K134" s="13"/>
      <c r="L134" s="13"/>
      <c r="M134" s="5" t="str">
        <f t="shared" si="21"/>
        <v/>
      </c>
      <c r="N134" s="9" t="str">
        <f>IF(OR(E134="",F134="",G134=""),"",IF(AD134&gt;0,AD134,(F134-G134)/SQRT(操作パネル_MS2!$H$12)*操作パネル_MS2!$H$10))</f>
        <v/>
      </c>
      <c r="O134" s="5" t="str">
        <f>IF(OR(E134="",AC134=""),"",IF(AC134&gt;=操作パネル_MS2!$H$3,"VOL-OK","VOL-NG"))</f>
        <v/>
      </c>
      <c r="P134" s="5" t="str">
        <f t="shared" si="23"/>
        <v/>
      </c>
      <c r="Q134" s="5" t="str">
        <f t="shared" si="24"/>
        <v/>
      </c>
      <c r="R134" s="5" t="str">
        <f t="shared" si="25"/>
        <v/>
      </c>
      <c r="S134" s="9" t="str">
        <f t="shared" si="26"/>
        <v/>
      </c>
      <c r="T134" s="9" t="str">
        <f>IF(R134="","",IF(R134="BUY",E134-N134*操作パネル_MS2!$H$5,E134+N134*操作パネル_MS2!$H$5))</f>
        <v/>
      </c>
      <c r="U134" s="9" t="str">
        <f>IF(R134="","",IF(R134="BUY",E134+N134*操作パネル_MS2!$H$6,E134-N134*操作パネル_MS2!$H$6))</f>
        <v/>
      </c>
      <c r="V134" s="9" t="str">
        <f>IF(R134="","",IF(R134="BUY",E134+N134*操作パネル_MS2!$H$7,E134-N134*操作パネル_MS2!$H$7))</f>
        <v/>
      </c>
      <c r="W134" s="9" t="str">
        <f>IF(R134="","",IF(R134="BUY",E134+N134*操作パネル_MS2!$H$8,E134-N134*操作パネル_MS2!$H$8))</f>
        <v/>
      </c>
      <c r="X134" s="5" t="str">
        <f t="shared" si="27"/>
        <v/>
      </c>
      <c r="Y134" s="5" t="str">
        <f t="shared" ca="1" si="28"/>
        <v/>
      </c>
      <c r="Z134" s="5" t="str">
        <f>IF(OR(E134="",N134&lt;=0),"",IF(N134&gt;E134*操作パネル_MS2!$H$4,"VOL-HIGH","VOL-NORMAL"))</f>
        <v/>
      </c>
      <c r="AA134" s="5" t="str">
        <f t="shared" si="29"/>
        <v/>
      </c>
      <c r="AB134" s="5" t="str">
        <f t="shared" si="30"/>
        <v/>
      </c>
      <c r="AC134" s="30" t="str">
        <f>IF(C134="","",_xll.RssMarket(C134&amp;"","売買代金"))</f>
        <v/>
      </c>
      <c r="AD134" s="31">
        <f>IFERROR(INDEX(ATRHIST_MS2!$H:$H,MATCH(C134,ATRHIST_MS2!$A:$A,0)),0)</f>
        <v>0</v>
      </c>
    </row>
    <row r="135" spans="1:30" ht="25.95" customHeight="1">
      <c r="A135" s="5" t="str">
        <f t="shared" si="22"/>
        <v/>
      </c>
      <c r="B135" s="6" t="str">
        <f>IF(StockList_MS2!A134="","",HYPERLINK("https://kabutan.jp/stock/?code="&amp;StockList_MS2!A134,"株探"))</f>
        <v/>
      </c>
      <c r="C135" s="5" t="str">
        <f>IF(StockList_MS2!A134="","",StockList_MS2!A134)</f>
        <v/>
      </c>
      <c r="D135" s="7" t="str">
        <f>IF(StockList_MS2!A134="","",StockList_MS2!B134)</f>
        <v/>
      </c>
      <c r="E135" s="8"/>
      <c r="F135" s="8"/>
      <c r="G135" s="8"/>
      <c r="H135" s="8"/>
      <c r="I135" s="19"/>
      <c r="J135" s="8"/>
      <c r="K135" s="8"/>
      <c r="L135" s="8"/>
      <c r="M135" s="5" t="str">
        <f t="shared" si="21"/>
        <v/>
      </c>
      <c r="N135" s="9" t="str">
        <f>IF(OR(E135="",F135="",G135=""),"",IF(AD135&gt;0,AD135,(F135-G135)/SQRT(操作パネル_MS2!$H$12)*操作パネル_MS2!$H$10))</f>
        <v/>
      </c>
      <c r="O135" s="5" t="str">
        <f>IF(OR(E135="",AC135=""),"",IF(AC135&gt;=操作パネル_MS2!$H$3,"VOL-OK","VOL-NG"))</f>
        <v/>
      </c>
      <c r="P135" s="5" t="str">
        <f t="shared" si="23"/>
        <v/>
      </c>
      <c r="Q135" s="5" t="str">
        <f t="shared" si="24"/>
        <v/>
      </c>
      <c r="R135" s="5" t="str">
        <f t="shared" si="25"/>
        <v/>
      </c>
      <c r="S135" s="9" t="str">
        <f t="shared" si="26"/>
        <v/>
      </c>
      <c r="T135" s="9" t="str">
        <f>IF(R135="","",IF(R135="BUY",E135-N135*操作パネル_MS2!$H$5,E135+N135*操作パネル_MS2!$H$5))</f>
        <v/>
      </c>
      <c r="U135" s="9" t="str">
        <f>IF(R135="","",IF(R135="BUY",E135+N135*操作パネル_MS2!$H$6,E135-N135*操作パネル_MS2!$H$6))</f>
        <v/>
      </c>
      <c r="V135" s="9" t="str">
        <f>IF(R135="","",IF(R135="BUY",E135+N135*操作パネル_MS2!$H$7,E135-N135*操作パネル_MS2!$H$7))</f>
        <v/>
      </c>
      <c r="W135" s="9" t="str">
        <f>IF(R135="","",IF(R135="BUY",E135+N135*操作パネル_MS2!$H$8,E135-N135*操作パネル_MS2!$H$8))</f>
        <v/>
      </c>
      <c r="X135" s="5" t="str">
        <f t="shared" si="27"/>
        <v/>
      </c>
      <c r="Y135" s="5" t="str">
        <f t="shared" ca="1" si="28"/>
        <v/>
      </c>
      <c r="Z135" s="5" t="str">
        <f>IF(OR(E135="",N135&lt;=0),"",IF(N135&gt;E135*操作パネル_MS2!$H$4,"VOL-HIGH","VOL-NORMAL"))</f>
        <v/>
      </c>
      <c r="AA135" s="5" t="str">
        <f t="shared" si="29"/>
        <v/>
      </c>
      <c r="AB135" s="5" t="str">
        <f t="shared" si="30"/>
        <v/>
      </c>
      <c r="AC135" s="30" t="str">
        <f>IF(C135="","",_xll.RssMarket(C135&amp;"","売買代金"))</f>
        <v/>
      </c>
      <c r="AD135" s="31">
        <f>IFERROR(INDEX(ATRHIST_MS2!$H:$H,MATCH(C135,ATRHIST_MS2!$A:$A,0)),0)</f>
        <v>0</v>
      </c>
    </row>
    <row r="136" spans="1:30" ht="25.95" customHeight="1">
      <c r="A136" s="10" t="str">
        <f t="shared" si="22"/>
        <v/>
      </c>
      <c r="B136" s="11" t="str">
        <f>IF(StockList_MS2!A135="","",HYPERLINK("https://kabutan.jp/stock/?code="&amp;StockList_MS2!A135,"株探"))</f>
        <v/>
      </c>
      <c r="C136" s="10" t="str">
        <f>IF(StockList_MS2!A135="","",StockList_MS2!A135)</f>
        <v/>
      </c>
      <c r="D136" s="12" t="str">
        <f>IF(StockList_MS2!A135="","",StockList_MS2!B135)</f>
        <v/>
      </c>
      <c r="E136" s="13"/>
      <c r="F136" s="13"/>
      <c r="G136" s="13"/>
      <c r="H136" s="13"/>
      <c r="I136" s="20"/>
      <c r="J136" s="13"/>
      <c r="K136" s="13"/>
      <c r="L136" s="13"/>
      <c r="M136" s="5" t="str">
        <f t="shared" si="21"/>
        <v/>
      </c>
      <c r="N136" s="9" t="str">
        <f>IF(OR(E136="",F136="",G136=""),"",IF(AD136&gt;0,AD136,(F136-G136)/SQRT(操作パネル_MS2!$H$12)*操作パネル_MS2!$H$10))</f>
        <v/>
      </c>
      <c r="O136" s="5" t="str">
        <f>IF(OR(E136="",AC136=""),"",IF(AC136&gt;=操作パネル_MS2!$H$3,"VOL-OK","VOL-NG"))</f>
        <v/>
      </c>
      <c r="P136" s="5" t="str">
        <f t="shared" si="23"/>
        <v/>
      </c>
      <c r="Q136" s="5" t="str">
        <f t="shared" si="24"/>
        <v/>
      </c>
      <c r="R136" s="5" t="str">
        <f t="shared" si="25"/>
        <v/>
      </c>
      <c r="S136" s="9" t="str">
        <f t="shared" si="26"/>
        <v/>
      </c>
      <c r="T136" s="9" t="str">
        <f>IF(R136="","",IF(R136="BUY",E136-N136*操作パネル_MS2!$H$5,E136+N136*操作パネル_MS2!$H$5))</f>
        <v/>
      </c>
      <c r="U136" s="9" t="str">
        <f>IF(R136="","",IF(R136="BUY",E136+N136*操作パネル_MS2!$H$6,E136-N136*操作パネル_MS2!$H$6))</f>
        <v/>
      </c>
      <c r="V136" s="9" t="str">
        <f>IF(R136="","",IF(R136="BUY",E136+N136*操作パネル_MS2!$H$7,E136-N136*操作パネル_MS2!$H$7))</f>
        <v/>
      </c>
      <c r="W136" s="9" t="str">
        <f>IF(R136="","",IF(R136="BUY",E136+N136*操作パネル_MS2!$H$8,E136-N136*操作パネル_MS2!$H$8))</f>
        <v/>
      </c>
      <c r="X136" s="5" t="str">
        <f t="shared" si="27"/>
        <v/>
      </c>
      <c r="Y136" s="5" t="str">
        <f t="shared" ca="1" si="28"/>
        <v/>
      </c>
      <c r="Z136" s="5" t="str">
        <f>IF(OR(E136="",N136&lt;=0),"",IF(N136&gt;E136*操作パネル_MS2!$H$4,"VOL-HIGH","VOL-NORMAL"))</f>
        <v/>
      </c>
      <c r="AA136" s="5" t="str">
        <f t="shared" si="29"/>
        <v/>
      </c>
      <c r="AB136" s="5" t="str">
        <f t="shared" si="30"/>
        <v/>
      </c>
      <c r="AC136" s="30" t="str">
        <f>IF(C136="","",_xll.RssMarket(C136&amp;"","売買代金"))</f>
        <v/>
      </c>
      <c r="AD136" s="31">
        <f>IFERROR(INDEX(ATRHIST_MS2!$H:$H,MATCH(C136,ATRHIST_MS2!$A:$A,0)),0)</f>
        <v>0</v>
      </c>
    </row>
    <row r="137" spans="1:30" ht="25.95" customHeight="1">
      <c r="A137" s="5" t="str">
        <f t="shared" si="22"/>
        <v/>
      </c>
      <c r="B137" s="6" t="str">
        <f>IF(StockList_MS2!A136="","",HYPERLINK("https://kabutan.jp/stock/?code="&amp;StockList_MS2!A136,"株探"))</f>
        <v/>
      </c>
      <c r="C137" s="5" t="str">
        <f>IF(StockList_MS2!A136="","",StockList_MS2!A136)</f>
        <v/>
      </c>
      <c r="D137" s="7" t="str">
        <f>IF(StockList_MS2!A136="","",StockList_MS2!B136)</f>
        <v/>
      </c>
      <c r="E137" s="8"/>
      <c r="F137" s="8"/>
      <c r="G137" s="8"/>
      <c r="H137" s="8"/>
      <c r="I137" s="19"/>
      <c r="J137" s="8"/>
      <c r="K137" s="8"/>
      <c r="L137" s="8"/>
      <c r="M137" s="5" t="str">
        <f t="shared" si="21"/>
        <v/>
      </c>
      <c r="N137" s="9" t="str">
        <f>IF(OR(E137="",F137="",G137=""),"",IF(AD137&gt;0,AD137,(F137-G137)/SQRT(操作パネル_MS2!$H$12)*操作パネル_MS2!$H$10))</f>
        <v/>
      </c>
      <c r="O137" s="5" t="str">
        <f>IF(OR(E137="",AC137=""),"",IF(AC137&gt;=操作パネル_MS2!$H$3,"VOL-OK","VOL-NG"))</f>
        <v/>
      </c>
      <c r="P137" s="5" t="str">
        <f t="shared" si="23"/>
        <v/>
      </c>
      <c r="Q137" s="5" t="str">
        <f t="shared" si="24"/>
        <v/>
      </c>
      <c r="R137" s="5" t="str">
        <f t="shared" si="25"/>
        <v/>
      </c>
      <c r="S137" s="9" t="str">
        <f t="shared" si="26"/>
        <v/>
      </c>
      <c r="T137" s="9" t="str">
        <f>IF(R137="","",IF(R137="BUY",E137-N137*操作パネル_MS2!$H$5,E137+N137*操作パネル_MS2!$H$5))</f>
        <v/>
      </c>
      <c r="U137" s="9" t="str">
        <f>IF(R137="","",IF(R137="BUY",E137+N137*操作パネル_MS2!$H$6,E137-N137*操作パネル_MS2!$H$6))</f>
        <v/>
      </c>
      <c r="V137" s="9" t="str">
        <f>IF(R137="","",IF(R137="BUY",E137+N137*操作パネル_MS2!$H$7,E137-N137*操作パネル_MS2!$H$7))</f>
        <v/>
      </c>
      <c r="W137" s="9" t="str">
        <f>IF(R137="","",IF(R137="BUY",E137+N137*操作パネル_MS2!$H$8,E137-N137*操作パネル_MS2!$H$8))</f>
        <v/>
      </c>
      <c r="X137" s="5" t="str">
        <f t="shared" si="27"/>
        <v/>
      </c>
      <c r="Y137" s="5" t="str">
        <f t="shared" ca="1" si="28"/>
        <v/>
      </c>
      <c r="Z137" s="5" t="str">
        <f>IF(OR(E137="",N137&lt;=0),"",IF(N137&gt;E137*操作パネル_MS2!$H$4,"VOL-HIGH","VOL-NORMAL"))</f>
        <v/>
      </c>
      <c r="AA137" s="5" t="str">
        <f t="shared" si="29"/>
        <v/>
      </c>
      <c r="AB137" s="5" t="str">
        <f t="shared" si="30"/>
        <v/>
      </c>
      <c r="AC137" s="30" t="str">
        <f>IF(C137="","",_xll.RssMarket(C137&amp;"","売買代金"))</f>
        <v/>
      </c>
      <c r="AD137" s="31">
        <f>IFERROR(INDEX(ATRHIST_MS2!$H:$H,MATCH(C137,ATRHIST_MS2!$A:$A,0)),0)</f>
        <v>0</v>
      </c>
    </row>
    <row r="138" spans="1:30" ht="25.95" customHeight="1">
      <c r="A138" s="10" t="str">
        <f t="shared" si="22"/>
        <v/>
      </c>
      <c r="B138" s="11" t="str">
        <f>IF(StockList_MS2!A137="","",HYPERLINK("https://kabutan.jp/stock/?code="&amp;StockList_MS2!A137,"株探"))</f>
        <v/>
      </c>
      <c r="C138" s="10" t="str">
        <f>IF(StockList_MS2!A137="","",StockList_MS2!A137)</f>
        <v/>
      </c>
      <c r="D138" s="12" t="str">
        <f>IF(StockList_MS2!A137="","",StockList_MS2!B137)</f>
        <v/>
      </c>
      <c r="E138" s="13"/>
      <c r="F138" s="13"/>
      <c r="G138" s="13"/>
      <c r="H138" s="13"/>
      <c r="I138" s="20"/>
      <c r="J138" s="13"/>
      <c r="K138" s="13"/>
      <c r="L138" s="13"/>
      <c r="M138" s="5" t="str">
        <f t="shared" si="21"/>
        <v/>
      </c>
      <c r="N138" s="9" t="str">
        <f>IF(OR(E138="",F138="",G138=""),"",IF(AD138&gt;0,AD138,(F138-G138)/SQRT(操作パネル_MS2!$H$12)*操作パネル_MS2!$H$10))</f>
        <v/>
      </c>
      <c r="O138" s="5" t="str">
        <f>IF(OR(E138="",AC138=""),"",IF(AC138&gt;=操作パネル_MS2!$H$3,"VOL-OK","VOL-NG"))</f>
        <v/>
      </c>
      <c r="P138" s="5" t="str">
        <f t="shared" si="23"/>
        <v/>
      </c>
      <c r="Q138" s="5" t="str">
        <f t="shared" si="24"/>
        <v/>
      </c>
      <c r="R138" s="5" t="str">
        <f t="shared" si="25"/>
        <v/>
      </c>
      <c r="S138" s="9" t="str">
        <f t="shared" si="26"/>
        <v/>
      </c>
      <c r="T138" s="9" t="str">
        <f>IF(R138="","",IF(R138="BUY",E138-N138*操作パネル_MS2!$H$5,E138+N138*操作パネル_MS2!$H$5))</f>
        <v/>
      </c>
      <c r="U138" s="9" t="str">
        <f>IF(R138="","",IF(R138="BUY",E138+N138*操作パネル_MS2!$H$6,E138-N138*操作パネル_MS2!$H$6))</f>
        <v/>
      </c>
      <c r="V138" s="9" t="str">
        <f>IF(R138="","",IF(R138="BUY",E138+N138*操作パネル_MS2!$H$7,E138-N138*操作パネル_MS2!$H$7))</f>
        <v/>
      </c>
      <c r="W138" s="9" t="str">
        <f>IF(R138="","",IF(R138="BUY",E138+N138*操作パネル_MS2!$H$8,E138-N138*操作パネル_MS2!$H$8))</f>
        <v/>
      </c>
      <c r="X138" s="5" t="str">
        <f t="shared" si="27"/>
        <v/>
      </c>
      <c r="Y138" s="5" t="str">
        <f t="shared" ca="1" si="28"/>
        <v/>
      </c>
      <c r="Z138" s="5" t="str">
        <f>IF(OR(E138="",N138&lt;=0),"",IF(N138&gt;E138*操作パネル_MS2!$H$4,"VOL-HIGH","VOL-NORMAL"))</f>
        <v/>
      </c>
      <c r="AA138" s="5" t="str">
        <f t="shared" si="29"/>
        <v/>
      </c>
      <c r="AB138" s="5" t="str">
        <f t="shared" si="30"/>
        <v/>
      </c>
      <c r="AC138" s="30" t="str">
        <f>IF(C138="","",_xll.RssMarket(C138&amp;"","売買代金"))</f>
        <v/>
      </c>
      <c r="AD138" s="31">
        <f>IFERROR(INDEX(ATRHIST_MS2!$H:$H,MATCH(C138,ATRHIST_MS2!$A:$A,0)),0)</f>
        <v>0</v>
      </c>
    </row>
    <row r="139" spans="1:30" ht="25.95" customHeight="1">
      <c r="A139" s="5" t="str">
        <f t="shared" si="22"/>
        <v/>
      </c>
      <c r="B139" s="6" t="str">
        <f>IF(StockList_MS2!A138="","",HYPERLINK("https://kabutan.jp/stock/?code="&amp;StockList_MS2!A138,"株探"))</f>
        <v/>
      </c>
      <c r="C139" s="5" t="str">
        <f>IF(StockList_MS2!A138="","",StockList_MS2!A138)</f>
        <v/>
      </c>
      <c r="D139" s="7" t="str">
        <f>IF(StockList_MS2!A138="","",StockList_MS2!B138)</f>
        <v/>
      </c>
      <c r="E139" s="8"/>
      <c r="F139" s="8"/>
      <c r="G139" s="8"/>
      <c r="H139" s="8"/>
      <c r="I139" s="19"/>
      <c r="J139" s="8"/>
      <c r="K139" s="8"/>
      <c r="L139" s="8"/>
      <c r="M139" s="5" t="str">
        <f t="shared" si="21"/>
        <v/>
      </c>
      <c r="N139" s="9" t="str">
        <f>IF(OR(E139="",F139="",G139=""),"",IF(AD139&gt;0,AD139,(F139-G139)/SQRT(操作パネル_MS2!$H$12)*操作パネル_MS2!$H$10))</f>
        <v/>
      </c>
      <c r="O139" s="5" t="str">
        <f>IF(OR(E139="",AC139=""),"",IF(AC139&gt;=操作パネル_MS2!$H$3,"VOL-OK","VOL-NG"))</f>
        <v/>
      </c>
      <c r="P139" s="5" t="str">
        <f t="shared" si="23"/>
        <v/>
      </c>
      <c r="Q139" s="5" t="str">
        <f t="shared" si="24"/>
        <v/>
      </c>
      <c r="R139" s="5" t="str">
        <f t="shared" si="25"/>
        <v/>
      </c>
      <c r="S139" s="9" t="str">
        <f t="shared" si="26"/>
        <v/>
      </c>
      <c r="T139" s="9" t="str">
        <f>IF(R139="","",IF(R139="BUY",E139-N139*操作パネル_MS2!$H$5,E139+N139*操作パネル_MS2!$H$5))</f>
        <v/>
      </c>
      <c r="U139" s="9" t="str">
        <f>IF(R139="","",IF(R139="BUY",E139+N139*操作パネル_MS2!$H$6,E139-N139*操作パネル_MS2!$H$6))</f>
        <v/>
      </c>
      <c r="V139" s="9" t="str">
        <f>IF(R139="","",IF(R139="BUY",E139+N139*操作パネル_MS2!$H$7,E139-N139*操作パネル_MS2!$H$7))</f>
        <v/>
      </c>
      <c r="W139" s="9" t="str">
        <f>IF(R139="","",IF(R139="BUY",E139+N139*操作パネル_MS2!$H$8,E139-N139*操作パネル_MS2!$H$8))</f>
        <v/>
      </c>
      <c r="X139" s="5" t="str">
        <f t="shared" si="27"/>
        <v/>
      </c>
      <c r="Y139" s="5" t="str">
        <f t="shared" ca="1" si="28"/>
        <v/>
      </c>
      <c r="Z139" s="5" t="str">
        <f>IF(OR(E139="",N139&lt;=0),"",IF(N139&gt;E139*操作パネル_MS2!$H$4,"VOL-HIGH","VOL-NORMAL"))</f>
        <v/>
      </c>
      <c r="AA139" s="5" t="str">
        <f t="shared" si="29"/>
        <v/>
      </c>
      <c r="AB139" s="5" t="str">
        <f t="shared" si="30"/>
        <v/>
      </c>
      <c r="AC139" s="30" t="str">
        <f>IF(C139="","",_xll.RssMarket(C139&amp;"","売買代金"))</f>
        <v/>
      </c>
      <c r="AD139" s="31">
        <f>IFERROR(INDEX(ATRHIST_MS2!$H:$H,MATCH(C139,ATRHIST_MS2!$A:$A,0)),0)</f>
        <v>0</v>
      </c>
    </row>
    <row r="140" spans="1:30" ht="25.95" customHeight="1">
      <c r="A140" s="10" t="str">
        <f t="shared" si="22"/>
        <v/>
      </c>
      <c r="B140" s="11" t="str">
        <f>IF(StockList_MS2!A139="","",HYPERLINK("https://kabutan.jp/stock/?code="&amp;StockList_MS2!A139,"株探"))</f>
        <v/>
      </c>
      <c r="C140" s="10" t="str">
        <f>IF(StockList_MS2!A139="","",StockList_MS2!A139)</f>
        <v/>
      </c>
      <c r="D140" s="12" t="str">
        <f>IF(StockList_MS2!A139="","",StockList_MS2!B139)</f>
        <v/>
      </c>
      <c r="E140" s="13"/>
      <c r="F140" s="13"/>
      <c r="G140" s="13"/>
      <c r="H140" s="13"/>
      <c r="I140" s="20"/>
      <c r="J140" s="13"/>
      <c r="K140" s="13"/>
      <c r="L140" s="13"/>
      <c r="M140" s="5" t="str">
        <f t="shared" si="21"/>
        <v/>
      </c>
      <c r="N140" s="9" t="str">
        <f>IF(OR(E140="",F140="",G140=""),"",IF(AD140&gt;0,AD140,(F140-G140)/SQRT(操作パネル_MS2!$H$12)*操作パネル_MS2!$H$10))</f>
        <v/>
      </c>
      <c r="O140" s="5" t="str">
        <f>IF(OR(E140="",AC140=""),"",IF(AC140&gt;=操作パネル_MS2!$H$3,"VOL-OK","VOL-NG"))</f>
        <v/>
      </c>
      <c r="P140" s="5" t="str">
        <f t="shared" si="23"/>
        <v/>
      </c>
      <c r="Q140" s="5" t="str">
        <f t="shared" si="24"/>
        <v/>
      </c>
      <c r="R140" s="5" t="str">
        <f t="shared" si="25"/>
        <v/>
      </c>
      <c r="S140" s="9" t="str">
        <f t="shared" si="26"/>
        <v/>
      </c>
      <c r="T140" s="9" t="str">
        <f>IF(R140="","",IF(R140="BUY",E140-N140*操作パネル_MS2!$H$5,E140+N140*操作パネル_MS2!$H$5))</f>
        <v/>
      </c>
      <c r="U140" s="9" t="str">
        <f>IF(R140="","",IF(R140="BUY",E140+N140*操作パネル_MS2!$H$6,E140-N140*操作パネル_MS2!$H$6))</f>
        <v/>
      </c>
      <c r="V140" s="9" t="str">
        <f>IF(R140="","",IF(R140="BUY",E140+N140*操作パネル_MS2!$H$7,E140-N140*操作パネル_MS2!$H$7))</f>
        <v/>
      </c>
      <c r="W140" s="9" t="str">
        <f>IF(R140="","",IF(R140="BUY",E140+N140*操作パネル_MS2!$H$8,E140-N140*操作パネル_MS2!$H$8))</f>
        <v/>
      </c>
      <c r="X140" s="5" t="str">
        <f t="shared" si="27"/>
        <v/>
      </c>
      <c r="Y140" s="5" t="str">
        <f t="shared" ca="1" si="28"/>
        <v/>
      </c>
      <c r="Z140" s="5" t="str">
        <f>IF(OR(E140="",N140&lt;=0),"",IF(N140&gt;E140*操作パネル_MS2!$H$4,"VOL-HIGH","VOL-NORMAL"))</f>
        <v/>
      </c>
      <c r="AA140" s="5" t="str">
        <f t="shared" si="29"/>
        <v/>
      </c>
      <c r="AB140" s="5" t="str">
        <f t="shared" si="30"/>
        <v/>
      </c>
      <c r="AC140" s="30" t="str">
        <f>IF(C140="","",_xll.RssMarket(C140&amp;"","売買代金"))</f>
        <v/>
      </c>
      <c r="AD140" s="31">
        <f>IFERROR(INDEX(ATRHIST_MS2!$H:$H,MATCH(C140,ATRHIST_MS2!$A:$A,0)),0)</f>
        <v>0</v>
      </c>
    </row>
    <row r="141" spans="1:30" ht="25.95" customHeight="1">
      <c r="A141" s="5" t="str">
        <f t="shared" si="22"/>
        <v/>
      </c>
      <c r="B141" s="6" t="str">
        <f>IF(StockList_MS2!A140="","",HYPERLINK("https://kabutan.jp/stock/?code="&amp;StockList_MS2!A140,"株探"))</f>
        <v/>
      </c>
      <c r="C141" s="5" t="str">
        <f>IF(StockList_MS2!A140="","",StockList_MS2!A140)</f>
        <v/>
      </c>
      <c r="D141" s="7" t="str">
        <f>IF(StockList_MS2!A140="","",StockList_MS2!B140)</f>
        <v/>
      </c>
      <c r="E141" s="8"/>
      <c r="F141" s="8"/>
      <c r="G141" s="8"/>
      <c r="H141" s="8"/>
      <c r="I141" s="19"/>
      <c r="J141" s="8"/>
      <c r="K141" s="8"/>
      <c r="L141" s="8"/>
      <c r="M141" s="5" t="str">
        <f t="shared" si="21"/>
        <v/>
      </c>
      <c r="N141" s="9" t="str">
        <f>IF(OR(E141="",F141="",G141=""),"",IF(AD141&gt;0,AD141,(F141-G141)/SQRT(操作パネル_MS2!$H$12)*操作パネル_MS2!$H$10))</f>
        <v/>
      </c>
      <c r="O141" s="5" t="str">
        <f>IF(OR(E141="",AC141=""),"",IF(AC141&gt;=操作パネル_MS2!$H$3,"VOL-OK","VOL-NG"))</f>
        <v/>
      </c>
      <c r="P141" s="5" t="str">
        <f t="shared" si="23"/>
        <v/>
      </c>
      <c r="Q141" s="5" t="str">
        <f t="shared" si="24"/>
        <v/>
      </c>
      <c r="R141" s="5" t="str">
        <f t="shared" si="25"/>
        <v/>
      </c>
      <c r="S141" s="9" t="str">
        <f t="shared" si="26"/>
        <v/>
      </c>
      <c r="T141" s="9" t="str">
        <f>IF(R141="","",IF(R141="BUY",E141-N141*操作パネル_MS2!$H$5,E141+N141*操作パネル_MS2!$H$5))</f>
        <v/>
      </c>
      <c r="U141" s="9" t="str">
        <f>IF(R141="","",IF(R141="BUY",E141+N141*操作パネル_MS2!$H$6,E141-N141*操作パネル_MS2!$H$6))</f>
        <v/>
      </c>
      <c r="V141" s="9" t="str">
        <f>IF(R141="","",IF(R141="BUY",E141+N141*操作パネル_MS2!$H$7,E141-N141*操作パネル_MS2!$H$7))</f>
        <v/>
      </c>
      <c r="W141" s="9" t="str">
        <f>IF(R141="","",IF(R141="BUY",E141+N141*操作パネル_MS2!$H$8,E141-N141*操作パネル_MS2!$H$8))</f>
        <v/>
      </c>
      <c r="X141" s="5" t="str">
        <f t="shared" si="27"/>
        <v/>
      </c>
      <c r="Y141" s="5" t="str">
        <f t="shared" ca="1" si="28"/>
        <v/>
      </c>
      <c r="Z141" s="5" t="str">
        <f>IF(OR(E141="",N141&lt;=0),"",IF(N141&gt;E141*操作パネル_MS2!$H$4,"VOL-HIGH","VOL-NORMAL"))</f>
        <v/>
      </c>
      <c r="AA141" s="5" t="str">
        <f t="shared" si="29"/>
        <v/>
      </c>
      <c r="AB141" s="5" t="str">
        <f t="shared" si="30"/>
        <v/>
      </c>
      <c r="AC141" s="30" t="str">
        <f>IF(C141="","",_xll.RssMarket(C141&amp;"","売買代金"))</f>
        <v/>
      </c>
      <c r="AD141" s="31">
        <f>IFERROR(INDEX(ATRHIST_MS2!$H:$H,MATCH(C141,ATRHIST_MS2!$A:$A,0)),0)</f>
        <v>0</v>
      </c>
    </row>
    <row r="142" spans="1:30" ht="25.95" customHeight="1">
      <c r="A142" s="10" t="str">
        <f t="shared" si="22"/>
        <v/>
      </c>
      <c r="B142" s="11" t="str">
        <f>IF(StockList_MS2!A141="","",HYPERLINK("https://kabutan.jp/stock/?code="&amp;StockList_MS2!A141,"株探"))</f>
        <v/>
      </c>
      <c r="C142" s="10" t="str">
        <f>IF(StockList_MS2!A141="","",StockList_MS2!A141)</f>
        <v/>
      </c>
      <c r="D142" s="12" t="str">
        <f>IF(StockList_MS2!A141="","",StockList_MS2!B141)</f>
        <v/>
      </c>
      <c r="E142" s="13"/>
      <c r="F142" s="13"/>
      <c r="G142" s="13"/>
      <c r="H142" s="13"/>
      <c r="I142" s="20"/>
      <c r="J142" s="13"/>
      <c r="K142" s="13"/>
      <c r="L142" s="13"/>
      <c r="M142" s="5" t="str">
        <f t="shared" si="21"/>
        <v/>
      </c>
      <c r="N142" s="9" t="str">
        <f>IF(OR(E142="",F142="",G142=""),"",IF(AD142&gt;0,AD142,(F142-G142)/SQRT(操作パネル_MS2!$H$12)*操作パネル_MS2!$H$10))</f>
        <v/>
      </c>
      <c r="O142" s="5" t="str">
        <f>IF(OR(E142="",AC142=""),"",IF(AC142&gt;=操作パネル_MS2!$H$3,"VOL-OK","VOL-NG"))</f>
        <v/>
      </c>
      <c r="P142" s="5" t="str">
        <f t="shared" si="23"/>
        <v/>
      </c>
      <c r="Q142" s="5" t="str">
        <f t="shared" si="24"/>
        <v/>
      </c>
      <c r="R142" s="5" t="str">
        <f t="shared" si="25"/>
        <v/>
      </c>
      <c r="S142" s="9" t="str">
        <f t="shared" si="26"/>
        <v/>
      </c>
      <c r="T142" s="9" t="str">
        <f>IF(R142="","",IF(R142="BUY",E142-N142*操作パネル_MS2!$H$5,E142+N142*操作パネル_MS2!$H$5))</f>
        <v/>
      </c>
      <c r="U142" s="9" t="str">
        <f>IF(R142="","",IF(R142="BUY",E142+N142*操作パネル_MS2!$H$6,E142-N142*操作パネル_MS2!$H$6))</f>
        <v/>
      </c>
      <c r="V142" s="9" t="str">
        <f>IF(R142="","",IF(R142="BUY",E142+N142*操作パネル_MS2!$H$7,E142-N142*操作パネル_MS2!$H$7))</f>
        <v/>
      </c>
      <c r="W142" s="9" t="str">
        <f>IF(R142="","",IF(R142="BUY",E142+N142*操作パネル_MS2!$H$8,E142-N142*操作パネル_MS2!$H$8))</f>
        <v/>
      </c>
      <c r="X142" s="5" t="str">
        <f t="shared" si="27"/>
        <v/>
      </c>
      <c r="Y142" s="5" t="str">
        <f t="shared" ca="1" si="28"/>
        <v/>
      </c>
      <c r="Z142" s="5" t="str">
        <f>IF(OR(E142="",N142&lt;=0),"",IF(N142&gt;E142*操作パネル_MS2!$H$4,"VOL-HIGH","VOL-NORMAL"))</f>
        <v/>
      </c>
      <c r="AA142" s="5" t="str">
        <f t="shared" si="29"/>
        <v/>
      </c>
      <c r="AB142" s="5" t="str">
        <f t="shared" si="30"/>
        <v/>
      </c>
      <c r="AC142" s="30" t="str">
        <f>IF(C142="","",_xll.RssMarket(C142&amp;"","売買代金"))</f>
        <v/>
      </c>
      <c r="AD142" s="31">
        <f>IFERROR(INDEX(ATRHIST_MS2!$H:$H,MATCH(C142,ATRHIST_MS2!$A:$A,0)),0)</f>
        <v>0</v>
      </c>
    </row>
    <row r="143" spans="1:30" ht="25.95" customHeight="1">
      <c r="A143" s="5" t="str">
        <f t="shared" si="22"/>
        <v/>
      </c>
      <c r="B143" s="6" t="str">
        <f>IF(StockList_MS2!A142="","",HYPERLINK("https://kabutan.jp/stock/?code="&amp;StockList_MS2!A142,"株探"))</f>
        <v/>
      </c>
      <c r="C143" s="5" t="str">
        <f>IF(StockList_MS2!A142="","",StockList_MS2!A142)</f>
        <v/>
      </c>
      <c r="D143" s="7" t="str">
        <f>IF(StockList_MS2!A142="","",StockList_MS2!B142)</f>
        <v/>
      </c>
      <c r="E143" s="8"/>
      <c r="F143" s="8"/>
      <c r="G143" s="8"/>
      <c r="H143" s="8"/>
      <c r="I143" s="19"/>
      <c r="J143" s="8"/>
      <c r="K143" s="8"/>
      <c r="L143" s="8"/>
      <c r="M143" s="5" t="str">
        <f t="shared" si="21"/>
        <v/>
      </c>
      <c r="N143" s="9" t="str">
        <f>IF(OR(E143="",F143="",G143=""),"",IF(AD143&gt;0,AD143,(F143-G143)/SQRT(操作パネル_MS2!$H$12)*操作パネル_MS2!$H$10))</f>
        <v/>
      </c>
      <c r="O143" s="5" t="str">
        <f>IF(OR(E143="",AC143=""),"",IF(AC143&gt;=操作パネル_MS2!$H$3,"VOL-OK","VOL-NG"))</f>
        <v/>
      </c>
      <c r="P143" s="5" t="str">
        <f t="shared" si="23"/>
        <v/>
      </c>
      <c r="Q143" s="5" t="str">
        <f t="shared" si="24"/>
        <v/>
      </c>
      <c r="R143" s="5" t="str">
        <f t="shared" si="25"/>
        <v/>
      </c>
      <c r="S143" s="9" t="str">
        <f t="shared" si="26"/>
        <v/>
      </c>
      <c r="T143" s="9" t="str">
        <f>IF(R143="","",IF(R143="BUY",E143-N143*操作パネル_MS2!$H$5,E143+N143*操作パネル_MS2!$H$5))</f>
        <v/>
      </c>
      <c r="U143" s="9" t="str">
        <f>IF(R143="","",IF(R143="BUY",E143+N143*操作パネル_MS2!$H$6,E143-N143*操作パネル_MS2!$H$6))</f>
        <v/>
      </c>
      <c r="V143" s="9" t="str">
        <f>IF(R143="","",IF(R143="BUY",E143+N143*操作パネル_MS2!$H$7,E143-N143*操作パネル_MS2!$H$7))</f>
        <v/>
      </c>
      <c r="W143" s="9" t="str">
        <f>IF(R143="","",IF(R143="BUY",E143+N143*操作パネル_MS2!$H$8,E143-N143*操作パネル_MS2!$H$8))</f>
        <v/>
      </c>
      <c r="X143" s="5" t="str">
        <f t="shared" si="27"/>
        <v/>
      </c>
      <c r="Y143" s="5" t="str">
        <f t="shared" ca="1" si="28"/>
        <v/>
      </c>
      <c r="Z143" s="5" t="str">
        <f>IF(OR(E143="",N143&lt;=0),"",IF(N143&gt;E143*操作パネル_MS2!$H$4,"VOL-HIGH","VOL-NORMAL"))</f>
        <v/>
      </c>
      <c r="AA143" s="5" t="str">
        <f t="shared" si="29"/>
        <v/>
      </c>
      <c r="AB143" s="5" t="str">
        <f t="shared" si="30"/>
        <v/>
      </c>
      <c r="AC143" s="30" t="str">
        <f>IF(C143="","",_xll.RssMarket(C143&amp;"","売買代金"))</f>
        <v/>
      </c>
      <c r="AD143" s="31">
        <f>IFERROR(INDEX(ATRHIST_MS2!$H:$H,MATCH(C143,ATRHIST_MS2!$A:$A,0)),0)</f>
        <v>0</v>
      </c>
    </row>
    <row r="144" spans="1:30" ht="25.95" customHeight="1">
      <c r="A144" s="10" t="str">
        <f t="shared" si="22"/>
        <v/>
      </c>
      <c r="B144" s="11" t="str">
        <f>IF(StockList_MS2!A143="","",HYPERLINK("https://kabutan.jp/stock/?code="&amp;StockList_MS2!A143,"株探"))</f>
        <v/>
      </c>
      <c r="C144" s="10" t="str">
        <f>IF(StockList_MS2!A143="","",StockList_MS2!A143)</f>
        <v/>
      </c>
      <c r="D144" s="12" t="str">
        <f>IF(StockList_MS2!A143="","",StockList_MS2!B143)</f>
        <v/>
      </c>
      <c r="E144" s="13"/>
      <c r="F144" s="13"/>
      <c r="G144" s="13"/>
      <c r="H144" s="13"/>
      <c r="I144" s="20"/>
      <c r="J144" s="13"/>
      <c r="K144" s="13"/>
      <c r="L144" s="13"/>
      <c r="M144" s="5" t="str">
        <f t="shared" si="21"/>
        <v/>
      </c>
      <c r="N144" s="9" t="str">
        <f>IF(OR(E144="",F144="",G144=""),"",IF(AD144&gt;0,AD144,(F144-G144)/SQRT(操作パネル_MS2!$H$12)*操作パネル_MS2!$H$10))</f>
        <v/>
      </c>
      <c r="O144" s="5" t="str">
        <f>IF(OR(E144="",AC144=""),"",IF(AC144&gt;=操作パネル_MS2!$H$3,"VOL-OK","VOL-NG"))</f>
        <v/>
      </c>
      <c r="P144" s="5" t="str">
        <f t="shared" si="23"/>
        <v/>
      </c>
      <c r="Q144" s="5" t="str">
        <f t="shared" si="24"/>
        <v/>
      </c>
      <c r="R144" s="5" t="str">
        <f t="shared" si="25"/>
        <v/>
      </c>
      <c r="S144" s="9" t="str">
        <f t="shared" si="26"/>
        <v/>
      </c>
      <c r="T144" s="9" t="str">
        <f>IF(R144="","",IF(R144="BUY",E144-N144*操作パネル_MS2!$H$5,E144+N144*操作パネル_MS2!$H$5))</f>
        <v/>
      </c>
      <c r="U144" s="9" t="str">
        <f>IF(R144="","",IF(R144="BUY",E144+N144*操作パネル_MS2!$H$6,E144-N144*操作パネル_MS2!$H$6))</f>
        <v/>
      </c>
      <c r="V144" s="9" t="str">
        <f>IF(R144="","",IF(R144="BUY",E144+N144*操作パネル_MS2!$H$7,E144-N144*操作パネル_MS2!$H$7))</f>
        <v/>
      </c>
      <c r="W144" s="9" t="str">
        <f>IF(R144="","",IF(R144="BUY",E144+N144*操作パネル_MS2!$H$8,E144-N144*操作パネル_MS2!$H$8))</f>
        <v/>
      </c>
      <c r="X144" s="5" t="str">
        <f t="shared" si="27"/>
        <v/>
      </c>
      <c r="Y144" s="5" t="str">
        <f t="shared" ca="1" si="28"/>
        <v/>
      </c>
      <c r="Z144" s="5" t="str">
        <f>IF(OR(E144="",N144&lt;=0),"",IF(N144&gt;E144*操作パネル_MS2!$H$4,"VOL-HIGH","VOL-NORMAL"))</f>
        <v/>
      </c>
      <c r="AA144" s="5" t="str">
        <f t="shared" si="29"/>
        <v/>
      </c>
      <c r="AB144" s="5" t="str">
        <f t="shared" si="30"/>
        <v/>
      </c>
      <c r="AC144" s="30" t="str">
        <f>IF(C144="","",_xll.RssMarket(C144&amp;"","売買代金"))</f>
        <v/>
      </c>
      <c r="AD144" s="31">
        <f>IFERROR(INDEX(ATRHIST_MS2!$H:$H,MATCH(C144,ATRHIST_MS2!$A:$A,0)),0)</f>
        <v>0</v>
      </c>
    </row>
    <row r="145" spans="1:30" ht="25.95" customHeight="1">
      <c r="A145" s="5" t="str">
        <f t="shared" si="22"/>
        <v/>
      </c>
      <c r="B145" s="6" t="str">
        <f>IF(StockList_MS2!A144="","",HYPERLINK("https://kabutan.jp/stock/?code="&amp;StockList_MS2!A144,"株探"))</f>
        <v/>
      </c>
      <c r="C145" s="5" t="str">
        <f>IF(StockList_MS2!A144="","",StockList_MS2!A144)</f>
        <v/>
      </c>
      <c r="D145" s="7" t="str">
        <f>IF(StockList_MS2!A144="","",StockList_MS2!B144)</f>
        <v/>
      </c>
      <c r="E145" s="8"/>
      <c r="F145" s="8"/>
      <c r="G145" s="8"/>
      <c r="H145" s="8"/>
      <c r="I145" s="19"/>
      <c r="J145" s="8"/>
      <c r="K145" s="8"/>
      <c r="L145" s="8"/>
      <c r="M145" s="5" t="str">
        <f t="shared" si="21"/>
        <v/>
      </c>
      <c r="N145" s="9" t="str">
        <f>IF(OR(E145="",F145="",G145=""),"",IF(AD145&gt;0,AD145,(F145-G145)/SQRT(操作パネル_MS2!$H$12)*操作パネル_MS2!$H$10))</f>
        <v/>
      </c>
      <c r="O145" s="5" t="str">
        <f>IF(OR(E145="",AC145=""),"",IF(AC145&gt;=操作パネル_MS2!$H$3,"VOL-OK","VOL-NG"))</f>
        <v/>
      </c>
      <c r="P145" s="5" t="str">
        <f t="shared" si="23"/>
        <v/>
      </c>
      <c r="Q145" s="5" t="str">
        <f t="shared" si="24"/>
        <v/>
      </c>
      <c r="R145" s="5" t="str">
        <f t="shared" si="25"/>
        <v/>
      </c>
      <c r="S145" s="9" t="str">
        <f t="shared" si="26"/>
        <v/>
      </c>
      <c r="T145" s="9" t="str">
        <f>IF(R145="","",IF(R145="BUY",E145-N145*操作パネル_MS2!$H$5,E145+N145*操作パネル_MS2!$H$5))</f>
        <v/>
      </c>
      <c r="U145" s="9" t="str">
        <f>IF(R145="","",IF(R145="BUY",E145+N145*操作パネル_MS2!$H$6,E145-N145*操作パネル_MS2!$H$6))</f>
        <v/>
      </c>
      <c r="V145" s="9" t="str">
        <f>IF(R145="","",IF(R145="BUY",E145+N145*操作パネル_MS2!$H$7,E145-N145*操作パネル_MS2!$H$7))</f>
        <v/>
      </c>
      <c r="W145" s="9" t="str">
        <f>IF(R145="","",IF(R145="BUY",E145+N145*操作パネル_MS2!$H$8,E145-N145*操作パネル_MS2!$H$8))</f>
        <v/>
      </c>
      <c r="X145" s="5" t="str">
        <f t="shared" si="27"/>
        <v/>
      </c>
      <c r="Y145" s="5" t="str">
        <f t="shared" ca="1" si="28"/>
        <v/>
      </c>
      <c r="Z145" s="5" t="str">
        <f>IF(OR(E145="",N145&lt;=0),"",IF(N145&gt;E145*操作パネル_MS2!$H$4,"VOL-HIGH","VOL-NORMAL"))</f>
        <v/>
      </c>
      <c r="AA145" s="5" t="str">
        <f t="shared" si="29"/>
        <v/>
      </c>
      <c r="AB145" s="5" t="str">
        <f t="shared" si="30"/>
        <v/>
      </c>
      <c r="AC145" s="30" t="str">
        <f>IF(C145="","",_xll.RssMarket(C145&amp;"","売買代金"))</f>
        <v/>
      </c>
      <c r="AD145" s="31">
        <f>IFERROR(INDEX(ATRHIST_MS2!$H:$H,MATCH(C145,ATRHIST_MS2!$A:$A,0)),0)</f>
        <v>0</v>
      </c>
    </row>
    <row r="146" spans="1:30" ht="25.95" customHeight="1">
      <c r="A146" s="10" t="str">
        <f t="shared" si="22"/>
        <v/>
      </c>
      <c r="B146" s="11" t="str">
        <f>IF(StockList_MS2!A145="","",HYPERLINK("https://kabutan.jp/stock/?code="&amp;StockList_MS2!A145,"株探"))</f>
        <v/>
      </c>
      <c r="C146" s="10" t="str">
        <f>IF(StockList_MS2!A145="","",StockList_MS2!A145)</f>
        <v/>
      </c>
      <c r="D146" s="12" t="str">
        <f>IF(StockList_MS2!A145="","",StockList_MS2!B145)</f>
        <v/>
      </c>
      <c r="E146" s="13"/>
      <c r="F146" s="13"/>
      <c r="G146" s="13"/>
      <c r="H146" s="13"/>
      <c r="I146" s="20"/>
      <c r="J146" s="13"/>
      <c r="K146" s="13"/>
      <c r="L146" s="13"/>
      <c r="M146" s="5" t="str">
        <f t="shared" si="21"/>
        <v/>
      </c>
      <c r="N146" s="9" t="str">
        <f>IF(OR(E146="",F146="",G146=""),"",IF(AD146&gt;0,AD146,(F146-G146)/SQRT(操作パネル_MS2!$H$12)*操作パネル_MS2!$H$10))</f>
        <v/>
      </c>
      <c r="O146" s="5" t="str">
        <f>IF(OR(E146="",AC146=""),"",IF(AC146&gt;=操作パネル_MS2!$H$3,"VOL-OK","VOL-NG"))</f>
        <v/>
      </c>
      <c r="P146" s="5" t="str">
        <f t="shared" si="23"/>
        <v/>
      </c>
      <c r="Q146" s="5" t="str">
        <f t="shared" si="24"/>
        <v/>
      </c>
      <c r="R146" s="5" t="str">
        <f t="shared" si="25"/>
        <v/>
      </c>
      <c r="S146" s="9" t="str">
        <f t="shared" si="26"/>
        <v/>
      </c>
      <c r="T146" s="9" t="str">
        <f>IF(R146="","",IF(R146="BUY",E146-N146*操作パネル_MS2!$H$5,E146+N146*操作パネル_MS2!$H$5))</f>
        <v/>
      </c>
      <c r="U146" s="9" t="str">
        <f>IF(R146="","",IF(R146="BUY",E146+N146*操作パネル_MS2!$H$6,E146-N146*操作パネル_MS2!$H$6))</f>
        <v/>
      </c>
      <c r="V146" s="9" t="str">
        <f>IF(R146="","",IF(R146="BUY",E146+N146*操作パネル_MS2!$H$7,E146-N146*操作パネル_MS2!$H$7))</f>
        <v/>
      </c>
      <c r="W146" s="9" t="str">
        <f>IF(R146="","",IF(R146="BUY",E146+N146*操作パネル_MS2!$H$8,E146-N146*操作パネル_MS2!$H$8))</f>
        <v/>
      </c>
      <c r="X146" s="5" t="str">
        <f t="shared" si="27"/>
        <v/>
      </c>
      <c r="Y146" s="5" t="str">
        <f t="shared" ca="1" si="28"/>
        <v/>
      </c>
      <c r="Z146" s="5" t="str">
        <f>IF(OR(E146="",N146&lt;=0),"",IF(N146&gt;E146*操作パネル_MS2!$H$4,"VOL-HIGH","VOL-NORMAL"))</f>
        <v/>
      </c>
      <c r="AA146" s="5" t="str">
        <f t="shared" si="29"/>
        <v/>
      </c>
      <c r="AB146" s="5" t="str">
        <f t="shared" si="30"/>
        <v/>
      </c>
      <c r="AC146" s="30" t="str">
        <f>IF(C146="","",_xll.RssMarket(C146&amp;"","売買代金"))</f>
        <v/>
      </c>
      <c r="AD146" s="31">
        <f>IFERROR(INDEX(ATRHIST_MS2!$H:$H,MATCH(C146,ATRHIST_MS2!$A:$A,0)),0)</f>
        <v>0</v>
      </c>
    </row>
    <row r="147" spans="1:30" ht="25.95" customHeight="1">
      <c r="A147" s="5" t="str">
        <f t="shared" si="22"/>
        <v/>
      </c>
      <c r="B147" s="6" t="str">
        <f>IF(StockList_MS2!A146="","",HYPERLINK("https://kabutan.jp/stock/?code="&amp;StockList_MS2!A146,"株探"))</f>
        <v/>
      </c>
      <c r="C147" s="5" t="str">
        <f>IF(StockList_MS2!A146="","",StockList_MS2!A146)</f>
        <v/>
      </c>
      <c r="D147" s="7" t="str">
        <f>IF(StockList_MS2!A146="","",StockList_MS2!B146)</f>
        <v/>
      </c>
      <c r="E147" s="8"/>
      <c r="F147" s="8"/>
      <c r="G147" s="8"/>
      <c r="H147" s="8"/>
      <c r="I147" s="19"/>
      <c r="J147" s="8"/>
      <c r="K147" s="8"/>
      <c r="L147" s="8"/>
      <c r="M147" s="5" t="str">
        <f t="shared" si="21"/>
        <v/>
      </c>
      <c r="N147" s="9" t="str">
        <f>IF(OR(E147="",F147="",G147=""),"",IF(AD147&gt;0,AD147,(F147-G147)/SQRT(操作パネル_MS2!$H$12)*操作パネル_MS2!$H$10))</f>
        <v/>
      </c>
      <c r="O147" s="5" t="str">
        <f>IF(OR(E147="",AC147=""),"",IF(AC147&gt;=操作パネル_MS2!$H$3,"VOL-OK","VOL-NG"))</f>
        <v/>
      </c>
      <c r="P147" s="5" t="str">
        <f t="shared" si="23"/>
        <v/>
      </c>
      <c r="Q147" s="5" t="str">
        <f t="shared" si="24"/>
        <v/>
      </c>
      <c r="R147" s="5" t="str">
        <f t="shared" si="25"/>
        <v/>
      </c>
      <c r="S147" s="9" t="str">
        <f t="shared" si="26"/>
        <v/>
      </c>
      <c r="T147" s="9" t="str">
        <f>IF(R147="","",IF(R147="BUY",E147-N147*操作パネル_MS2!$H$5,E147+N147*操作パネル_MS2!$H$5))</f>
        <v/>
      </c>
      <c r="U147" s="9" t="str">
        <f>IF(R147="","",IF(R147="BUY",E147+N147*操作パネル_MS2!$H$6,E147-N147*操作パネル_MS2!$H$6))</f>
        <v/>
      </c>
      <c r="V147" s="9" t="str">
        <f>IF(R147="","",IF(R147="BUY",E147+N147*操作パネル_MS2!$H$7,E147-N147*操作パネル_MS2!$H$7))</f>
        <v/>
      </c>
      <c r="W147" s="9" t="str">
        <f>IF(R147="","",IF(R147="BUY",E147+N147*操作パネル_MS2!$H$8,E147-N147*操作パネル_MS2!$H$8))</f>
        <v/>
      </c>
      <c r="X147" s="5" t="str">
        <f t="shared" si="27"/>
        <v/>
      </c>
      <c r="Y147" s="5" t="str">
        <f t="shared" ca="1" si="28"/>
        <v/>
      </c>
      <c r="Z147" s="5" t="str">
        <f>IF(OR(E147="",N147&lt;=0),"",IF(N147&gt;E147*操作パネル_MS2!$H$4,"VOL-HIGH","VOL-NORMAL"))</f>
        <v/>
      </c>
      <c r="AA147" s="5" t="str">
        <f t="shared" si="29"/>
        <v/>
      </c>
      <c r="AB147" s="5" t="str">
        <f t="shared" si="30"/>
        <v/>
      </c>
      <c r="AC147" s="30" t="str">
        <f>IF(C147="","",_xll.RssMarket(C147&amp;"","売買代金"))</f>
        <v/>
      </c>
      <c r="AD147" s="31">
        <f>IFERROR(INDEX(ATRHIST_MS2!$H:$H,MATCH(C147,ATRHIST_MS2!$A:$A,0)),0)</f>
        <v>0</v>
      </c>
    </row>
    <row r="148" spans="1:30" ht="25.95" customHeight="1">
      <c r="A148" s="10" t="str">
        <f t="shared" si="22"/>
        <v/>
      </c>
      <c r="B148" s="11" t="str">
        <f>IF(StockList_MS2!A147="","",HYPERLINK("https://kabutan.jp/stock/?code="&amp;StockList_MS2!A147,"株探"))</f>
        <v/>
      </c>
      <c r="C148" s="10" t="str">
        <f>IF(StockList_MS2!A147="","",StockList_MS2!A147)</f>
        <v/>
      </c>
      <c r="D148" s="12" t="str">
        <f>IF(StockList_MS2!A147="","",StockList_MS2!B147)</f>
        <v/>
      </c>
      <c r="E148" s="13"/>
      <c r="F148" s="13"/>
      <c r="G148" s="13"/>
      <c r="H148" s="13"/>
      <c r="I148" s="20"/>
      <c r="J148" s="13"/>
      <c r="K148" s="13"/>
      <c r="L148" s="13"/>
      <c r="M148" s="5" t="str">
        <f t="shared" si="21"/>
        <v/>
      </c>
      <c r="N148" s="9" t="str">
        <f>IF(OR(E148="",F148="",G148=""),"",IF(AD148&gt;0,AD148,(F148-G148)/SQRT(操作パネル_MS2!$H$12)*操作パネル_MS2!$H$10))</f>
        <v/>
      </c>
      <c r="O148" s="5" t="str">
        <f>IF(OR(E148="",AC148=""),"",IF(AC148&gt;=操作パネル_MS2!$H$3,"VOL-OK","VOL-NG"))</f>
        <v/>
      </c>
      <c r="P148" s="5" t="str">
        <f t="shared" si="23"/>
        <v/>
      </c>
      <c r="Q148" s="5" t="str">
        <f t="shared" si="24"/>
        <v/>
      </c>
      <c r="R148" s="5" t="str">
        <f t="shared" si="25"/>
        <v/>
      </c>
      <c r="S148" s="9" t="str">
        <f t="shared" si="26"/>
        <v/>
      </c>
      <c r="T148" s="9" t="str">
        <f>IF(R148="","",IF(R148="BUY",E148-N148*操作パネル_MS2!$H$5,E148+N148*操作パネル_MS2!$H$5))</f>
        <v/>
      </c>
      <c r="U148" s="9" t="str">
        <f>IF(R148="","",IF(R148="BUY",E148+N148*操作パネル_MS2!$H$6,E148-N148*操作パネル_MS2!$H$6))</f>
        <v/>
      </c>
      <c r="V148" s="9" t="str">
        <f>IF(R148="","",IF(R148="BUY",E148+N148*操作パネル_MS2!$H$7,E148-N148*操作パネル_MS2!$H$7))</f>
        <v/>
      </c>
      <c r="W148" s="9" t="str">
        <f>IF(R148="","",IF(R148="BUY",E148+N148*操作パネル_MS2!$H$8,E148-N148*操作パネル_MS2!$H$8))</f>
        <v/>
      </c>
      <c r="X148" s="5" t="str">
        <f t="shared" si="27"/>
        <v/>
      </c>
      <c r="Y148" s="5" t="str">
        <f t="shared" ca="1" si="28"/>
        <v/>
      </c>
      <c r="Z148" s="5" t="str">
        <f>IF(OR(E148="",N148&lt;=0),"",IF(N148&gt;E148*操作パネル_MS2!$H$4,"VOL-HIGH","VOL-NORMAL"))</f>
        <v/>
      </c>
      <c r="AA148" s="5" t="str">
        <f t="shared" si="29"/>
        <v/>
      </c>
      <c r="AB148" s="5" t="str">
        <f t="shared" si="30"/>
        <v/>
      </c>
      <c r="AC148" s="30" t="str">
        <f>IF(C148="","",_xll.RssMarket(C148&amp;"","売買代金"))</f>
        <v/>
      </c>
      <c r="AD148" s="31">
        <f>IFERROR(INDEX(ATRHIST_MS2!$H:$H,MATCH(C148,ATRHIST_MS2!$A:$A,0)),0)</f>
        <v>0</v>
      </c>
    </row>
    <row r="149" spans="1:30" ht="25.95" customHeight="1">
      <c r="A149" s="5" t="str">
        <f t="shared" si="22"/>
        <v/>
      </c>
      <c r="B149" s="6" t="str">
        <f>IF(StockList_MS2!A148="","",HYPERLINK("https://kabutan.jp/stock/?code="&amp;StockList_MS2!A148,"株探"))</f>
        <v/>
      </c>
      <c r="C149" s="5" t="str">
        <f>IF(StockList_MS2!A148="","",StockList_MS2!A148)</f>
        <v/>
      </c>
      <c r="D149" s="7" t="str">
        <f>IF(StockList_MS2!A148="","",StockList_MS2!B148)</f>
        <v/>
      </c>
      <c r="E149" s="8"/>
      <c r="F149" s="8"/>
      <c r="G149" s="8"/>
      <c r="H149" s="8"/>
      <c r="I149" s="19"/>
      <c r="J149" s="8"/>
      <c r="K149" s="8"/>
      <c r="L149" s="8"/>
      <c r="M149" s="5" t="str">
        <f t="shared" si="21"/>
        <v/>
      </c>
      <c r="N149" s="9" t="str">
        <f>IF(OR(E149="",F149="",G149=""),"",IF(AD149&gt;0,AD149,(F149-G149)/SQRT(操作パネル_MS2!$H$12)*操作パネル_MS2!$H$10))</f>
        <v/>
      </c>
      <c r="O149" s="5" t="str">
        <f>IF(OR(E149="",AC149=""),"",IF(AC149&gt;=操作パネル_MS2!$H$3,"VOL-OK","VOL-NG"))</f>
        <v/>
      </c>
      <c r="P149" s="5" t="str">
        <f t="shared" si="23"/>
        <v/>
      </c>
      <c r="Q149" s="5" t="str">
        <f t="shared" si="24"/>
        <v/>
      </c>
      <c r="R149" s="5" t="str">
        <f t="shared" si="25"/>
        <v/>
      </c>
      <c r="S149" s="9" t="str">
        <f t="shared" si="26"/>
        <v/>
      </c>
      <c r="T149" s="9" t="str">
        <f>IF(R149="","",IF(R149="BUY",E149-N149*操作パネル_MS2!$H$5,E149+N149*操作パネル_MS2!$H$5))</f>
        <v/>
      </c>
      <c r="U149" s="9" t="str">
        <f>IF(R149="","",IF(R149="BUY",E149+N149*操作パネル_MS2!$H$6,E149-N149*操作パネル_MS2!$H$6))</f>
        <v/>
      </c>
      <c r="V149" s="9" t="str">
        <f>IF(R149="","",IF(R149="BUY",E149+N149*操作パネル_MS2!$H$7,E149-N149*操作パネル_MS2!$H$7))</f>
        <v/>
      </c>
      <c r="W149" s="9" t="str">
        <f>IF(R149="","",IF(R149="BUY",E149+N149*操作パネル_MS2!$H$8,E149-N149*操作パネル_MS2!$H$8))</f>
        <v/>
      </c>
      <c r="X149" s="5" t="str">
        <f t="shared" si="27"/>
        <v/>
      </c>
      <c r="Y149" s="5" t="str">
        <f t="shared" ca="1" si="28"/>
        <v/>
      </c>
      <c r="Z149" s="5" t="str">
        <f>IF(OR(E149="",N149&lt;=0),"",IF(N149&gt;E149*操作パネル_MS2!$H$4,"VOL-HIGH","VOL-NORMAL"))</f>
        <v/>
      </c>
      <c r="AA149" s="5" t="str">
        <f t="shared" si="29"/>
        <v/>
      </c>
      <c r="AB149" s="5" t="str">
        <f t="shared" si="30"/>
        <v/>
      </c>
      <c r="AC149" s="30" t="str">
        <f>IF(C149="","",_xll.RssMarket(C149&amp;"","売買代金"))</f>
        <v/>
      </c>
      <c r="AD149" s="31">
        <f>IFERROR(INDEX(ATRHIST_MS2!$H:$H,MATCH(C149,ATRHIST_MS2!$A:$A,0)),0)</f>
        <v>0</v>
      </c>
    </row>
    <row r="150" spans="1:30" ht="25.95" customHeight="1">
      <c r="A150" s="10" t="str">
        <f t="shared" si="22"/>
        <v/>
      </c>
      <c r="B150" s="11" t="str">
        <f>IF(StockList_MS2!A149="","",HYPERLINK("https://kabutan.jp/stock/?code="&amp;StockList_MS2!A149,"株探"))</f>
        <v/>
      </c>
      <c r="C150" s="10" t="str">
        <f>IF(StockList_MS2!A149="","",StockList_MS2!A149)</f>
        <v/>
      </c>
      <c r="D150" s="12" t="str">
        <f>IF(StockList_MS2!A149="","",StockList_MS2!B149)</f>
        <v/>
      </c>
      <c r="E150" s="13"/>
      <c r="F150" s="13"/>
      <c r="G150" s="13"/>
      <c r="H150" s="13"/>
      <c r="I150" s="20"/>
      <c r="J150" s="13"/>
      <c r="K150" s="13"/>
      <c r="L150" s="13"/>
      <c r="M150" s="5" t="str">
        <f t="shared" si="21"/>
        <v/>
      </c>
      <c r="N150" s="9" t="str">
        <f>IF(OR(E150="",F150="",G150=""),"",IF(AD150&gt;0,AD150,(F150-G150)/SQRT(操作パネル_MS2!$H$12)*操作パネル_MS2!$H$10))</f>
        <v/>
      </c>
      <c r="O150" s="5" t="str">
        <f>IF(OR(E150="",AC150=""),"",IF(AC150&gt;=操作パネル_MS2!$H$3,"VOL-OK","VOL-NG"))</f>
        <v/>
      </c>
      <c r="P150" s="5" t="str">
        <f t="shared" si="23"/>
        <v/>
      </c>
      <c r="Q150" s="5" t="str">
        <f t="shared" si="24"/>
        <v/>
      </c>
      <c r="R150" s="5" t="str">
        <f t="shared" si="25"/>
        <v/>
      </c>
      <c r="S150" s="9" t="str">
        <f t="shared" si="26"/>
        <v/>
      </c>
      <c r="T150" s="9" t="str">
        <f>IF(R150="","",IF(R150="BUY",E150-N150*操作パネル_MS2!$H$5,E150+N150*操作パネル_MS2!$H$5))</f>
        <v/>
      </c>
      <c r="U150" s="9" t="str">
        <f>IF(R150="","",IF(R150="BUY",E150+N150*操作パネル_MS2!$H$6,E150-N150*操作パネル_MS2!$H$6))</f>
        <v/>
      </c>
      <c r="V150" s="9" t="str">
        <f>IF(R150="","",IF(R150="BUY",E150+N150*操作パネル_MS2!$H$7,E150-N150*操作パネル_MS2!$H$7))</f>
        <v/>
      </c>
      <c r="W150" s="9" t="str">
        <f>IF(R150="","",IF(R150="BUY",E150+N150*操作パネル_MS2!$H$8,E150-N150*操作パネル_MS2!$H$8))</f>
        <v/>
      </c>
      <c r="X150" s="5" t="str">
        <f t="shared" si="27"/>
        <v/>
      </c>
      <c r="Y150" s="5" t="str">
        <f t="shared" ca="1" si="28"/>
        <v/>
      </c>
      <c r="Z150" s="5" t="str">
        <f>IF(OR(E150="",N150&lt;=0),"",IF(N150&gt;E150*操作パネル_MS2!$H$4,"VOL-HIGH","VOL-NORMAL"))</f>
        <v/>
      </c>
      <c r="AA150" s="5" t="str">
        <f t="shared" si="29"/>
        <v/>
      </c>
      <c r="AB150" s="5" t="str">
        <f t="shared" si="30"/>
        <v/>
      </c>
      <c r="AC150" s="30" t="str">
        <f>IF(C150="","",_xll.RssMarket(C150&amp;"","売買代金"))</f>
        <v/>
      </c>
      <c r="AD150" s="31">
        <f>IFERROR(INDEX(ATRHIST_MS2!$H:$H,MATCH(C150,ATRHIST_MS2!$A:$A,0)),0)</f>
        <v>0</v>
      </c>
    </row>
    <row r="151" spans="1:30" ht="25.95" customHeight="1">
      <c r="A151" s="5" t="str">
        <f t="shared" si="22"/>
        <v/>
      </c>
      <c r="B151" s="6" t="str">
        <f>IF(StockList_MS2!A150="","",HYPERLINK("https://kabutan.jp/stock/?code="&amp;StockList_MS2!A150,"株探"))</f>
        <v/>
      </c>
      <c r="C151" s="5" t="str">
        <f>IF(StockList_MS2!A150="","",StockList_MS2!A150)</f>
        <v/>
      </c>
      <c r="D151" s="7" t="str">
        <f>IF(StockList_MS2!A150="","",StockList_MS2!B150)</f>
        <v/>
      </c>
      <c r="E151" s="8"/>
      <c r="F151" s="8"/>
      <c r="G151" s="8"/>
      <c r="H151" s="8"/>
      <c r="I151" s="19"/>
      <c r="J151" s="8"/>
      <c r="K151" s="8"/>
      <c r="L151" s="8"/>
      <c r="M151" s="5" t="str">
        <f t="shared" si="21"/>
        <v/>
      </c>
      <c r="N151" s="9" t="str">
        <f>IF(OR(E151="",F151="",G151=""),"",IF(AD151&gt;0,AD151,(F151-G151)/SQRT(操作パネル_MS2!$H$12)*操作パネル_MS2!$H$10))</f>
        <v/>
      </c>
      <c r="O151" s="5" t="str">
        <f>IF(OR(E151="",AC151=""),"",IF(AC151&gt;=操作パネル_MS2!$H$3,"VOL-OK","VOL-NG"))</f>
        <v/>
      </c>
      <c r="P151" s="5" t="str">
        <f t="shared" si="23"/>
        <v/>
      </c>
      <c r="Q151" s="5" t="str">
        <f t="shared" si="24"/>
        <v/>
      </c>
      <c r="R151" s="5" t="str">
        <f t="shared" si="25"/>
        <v/>
      </c>
      <c r="S151" s="9" t="str">
        <f t="shared" si="26"/>
        <v/>
      </c>
      <c r="T151" s="9" t="str">
        <f>IF(R151="","",IF(R151="BUY",E151-N151*操作パネル_MS2!$H$5,E151+N151*操作パネル_MS2!$H$5))</f>
        <v/>
      </c>
      <c r="U151" s="9" t="str">
        <f>IF(R151="","",IF(R151="BUY",E151+N151*操作パネル_MS2!$H$6,E151-N151*操作パネル_MS2!$H$6))</f>
        <v/>
      </c>
      <c r="V151" s="9" t="str">
        <f>IF(R151="","",IF(R151="BUY",E151+N151*操作パネル_MS2!$H$7,E151-N151*操作パネル_MS2!$H$7))</f>
        <v/>
      </c>
      <c r="W151" s="9" t="str">
        <f>IF(R151="","",IF(R151="BUY",E151+N151*操作パネル_MS2!$H$8,E151-N151*操作パネル_MS2!$H$8))</f>
        <v/>
      </c>
      <c r="X151" s="5" t="str">
        <f t="shared" si="27"/>
        <v/>
      </c>
      <c r="Y151" s="5" t="str">
        <f t="shared" ca="1" si="28"/>
        <v/>
      </c>
      <c r="Z151" s="5" t="str">
        <f>IF(OR(E151="",N151&lt;=0),"",IF(N151&gt;E151*操作パネル_MS2!$H$4,"VOL-HIGH","VOL-NORMAL"))</f>
        <v/>
      </c>
      <c r="AA151" s="5" t="str">
        <f t="shared" si="29"/>
        <v/>
      </c>
      <c r="AB151" s="5" t="str">
        <f t="shared" si="30"/>
        <v/>
      </c>
      <c r="AC151" s="30" t="str">
        <f>IF(C151="","",_xll.RssMarket(C151&amp;"","売買代金"))</f>
        <v/>
      </c>
      <c r="AD151" s="31">
        <f>IFERROR(INDEX(ATRHIST_MS2!$H:$H,MATCH(C151,ATRHIST_MS2!$A:$A,0)),0)</f>
        <v>0</v>
      </c>
    </row>
    <row r="152" spans="1:30" ht="25.95" customHeight="1">
      <c r="A152" s="10" t="str">
        <f t="shared" si="22"/>
        <v/>
      </c>
      <c r="B152" s="11" t="str">
        <f>IF(StockList_MS2!A151="","",HYPERLINK("https://kabutan.jp/stock/?code="&amp;StockList_MS2!A151,"株探"))</f>
        <v/>
      </c>
      <c r="C152" s="10" t="str">
        <f>IF(StockList_MS2!A151="","",StockList_MS2!A151)</f>
        <v/>
      </c>
      <c r="D152" s="12" t="str">
        <f>IF(StockList_MS2!A151="","",StockList_MS2!B151)</f>
        <v/>
      </c>
      <c r="E152" s="13"/>
      <c r="F152" s="13"/>
      <c r="G152" s="13"/>
      <c r="H152" s="13"/>
      <c r="I152" s="20"/>
      <c r="J152" s="13"/>
      <c r="K152" s="13"/>
      <c r="L152" s="13"/>
      <c r="M152" s="5" t="str">
        <f t="shared" si="21"/>
        <v/>
      </c>
      <c r="N152" s="9" t="str">
        <f>IF(OR(E152="",F152="",G152=""),"",IF(AD152&gt;0,AD152,(F152-G152)/SQRT(操作パネル_MS2!$H$12)*操作パネル_MS2!$H$10))</f>
        <v/>
      </c>
      <c r="O152" s="5" t="str">
        <f>IF(OR(E152="",AC152=""),"",IF(AC152&gt;=操作パネル_MS2!$H$3,"VOL-OK","VOL-NG"))</f>
        <v/>
      </c>
      <c r="P152" s="5" t="str">
        <f t="shared" si="23"/>
        <v/>
      </c>
      <c r="Q152" s="5" t="str">
        <f t="shared" si="24"/>
        <v/>
      </c>
      <c r="R152" s="5" t="str">
        <f t="shared" si="25"/>
        <v/>
      </c>
      <c r="S152" s="9" t="str">
        <f t="shared" si="26"/>
        <v/>
      </c>
      <c r="T152" s="9" t="str">
        <f>IF(R152="","",IF(R152="BUY",E152-N152*操作パネル_MS2!$H$5,E152+N152*操作パネル_MS2!$H$5))</f>
        <v/>
      </c>
      <c r="U152" s="9" t="str">
        <f>IF(R152="","",IF(R152="BUY",E152+N152*操作パネル_MS2!$H$6,E152-N152*操作パネル_MS2!$H$6))</f>
        <v/>
      </c>
      <c r="V152" s="9" t="str">
        <f>IF(R152="","",IF(R152="BUY",E152+N152*操作パネル_MS2!$H$7,E152-N152*操作パネル_MS2!$H$7))</f>
        <v/>
      </c>
      <c r="W152" s="9" t="str">
        <f>IF(R152="","",IF(R152="BUY",E152+N152*操作パネル_MS2!$H$8,E152-N152*操作パネル_MS2!$H$8))</f>
        <v/>
      </c>
      <c r="X152" s="5" t="str">
        <f t="shared" si="27"/>
        <v/>
      </c>
      <c r="Y152" s="5" t="str">
        <f t="shared" ca="1" si="28"/>
        <v/>
      </c>
      <c r="Z152" s="5" t="str">
        <f>IF(OR(E152="",N152&lt;=0),"",IF(N152&gt;E152*操作パネル_MS2!$H$4,"VOL-HIGH","VOL-NORMAL"))</f>
        <v/>
      </c>
      <c r="AA152" s="5" t="str">
        <f t="shared" si="29"/>
        <v/>
      </c>
      <c r="AB152" s="5" t="str">
        <f t="shared" si="30"/>
        <v/>
      </c>
      <c r="AC152" s="30" t="str">
        <f>IF(C152="","",_xll.RssMarket(C152&amp;"","売買代金"))</f>
        <v/>
      </c>
      <c r="AD152" s="31">
        <f>IFERROR(INDEX(ATRHIST_MS2!$H:$H,MATCH(C152,ATRHIST_MS2!$A:$A,0)),0)</f>
        <v>0</v>
      </c>
    </row>
    <row r="153" spans="1:30" ht="25.95" customHeight="1">
      <c r="A153" s="5" t="str">
        <f t="shared" si="22"/>
        <v/>
      </c>
      <c r="B153" s="6" t="str">
        <f>IF(StockList_MS2!A152="","",HYPERLINK("https://kabutan.jp/stock/?code="&amp;StockList_MS2!A152,"株探"))</f>
        <v/>
      </c>
      <c r="C153" s="5" t="str">
        <f>IF(StockList_MS2!A152="","",StockList_MS2!A152)</f>
        <v/>
      </c>
      <c r="D153" s="7" t="str">
        <f>IF(StockList_MS2!A152="","",StockList_MS2!B152)</f>
        <v/>
      </c>
      <c r="E153" s="8"/>
      <c r="F153" s="8"/>
      <c r="G153" s="8"/>
      <c r="H153" s="8"/>
      <c r="I153" s="19"/>
      <c r="J153" s="8"/>
      <c r="K153" s="8"/>
      <c r="L153" s="8"/>
      <c r="M153" s="5" t="str">
        <f t="shared" si="21"/>
        <v/>
      </c>
      <c r="N153" s="9" t="str">
        <f>IF(OR(E153="",F153="",G153=""),"",IF(AD153&gt;0,AD153,(F153-G153)/SQRT(操作パネル_MS2!$H$12)*操作パネル_MS2!$H$10))</f>
        <v/>
      </c>
      <c r="O153" s="5" t="str">
        <f>IF(OR(E153="",AC153=""),"",IF(AC153&gt;=操作パネル_MS2!$H$3,"VOL-OK","VOL-NG"))</f>
        <v/>
      </c>
      <c r="P153" s="5" t="str">
        <f t="shared" si="23"/>
        <v/>
      </c>
      <c r="Q153" s="5" t="str">
        <f t="shared" si="24"/>
        <v/>
      </c>
      <c r="R153" s="5" t="str">
        <f t="shared" si="25"/>
        <v/>
      </c>
      <c r="S153" s="9" t="str">
        <f t="shared" si="26"/>
        <v/>
      </c>
      <c r="T153" s="9" t="str">
        <f>IF(R153="","",IF(R153="BUY",E153-N153*操作パネル_MS2!$H$5,E153+N153*操作パネル_MS2!$H$5))</f>
        <v/>
      </c>
      <c r="U153" s="9" t="str">
        <f>IF(R153="","",IF(R153="BUY",E153+N153*操作パネル_MS2!$H$6,E153-N153*操作パネル_MS2!$H$6))</f>
        <v/>
      </c>
      <c r="V153" s="9" t="str">
        <f>IF(R153="","",IF(R153="BUY",E153+N153*操作パネル_MS2!$H$7,E153-N153*操作パネル_MS2!$H$7))</f>
        <v/>
      </c>
      <c r="W153" s="9" t="str">
        <f>IF(R153="","",IF(R153="BUY",E153+N153*操作パネル_MS2!$H$8,E153-N153*操作パネル_MS2!$H$8))</f>
        <v/>
      </c>
      <c r="X153" s="5" t="str">
        <f t="shared" si="27"/>
        <v/>
      </c>
      <c r="Y153" s="5" t="str">
        <f t="shared" ca="1" si="28"/>
        <v/>
      </c>
      <c r="Z153" s="5" t="str">
        <f>IF(OR(E153="",N153&lt;=0),"",IF(N153&gt;E153*操作パネル_MS2!$H$4,"VOL-HIGH","VOL-NORMAL"))</f>
        <v/>
      </c>
      <c r="AA153" s="5" t="str">
        <f t="shared" si="29"/>
        <v/>
      </c>
      <c r="AB153" s="5" t="str">
        <f t="shared" si="30"/>
        <v/>
      </c>
      <c r="AC153" s="30" t="str">
        <f>IF(C153="","",_xll.RssMarket(C153&amp;"","売買代金"))</f>
        <v/>
      </c>
      <c r="AD153" s="31">
        <f>IFERROR(INDEX(ATRHIST_MS2!$H:$H,MATCH(C153,ATRHIST_MS2!$A:$A,0)),0)</f>
        <v>0</v>
      </c>
    </row>
    <row r="154" spans="1:30" ht="25.95" customHeight="1">
      <c r="A154" s="10" t="str">
        <f t="shared" si="22"/>
        <v/>
      </c>
      <c r="B154" s="11" t="str">
        <f>IF(StockList_MS2!A153="","",HYPERLINK("https://kabutan.jp/stock/?code="&amp;StockList_MS2!A153,"株探"))</f>
        <v/>
      </c>
      <c r="C154" s="10" t="str">
        <f>IF(StockList_MS2!A153="","",StockList_MS2!A153)</f>
        <v/>
      </c>
      <c r="D154" s="12" t="str">
        <f>IF(StockList_MS2!A153="","",StockList_MS2!B153)</f>
        <v/>
      </c>
      <c r="E154" s="13"/>
      <c r="F154" s="13"/>
      <c r="G154" s="13"/>
      <c r="H154" s="13"/>
      <c r="I154" s="20"/>
      <c r="J154" s="13"/>
      <c r="K154" s="13"/>
      <c r="L154" s="13"/>
      <c r="M154" s="5" t="str">
        <f t="shared" si="21"/>
        <v/>
      </c>
      <c r="N154" s="9" t="str">
        <f>IF(OR(E154="",F154="",G154=""),"",IF(AD154&gt;0,AD154,(F154-G154)/SQRT(操作パネル_MS2!$H$12)*操作パネル_MS2!$H$10))</f>
        <v/>
      </c>
      <c r="O154" s="5" t="str">
        <f>IF(OR(E154="",AC154=""),"",IF(AC154&gt;=操作パネル_MS2!$H$3,"VOL-OK","VOL-NG"))</f>
        <v/>
      </c>
      <c r="P154" s="5" t="str">
        <f t="shared" si="23"/>
        <v/>
      </c>
      <c r="Q154" s="5" t="str">
        <f t="shared" si="24"/>
        <v/>
      </c>
      <c r="R154" s="5" t="str">
        <f t="shared" si="25"/>
        <v/>
      </c>
      <c r="S154" s="9" t="str">
        <f t="shared" si="26"/>
        <v/>
      </c>
      <c r="T154" s="9" t="str">
        <f>IF(R154="","",IF(R154="BUY",E154-N154*操作パネル_MS2!$H$5,E154+N154*操作パネル_MS2!$H$5))</f>
        <v/>
      </c>
      <c r="U154" s="9" t="str">
        <f>IF(R154="","",IF(R154="BUY",E154+N154*操作パネル_MS2!$H$6,E154-N154*操作パネル_MS2!$H$6))</f>
        <v/>
      </c>
      <c r="V154" s="9" t="str">
        <f>IF(R154="","",IF(R154="BUY",E154+N154*操作パネル_MS2!$H$7,E154-N154*操作パネル_MS2!$H$7))</f>
        <v/>
      </c>
      <c r="W154" s="9" t="str">
        <f>IF(R154="","",IF(R154="BUY",E154+N154*操作パネル_MS2!$H$8,E154-N154*操作パネル_MS2!$H$8))</f>
        <v/>
      </c>
      <c r="X154" s="5" t="str">
        <f t="shared" si="27"/>
        <v/>
      </c>
      <c r="Y154" s="5" t="str">
        <f t="shared" ca="1" si="28"/>
        <v/>
      </c>
      <c r="Z154" s="5" t="str">
        <f>IF(OR(E154="",N154&lt;=0),"",IF(N154&gt;E154*操作パネル_MS2!$H$4,"VOL-HIGH","VOL-NORMAL"))</f>
        <v/>
      </c>
      <c r="AA154" s="5" t="str">
        <f t="shared" si="29"/>
        <v/>
      </c>
      <c r="AB154" s="5" t="str">
        <f t="shared" si="30"/>
        <v/>
      </c>
      <c r="AC154" s="30" t="str">
        <f>IF(C154="","",_xll.RssMarket(C154&amp;"","売買代金"))</f>
        <v/>
      </c>
      <c r="AD154" s="31">
        <f>IFERROR(INDEX(ATRHIST_MS2!$H:$H,MATCH(C154,ATRHIST_MS2!$A:$A,0)),0)</f>
        <v>0</v>
      </c>
    </row>
    <row r="155" spans="1:30" ht="25.95" customHeight="1">
      <c r="A155" s="5" t="str">
        <f t="shared" si="22"/>
        <v/>
      </c>
      <c r="B155" s="6" t="str">
        <f>IF(StockList_MS2!A154="","",HYPERLINK("https://kabutan.jp/stock/?code="&amp;StockList_MS2!A154,"株探"))</f>
        <v/>
      </c>
      <c r="C155" s="5" t="str">
        <f>IF(StockList_MS2!A154="","",StockList_MS2!A154)</f>
        <v/>
      </c>
      <c r="D155" s="7" t="str">
        <f>IF(StockList_MS2!A154="","",StockList_MS2!B154)</f>
        <v/>
      </c>
      <c r="E155" s="8"/>
      <c r="F155" s="8"/>
      <c r="G155" s="8"/>
      <c r="H155" s="8"/>
      <c r="I155" s="19"/>
      <c r="J155" s="8"/>
      <c r="K155" s="8"/>
      <c r="L155" s="8"/>
      <c r="M155" s="5" t="str">
        <f t="shared" si="21"/>
        <v/>
      </c>
      <c r="N155" s="9" t="str">
        <f>IF(OR(E155="",F155="",G155=""),"",IF(AD155&gt;0,AD155,(F155-G155)/SQRT(操作パネル_MS2!$H$12)*操作パネル_MS2!$H$10))</f>
        <v/>
      </c>
      <c r="O155" s="5" t="str">
        <f>IF(OR(E155="",AC155=""),"",IF(AC155&gt;=操作パネル_MS2!$H$3,"VOL-OK","VOL-NG"))</f>
        <v/>
      </c>
      <c r="P155" s="5" t="str">
        <f t="shared" si="23"/>
        <v/>
      </c>
      <c r="Q155" s="5" t="str">
        <f t="shared" si="24"/>
        <v/>
      </c>
      <c r="R155" s="5" t="str">
        <f t="shared" si="25"/>
        <v/>
      </c>
      <c r="S155" s="9" t="str">
        <f t="shared" si="26"/>
        <v/>
      </c>
      <c r="T155" s="9" t="str">
        <f>IF(R155="","",IF(R155="BUY",E155-N155*操作パネル_MS2!$H$5,E155+N155*操作パネル_MS2!$H$5))</f>
        <v/>
      </c>
      <c r="U155" s="9" t="str">
        <f>IF(R155="","",IF(R155="BUY",E155+N155*操作パネル_MS2!$H$6,E155-N155*操作パネル_MS2!$H$6))</f>
        <v/>
      </c>
      <c r="V155" s="9" t="str">
        <f>IF(R155="","",IF(R155="BUY",E155+N155*操作パネル_MS2!$H$7,E155-N155*操作パネル_MS2!$H$7))</f>
        <v/>
      </c>
      <c r="W155" s="9" t="str">
        <f>IF(R155="","",IF(R155="BUY",E155+N155*操作パネル_MS2!$H$8,E155-N155*操作パネル_MS2!$H$8))</f>
        <v/>
      </c>
      <c r="X155" s="5" t="str">
        <f t="shared" si="27"/>
        <v/>
      </c>
      <c r="Y155" s="5" t="str">
        <f t="shared" ca="1" si="28"/>
        <v/>
      </c>
      <c r="Z155" s="5" t="str">
        <f>IF(OR(E155="",N155&lt;=0),"",IF(N155&gt;E155*操作パネル_MS2!$H$4,"VOL-HIGH","VOL-NORMAL"))</f>
        <v/>
      </c>
      <c r="AA155" s="5" t="str">
        <f t="shared" si="29"/>
        <v/>
      </c>
      <c r="AB155" s="5" t="str">
        <f t="shared" si="30"/>
        <v/>
      </c>
      <c r="AC155" s="30" t="str">
        <f>IF(C155="","",_xll.RssMarket(C155&amp;"","売買代金"))</f>
        <v/>
      </c>
      <c r="AD155" s="31">
        <f>IFERROR(INDEX(ATRHIST_MS2!$H:$H,MATCH(C155,ATRHIST_MS2!$A:$A,0)),0)</f>
        <v>0</v>
      </c>
    </row>
    <row r="156" spans="1:30" ht="25.95" customHeight="1">
      <c r="A156" s="10" t="str">
        <f t="shared" si="22"/>
        <v/>
      </c>
      <c r="B156" s="11" t="str">
        <f>IF(StockList_MS2!A155="","",HYPERLINK("https://kabutan.jp/stock/?code="&amp;StockList_MS2!A155,"株探"))</f>
        <v/>
      </c>
      <c r="C156" s="10" t="str">
        <f>IF(StockList_MS2!A155="","",StockList_MS2!A155)</f>
        <v/>
      </c>
      <c r="D156" s="12" t="str">
        <f>IF(StockList_MS2!A155="","",StockList_MS2!B155)</f>
        <v/>
      </c>
      <c r="E156" s="13"/>
      <c r="F156" s="13"/>
      <c r="G156" s="13"/>
      <c r="H156" s="13"/>
      <c r="I156" s="20"/>
      <c r="J156" s="13"/>
      <c r="K156" s="13"/>
      <c r="L156" s="13"/>
      <c r="M156" s="5" t="str">
        <f t="shared" si="21"/>
        <v/>
      </c>
      <c r="N156" s="9" t="str">
        <f>IF(OR(E156="",F156="",G156=""),"",IF(AD156&gt;0,AD156,(F156-G156)/SQRT(操作パネル_MS2!$H$12)*操作パネル_MS2!$H$10))</f>
        <v/>
      </c>
      <c r="O156" s="5" t="str">
        <f>IF(OR(E156="",AC156=""),"",IF(AC156&gt;=操作パネル_MS2!$H$3,"VOL-OK","VOL-NG"))</f>
        <v/>
      </c>
      <c r="P156" s="5" t="str">
        <f t="shared" si="23"/>
        <v/>
      </c>
      <c r="Q156" s="5" t="str">
        <f t="shared" si="24"/>
        <v/>
      </c>
      <c r="R156" s="5" t="str">
        <f t="shared" si="25"/>
        <v/>
      </c>
      <c r="S156" s="9" t="str">
        <f t="shared" si="26"/>
        <v/>
      </c>
      <c r="T156" s="9" t="str">
        <f>IF(R156="","",IF(R156="BUY",E156-N156*操作パネル_MS2!$H$5,E156+N156*操作パネル_MS2!$H$5))</f>
        <v/>
      </c>
      <c r="U156" s="9" t="str">
        <f>IF(R156="","",IF(R156="BUY",E156+N156*操作パネル_MS2!$H$6,E156-N156*操作パネル_MS2!$H$6))</f>
        <v/>
      </c>
      <c r="V156" s="9" t="str">
        <f>IF(R156="","",IF(R156="BUY",E156+N156*操作パネル_MS2!$H$7,E156-N156*操作パネル_MS2!$H$7))</f>
        <v/>
      </c>
      <c r="W156" s="9" t="str">
        <f>IF(R156="","",IF(R156="BUY",E156+N156*操作パネル_MS2!$H$8,E156-N156*操作パネル_MS2!$H$8))</f>
        <v/>
      </c>
      <c r="X156" s="5" t="str">
        <f t="shared" si="27"/>
        <v/>
      </c>
      <c r="Y156" s="5" t="str">
        <f t="shared" ca="1" si="28"/>
        <v/>
      </c>
      <c r="Z156" s="5" t="str">
        <f>IF(OR(E156="",N156&lt;=0),"",IF(N156&gt;E156*操作パネル_MS2!$H$4,"VOL-HIGH","VOL-NORMAL"))</f>
        <v/>
      </c>
      <c r="AA156" s="5" t="str">
        <f t="shared" si="29"/>
        <v/>
      </c>
      <c r="AB156" s="5" t="str">
        <f t="shared" si="30"/>
        <v/>
      </c>
      <c r="AC156" s="30" t="str">
        <f>IF(C156="","",_xll.RssMarket(C156&amp;"","売買代金"))</f>
        <v/>
      </c>
      <c r="AD156" s="31">
        <f>IFERROR(INDEX(ATRHIST_MS2!$H:$H,MATCH(C156,ATRHIST_MS2!$A:$A,0)),0)</f>
        <v>0</v>
      </c>
    </row>
    <row r="157" spans="1:30" ht="25.95" customHeight="1">
      <c r="A157" s="5" t="str">
        <f t="shared" si="22"/>
        <v/>
      </c>
      <c r="B157" s="6" t="str">
        <f>IF(StockList_MS2!A156="","",HYPERLINK("https://kabutan.jp/stock/?code="&amp;StockList_MS2!A156,"株探"))</f>
        <v/>
      </c>
      <c r="C157" s="5" t="str">
        <f>IF(StockList_MS2!A156="","",StockList_MS2!A156)</f>
        <v/>
      </c>
      <c r="D157" s="7" t="str">
        <f>IF(StockList_MS2!A156="","",StockList_MS2!B156)</f>
        <v/>
      </c>
      <c r="E157" s="8"/>
      <c r="F157" s="8"/>
      <c r="G157" s="8"/>
      <c r="H157" s="8"/>
      <c r="I157" s="19"/>
      <c r="J157" s="8"/>
      <c r="K157" s="8"/>
      <c r="L157" s="8"/>
      <c r="M157" s="5" t="str">
        <f t="shared" si="21"/>
        <v/>
      </c>
      <c r="N157" s="9" t="str">
        <f>IF(OR(E157="",F157="",G157=""),"",IF(AD157&gt;0,AD157,(F157-G157)/SQRT(操作パネル_MS2!$H$12)*操作パネル_MS2!$H$10))</f>
        <v/>
      </c>
      <c r="O157" s="5" t="str">
        <f>IF(OR(E157="",AC157=""),"",IF(AC157&gt;=操作パネル_MS2!$H$3,"VOL-OK","VOL-NG"))</f>
        <v/>
      </c>
      <c r="P157" s="5" t="str">
        <f t="shared" si="23"/>
        <v/>
      </c>
      <c r="Q157" s="5" t="str">
        <f t="shared" si="24"/>
        <v/>
      </c>
      <c r="R157" s="5" t="str">
        <f t="shared" si="25"/>
        <v/>
      </c>
      <c r="S157" s="9" t="str">
        <f t="shared" si="26"/>
        <v/>
      </c>
      <c r="T157" s="9" t="str">
        <f>IF(R157="","",IF(R157="BUY",E157-N157*操作パネル_MS2!$H$5,E157+N157*操作パネル_MS2!$H$5))</f>
        <v/>
      </c>
      <c r="U157" s="9" t="str">
        <f>IF(R157="","",IF(R157="BUY",E157+N157*操作パネル_MS2!$H$6,E157-N157*操作パネル_MS2!$H$6))</f>
        <v/>
      </c>
      <c r="V157" s="9" t="str">
        <f>IF(R157="","",IF(R157="BUY",E157+N157*操作パネル_MS2!$H$7,E157-N157*操作パネル_MS2!$H$7))</f>
        <v/>
      </c>
      <c r="W157" s="9" t="str">
        <f>IF(R157="","",IF(R157="BUY",E157+N157*操作パネル_MS2!$H$8,E157-N157*操作パネル_MS2!$H$8))</f>
        <v/>
      </c>
      <c r="X157" s="5" t="str">
        <f t="shared" si="27"/>
        <v/>
      </c>
      <c r="Y157" s="5" t="str">
        <f t="shared" ca="1" si="28"/>
        <v/>
      </c>
      <c r="Z157" s="5" t="str">
        <f>IF(OR(E157="",N157&lt;=0),"",IF(N157&gt;E157*操作パネル_MS2!$H$4,"VOL-HIGH","VOL-NORMAL"))</f>
        <v/>
      </c>
      <c r="AA157" s="5" t="str">
        <f t="shared" si="29"/>
        <v/>
      </c>
      <c r="AB157" s="5" t="str">
        <f t="shared" si="30"/>
        <v/>
      </c>
      <c r="AC157" s="30" t="str">
        <f>IF(C157="","",_xll.RssMarket(C157&amp;"","売買代金"))</f>
        <v/>
      </c>
      <c r="AD157" s="31">
        <f>IFERROR(INDEX(ATRHIST_MS2!$H:$H,MATCH(C157,ATRHIST_MS2!$A:$A,0)),0)</f>
        <v>0</v>
      </c>
    </row>
    <row r="158" spans="1:30" ht="25.95" customHeight="1">
      <c r="A158" s="10" t="str">
        <f t="shared" si="22"/>
        <v/>
      </c>
      <c r="B158" s="11" t="str">
        <f>IF(StockList_MS2!A157="","",HYPERLINK("https://kabutan.jp/stock/?code="&amp;StockList_MS2!A157,"株探"))</f>
        <v/>
      </c>
      <c r="C158" s="10" t="str">
        <f>IF(StockList_MS2!A157="","",StockList_MS2!A157)</f>
        <v/>
      </c>
      <c r="D158" s="12" t="str">
        <f>IF(StockList_MS2!A157="","",StockList_MS2!B157)</f>
        <v/>
      </c>
      <c r="E158" s="13"/>
      <c r="F158" s="13"/>
      <c r="G158" s="13"/>
      <c r="H158" s="13"/>
      <c r="I158" s="20"/>
      <c r="J158" s="13"/>
      <c r="K158" s="13"/>
      <c r="L158" s="13"/>
      <c r="M158" s="5" t="str">
        <f t="shared" si="21"/>
        <v/>
      </c>
      <c r="N158" s="9" t="str">
        <f>IF(OR(E158="",F158="",G158=""),"",IF(AD158&gt;0,AD158,(F158-G158)/SQRT(操作パネル_MS2!$H$12)*操作パネル_MS2!$H$10))</f>
        <v/>
      </c>
      <c r="O158" s="5" t="str">
        <f>IF(OR(E158="",AC158=""),"",IF(AC158&gt;=操作パネル_MS2!$H$3,"VOL-OK","VOL-NG"))</f>
        <v/>
      </c>
      <c r="P158" s="5" t="str">
        <f t="shared" si="23"/>
        <v/>
      </c>
      <c r="Q158" s="5" t="str">
        <f t="shared" si="24"/>
        <v/>
      </c>
      <c r="R158" s="5" t="str">
        <f t="shared" si="25"/>
        <v/>
      </c>
      <c r="S158" s="9" t="str">
        <f t="shared" si="26"/>
        <v/>
      </c>
      <c r="T158" s="9" t="str">
        <f>IF(R158="","",IF(R158="BUY",E158-N158*操作パネル_MS2!$H$5,E158+N158*操作パネル_MS2!$H$5))</f>
        <v/>
      </c>
      <c r="U158" s="9" t="str">
        <f>IF(R158="","",IF(R158="BUY",E158+N158*操作パネル_MS2!$H$6,E158-N158*操作パネル_MS2!$H$6))</f>
        <v/>
      </c>
      <c r="V158" s="9" t="str">
        <f>IF(R158="","",IF(R158="BUY",E158+N158*操作パネル_MS2!$H$7,E158-N158*操作パネル_MS2!$H$7))</f>
        <v/>
      </c>
      <c r="W158" s="9" t="str">
        <f>IF(R158="","",IF(R158="BUY",E158+N158*操作パネル_MS2!$H$8,E158-N158*操作パネル_MS2!$H$8))</f>
        <v/>
      </c>
      <c r="X158" s="5" t="str">
        <f t="shared" si="27"/>
        <v/>
      </c>
      <c r="Y158" s="5" t="str">
        <f t="shared" ca="1" si="28"/>
        <v/>
      </c>
      <c r="Z158" s="5" t="str">
        <f>IF(OR(E158="",N158&lt;=0),"",IF(N158&gt;E158*操作パネル_MS2!$H$4,"VOL-HIGH","VOL-NORMAL"))</f>
        <v/>
      </c>
      <c r="AA158" s="5" t="str">
        <f t="shared" si="29"/>
        <v/>
      </c>
      <c r="AB158" s="5" t="str">
        <f t="shared" si="30"/>
        <v/>
      </c>
      <c r="AC158" s="30" t="str">
        <f>IF(C158="","",_xll.RssMarket(C158&amp;"","売買代金"))</f>
        <v/>
      </c>
      <c r="AD158" s="31">
        <f>IFERROR(INDEX(ATRHIST_MS2!$H:$H,MATCH(C158,ATRHIST_MS2!$A:$A,0)),0)</f>
        <v>0</v>
      </c>
    </row>
    <row r="159" spans="1:30" ht="25.95" customHeight="1">
      <c r="A159" s="5" t="str">
        <f t="shared" si="22"/>
        <v/>
      </c>
      <c r="B159" s="6" t="str">
        <f>IF(StockList_MS2!A158="","",HYPERLINK("https://kabutan.jp/stock/?code="&amp;StockList_MS2!A158,"株探"))</f>
        <v/>
      </c>
      <c r="C159" s="5" t="str">
        <f>IF(StockList_MS2!A158="","",StockList_MS2!A158)</f>
        <v/>
      </c>
      <c r="D159" s="7" t="str">
        <f>IF(StockList_MS2!A158="","",StockList_MS2!B158)</f>
        <v/>
      </c>
      <c r="E159" s="8"/>
      <c r="F159" s="8"/>
      <c r="G159" s="8"/>
      <c r="H159" s="8"/>
      <c r="I159" s="19"/>
      <c r="J159" s="8"/>
      <c r="K159" s="8"/>
      <c r="L159" s="8"/>
      <c r="M159" s="5" t="str">
        <f t="shared" si="21"/>
        <v/>
      </c>
      <c r="N159" s="9" t="str">
        <f>IF(OR(E159="",F159="",G159=""),"",IF(AD159&gt;0,AD159,(F159-G159)/SQRT(操作パネル_MS2!$H$12)*操作パネル_MS2!$H$10))</f>
        <v/>
      </c>
      <c r="O159" s="5" t="str">
        <f>IF(OR(E159="",AC159=""),"",IF(AC159&gt;=操作パネル_MS2!$H$3,"VOL-OK","VOL-NG"))</f>
        <v/>
      </c>
      <c r="P159" s="5" t="str">
        <f t="shared" si="23"/>
        <v/>
      </c>
      <c r="Q159" s="5" t="str">
        <f t="shared" si="24"/>
        <v/>
      </c>
      <c r="R159" s="5" t="str">
        <f t="shared" si="25"/>
        <v/>
      </c>
      <c r="S159" s="9" t="str">
        <f t="shared" si="26"/>
        <v/>
      </c>
      <c r="T159" s="9" t="str">
        <f>IF(R159="","",IF(R159="BUY",E159-N159*操作パネル_MS2!$H$5,E159+N159*操作パネル_MS2!$H$5))</f>
        <v/>
      </c>
      <c r="U159" s="9" t="str">
        <f>IF(R159="","",IF(R159="BUY",E159+N159*操作パネル_MS2!$H$6,E159-N159*操作パネル_MS2!$H$6))</f>
        <v/>
      </c>
      <c r="V159" s="9" t="str">
        <f>IF(R159="","",IF(R159="BUY",E159+N159*操作パネル_MS2!$H$7,E159-N159*操作パネル_MS2!$H$7))</f>
        <v/>
      </c>
      <c r="W159" s="9" t="str">
        <f>IF(R159="","",IF(R159="BUY",E159+N159*操作パネル_MS2!$H$8,E159-N159*操作パネル_MS2!$H$8))</f>
        <v/>
      </c>
      <c r="X159" s="5" t="str">
        <f t="shared" si="27"/>
        <v/>
      </c>
      <c r="Y159" s="5" t="str">
        <f t="shared" ca="1" si="28"/>
        <v/>
      </c>
      <c r="Z159" s="5" t="str">
        <f>IF(OR(E159="",N159&lt;=0),"",IF(N159&gt;E159*操作パネル_MS2!$H$4,"VOL-HIGH","VOL-NORMAL"))</f>
        <v/>
      </c>
      <c r="AA159" s="5" t="str">
        <f t="shared" si="29"/>
        <v/>
      </c>
      <c r="AB159" s="5" t="str">
        <f t="shared" si="30"/>
        <v/>
      </c>
      <c r="AC159" s="30" t="str">
        <f>IF(C159="","",_xll.RssMarket(C159&amp;"","売買代金"))</f>
        <v/>
      </c>
      <c r="AD159" s="31">
        <f>IFERROR(INDEX(ATRHIST_MS2!$H:$H,MATCH(C159,ATRHIST_MS2!$A:$A,0)),0)</f>
        <v>0</v>
      </c>
    </row>
    <row r="160" spans="1:30" ht="25.95" customHeight="1">
      <c r="A160" s="10" t="str">
        <f t="shared" si="22"/>
        <v/>
      </c>
      <c r="B160" s="11" t="str">
        <f>IF(StockList_MS2!A159="","",HYPERLINK("https://kabutan.jp/stock/?code="&amp;StockList_MS2!A159,"株探"))</f>
        <v/>
      </c>
      <c r="C160" s="10" t="str">
        <f>IF(StockList_MS2!A159="","",StockList_MS2!A159)</f>
        <v/>
      </c>
      <c r="D160" s="12" t="str">
        <f>IF(StockList_MS2!A159="","",StockList_MS2!B159)</f>
        <v/>
      </c>
      <c r="E160" s="13"/>
      <c r="F160" s="13"/>
      <c r="G160" s="13"/>
      <c r="H160" s="13"/>
      <c r="I160" s="20"/>
      <c r="J160" s="13"/>
      <c r="K160" s="13"/>
      <c r="L160" s="13"/>
      <c r="M160" s="5" t="str">
        <f t="shared" si="21"/>
        <v/>
      </c>
      <c r="N160" s="9" t="str">
        <f>IF(OR(E160="",F160="",G160=""),"",IF(AD160&gt;0,AD160,(F160-G160)/SQRT(操作パネル_MS2!$H$12)*操作パネル_MS2!$H$10))</f>
        <v/>
      </c>
      <c r="O160" s="5" t="str">
        <f>IF(OR(E160="",AC160=""),"",IF(AC160&gt;=操作パネル_MS2!$H$3,"VOL-OK","VOL-NG"))</f>
        <v/>
      </c>
      <c r="P160" s="5" t="str">
        <f t="shared" si="23"/>
        <v/>
      </c>
      <c r="Q160" s="5" t="str">
        <f t="shared" si="24"/>
        <v/>
      </c>
      <c r="R160" s="5" t="str">
        <f t="shared" si="25"/>
        <v/>
      </c>
      <c r="S160" s="9" t="str">
        <f t="shared" si="26"/>
        <v/>
      </c>
      <c r="T160" s="9" t="str">
        <f>IF(R160="","",IF(R160="BUY",E160-N160*操作パネル_MS2!$H$5,E160+N160*操作パネル_MS2!$H$5))</f>
        <v/>
      </c>
      <c r="U160" s="9" t="str">
        <f>IF(R160="","",IF(R160="BUY",E160+N160*操作パネル_MS2!$H$6,E160-N160*操作パネル_MS2!$H$6))</f>
        <v/>
      </c>
      <c r="V160" s="9" t="str">
        <f>IF(R160="","",IF(R160="BUY",E160+N160*操作パネル_MS2!$H$7,E160-N160*操作パネル_MS2!$H$7))</f>
        <v/>
      </c>
      <c r="W160" s="9" t="str">
        <f>IF(R160="","",IF(R160="BUY",E160+N160*操作パネル_MS2!$H$8,E160-N160*操作パネル_MS2!$H$8))</f>
        <v/>
      </c>
      <c r="X160" s="5" t="str">
        <f t="shared" si="27"/>
        <v/>
      </c>
      <c r="Y160" s="5" t="str">
        <f t="shared" ca="1" si="28"/>
        <v/>
      </c>
      <c r="Z160" s="5" t="str">
        <f>IF(OR(E160="",N160&lt;=0),"",IF(N160&gt;E160*操作パネル_MS2!$H$4,"VOL-HIGH","VOL-NORMAL"))</f>
        <v/>
      </c>
      <c r="AA160" s="5" t="str">
        <f t="shared" si="29"/>
        <v/>
      </c>
      <c r="AB160" s="5" t="str">
        <f t="shared" si="30"/>
        <v/>
      </c>
      <c r="AC160" s="30" t="str">
        <f>IF(C160="","",_xll.RssMarket(C160&amp;"","売買代金"))</f>
        <v/>
      </c>
      <c r="AD160" s="31">
        <f>IFERROR(INDEX(ATRHIST_MS2!$H:$H,MATCH(C160,ATRHIST_MS2!$A:$A,0)),0)</f>
        <v>0</v>
      </c>
    </row>
    <row r="161" spans="1:30" ht="25.95" customHeight="1">
      <c r="A161" s="5" t="str">
        <f t="shared" si="22"/>
        <v/>
      </c>
      <c r="B161" s="6" t="str">
        <f>IF(StockList_MS2!A160="","",HYPERLINK("https://kabutan.jp/stock/?code="&amp;StockList_MS2!A160,"株探"))</f>
        <v/>
      </c>
      <c r="C161" s="5" t="str">
        <f>IF(StockList_MS2!A160="","",StockList_MS2!A160)</f>
        <v/>
      </c>
      <c r="D161" s="7" t="str">
        <f>IF(StockList_MS2!A160="","",StockList_MS2!B160)</f>
        <v/>
      </c>
      <c r="E161" s="8"/>
      <c r="F161" s="8"/>
      <c r="G161" s="8"/>
      <c r="H161" s="8"/>
      <c r="I161" s="19"/>
      <c r="J161" s="8"/>
      <c r="K161" s="8"/>
      <c r="L161" s="8"/>
      <c r="M161" s="5" t="str">
        <f t="shared" si="21"/>
        <v/>
      </c>
      <c r="N161" s="9" t="str">
        <f>IF(OR(E161="",F161="",G161=""),"",IF(AD161&gt;0,AD161,(F161-G161)/SQRT(操作パネル_MS2!$H$12)*操作パネル_MS2!$H$10))</f>
        <v/>
      </c>
      <c r="O161" s="5" t="str">
        <f>IF(OR(E161="",AC161=""),"",IF(AC161&gt;=操作パネル_MS2!$H$3,"VOL-OK","VOL-NG"))</f>
        <v/>
      </c>
      <c r="P161" s="5" t="str">
        <f t="shared" si="23"/>
        <v/>
      </c>
      <c r="Q161" s="5" t="str">
        <f t="shared" si="24"/>
        <v/>
      </c>
      <c r="R161" s="5" t="str">
        <f t="shared" si="25"/>
        <v/>
      </c>
      <c r="S161" s="9" t="str">
        <f t="shared" si="26"/>
        <v/>
      </c>
      <c r="T161" s="9" t="str">
        <f>IF(R161="","",IF(R161="BUY",E161-N161*操作パネル_MS2!$H$5,E161+N161*操作パネル_MS2!$H$5))</f>
        <v/>
      </c>
      <c r="U161" s="9" t="str">
        <f>IF(R161="","",IF(R161="BUY",E161+N161*操作パネル_MS2!$H$6,E161-N161*操作パネル_MS2!$H$6))</f>
        <v/>
      </c>
      <c r="V161" s="9" t="str">
        <f>IF(R161="","",IF(R161="BUY",E161+N161*操作パネル_MS2!$H$7,E161-N161*操作パネル_MS2!$H$7))</f>
        <v/>
      </c>
      <c r="W161" s="9" t="str">
        <f>IF(R161="","",IF(R161="BUY",E161+N161*操作パネル_MS2!$H$8,E161-N161*操作パネル_MS2!$H$8))</f>
        <v/>
      </c>
      <c r="X161" s="5" t="str">
        <f t="shared" si="27"/>
        <v/>
      </c>
      <c r="Y161" s="5" t="str">
        <f t="shared" ca="1" si="28"/>
        <v/>
      </c>
      <c r="Z161" s="5" t="str">
        <f>IF(OR(E161="",N161&lt;=0),"",IF(N161&gt;E161*操作パネル_MS2!$H$4,"VOL-HIGH","VOL-NORMAL"))</f>
        <v/>
      </c>
      <c r="AA161" s="5" t="str">
        <f t="shared" si="29"/>
        <v/>
      </c>
      <c r="AB161" s="5" t="str">
        <f t="shared" si="30"/>
        <v/>
      </c>
      <c r="AC161" s="30" t="str">
        <f>IF(C161="","",_xll.RssMarket(C161&amp;"","売買代金"))</f>
        <v/>
      </c>
      <c r="AD161" s="31">
        <f>IFERROR(INDEX(ATRHIST_MS2!$H:$H,MATCH(C161,ATRHIST_MS2!$A:$A,0)),0)</f>
        <v>0</v>
      </c>
    </row>
    <row r="162" spans="1:30" ht="25.95" customHeight="1">
      <c r="A162" s="10" t="str">
        <f t="shared" si="22"/>
        <v/>
      </c>
      <c r="B162" s="11" t="str">
        <f>IF(StockList_MS2!A161="","",HYPERLINK("https://kabutan.jp/stock/?code="&amp;StockList_MS2!A161,"株探"))</f>
        <v/>
      </c>
      <c r="C162" s="10" t="str">
        <f>IF(StockList_MS2!A161="","",StockList_MS2!A161)</f>
        <v/>
      </c>
      <c r="D162" s="12" t="str">
        <f>IF(StockList_MS2!A161="","",StockList_MS2!B161)</f>
        <v/>
      </c>
      <c r="E162" s="13"/>
      <c r="F162" s="13"/>
      <c r="G162" s="13"/>
      <c r="H162" s="13"/>
      <c r="I162" s="20"/>
      <c r="J162" s="13"/>
      <c r="K162" s="13"/>
      <c r="L162" s="13"/>
      <c r="M162" s="5" t="str">
        <f t="shared" si="21"/>
        <v/>
      </c>
      <c r="N162" s="9" t="str">
        <f>IF(OR(E162="",F162="",G162=""),"",IF(AD162&gt;0,AD162,(F162-G162)/SQRT(操作パネル_MS2!$H$12)*操作パネル_MS2!$H$10))</f>
        <v/>
      </c>
      <c r="O162" s="5" t="str">
        <f>IF(OR(E162="",AC162=""),"",IF(AC162&gt;=操作パネル_MS2!$H$3,"VOL-OK","VOL-NG"))</f>
        <v/>
      </c>
      <c r="P162" s="5" t="str">
        <f t="shared" si="23"/>
        <v/>
      </c>
      <c r="Q162" s="5" t="str">
        <f t="shared" si="24"/>
        <v/>
      </c>
      <c r="R162" s="5" t="str">
        <f t="shared" si="25"/>
        <v/>
      </c>
      <c r="S162" s="9" t="str">
        <f t="shared" si="26"/>
        <v/>
      </c>
      <c r="T162" s="9" t="str">
        <f>IF(R162="","",IF(R162="BUY",E162-N162*操作パネル_MS2!$H$5,E162+N162*操作パネル_MS2!$H$5))</f>
        <v/>
      </c>
      <c r="U162" s="9" t="str">
        <f>IF(R162="","",IF(R162="BUY",E162+N162*操作パネル_MS2!$H$6,E162-N162*操作パネル_MS2!$H$6))</f>
        <v/>
      </c>
      <c r="V162" s="9" t="str">
        <f>IF(R162="","",IF(R162="BUY",E162+N162*操作パネル_MS2!$H$7,E162-N162*操作パネル_MS2!$H$7))</f>
        <v/>
      </c>
      <c r="W162" s="9" t="str">
        <f>IF(R162="","",IF(R162="BUY",E162+N162*操作パネル_MS2!$H$8,E162-N162*操作パネル_MS2!$H$8))</f>
        <v/>
      </c>
      <c r="X162" s="5" t="str">
        <f t="shared" si="27"/>
        <v/>
      </c>
      <c r="Y162" s="5" t="str">
        <f t="shared" ca="1" si="28"/>
        <v/>
      </c>
      <c r="Z162" s="5" t="str">
        <f>IF(OR(E162="",N162&lt;=0),"",IF(N162&gt;E162*操作パネル_MS2!$H$4,"VOL-HIGH","VOL-NORMAL"))</f>
        <v/>
      </c>
      <c r="AA162" s="5" t="str">
        <f t="shared" si="29"/>
        <v/>
      </c>
      <c r="AB162" s="5" t="str">
        <f t="shared" si="30"/>
        <v/>
      </c>
      <c r="AC162" s="30" t="str">
        <f>IF(C162="","",_xll.RssMarket(C162&amp;"","売買代金"))</f>
        <v/>
      </c>
      <c r="AD162" s="31">
        <f>IFERROR(INDEX(ATRHIST_MS2!$H:$H,MATCH(C162,ATRHIST_MS2!$A:$A,0)),0)</f>
        <v>0</v>
      </c>
    </row>
    <row r="163" spans="1:30" ht="25.95" customHeight="1">
      <c r="A163" s="5" t="str">
        <f t="shared" si="22"/>
        <v/>
      </c>
      <c r="B163" s="6" t="str">
        <f>IF(StockList_MS2!A162="","",HYPERLINK("https://kabutan.jp/stock/?code="&amp;StockList_MS2!A162,"株探"))</f>
        <v/>
      </c>
      <c r="C163" s="5" t="str">
        <f>IF(StockList_MS2!A162="","",StockList_MS2!A162)</f>
        <v/>
      </c>
      <c r="D163" s="7" t="str">
        <f>IF(StockList_MS2!A162="","",StockList_MS2!B162)</f>
        <v/>
      </c>
      <c r="E163" s="8"/>
      <c r="F163" s="8"/>
      <c r="G163" s="8"/>
      <c r="H163" s="8"/>
      <c r="I163" s="19"/>
      <c r="J163" s="8"/>
      <c r="K163" s="8"/>
      <c r="L163" s="8"/>
      <c r="M163" s="5" t="str">
        <f t="shared" si="21"/>
        <v/>
      </c>
      <c r="N163" s="9" t="str">
        <f>IF(OR(E163="",F163="",G163=""),"",IF(AD163&gt;0,AD163,(F163-G163)/SQRT(操作パネル_MS2!$H$12)*操作パネル_MS2!$H$10))</f>
        <v/>
      </c>
      <c r="O163" s="5" t="str">
        <f>IF(OR(E163="",AC163=""),"",IF(AC163&gt;=操作パネル_MS2!$H$3,"VOL-OK","VOL-NG"))</f>
        <v/>
      </c>
      <c r="P163" s="5" t="str">
        <f t="shared" si="23"/>
        <v/>
      </c>
      <c r="Q163" s="5" t="str">
        <f t="shared" si="24"/>
        <v/>
      </c>
      <c r="R163" s="5" t="str">
        <f t="shared" si="25"/>
        <v/>
      </c>
      <c r="S163" s="9" t="str">
        <f t="shared" si="26"/>
        <v/>
      </c>
      <c r="T163" s="9" t="str">
        <f>IF(R163="","",IF(R163="BUY",E163-N163*操作パネル_MS2!$H$5,E163+N163*操作パネル_MS2!$H$5))</f>
        <v/>
      </c>
      <c r="U163" s="9" t="str">
        <f>IF(R163="","",IF(R163="BUY",E163+N163*操作パネル_MS2!$H$6,E163-N163*操作パネル_MS2!$H$6))</f>
        <v/>
      </c>
      <c r="V163" s="9" t="str">
        <f>IF(R163="","",IF(R163="BUY",E163+N163*操作パネル_MS2!$H$7,E163-N163*操作パネル_MS2!$H$7))</f>
        <v/>
      </c>
      <c r="W163" s="9" t="str">
        <f>IF(R163="","",IF(R163="BUY",E163+N163*操作パネル_MS2!$H$8,E163-N163*操作パネル_MS2!$H$8))</f>
        <v/>
      </c>
      <c r="X163" s="5" t="str">
        <f t="shared" si="27"/>
        <v/>
      </c>
      <c r="Y163" s="5" t="str">
        <f t="shared" ca="1" si="28"/>
        <v/>
      </c>
      <c r="Z163" s="5" t="str">
        <f>IF(OR(E163="",N163&lt;=0),"",IF(N163&gt;E163*操作パネル_MS2!$H$4,"VOL-HIGH","VOL-NORMAL"))</f>
        <v/>
      </c>
      <c r="AA163" s="5" t="str">
        <f t="shared" si="29"/>
        <v/>
      </c>
      <c r="AB163" s="5" t="str">
        <f t="shared" si="30"/>
        <v/>
      </c>
      <c r="AC163" s="30" t="str">
        <f>IF(C163="","",_xll.RssMarket(C163&amp;"","売買代金"))</f>
        <v/>
      </c>
      <c r="AD163" s="31">
        <f>IFERROR(INDEX(ATRHIST_MS2!$H:$H,MATCH(C163,ATRHIST_MS2!$A:$A,0)),0)</f>
        <v>0</v>
      </c>
    </row>
    <row r="164" spans="1:30" ht="25.95" customHeight="1">
      <c r="A164" s="10" t="str">
        <f t="shared" si="22"/>
        <v/>
      </c>
      <c r="B164" s="11" t="str">
        <f>IF(StockList_MS2!A163="","",HYPERLINK("https://kabutan.jp/stock/?code="&amp;StockList_MS2!A163,"株探"))</f>
        <v/>
      </c>
      <c r="C164" s="10" t="str">
        <f>IF(StockList_MS2!A163="","",StockList_MS2!A163)</f>
        <v/>
      </c>
      <c r="D164" s="12" t="str">
        <f>IF(StockList_MS2!A163="","",StockList_MS2!B163)</f>
        <v/>
      </c>
      <c r="E164" s="13"/>
      <c r="F164" s="13"/>
      <c r="G164" s="13"/>
      <c r="H164" s="13"/>
      <c r="I164" s="20"/>
      <c r="J164" s="13"/>
      <c r="K164" s="13"/>
      <c r="L164" s="13"/>
      <c r="M164" s="5" t="str">
        <f t="shared" si="21"/>
        <v/>
      </c>
      <c r="N164" s="9" t="str">
        <f>IF(OR(E164="",F164="",G164=""),"",IF(AD164&gt;0,AD164,(F164-G164)/SQRT(操作パネル_MS2!$H$12)*操作パネル_MS2!$H$10))</f>
        <v/>
      </c>
      <c r="O164" s="5" t="str">
        <f>IF(OR(E164="",AC164=""),"",IF(AC164&gt;=操作パネル_MS2!$H$3,"VOL-OK","VOL-NG"))</f>
        <v/>
      </c>
      <c r="P164" s="5" t="str">
        <f t="shared" si="23"/>
        <v/>
      </c>
      <c r="Q164" s="5" t="str">
        <f t="shared" si="24"/>
        <v/>
      </c>
      <c r="R164" s="5" t="str">
        <f t="shared" si="25"/>
        <v/>
      </c>
      <c r="S164" s="9" t="str">
        <f t="shared" si="26"/>
        <v/>
      </c>
      <c r="T164" s="9" t="str">
        <f>IF(R164="","",IF(R164="BUY",E164-N164*操作パネル_MS2!$H$5,E164+N164*操作パネル_MS2!$H$5))</f>
        <v/>
      </c>
      <c r="U164" s="9" t="str">
        <f>IF(R164="","",IF(R164="BUY",E164+N164*操作パネル_MS2!$H$6,E164-N164*操作パネル_MS2!$H$6))</f>
        <v/>
      </c>
      <c r="V164" s="9" t="str">
        <f>IF(R164="","",IF(R164="BUY",E164+N164*操作パネル_MS2!$H$7,E164-N164*操作パネル_MS2!$H$7))</f>
        <v/>
      </c>
      <c r="W164" s="9" t="str">
        <f>IF(R164="","",IF(R164="BUY",E164+N164*操作パネル_MS2!$H$8,E164-N164*操作パネル_MS2!$H$8))</f>
        <v/>
      </c>
      <c r="X164" s="5" t="str">
        <f t="shared" si="27"/>
        <v/>
      </c>
      <c r="Y164" s="5" t="str">
        <f t="shared" ca="1" si="28"/>
        <v/>
      </c>
      <c r="Z164" s="5" t="str">
        <f>IF(OR(E164="",N164&lt;=0),"",IF(N164&gt;E164*操作パネル_MS2!$H$4,"VOL-HIGH","VOL-NORMAL"))</f>
        <v/>
      </c>
      <c r="AA164" s="5" t="str">
        <f t="shared" si="29"/>
        <v/>
      </c>
      <c r="AB164" s="5" t="str">
        <f t="shared" si="30"/>
        <v/>
      </c>
      <c r="AC164" s="30" t="str">
        <f>IF(C164="","",_xll.RssMarket(C164&amp;"","売買代金"))</f>
        <v/>
      </c>
      <c r="AD164" s="31">
        <f>IFERROR(INDEX(ATRHIST_MS2!$H:$H,MATCH(C164,ATRHIST_MS2!$A:$A,0)),0)</f>
        <v>0</v>
      </c>
    </row>
    <row r="165" spans="1:30" ht="25.95" customHeight="1">
      <c r="A165" s="5" t="str">
        <f t="shared" si="22"/>
        <v/>
      </c>
      <c r="B165" s="6" t="str">
        <f>IF(StockList_MS2!A164="","",HYPERLINK("https://kabutan.jp/stock/?code="&amp;StockList_MS2!A164,"株探"))</f>
        <v/>
      </c>
      <c r="C165" s="5" t="str">
        <f>IF(StockList_MS2!A164="","",StockList_MS2!A164)</f>
        <v/>
      </c>
      <c r="D165" s="7" t="str">
        <f>IF(StockList_MS2!A164="","",StockList_MS2!B164)</f>
        <v/>
      </c>
      <c r="E165" s="8"/>
      <c r="F165" s="8"/>
      <c r="G165" s="8"/>
      <c r="H165" s="8"/>
      <c r="I165" s="19"/>
      <c r="J165" s="8"/>
      <c r="K165" s="8"/>
      <c r="L165" s="8"/>
      <c r="M165" s="5" t="str">
        <f t="shared" si="21"/>
        <v/>
      </c>
      <c r="N165" s="9" t="str">
        <f>IF(OR(E165="",F165="",G165=""),"",IF(AD165&gt;0,AD165,(F165-G165)/SQRT(操作パネル_MS2!$H$12)*操作パネル_MS2!$H$10))</f>
        <v/>
      </c>
      <c r="O165" s="5" t="str">
        <f>IF(OR(E165="",AC165=""),"",IF(AC165&gt;=操作パネル_MS2!$H$3,"VOL-OK","VOL-NG"))</f>
        <v/>
      </c>
      <c r="P165" s="5" t="str">
        <f t="shared" si="23"/>
        <v/>
      </c>
      <c r="Q165" s="5" t="str">
        <f t="shared" si="24"/>
        <v/>
      </c>
      <c r="R165" s="5" t="str">
        <f t="shared" si="25"/>
        <v/>
      </c>
      <c r="S165" s="9" t="str">
        <f t="shared" si="26"/>
        <v/>
      </c>
      <c r="T165" s="9" t="str">
        <f>IF(R165="","",IF(R165="BUY",E165-N165*操作パネル_MS2!$H$5,E165+N165*操作パネル_MS2!$H$5))</f>
        <v/>
      </c>
      <c r="U165" s="9" t="str">
        <f>IF(R165="","",IF(R165="BUY",E165+N165*操作パネル_MS2!$H$6,E165-N165*操作パネル_MS2!$H$6))</f>
        <v/>
      </c>
      <c r="V165" s="9" t="str">
        <f>IF(R165="","",IF(R165="BUY",E165+N165*操作パネル_MS2!$H$7,E165-N165*操作パネル_MS2!$H$7))</f>
        <v/>
      </c>
      <c r="W165" s="9" t="str">
        <f>IF(R165="","",IF(R165="BUY",E165+N165*操作パネル_MS2!$H$8,E165-N165*操作パネル_MS2!$H$8))</f>
        <v/>
      </c>
      <c r="X165" s="5" t="str">
        <f t="shared" si="27"/>
        <v/>
      </c>
      <c r="Y165" s="5" t="str">
        <f t="shared" ca="1" si="28"/>
        <v/>
      </c>
      <c r="Z165" s="5" t="str">
        <f>IF(OR(E165="",N165&lt;=0),"",IF(N165&gt;E165*操作パネル_MS2!$H$4,"VOL-HIGH","VOL-NORMAL"))</f>
        <v/>
      </c>
      <c r="AA165" s="5" t="str">
        <f t="shared" si="29"/>
        <v/>
      </c>
      <c r="AB165" s="5" t="str">
        <f t="shared" si="30"/>
        <v/>
      </c>
      <c r="AC165" s="30" t="str">
        <f>IF(C165="","",_xll.RssMarket(C165&amp;"","売買代金"))</f>
        <v/>
      </c>
      <c r="AD165" s="31">
        <f>IFERROR(INDEX(ATRHIST_MS2!$H:$H,MATCH(C165,ATRHIST_MS2!$A:$A,0)),0)</f>
        <v>0</v>
      </c>
    </row>
    <row r="166" spans="1:30" ht="25.95" customHeight="1">
      <c r="A166" s="10" t="str">
        <f t="shared" si="22"/>
        <v/>
      </c>
      <c r="B166" s="11" t="str">
        <f>IF(StockList_MS2!A165="","",HYPERLINK("https://kabutan.jp/stock/?code="&amp;StockList_MS2!A165,"株探"))</f>
        <v/>
      </c>
      <c r="C166" s="10" t="str">
        <f>IF(StockList_MS2!A165="","",StockList_MS2!A165)</f>
        <v/>
      </c>
      <c r="D166" s="12" t="str">
        <f>IF(StockList_MS2!A165="","",StockList_MS2!B165)</f>
        <v/>
      </c>
      <c r="E166" s="13"/>
      <c r="F166" s="13"/>
      <c r="G166" s="13"/>
      <c r="H166" s="13"/>
      <c r="I166" s="20"/>
      <c r="J166" s="13"/>
      <c r="K166" s="13"/>
      <c r="L166" s="13"/>
      <c r="M166" s="5" t="str">
        <f t="shared" si="21"/>
        <v/>
      </c>
      <c r="N166" s="9" t="str">
        <f>IF(OR(E166="",F166="",G166=""),"",IF(AD166&gt;0,AD166,(F166-G166)/SQRT(操作パネル_MS2!$H$12)*操作パネル_MS2!$H$10))</f>
        <v/>
      </c>
      <c r="O166" s="5" t="str">
        <f>IF(OR(E166="",AC166=""),"",IF(AC166&gt;=操作パネル_MS2!$H$3,"VOL-OK","VOL-NG"))</f>
        <v/>
      </c>
      <c r="P166" s="5" t="str">
        <f t="shared" si="23"/>
        <v/>
      </c>
      <c r="Q166" s="5" t="str">
        <f t="shared" si="24"/>
        <v/>
      </c>
      <c r="R166" s="5" t="str">
        <f t="shared" si="25"/>
        <v/>
      </c>
      <c r="S166" s="9" t="str">
        <f t="shared" si="26"/>
        <v/>
      </c>
      <c r="T166" s="9" t="str">
        <f>IF(R166="","",IF(R166="BUY",E166-N166*操作パネル_MS2!$H$5,E166+N166*操作パネル_MS2!$H$5))</f>
        <v/>
      </c>
      <c r="U166" s="9" t="str">
        <f>IF(R166="","",IF(R166="BUY",E166+N166*操作パネル_MS2!$H$6,E166-N166*操作パネル_MS2!$H$6))</f>
        <v/>
      </c>
      <c r="V166" s="9" t="str">
        <f>IF(R166="","",IF(R166="BUY",E166+N166*操作パネル_MS2!$H$7,E166-N166*操作パネル_MS2!$H$7))</f>
        <v/>
      </c>
      <c r="W166" s="9" t="str">
        <f>IF(R166="","",IF(R166="BUY",E166+N166*操作パネル_MS2!$H$8,E166-N166*操作パネル_MS2!$H$8))</f>
        <v/>
      </c>
      <c r="X166" s="5" t="str">
        <f t="shared" si="27"/>
        <v/>
      </c>
      <c r="Y166" s="5" t="str">
        <f t="shared" ca="1" si="28"/>
        <v/>
      </c>
      <c r="Z166" s="5" t="str">
        <f>IF(OR(E166="",N166&lt;=0),"",IF(N166&gt;E166*操作パネル_MS2!$H$4,"VOL-HIGH","VOL-NORMAL"))</f>
        <v/>
      </c>
      <c r="AA166" s="5" t="str">
        <f t="shared" si="29"/>
        <v/>
      </c>
      <c r="AB166" s="5" t="str">
        <f t="shared" si="30"/>
        <v/>
      </c>
      <c r="AC166" s="30" t="str">
        <f>IF(C166="","",_xll.RssMarket(C166&amp;"","売買代金"))</f>
        <v/>
      </c>
      <c r="AD166" s="31">
        <f>IFERROR(INDEX(ATRHIST_MS2!$H:$H,MATCH(C166,ATRHIST_MS2!$A:$A,0)),0)</f>
        <v>0</v>
      </c>
    </row>
    <row r="167" spans="1:30" ht="25.95" customHeight="1">
      <c r="A167" s="5" t="str">
        <f t="shared" si="22"/>
        <v/>
      </c>
      <c r="B167" s="6" t="str">
        <f>IF(StockList_MS2!A166="","",HYPERLINK("https://kabutan.jp/stock/?code="&amp;StockList_MS2!A166,"株探"))</f>
        <v/>
      </c>
      <c r="C167" s="5" t="str">
        <f>IF(StockList_MS2!A166="","",StockList_MS2!A166)</f>
        <v/>
      </c>
      <c r="D167" s="7" t="str">
        <f>IF(StockList_MS2!A166="","",StockList_MS2!B166)</f>
        <v/>
      </c>
      <c r="E167" s="8"/>
      <c r="F167" s="8"/>
      <c r="G167" s="8"/>
      <c r="H167" s="8"/>
      <c r="I167" s="19"/>
      <c r="J167" s="8"/>
      <c r="K167" s="8"/>
      <c r="L167" s="8"/>
      <c r="M167" s="5" t="str">
        <f t="shared" ref="M167:M230" si="31">IF(E167="","",IF(E167&gt;L167,"BUY-DAY","SELL-DAY"))</f>
        <v/>
      </c>
      <c r="N167" s="9" t="str">
        <f>IF(OR(E167="",F167="",G167=""),"",IF(AD167&gt;0,AD167,(F167-G167)/SQRT(操作パネル_MS2!$H$12)*操作パネル_MS2!$H$10))</f>
        <v/>
      </c>
      <c r="O167" s="5" t="str">
        <f>IF(OR(E167="",AC167=""),"",IF(AC167&gt;=操作パネル_MS2!$H$3,"VOL-OK","VOL-NG"))</f>
        <v/>
      </c>
      <c r="P167" s="5" t="str">
        <f t="shared" si="23"/>
        <v/>
      </c>
      <c r="Q167" s="5" t="str">
        <f t="shared" si="24"/>
        <v/>
      </c>
      <c r="R167" s="5" t="str">
        <f t="shared" si="25"/>
        <v/>
      </c>
      <c r="S167" s="9" t="str">
        <f t="shared" si="26"/>
        <v/>
      </c>
      <c r="T167" s="9" t="str">
        <f>IF(R167="","",IF(R167="BUY",E167-N167*操作パネル_MS2!$H$5,E167+N167*操作パネル_MS2!$H$5))</f>
        <v/>
      </c>
      <c r="U167" s="9" t="str">
        <f>IF(R167="","",IF(R167="BUY",E167+N167*操作パネル_MS2!$H$6,E167-N167*操作パネル_MS2!$H$6))</f>
        <v/>
      </c>
      <c r="V167" s="9" t="str">
        <f>IF(R167="","",IF(R167="BUY",E167+N167*操作パネル_MS2!$H$7,E167-N167*操作パネル_MS2!$H$7))</f>
        <v/>
      </c>
      <c r="W167" s="9" t="str">
        <f>IF(R167="","",IF(R167="BUY",E167+N167*操作パネル_MS2!$H$8,E167-N167*操作パネル_MS2!$H$8))</f>
        <v/>
      </c>
      <c r="X167" s="5" t="str">
        <f t="shared" si="27"/>
        <v/>
      </c>
      <c r="Y167" s="5" t="str">
        <f t="shared" ca="1" si="28"/>
        <v/>
      </c>
      <c r="Z167" s="5" t="str">
        <f>IF(OR(E167="",N167&lt;=0),"",IF(N167&gt;E167*操作パネル_MS2!$H$4,"VOL-HIGH","VOL-NORMAL"))</f>
        <v/>
      </c>
      <c r="AA167" s="5" t="str">
        <f t="shared" si="29"/>
        <v/>
      </c>
      <c r="AB167" s="5" t="str">
        <f t="shared" si="30"/>
        <v/>
      </c>
      <c r="AC167" s="30" t="str">
        <f>IF(C167="","",_xll.RssMarket(C167&amp;"","売買代金"))</f>
        <v/>
      </c>
      <c r="AD167" s="31">
        <f>IFERROR(INDEX(ATRHIST_MS2!$H:$H,MATCH(C167,ATRHIST_MS2!$A:$A,0)),0)</f>
        <v>0</v>
      </c>
    </row>
    <row r="168" spans="1:30" ht="25.95" customHeight="1">
      <c r="A168" s="10" t="str">
        <f t="shared" si="22"/>
        <v/>
      </c>
      <c r="B168" s="11" t="str">
        <f>IF(StockList_MS2!A167="","",HYPERLINK("https://kabutan.jp/stock/?code="&amp;StockList_MS2!A167,"株探"))</f>
        <v/>
      </c>
      <c r="C168" s="10" t="str">
        <f>IF(StockList_MS2!A167="","",StockList_MS2!A167)</f>
        <v/>
      </c>
      <c r="D168" s="12" t="str">
        <f>IF(StockList_MS2!A167="","",StockList_MS2!B167)</f>
        <v/>
      </c>
      <c r="E168" s="13"/>
      <c r="F168" s="13"/>
      <c r="G168" s="13"/>
      <c r="H168" s="13"/>
      <c r="I168" s="20"/>
      <c r="J168" s="13"/>
      <c r="K168" s="13"/>
      <c r="L168" s="13"/>
      <c r="M168" s="5" t="str">
        <f t="shared" si="31"/>
        <v/>
      </c>
      <c r="N168" s="9" t="str">
        <f>IF(OR(E168="",F168="",G168=""),"",IF(AD168&gt;0,AD168,(F168-G168)/SQRT(操作パネル_MS2!$H$12)*操作パネル_MS2!$H$10))</f>
        <v/>
      </c>
      <c r="O168" s="5" t="str">
        <f>IF(OR(E168="",AC168=""),"",IF(AC168&gt;=操作パネル_MS2!$H$3,"VOL-OK","VOL-NG"))</f>
        <v/>
      </c>
      <c r="P168" s="5" t="str">
        <f t="shared" si="23"/>
        <v/>
      </c>
      <c r="Q168" s="5" t="str">
        <f t="shared" si="24"/>
        <v/>
      </c>
      <c r="R168" s="5" t="str">
        <f t="shared" si="25"/>
        <v/>
      </c>
      <c r="S168" s="9" t="str">
        <f t="shared" si="26"/>
        <v/>
      </c>
      <c r="T168" s="9" t="str">
        <f>IF(R168="","",IF(R168="BUY",E168-N168*操作パネル_MS2!$H$5,E168+N168*操作パネル_MS2!$H$5))</f>
        <v/>
      </c>
      <c r="U168" s="9" t="str">
        <f>IF(R168="","",IF(R168="BUY",E168+N168*操作パネル_MS2!$H$6,E168-N168*操作パネル_MS2!$H$6))</f>
        <v/>
      </c>
      <c r="V168" s="9" t="str">
        <f>IF(R168="","",IF(R168="BUY",E168+N168*操作パネル_MS2!$H$7,E168-N168*操作パネル_MS2!$H$7))</f>
        <v/>
      </c>
      <c r="W168" s="9" t="str">
        <f>IF(R168="","",IF(R168="BUY",E168+N168*操作パネル_MS2!$H$8,E168-N168*操作パネル_MS2!$H$8))</f>
        <v/>
      </c>
      <c r="X168" s="5" t="str">
        <f t="shared" si="27"/>
        <v/>
      </c>
      <c r="Y168" s="5" t="str">
        <f t="shared" ca="1" si="28"/>
        <v/>
      </c>
      <c r="Z168" s="5" t="str">
        <f>IF(OR(E168="",N168&lt;=0),"",IF(N168&gt;E168*操作パネル_MS2!$H$4,"VOL-HIGH","VOL-NORMAL"))</f>
        <v/>
      </c>
      <c r="AA168" s="5" t="str">
        <f t="shared" si="29"/>
        <v/>
      </c>
      <c r="AB168" s="5" t="str">
        <f t="shared" si="30"/>
        <v/>
      </c>
      <c r="AC168" s="30" t="str">
        <f>IF(C168="","",_xll.RssMarket(C168&amp;"","売買代金"))</f>
        <v/>
      </c>
      <c r="AD168" s="31">
        <f>IFERROR(INDEX(ATRHIST_MS2!$H:$H,MATCH(C168,ATRHIST_MS2!$A:$A,0)),0)</f>
        <v>0</v>
      </c>
    </row>
    <row r="169" spans="1:30" ht="25.95" customHeight="1">
      <c r="A169" s="5" t="str">
        <f t="shared" si="22"/>
        <v/>
      </c>
      <c r="B169" s="6" t="str">
        <f>IF(StockList_MS2!A168="","",HYPERLINK("https://kabutan.jp/stock/?code="&amp;StockList_MS2!A168,"株探"))</f>
        <v/>
      </c>
      <c r="C169" s="5" t="str">
        <f>IF(StockList_MS2!A168="","",StockList_MS2!A168)</f>
        <v/>
      </c>
      <c r="D169" s="7" t="str">
        <f>IF(StockList_MS2!A168="","",StockList_MS2!B168)</f>
        <v/>
      </c>
      <c r="E169" s="8"/>
      <c r="F169" s="8"/>
      <c r="G169" s="8"/>
      <c r="H169" s="8"/>
      <c r="I169" s="19"/>
      <c r="J169" s="8"/>
      <c r="K169" s="8"/>
      <c r="L169" s="8"/>
      <c r="M169" s="5" t="str">
        <f t="shared" si="31"/>
        <v/>
      </c>
      <c r="N169" s="9" t="str">
        <f>IF(OR(E169="",F169="",G169=""),"",IF(AD169&gt;0,AD169,(F169-G169)/SQRT(操作パネル_MS2!$H$12)*操作パネル_MS2!$H$10))</f>
        <v/>
      </c>
      <c r="O169" s="5" t="str">
        <f>IF(OR(E169="",AC169=""),"",IF(AC169&gt;=操作パネル_MS2!$H$3,"VOL-OK","VOL-NG"))</f>
        <v/>
      </c>
      <c r="P169" s="5" t="str">
        <f t="shared" si="23"/>
        <v/>
      </c>
      <c r="Q169" s="5" t="str">
        <f t="shared" si="24"/>
        <v/>
      </c>
      <c r="R169" s="5" t="str">
        <f t="shared" si="25"/>
        <v/>
      </c>
      <c r="S169" s="9" t="str">
        <f t="shared" si="26"/>
        <v/>
      </c>
      <c r="T169" s="9" t="str">
        <f>IF(R169="","",IF(R169="BUY",E169-N169*操作パネル_MS2!$H$5,E169+N169*操作パネル_MS2!$H$5))</f>
        <v/>
      </c>
      <c r="U169" s="9" t="str">
        <f>IF(R169="","",IF(R169="BUY",E169+N169*操作パネル_MS2!$H$6,E169-N169*操作パネル_MS2!$H$6))</f>
        <v/>
      </c>
      <c r="V169" s="9" t="str">
        <f>IF(R169="","",IF(R169="BUY",E169+N169*操作パネル_MS2!$H$7,E169-N169*操作パネル_MS2!$H$7))</f>
        <v/>
      </c>
      <c r="W169" s="9" t="str">
        <f>IF(R169="","",IF(R169="BUY",E169+N169*操作パネル_MS2!$H$8,E169-N169*操作パネル_MS2!$H$8))</f>
        <v/>
      </c>
      <c r="X169" s="5" t="str">
        <f t="shared" si="27"/>
        <v/>
      </c>
      <c r="Y169" s="5" t="str">
        <f t="shared" ca="1" si="28"/>
        <v/>
      </c>
      <c r="Z169" s="5" t="str">
        <f>IF(OR(E169="",N169&lt;=0),"",IF(N169&gt;E169*操作パネル_MS2!$H$4,"VOL-HIGH","VOL-NORMAL"))</f>
        <v/>
      </c>
      <c r="AA169" s="5" t="str">
        <f t="shared" si="29"/>
        <v/>
      </c>
      <c r="AB169" s="5" t="str">
        <f t="shared" si="30"/>
        <v/>
      </c>
      <c r="AC169" s="30" t="str">
        <f>IF(C169="","",_xll.RssMarket(C169&amp;"","売買代金"))</f>
        <v/>
      </c>
      <c r="AD169" s="31">
        <f>IFERROR(INDEX(ATRHIST_MS2!$H:$H,MATCH(C169,ATRHIST_MS2!$A:$A,0)),0)</f>
        <v>0</v>
      </c>
    </row>
    <row r="170" spans="1:30" ht="25.95" customHeight="1">
      <c r="A170" s="10" t="str">
        <f t="shared" si="22"/>
        <v/>
      </c>
      <c r="B170" s="11" t="str">
        <f>IF(StockList_MS2!A169="","",HYPERLINK("https://kabutan.jp/stock/?code="&amp;StockList_MS2!A169,"株探"))</f>
        <v/>
      </c>
      <c r="C170" s="10" t="str">
        <f>IF(StockList_MS2!A169="","",StockList_MS2!A169)</f>
        <v/>
      </c>
      <c r="D170" s="12" t="str">
        <f>IF(StockList_MS2!A169="","",StockList_MS2!B169)</f>
        <v/>
      </c>
      <c r="E170" s="13"/>
      <c r="F170" s="13"/>
      <c r="G170" s="13"/>
      <c r="H170" s="13"/>
      <c r="I170" s="20"/>
      <c r="J170" s="13"/>
      <c r="K170" s="13"/>
      <c r="L170" s="13"/>
      <c r="M170" s="5" t="str">
        <f t="shared" si="31"/>
        <v/>
      </c>
      <c r="N170" s="9" t="str">
        <f>IF(OR(E170="",F170="",G170=""),"",IF(AD170&gt;0,AD170,(F170-G170)/SQRT(操作パネル_MS2!$H$12)*操作パネル_MS2!$H$10))</f>
        <v/>
      </c>
      <c r="O170" s="5" t="str">
        <f>IF(OR(E170="",AC170=""),"",IF(AC170&gt;=操作パネル_MS2!$H$3,"VOL-OK","VOL-NG"))</f>
        <v/>
      </c>
      <c r="P170" s="5" t="str">
        <f t="shared" si="23"/>
        <v/>
      </c>
      <c r="Q170" s="5" t="str">
        <f t="shared" si="24"/>
        <v/>
      </c>
      <c r="R170" s="5" t="str">
        <f t="shared" si="25"/>
        <v/>
      </c>
      <c r="S170" s="9" t="str">
        <f t="shared" si="26"/>
        <v/>
      </c>
      <c r="T170" s="9" t="str">
        <f>IF(R170="","",IF(R170="BUY",E170-N170*操作パネル_MS2!$H$5,E170+N170*操作パネル_MS2!$H$5))</f>
        <v/>
      </c>
      <c r="U170" s="9" t="str">
        <f>IF(R170="","",IF(R170="BUY",E170+N170*操作パネル_MS2!$H$6,E170-N170*操作パネル_MS2!$H$6))</f>
        <v/>
      </c>
      <c r="V170" s="9" t="str">
        <f>IF(R170="","",IF(R170="BUY",E170+N170*操作パネル_MS2!$H$7,E170-N170*操作パネル_MS2!$H$7))</f>
        <v/>
      </c>
      <c r="W170" s="9" t="str">
        <f>IF(R170="","",IF(R170="BUY",E170+N170*操作パネル_MS2!$H$8,E170-N170*操作パネル_MS2!$H$8))</f>
        <v/>
      </c>
      <c r="X170" s="5" t="str">
        <f t="shared" si="27"/>
        <v/>
      </c>
      <c r="Y170" s="5" t="str">
        <f t="shared" ca="1" si="28"/>
        <v/>
      </c>
      <c r="Z170" s="5" t="str">
        <f>IF(OR(E170="",N170&lt;=0),"",IF(N170&gt;E170*操作パネル_MS2!$H$4,"VOL-HIGH","VOL-NORMAL"))</f>
        <v/>
      </c>
      <c r="AA170" s="5" t="str">
        <f t="shared" si="29"/>
        <v/>
      </c>
      <c r="AB170" s="5" t="str">
        <f t="shared" si="30"/>
        <v/>
      </c>
      <c r="AC170" s="30" t="str">
        <f>IF(C170="","",_xll.RssMarket(C170&amp;"","売買代金"))</f>
        <v/>
      </c>
      <c r="AD170" s="31">
        <f>IFERROR(INDEX(ATRHIST_MS2!$H:$H,MATCH(C170,ATRHIST_MS2!$A:$A,0)),0)</f>
        <v>0</v>
      </c>
    </row>
    <row r="171" spans="1:30" ht="25.95" customHeight="1">
      <c r="A171" s="5" t="str">
        <f t="shared" si="22"/>
        <v/>
      </c>
      <c r="B171" s="6" t="str">
        <f>IF(StockList_MS2!A170="","",HYPERLINK("https://kabutan.jp/stock/?code="&amp;StockList_MS2!A170,"株探"))</f>
        <v/>
      </c>
      <c r="C171" s="5" t="str">
        <f>IF(StockList_MS2!A170="","",StockList_MS2!A170)</f>
        <v/>
      </c>
      <c r="D171" s="7" t="str">
        <f>IF(StockList_MS2!A170="","",StockList_MS2!B170)</f>
        <v/>
      </c>
      <c r="E171" s="8"/>
      <c r="F171" s="8"/>
      <c r="G171" s="8"/>
      <c r="H171" s="8"/>
      <c r="I171" s="19"/>
      <c r="J171" s="8"/>
      <c r="K171" s="8"/>
      <c r="L171" s="8"/>
      <c r="M171" s="5" t="str">
        <f t="shared" si="31"/>
        <v/>
      </c>
      <c r="N171" s="9" t="str">
        <f>IF(OR(E171="",F171="",G171=""),"",IF(AD171&gt;0,AD171,(F171-G171)/SQRT(操作パネル_MS2!$H$12)*操作パネル_MS2!$H$10))</f>
        <v/>
      </c>
      <c r="O171" s="5" t="str">
        <f>IF(OR(E171="",AC171=""),"",IF(AC171&gt;=操作パネル_MS2!$H$3,"VOL-OK","VOL-NG"))</f>
        <v/>
      </c>
      <c r="P171" s="5" t="str">
        <f t="shared" si="23"/>
        <v/>
      </c>
      <c r="Q171" s="5" t="str">
        <f t="shared" si="24"/>
        <v/>
      </c>
      <c r="R171" s="5" t="str">
        <f t="shared" si="25"/>
        <v/>
      </c>
      <c r="S171" s="9" t="str">
        <f t="shared" si="26"/>
        <v/>
      </c>
      <c r="T171" s="9" t="str">
        <f>IF(R171="","",IF(R171="BUY",E171-N171*操作パネル_MS2!$H$5,E171+N171*操作パネル_MS2!$H$5))</f>
        <v/>
      </c>
      <c r="U171" s="9" t="str">
        <f>IF(R171="","",IF(R171="BUY",E171+N171*操作パネル_MS2!$H$6,E171-N171*操作パネル_MS2!$H$6))</f>
        <v/>
      </c>
      <c r="V171" s="9" t="str">
        <f>IF(R171="","",IF(R171="BUY",E171+N171*操作パネル_MS2!$H$7,E171-N171*操作パネル_MS2!$H$7))</f>
        <v/>
      </c>
      <c r="W171" s="9" t="str">
        <f>IF(R171="","",IF(R171="BUY",E171+N171*操作パネル_MS2!$H$8,E171-N171*操作パネル_MS2!$H$8))</f>
        <v/>
      </c>
      <c r="X171" s="5" t="str">
        <f t="shared" si="27"/>
        <v/>
      </c>
      <c r="Y171" s="5" t="str">
        <f t="shared" ca="1" si="28"/>
        <v/>
      </c>
      <c r="Z171" s="5" t="str">
        <f>IF(OR(E171="",N171&lt;=0),"",IF(N171&gt;E171*操作パネル_MS2!$H$4,"VOL-HIGH","VOL-NORMAL"))</f>
        <v/>
      </c>
      <c r="AA171" s="5" t="str">
        <f t="shared" si="29"/>
        <v/>
      </c>
      <c r="AB171" s="5" t="str">
        <f t="shared" si="30"/>
        <v/>
      </c>
      <c r="AC171" s="30" t="str">
        <f>IF(C171="","",_xll.RssMarket(C171&amp;"","売買代金"))</f>
        <v/>
      </c>
      <c r="AD171" s="31">
        <f>IFERROR(INDEX(ATRHIST_MS2!$H:$H,MATCH(C171,ATRHIST_MS2!$A:$A,0)),0)</f>
        <v>0</v>
      </c>
    </row>
    <row r="172" spans="1:30" ht="25.95" customHeight="1">
      <c r="A172" s="10" t="str">
        <f t="shared" si="22"/>
        <v/>
      </c>
      <c r="B172" s="11" t="str">
        <f>IF(StockList_MS2!A171="","",HYPERLINK("https://kabutan.jp/stock/?code="&amp;StockList_MS2!A171,"株探"))</f>
        <v/>
      </c>
      <c r="C172" s="10" t="str">
        <f>IF(StockList_MS2!A171="","",StockList_MS2!A171)</f>
        <v/>
      </c>
      <c r="D172" s="12" t="str">
        <f>IF(StockList_MS2!A171="","",StockList_MS2!B171)</f>
        <v/>
      </c>
      <c r="E172" s="13"/>
      <c r="F172" s="13"/>
      <c r="G172" s="13"/>
      <c r="H172" s="13"/>
      <c r="I172" s="20"/>
      <c r="J172" s="13"/>
      <c r="K172" s="13"/>
      <c r="L172" s="13"/>
      <c r="M172" s="5" t="str">
        <f t="shared" si="31"/>
        <v/>
      </c>
      <c r="N172" s="9" t="str">
        <f>IF(OR(E172="",F172="",G172=""),"",IF(AD172&gt;0,AD172,(F172-G172)/SQRT(操作パネル_MS2!$H$12)*操作パネル_MS2!$H$10))</f>
        <v/>
      </c>
      <c r="O172" s="5" t="str">
        <f>IF(OR(E172="",AC172=""),"",IF(AC172&gt;=操作パネル_MS2!$H$3,"VOL-OK","VOL-NG"))</f>
        <v/>
      </c>
      <c r="P172" s="5" t="str">
        <f t="shared" si="23"/>
        <v/>
      </c>
      <c r="Q172" s="5" t="str">
        <f t="shared" si="24"/>
        <v/>
      </c>
      <c r="R172" s="5" t="str">
        <f t="shared" si="25"/>
        <v/>
      </c>
      <c r="S172" s="9" t="str">
        <f t="shared" si="26"/>
        <v/>
      </c>
      <c r="T172" s="9" t="str">
        <f>IF(R172="","",IF(R172="BUY",E172-N172*操作パネル_MS2!$H$5,E172+N172*操作パネル_MS2!$H$5))</f>
        <v/>
      </c>
      <c r="U172" s="9" t="str">
        <f>IF(R172="","",IF(R172="BUY",E172+N172*操作パネル_MS2!$H$6,E172-N172*操作パネル_MS2!$H$6))</f>
        <v/>
      </c>
      <c r="V172" s="9" t="str">
        <f>IF(R172="","",IF(R172="BUY",E172+N172*操作パネル_MS2!$H$7,E172-N172*操作パネル_MS2!$H$7))</f>
        <v/>
      </c>
      <c r="W172" s="9" t="str">
        <f>IF(R172="","",IF(R172="BUY",E172+N172*操作パネル_MS2!$H$8,E172-N172*操作パネル_MS2!$H$8))</f>
        <v/>
      </c>
      <c r="X172" s="5" t="str">
        <f t="shared" si="27"/>
        <v/>
      </c>
      <c r="Y172" s="5" t="str">
        <f t="shared" ca="1" si="28"/>
        <v/>
      </c>
      <c r="Z172" s="5" t="str">
        <f>IF(OR(E172="",N172&lt;=0),"",IF(N172&gt;E172*操作パネル_MS2!$H$4,"VOL-HIGH","VOL-NORMAL"))</f>
        <v/>
      </c>
      <c r="AA172" s="5" t="str">
        <f t="shared" si="29"/>
        <v/>
      </c>
      <c r="AB172" s="5" t="str">
        <f t="shared" si="30"/>
        <v/>
      </c>
      <c r="AC172" s="30" t="str">
        <f>IF(C172="","",_xll.RssMarket(C172&amp;"","売買代金"))</f>
        <v/>
      </c>
      <c r="AD172" s="31">
        <f>IFERROR(INDEX(ATRHIST_MS2!$H:$H,MATCH(C172,ATRHIST_MS2!$A:$A,0)),0)</f>
        <v>0</v>
      </c>
    </row>
    <row r="173" spans="1:30" ht="25.95" customHeight="1">
      <c r="A173" s="5" t="str">
        <f t="shared" si="22"/>
        <v/>
      </c>
      <c r="B173" s="6" t="str">
        <f>IF(StockList_MS2!A172="","",HYPERLINK("https://kabutan.jp/stock/?code="&amp;StockList_MS2!A172,"株探"))</f>
        <v/>
      </c>
      <c r="C173" s="5" t="str">
        <f>IF(StockList_MS2!A172="","",StockList_MS2!A172)</f>
        <v/>
      </c>
      <c r="D173" s="7" t="str">
        <f>IF(StockList_MS2!A172="","",StockList_MS2!B172)</f>
        <v/>
      </c>
      <c r="E173" s="8"/>
      <c r="F173" s="8"/>
      <c r="G173" s="8"/>
      <c r="H173" s="8"/>
      <c r="I173" s="19"/>
      <c r="J173" s="8"/>
      <c r="K173" s="8"/>
      <c r="L173" s="8"/>
      <c r="M173" s="5" t="str">
        <f t="shared" si="31"/>
        <v/>
      </c>
      <c r="N173" s="9" t="str">
        <f>IF(OR(E173="",F173="",G173=""),"",IF(AD173&gt;0,AD173,(F173-G173)/SQRT(操作パネル_MS2!$H$12)*操作パネル_MS2!$H$10))</f>
        <v/>
      </c>
      <c r="O173" s="5" t="str">
        <f>IF(OR(E173="",AC173=""),"",IF(AC173&gt;=操作パネル_MS2!$H$3,"VOL-OK","VOL-NG"))</f>
        <v/>
      </c>
      <c r="P173" s="5" t="str">
        <f t="shared" si="23"/>
        <v/>
      </c>
      <c r="Q173" s="5" t="str">
        <f t="shared" si="24"/>
        <v/>
      </c>
      <c r="R173" s="5" t="str">
        <f t="shared" si="25"/>
        <v/>
      </c>
      <c r="S173" s="9" t="str">
        <f t="shared" si="26"/>
        <v/>
      </c>
      <c r="T173" s="9" t="str">
        <f>IF(R173="","",IF(R173="BUY",E173-N173*操作パネル_MS2!$H$5,E173+N173*操作パネル_MS2!$H$5))</f>
        <v/>
      </c>
      <c r="U173" s="9" t="str">
        <f>IF(R173="","",IF(R173="BUY",E173+N173*操作パネル_MS2!$H$6,E173-N173*操作パネル_MS2!$H$6))</f>
        <v/>
      </c>
      <c r="V173" s="9" t="str">
        <f>IF(R173="","",IF(R173="BUY",E173+N173*操作パネル_MS2!$H$7,E173-N173*操作パネル_MS2!$H$7))</f>
        <v/>
      </c>
      <c r="W173" s="9" t="str">
        <f>IF(R173="","",IF(R173="BUY",E173+N173*操作パネル_MS2!$H$8,E173-N173*操作パネル_MS2!$H$8))</f>
        <v/>
      </c>
      <c r="X173" s="5" t="str">
        <f t="shared" si="27"/>
        <v/>
      </c>
      <c r="Y173" s="5" t="str">
        <f t="shared" ca="1" si="28"/>
        <v/>
      </c>
      <c r="Z173" s="5" t="str">
        <f>IF(OR(E173="",N173&lt;=0),"",IF(N173&gt;E173*操作パネル_MS2!$H$4,"VOL-HIGH","VOL-NORMAL"))</f>
        <v/>
      </c>
      <c r="AA173" s="5" t="str">
        <f t="shared" si="29"/>
        <v/>
      </c>
      <c r="AB173" s="5" t="str">
        <f t="shared" si="30"/>
        <v/>
      </c>
      <c r="AC173" s="30" t="str">
        <f>IF(C173="","",_xll.RssMarket(C173&amp;"","売買代金"))</f>
        <v/>
      </c>
      <c r="AD173" s="31">
        <f>IFERROR(INDEX(ATRHIST_MS2!$H:$H,MATCH(C173,ATRHIST_MS2!$A:$A,0)),0)</f>
        <v>0</v>
      </c>
    </row>
    <row r="174" spans="1:30" ht="25.95" customHeight="1">
      <c r="A174" s="10" t="str">
        <f t="shared" si="22"/>
        <v/>
      </c>
      <c r="B174" s="11" t="str">
        <f>IF(StockList_MS2!A173="","",HYPERLINK("https://kabutan.jp/stock/?code="&amp;StockList_MS2!A173,"株探"))</f>
        <v/>
      </c>
      <c r="C174" s="10" t="str">
        <f>IF(StockList_MS2!A173="","",StockList_MS2!A173)</f>
        <v/>
      </c>
      <c r="D174" s="12" t="str">
        <f>IF(StockList_MS2!A173="","",StockList_MS2!B173)</f>
        <v/>
      </c>
      <c r="E174" s="13"/>
      <c r="F174" s="13"/>
      <c r="G174" s="13"/>
      <c r="H174" s="13"/>
      <c r="I174" s="20"/>
      <c r="J174" s="13"/>
      <c r="K174" s="13"/>
      <c r="L174" s="13"/>
      <c r="M174" s="5" t="str">
        <f t="shared" si="31"/>
        <v/>
      </c>
      <c r="N174" s="9" t="str">
        <f>IF(OR(E174="",F174="",G174=""),"",IF(AD174&gt;0,AD174,(F174-G174)/SQRT(操作パネル_MS2!$H$12)*操作パネル_MS2!$H$10))</f>
        <v/>
      </c>
      <c r="O174" s="5" t="str">
        <f>IF(OR(E174="",AC174=""),"",IF(AC174&gt;=操作パネル_MS2!$H$3,"VOL-OK","VOL-NG"))</f>
        <v/>
      </c>
      <c r="P174" s="5" t="str">
        <f t="shared" si="23"/>
        <v/>
      </c>
      <c r="Q174" s="5" t="str">
        <f t="shared" si="24"/>
        <v/>
      </c>
      <c r="R174" s="5" t="str">
        <f t="shared" si="25"/>
        <v/>
      </c>
      <c r="S174" s="9" t="str">
        <f t="shared" si="26"/>
        <v/>
      </c>
      <c r="T174" s="9" t="str">
        <f>IF(R174="","",IF(R174="BUY",E174-N174*操作パネル_MS2!$H$5,E174+N174*操作パネル_MS2!$H$5))</f>
        <v/>
      </c>
      <c r="U174" s="9" t="str">
        <f>IF(R174="","",IF(R174="BUY",E174+N174*操作パネル_MS2!$H$6,E174-N174*操作パネル_MS2!$H$6))</f>
        <v/>
      </c>
      <c r="V174" s="9" t="str">
        <f>IF(R174="","",IF(R174="BUY",E174+N174*操作パネル_MS2!$H$7,E174-N174*操作パネル_MS2!$H$7))</f>
        <v/>
      </c>
      <c r="W174" s="9" t="str">
        <f>IF(R174="","",IF(R174="BUY",E174+N174*操作パネル_MS2!$H$8,E174-N174*操作パネル_MS2!$H$8))</f>
        <v/>
      </c>
      <c r="X174" s="5" t="str">
        <f t="shared" si="27"/>
        <v/>
      </c>
      <c r="Y174" s="5" t="str">
        <f t="shared" ca="1" si="28"/>
        <v/>
      </c>
      <c r="Z174" s="5" t="str">
        <f>IF(OR(E174="",N174&lt;=0),"",IF(N174&gt;E174*操作パネル_MS2!$H$4,"VOL-HIGH","VOL-NORMAL"))</f>
        <v/>
      </c>
      <c r="AA174" s="5" t="str">
        <f t="shared" si="29"/>
        <v/>
      </c>
      <c r="AB174" s="5" t="str">
        <f t="shared" si="30"/>
        <v/>
      </c>
      <c r="AC174" s="30" t="str">
        <f>IF(C174="","",_xll.RssMarket(C174&amp;"","売買代金"))</f>
        <v/>
      </c>
      <c r="AD174" s="31">
        <f>IFERROR(INDEX(ATRHIST_MS2!$H:$H,MATCH(C174,ATRHIST_MS2!$A:$A,0)),0)</f>
        <v>0</v>
      </c>
    </row>
    <row r="175" spans="1:30" ht="25.95" customHeight="1">
      <c r="A175" s="5" t="str">
        <f t="shared" si="22"/>
        <v/>
      </c>
      <c r="B175" s="6" t="str">
        <f>IF(StockList_MS2!A174="","",HYPERLINK("https://kabutan.jp/stock/?code="&amp;StockList_MS2!A174,"株探"))</f>
        <v/>
      </c>
      <c r="C175" s="5" t="str">
        <f>IF(StockList_MS2!A174="","",StockList_MS2!A174)</f>
        <v/>
      </c>
      <c r="D175" s="7" t="str">
        <f>IF(StockList_MS2!A174="","",StockList_MS2!B174)</f>
        <v/>
      </c>
      <c r="E175" s="8"/>
      <c r="F175" s="8"/>
      <c r="G175" s="8"/>
      <c r="H175" s="8"/>
      <c r="I175" s="19"/>
      <c r="J175" s="8"/>
      <c r="K175" s="8"/>
      <c r="L175" s="8"/>
      <c r="M175" s="5" t="str">
        <f t="shared" si="31"/>
        <v/>
      </c>
      <c r="N175" s="9" t="str">
        <f>IF(OR(E175="",F175="",G175=""),"",IF(AD175&gt;0,AD175,(F175-G175)/SQRT(操作パネル_MS2!$H$12)*操作パネル_MS2!$H$10))</f>
        <v/>
      </c>
      <c r="O175" s="5" t="str">
        <f>IF(OR(E175="",AC175=""),"",IF(AC175&gt;=操作パネル_MS2!$H$3,"VOL-OK","VOL-NG"))</f>
        <v/>
      </c>
      <c r="P175" s="5" t="str">
        <f t="shared" si="23"/>
        <v/>
      </c>
      <c r="Q175" s="5" t="str">
        <f t="shared" si="24"/>
        <v/>
      </c>
      <c r="R175" s="5" t="str">
        <f t="shared" si="25"/>
        <v/>
      </c>
      <c r="S175" s="9" t="str">
        <f t="shared" si="26"/>
        <v/>
      </c>
      <c r="T175" s="9" t="str">
        <f>IF(R175="","",IF(R175="BUY",E175-N175*操作パネル_MS2!$H$5,E175+N175*操作パネル_MS2!$H$5))</f>
        <v/>
      </c>
      <c r="U175" s="9" t="str">
        <f>IF(R175="","",IF(R175="BUY",E175+N175*操作パネル_MS2!$H$6,E175-N175*操作パネル_MS2!$H$6))</f>
        <v/>
      </c>
      <c r="V175" s="9" t="str">
        <f>IF(R175="","",IF(R175="BUY",E175+N175*操作パネル_MS2!$H$7,E175-N175*操作パネル_MS2!$H$7))</f>
        <v/>
      </c>
      <c r="W175" s="9" t="str">
        <f>IF(R175="","",IF(R175="BUY",E175+N175*操作パネル_MS2!$H$8,E175-N175*操作パネル_MS2!$H$8))</f>
        <v/>
      </c>
      <c r="X175" s="5" t="str">
        <f t="shared" si="27"/>
        <v/>
      </c>
      <c r="Y175" s="5" t="str">
        <f t="shared" ca="1" si="28"/>
        <v/>
      </c>
      <c r="Z175" s="5" t="str">
        <f>IF(OR(E175="",N175&lt;=0),"",IF(N175&gt;E175*操作パネル_MS2!$H$4,"VOL-HIGH","VOL-NORMAL"))</f>
        <v/>
      </c>
      <c r="AA175" s="5" t="str">
        <f t="shared" si="29"/>
        <v/>
      </c>
      <c r="AB175" s="5" t="str">
        <f t="shared" si="30"/>
        <v/>
      </c>
      <c r="AC175" s="30" t="str">
        <f>IF(C175="","",_xll.RssMarket(C175&amp;"","売買代金"))</f>
        <v/>
      </c>
      <c r="AD175" s="31">
        <f>IFERROR(INDEX(ATRHIST_MS2!$H:$H,MATCH(C175,ATRHIST_MS2!$A:$A,0)),0)</f>
        <v>0</v>
      </c>
    </row>
    <row r="176" spans="1:30" ht="25.95" customHeight="1">
      <c r="A176" s="10" t="str">
        <f t="shared" si="22"/>
        <v/>
      </c>
      <c r="B176" s="11" t="str">
        <f>IF(StockList_MS2!A175="","",HYPERLINK("https://kabutan.jp/stock/?code="&amp;StockList_MS2!A175,"株探"))</f>
        <v/>
      </c>
      <c r="C176" s="10" t="str">
        <f>IF(StockList_MS2!A175="","",StockList_MS2!A175)</f>
        <v/>
      </c>
      <c r="D176" s="12" t="str">
        <f>IF(StockList_MS2!A175="","",StockList_MS2!B175)</f>
        <v/>
      </c>
      <c r="E176" s="13"/>
      <c r="F176" s="13"/>
      <c r="G176" s="13"/>
      <c r="H176" s="13"/>
      <c r="I176" s="20"/>
      <c r="J176" s="13"/>
      <c r="K176" s="13"/>
      <c r="L176" s="13"/>
      <c r="M176" s="5" t="str">
        <f t="shared" si="31"/>
        <v/>
      </c>
      <c r="N176" s="9" t="str">
        <f>IF(OR(E176="",F176="",G176=""),"",IF(AD176&gt;0,AD176,(F176-G176)/SQRT(操作パネル_MS2!$H$12)*操作パネル_MS2!$H$10))</f>
        <v/>
      </c>
      <c r="O176" s="5" t="str">
        <f>IF(OR(E176="",AC176=""),"",IF(AC176&gt;=操作パネル_MS2!$H$3,"VOL-OK","VOL-NG"))</f>
        <v/>
      </c>
      <c r="P176" s="5" t="str">
        <f t="shared" si="23"/>
        <v/>
      </c>
      <c r="Q176" s="5" t="str">
        <f t="shared" si="24"/>
        <v/>
      </c>
      <c r="R176" s="5" t="str">
        <f t="shared" si="25"/>
        <v/>
      </c>
      <c r="S176" s="9" t="str">
        <f t="shared" si="26"/>
        <v/>
      </c>
      <c r="T176" s="9" t="str">
        <f>IF(R176="","",IF(R176="BUY",E176-N176*操作パネル_MS2!$H$5,E176+N176*操作パネル_MS2!$H$5))</f>
        <v/>
      </c>
      <c r="U176" s="9" t="str">
        <f>IF(R176="","",IF(R176="BUY",E176+N176*操作パネル_MS2!$H$6,E176-N176*操作パネル_MS2!$H$6))</f>
        <v/>
      </c>
      <c r="V176" s="9" t="str">
        <f>IF(R176="","",IF(R176="BUY",E176+N176*操作パネル_MS2!$H$7,E176-N176*操作パネル_MS2!$H$7))</f>
        <v/>
      </c>
      <c r="W176" s="9" t="str">
        <f>IF(R176="","",IF(R176="BUY",E176+N176*操作パネル_MS2!$H$8,E176-N176*操作パネル_MS2!$H$8))</f>
        <v/>
      </c>
      <c r="X176" s="5" t="str">
        <f t="shared" si="27"/>
        <v/>
      </c>
      <c r="Y176" s="5" t="str">
        <f t="shared" ca="1" si="28"/>
        <v/>
      </c>
      <c r="Z176" s="5" t="str">
        <f>IF(OR(E176="",N176&lt;=0),"",IF(N176&gt;E176*操作パネル_MS2!$H$4,"VOL-HIGH","VOL-NORMAL"))</f>
        <v/>
      </c>
      <c r="AA176" s="5" t="str">
        <f t="shared" si="29"/>
        <v/>
      </c>
      <c r="AB176" s="5" t="str">
        <f t="shared" si="30"/>
        <v/>
      </c>
      <c r="AC176" s="30" t="str">
        <f>IF(C176="","",_xll.RssMarket(C176&amp;"","売買代金"))</f>
        <v/>
      </c>
      <c r="AD176" s="31">
        <f>IFERROR(INDEX(ATRHIST_MS2!$H:$H,MATCH(C176,ATRHIST_MS2!$A:$A,0)),0)</f>
        <v>0</v>
      </c>
    </row>
    <row r="177" spans="1:30" ht="25.95" customHeight="1">
      <c r="A177" s="5" t="str">
        <f t="shared" si="22"/>
        <v/>
      </c>
      <c r="B177" s="6" t="str">
        <f>IF(StockList_MS2!A176="","",HYPERLINK("https://kabutan.jp/stock/?code="&amp;StockList_MS2!A176,"株探"))</f>
        <v/>
      </c>
      <c r="C177" s="5" t="str">
        <f>IF(StockList_MS2!A176="","",StockList_MS2!A176)</f>
        <v/>
      </c>
      <c r="D177" s="7" t="str">
        <f>IF(StockList_MS2!A176="","",StockList_MS2!B176)</f>
        <v/>
      </c>
      <c r="E177" s="8"/>
      <c r="F177" s="8"/>
      <c r="G177" s="8"/>
      <c r="H177" s="8"/>
      <c r="I177" s="19"/>
      <c r="J177" s="8"/>
      <c r="K177" s="8"/>
      <c r="L177" s="8"/>
      <c r="M177" s="5" t="str">
        <f t="shared" si="31"/>
        <v/>
      </c>
      <c r="N177" s="9" t="str">
        <f>IF(OR(E177="",F177="",G177=""),"",IF(AD177&gt;0,AD177,(F177-G177)/SQRT(操作パネル_MS2!$H$12)*操作パネル_MS2!$H$10))</f>
        <v/>
      </c>
      <c r="O177" s="5" t="str">
        <f>IF(OR(E177="",AC177=""),"",IF(AC177&gt;=操作パネル_MS2!$H$3,"VOL-OK","VOL-NG"))</f>
        <v/>
      </c>
      <c r="P177" s="5" t="str">
        <f t="shared" si="23"/>
        <v/>
      </c>
      <c r="Q177" s="5" t="str">
        <f t="shared" si="24"/>
        <v/>
      </c>
      <c r="R177" s="5" t="str">
        <f t="shared" si="25"/>
        <v/>
      </c>
      <c r="S177" s="9" t="str">
        <f t="shared" si="26"/>
        <v/>
      </c>
      <c r="T177" s="9" t="str">
        <f>IF(R177="","",IF(R177="BUY",E177-N177*操作パネル_MS2!$H$5,E177+N177*操作パネル_MS2!$H$5))</f>
        <v/>
      </c>
      <c r="U177" s="9" t="str">
        <f>IF(R177="","",IF(R177="BUY",E177+N177*操作パネル_MS2!$H$6,E177-N177*操作パネル_MS2!$H$6))</f>
        <v/>
      </c>
      <c r="V177" s="9" t="str">
        <f>IF(R177="","",IF(R177="BUY",E177+N177*操作パネル_MS2!$H$7,E177-N177*操作パネル_MS2!$H$7))</f>
        <v/>
      </c>
      <c r="W177" s="9" t="str">
        <f>IF(R177="","",IF(R177="BUY",E177+N177*操作パネル_MS2!$H$8,E177-N177*操作パネル_MS2!$H$8))</f>
        <v/>
      </c>
      <c r="X177" s="5" t="str">
        <f t="shared" si="27"/>
        <v/>
      </c>
      <c r="Y177" s="5" t="str">
        <f t="shared" ca="1" si="28"/>
        <v/>
      </c>
      <c r="Z177" s="5" t="str">
        <f>IF(OR(E177="",N177&lt;=0),"",IF(N177&gt;E177*操作パネル_MS2!$H$4,"VOL-HIGH","VOL-NORMAL"))</f>
        <v/>
      </c>
      <c r="AA177" s="5" t="str">
        <f t="shared" si="29"/>
        <v/>
      </c>
      <c r="AB177" s="5" t="str">
        <f t="shared" si="30"/>
        <v/>
      </c>
      <c r="AC177" s="30" t="str">
        <f>IF(C177="","",_xll.RssMarket(C177&amp;"","売買代金"))</f>
        <v/>
      </c>
      <c r="AD177" s="31">
        <f>IFERROR(INDEX(ATRHIST_MS2!$H:$H,MATCH(C177,ATRHIST_MS2!$A:$A,0)),0)</f>
        <v>0</v>
      </c>
    </row>
    <row r="178" spans="1:30" ht="25.95" customHeight="1">
      <c r="A178" s="10" t="str">
        <f t="shared" si="22"/>
        <v/>
      </c>
      <c r="B178" s="11" t="str">
        <f>IF(StockList_MS2!A177="","",HYPERLINK("https://kabutan.jp/stock/?code="&amp;StockList_MS2!A177,"株探"))</f>
        <v/>
      </c>
      <c r="C178" s="10" t="str">
        <f>IF(StockList_MS2!A177="","",StockList_MS2!A177)</f>
        <v/>
      </c>
      <c r="D178" s="12" t="str">
        <f>IF(StockList_MS2!A177="","",StockList_MS2!B177)</f>
        <v/>
      </c>
      <c r="E178" s="13"/>
      <c r="F178" s="13"/>
      <c r="G178" s="13"/>
      <c r="H178" s="13"/>
      <c r="I178" s="20"/>
      <c r="J178" s="13"/>
      <c r="K178" s="13"/>
      <c r="L178" s="13"/>
      <c r="M178" s="5" t="str">
        <f t="shared" si="31"/>
        <v/>
      </c>
      <c r="N178" s="9" t="str">
        <f>IF(OR(E178="",F178="",G178=""),"",IF(AD178&gt;0,AD178,(F178-G178)/SQRT(操作パネル_MS2!$H$12)*操作パネル_MS2!$H$10))</f>
        <v/>
      </c>
      <c r="O178" s="5" t="str">
        <f>IF(OR(E178="",AC178=""),"",IF(AC178&gt;=操作パネル_MS2!$H$3,"VOL-OK","VOL-NG"))</f>
        <v/>
      </c>
      <c r="P178" s="5" t="str">
        <f t="shared" si="23"/>
        <v/>
      </c>
      <c r="Q178" s="5" t="str">
        <f t="shared" si="24"/>
        <v/>
      </c>
      <c r="R178" s="5" t="str">
        <f t="shared" si="25"/>
        <v/>
      </c>
      <c r="S178" s="9" t="str">
        <f t="shared" si="26"/>
        <v/>
      </c>
      <c r="T178" s="9" t="str">
        <f>IF(R178="","",IF(R178="BUY",E178-N178*操作パネル_MS2!$H$5,E178+N178*操作パネル_MS2!$H$5))</f>
        <v/>
      </c>
      <c r="U178" s="9" t="str">
        <f>IF(R178="","",IF(R178="BUY",E178+N178*操作パネル_MS2!$H$6,E178-N178*操作パネル_MS2!$H$6))</f>
        <v/>
      </c>
      <c r="V178" s="9" t="str">
        <f>IF(R178="","",IF(R178="BUY",E178+N178*操作パネル_MS2!$H$7,E178-N178*操作パネル_MS2!$H$7))</f>
        <v/>
      </c>
      <c r="W178" s="9" t="str">
        <f>IF(R178="","",IF(R178="BUY",E178+N178*操作パネル_MS2!$H$8,E178-N178*操作パネル_MS2!$H$8))</f>
        <v/>
      </c>
      <c r="X178" s="5" t="str">
        <f t="shared" si="27"/>
        <v/>
      </c>
      <c r="Y178" s="5" t="str">
        <f t="shared" ca="1" si="28"/>
        <v/>
      </c>
      <c r="Z178" s="5" t="str">
        <f>IF(OR(E178="",N178&lt;=0),"",IF(N178&gt;E178*操作パネル_MS2!$H$4,"VOL-HIGH","VOL-NORMAL"))</f>
        <v/>
      </c>
      <c r="AA178" s="5" t="str">
        <f t="shared" si="29"/>
        <v/>
      </c>
      <c r="AB178" s="5" t="str">
        <f t="shared" si="30"/>
        <v/>
      </c>
      <c r="AC178" s="30" t="str">
        <f>IF(C178="","",_xll.RssMarket(C178&amp;"","売買代金"))</f>
        <v/>
      </c>
      <c r="AD178" s="31">
        <f>IFERROR(INDEX(ATRHIST_MS2!$H:$H,MATCH(C178,ATRHIST_MS2!$A:$A,0)),0)</f>
        <v>0</v>
      </c>
    </row>
    <row r="179" spans="1:30" ht="25.95" customHeight="1">
      <c r="A179" s="5" t="str">
        <f t="shared" si="22"/>
        <v/>
      </c>
      <c r="B179" s="6" t="str">
        <f>IF(StockList_MS2!A178="","",HYPERLINK("https://kabutan.jp/stock/?code="&amp;StockList_MS2!A178,"株探"))</f>
        <v/>
      </c>
      <c r="C179" s="5" t="str">
        <f>IF(StockList_MS2!A178="","",StockList_MS2!A178)</f>
        <v/>
      </c>
      <c r="D179" s="7" t="str">
        <f>IF(StockList_MS2!A178="","",StockList_MS2!B178)</f>
        <v/>
      </c>
      <c r="E179" s="8"/>
      <c r="F179" s="8"/>
      <c r="G179" s="8"/>
      <c r="H179" s="8"/>
      <c r="I179" s="19"/>
      <c r="J179" s="8"/>
      <c r="K179" s="8"/>
      <c r="L179" s="8"/>
      <c r="M179" s="5" t="str">
        <f t="shared" si="31"/>
        <v/>
      </c>
      <c r="N179" s="9" t="str">
        <f>IF(OR(E179="",F179="",G179=""),"",IF(AD179&gt;0,AD179,(F179-G179)/SQRT(操作パネル_MS2!$H$12)*操作パネル_MS2!$H$10))</f>
        <v/>
      </c>
      <c r="O179" s="5" t="str">
        <f>IF(OR(E179="",AC179=""),"",IF(AC179&gt;=操作パネル_MS2!$H$3,"VOL-OK","VOL-NG"))</f>
        <v/>
      </c>
      <c r="P179" s="5" t="str">
        <f t="shared" si="23"/>
        <v/>
      </c>
      <c r="Q179" s="5" t="str">
        <f t="shared" si="24"/>
        <v/>
      </c>
      <c r="R179" s="5" t="str">
        <f t="shared" si="25"/>
        <v/>
      </c>
      <c r="S179" s="9" t="str">
        <f t="shared" si="26"/>
        <v/>
      </c>
      <c r="T179" s="9" t="str">
        <f>IF(R179="","",IF(R179="BUY",E179-N179*操作パネル_MS2!$H$5,E179+N179*操作パネル_MS2!$H$5))</f>
        <v/>
      </c>
      <c r="U179" s="9" t="str">
        <f>IF(R179="","",IF(R179="BUY",E179+N179*操作パネル_MS2!$H$6,E179-N179*操作パネル_MS2!$H$6))</f>
        <v/>
      </c>
      <c r="V179" s="9" t="str">
        <f>IF(R179="","",IF(R179="BUY",E179+N179*操作パネル_MS2!$H$7,E179-N179*操作パネル_MS2!$H$7))</f>
        <v/>
      </c>
      <c r="W179" s="9" t="str">
        <f>IF(R179="","",IF(R179="BUY",E179+N179*操作パネル_MS2!$H$8,E179-N179*操作パネル_MS2!$H$8))</f>
        <v/>
      </c>
      <c r="X179" s="5" t="str">
        <f t="shared" si="27"/>
        <v/>
      </c>
      <c r="Y179" s="5" t="str">
        <f t="shared" ca="1" si="28"/>
        <v/>
      </c>
      <c r="Z179" s="5" t="str">
        <f>IF(OR(E179="",N179&lt;=0),"",IF(N179&gt;E179*操作パネル_MS2!$H$4,"VOL-HIGH","VOL-NORMAL"))</f>
        <v/>
      </c>
      <c r="AA179" s="5" t="str">
        <f t="shared" si="29"/>
        <v/>
      </c>
      <c r="AB179" s="5" t="str">
        <f t="shared" si="30"/>
        <v/>
      </c>
      <c r="AC179" s="30" t="str">
        <f>IF(C179="","",_xll.RssMarket(C179&amp;"","売買代金"))</f>
        <v/>
      </c>
      <c r="AD179" s="31">
        <f>IFERROR(INDEX(ATRHIST_MS2!$H:$H,MATCH(C179,ATRHIST_MS2!$A:$A,0)),0)</f>
        <v>0</v>
      </c>
    </row>
    <row r="180" spans="1:30" ht="25.95" customHeight="1">
      <c r="A180" s="10" t="str">
        <f t="shared" si="22"/>
        <v/>
      </c>
      <c r="B180" s="11" t="str">
        <f>IF(StockList_MS2!A179="","",HYPERLINK("https://kabutan.jp/stock/?code="&amp;StockList_MS2!A179,"株探"))</f>
        <v/>
      </c>
      <c r="C180" s="10" t="str">
        <f>IF(StockList_MS2!A179="","",StockList_MS2!A179)</f>
        <v/>
      </c>
      <c r="D180" s="12" t="str">
        <f>IF(StockList_MS2!A179="","",StockList_MS2!B179)</f>
        <v/>
      </c>
      <c r="E180" s="13"/>
      <c r="F180" s="13"/>
      <c r="G180" s="13"/>
      <c r="H180" s="13"/>
      <c r="I180" s="20"/>
      <c r="J180" s="13"/>
      <c r="K180" s="13"/>
      <c r="L180" s="13"/>
      <c r="M180" s="5" t="str">
        <f t="shared" si="31"/>
        <v/>
      </c>
      <c r="N180" s="9" t="str">
        <f>IF(OR(E180="",F180="",G180=""),"",IF(AD180&gt;0,AD180,(F180-G180)/SQRT(操作パネル_MS2!$H$12)*操作パネル_MS2!$H$10))</f>
        <v/>
      </c>
      <c r="O180" s="5" t="str">
        <f>IF(OR(E180="",AC180=""),"",IF(AC180&gt;=操作パネル_MS2!$H$3,"VOL-OK","VOL-NG"))</f>
        <v/>
      </c>
      <c r="P180" s="5" t="str">
        <f t="shared" si="23"/>
        <v/>
      </c>
      <c r="Q180" s="5" t="str">
        <f t="shared" si="24"/>
        <v/>
      </c>
      <c r="R180" s="5" t="str">
        <f t="shared" si="25"/>
        <v/>
      </c>
      <c r="S180" s="9" t="str">
        <f t="shared" si="26"/>
        <v/>
      </c>
      <c r="T180" s="9" t="str">
        <f>IF(R180="","",IF(R180="BUY",E180-N180*操作パネル_MS2!$H$5,E180+N180*操作パネル_MS2!$H$5))</f>
        <v/>
      </c>
      <c r="U180" s="9" t="str">
        <f>IF(R180="","",IF(R180="BUY",E180+N180*操作パネル_MS2!$H$6,E180-N180*操作パネル_MS2!$H$6))</f>
        <v/>
      </c>
      <c r="V180" s="9" t="str">
        <f>IF(R180="","",IF(R180="BUY",E180+N180*操作パネル_MS2!$H$7,E180-N180*操作パネル_MS2!$H$7))</f>
        <v/>
      </c>
      <c r="W180" s="9" t="str">
        <f>IF(R180="","",IF(R180="BUY",E180+N180*操作パネル_MS2!$H$8,E180-N180*操作パネル_MS2!$H$8))</f>
        <v/>
      </c>
      <c r="X180" s="5" t="str">
        <f t="shared" si="27"/>
        <v/>
      </c>
      <c r="Y180" s="5" t="str">
        <f t="shared" ca="1" si="28"/>
        <v/>
      </c>
      <c r="Z180" s="5" t="str">
        <f>IF(OR(E180="",N180&lt;=0),"",IF(N180&gt;E180*操作パネル_MS2!$H$4,"VOL-HIGH","VOL-NORMAL"))</f>
        <v/>
      </c>
      <c r="AA180" s="5" t="str">
        <f t="shared" si="29"/>
        <v/>
      </c>
      <c r="AB180" s="5" t="str">
        <f t="shared" si="30"/>
        <v/>
      </c>
      <c r="AC180" s="30" t="str">
        <f>IF(C180="","",_xll.RssMarket(C180&amp;"","売買代金"))</f>
        <v/>
      </c>
      <c r="AD180" s="31">
        <f>IFERROR(INDEX(ATRHIST_MS2!$H:$H,MATCH(C180,ATRHIST_MS2!$A:$A,0)),0)</f>
        <v>0</v>
      </c>
    </row>
    <row r="181" spans="1:30" ht="25.95" customHeight="1">
      <c r="A181" s="5" t="str">
        <f t="shared" si="22"/>
        <v/>
      </c>
      <c r="B181" s="6" t="str">
        <f>IF(StockList_MS2!A180="","",HYPERLINK("https://kabutan.jp/stock/?code="&amp;StockList_MS2!A180,"株探"))</f>
        <v/>
      </c>
      <c r="C181" s="5" t="str">
        <f>IF(StockList_MS2!A180="","",StockList_MS2!A180)</f>
        <v/>
      </c>
      <c r="D181" s="7" t="str">
        <f>IF(StockList_MS2!A180="","",StockList_MS2!B180)</f>
        <v/>
      </c>
      <c r="E181" s="8"/>
      <c r="F181" s="8"/>
      <c r="G181" s="8"/>
      <c r="H181" s="8"/>
      <c r="I181" s="19"/>
      <c r="J181" s="8"/>
      <c r="K181" s="8"/>
      <c r="L181" s="8"/>
      <c r="M181" s="5" t="str">
        <f t="shared" si="31"/>
        <v/>
      </c>
      <c r="N181" s="9" t="str">
        <f>IF(OR(E181="",F181="",G181=""),"",IF(AD181&gt;0,AD181,(F181-G181)/SQRT(操作パネル_MS2!$H$12)*操作パネル_MS2!$H$10))</f>
        <v/>
      </c>
      <c r="O181" s="5" t="str">
        <f>IF(OR(E181="",AC181=""),"",IF(AC181&gt;=操作パネル_MS2!$H$3,"VOL-OK","VOL-NG"))</f>
        <v/>
      </c>
      <c r="P181" s="5" t="str">
        <f t="shared" si="23"/>
        <v/>
      </c>
      <c r="Q181" s="5" t="str">
        <f t="shared" si="24"/>
        <v/>
      </c>
      <c r="R181" s="5" t="str">
        <f t="shared" si="25"/>
        <v/>
      </c>
      <c r="S181" s="9" t="str">
        <f t="shared" si="26"/>
        <v/>
      </c>
      <c r="T181" s="9" t="str">
        <f>IF(R181="","",IF(R181="BUY",E181-N181*操作パネル_MS2!$H$5,E181+N181*操作パネル_MS2!$H$5))</f>
        <v/>
      </c>
      <c r="U181" s="9" t="str">
        <f>IF(R181="","",IF(R181="BUY",E181+N181*操作パネル_MS2!$H$6,E181-N181*操作パネル_MS2!$H$6))</f>
        <v/>
      </c>
      <c r="V181" s="9" t="str">
        <f>IF(R181="","",IF(R181="BUY",E181+N181*操作パネル_MS2!$H$7,E181-N181*操作パネル_MS2!$H$7))</f>
        <v/>
      </c>
      <c r="W181" s="9" t="str">
        <f>IF(R181="","",IF(R181="BUY",E181+N181*操作パネル_MS2!$H$8,E181-N181*操作パネル_MS2!$H$8))</f>
        <v/>
      </c>
      <c r="X181" s="5" t="str">
        <f t="shared" si="27"/>
        <v/>
      </c>
      <c r="Y181" s="5" t="str">
        <f t="shared" ca="1" si="28"/>
        <v/>
      </c>
      <c r="Z181" s="5" t="str">
        <f>IF(OR(E181="",N181&lt;=0),"",IF(N181&gt;E181*操作パネル_MS2!$H$4,"VOL-HIGH","VOL-NORMAL"))</f>
        <v/>
      </c>
      <c r="AA181" s="5" t="str">
        <f t="shared" si="29"/>
        <v/>
      </c>
      <c r="AB181" s="5" t="str">
        <f t="shared" si="30"/>
        <v/>
      </c>
      <c r="AC181" s="30" t="str">
        <f>IF(C181="","",_xll.RssMarket(C181&amp;"","売買代金"))</f>
        <v/>
      </c>
      <c r="AD181" s="31">
        <f>IFERROR(INDEX(ATRHIST_MS2!$H:$H,MATCH(C181,ATRHIST_MS2!$A:$A,0)),0)</f>
        <v>0</v>
      </c>
    </row>
    <row r="182" spans="1:30" ht="25.95" customHeight="1">
      <c r="A182" s="10" t="str">
        <f t="shared" si="22"/>
        <v/>
      </c>
      <c r="B182" s="11" t="str">
        <f>IF(StockList_MS2!A181="","",HYPERLINK("https://kabutan.jp/stock/?code="&amp;StockList_MS2!A181,"株探"))</f>
        <v/>
      </c>
      <c r="C182" s="10" t="str">
        <f>IF(StockList_MS2!A181="","",StockList_MS2!A181)</f>
        <v/>
      </c>
      <c r="D182" s="12" t="str">
        <f>IF(StockList_MS2!A181="","",StockList_MS2!B181)</f>
        <v/>
      </c>
      <c r="E182" s="13"/>
      <c r="F182" s="13"/>
      <c r="G182" s="13"/>
      <c r="H182" s="13"/>
      <c r="I182" s="20"/>
      <c r="J182" s="13"/>
      <c r="K182" s="13"/>
      <c r="L182" s="13"/>
      <c r="M182" s="5" t="str">
        <f t="shared" si="31"/>
        <v/>
      </c>
      <c r="N182" s="9" t="str">
        <f>IF(OR(E182="",F182="",G182=""),"",IF(AD182&gt;0,AD182,(F182-G182)/SQRT(操作パネル_MS2!$H$12)*操作パネル_MS2!$H$10))</f>
        <v/>
      </c>
      <c r="O182" s="5" t="str">
        <f>IF(OR(E182="",AC182=""),"",IF(AC182&gt;=操作パネル_MS2!$H$3,"VOL-OK","VOL-NG"))</f>
        <v/>
      </c>
      <c r="P182" s="5" t="str">
        <f t="shared" si="23"/>
        <v/>
      </c>
      <c r="Q182" s="5" t="str">
        <f t="shared" si="24"/>
        <v/>
      </c>
      <c r="R182" s="5" t="str">
        <f t="shared" si="25"/>
        <v/>
      </c>
      <c r="S182" s="9" t="str">
        <f t="shared" si="26"/>
        <v/>
      </c>
      <c r="T182" s="9" t="str">
        <f>IF(R182="","",IF(R182="BUY",E182-N182*操作パネル_MS2!$H$5,E182+N182*操作パネル_MS2!$H$5))</f>
        <v/>
      </c>
      <c r="U182" s="9" t="str">
        <f>IF(R182="","",IF(R182="BUY",E182+N182*操作パネル_MS2!$H$6,E182-N182*操作パネル_MS2!$H$6))</f>
        <v/>
      </c>
      <c r="V182" s="9" t="str">
        <f>IF(R182="","",IF(R182="BUY",E182+N182*操作パネル_MS2!$H$7,E182-N182*操作パネル_MS2!$H$7))</f>
        <v/>
      </c>
      <c r="W182" s="9" t="str">
        <f>IF(R182="","",IF(R182="BUY",E182+N182*操作パネル_MS2!$H$8,E182-N182*操作パネル_MS2!$H$8))</f>
        <v/>
      </c>
      <c r="X182" s="5" t="str">
        <f t="shared" si="27"/>
        <v/>
      </c>
      <c r="Y182" s="5" t="str">
        <f t="shared" ca="1" si="28"/>
        <v/>
      </c>
      <c r="Z182" s="5" t="str">
        <f>IF(OR(E182="",N182&lt;=0),"",IF(N182&gt;E182*操作パネル_MS2!$H$4,"VOL-HIGH","VOL-NORMAL"))</f>
        <v/>
      </c>
      <c r="AA182" s="5" t="str">
        <f t="shared" si="29"/>
        <v/>
      </c>
      <c r="AB182" s="5" t="str">
        <f t="shared" si="30"/>
        <v/>
      </c>
      <c r="AC182" s="30" t="str">
        <f>IF(C182="","",_xll.RssMarket(C182&amp;"","売買代金"))</f>
        <v/>
      </c>
      <c r="AD182" s="31">
        <f>IFERROR(INDEX(ATRHIST_MS2!$H:$H,MATCH(C182,ATRHIST_MS2!$A:$A,0)),0)</f>
        <v>0</v>
      </c>
    </row>
    <row r="183" spans="1:30" ht="25.95" customHeight="1">
      <c r="A183" s="5" t="str">
        <f t="shared" si="22"/>
        <v/>
      </c>
      <c r="B183" s="6" t="str">
        <f>IF(StockList_MS2!A182="","",HYPERLINK("https://kabutan.jp/stock/?code="&amp;StockList_MS2!A182,"株探"))</f>
        <v/>
      </c>
      <c r="C183" s="5" t="str">
        <f>IF(StockList_MS2!A182="","",StockList_MS2!A182)</f>
        <v/>
      </c>
      <c r="D183" s="7" t="str">
        <f>IF(StockList_MS2!A182="","",StockList_MS2!B182)</f>
        <v/>
      </c>
      <c r="E183" s="8"/>
      <c r="F183" s="8"/>
      <c r="G183" s="8"/>
      <c r="H183" s="8"/>
      <c r="I183" s="19"/>
      <c r="J183" s="8"/>
      <c r="K183" s="8"/>
      <c r="L183" s="8"/>
      <c r="M183" s="5" t="str">
        <f t="shared" si="31"/>
        <v/>
      </c>
      <c r="N183" s="9" t="str">
        <f>IF(OR(E183="",F183="",G183=""),"",IF(AD183&gt;0,AD183,(F183-G183)/SQRT(操作パネル_MS2!$H$12)*操作パネル_MS2!$H$10))</f>
        <v/>
      </c>
      <c r="O183" s="5" t="str">
        <f>IF(OR(E183="",AC183=""),"",IF(AC183&gt;=操作パネル_MS2!$H$3,"VOL-OK","VOL-NG"))</f>
        <v/>
      </c>
      <c r="P183" s="5" t="str">
        <f t="shared" si="23"/>
        <v/>
      </c>
      <c r="Q183" s="5" t="str">
        <f t="shared" si="24"/>
        <v/>
      </c>
      <c r="R183" s="5" t="str">
        <f t="shared" si="25"/>
        <v/>
      </c>
      <c r="S183" s="9" t="str">
        <f t="shared" si="26"/>
        <v/>
      </c>
      <c r="T183" s="9" t="str">
        <f>IF(R183="","",IF(R183="BUY",E183-N183*操作パネル_MS2!$H$5,E183+N183*操作パネル_MS2!$H$5))</f>
        <v/>
      </c>
      <c r="U183" s="9" t="str">
        <f>IF(R183="","",IF(R183="BUY",E183+N183*操作パネル_MS2!$H$6,E183-N183*操作パネル_MS2!$H$6))</f>
        <v/>
      </c>
      <c r="V183" s="9" t="str">
        <f>IF(R183="","",IF(R183="BUY",E183+N183*操作パネル_MS2!$H$7,E183-N183*操作パネル_MS2!$H$7))</f>
        <v/>
      </c>
      <c r="W183" s="9" t="str">
        <f>IF(R183="","",IF(R183="BUY",E183+N183*操作パネル_MS2!$H$8,E183-N183*操作パネル_MS2!$H$8))</f>
        <v/>
      </c>
      <c r="X183" s="5" t="str">
        <f t="shared" si="27"/>
        <v/>
      </c>
      <c r="Y183" s="5" t="str">
        <f t="shared" ca="1" si="28"/>
        <v/>
      </c>
      <c r="Z183" s="5" t="str">
        <f>IF(OR(E183="",N183&lt;=0),"",IF(N183&gt;E183*操作パネル_MS2!$H$4,"VOL-HIGH","VOL-NORMAL"))</f>
        <v/>
      </c>
      <c r="AA183" s="5" t="str">
        <f t="shared" si="29"/>
        <v/>
      </c>
      <c r="AB183" s="5" t="str">
        <f t="shared" si="30"/>
        <v/>
      </c>
      <c r="AC183" s="30" t="str">
        <f>IF(C183="","",_xll.RssMarket(C183&amp;"","売買代金"))</f>
        <v/>
      </c>
      <c r="AD183" s="31">
        <f>IFERROR(INDEX(ATRHIST_MS2!$H:$H,MATCH(C183,ATRHIST_MS2!$A:$A,0)),0)</f>
        <v>0</v>
      </c>
    </row>
    <row r="184" spans="1:30" ht="25.95" customHeight="1">
      <c r="A184" s="10" t="str">
        <f t="shared" si="22"/>
        <v/>
      </c>
      <c r="B184" s="11" t="str">
        <f>IF(StockList_MS2!A183="","",HYPERLINK("https://kabutan.jp/stock/?code="&amp;StockList_MS2!A183,"株探"))</f>
        <v/>
      </c>
      <c r="C184" s="10" t="str">
        <f>IF(StockList_MS2!A183="","",StockList_MS2!A183)</f>
        <v/>
      </c>
      <c r="D184" s="12" t="str">
        <f>IF(StockList_MS2!A183="","",StockList_MS2!B183)</f>
        <v/>
      </c>
      <c r="E184" s="13"/>
      <c r="F184" s="13"/>
      <c r="G184" s="13"/>
      <c r="H184" s="13"/>
      <c r="I184" s="20"/>
      <c r="J184" s="13"/>
      <c r="K184" s="13"/>
      <c r="L184" s="13"/>
      <c r="M184" s="5" t="str">
        <f t="shared" si="31"/>
        <v/>
      </c>
      <c r="N184" s="9" t="str">
        <f>IF(OR(E184="",F184="",G184=""),"",IF(AD184&gt;0,AD184,(F184-G184)/SQRT(操作パネル_MS2!$H$12)*操作パネル_MS2!$H$10))</f>
        <v/>
      </c>
      <c r="O184" s="5" t="str">
        <f>IF(OR(E184="",AC184=""),"",IF(AC184&gt;=操作パネル_MS2!$H$3,"VOL-OK","VOL-NG"))</f>
        <v/>
      </c>
      <c r="P184" s="5" t="str">
        <f t="shared" si="23"/>
        <v/>
      </c>
      <c r="Q184" s="5" t="str">
        <f t="shared" si="24"/>
        <v/>
      </c>
      <c r="R184" s="5" t="str">
        <f t="shared" si="25"/>
        <v/>
      </c>
      <c r="S184" s="9" t="str">
        <f t="shared" si="26"/>
        <v/>
      </c>
      <c r="T184" s="9" t="str">
        <f>IF(R184="","",IF(R184="BUY",E184-N184*操作パネル_MS2!$H$5,E184+N184*操作パネル_MS2!$H$5))</f>
        <v/>
      </c>
      <c r="U184" s="9" t="str">
        <f>IF(R184="","",IF(R184="BUY",E184+N184*操作パネル_MS2!$H$6,E184-N184*操作パネル_MS2!$H$6))</f>
        <v/>
      </c>
      <c r="V184" s="9" t="str">
        <f>IF(R184="","",IF(R184="BUY",E184+N184*操作パネル_MS2!$H$7,E184-N184*操作パネル_MS2!$H$7))</f>
        <v/>
      </c>
      <c r="W184" s="9" t="str">
        <f>IF(R184="","",IF(R184="BUY",E184+N184*操作パネル_MS2!$H$8,E184-N184*操作パネル_MS2!$H$8))</f>
        <v/>
      </c>
      <c r="X184" s="5" t="str">
        <f t="shared" si="27"/>
        <v/>
      </c>
      <c r="Y184" s="5" t="str">
        <f t="shared" ca="1" si="28"/>
        <v/>
      </c>
      <c r="Z184" s="5" t="str">
        <f>IF(OR(E184="",N184&lt;=0),"",IF(N184&gt;E184*操作パネル_MS2!$H$4,"VOL-HIGH","VOL-NORMAL"))</f>
        <v/>
      </c>
      <c r="AA184" s="5" t="str">
        <f t="shared" si="29"/>
        <v/>
      </c>
      <c r="AB184" s="5" t="str">
        <f t="shared" si="30"/>
        <v/>
      </c>
      <c r="AC184" s="30" t="str">
        <f>IF(C184="","",_xll.RssMarket(C184&amp;"","売買代金"))</f>
        <v/>
      </c>
      <c r="AD184" s="31">
        <f>IFERROR(INDEX(ATRHIST_MS2!$H:$H,MATCH(C184,ATRHIST_MS2!$A:$A,0)),0)</f>
        <v>0</v>
      </c>
    </row>
    <row r="185" spans="1:30" ht="25.95" customHeight="1">
      <c r="A185" s="5" t="str">
        <f t="shared" si="22"/>
        <v/>
      </c>
      <c r="B185" s="6" t="str">
        <f>IF(StockList_MS2!A184="","",HYPERLINK("https://kabutan.jp/stock/?code="&amp;StockList_MS2!A184,"株探"))</f>
        <v/>
      </c>
      <c r="C185" s="5" t="str">
        <f>IF(StockList_MS2!A184="","",StockList_MS2!A184)</f>
        <v/>
      </c>
      <c r="D185" s="7" t="str">
        <f>IF(StockList_MS2!A184="","",StockList_MS2!B184)</f>
        <v/>
      </c>
      <c r="E185" s="8"/>
      <c r="F185" s="8"/>
      <c r="G185" s="8"/>
      <c r="H185" s="8"/>
      <c r="I185" s="19"/>
      <c r="J185" s="8"/>
      <c r="K185" s="8"/>
      <c r="L185" s="8"/>
      <c r="M185" s="5" t="str">
        <f t="shared" si="31"/>
        <v/>
      </c>
      <c r="N185" s="9" t="str">
        <f>IF(OR(E185="",F185="",G185=""),"",IF(AD185&gt;0,AD185,(F185-G185)/SQRT(操作パネル_MS2!$H$12)*操作パネル_MS2!$H$10))</f>
        <v/>
      </c>
      <c r="O185" s="5" t="str">
        <f>IF(OR(E185="",AC185=""),"",IF(AC185&gt;=操作パネル_MS2!$H$3,"VOL-OK","VOL-NG"))</f>
        <v/>
      </c>
      <c r="P185" s="5" t="str">
        <f t="shared" si="23"/>
        <v/>
      </c>
      <c r="Q185" s="5" t="str">
        <f t="shared" si="24"/>
        <v/>
      </c>
      <c r="R185" s="5" t="str">
        <f t="shared" si="25"/>
        <v/>
      </c>
      <c r="S185" s="9" t="str">
        <f t="shared" si="26"/>
        <v/>
      </c>
      <c r="T185" s="9" t="str">
        <f>IF(R185="","",IF(R185="BUY",E185-N185*操作パネル_MS2!$H$5,E185+N185*操作パネル_MS2!$H$5))</f>
        <v/>
      </c>
      <c r="U185" s="9" t="str">
        <f>IF(R185="","",IF(R185="BUY",E185+N185*操作パネル_MS2!$H$6,E185-N185*操作パネル_MS2!$H$6))</f>
        <v/>
      </c>
      <c r="V185" s="9" t="str">
        <f>IF(R185="","",IF(R185="BUY",E185+N185*操作パネル_MS2!$H$7,E185-N185*操作パネル_MS2!$H$7))</f>
        <v/>
      </c>
      <c r="W185" s="9" t="str">
        <f>IF(R185="","",IF(R185="BUY",E185+N185*操作パネル_MS2!$H$8,E185-N185*操作パネル_MS2!$H$8))</f>
        <v/>
      </c>
      <c r="X185" s="5" t="str">
        <f t="shared" si="27"/>
        <v/>
      </c>
      <c r="Y185" s="5" t="str">
        <f t="shared" ca="1" si="28"/>
        <v/>
      </c>
      <c r="Z185" s="5" t="str">
        <f>IF(OR(E185="",N185&lt;=0),"",IF(N185&gt;E185*操作パネル_MS2!$H$4,"VOL-HIGH","VOL-NORMAL"))</f>
        <v/>
      </c>
      <c r="AA185" s="5" t="str">
        <f t="shared" si="29"/>
        <v/>
      </c>
      <c r="AB185" s="5" t="str">
        <f t="shared" si="30"/>
        <v/>
      </c>
      <c r="AC185" s="30" t="str">
        <f>IF(C185="","",_xll.RssMarket(C185&amp;"","売買代金"))</f>
        <v/>
      </c>
      <c r="AD185" s="31">
        <f>IFERROR(INDEX(ATRHIST_MS2!$H:$H,MATCH(C185,ATRHIST_MS2!$A:$A,0)),0)</f>
        <v>0</v>
      </c>
    </row>
    <row r="186" spans="1:30" ht="25.95" customHeight="1">
      <c r="A186" s="10" t="str">
        <f t="shared" si="22"/>
        <v/>
      </c>
      <c r="B186" s="11" t="str">
        <f>IF(StockList_MS2!A185="","",HYPERLINK("https://kabutan.jp/stock/?code="&amp;StockList_MS2!A185,"株探"))</f>
        <v/>
      </c>
      <c r="C186" s="10" t="str">
        <f>IF(StockList_MS2!A185="","",StockList_MS2!A185)</f>
        <v/>
      </c>
      <c r="D186" s="12" t="str">
        <f>IF(StockList_MS2!A185="","",StockList_MS2!B185)</f>
        <v/>
      </c>
      <c r="E186" s="13"/>
      <c r="F186" s="13"/>
      <c r="G186" s="13"/>
      <c r="H186" s="13"/>
      <c r="I186" s="20"/>
      <c r="J186" s="13"/>
      <c r="K186" s="13"/>
      <c r="L186" s="13"/>
      <c r="M186" s="5" t="str">
        <f t="shared" si="31"/>
        <v/>
      </c>
      <c r="N186" s="9" t="str">
        <f>IF(OR(E186="",F186="",G186=""),"",IF(AD186&gt;0,AD186,(F186-G186)/SQRT(操作パネル_MS2!$H$12)*操作パネル_MS2!$H$10))</f>
        <v/>
      </c>
      <c r="O186" s="5" t="str">
        <f>IF(OR(E186="",AC186=""),"",IF(AC186&gt;=操作パネル_MS2!$H$3,"VOL-OK","VOL-NG"))</f>
        <v/>
      </c>
      <c r="P186" s="5" t="str">
        <f t="shared" si="23"/>
        <v/>
      </c>
      <c r="Q186" s="5" t="str">
        <f t="shared" si="24"/>
        <v/>
      </c>
      <c r="R186" s="5" t="str">
        <f t="shared" si="25"/>
        <v/>
      </c>
      <c r="S186" s="9" t="str">
        <f t="shared" si="26"/>
        <v/>
      </c>
      <c r="T186" s="9" t="str">
        <f>IF(R186="","",IF(R186="BUY",E186-N186*操作パネル_MS2!$H$5,E186+N186*操作パネル_MS2!$H$5))</f>
        <v/>
      </c>
      <c r="U186" s="9" t="str">
        <f>IF(R186="","",IF(R186="BUY",E186+N186*操作パネル_MS2!$H$6,E186-N186*操作パネル_MS2!$H$6))</f>
        <v/>
      </c>
      <c r="V186" s="9" t="str">
        <f>IF(R186="","",IF(R186="BUY",E186+N186*操作パネル_MS2!$H$7,E186-N186*操作パネル_MS2!$H$7))</f>
        <v/>
      </c>
      <c r="W186" s="9" t="str">
        <f>IF(R186="","",IF(R186="BUY",E186+N186*操作パネル_MS2!$H$8,E186-N186*操作パネル_MS2!$H$8))</f>
        <v/>
      </c>
      <c r="X186" s="5" t="str">
        <f t="shared" si="27"/>
        <v/>
      </c>
      <c r="Y186" s="5" t="str">
        <f t="shared" ca="1" si="28"/>
        <v/>
      </c>
      <c r="Z186" s="5" t="str">
        <f>IF(OR(E186="",N186&lt;=0),"",IF(N186&gt;E186*操作パネル_MS2!$H$4,"VOL-HIGH","VOL-NORMAL"))</f>
        <v/>
      </c>
      <c r="AA186" s="5" t="str">
        <f t="shared" si="29"/>
        <v/>
      </c>
      <c r="AB186" s="5" t="str">
        <f t="shared" si="30"/>
        <v/>
      </c>
      <c r="AC186" s="30" t="str">
        <f>IF(C186="","",_xll.RssMarket(C186&amp;"","売買代金"))</f>
        <v/>
      </c>
      <c r="AD186" s="31">
        <f>IFERROR(INDEX(ATRHIST_MS2!$H:$H,MATCH(C186,ATRHIST_MS2!$A:$A,0)),0)</f>
        <v>0</v>
      </c>
    </row>
    <row r="187" spans="1:30" ht="25.95" customHeight="1">
      <c r="A187" s="5" t="str">
        <f t="shared" si="22"/>
        <v/>
      </c>
      <c r="B187" s="6" t="str">
        <f>IF(StockList_MS2!A186="","",HYPERLINK("https://kabutan.jp/stock/?code="&amp;StockList_MS2!A186,"株探"))</f>
        <v/>
      </c>
      <c r="C187" s="5" t="str">
        <f>IF(StockList_MS2!A186="","",StockList_MS2!A186)</f>
        <v/>
      </c>
      <c r="D187" s="7" t="str">
        <f>IF(StockList_MS2!A186="","",StockList_MS2!B186)</f>
        <v/>
      </c>
      <c r="E187" s="8"/>
      <c r="F187" s="8"/>
      <c r="G187" s="8"/>
      <c r="H187" s="8"/>
      <c r="I187" s="19"/>
      <c r="J187" s="8"/>
      <c r="K187" s="8"/>
      <c r="L187" s="8"/>
      <c r="M187" s="5" t="str">
        <f t="shared" si="31"/>
        <v/>
      </c>
      <c r="N187" s="9" t="str">
        <f>IF(OR(E187="",F187="",G187=""),"",IF(AD187&gt;0,AD187,(F187-G187)/SQRT(操作パネル_MS2!$H$12)*操作パネル_MS2!$H$10))</f>
        <v/>
      </c>
      <c r="O187" s="5" t="str">
        <f>IF(OR(E187="",AC187=""),"",IF(AC187&gt;=操作パネル_MS2!$H$3,"VOL-OK","VOL-NG"))</f>
        <v/>
      </c>
      <c r="P187" s="5" t="str">
        <f t="shared" si="23"/>
        <v/>
      </c>
      <c r="Q187" s="5" t="str">
        <f t="shared" si="24"/>
        <v/>
      </c>
      <c r="R187" s="5" t="str">
        <f t="shared" si="25"/>
        <v/>
      </c>
      <c r="S187" s="9" t="str">
        <f t="shared" si="26"/>
        <v/>
      </c>
      <c r="T187" s="9" t="str">
        <f>IF(R187="","",IF(R187="BUY",E187-N187*操作パネル_MS2!$H$5,E187+N187*操作パネル_MS2!$H$5))</f>
        <v/>
      </c>
      <c r="U187" s="9" t="str">
        <f>IF(R187="","",IF(R187="BUY",E187+N187*操作パネル_MS2!$H$6,E187-N187*操作パネル_MS2!$H$6))</f>
        <v/>
      </c>
      <c r="V187" s="9" t="str">
        <f>IF(R187="","",IF(R187="BUY",E187+N187*操作パネル_MS2!$H$7,E187-N187*操作パネル_MS2!$H$7))</f>
        <v/>
      </c>
      <c r="W187" s="9" t="str">
        <f>IF(R187="","",IF(R187="BUY",E187+N187*操作パネル_MS2!$H$8,E187-N187*操作パネル_MS2!$H$8))</f>
        <v/>
      </c>
      <c r="X187" s="5" t="str">
        <f t="shared" si="27"/>
        <v/>
      </c>
      <c r="Y187" s="5" t="str">
        <f t="shared" ca="1" si="28"/>
        <v/>
      </c>
      <c r="Z187" s="5" t="str">
        <f>IF(OR(E187="",N187&lt;=0),"",IF(N187&gt;E187*操作パネル_MS2!$H$4,"VOL-HIGH","VOL-NORMAL"))</f>
        <v/>
      </c>
      <c r="AA187" s="5" t="str">
        <f t="shared" si="29"/>
        <v/>
      </c>
      <c r="AB187" s="5" t="str">
        <f t="shared" si="30"/>
        <v/>
      </c>
      <c r="AC187" s="30" t="str">
        <f>IF(C187="","",_xll.RssMarket(C187&amp;"","売買代金"))</f>
        <v/>
      </c>
      <c r="AD187" s="31">
        <f>IFERROR(INDEX(ATRHIST_MS2!$H:$H,MATCH(C187,ATRHIST_MS2!$A:$A,0)),0)</f>
        <v>0</v>
      </c>
    </row>
    <row r="188" spans="1:30" ht="25.95" customHeight="1">
      <c r="A188" s="10" t="str">
        <f t="shared" si="22"/>
        <v/>
      </c>
      <c r="B188" s="11" t="str">
        <f>IF(StockList_MS2!A187="","",HYPERLINK("https://kabutan.jp/stock/?code="&amp;StockList_MS2!A187,"株探"))</f>
        <v/>
      </c>
      <c r="C188" s="10" t="str">
        <f>IF(StockList_MS2!A187="","",StockList_MS2!A187)</f>
        <v/>
      </c>
      <c r="D188" s="12" t="str">
        <f>IF(StockList_MS2!A187="","",StockList_MS2!B187)</f>
        <v/>
      </c>
      <c r="E188" s="13"/>
      <c r="F188" s="13"/>
      <c r="G188" s="13"/>
      <c r="H188" s="13"/>
      <c r="I188" s="20"/>
      <c r="J188" s="13"/>
      <c r="K188" s="13"/>
      <c r="L188" s="13"/>
      <c r="M188" s="5" t="str">
        <f t="shared" si="31"/>
        <v/>
      </c>
      <c r="N188" s="9" t="str">
        <f>IF(OR(E188="",F188="",G188=""),"",IF(AD188&gt;0,AD188,(F188-G188)/SQRT(操作パネル_MS2!$H$12)*操作パネル_MS2!$H$10))</f>
        <v/>
      </c>
      <c r="O188" s="5" t="str">
        <f>IF(OR(E188="",AC188=""),"",IF(AC188&gt;=操作パネル_MS2!$H$3,"VOL-OK","VOL-NG"))</f>
        <v/>
      </c>
      <c r="P188" s="5" t="str">
        <f t="shared" si="23"/>
        <v/>
      </c>
      <c r="Q188" s="5" t="str">
        <f t="shared" si="24"/>
        <v/>
      </c>
      <c r="R188" s="5" t="str">
        <f t="shared" si="25"/>
        <v/>
      </c>
      <c r="S188" s="9" t="str">
        <f t="shared" si="26"/>
        <v/>
      </c>
      <c r="T188" s="9" t="str">
        <f>IF(R188="","",IF(R188="BUY",E188-N188*操作パネル_MS2!$H$5,E188+N188*操作パネル_MS2!$H$5))</f>
        <v/>
      </c>
      <c r="U188" s="9" t="str">
        <f>IF(R188="","",IF(R188="BUY",E188+N188*操作パネル_MS2!$H$6,E188-N188*操作パネル_MS2!$H$6))</f>
        <v/>
      </c>
      <c r="V188" s="9" t="str">
        <f>IF(R188="","",IF(R188="BUY",E188+N188*操作パネル_MS2!$H$7,E188-N188*操作パネル_MS2!$H$7))</f>
        <v/>
      </c>
      <c r="W188" s="9" t="str">
        <f>IF(R188="","",IF(R188="BUY",E188+N188*操作パネル_MS2!$H$8,E188-N188*操作パネル_MS2!$H$8))</f>
        <v/>
      </c>
      <c r="X188" s="5" t="str">
        <f t="shared" si="27"/>
        <v/>
      </c>
      <c r="Y188" s="5" t="str">
        <f t="shared" ca="1" si="28"/>
        <v/>
      </c>
      <c r="Z188" s="5" t="str">
        <f>IF(OR(E188="",N188&lt;=0),"",IF(N188&gt;E188*操作パネル_MS2!$H$4,"VOL-HIGH","VOL-NORMAL"))</f>
        <v/>
      </c>
      <c r="AA188" s="5" t="str">
        <f t="shared" si="29"/>
        <v/>
      </c>
      <c r="AB188" s="5" t="str">
        <f t="shared" si="30"/>
        <v/>
      </c>
      <c r="AC188" s="30" t="str">
        <f>IF(C188="","",_xll.RssMarket(C188&amp;"","売買代金"))</f>
        <v/>
      </c>
      <c r="AD188" s="31">
        <f>IFERROR(INDEX(ATRHIST_MS2!$H:$H,MATCH(C188,ATRHIST_MS2!$A:$A,0)),0)</f>
        <v>0</v>
      </c>
    </row>
    <row r="189" spans="1:30" ht="25.95" customHeight="1">
      <c r="A189" s="5" t="str">
        <f t="shared" si="22"/>
        <v/>
      </c>
      <c r="B189" s="6" t="str">
        <f>IF(StockList_MS2!A188="","",HYPERLINK("https://kabutan.jp/stock/?code="&amp;StockList_MS2!A188,"株探"))</f>
        <v/>
      </c>
      <c r="C189" s="5" t="str">
        <f>IF(StockList_MS2!A188="","",StockList_MS2!A188)</f>
        <v/>
      </c>
      <c r="D189" s="7" t="str">
        <f>IF(StockList_MS2!A188="","",StockList_MS2!B188)</f>
        <v/>
      </c>
      <c r="E189" s="8"/>
      <c r="F189" s="8"/>
      <c r="G189" s="8"/>
      <c r="H189" s="8"/>
      <c r="I189" s="19"/>
      <c r="J189" s="8"/>
      <c r="K189" s="8"/>
      <c r="L189" s="8"/>
      <c r="M189" s="5" t="str">
        <f t="shared" si="31"/>
        <v/>
      </c>
      <c r="N189" s="9" t="str">
        <f>IF(OR(E189="",F189="",G189=""),"",IF(AD189&gt;0,AD189,(F189-G189)/SQRT(操作パネル_MS2!$H$12)*操作パネル_MS2!$H$10))</f>
        <v/>
      </c>
      <c r="O189" s="5" t="str">
        <f>IF(OR(E189="",AC189=""),"",IF(AC189&gt;=操作パネル_MS2!$H$3,"VOL-OK","VOL-NG"))</f>
        <v/>
      </c>
      <c r="P189" s="5" t="str">
        <f t="shared" si="23"/>
        <v/>
      </c>
      <c r="Q189" s="5" t="str">
        <f t="shared" si="24"/>
        <v/>
      </c>
      <c r="R189" s="5" t="str">
        <f t="shared" si="25"/>
        <v/>
      </c>
      <c r="S189" s="9" t="str">
        <f t="shared" si="26"/>
        <v/>
      </c>
      <c r="T189" s="9" t="str">
        <f>IF(R189="","",IF(R189="BUY",E189-N189*操作パネル_MS2!$H$5,E189+N189*操作パネル_MS2!$H$5))</f>
        <v/>
      </c>
      <c r="U189" s="9" t="str">
        <f>IF(R189="","",IF(R189="BUY",E189+N189*操作パネル_MS2!$H$6,E189-N189*操作パネル_MS2!$H$6))</f>
        <v/>
      </c>
      <c r="V189" s="9" t="str">
        <f>IF(R189="","",IF(R189="BUY",E189+N189*操作パネル_MS2!$H$7,E189-N189*操作パネル_MS2!$H$7))</f>
        <v/>
      </c>
      <c r="W189" s="9" t="str">
        <f>IF(R189="","",IF(R189="BUY",E189+N189*操作パネル_MS2!$H$8,E189-N189*操作パネル_MS2!$H$8))</f>
        <v/>
      </c>
      <c r="X189" s="5" t="str">
        <f t="shared" si="27"/>
        <v/>
      </c>
      <c r="Y189" s="5" t="str">
        <f t="shared" ca="1" si="28"/>
        <v/>
      </c>
      <c r="Z189" s="5" t="str">
        <f>IF(OR(E189="",N189&lt;=0),"",IF(N189&gt;E189*操作パネル_MS2!$H$4,"VOL-HIGH","VOL-NORMAL"))</f>
        <v/>
      </c>
      <c r="AA189" s="5" t="str">
        <f t="shared" si="29"/>
        <v/>
      </c>
      <c r="AB189" s="5" t="str">
        <f t="shared" si="30"/>
        <v/>
      </c>
      <c r="AC189" s="30" t="str">
        <f>IF(C189="","",_xll.RssMarket(C189&amp;"","売買代金"))</f>
        <v/>
      </c>
      <c r="AD189" s="31">
        <f>IFERROR(INDEX(ATRHIST_MS2!$H:$H,MATCH(C189,ATRHIST_MS2!$A:$A,0)),0)</f>
        <v>0</v>
      </c>
    </row>
    <row r="190" spans="1:30" ht="25.95" customHeight="1">
      <c r="A190" s="10" t="str">
        <f t="shared" si="22"/>
        <v/>
      </c>
      <c r="B190" s="11" t="str">
        <f>IF(StockList_MS2!A189="","",HYPERLINK("https://kabutan.jp/stock/?code="&amp;StockList_MS2!A189,"株探"))</f>
        <v/>
      </c>
      <c r="C190" s="10" t="str">
        <f>IF(StockList_MS2!A189="","",StockList_MS2!A189)</f>
        <v/>
      </c>
      <c r="D190" s="12" t="str">
        <f>IF(StockList_MS2!A189="","",StockList_MS2!B189)</f>
        <v/>
      </c>
      <c r="E190" s="13"/>
      <c r="F190" s="13"/>
      <c r="G190" s="13"/>
      <c r="H190" s="13"/>
      <c r="I190" s="20"/>
      <c r="J190" s="13"/>
      <c r="K190" s="13"/>
      <c r="L190" s="13"/>
      <c r="M190" s="5" t="str">
        <f t="shared" si="31"/>
        <v/>
      </c>
      <c r="N190" s="9" t="str">
        <f>IF(OR(E190="",F190="",G190=""),"",IF(AD190&gt;0,AD190,(F190-G190)/SQRT(操作パネル_MS2!$H$12)*操作パネル_MS2!$H$10))</f>
        <v/>
      </c>
      <c r="O190" s="5" t="str">
        <f>IF(OR(E190="",AC190=""),"",IF(AC190&gt;=操作パネル_MS2!$H$3,"VOL-OK","VOL-NG"))</f>
        <v/>
      </c>
      <c r="P190" s="5" t="str">
        <f t="shared" si="23"/>
        <v/>
      </c>
      <c r="Q190" s="5" t="str">
        <f t="shared" si="24"/>
        <v/>
      </c>
      <c r="R190" s="5" t="str">
        <f t="shared" si="25"/>
        <v/>
      </c>
      <c r="S190" s="9" t="str">
        <f t="shared" si="26"/>
        <v/>
      </c>
      <c r="T190" s="9" t="str">
        <f>IF(R190="","",IF(R190="BUY",E190-N190*操作パネル_MS2!$H$5,E190+N190*操作パネル_MS2!$H$5))</f>
        <v/>
      </c>
      <c r="U190" s="9" t="str">
        <f>IF(R190="","",IF(R190="BUY",E190+N190*操作パネル_MS2!$H$6,E190-N190*操作パネル_MS2!$H$6))</f>
        <v/>
      </c>
      <c r="V190" s="9" t="str">
        <f>IF(R190="","",IF(R190="BUY",E190+N190*操作パネル_MS2!$H$7,E190-N190*操作パネル_MS2!$H$7))</f>
        <v/>
      </c>
      <c r="W190" s="9" t="str">
        <f>IF(R190="","",IF(R190="BUY",E190+N190*操作パネル_MS2!$H$8,E190-N190*操作パネル_MS2!$H$8))</f>
        <v/>
      </c>
      <c r="X190" s="5" t="str">
        <f t="shared" si="27"/>
        <v/>
      </c>
      <c r="Y190" s="5" t="str">
        <f t="shared" ca="1" si="28"/>
        <v/>
      </c>
      <c r="Z190" s="5" t="str">
        <f>IF(OR(E190="",N190&lt;=0),"",IF(N190&gt;E190*操作パネル_MS2!$H$4,"VOL-HIGH","VOL-NORMAL"))</f>
        <v/>
      </c>
      <c r="AA190" s="5" t="str">
        <f t="shared" si="29"/>
        <v/>
      </c>
      <c r="AB190" s="5" t="str">
        <f t="shared" si="30"/>
        <v/>
      </c>
      <c r="AC190" s="30" t="str">
        <f>IF(C190="","",_xll.RssMarket(C190&amp;"","売買代金"))</f>
        <v/>
      </c>
      <c r="AD190" s="31">
        <f>IFERROR(INDEX(ATRHIST_MS2!$H:$H,MATCH(C190,ATRHIST_MS2!$A:$A,0)),0)</f>
        <v>0</v>
      </c>
    </row>
    <row r="191" spans="1:30" ht="25.95" customHeight="1">
      <c r="A191" s="5" t="str">
        <f t="shared" si="22"/>
        <v/>
      </c>
      <c r="B191" s="6" t="str">
        <f>IF(StockList_MS2!A190="","",HYPERLINK("https://kabutan.jp/stock/?code="&amp;StockList_MS2!A190,"株探"))</f>
        <v/>
      </c>
      <c r="C191" s="5" t="str">
        <f>IF(StockList_MS2!A190="","",StockList_MS2!A190)</f>
        <v/>
      </c>
      <c r="D191" s="7" t="str">
        <f>IF(StockList_MS2!A190="","",StockList_MS2!B190)</f>
        <v/>
      </c>
      <c r="E191" s="8"/>
      <c r="F191" s="8"/>
      <c r="G191" s="8"/>
      <c r="H191" s="8"/>
      <c r="I191" s="19"/>
      <c r="J191" s="8"/>
      <c r="K191" s="8"/>
      <c r="L191" s="8"/>
      <c r="M191" s="5" t="str">
        <f t="shared" si="31"/>
        <v/>
      </c>
      <c r="N191" s="9" t="str">
        <f>IF(OR(E191="",F191="",G191=""),"",IF(AD191&gt;0,AD191,(F191-G191)/SQRT(操作パネル_MS2!$H$12)*操作パネル_MS2!$H$10))</f>
        <v/>
      </c>
      <c r="O191" s="5" t="str">
        <f>IF(OR(E191="",AC191=""),"",IF(AC191&gt;=操作パネル_MS2!$H$3,"VOL-OK","VOL-NG"))</f>
        <v/>
      </c>
      <c r="P191" s="5" t="str">
        <f t="shared" si="23"/>
        <v/>
      </c>
      <c r="Q191" s="5" t="str">
        <f t="shared" si="24"/>
        <v/>
      </c>
      <c r="R191" s="5" t="str">
        <f t="shared" si="25"/>
        <v/>
      </c>
      <c r="S191" s="9" t="str">
        <f t="shared" si="26"/>
        <v/>
      </c>
      <c r="T191" s="9" t="str">
        <f>IF(R191="","",IF(R191="BUY",E191-N191*操作パネル_MS2!$H$5,E191+N191*操作パネル_MS2!$H$5))</f>
        <v/>
      </c>
      <c r="U191" s="9" t="str">
        <f>IF(R191="","",IF(R191="BUY",E191+N191*操作パネル_MS2!$H$6,E191-N191*操作パネル_MS2!$H$6))</f>
        <v/>
      </c>
      <c r="V191" s="9" t="str">
        <f>IF(R191="","",IF(R191="BUY",E191+N191*操作パネル_MS2!$H$7,E191-N191*操作パネル_MS2!$H$7))</f>
        <v/>
      </c>
      <c r="W191" s="9" t="str">
        <f>IF(R191="","",IF(R191="BUY",E191+N191*操作パネル_MS2!$H$8,E191-N191*操作パネル_MS2!$H$8))</f>
        <v/>
      </c>
      <c r="X191" s="5" t="str">
        <f t="shared" si="27"/>
        <v/>
      </c>
      <c r="Y191" s="5" t="str">
        <f t="shared" ca="1" si="28"/>
        <v/>
      </c>
      <c r="Z191" s="5" t="str">
        <f>IF(OR(E191="",N191&lt;=0),"",IF(N191&gt;E191*操作パネル_MS2!$H$4,"VOL-HIGH","VOL-NORMAL"))</f>
        <v/>
      </c>
      <c r="AA191" s="5" t="str">
        <f t="shared" si="29"/>
        <v/>
      </c>
      <c r="AB191" s="5" t="str">
        <f t="shared" si="30"/>
        <v/>
      </c>
      <c r="AC191" s="30" t="str">
        <f>IF(C191="","",_xll.RssMarket(C191&amp;"","売買代金"))</f>
        <v/>
      </c>
      <c r="AD191" s="31">
        <f>IFERROR(INDEX(ATRHIST_MS2!$H:$H,MATCH(C191,ATRHIST_MS2!$A:$A,0)),0)</f>
        <v>0</v>
      </c>
    </row>
    <row r="192" spans="1:30" ht="25.95" customHeight="1">
      <c r="A192" s="10" t="str">
        <f t="shared" si="22"/>
        <v/>
      </c>
      <c r="B192" s="11" t="str">
        <f>IF(StockList_MS2!A191="","",HYPERLINK("https://kabutan.jp/stock/?code="&amp;StockList_MS2!A191,"株探"))</f>
        <v/>
      </c>
      <c r="C192" s="10" t="str">
        <f>IF(StockList_MS2!A191="","",StockList_MS2!A191)</f>
        <v/>
      </c>
      <c r="D192" s="12" t="str">
        <f>IF(StockList_MS2!A191="","",StockList_MS2!B191)</f>
        <v/>
      </c>
      <c r="E192" s="13"/>
      <c r="F192" s="13"/>
      <c r="G192" s="13"/>
      <c r="H192" s="13"/>
      <c r="I192" s="20"/>
      <c r="J192" s="13"/>
      <c r="K192" s="13"/>
      <c r="L192" s="13"/>
      <c r="M192" s="5" t="str">
        <f t="shared" si="31"/>
        <v/>
      </c>
      <c r="N192" s="9" t="str">
        <f>IF(OR(E192="",F192="",G192=""),"",IF(AD192&gt;0,AD192,(F192-G192)/SQRT(操作パネル_MS2!$H$12)*操作パネル_MS2!$H$10))</f>
        <v/>
      </c>
      <c r="O192" s="5" t="str">
        <f>IF(OR(E192="",AC192=""),"",IF(AC192&gt;=操作パネル_MS2!$H$3,"VOL-OK","VOL-NG"))</f>
        <v/>
      </c>
      <c r="P192" s="5" t="str">
        <f t="shared" si="23"/>
        <v/>
      </c>
      <c r="Q192" s="5" t="str">
        <f t="shared" si="24"/>
        <v/>
      </c>
      <c r="R192" s="5" t="str">
        <f t="shared" si="25"/>
        <v/>
      </c>
      <c r="S192" s="9" t="str">
        <f t="shared" si="26"/>
        <v/>
      </c>
      <c r="T192" s="9" t="str">
        <f>IF(R192="","",IF(R192="BUY",E192-N192*操作パネル_MS2!$H$5,E192+N192*操作パネル_MS2!$H$5))</f>
        <v/>
      </c>
      <c r="U192" s="9" t="str">
        <f>IF(R192="","",IF(R192="BUY",E192+N192*操作パネル_MS2!$H$6,E192-N192*操作パネル_MS2!$H$6))</f>
        <v/>
      </c>
      <c r="V192" s="9" t="str">
        <f>IF(R192="","",IF(R192="BUY",E192+N192*操作パネル_MS2!$H$7,E192-N192*操作パネル_MS2!$H$7))</f>
        <v/>
      </c>
      <c r="W192" s="9" t="str">
        <f>IF(R192="","",IF(R192="BUY",E192+N192*操作パネル_MS2!$H$8,E192-N192*操作パネル_MS2!$H$8))</f>
        <v/>
      </c>
      <c r="X192" s="5" t="str">
        <f t="shared" si="27"/>
        <v/>
      </c>
      <c r="Y192" s="5" t="str">
        <f t="shared" ca="1" si="28"/>
        <v/>
      </c>
      <c r="Z192" s="5" t="str">
        <f>IF(OR(E192="",N192&lt;=0),"",IF(N192&gt;E192*操作パネル_MS2!$H$4,"VOL-HIGH","VOL-NORMAL"))</f>
        <v/>
      </c>
      <c r="AA192" s="5" t="str">
        <f t="shared" si="29"/>
        <v/>
      </c>
      <c r="AB192" s="5" t="str">
        <f t="shared" si="30"/>
        <v/>
      </c>
      <c r="AC192" s="30" t="str">
        <f>IF(C192="","",_xll.RssMarket(C192&amp;"","売買代金"))</f>
        <v/>
      </c>
      <c r="AD192" s="31">
        <f>IFERROR(INDEX(ATRHIST_MS2!$H:$H,MATCH(C192,ATRHIST_MS2!$A:$A,0)),0)</f>
        <v>0</v>
      </c>
    </row>
    <row r="193" spans="1:30" ht="25.95" customHeight="1">
      <c r="A193" s="5" t="str">
        <f t="shared" si="22"/>
        <v/>
      </c>
      <c r="B193" s="6" t="str">
        <f>IF(StockList_MS2!A192="","",HYPERLINK("https://kabutan.jp/stock/?code="&amp;StockList_MS2!A192,"株探"))</f>
        <v/>
      </c>
      <c r="C193" s="5" t="str">
        <f>IF(StockList_MS2!A192="","",StockList_MS2!A192)</f>
        <v/>
      </c>
      <c r="D193" s="7" t="str">
        <f>IF(StockList_MS2!A192="","",StockList_MS2!B192)</f>
        <v/>
      </c>
      <c r="E193" s="8"/>
      <c r="F193" s="8"/>
      <c r="G193" s="8"/>
      <c r="H193" s="8"/>
      <c r="I193" s="19"/>
      <c r="J193" s="8"/>
      <c r="K193" s="8"/>
      <c r="L193" s="8"/>
      <c r="M193" s="5" t="str">
        <f t="shared" si="31"/>
        <v/>
      </c>
      <c r="N193" s="9" t="str">
        <f>IF(OR(E193="",F193="",G193=""),"",IF(AD193&gt;0,AD193,(F193-G193)/SQRT(操作パネル_MS2!$H$12)*操作パネル_MS2!$H$10))</f>
        <v/>
      </c>
      <c r="O193" s="5" t="str">
        <f>IF(OR(E193="",AC193=""),"",IF(AC193&gt;=操作パネル_MS2!$H$3,"VOL-OK","VOL-NG"))</f>
        <v/>
      </c>
      <c r="P193" s="5" t="str">
        <f t="shared" si="23"/>
        <v/>
      </c>
      <c r="Q193" s="5" t="str">
        <f t="shared" si="24"/>
        <v/>
      </c>
      <c r="R193" s="5" t="str">
        <f t="shared" si="25"/>
        <v/>
      </c>
      <c r="S193" s="9" t="str">
        <f t="shared" si="26"/>
        <v/>
      </c>
      <c r="T193" s="9" t="str">
        <f>IF(R193="","",IF(R193="BUY",E193-N193*操作パネル_MS2!$H$5,E193+N193*操作パネル_MS2!$H$5))</f>
        <v/>
      </c>
      <c r="U193" s="9" t="str">
        <f>IF(R193="","",IF(R193="BUY",E193+N193*操作パネル_MS2!$H$6,E193-N193*操作パネル_MS2!$H$6))</f>
        <v/>
      </c>
      <c r="V193" s="9" t="str">
        <f>IF(R193="","",IF(R193="BUY",E193+N193*操作パネル_MS2!$H$7,E193-N193*操作パネル_MS2!$H$7))</f>
        <v/>
      </c>
      <c r="W193" s="9" t="str">
        <f>IF(R193="","",IF(R193="BUY",E193+N193*操作パネル_MS2!$H$8,E193-N193*操作パネル_MS2!$H$8))</f>
        <v/>
      </c>
      <c r="X193" s="5" t="str">
        <f t="shared" si="27"/>
        <v/>
      </c>
      <c r="Y193" s="5" t="str">
        <f t="shared" ca="1" si="28"/>
        <v/>
      </c>
      <c r="Z193" s="5" t="str">
        <f>IF(OR(E193="",N193&lt;=0),"",IF(N193&gt;E193*操作パネル_MS2!$H$4,"VOL-HIGH","VOL-NORMAL"))</f>
        <v/>
      </c>
      <c r="AA193" s="5" t="str">
        <f t="shared" si="29"/>
        <v/>
      </c>
      <c r="AB193" s="5" t="str">
        <f t="shared" si="30"/>
        <v/>
      </c>
      <c r="AC193" s="30" t="str">
        <f>IF(C193="","",_xll.RssMarket(C193&amp;"","売買代金"))</f>
        <v/>
      </c>
      <c r="AD193" s="31">
        <f>IFERROR(INDEX(ATRHIST_MS2!$H:$H,MATCH(C193,ATRHIST_MS2!$A:$A,0)),0)</f>
        <v>0</v>
      </c>
    </row>
    <row r="194" spans="1:30" ht="25.95" customHeight="1">
      <c r="A194" s="10" t="str">
        <f t="shared" si="22"/>
        <v/>
      </c>
      <c r="B194" s="11" t="str">
        <f>IF(StockList_MS2!A193="","",HYPERLINK("https://kabutan.jp/stock/?code="&amp;StockList_MS2!A193,"株探"))</f>
        <v/>
      </c>
      <c r="C194" s="10" t="str">
        <f>IF(StockList_MS2!A193="","",StockList_MS2!A193)</f>
        <v/>
      </c>
      <c r="D194" s="12" t="str">
        <f>IF(StockList_MS2!A193="","",StockList_MS2!B193)</f>
        <v/>
      </c>
      <c r="E194" s="13"/>
      <c r="F194" s="13"/>
      <c r="G194" s="13"/>
      <c r="H194" s="13"/>
      <c r="I194" s="20"/>
      <c r="J194" s="13"/>
      <c r="K194" s="13"/>
      <c r="L194" s="13"/>
      <c r="M194" s="5" t="str">
        <f t="shared" si="31"/>
        <v/>
      </c>
      <c r="N194" s="9" t="str">
        <f>IF(OR(E194="",F194="",G194=""),"",IF(AD194&gt;0,AD194,(F194-G194)/SQRT(操作パネル_MS2!$H$12)*操作パネル_MS2!$H$10))</f>
        <v/>
      </c>
      <c r="O194" s="5" t="str">
        <f>IF(OR(E194="",AC194=""),"",IF(AC194&gt;=操作パネル_MS2!$H$3,"VOL-OK","VOL-NG"))</f>
        <v/>
      </c>
      <c r="P194" s="5" t="str">
        <f t="shared" si="23"/>
        <v/>
      </c>
      <c r="Q194" s="5" t="str">
        <f t="shared" si="24"/>
        <v/>
      </c>
      <c r="R194" s="5" t="str">
        <f t="shared" si="25"/>
        <v/>
      </c>
      <c r="S194" s="9" t="str">
        <f t="shared" si="26"/>
        <v/>
      </c>
      <c r="T194" s="9" t="str">
        <f>IF(R194="","",IF(R194="BUY",E194-N194*操作パネル_MS2!$H$5,E194+N194*操作パネル_MS2!$H$5))</f>
        <v/>
      </c>
      <c r="U194" s="9" t="str">
        <f>IF(R194="","",IF(R194="BUY",E194+N194*操作パネル_MS2!$H$6,E194-N194*操作パネル_MS2!$H$6))</f>
        <v/>
      </c>
      <c r="V194" s="9" t="str">
        <f>IF(R194="","",IF(R194="BUY",E194+N194*操作パネル_MS2!$H$7,E194-N194*操作パネル_MS2!$H$7))</f>
        <v/>
      </c>
      <c r="W194" s="9" t="str">
        <f>IF(R194="","",IF(R194="BUY",E194+N194*操作パネル_MS2!$H$8,E194-N194*操作パネル_MS2!$H$8))</f>
        <v/>
      </c>
      <c r="X194" s="5" t="str">
        <f t="shared" si="27"/>
        <v/>
      </c>
      <c r="Y194" s="5" t="str">
        <f t="shared" ca="1" si="28"/>
        <v/>
      </c>
      <c r="Z194" s="5" t="str">
        <f>IF(OR(E194="",N194&lt;=0),"",IF(N194&gt;E194*操作パネル_MS2!$H$4,"VOL-HIGH","VOL-NORMAL"))</f>
        <v/>
      </c>
      <c r="AA194" s="5" t="str">
        <f t="shared" si="29"/>
        <v/>
      </c>
      <c r="AB194" s="5" t="str">
        <f t="shared" si="30"/>
        <v/>
      </c>
      <c r="AC194" s="30" t="str">
        <f>IF(C194="","",_xll.RssMarket(C194&amp;"","売買代金"))</f>
        <v/>
      </c>
      <c r="AD194" s="31">
        <f>IFERROR(INDEX(ATRHIST_MS2!$H:$H,MATCH(C194,ATRHIST_MS2!$A:$A,0)),0)</f>
        <v>0</v>
      </c>
    </row>
    <row r="195" spans="1:30" ht="25.95" customHeight="1">
      <c r="A195" s="5" t="str">
        <f t="shared" ref="A195:A258" si="32">IF(C195="","",ROW()-2)</f>
        <v/>
      </c>
      <c r="B195" s="6" t="str">
        <f>IF(StockList_MS2!A194="","",HYPERLINK("https://kabutan.jp/stock/?code="&amp;StockList_MS2!A194,"株探"))</f>
        <v/>
      </c>
      <c r="C195" s="5" t="str">
        <f>IF(StockList_MS2!A194="","",StockList_MS2!A194)</f>
        <v/>
      </c>
      <c r="D195" s="7" t="str">
        <f>IF(StockList_MS2!A194="","",StockList_MS2!B194)</f>
        <v/>
      </c>
      <c r="E195" s="8"/>
      <c r="F195" s="8"/>
      <c r="G195" s="8"/>
      <c r="H195" s="8"/>
      <c r="I195" s="19"/>
      <c r="J195" s="8"/>
      <c r="K195" s="8"/>
      <c r="L195" s="8"/>
      <c r="M195" s="5" t="str">
        <f t="shared" si="31"/>
        <v/>
      </c>
      <c r="N195" s="9" t="str">
        <f>IF(OR(E195="",F195="",G195=""),"",IF(AD195&gt;0,AD195,(F195-G195)/SQRT(操作パネル_MS2!$H$12)*操作パネル_MS2!$H$10))</f>
        <v/>
      </c>
      <c r="O195" s="5" t="str">
        <f>IF(OR(E195="",AC195=""),"",IF(AC195&gt;=操作パネル_MS2!$H$3,"VOL-OK","VOL-NG"))</f>
        <v/>
      </c>
      <c r="P195" s="5" t="str">
        <f t="shared" ref="P195:P258" si="33">IF(E195="","",IF(E195&gt;J195,"ON","OFF"))</f>
        <v/>
      </c>
      <c r="Q195" s="5" t="str">
        <f t="shared" ref="Q195:Q258" si="34">IF(E195="","",IF(E195&lt;K195,"ON","OFF"))</f>
        <v/>
      </c>
      <c r="R195" s="5" t="str">
        <f t="shared" ref="R195:R258" si="35">IF(OR(E195="",N195&lt;=0),"",IF(AND(M195="BUY-DAY",O195="VOL-OK",P195="ON",AA195="OK",AB195&lt;&gt;"DOWN"),"BUY",IF(AND(M195="SELL-DAY",O195="VOL-OK",Q195="ON",AA195="OK",AB195&lt;&gt;"UP"),"SELL","")))</f>
        <v/>
      </c>
      <c r="S195" s="9" t="str">
        <f t="shared" ref="S195:S258" si="36">IF(R195="","",E195)</f>
        <v/>
      </c>
      <c r="T195" s="9" t="str">
        <f>IF(R195="","",IF(R195="BUY",E195-N195*操作パネル_MS2!$H$5,E195+N195*操作パネル_MS2!$H$5))</f>
        <v/>
      </c>
      <c r="U195" s="9" t="str">
        <f>IF(R195="","",IF(R195="BUY",E195+N195*操作パネル_MS2!$H$6,E195-N195*操作パネル_MS2!$H$6))</f>
        <v/>
      </c>
      <c r="V195" s="9" t="str">
        <f>IF(R195="","",IF(R195="BUY",E195+N195*操作パネル_MS2!$H$7,E195-N195*操作パネル_MS2!$H$7))</f>
        <v/>
      </c>
      <c r="W195" s="9" t="str">
        <f>IF(R195="","",IF(R195="BUY",E195+N195*操作パネル_MS2!$H$8,E195-N195*操作パネル_MS2!$H$8))</f>
        <v/>
      </c>
      <c r="X195" s="5" t="str">
        <f t="shared" ref="X195:X258" si="37">IF(OR(E195="",N195&lt;=0),"",IF(AND(E195&gt;L195,ABS(E195-L195)&lt;N195*0.5),"2ND","1ST"))</f>
        <v/>
      </c>
      <c r="Y195" s="5" t="str">
        <f t="shared" ref="Y195:Y258" ca="1" si="38">IF(OR(E195="",N195&lt;=0),"",IF(AND(TEXT(NOW(),"hh:mm")&gt;="09:00",TEXT(NOW(),"hh:mm")&lt;="09:30"),"寄り付き",IF(AND(TEXT(NOW(),"hh:mm")&gt;="12:30",TEXT(NOW(),"hh:mm")&lt;="14:30"),"後場",IF(AND(TEXT(NOW(),"hh:mm")&gt;="14:30",TEXT(NOW(),"hh:mm")&lt;="15:00"),"引け前","その他"))))</f>
        <v/>
      </c>
      <c r="Z195" s="5" t="str">
        <f>IF(OR(E195="",N195&lt;=0),"",IF(N195&gt;E195*操作パネル_MS2!$H$4,"VOL-HIGH","VOL-NORMAL"))</f>
        <v/>
      </c>
      <c r="AA195" s="5" t="str">
        <f t="shared" ref="AA195:AA258" si="39">IF(OR(E195="",N195&lt;=0),"",IF(AND(O195="VOL-OK",Z195="VOL-NORMAL"),"OK","NG"))</f>
        <v/>
      </c>
      <c r="AB195" s="5" t="str">
        <f t="shared" ref="AB195:AB258" si="40">IF(OR(E195="",N195&lt;=0),"",IF(AND(F195&gt;J195,G195&gt;K195),"UP",IF(AND(F195&lt;J195,G195&lt;K195),"DOWN","FLAT")))</f>
        <v/>
      </c>
      <c r="AC195" s="30" t="str">
        <f>IF(C195="","",_xll.RssMarket(C195&amp;"","売買代金"))</f>
        <v/>
      </c>
      <c r="AD195" s="31">
        <f>IFERROR(INDEX(ATRHIST_MS2!$H:$H,MATCH(C195,ATRHIST_MS2!$A:$A,0)),0)</f>
        <v>0</v>
      </c>
    </row>
    <row r="196" spans="1:30" ht="25.95" customHeight="1">
      <c r="A196" s="10" t="str">
        <f t="shared" si="32"/>
        <v/>
      </c>
      <c r="B196" s="11" t="str">
        <f>IF(StockList_MS2!A195="","",HYPERLINK("https://kabutan.jp/stock/?code="&amp;StockList_MS2!A195,"株探"))</f>
        <v/>
      </c>
      <c r="C196" s="10" t="str">
        <f>IF(StockList_MS2!A195="","",StockList_MS2!A195)</f>
        <v/>
      </c>
      <c r="D196" s="12" t="str">
        <f>IF(StockList_MS2!A195="","",StockList_MS2!B195)</f>
        <v/>
      </c>
      <c r="E196" s="13"/>
      <c r="F196" s="13"/>
      <c r="G196" s="13"/>
      <c r="H196" s="13"/>
      <c r="I196" s="20"/>
      <c r="J196" s="13"/>
      <c r="K196" s="13"/>
      <c r="L196" s="13"/>
      <c r="M196" s="5" t="str">
        <f t="shared" si="31"/>
        <v/>
      </c>
      <c r="N196" s="9" t="str">
        <f>IF(OR(E196="",F196="",G196=""),"",IF(AD196&gt;0,AD196,(F196-G196)/SQRT(操作パネル_MS2!$H$12)*操作パネル_MS2!$H$10))</f>
        <v/>
      </c>
      <c r="O196" s="5" t="str">
        <f>IF(OR(E196="",AC196=""),"",IF(AC196&gt;=操作パネル_MS2!$H$3,"VOL-OK","VOL-NG"))</f>
        <v/>
      </c>
      <c r="P196" s="5" t="str">
        <f t="shared" si="33"/>
        <v/>
      </c>
      <c r="Q196" s="5" t="str">
        <f t="shared" si="34"/>
        <v/>
      </c>
      <c r="R196" s="5" t="str">
        <f t="shared" si="35"/>
        <v/>
      </c>
      <c r="S196" s="9" t="str">
        <f t="shared" si="36"/>
        <v/>
      </c>
      <c r="T196" s="9" t="str">
        <f>IF(R196="","",IF(R196="BUY",E196-N196*操作パネル_MS2!$H$5,E196+N196*操作パネル_MS2!$H$5))</f>
        <v/>
      </c>
      <c r="U196" s="9" t="str">
        <f>IF(R196="","",IF(R196="BUY",E196+N196*操作パネル_MS2!$H$6,E196-N196*操作パネル_MS2!$H$6))</f>
        <v/>
      </c>
      <c r="V196" s="9" t="str">
        <f>IF(R196="","",IF(R196="BUY",E196+N196*操作パネル_MS2!$H$7,E196-N196*操作パネル_MS2!$H$7))</f>
        <v/>
      </c>
      <c r="W196" s="9" t="str">
        <f>IF(R196="","",IF(R196="BUY",E196+N196*操作パネル_MS2!$H$8,E196-N196*操作パネル_MS2!$H$8))</f>
        <v/>
      </c>
      <c r="X196" s="5" t="str">
        <f t="shared" si="37"/>
        <v/>
      </c>
      <c r="Y196" s="5" t="str">
        <f t="shared" ca="1" si="38"/>
        <v/>
      </c>
      <c r="Z196" s="5" t="str">
        <f>IF(OR(E196="",N196&lt;=0),"",IF(N196&gt;E196*操作パネル_MS2!$H$4,"VOL-HIGH","VOL-NORMAL"))</f>
        <v/>
      </c>
      <c r="AA196" s="5" t="str">
        <f t="shared" si="39"/>
        <v/>
      </c>
      <c r="AB196" s="5" t="str">
        <f t="shared" si="40"/>
        <v/>
      </c>
      <c r="AC196" s="30" t="str">
        <f>IF(C196="","",_xll.RssMarket(C196&amp;"","売買代金"))</f>
        <v/>
      </c>
      <c r="AD196" s="31">
        <f>IFERROR(INDEX(ATRHIST_MS2!$H:$H,MATCH(C196,ATRHIST_MS2!$A:$A,0)),0)</f>
        <v>0</v>
      </c>
    </row>
    <row r="197" spans="1:30" ht="25.95" customHeight="1">
      <c r="A197" s="5" t="str">
        <f t="shared" si="32"/>
        <v/>
      </c>
      <c r="B197" s="6" t="str">
        <f>IF(StockList_MS2!A196="","",HYPERLINK("https://kabutan.jp/stock/?code="&amp;StockList_MS2!A196,"株探"))</f>
        <v/>
      </c>
      <c r="C197" s="5" t="str">
        <f>IF(StockList_MS2!A196="","",StockList_MS2!A196)</f>
        <v/>
      </c>
      <c r="D197" s="7" t="str">
        <f>IF(StockList_MS2!A196="","",StockList_MS2!B196)</f>
        <v/>
      </c>
      <c r="E197" s="8"/>
      <c r="F197" s="8"/>
      <c r="G197" s="8"/>
      <c r="H197" s="8"/>
      <c r="I197" s="19"/>
      <c r="J197" s="8"/>
      <c r="K197" s="8"/>
      <c r="L197" s="8"/>
      <c r="M197" s="5" t="str">
        <f t="shared" si="31"/>
        <v/>
      </c>
      <c r="N197" s="9" t="str">
        <f>IF(OR(E197="",F197="",G197=""),"",IF(AD197&gt;0,AD197,(F197-G197)/SQRT(操作パネル_MS2!$H$12)*操作パネル_MS2!$H$10))</f>
        <v/>
      </c>
      <c r="O197" s="5" t="str">
        <f>IF(OR(E197="",AC197=""),"",IF(AC197&gt;=操作パネル_MS2!$H$3,"VOL-OK","VOL-NG"))</f>
        <v/>
      </c>
      <c r="P197" s="5" t="str">
        <f t="shared" si="33"/>
        <v/>
      </c>
      <c r="Q197" s="5" t="str">
        <f t="shared" si="34"/>
        <v/>
      </c>
      <c r="R197" s="5" t="str">
        <f t="shared" si="35"/>
        <v/>
      </c>
      <c r="S197" s="9" t="str">
        <f t="shared" si="36"/>
        <v/>
      </c>
      <c r="T197" s="9" t="str">
        <f>IF(R197="","",IF(R197="BUY",E197-N197*操作パネル_MS2!$H$5,E197+N197*操作パネル_MS2!$H$5))</f>
        <v/>
      </c>
      <c r="U197" s="9" t="str">
        <f>IF(R197="","",IF(R197="BUY",E197+N197*操作パネル_MS2!$H$6,E197-N197*操作パネル_MS2!$H$6))</f>
        <v/>
      </c>
      <c r="V197" s="9" t="str">
        <f>IF(R197="","",IF(R197="BUY",E197+N197*操作パネル_MS2!$H$7,E197-N197*操作パネル_MS2!$H$7))</f>
        <v/>
      </c>
      <c r="W197" s="9" t="str">
        <f>IF(R197="","",IF(R197="BUY",E197+N197*操作パネル_MS2!$H$8,E197-N197*操作パネル_MS2!$H$8))</f>
        <v/>
      </c>
      <c r="X197" s="5" t="str">
        <f t="shared" si="37"/>
        <v/>
      </c>
      <c r="Y197" s="5" t="str">
        <f t="shared" ca="1" si="38"/>
        <v/>
      </c>
      <c r="Z197" s="5" t="str">
        <f>IF(OR(E197="",N197&lt;=0),"",IF(N197&gt;E197*操作パネル_MS2!$H$4,"VOL-HIGH","VOL-NORMAL"))</f>
        <v/>
      </c>
      <c r="AA197" s="5" t="str">
        <f t="shared" si="39"/>
        <v/>
      </c>
      <c r="AB197" s="5" t="str">
        <f t="shared" si="40"/>
        <v/>
      </c>
      <c r="AC197" s="30" t="str">
        <f>IF(C197="","",_xll.RssMarket(C197&amp;"","売買代金"))</f>
        <v/>
      </c>
      <c r="AD197" s="31">
        <f>IFERROR(INDEX(ATRHIST_MS2!$H:$H,MATCH(C197,ATRHIST_MS2!$A:$A,0)),0)</f>
        <v>0</v>
      </c>
    </row>
    <row r="198" spans="1:30" ht="25.95" customHeight="1">
      <c r="A198" s="10" t="str">
        <f t="shared" si="32"/>
        <v/>
      </c>
      <c r="B198" s="11" t="str">
        <f>IF(StockList_MS2!A197="","",HYPERLINK("https://kabutan.jp/stock/?code="&amp;StockList_MS2!A197,"株探"))</f>
        <v/>
      </c>
      <c r="C198" s="10" t="str">
        <f>IF(StockList_MS2!A197="","",StockList_MS2!A197)</f>
        <v/>
      </c>
      <c r="D198" s="12" t="str">
        <f>IF(StockList_MS2!A197="","",StockList_MS2!B197)</f>
        <v/>
      </c>
      <c r="E198" s="13"/>
      <c r="F198" s="13"/>
      <c r="G198" s="13"/>
      <c r="H198" s="13"/>
      <c r="I198" s="20"/>
      <c r="J198" s="13"/>
      <c r="K198" s="13"/>
      <c r="L198" s="13"/>
      <c r="M198" s="5" t="str">
        <f t="shared" si="31"/>
        <v/>
      </c>
      <c r="N198" s="9" t="str">
        <f>IF(OR(E198="",F198="",G198=""),"",IF(AD198&gt;0,AD198,(F198-G198)/SQRT(操作パネル_MS2!$H$12)*操作パネル_MS2!$H$10))</f>
        <v/>
      </c>
      <c r="O198" s="5" t="str">
        <f>IF(OR(E198="",AC198=""),"",IF(AC198&gt;=操作パネル_MS2!$H$3,"VOL-OK","VOL-NG"))</f>
        <v/>
      </c>
      <c r="P198" s="5" t="str">
        <f t="shared" si="33"/>
        <v/>
      </c>
      <c r="Q198" s="5" t="str">
        <f t="shared" si="34"/>
        <v/>
      </c>
      <c r="R198" s="5" t="str">
        <f t="shared" si="35"/>
        <v/>
      </c>
      <c r="S198" s="9" t="str">
        <f t="shared" si="36"/>
        <v/>
      </c>
      <c r="T198" s="9" t="str">
        <f>IF(R198="","",IF(R198="BUY",E198-N198*操作パネル_MS2!$H$5,E198+N198*操作パネル_MS2!$H$5))</f>
        <v/>
      </c>
      <c r="U198" s="9" t="str">
        <f>IF(R198="","",IF(R198="BUY",E198+N198*操作パネル_MS2!$H$6,E198-N198*操作パネル_MS2!$H$6))</f>
        <v/>
      </c>
      <c r="V198" s="9" t="str">
        <f>IF(R198="","",IF(R198="BUY",E198+N198*操作パネル_MS2!$H$7,E198-N198*操作パネル_MS2!$H$7))</f>
        <v/>
      </c>
      <c r="W198" s="9" t="str">
        <f>IF(R198="","",IF(R198="BUY",E198+N198*操作パネル_MS2!$H$8,E198-N198*操作パネル_MS2!$H$8))</f>
        <v/>
      </c>
      <c r="X198" s="5" t="str">
        <f t="shared" si="37"/>
        <v/>
      </c>
      <c r="Y198" s="5" t="str">
        <f t="shared" ca="1" si="38"/>
        <v/>
      </c>
      <c r="Z198" s="5" t="str">
        <f>IF(OR(E198="",N198&lt;=0),"",IF(N198&gt;E198*操作パネル_MS2!$H$4,"VOL-HIGH","VOL-NORMAL"))</f>
        <v/>
      </c>
      <c r="AA198" s="5" t="str">
        <f t="shared" si="39"/>
        <v/>
      </c>
      <c r="AB198" s="5" t="str">
        <f t="shared" si="40"/>
        <v/>
      </c>
      <c r="AC198" s="30" t="str">
        <f>IF(C198="","",_xll.RssMarket(C198&amp;"","売買代金"))</f>
        <v/>
      </c>
      <c r="AD198" s="31">
        <f>IFERROR(INDEX(ATRHIST_MS2!$H:$H,MATCH(C198,ATRHIST_MS2!$A:$A,0)),0)</f>
        <v>0</v>
      </c>
    </row>
    <row r="199" spans="1:30" ht="25.95" customHeight="1">
      <c r="A199" s="5" t="str">
        <f t="shared" si="32"/>
        <v/>
      </c>
      <c r="B199" s="6" t="str">
        <f>IF(StockList_MS2!A198="","",HYPERLINK("https://kabutan.jp/stock/?code="&amp;StockList_MS2!A198,"株探"))</f>
        <v/>
      </c>
      <c r="C199" s="5" t="str">
        <f>IF(StockList_MS2!A198="","",StockList_MS2!A198)</f>
        <v/>
      </c>
      <c r="D199" s="7" t="str">
        <f>IF(StockList_MS2!A198="","",StockList_MS2!B198)</f>
        <v/>
      </c>
      <c r="E199" s="8"/>
      <c r="F199" s="8"/>
      <c r="G199" s="8"/>
      <c r="H199" s="8"/>
      <c r="I199" s="19"/>
      <c r="J199" s="8"/>
      <c r="K199" s="8"/>
      <c r="L199" s="8"/>
      <c r="M199" s="5" t="str">
        <f t="shared" si="31"/>
        <v/>
      </c>
      <c r="N199" s="9" t="str">
        <f>IF(OR(E199="",F199="",G199=""),"",IF(AD199&gt;0,AD199,(F199-G199)/SQRT(操作パネル_MS2!$H$12)*操作パネル_MS2!$H$10))</f>
        <v/>
      </c>
      <c r="O199" s="5" t="str">
        <f>IF(OR(E199="",AC199=""),"",IF(AC199&gt;=操作パネル_MS2!$H$3,"VOL-OK","VOL-NG"))</f>
        <v/>
      </c>
      <c r="P199" s="5" t="str">
        <f t="shared" si="33"/>
        <v/>
      </c>
      <c r="Q199" s="5" t="str">
        <f t="shared" si="34"/>
        <v/>
      </c>
      <c r="R199" s="5" t="str">
        <f t="shared" si="35"/>
        <v/>
      </c>
      <c r="S199" s="9" t="str">
        <f t="shared" si="36"/>
        <v/>
      </c>
      <c r="T199" s="9" t="str">
        <f>IF(R199="","",IF(R199="BUY",E199-N199*操作パネル_MS2!$H$5,E199+N199*操作パネル_MS2!$H$5))</f>
        <v/>
      </c>
      <c r="U199" s="9" t="str">
        <f>IF(R199="","",IF(R199="BUY",E199+N199*操作パネル_MS2!$H$6,E199-N199*操作パネル_MS2!$H$6))</f>
        <v/>
      </c>
      <c r="V199" s="9" t="str">
        <f>IF(R199="","",IF(R199="BUY",E199+N199*操作パネル_MS2!$H$7,E199-N199*操作パネル_MS2!$H$7))</f>
        <v/>
      </c>
      <c r="W199" s="9" t="str">
        <f>IF(R199="","",IF(R199="BUY",E199+N199*操作パネル_MS2!$H$8,E199-N199*操作パネル_MS2!$H$8))</f>
        <v/>
      </c>
      <c r="X199" s="5" t="str">
        <f t="shared" si="37"/>
        <v/>
      </c>
      <c r="Y199" s="5" t="str">
        <f t="shared" ca="1" si="38"/>
        <v/>
      </c>
      <c r="Z199" s="5" t="str">
        <f>IF(OR(E199="",N199&lt;=0),"",IF(N199&gt;E199*操作パネル_MS2!$H$4,"VOL-HIGH","VOL-NORMAL"))</f>
        <v/>
      </c>
      <c r="AA199" s="5" t="str">
        <f t="shared" si="39"/>
        <v/>
      </c>
      <c r="AB199" s="5" t="str">
        <f t="shared" si="40"/>
        <v/>
      </c>
      <c r="AC199" s="30" t="str">
        <f>IF(C199="","",_xll.RssMarket(C199&amp;"","売買代金"))</f>
        <v/>
      </c>
      <c r="AD199" s="31">
        <f>IFERROR(INDEX(ATRHIST_MS2!$H:$H,MATCH(C199,ATRHIST_MS2!$A:$A,0)),0)</f>
        <v>0</v>
      </c>
    </row>
    <row r="200" spans="1:30" ht="25.95" customHeight="1">
      <c r="A200" s="10" t="str">
        <f t="shared" si="32"/>
        <v/>
      </c>
      <c r="B200" s="11" t="str">
        <f>IF(StockList_MS2!A199="","",HYPERLINK("https://kabutan.jp/stock/?code="&amp;StockList_MS2!A199,"株探"))</f>
        <v/>
      </c>
      <c r="C200" s="10" t="str">
        <f>IF(StockList_MS2!A199="","",StockList_MS2!A199)</f>
        <v/>
      </c>
      <c r="D200" s="12" t="str">
        <f>IF(StockList_MS2!A199="","",StockList_MS2!B199)</f>
        <v/>
      </c>
      <c r="E200" s="13"/>
      <c r="F200" s="13"/>
      <c r="G200" s="13"/>
      <c r="H200" s="13"/>
      <c r="I200" s="20"/>
      <c r="J200" s="13"/>
      <c r="K200" s="13"/>
      <c r="L200" s="13"/>
      <c r="M200" s="5" t="str">
        <f t="shared" si="31"/>
        <v/>
      </c>
      <c r="N200" s="9" t="str">
        <f>IF(OR(E200="",F200="",G200=""),"",IF(AD200&gt;0,AD200,(F200-G200)/SQRT(操作パネル_MS2!$H$12)*操作パネル_MS2!$H$10))</f>
        <v/>
      </c>
      <c r="O200" s="5" t="str">
        <f>IF(OR(E200="",AC200=""),"",IF(AC200&gt;=操作パネル_MS2!$H$3,"VOL-OK","VOL-NG"))</f>
        <v/>
      </c>
      <c r="P200" s="5" t="str">
        <f t="shared" si="33"/>
        <v/>
      </c>
      <c r="Q200" s="5" t="str">
        <f t="shared" si="34"/>
        <v/>
      </c>
      <c r="R200" s="5" t="str">
        <f t="shared" si="35"/>
        <v/>
      </c>
      <c r="S200" s="9" t="str">
        <f t="shared" si="36"/>
        <v/>
      </c>
      <c r="T200" s="9" t="str">
        <f>IF(R200="","",IF(R200="BUY",E200-N200*操作パネル_MS2!$H$5,E200+N200*操作パネル_MS2!$H$5))</f>
        <v/>
      </c>
      <c r="U200" s="9" t="str">
        <f>IF(R200="","",IF(R200="BUY",E200+N200*操作パネル_MS2!$H$6,E200-N200*操作パネル_MS2!$H$6))</f>
        <v/>
      </c>
      <c r="V200" s="9" t="str">
        <f>IF(R200="","",IF(R200="BUY",E200+N200*操作パネル_MS2!$H$7,E200-N200*操作パネル_MS2!$H$7))</f>
        <v/>
      </c>
      <c r="W200" s="9" t="str">
        <f>IF(R200="","",IF(R200="BUY",E200+N200*操作パネル_MS2!$H$8,E200-N200*操作パネル_MS2!$H$8))</f>
        <v/>
      </c>
      <c r="X200" s="5" t="str">
        <f t="shared" si="37"/>
        <v/>
      </c>
      <c r="Y200" s="5" t="str">
        <f t="shared" ca="1" si="38"/>
        <v/>
      </c>
      <c r="Z200" s="5" t="str">
        <f>IF(OR(E200="",N200&lt;=0),"",IF(N200&gt;E200*操作パネル_MS2!$H$4,"VOL-HIGH","VOL-NORMAL"))</f>
        <v/>
      </c>
      <c r="AA200" s="5" t="str">
        <f t="shared" si="39"/>
        <v/>
      </c>
      <c r="AB200" s="5" t="str">
        <f t="shared" si="40"/>
        <v/>
      </c>
      <c r="AC200" s="30" t="str">
        <f>IF(C200="","",_xll.RssMarket(C200&amp;"","売買代金"))</f>
        <v/>
      </c>
      <c r="AD200" s="31">
        <f>IFERROR(INDEX(ATRHIST_MS2!$H:$H,MATCH(C200,ATRHIST_MS2!$A:$A,0)),0)</f>
        <v>0</v>
      </c>
    </row>
    <row r="201" spans="1:30" ht="25.95" customHeight="1">
      <c r="A201" s="5" t="str">
        <f t="shared" si="32"/>
        <v/>
      </c>
      <c r="B201" s="6" t="str">
        <f>IF(StockList_MS2!A200="","",HYPERLINK("https://kabutan.jp/stock/?code="&amp;StockList_MS2!A200,"株探"))</f>
        <v/>
      </c>
      <c r="C201" s="5" t="str">
        <f>IF(StockList_MS2!A200="","",StockList_MS2!A200)</f>
        <v/>
      </c>
      <c r="D201" s="7" t="str">
        <f>IF(StockList_MS2!A200="","",StockList_MS2!B200)</f>
        <v/>
      </c>
      <c r="E201" s="8"/>
      <c r="F201" s="8"/>
      <c r="G201" s="8"/>
      <c r="H201" s="8"/>
      <c r="I201" s="19"/>
      <c r="J201" s="8"/>
      <c r="K201" s="8"/>
      <c r="L201" s="8"/>
      <c r="M201" s="5" t="str">
        <f t="shared" si="31"/>
        <v/>
      </c>
      <c r="N201" s="9" t="str">
        <f>IF(OR(E201="",F201="",G201=""),"",IF(AD201&gt;0,AD201,(F201-G201)/SQRT(操作パネル_MS2!$H$12)*操作パネル_MS2!$H$10))</f>
        <v/>
      </c>
      <c r="O201" s="5" t="str">
        <f>IF(OR(E201="",AC201=""),"",IF(AC201&gt;=操作パネル_MS2!$H$3,"VOL-OK","VOL-NG"))</f>
        <v/>
      </c>
      <c r="P201" s="5" t="str">
        <f t="shared" si="33"/>
        <v/>
      </c>
      <c r="Q201" s="5" t="str">
        <f t="shared" si="34"/>
        <v/>
      </c>
      <c r="R201" s="5" t="str">
        <f t="shared" si="35"/>
        <v/>
      </c>
      <c r="S201" s="9" t="str">
        <f t="shared" si="36"/>
        <v/>
      </c>
      <c r="T201" s="9" t="str">
        <f>IF(R201="","",IF(R201="BUY",E201-N201*操作パネル_MS2!$H$5,E201+N201*操作パネル_MS2!$H$5))</f>
        <v/>
      </c>
      <c r="U201" s="9" t="str">
        <f>IF(R201="","",IF(R201="BUY",E201+N201*操作パネル_MS2!$H$6,E201-N201*操作パネル_MS2!$H$6))</f>
        <v/>
      </c>
      <c r="V201" s="9" t="str">
        <f>IF(R201="","",IF(R201="BUY",E201+N201*操作パネル_MS2!$H$7,E201-N201*操作パネル_MS2!$H$7))</f>
        <v/>
      </c>
      <c r="W201" s="9" t="str">
        <f>IF(R201="","",IF(R201="BUY",E201+N201*操作パネル_MS2!$H$8,E201-N201*操作パネル_MS2!$H$8))</f>
        <v/>
      </c>
      <c r="X201" s="5" t="str">
        <f t="shared" si="37"/>
        <v/>
      </c>
      <c r="Y201" s="5" t="str">
        <f t="shared" ca="1" si="38"/>
        <v/>
      </c>
      <c r="Z201" s="5" t="str">
        <f>IF(OR(E201="",N201&lt;=0),"",IF(N201&gt;E201*操作パネル_MS2!$H$4,"VOL-HIGH","VOL-NORMAL"))</f>
        <v/>
      </c>
      <c r="AA201" s="5" t="str">
        <f t="shared" si="39"/>
        <v/>
      </c>
      <c r="AB201" s="5" t="str">
        <f t="shared" si="40"/>
        <v/>
      </c>
      <c r="AC201" s="30" t="str">
        <f>IF(C201="","",_xll.RssMarket(C201&amp;"","売買代金"))</f>
        <v/>
      </c>
      <c r="AD201" s="31">
        <f>IFERROR(INDEX(ATRHIST_MS2!$H:$H,MATCH(C201,ATRHIST_MS2!$A:$A,0)),0)</f>
        <v>0</v>
      </c>
    </row>
    <row r="202" spans="1:30" ht="25.95" customHeight="1">
      <c r="A202" s="10" t="str">
        <f t="shared" si="32"/>
        <v/>
      </c>
      <c r="B202" s="11" t="str">
        <f>IF(StockList_MS2!A201="","",HYPERLINK("https://kabutan.jp/stock/?code="&amp;StockList_MS2!A201,"株探"))</f>
        <v/>
      </c>
      <c r="C202" s="10" t="str">
        <f>IF(StockList_MS2!A201="","",StockList_MS2!A201)</f>
        <v/>
      </c>
      <c r="D202" s="12" t="str">
        <f>IF(StockList_MS2!A201="","",StockList_MS2!B201)</f>
        <v/>
      </c>
      <c r="E202" s="13"/>
      <c r="F202" s="13"/>
      <c r="G202" s="13"/>
      <c r="H202" s="13"/>
      <c r="I202" s="20"/>
      <c r="J202" s="13"/>
      <c r="K202" s="13"/>
      <c r="L202" s="13"/>
      <c r="M202" s="5" t="str">
        <f t="shared" si="31"/>
        <v/>
      </c>
      <c r="N202" s="9" t="str">
        <f>IF(OR(E202="",F202="",G202=""),"",IF(AD202&gt;0,AD202,(F202-G202)/SQRT(操作パネル_MS2!$H$12)*操作パネル_MS2!$H$10))</f>
        <v/>
      </c>
      <c r="O202" s="5" t="str">
        <f>IF(OR(E202="",AC202=""),"",IF(AC202&gt;=操作パネル_MS2!$H$3,"VOL-OK","VOL-NG"))</f>
        <v/>
      </c>
      <c r="P202" s="5" t="str">
        <f t="shared" si="33"/>
        <v/>
      </c>
      <c r="Q202" s="5" t="str">
        <f t="shared" si="34"/>
        <v/>
      </c>
      <c r="R202" s="5" t="str">
        <f t="shared" si="35"/>
        <v/>
      </c>
      <c r="S202" s="9" t="str">
        <f t="shared" si="36"/>
        <v/>
      </c>
      <c r="T202" s="9" t="str">
        <f>IF(R202="","",IF(R202="BUY",E202-N202*操作パネル_MS2!$H$5,E202+N202*操作パネル_MS2!$H$5))</f>
        <v/>
      </c>
      <c r="U202" s="9" t="str">
        <f>IF(R202="","",IF(R202="BUY",E202+N202*操作パネル_MS2!$H$6,E202-N202*操作パネル_MS2!$H$6))</f>
        <v/>
      </c>
      <c r="V202" s="9" t="str">
        <f>IF(R202="","",IF(R202="BUY",E202+N202*操作パネル_MS2!$H$7,E202-N202*操作パネル_MS2!$H$7))</f>
        <v/>
      </c>
      <c r="W202" s="9" t="str">
        <f>IF(R202="","",IF(R202="BUY",E202+N202*操作パネル_MS2!$H$8,E202-N202*操作パネル_MS2!$H$8))</f>
        <v/>
      </c>
      <c r="X202" s="5" t="str">
        <f t="shared" si="37"/>
        <v/>
      </c>
      <c r="Y202" s="5" t="str">
        <f t="shared" ca="1" si="38"/>
        <v/>
      </c>
      <c r="Z202" s="5" t="str">
        <f>IF(OR(E202="",N202&lt;=0),"",IF(N202&gt;E202*操作パネル_MS2!$H$4,"VOL-HIGH","VOL-NORMAL"))</f>
        <v/>
      </c>
      <c r="AA202" s="5" t="str">
        <f t="shared" si="39"/>
        <v/>
      </c>
      <c r="AB202" s="5" t="str">
        <f t="shared" si="40"/>
        <v/>
      </c>
      <c r="AC202" s="30" t="str">
        <f>IF(C202="","",_xll.RssMarket(C202&amp;"","売買代金"))</f>
        <v/>
      </c>
      <c r="AD202" s="31">
        <f>IFERROR(INDEX(ATRHIST_MS2!$H:$H,MATCH(C202,ATRHIST_MS2!$A:$A,0)),0)</f>
        <v>0</v>
      </c>
    </row>
    <row r="203" spans="1:30" ht="25.95" customHeight="1">
      <c r="A203" s="5" t="str">
        <f t="shared" si="32"/>
        <v/>
      </c>
      <c r="B203" s="6" t="str">
        <f>IF(StockList_MS2!A202="","",HYPERLINK("https://kabutan.jp/stock/?code="&amp;StockList_MS2!A202,"株探"))</f>
        <v/>
      </c>
      <c r="C203" s="5" t="str">
        <f>IF(StockList_MS2!A202="","",StockList_MS2!A202)</f>
        <v/>
      </c>
      <c r="D203" s="7" t="str">
        <f>IF(StockList_MS2!A202="","",StockList_MS2!B202)</f>
        <v/>
      </c>
      <c r="E203" s="8"/>
      <c r="F203" s="8"/>
      <c r="G203" s="8"/>
      <c r="H203" s="8"/>
      <c r="I203" s="19"/>
      <c r="J203" s="8"/>
      <c r="K203" s="8"/>
      <c r="L203" s="8"/>
      <c r="M203" s="5" t="str">
        <f t="shared" si="31"/>
        <v/>
      </c>
      <c r="N203" s="9" t="str">
        <f>IF(OR(E203="",F203="",G203=""),"",IF(AD203&gt;0,AD203,(F203-G203)/SQRT(操作パネル_MS2!$H$12)*操作パネル_MS2!$H$10))</f>
        <v/>
      </c>
      <c r="O203" s="5" t="str">
        <f>IF(OR(E203="",AC203=""),"",IF(AC203&gt;=操作パネル_MS2!$H$3,"VOL-OK","VOL-NG"))</f>
        <v/>
      </c>
      <c r="P203" s="5" t="str">
        <f t="shared" si="33"/>
        <v/>
      </c>
      <c r="Q203" s="5" t="str">
        <f t="shared" si="34"/>
        <v/>
      </c>
      <c r="R203" s="5" t="str">
        <f t="shared" si="35"/>
        <v/>
      </c>
      <c r="S203" s="9" t="str">
        <f t="shared" si="36"/>
        <v/>
      </c>
      <c r="T203" s="9" t="str">
        <f>IF(R203="","",IF(R203="BUY",E203-N203*操作パネル_MS2!$H$5,E203+N203*操作パネル_MS2!$H$5))</f>
        <v/>
      </c>
      <c r="U203" s="9" t="str">
        <f>IF(R203="","",IF(R203="BUY",E203+N203*操作パネル_MS2!$H$6,E203-N203*操作パネル_MS2!$H$6))</f>
        <v/>
      </c>
      <c r="V203" s="9" t="str">
        <f>IF(R203="","",IF(R203="BUY",E203+N203*操作パネル_MS2!$H$7,E203-N203*操作パネル_MS2!$H$7))</f>
        <v/>
      </c>
      <c r="W203" s="9" t="str">
        <f>IF(R203="","",IF(R203="BUY",E203+N203*操作パネル_MS2!$H$8,E203-N203*操作パネル_MS2!$H$8))</f>
        <v/>
      </c>
      <c r="X203" s="5" t="str">
        <f t="shared" si="37"/>
        <v/>
      </c>
      <c r="Y203" s="5" t="str">
        <f t="shared" ca="1" si="38"/>
        <v/>
      </c>
      <c r="Z203" s="5" t="str">
        <f>IF(OR(E203="",N203&lt;=0),"",IF(N203&gt;E203*操作パネル_MS2!$H$4,"VOL-HIGH","VOL-NORMAL"))</f>
        <v/>
      </c>
      <c r="AA203" s="5" t="str">
        <f t="shared" si="39"/>
        <v/>
      </c>
      <c r="AB203" s="5" t="str">
        <f t="shared" si="40"/>
        <v/>
      </c>
      <c r="AC203" s="30" t="str">
        <f>IF(C203="","",_xll.RssMarket(C203&amp;"","売買代金"))</f>
        <v/>
      </c>
      <c r="AD203" s="31">
        <f>IFERROR(INDEX(ATRHIST_MS2!$H:$H,MATCH(C203,ATRHIST_MS2!$A:$A,0)),0)</f>
        <v>0</v>
      </c>
    </row>
    <row r="204" spans="1:30" ht="25.95" customHeight="1">
      <c r="A204" s="10" t="str">
        <f t="shared" si="32"/>
        <v/>
      </c>
      <c r="B204" s="11" t="str">
        <f>IF(StockList_MS2!A203="","",HYPERLINK("https://kabutan.jp/stock/?code="&amp;StockList_MS2!A203,"株探"))</f>
        <v/>
      </c>
      <c r="C204" s="10" t="str">
        <f>IF(StockList_MS2!A203="","",StockList_MS2!A203)</f>
        <v/>
      </c>
      <c r="D204" s="12" t="str">
        <f>IF(StockList_MS2!A203="","",StockList_MS2!B203)</f>
        <v/>
      </c>
      <c r="E204" s="13"/>
      <c r="F204" s="13"/>
      <c r="G204" s="13"/>
      <c r="H204" s="13"/>
      <c r="I204" s="20"/>
      <c r="J204" s="13"/>
      <c r="K204" s="13"/>
      <c r="L204" s="13"/>
      <c r="M204" s="5" t="str">
        <f t="shared" si="31"/>
        <v/>
      </c>
      <c r="N204" s="9" t="str">
        <f>IF(OR(E204="",F204="",G204=""),"",IF(AD204&gt;0,AD204,(F204-G204)/SQRT(操作パネル_MS2!$H$12)*操作パネル_MS2!$H$10))</f>
        <v/>
      </c>
      <c r="O204" s="5" t="str">
        <f>IF(OR(E204="",AC204=""),"",IF(AC204&gt;=操作パネル_MS2!$H$3,"VOL-OK","VOL-NG"))</f>
        <v/>
      </c>
      <c r="P204" s="5" t="str">
        <f t="shared" si="33"/>
        <v/>
      </c>
      <c r="Q204" s="5" t="str">
        <f t="shared" si="34"/>
        <v/>
      </c>
      <c r="R204" s="5" t="str">
        <f t="shared" si="35"/>
        <v/>
      </c>
      <c r="S204" s="9" t="str">
        <f t="shared" si="36"/>
        <v/>
      </c>
      <c r="T204" s="9" t="str">
        <f>IF(R204="","",IF(R204="BUY",E204-N204*操作パネル_MS2!$H$5,E204+N204*操作パネル_MS2!$H$5))</f>
        <v/>
      </c>
      <c r="U204" s="9" t="str">
        <f>IF(R204="","",IF(R204="BUY",E204+N204*操作パネル_MS2!$H$6,E204-N204*操作パネル_MS2!$H$6))</f>
        <v/>
      </c>
      <c r="V204" s="9" t="str">
        <f>IF(R204="","",IF(R204="BUY",E204+N204*操作パネル_MS2!$H$7,E204-N204*操作パネル_MS2!$H$7))</f>
        <v/>
      </c>
      <c r="W204" s="9" t="str">
        <f>IF(R204="","",IF(R204="BUY",E204+N204*操作パネル_MS2!$H$8,E204-N204*操作パネル_MS2!$H$8))</f>
        <v/>
      </c>
      <c r="X204" s="5" t="str">
        <f t="shared" si="37"/>
        <v/>
      </c>
      <c r="Y204" s="5" t="str">
        <f t="shared" ca="1" si="38"/>
        <v/>
      </c>
      <c r="Z204" s="5" t="str">
        <f>IF(OR(E204="",N204&lt;=0),"",IF(N204&gt;E204*操作パネル_MS2!$H$4,"VOL-HIGH","VOL-NORMAL"))</f>
        <v/>
      </c>
      <c r="AA204" s="5" t="str">
        <f t="shared" si="39"/>
        <v/>
      </c>
      <c r="AB204" s="5" t="str">
        <f t="shared" si="40"/>
        <v/>
      </c>
      <c r="AC204" s="30" t="str">
        <f>IF(C204="","",_xll.RssMarket(C204&amp;"","売買代金"))</f>
        <v/>
      </c>
      <c r="AD204" s="31">
        <f>IFERROR(INDEX(ATRHIST_MS2!$H:$H,MATCH(C204,ATRHIST_MS2!$A:$A,0)),0)</f>
        <v>0</v>
      </c>
    </row>
    <row r="205" spans="1:30" ht="25.95" customHeight="1">
      <c r="A205" s="5" t="str">
        <f t="shared" si="32"/>
        <v/>
      </c>
      <c r="B205" s="6" t="str">
        <f>IF(StockList_MS2!A204="","",HYPERLINK("https://kabutan.jp/stock/?code="&amp;StockList_MS2!A204,"株探"))</f>
        <v/>
      </c>
      <c r="C205" s="5" t="str">
        <f>IF(StockList_MS2!A204="","",StockList_MS2!A204)</f>
        <v/>
      </c>
      <c r="D205" s="7" t="str">
        <f>IF(StockList_MS2!A204="","",StockList_MS2!B204)</f>
        <v/>
      </c>
      <c r="E205" s="8"/>
      <c r="F205" s="8"/>
      <c r="G205" s="8"/>
      <c r="H205" s="8"/>
      <c r="I205" s="19"/>
      <c r="J205" s="8"/>
      <c r="K205" s="8"/>
      <c r="L205" s="8"/>
      <c r="M205" s="5" t="str">
        <f t="shared" si="31"/>
        <v/>
      </c>
      <c r="N205" s="9" t="str">
        <f>IF(OR(E205="",F205="",G205=""),"",IF(AD205&gt;0,AD205,(F205-G205)/SQRT(操作パネル_MS2!$H$12)*操作パネル_MS2!$H$10))</f>
        <v/>
      </c>
      <c r="O205" s="5" t="str">
        <f>IF(OR(E205="",AC205=""),"",IF(AC205&gt;=操作パネル_MS2!$H$3,"VOL-OK","VOL-NG"))</f>
        <v/>
      </c>
      <c r="P205" s="5" t="str">
        <f t="shared" si="33"/>
        <v/>
      </c>
      <c r="Q205" s="5" t="str">
        <f t="shared" si="34"/>
        <v/>
      </c>
      <c r="R205" s="5" t="str">
        <f t="shared" si="35"/>
        <v/>
      </c>
      <c r="S205" s="9" t="str">
        <f t="shared" si="36"/>
        <v/>
      </c>
      <c r="T205" s="9" t="str">
        <f>IF(R205="","",IF(R205="BUY",E205-N205*操作パネル_MS2!$H$5,E205+N205*操作パネル_MS2!$H$5))</f>
        <v/>
      </c>
      <c r="U205" s="9" t="str">
        <f>IF(R205="","",IF(R205="BUY",E205+N205*操作パネル_MS2!$H$6,E205-N205*操作パネル_MS2!$H$6))</f>
        <v/>
      </c>
      <c r="V205" s="9" t="str">
        <f>IF(R205="","",IF(R205="BUY",E205+N205*操作パネル_MS2!$H$7,E205-N205*操作パネル_MS2!$H$7))</f>
        <v/>
      </c>
      <c r="W205" s="9" t="str">
        <f>IF(R205="","",IF(R205="BUY",E205+N205*操作パネル_MS2!$H$8,E205-N205*操作パネル_MS2!$H$8))</f>
        <v/>
      </c>
      <c r="X205" s="5" t="str">
        <f t="shared" si="37"/>
        <v/>
      </c>
      <c r="Y205" s="5" t="str">
        <f t="shared" ca="1" si="38"/>
        <v/>
      </c>
      <c r="Z205" s="5" t="str">
        <f>IF(OR(E205="",N205&lt;=0),"",IF(N205&gt;E205*操作パネル_MS2!$H$4,"VOL-HIGH","VOL-NORMAL"))</f>
        <v/>
      </c>
      <c r="AA205" s="5" t="str">
        <f t="shared" si="39"/>
        <v/>
      </c>
      <c r="AB205" s="5" t="str">
        <f t="shared" si="40"/>
        <v/>
      </c>
      <c r="AC205" s="30" t="str">
        <f>IF(C205="","",_xll.RssMarket(C205&amp;"","売買代金"))</f>
        <v/>
      </c>
      <c r="AD205" s="31">
        <f>IFERROR(INDEX(ATRHIST_MS2!$H:$H,MATCH(C205,ATRHIST_MS2!$A:$A,0)),0)</f>
        <v>0</v>
      </c>
    </row>
    <row r="206" spans="1:30" ht="25.95" customHeight="1">
      <c r="A206" s="10" t="str">
        <f t="shared" si="32"/>
        <v/>
      </c>
      <c r="B206" s="11" t="str">
        <f>IF(StockList_MS2!A205="","",HYPERLINK("https://kabutan.jp/stock/?code="&amp;StockList_MS2!A205,"株探"))</f>
        <v/>
      </c>
      <c r="C206" s="10" t="str">
        <f>IF(StockList_MS2!A205="","",StockList_MS2!A205)</f>
        <v/>
      </c>
      <c r="D206" s="12" t="str">
        <f>IF(StockList_MS2!A205="","",StockList_MS2!B205)</f>
        <v/>
      </c>
      <c r="E206" s="13"/>
      <c r="F206" s="13"/>
      <c r="G206" s="13"/>
      <c r="H206" s="13"/>
      <c r="I206" s="20"/>
      <c r="J206" s="13"/>
      <c r="K206" s="13"/>
      <c r="L206" s="13"/>
      <c r="M206" s="5" t="str">
        <f t="shared" si="31"/>
        <v/>
      </c>
      <c r="N206" s="9" t="str">
        <f>IF(OR(E206="",F206="",G206=""),"",IF(AD206&gt;0,AD206,(F206-G206)/SQRT(操作パネル_MS2!$H$12)*操作パネル_MS2!$H$10))</f>
        <v/>
      </c>
      <c r="O206" s="5" t="str">
        <f>IF(OR(E206="",AC206=""),"",IF(AC206&gt;=操作パネル_MS2!$H$3,"VOL-OK","VOL-NG"))</f>
        <v/>
      </c>
      <c r="P206" s="5" t="str">
        <f t="shared" si="33"/>
        <v/>
      </c>
      <c r="Q206" s="5" t="str">
        <f t="shared" si="34"/>
        <v/>
      </c>
      <c r="R206" s="5" t="str">
        <f t="shared" si="35"/>
        <v/>
      </c>
      <c r="S206" s="9" t="str">
        <f t="shared" si="36"/>
        <v/>
      </c>
      <c r="T206" s="9" t="str">
        <f>IF(R206="","",IF(R206="BUY",E206-N206*操作パネル_MS2!$H$5,E206+N206*操作パネル_MS2!$H$5))</f>
        <v/>
      </c>
      <c r="U206" s="9" t="str">
        <f>IF(R206="","",IF(R206="BUY",E206+N206*操作パネル_MS2!$H$6,E206-N206*操作パネル_MS2!$H$6))</f>
        <v/>
      </c>
      <c r="V206" s="9" t="str">
        <f>IF(R206="","",IF(R206="BUY",E206+N206*操作パネル_MS2!$H$7,E206-N206*操作パネル_MS2!$H$7))</f>
        <v/>
      </c>
      <c r="W206" s="9" t="str">
        <f>IF(R206="","",IF(R206="BUY",E206+N206*操作パネル_MS2!$H$8,E206-N206*操作パネル_MS2!$H$8))</f>
        <v/>
      </c>
      <c r="X206" s="5" t="str">
        <f t="shared" si="37"/>
        <v/>
      </c>
      <c r="Y206" s="5" t="str">
        <f t="shared" ca="1" si="38"/>
        <v/>
      </c>
      <c r="Z206" s="5" t="str">
        <f>IF(OR(E206="",N206&lt;=0),"",IF(N206&gt;E206*操作パネル_MS2!$H$4,"VOL-HIGH","VOL-NORMAL"))</f>
        <v/>
      </c>
      <c r="AA206" s="5" t="str">
        <f t="shared" si="39"/>
        <v/>
      </c>
      <c r="AB206" s="5" t="str">
        <f t="shared" si="40"/>
        <v/>
      </c>
      <c r="AC206" s="30" t="str">
        <f>IF(C206="","",_xll.RssMarket(C206&amp;"","売買代金"))</f>
        <v/>
      </c>
      <c r="AD206" s="31">
        <f>IFERROR(INDEX(ATRHIST_MS2!$H:$H,MATCH(C206,ATRHIST_MS2!$A:$A,0)),0)</f>
        <v>0</v>
      </c>
    </row>
    <row r="207" spans="1:30" ht="25.95" customHeight="1">
      <c r="A207" s="5" t="str">
        <f t="shared" si="32"/>
        <v/>
      </c>
      <c r="B207" s="6" t="str">
        <f>IF(StockList_MS2!A206="","",HYPERLINK("https://kabutan.jp/stock/?code="&amp;StockList_MS2!A206,"株探"))</f>
        <v/>
      </c>
      <c r="C207" s="5" t="str">
        <f>IF(StockList_MS2!A206="","",StockList_MS2!A206)</f>
        <v/>
      </c>
      <c r="D207" s="7" t="str">
        <f>IF(StockList_MS2!A206="","",StockList_MS2!B206)</f>
        <v/>
      </c>
      <c r="E207" s="8"/>
      <c r="F207" s="8"/>
      <c r="G207" s="8"/>
      <c r="H207" s="8"/>
      <c r="I207" s="19"/>
      <c r="J207" s="8"/>
      <c r="K207" s="8"/>
      <c r="L207" s="8"/>
      <c r="M207" s="5" t="str">
        <f t="shared" si="31"/>
        <v/>
      </c>
      <c r="N207" s="9" t="str">
        <f>IF(OR(E207="",F207="",G207=""),"",IF(AD207&gt;0,AD207,(F207-G207)/SQRT(操作パネル_MS2!$H$12)*操作パネル_MS2!$H$10))</f>
        <v/>
      </c>
      <c r="O207" s="5" t="str">
        <f>IF(OR(E207="",AC207=""),"",IF(AC207&gt;=操作パネル_MS2!$H$3,"VOL-OK","VOL-NG"))</f>
        <v/>
      </c>
      <c r="P207" s="5" t="str">
        <f t="shared" si="33"/>
        <v/>
      </c>
      <c r="Q207" s="5" t="str">
        <f t="shared" si="34"/>
        <v/>
      </c>
      <c r="R207" s="5" t="str">
        <f t="shared" si="35"/>
        <v/>
      </c>
      <c r="S207" s="9" t="str">
        <f t="shared" si="36"/>
        <v/>
      </c>
      <c r="T207" s="9" t="str">
        <f>IF(R207="","",IF(R207="BUY",E207-N207*操作パネル_MS2!$H$5,E207+N207*操作パネル_MS2!$H$5))</f>
        <v/>
      </c>
      <c r="U207" s="9" t="str">
        <f>IF(R207="","",IF(R207="BUY",E207+N207*操作パネル_MS2!$H$6,E207-N207*操作パネル_MS2!$H$6))</f>
        <v/>
      </c>
      <c r="V207" s="9" t="str">
        <f>IF(R207="","",IF(R207="BUY",E207+N207*操作パネル_MS2!$H$7,E207-N207*操作パネル_MS2!$H$7))</f>
        <v/>
      </c>
      <c r="W207" s="9" t="str">
        <f>IF(R207="","",IF(R207="BUY",E207+N207*操作パネル_MS2!$H$8,E207-N207*操作パネル_MS2!$H$8))</f>
        <v/>
      </c>
      <c r="X207" s="5" t="str">
        <f t="shared" si="37"/>
        <v/>
      </c>
      <c r="Y207" s="5" t="str">
        <f t="shared" ca="1" si="38"/>
        <v/>
      </c>
      <c r="Z207" s="5" t="str">
        <f>IF(OR(E207="",N207&lt;=0),"",IF(N207&gt;E207*操作パネル_MS2!$H$4,"VOL-HIGH","VOL-NORMAL"))</f>
        <v/>
      </c>
      <c r="AA207" s="5" t="str">
        <f t="shared" si="39"/>
        <v/>
      </c>
      <c r="AB207" s="5" t="str">
        <f t="shared" si="40"/>
        <v/>
      </c>
      <c r="AC207" s="30" t="str">
        <f>IF(C207="","",_xll.RssMarket(C207&amp;"","売買代金"))</f>
        <v/>
      </c>
      <c r="AD207" s="31">
        <f>IFERROR(INDEX(ATRHIST_MS2!$H:$H,MATCH(C207,ATRHIST_MS2!$A:$A,0)),0)</f>
        <v>0</v>
      </c>
    </row>
    <row r="208" spans="1:30" ht="25.95" customHeight="1">
      <c r="A208" s="10" t="str">
        <f t="shared" si="32"/>
        <v/>
      </c>
      <c r="B208" s="11" t="str">
        <f>IF(StockList_MS2!A207="","",HYPERLINK("https://kabutan.jp/stock/?code="&amp;StockList_MS2!A207,"株探"))</f>
        <v/>
      </c>
      <c r="C208" s="10" t="str">
        <f>IF(StockList_MS2!A207="","",StockList_MS2!A207)</f>
        <v/>
      </c>
      <c r="D208" s="12" t="str">
        <f>IF(StockList_MS2!A207="","",StockList_MS2!B207)</f>
        <v/>
      </c>
      <c r="E208" s="13"/>
      <c r="F208" s="13"/>
      <c r="G208" s="13"/>
      <c r="H208" s="13"/>
      <c r="I208" s="20"/>
      <c r="J208" s="13"/>
      <c r="K208" s="13"/>
      <c r="L208" s="13"/>
      <c r="M208" s="5" t="str">
        <f t="shared" si="31"/>
        <v/>
      </c>
      <c r="N208" s="9" t="str">
        <f>IF(OR(E208="",F208="",G208=""),"",IF(AD208&gt;0,AD208,(F208-G208)/SQRT(操作パネル_MS2!$H$12)*操作パネル_MS2!$H$10))</f>
        <v/>
      </c>
      <c r="O208" s="5" t="str">
        <f>IF(OR(E208="",AC208=""),"",IF(AC208&gt;=操作パネル_MS2!$H$3,"VOL-OK","VOL-NG"))</f>
        <v/>
      </c>
      <c r="P208" s="5" t="str">
        <f t="shared" si="33"/>
        <v/>
      </c>
      <c r="Q208" s="5" t="str">
        <f t="shared" si="34"/>
        <v/>
      </c>
      <c r="R208" s="5" t="str">
        <f t="shared" si="35"/>
        <v/>
      </c>
      <c r="S208" s="9" t="str">
        <f t="shared" si="36"/>
        <v/>
      </c>
      <c r="T208" s="9" t="str">
        <f>IF(R208="","",IF(R208="BUY",E208-N208*操作パネル_MS2!$H$5,E208+N208*操作パネル_MS2!$H$5))</f>
        <v/>
      </c>
      <c r="U208" s="9" t="str">
        <f>IF(R208="","",IF(R208="BUY",E208+N208*操作パネル_MS2!$H$6,E208-N208*操作パネル_MS2!$H$6))</f>
        <v/>
      </c>
      <c r="V208" s="9" t="str">
        <f>IF(R208="","",IF(R208="BUY",E208+N208*操作パネル_MS2!$H$7,E208-N208*操作パネル_MS2!$H$7))</f>
        <v/>
      </c>
      <c r="W208" s="9" t="str">
        <f>IF(R208="","",IF(R208="BUY",E208+N208*操作パネル_MS2!$H$8,E208-N208*操作パネル_MS2!$H$8))</f>
        <v/>
      </c>
      <c r="X208" s="5" t="str">
        <f t="shared" si="37"/>
        <v/>
      </c>
      <c r="Y208" s="5" t="str">
        <f t="shared" ca="1" si="38"/>
        <v/>
      </c>
      <c r="Z208" s="5" t="str">
        <f>IF(OR(E208="",N208&lt;=0),"",IF(N208&gt;E208*操作パネル_MS2!$H$4,"VOL-HIGH","VOL-NORMAL"))</f>
        <v/>
      </c>
      <c r="AA208" s="5" t="str">
        <f t="shared" si="39"/>
        <v/>
      </c>
      <c r="AB208" s="5" t="str">
        <f t="shared" si="40"/>
        <v/>
      </c>
      <c r="AC208" s="30" t="str">
        <f>IF(C208="","",_xll.RssMarket(C208&amp;"","売買代金"))</f>
        <v/>
      </c>
      <c r="AD208" s="31">
        <f>IFERROR(INDEX(ATRHIST_MS2!$H:$H,MATCH(C208,ATRHIST_MS2!$A:$A,0)),0)</f>
        <v>0</v>
      </c>
    </row>
    <row r="209" spans="1:30" ht="25.95" customHeight="1">
      <c r="A209" s="5" t="str">
        <f t="shared" si="32"/>
        <v/>
      </c>
      <c r="B209" s="6" t="str">
        <f>IF(StockList_MS2!A208="","",HYPERLINK("https://kabutan.jp/stock/?code="&amp;StockList_MS2!A208,"株探"))</f>
        <v/>
      </c>
      <c r="C209" s="5" t="str">
        <f>IF(StockList_MS2!A208="","",StockList_MS2!A208)</f>
        <v/>
      </c>
      <c r="D209" s="7" t="str">
        <f>IF(StockList_MS2!A208="","",StockList_MS2!B208)</f>
        <v/>
      </c>
      <c r="E209" s="8"/>
      <c r="F209" s="8"/>
      <c r="G209" s="8"/>
      <c r="H209" s="8"/>
      <c r="I209" s="19"/>
      <c r="J209" s="8"/>
      <c r="K209" s="8"/>
      <c r="L209" s="8"/>
      <c r="M209" s="5" t="str">
        <f t="shared" si="31"/>
        <v/>
      </c>
      <c r="N209" s="9" t="str">
        <f>IF(OR(E209="",F209="",G209=""),"",IF(AD209&gt;0,AD209,(F209-G209)/SQRT(操作パネル_MS2!$H$12)*操作パネル_MS2!$H$10))</f>
        <v/>
      </c>
      <c r="O209" s="5" t="str">
        <f>IF(OR(E209="",AC209=""),"",IF(AC209&gt;=操作パネル_MS2!$H$3,"VOL-OK","VOL-NG"))</f>
        <v/>
      </c>
      <c r="P209" s="5" t="str">
        <f t="shared" si="33"/>
        <v/>
      </c>
      <c r="Q209" s="5" t="str">
        <f t="shared" si="34"/>
        <v/>
      </c>
      <c r="R209" s="5" t="str">
        <f t="shared" si="35"/>
        <v/>
      </c>
      <c r="S209" s="9" t="str">
        <f t="shared" si="36"/>
        <v/>
      </c>
      <c r="T209" s="9" t="str">
        <f>IF(R209="","",IF(R209="BUY",E209-N209*操作パネル_MS2!$H$5,E209+N209*操作パネル_MS2!$H$5))</f>
        <v/>
      </c>
      <c r="U209" s="9" t="str">
        <f>IF(R209="","",IF(R209="BUY",E209+N209*操作パネル_MS2!$H$6,E209-N209*操作パネル_MS2!$H$6))</f>
        <v/>
      </c>
      <c r="V209" s="9" t="str">
        <f>IF(R209="","",IF(R209="BUY",E209+N209*操作パネル_MS2!$H$7,E209-N209*操作パネル_MS2!$H$7))</f>
        <v/>
      </c>
      <c r="W209" s="9" t="str">
        <f>IF(R209="","",IF(R209="BUY",E209+N209*操作パネル_MS2!$H$8,E209-N209*操作パネル_MS2!$H$8))</f>
        <v/>
      </c>
      <c r="X209" s="5" t="str">
        <f t="shared" si="37"/>
        <v/>
      </c>
      <c r="Y209" s="5" t="str">
        <f t="shared" ca="1" si="38"/>
        <v/>
      </c>
      <c r="Z209" s="5" t="str">
        <f>IF(OR(E209="",N209&lt;=0),"",IF(N209&gt;E209*操作パネル_MS2!$H$4,"VOL-HIGH","VOL-NORMAL"))</f>
        <v/>
      </c>
      <c r="AA209" s="5" t="str">
        <f t="shared" si="39"/>
        <v/>
      </c>
      <c r="AB209" s="5" t="str">
        <f t="shared" si="40"/>
        <v/>
      </c>
      <c r="AC209" s="30" t="str">
        <f>IF(C209="","",_xll.RssMarket(C209&amp;"","売買代金"))</f>
        <v/>
      </c>
      <c r="AD209" s="31">
        <f>IFERROR(INDEX(ATRHIST_MS2!$H:$H,MATCH(C209,ATRHIST_MS2!$A:$A,0)),0)</f>
        <v>0</v>
      </c>
    </row>
    <row r="210" spans="1:30" ht="25.95" customHeight="1">
      <c r="A210" s="10" t="str">
        <f t="shared" si="32"/>
        <v/>
      </c>
      <c r="B210" s="11" t="str">
        <f>IF(StockList_MS2!A209="","",HYPERLINK("https://kabutan.jp/stock/?code="&amp;StockList_MS2!A209,"株探"))</f>
        <v/>
      </c>
      <c r="C210" s="10" t="str">
        <f>IF(StockList_MS2!A209="","",StockList_MS2!A209)</f>
        <v/>
      </c>
      <c r="D210" s="12" t="str">
        <f>IF(StockList_MS2!A209="","",StockList_MS2!B209)</f>
        <v/>
      </c>
      <c r="E210" s="13"/>
      <c r="F210" s="13"/>
      <c r="G210" s="13"/>
      <c r="H210" s="13"/>
      <c r="I210" s="20"/>
      <c r="J210" s="13"/>
      <c r="K210" s="13"/>
      <c r="L210" s="13"/>
      <c r="M210" s="5" t="str">
        <f t="shared" si="31"/>
        <v/>
      </c>
      <c r="N210" s="9" t="str">
        <f>IF(OR(E210="",F210="",G210=""),"",IF(AD210&gt;0,AD210,(F210-G210)/SQRT(操作パネル_MS2!$H$12)*操作パネル_MS2!$H$10))</f>
        <v/>
      </c>
      <c r="O210" s="5" t="str">
        <f>IF(OR(E210="",AC210=""),"",IF(AC210&gt;=操作パネル_MS2!$H$3,"VOL-OK","VOL-NG"))</f>
        <v/>
      </c>
      <c r="P210" s="5" t="str">
        <f t="shared" si="33"/>
        <v/>
      </c>
      <c r="Q210" s="5" t="str">
        <f t="shared" si="34"/>
        <v/>
      </c>
      <c r="R210" s="5" t="str">
        <f t="shared" si="35"/>
        <v/>
      </c>
      <c r="S210" s="9" t="str">
        <f t="shared" si="36"/>
        <v/>
      </c>
      <c r="T210" s="9" t="str">
        <f>IF(R210="","",IF(R210="BUY",E210-N210*操作パネル_MS2!$H$5,E210+N210*操作パネル_MS2!$H$5))</f>
        <v/>
      </c>
      <c r="U210" s="9" t="str">
        <f>IF(R210="","",IF(R210="BUY",E210+N210*操作パネル_MS2!$H$6,E210-N210*操作パネル_MS2!$H$6))</f>
        <v/>
      </c>
      <c r="V210" s="9" t="str">
        <f>IF(R210="","",IF(R210="BUY",E210+N210*操作パネル_MS2!$H$7,E210-N210*操作パネル_MS2!$H$7))</f>
        <v/>
      </c>
      <c r="W210" s="9" t="str">
        <f>IF(R210="","",IF(R210="BUY",E210+N210*操作パネル_MS2!$H$8,E210-N210*操作パネル_MS2!$H$8))</f>
        <v/>
      </c>
      <c r="X210" s="5" t="str">
        <f t="shared" si="37"/>
        <v/>
      </c>
      <c r="Y210" s="5" t="str">
        <f t="shared" ca="1" si="38"/>
        <v/>
      </c>
      <c r="Z210" s="5" t="str">
        <f>IF(OR(E210="",N210&lt;=0),"",IF(N210&gt;E210*操作パネル_MS2!$H$4,"VOL-HIGH","VOL-NORMAL"))</f>
        <v/>
      </c>
      <c r="AA210" s="5" t="str">
        <f t="shared" si="39"/>
        <v/>
      </c>
      <c r="AB210" s="5" t="str">
        <f t="shared" si="40"/>
        <v/>
      </c>
      <c r="AC210" s="30" t="str">
        <f>IF(C210="","",_xll.RssMarket(C210&amp;"","売買代金"))</f>
        <v/>
      </c>
      <c r="AD210" s="31">
        <f>IFERROR(INDEX(ATRHIST_MS2!$H:$H,MATCH(C210,ATRHIST_MS2!$A:$A,0)),0)</f>
        <v>0</v>
      </c>
    </row>
    <row r="211" spans="1:30" ht="25.95" customHeight="1">
      <c r="A211" s="5" t="str">
        <f t="shared" si="32"/>
        <v/>
      </c>
      <c r="B211" s="6" t="str">
        <f>IF(StockList_MS2!A210="","",HYPERLINK("https://kabutan.jp/stock/?code="&amp;StockList_MS2!A210,"株探"))</f>
        <v/>
      </c>
      <c r="C211" s="5" t="str">
        <f>IF(StockList_MS2!A210="","",StockList_MS2!A210)</f>
        <v/>
      </c>
      <c r="D211" s="7" t="str">
        <f>IF(StockList_MS2!A210="","",StockList_MS2!B210)</f>
        <v/>
      </c>
      <c r="E211" s="8"/>
      <c r="F211" s="8"/>
      <c r="G211" s="8"/>
      <c r="H211" s="8"/>
      <c r="I211" s="19"/>
      <c r="J211" s="8"/>
      <c r="K211" s="8"/>
      <c r="L211" s="8"/>
      <c r="M211" s="5" t="str">
        <f t="shared" si="31"/>
        <v/>
      </c>
      <c r="N211" s="9" t="str">
        <f>IF(OR(E211="",F211="",G211=""),"",IF(AD211&gt;0,AD211,(F211-G211)/SQRT(操作パネル_MS2!$H$12)*操作パネル_MS2!$H$10))</f>
        <v/>
      </c>
      <c r="O211" s="5" t="str">
        <f>IF(OR(E211="",AC211=""),"",IF(AC211&gt;=操作パネル_MS2!$H$3,"VOL-OK","VOL-NG"))</f>
        <v/>
      </c>
      <c r="P211" s="5" t="str">
        <f t="shared" si="33"/>
        <v/>
      </c>
      <c r="Q211" s="5" t="str">
        <f t="shared" si="34"/>
        <v/>
      </c>
      <c r="R211" s="5" t="str">
        <f t="shared" si="35"/>
        <v/>
      </c>
      <c r="S211" s="9" t="str">
        <f t="shared" si="36"/>
        <v/>
      </c>
      <c r="T211" s="9" t="str">
        <f>IF(R211="","",IF(R211="BUY",E211-N211*操作パネル_MS2!$H$5,E211+N211*操作パネル_MS2!$H$5))</f>
        <v/>
      </c>
      <c r="U211" s="9" t="str">
        <f>IF(R211="","",IF(R211="BUY",E211+N211*操作パネル_MS2!$H$6,E211-N211*操作パネル_MS2!$H$6))</f>
        <v/>
      </c>
      <c r="V211" s="9" t="str">
        <f>IF(R211="","",IF(R211="BUY",E211+N211*操作パネル_MS2!$H$7,E211-N211*操作パネル_MS2!$H$7))</f>
        <v/>
      </c>
      <c r="W211" s="9" t="str">
        <f>IF(R211="","",IF(R211="BUY",E211+N211*操作パネル_MS2!$H$8,E211-N211*操作パネル_MS2!$H$8))</f>
        <v/>
      </c>
      <c r="X211" s="5" t="str">
        <f t="shared" si="37"/>
        <v/>
      </c>
      <c r="Y211" s="5" t="str">
        <f t="shared" ca="1" si="38"/>
        <v/>
      </c>
      <c r="Z211" s="5" t="str">
        <f>IF(OR(E211="",N211&lt;=0),"",IF(N211&gt;E211*操作パネル_MS2!$H$4,"VOL-HIGH","VOL-NORMAL"))</f>
        <v/>
      </c>
      <c r="AA211" s="5" t="str">
        <f t="shared" si="39"/>
        <v/>
      </c>
      <c r="AB211" s="5" t="str">
        <f t="shared" si="40"/>
        <v/>
      </c>
      <c r="AC211" s="30" t="str">
        <f>IF(C211="","",_xll.RssMarket(C211&amp;"","売買代金"))</f>
        <v/>
      </c>
      <c r="AD211" s="31">
        <f>IFERROR(INDEX(ATRHIST_MS2!$H:$H,MATCH(C211,ATRHIST_MS2!$A:$A,0)),0)</f>
        <v>0</v>
      </c>
    </row>
    <row r="212" spans="1:30" ht="25.95" customHeight="1">
      <c r="A212" s="10" t="str">
        <f t="shared" si="32"/>
        <v/>
      </c>
      <c r="B212" s="11" t="str">
        <f>IF(StockList_MS2!A211="","",HYPERLINK("https://kabutan.jp/stock/?code="&amp;StockList_MS2!A211,"株探"))</f>
        <v/>
      </c>
      <c r="C212" s="10" t="str">
        <f>IF(StockList_MS2!A211="","",StockList_MS2!A211)</f>
        <v/>
      </c>
      <c r="D212" s="12" t="str">
        <f>IF(StockList_MS2!A211="","",StockList_MS2!B211)</f>
        <v/>
      </c>
      <c r="E212" s="13"/>
      <c r="F212" s="13"/>
      <c r="G212" s="13"/>
      <c r="H212" s="13"/>
      <c r="I212" s="20"/>
      <c r="J212" s="13"/>
      <c r="K212" s="13"/>
      <c r="L212" s="13"/>
      <c r="M212" s="5" t="str">
        <f t="shared" si="31"/>
        <v/>
      </c>
      <c r="N212" s="9" t="str">
        <f>IF(OR(E212="",F212="",G212=""),"",IF(AD212&gt;0,AD212,(F212-G212)/SQRT(操作パネル_MS2!$H$12)*操作パネル_MS2!$H$10))</f>
        <v/>
      </c>
      <c r="O212" s="5" t="str">
        <f>IF(OR(E212="",AC212=""),"",IF(AC212&gt;=操作パネル_MS2!$H$3,"VOL-OK","VOL-NG"))</f>
        <v/>
      </c>
      <c r="P212" s="5" t="str">
        <f t="shared" si="33"/>
        <v/>
      </c>
      <c r="Q212" s="5" t="str">
        <f t="shared" si="34"/>
        <v/>
      </c>
      <c r="R212" s="5" t="str">
        <f t="shared" si="35"/>
        <v/>
      </c>
      <c r="S212" s="9" t="str">
        <f t="shared" si="36"/>
        <v/>
      </c>
      <c r="T212" s="9" t="str">
        <f>IF(R212="","",IF(R212="BUY",E212-N212*操作パネル_MS2!$H$5,E212+N212*操作パネル_MS2!$H$5))</f>
        <v/>
      </c>
      <c r="U212" s="9" t="str">
        <f>IF(R212="","",IF(R212="BUY",E212+N212*操作パネル_MS2!$H$6,E212-N212*操作パネル_MS2!$H$6))</f>
        <v/>
      </c>
      <c r="V212" s="9" t="str">
        <f>IF(R212="","",IF(R212="BUY",E212+N212*操作パネル_MS2!$H$7,E212-N212*操作パネル_MS2!$H$7))</f>
        <v/>
      </c>
      <c r="W212" s="9" t="str">
        <f>IF(R212="","",IF(R212="BUY",E212+N212*操作パネル_MS2!$H$8,E212-N212*操作パネル_MS2!$H$8))</f>
        <v/>
      </c>
      <c r="X212" s="5" t="str">
        <f t="shared" si="37"/>
        <v/>
      </c>
      <c r="Y212" s="5" t="str">
        <f t="shared" ca="1" si="38"/>
        <v/>
      </c>
      <c r="Z212" s="5" t="str">
        <f>IF(OR(E212="",N212&lt;=0),"",IF(N212&gt;E212*操作パネル_MS2!$H$4,"VOL-HIGH","VOL-NORMAL"))</f>
        <v/>
      </c>
      <c r="AA212" s="5" t="str">
        <f t="shared" si="39"/>
        <v/>
      </c>
      <c r="AB212" s="5" t="str">
        <f t="shared" si="40"/>
        <v/>
      </c>
      <c r="AC212" s="30" t="str">
        <f>IF(C212="","",_xll.RssMarket(C212&amp;"","売買代金"))</f>
        <v/>
      </c>
      <c r="AD212" s="31">
        <f>IFERROR(INDEX(ATRHIST_MS2!$H:$H,MATCH(C212,ATRHIST_MS2!$A:$A,0)),0)</f>
        <v>0</v>
      </c>
    </row>
    <row r="213" spans="1:30" ht="25.95" customHeight="1">
      <c r="A213" s="5" t="str">
        <f t="shared" si="32"/>
        <v/>
      </c>
      <c r="B213" s="6" t="str">
        <f>IF(StockList_MS2!A212="","",HYPERLINK("https://kabutan.jp/stock/?code="&amp;StockList_MS2!A212,"株探"))</f>
        <v/>
      </c>
      <c r="C213" s="5" t="str">
        <f>IF(StockList_MS2!A212="","",StockList_MS2!A212)</f>
        <v/>
      </c>
      <c r="D213" s="7" t="str">
        <f>IF(StockList_MS2!A212="","",StockList_MS2!B212)</f>
        <v/>
      </c>
      <c r="E213" s="8"/>
      <c r="F213" s="8"/>
      <c r="G213" s="8"/>
      <c r="H213" s="8"/>
      <c r="I213" s="19"/>
      <c r="J213" s="8"/>
      <c r="K213" s="8"/>
      <c r="L213" s="8"/>
      <c r="M213" s="5" t="str">
        <f t="shared" si="31"/>
        <v/>
      </c>
      <c r="N213" s="9" t="str">
        <f>IF(OR(E213="",F213="",G213=""),"",IF(AD213&gt;0,AD213,(F213-G213)/SQRT(操作パネル_MS2!$H$12)*操作パネル_MS2!$H$10))</f>
        <v/>
      </c>
      <c r="O213" s="5" t="str">
        <f>IF(OR(E213="",AC213=""),"",IF(AC213&gt;=操作パネル_MS2!$H$3,"VOL-OK","VOL-NG"))</f>
        <v/>
      </c>
      <c r="P213" s="5" t="str">
        <f t="shared" si="33"/>
        <v/>
      </c>
      <c r="Q213" s="5" t="str">
        <f t="shared" si="34"/>
        <v/>
      </c>
      <c r="R213" s="5" t="str">
        <f t="shared" si="35"/>
        <v/>
      </c>
      <c r="S213" s="9" t="str">
        <f t="shared" si="36"/>
        <v/>
      </c>
      <c r="T213" s="9" t="str">
        <f>IF(R213="","",IF(R213="BUY",E213-N213*操作パネル_MS2!$H$5,E213+N213*操作パネル_MS2!$H$5))</f>
        <v/>
      </c>
      <c r="U213" s="9" t="str">
        <f>IF(R213="","",IF(R213="BUY",E213+N213*操作パネル_MS2!$H$6,E213-N213*操作パネル_MS2!$H$6))</f>
        <v/>
      </c>
      <c r="V213" s="9" t="str">
        <f>IF(R213="","",IF(R213="BUY",E213+N213*操作パネル_MS2!$H$7,E213-N213*操作パネル_MS2!$H$7))</f>
        <v/>
      </c>
      <c r="W213" s="9" t="str">
        <f>IF(R213="","",IF(R213="BUY",E213+N213*操作パネル_MS2!$H$8,E213-N213*操作パネル_MS2!$H$8))</f>
        <v/>
      </c>
      <c r="X213" s="5" t="str">
        <f t="shared" si="37"/>
        <v/>
      </c>
      <c r="Y213" s="5" t="str">
        <f t="shared" ca="1" si="38"/>
        <v/>
      </c>
      <c r="Z213" s="5" t="str">
        <f>IF(OR(E213="",N213&lt;=0),"",IF(N213&gt;E213*操作パネル_MS2!$H$4,"VOL-HIGH","VOL-NORMAL"))</f>
        <v/>
      </c>
      <c r="AA213" s="5" t="str">
        <f t="shared" si="39"/>
        <v/>
      </c>
      <c r="AB213" s="5" t="str">
        <f t="shared" si="40"/>
        <v/>
      </c>
      <c r="AC213" s="30" t="str">
        <f>IF(C213="","",_xll.RssMarket(C213&amp;"","売買代金"))</f>
        <v/>
      </c>
      <c r="AD213" s="31">
        <f>IFERROR(INDEX(ATRHIST_MS2!$H:$H,MATCH(C213,ATRHIST_MS2!$A:$A,0)),0)</f>
        <v>0</v>
      </c>
    </row>
    <row r="214" spans="1:30" ht="25.95" customHeight="1">
      <c r="A214" s="10" t="str">
        <f t="shared" si="32"/>
        <v/>
      </c>
      <c r="B214" s="11" t="str">
        <f>IF(StockList_MS2!A213="","",HYPERLINK("https://kabutan.jp/stock/?code="&amp;StockList_MS2!A213,"株探"))</f>
        <v/>
      </c>
      <c r="C214" s="10" t="str">
        <f>IF(StockList_MS2!A213="","",StockList_MS2!A213)</f>
        <v/>
      </c>
      <c r="D214" s="12" t="str">
        <f>IF(StockList_MS2!A213="","",StockList_MS2!B213)</f>
        <v/>
      </c>
      <c r="E214" s="13"/>
      <c r="F214" s="13"/>
      <c r="G214" s="13"/>
      <c r="H214" s="13"/>
      <c r="I214" s="20"/>
      <c r="J214" s="13"/>
      <c r="K214" s="13"/>
      <c r="L214" s="13"/>
      <c r="M214" s="5" t="str">
        <f t="shared" si="31"/>
        <v/>
      </c>
      <c r="N214" s="9" t="str">
        <f>IF(OR(E214="",F214="",G214=""),"",IF(AD214&gt;0,AD214,(F214-G214)/SQRT(操作パネル_MS2!$H$12)*操作パネル_MS2!$H$10))</f>
        <v/>
      </c>
      <c r="O214" s="5" t="str">
        <f>IF(OR(E214="",AC214=""),"",IF(AC214&gt;=操作パネル_MS2!$H$3,"VOL-OK","VOL-NG"))</f>
        <v/>
      </c>
      <c r="P214" s="5" t="str">
        <f t="shared" si="33"/>
        <v/>
      </c>
      <c r="Q214" s="5" t="str">
        <f t="shared" si="34"/>
        <v/>
      </c>
      <c r="R214" s="5" t="str">
        <f t="shared" si="35"/>
        <v/>
      </c>
      <c r="S214" s="9" t="str">
        <f t="shared" si="36"/>
        <v/>
      </c>
      <c r="T214" s="9" t="str">
        <f>IF(R214="","",IF(R214="BUY",E214-N214*操作パネル_MS2!$H$5,E214+N214*操作パネル_MS2!$H$5))</f>
        <v/>
      </c>
      <c r="U214" s="9" t="str">
        <f>IF(R214="","",IF(R214="BUY",E214+N214*操作パネル_MS2!$H$6,E214-N214*操作パネル_MS2!$H$6))</f>
        <v/>
      </c>
      <c r="V214" s="9" t="str">
        <f>IF(R214="","",IF(R214="BUY",E214+N214*操作パネル_MS2!$H$7,E214-N214*操作パネル_MS2!$H$7))</f>
        <v/>
      </c>
      <c r="W214" s="9" t="str">
        <f>IF(R214="","",IF(R214="BUY",E214+N214*操作パネル_MS2!$H$8,E214-N214*操作パネル_MS2!$H$8))</f>
        <v/>
      </c>
      <c r="X214" s="5" t="str">
        <f t="shared" si="37"/>
        <v/>
      </c>
      <c r="Y214" s="5" t="str">
        <f t="shared" ca="1" si="38"/>
        <v/>
      </c>
      <c r="Z214" s="5" t="str">
        <f>IF(OR(E214="",N214&lt;=0),"",IF(N214&gt;E214*操作パネル_MS2!$H$4,"VOL-HIGH","VOL-NORMAL"))</f>
        <v/>
      </c>
      <c r="AA214" s="5" t="str">
        <f t="shared" si="39"/>
        <v/>
      </c>
      <c r="AB214" s="5" t="str">
        <f t="shared" si="40"/>
        <v/>
      </c>
      <c r="AC214" s="30" t="str">
        <f>IF(C214="","",_xll.RssMarket(C214&amp;"","売買代金"))</f>
        <v/>
      </c>
      <c r="AD214" s="31">
        <f>IFERROR(INDEX(ATRHIST_MS2!$H:$H,MATCH(C214,ATRHIST_MS2!$A:$A,0)),0)</f>
        <v>0</v>
      </c>
    </row>
    <row r="215" spans="1:30" ht="25.95" customHeight="1">
      <c r="A215" s="5" t="str">
        <f t="shared" si="32"/>
        <v/>
      </c>
      <c r="B215" s="6" t="str">
        <f>IF(StockList_MS2!A214="","",HYPERLINK("https://kabutan.jp/stock/?code="&amp;StockList_MS2!A214,"株探"))</f>
        <v/>
      </c>
      <c r="C215" s="5" t="str">
        <f>IF(StockList_MS2!A214="","",StockList_MS2!A214)</f>
        <v/>
      </c>
      <c r="D215" s="7" t="str">
        <f>IF(StockList_MS2!A214="","",StockList_MS2!B214)</f>
        <v/>
      </c>
      <c r="E215" s="8"/>
      <c r="F215" s="8"/>
      <c r="G215" s="8"/>
      <c r="H215" s="8"/>
      <c r="I215" s="19"/>
      <c r="J215" s="8"/>
      <c r="K215" s="8"/>
      <c r="L215" s="8"/>
      <c r="M215" s="5" t="str">
        <f t="shared" si="31"/>
        <v/>
      </c>
      <c r="N215" s="9" t="str">
        <f>IF(OR(E215="",F215="",G215=""),"",IF(AD215&gt;0,AD215,(F215-G215)/SQRT(操作パネル_MS2!$H$12)*操作パネル_MS2!$H$10))</f>
        <v/>
      </c>
      <c r="O215" s="5" t="str">
        <f>IF(OR(E215="",AC215=""),"",IF(AC215&gt;=操作パネル_MS2!$H$3,"VOL-OK","VOL-NG"))</f>
        <v/>
      </c>
      <c r="P215" s="5" t="str">
        <f t="shared" si="33"/>
        <v/>
      </c>
      <c r="Q215" s="5" t="str">
        <f t="shared" si="34"/>
        <v/>
      </c>
      <c r="R215" s="5" t="str">
        <f t="shared" si="35"/>
        <v/>
      </c>
      <c r="S215" s="9" t="str">
        <f t="shared" si="36"/>
        <v/>
      </c>
      <c r="T215" s="9" t="str">
        <f>IF(R215="","",IF(R215="BUY",E215-N215*操作パネル_MS2!$H$5,E215+N215*操作パネル_MS2!$H$5))</f>
        <v/>
      </c>
      <c r="U215" s="9" t="str">
        <f>IF(R215="","",IF(R215="BUY",E215+N215*操作パネル_MS2!$H$6,E215-N215*操作パネル_MS2!$H$6))</f>
        <v/>
      </c>
      <c r="V215" s="9" t="str">
        <f>IF(R215="","",IF(R215="BUY",E215+N215*操作パネル_MS2!$H$7,E215-N215*操作パネル_MS2!$H$7))</f>
        <v/>
      </c>
      <c r="W215" s="9" t="str">
        <f>IF(R215="","",IF(R215="BUY",E215+N215*操作パネル_MS2!$H$8,E215-N215*操作パネル_MS2!$H$8))</f>
        <v/>
      </c>
      <c r="X215" s="5" t="str">
        <f t="shared" si="37"/>
        <v/>
      </c>
      <c r="Y215" s="5" t="str">
        <f t="shared" ca="1" si="38"/>
        <v/>
      </c>
      <c r="Z215" s="5" t="str">
        <f>IF(OR(E215="",N215&lt;=0),"",IF(N215&gt;E215*操作パネル_MS2!$H$4,"VOL-HIGH","VOL-NORMAL"))</f>
        <v/>
      </c>
      <c r="AA215" s="5" t="str">
        <f t="shared" si="39"/>
        <v/>
      </c>
      <c r="AB215" s="5" t="str">
        <f t="shared" si="40"/>
        <v/>
      </c>
      <c r="AC215" s="30" t="str">
        <f>IF(C215="","",_xll.RssMarket(C215&amp;"","売買代金"))</f>
        <v/>
      </c>
      <c r="AD215" s="31">
        <f>IFERROR(INDEX(ATRHIST_MS2!$H:$H,MATCH(C215,ATRHIST_MS2!$A:$A,0)),0)</f>
        <v>0</v>
      </c>
    </row>
    <row r="216" spans="1:30" ht="25.95" customHeight="1">
      <c r="A216" s="10" t="str">
        <f t="shared" si="32"/>
        <v/>
      </c>
      <c r="B216" s="11" t="str">
        <f>IF(StockList_MS2!A215="","",HYPERLINK("https://kabutan.jp/stock/?code="&amp;StockList_MS2!A215,"株探"))</f>
        <v/>
      </c>
      <c r="C216" s="10" t="str">
        <f>IF(StockList_MS2!A215="","",StockList_MS2!A215)</f>
        <v/>
      </c>
      <c r="D216" s="12" t="str">
        <f>IF(StockList_MS2!A215="","",StockList_MS2!B215)</f>
        <v/>
      </c>
      <c r="E216" s="13"/>
      <c r="F216" s="13"/>
      <c r="G216" s="13"/>
      <c r="H216" s="13"/>
      <c r="I216" s="20"/>
      <c r="J216" s="13"/>
      <c r="K216" s="13"/>
      <c r="L216" s="13"/>
      <c r="M216" s="5" t="str">
        <f t="shared" si="31"/>
        <v/>
      </c>
      <c r="N216" s="9" t="str">
        <f>IF(OR(E216="",F216="",G216=""),"",IF(AD216&gt;0,AD216,(F216-G216)/SQRT(操作パネル_MS2!$H$12)*操作パネル_MS2!$H$10))</f>
        <v/>
      </c>
      <c r="O216" s="5" t="str">
        <f>IF(OR(E216="",AC216=""),"",IF(AC216&gt;=操作パネル_MS2!$H$3,"VOL-OK","VOL-NG"))</f>
        <v/>
      </c>
      <c r="P216" s="5" t="str">
        <f t="shared" si="33"/>
        <v/>
      </c>
      <c r="Q216" s="5" t="str">
        <f t="shared" si="34"/>
        <v/>
      </c>
      <c r="R216" s="5" t="str">
        <f t="shared" si="35"/>
        <v/>
      </c>
      <c r="S216" s="9" t="str">
        <f t="shared" si="36"/>
        <v/>
      </c>
      <c r="T216" s="9" t="str">
        <f>IF(R216="","",IF(R216="BUY",E216-N216*操作パネル_MS2!$H$5,E216+N216*操作パネル_MS2!$H$5))</f>
        <v/>
      </c>
      <c r="U216" s="9" t="str">
        <f>IF(R216="","",IF(R216="BUY",E216+N216*操作パネル_MS2!$H$6,E216-N216*操作パネル_MS2!$H$6))</f>
        <v/>
      </c>
      <c r="V216" s="9" t="str">
        <f>IF(R216="","",IF(R216="BUY",E216+N216*操作パネル_MS2!$H$7,E216-N216*操作パネル_MS2!$H$7))</f>
        <v/>
      </c>
      <c r="W216" s="9" t="str">
        <f>IF(R216="","",IF(R216="BUY",E216+N216*操作パネル_MS2!$H$8,E216-N216*操作パネル_MS2!$H$8))</f>
        <v/>
      </c>
      <c r="X216" s="5" t="str">
        <f t="shared" si="37"/>
        <v/>
      </c>
      <c r="Y216" s="5" t="str">
        <f t="shared" ca="1" si="38"/>
        <v/>
      </c>
      <c r="Z216" s="5" t="str">
        <f>IF(OR(E216="",N216&lt;=0),"",IF(N216&gt;E216*操作パネル_MS2!$H$4,"VOL-HIGH","VOL-NORMAL"))</f>
        <v/>
      </c>
      <c r="AA216" s="5" t="str">
        <f t="shared" si="39"/>
        <v/>
      </c>
      <c r="AB216" s="5" t="str">
        <f t="shared" si="40"/>
        <v/>
      </c>
      <c r="AC216" s="30" t="str">
        <f>IF(C216="","",_xll.RssMarket(C216&amp;"","売買代金"))</f>
        <v/>
      </c>
      <c r="AD216" s="31">
        <f>IFERROR(INDEX(ATRHIST_MS2!$H:$H,MATCH(C216,ATRHIST_MS2!$A:$A,0)),0)</f>
        <v>0</v>
      </c>
    </row>
    <row r="217" spans="1:30" ht="25.95" customHeight="1">
      <c r="A217" s="5" t="str">
        <f t="shared" si="32"/>
        <v/>
      </c>
      <c r="B217" s="6" t="str">
        <f>IF(StockList_MS2!A216="","",HYPERLINK("https://kabutan.jp/stock/?code="&amp;StockList_MS2!A216,"株探"))</f>
        <v/>
      </c>
      <c r="C217" s="5" t="str">
        <f>IF(StockList_MS2!A216="","",StockList_MS2!A216)</f>
        <v/>
      </c>
      <c r="D217" s="7" t="str">
        <f>IF(StockList_MS2!A216="","",StockList_MS2!B216)</f>
        <v/>
      </c>
      <c r="E217" s="8"/>
      <c r="F217" s="8"/>
      <c r="G217" s="8"/>
      <c r="H217" s="8"/>
      <c r="I217" s="19"/>
      <c r="J217" s="8"/>
      <c r="K217" s="8"/>
      <c r="L217" s="8"/>
      <c r="M217" s="5" t="str">
        <f t="shared" si="31"/>
        <v/>
      </c>
      <c r="N217" s="9" t="str">
        <f>IF(OR(E217="",F217="",G217=""),"",IF(AD217&gt;0,AD217,(F217-G217)/SQRT(操作パネル_MS2!$H$12)*操作パネル_MS2!$H$10))</f>
        <v/>
      </c>
      <c r="O217" s="5" t="str">
        <f>IF(OR(E217="",AC217=""),"",IF(AC217&gt;=操作パネル_MS2!$H$3,"VOL-OK","VOL-NG"))</f>
        <v/>
      </c>
      <c r="P217" s="5" t="str">
        <f t="shared" si="33"/>
        <v/>
      </c>
      <c r="Q217" s="5" t="str">
        <f t="shared" si="34"/>
        <v/>
      </c>
      <c r="R217" s="5" t="str">
        <f t="shared" si="35"/>
        <v/>
      </c>
      <c r="S217" s="9" t="str">
        <f t="shared" si="36"/>
        <v/>
      </c>
      <c r="T217" s="9" t="str">
        <f>IF(R217="","",IF(R217="BUY",E217-N217*操作パネル_MS2!$H$5,E217+N217*操作パネル_MS2!$H$5))</f>
        <v/>
      </c>
      <c r="U217" s="9" t="str">
        <f>IF(R217="","",IF(R217="BUY",E217+N217*操作パネル_MS2!$H$6,E217-N217*操作パネル_MS2!$H$6))</f>
        <v/>
      </c>
      <c r="V217" s="9" t="str">
        <f>IF(R217="","",IF(R217="BUY",E217+N217*操作パネル_MS2!$H$7,E217-N217*操作パネル_MS2!$H$7))</f>
        <v/>
      </c>
      <c r="W217" s="9" t="str">
        <f>IF(R217="","",IF(R217="BUY",E217+N217*操作パネル_MS2!$H$8,E217-N217*操作パネル_MS2!$H$8))</f>
        <v/>
      </c>
      <c r="X217" s="5" t="str">
        <f t="shared" si="37"/>
        <v/>
      </c>
      <c r="Y217" s="5" t="str">
        <f t="shared" ca="1" si="38"/>
        <v/>
      </c>
      <c r="Z217" s="5" t="str">
        <f>IF(OR(E217="",N217&lt;=0),"",IF(N217&gt;E217*操作パネル_MS2!$H$4,"VOL-HIGH","VOL-NORMAL"))</f>
        <v/>
      </c>
      <c r="AA217" s="5" t="str">
        <f t="shared" si="39"/>
        <v/>
      </c>
      <c r="AB217" s="5" t="str">
        <f t="shared" si="40"/>
        <v/>
      </c>
      <c r="AC217" s="30" t="str">
        <f>IF(C217="","",_xll.RssMarket(C217&amp;"","売買代金"))</f>
        <v/>
      </c>
      <c r="AD217" s="31">
        <f>IFERROR(INDEX(ATRHIST_MS2!$H:$H,MATCH(C217,ATRHIST_MS2!$A:$A,0)),0)</f>
        <v>0</v>
      </c>
    </row>
    <row r="218" spans="1:30" ht="25.95" customHeight="1">
      <c r="A218" s="10" t="str">
        <f t="shared" si="32"/>
        <v/>
      </c>
      <c r="B218" s="11" t="str">
        <f>IF(StockList_MS2!A217="","",HYPERLINK("https://kabutan.jp/stock/?code="&amp;StockList_MS2!A217,"株探"))</f>
        <v/>
      </c>
      <c r="C218" s="10" t="str">
        <f>IF(StockList_MS2!A217="","",StockList_MS2!A217)</f>
        <v/>
      </c>
      <c r="D218" s="12" t="str">
        <f>IF(StockList_MS2!A217="","",StockList_MS2!B217)</f>
        <v/>
      </c>
      <c r="E218" s="13"/>
      <c r="F218" s="13"/>
      <c r="G218" s="13"/>
      <c r="H218" s="13"/>
      <c r="I218" s="20"/>
      <c r="J218" s="13"/>
      <c r="K218" s="13"/>
      <c r="L218" s="13"/>
      <c r="M218" s="5" t="str">
        <f t="shared" si="31"/>
        <v/>
      </c>
      <c r="N218" s="9" t="str">
        <f>IF(OR(E218="",F218="",G218=""),"",IF(AD218&gt;0,AD218,(F218-G218)/SQRT(操作パネル_MS2!$H$12)*操作パネル_MS2!$H$10))</f>
        <v/>
      </c>
      <c r="O218" s="5" t="str">
        <f>IF(OR(E218="",AC218=""),"",IF(AC218&gt;=操作パネル_MS2!$H$3,"VOL-OK","VOL-NG"))</f>
        <v/>
      </c>
      <c r="P218" s="5" t="str">
        <f t="shared" si="33"/>
        <v/>
      </c>
      <c r="Q218" s="5" t="str">
        <f t="shared" si="34"/>
        <v/>
      </c>
      <c r="R218" s="5" t="str">
        <f t="shared" si="35"/>
        <v/>
      </c>
      <c r="S218" s="9" t="str">
        <f t="shared" si="36"/>
        <v/>
      </c>
      <c r="T218" s="9" t="str">
        <f>IF(R218="","",IF(R218="BUY",E218-N218*操作パネル_MS2!$H$5,E218+N218*操作パネル_MS2!$H$5))</f>
        <v/>
      </c>
      <c r="U218" s="9" t="str">
        <f>IF(R218="","",IF(R218="BUY",E218+N218*操作パネル_MS2!$H$6,E218-N218*操作パネル_MS2!$H$6))</f>
        <v/>
      </c>
      <c r="V218" s="9" t="str">
        <f>IF(R218="","",IF(R218="BUY",E218+N218*操作パネル_MS2!$H$7,E218-N218*操作パネル_MS2!$H$7))</f>
        <v/>
      </c>
      <c r="W218" s="9" t="str">
        <f>IF(R218="","",IF(R218="BUY",E218+N218*操作パネル_MS2!$H$8,E218-N218*操作パネル_MS2!$H$8))</f>
        <v/>
      </c>
      <c r="X218" s="5" t="str">
        <f t="shared" si="37"/>
        <v/>
      </c>
      <c r="Y218" s="5" t="str">
        <f t="shared" ca="1" si="38"/>
        <v/>
      </c>
      <c r="Z218" s="5" t="str">
        <f>IF(OR(E218="",N218&lt;=0),"",IF(N218&gt;E218*操作パネル_MS2!$H$4,"VOL-HIGH","VOL-NORMAL"))</f>
        <v/>
      </c>
      <c r="AA218" s="5" t="str">
        <f t="shared" si="39"/>
        <v/>
      </c>
      <c r="AB218" s="5" t="str">
        <f t="shared" si="40"/>
        <v/>
      </c>
      <c r="AC218" s="30" t="str">
        <f>IF(C218="","",_xll.RssMarket(C218&amp;"","売買代金"))</f>
        <v/>
      </c>
      <c r="AD218" s="31">
        <f>IFERROR(INDEX(ATRHIST_MS2!$H:$H,MATCH(C218,ATRHIST_MS2!$A:$A,0)),0)</f>
        <v>0</v>
      </c>
    </row>
    <row r="219" spans="1:30" ht="25.95" customHeight="1">
      <c r="A219" s="5" t="str">
        <f t="shared" si="32"/>
        <v/>
      </c>
      <c r="B219" s="6" t="str">
        <f>IF(StockList_MS2!A218="","",HYPERLINK("https://kabutan.jp/stock/?code="&amp;StockList_MS2!A218,"株探"))</f>
        <v/>
      </c>
      <c r="C219" s="5" t="str">
        <f>IF(StockList_MS2!A218="","",StockList_MS2!A218)</f>
        <v/>
      </c>
      <c r="D219" s="7" t="str">
        <f>IF(StockList_MS2!A218="","",StockList_MS2!B218)</f>
        <v/>
      </c>
      <c r="E219" s="8"/>
      <c r="F219" s="8"/>
      <c r="G219" s="8"/>
      <c r="H219" s="8"/>
      <c r="I219" s="19"/>
      <c r="J219" s="8"/>
      <c r="K219" s="8"/>
      <c r="L219" s="8"/>
      <c r="M219" s="5" t="str">
        <f t="shared" si="31"/>
        <v/>
      </c>
      <c r="N219" s="9" t="str">
        <f>IF(OR(E219="",F219="",G219=""),"",IF(AD219&gt;0,AD219,(F219-G219)/SQRT(操作パネル_MS2!$H$12)*操作パネル_MS2!$H$10))</f>
        <v/>
      </c>
      <c r="O219" s="5" t="str">
        <f>IF(OR(E219="",AC219=""),"",IF(AC219&gt;=操作パネル_MS2!$H$3,"VOL-OK","VOL-NG"))</f>
        <v/>
      </c>
      <c r="P219" s="5" t="str">
        <f t="shared" si="33"/>
        <v/>
      </c>
      <c r="Q219" s="5" t="str">
        <f t="shared" si="34"/>
        <v/>
      </c>
      <c r="R219" s="5" t="str">
        <f t="shared" si="35"/>
        <v/>
      </c>
      <c r="S219" s="9" t="str">
        <f t="shared" si="36"/>
        <v/>
      </c>
      <c r="T219" s="9" t="str">
        <f>IF(R219="","",IF(R219="BUY",E219-N219*操作パネル_MS2!$H$5,E219+N219*操作パネル_MS2!$H$5))</f>
        <v/>
      </c>
      <c r="U219" s="9" t="str">
        <f>IF(R219="","",IF(R219="BUY",E219+N219*操作パネル_MS2!$H$6,E219-N219*操作パネル_MS2!$H$6))</f>
        <v/>
      </c>
      <c r="V219" s="9" t="str">
        <f>IF(R219="","",IF(R219="BUY",E219+N219*操作パネル_MS2!$H$7,E219-N219*操作パネル_MS2!$H$7))</f>
        <v/>
      </c>
      <c r="W219" s="9" t="str">
        <f>IF(R219="","",IF(R219="BUY",E219+N219*操作パネル_MS2!$H$8,E219-N219*操作パネル_MS2!$H$8))</f>
        <v/>
      </c>
      <c r="X219" s="5" t="str">
        <f t="shared" si="37"/>
        <v/>
      </c>
      <c r="Y219" s="5" t="str">
        <f t="shared" ca="1" si="38"/>
        <v/>
      </c>
      <c r="Z219" s="5" t="str">
        <f>IF(OR(E219="",N219&lt;=0),"",IF(N219&gt;E219*操作パネル_MS2!$H$4,"VOL-HIGH","VOL-NORMAL"))</f>
        <v/>
      </c>
      <c r="AA219" s="5" t="str">
        <f t="shared" si="39"/>
        <v/>
      </c>
      <c r="AB219" s="5" t="str">
        <f t="shared" si="40"/>
        <v/>
      </c>
      <c r="AC219" s="30" t="str">
        <f>IF(C219="","",_xll.RssMarket(C219&amp;"","売買代金"))</f>
        <v/>
      </c>
      <c r="AD219" s="31">
        <f>IFERROR(INDEX(ATRHIST_MS2!$H:$H,MATCH(C219,ATRHIST_MS2!$A:$A,0)),0)</f>
        <v>0</v>
      </c>
    </row>
    <row r="220" spans="1:30" ht="25.95" customHeight="1">
      <c r="A220" s="10" t="str">
        <f t="shared" si="32"/>
        <v/>
      </c>
      <c r="B220" s="11" t="str">
        <f>IF(StockList_MS2!A219="","",HYPERLINK("https://kabutan.jp/stock/?code="&amp;StockList_MS2!A219,"株探"))</f>
        <v/>
      </c>
      <c r="C220" s="10" t="str">
        <f>IF(StockList_MS2!A219="","",StockList_MS2!A219)</f>
        <v/>
      </c>
      <c r="D220" s="12" t="str">
        <f>IF(StockList_MS2!A219="","",StockList_MS2!B219)</f>
        <v/>
      </c>
      <c r="E220" s="13"/>
      <c r="F220" s="13"/>
      <c r="G220" s="13"/>
      <c r="H220" s="13"/>
      <c r="I220" s="20"/>
      <c r="J220" s="13"/>
      <c r="K220" s="13"/>
      <c r="L220" s="13"/>
      <c r="M220" s="5" t="str">
        <f t="shared" si="31"/>
        <v/>
      </c>
      <c r="N220" s="9" t="str">
        <f>IF(OR(E220="",F220="",G220=""),"",IF(AD220&gt;0,AD220,(F220-G220)/SQRT(操作パネル_MS2!$H$12)*操作パネル_MS2!$H$10))</f>
        <v/>
      </c>
      <c r="O220" s="5" t="str">
        <f>IF(OR(E220="",AC220=""),"",IF(AC220&gt;=操作パネル_MS2!$H$3,"VOL-OK","VOL-NG"))</f>
        <v/>
      </c>
      <c r="P220" s="5" t="str">
        <f t="shared" si="33"/>
        <v/>
      </c>
      <c r="Q220" s="5" t="str">
        <f t="shared" si="34"/>
        <v/>
      </c>
      <c r="R220" s="5" t="str">
        <f t="shared" si="35"/>
        <v/>
      </c>
      <c r="S220" s="9" t="str">
        <f t="shared" si="36"/>
        <v/>
      </c>
      <c r="T220" s="9" t="str">
        <f>IF(R220="","",IF(R220="BUY",E220-N220*操作パネル_MS2!$H$5,E220+N220*操作パネル_MS2!$H$5))</f>
        <v/>
      </c>
      <c r="U220" s="9" t="str">
        <f>IF(R220="","",IF(R220="BUY",E220+N220*操作パネル_MS2!$H$6,E220-N220*操作パネル_MS2!$H$6))</f>
        <v/>
      </c>
      <c r="V220" s="9" t="str">
        <f>IF(R220="","",IF(R220="BUY",E220+N220*操作パネル_MS2!$H$7,E220-N220*操作パネル_MS2!$H$7))</f>
        <v/>
      </c>
      <c r="W220" s="9" t="str">
        <f>IF(R220="","",IF(R220="BUY",E220+N220*操作パネル_MS2!$H$8,E220-N220*操作パネル_MS2!$H$8))</f>
        <v/>
      </c>
      <c r="X220" s="5" t="str">
        <f t="shared" si="37"/>
        <v/>
      </c>
      <c r="Y220" s="5" t="str">
        <f t="shared" ca="1" si="38"/>
        <v/>
      </c>
      <c r="Z220" s="5" t="str">
        <f>IF(OR(E220="",N220&lt;=0),"",IF(N220&gt;E220*操作パネル_MS2!$H$4,"VOL-HIGH","VOL-NORMAL"))</f>
        <v/>
      </c>
      <c r="AA220" s="5" t="str">
        <f t="shared" si="39"/>
        <v/>
      </c>
      <c r="AB220" s="5" t="str">
        <f t="shared" si="40"/>
        <v/>
      </c>
      <c r="AC220" s="30" t="str">
        <f>IF(C220="","",_xll.RssMarket(C220&amp;"","売買代金"))</f>
        <v/>
      </c>
      <c r="AD220" s="31">
        <f>IFERROR(INDEX(ATRHIST_MS2!$H:$H,MATCH(C220,ATRHIST_MS2!$A:$A,0)),0)</f>
        <v>0</v>
      </c>
    </row>
    <row r="221" spans="1:30" ht="25.95" customHeight="1">
      <c r="A221" s="5" t="str">
        <f t="shared" si="32"/>
        <v/>
      </c>
      <c r="B221" s="6" t="str">
        <f>IF(StockList_MS2!A220="","",HYPERLINK("https://kabutan.jp/stock/?code="&amp;StockList_MS2!A220,"株探"))</f>
        <v/>
      </c>
      <c r="C221" s="5" t="str">
        <f>IF(StockList_MS2!A220="","",StockList_MS2!A220)</f>
        <v/>
      </c>
      <c r="D221" s="7" t="str">
        <f>IF(StockList_MS2!A220="","",StockList_MS2!B220)</f>
        <v/>
      </c>
      <c r="E221" s="8"/>
      <c r="F221" s="8"/>
      <c r="G221" s="8"/>
      <c r="H221" s="8"/>
      <c r="I221" s="19"/>
      <c r="J221" s="8"/>
      <c r="K221" s="8"/>
      <c r="L221" s="8"/>
      <c r="M221" s="5" t="str">
        <f t="shared" si="31"/>
        <v/>
      </c>
      <c r="N221" s="9" t="str">
        <f>IF(OR(E221="",F221="",G221=""),"",IF(AD221&gt;0,AD221,(F221-G221)/SQRT(操作パネル_MS2!$H$12)*操作パネル_MS2!$H$10))</f>
        <v/>
      </c>
      <c r="O221" s="5" t="str">
        <f>IF(OR(E221="",AC221=""),"",IF(AC221&gt;=操作パネル_MS2!$H$3,"VOL-OK","VOL-NG"))</f>
        <v/>
      </c>
      <c r="P221" s="5" t="str">
        <f t="shared" si="33"/>
        <v/>
      </c>
      <c r="Q221" s="5" t="str">
        <f t="shared" si="34"/>
        <v/>
      </c>
      <c r="R221" s="5" t="str">
        <f t="shared" si="35"/>
        <v/>
      </c>
      <c r="S221" s="9" t="str">
        <f t="shared" si="36"/>
        <v/>
      </c>
      <c r="T221" s="9" t="str">
        <f>IF(R221="","",IF(R221="BUY",E221-N221*操作パネル_MS2!$H$5,E221+N221*操作パネル_MS2!$H$5))</f>
        <v/>
      </c>
      <c r="U221" s="9" t="str">
        <f>IF(R221="","",IF(R221="BUY",E221+N221*操作パネル_MS2!$H$6,E221-N221*操作パネル_MS2!$H$6))</f>
        <v/>
      </c>
      <c r="V221" s="9" t="str">
        <f>IF(R221="","",IF(R221="BUY",E221+N221*操作パネル_MS2!$H$7,E221-N221*操作パネル_MS2!$H$7))</f>
        <v/>
      </c>
      <c r="W221" s="9" t="str">
        <f>IF(R221="","",IF(R221="BUY",E221+N221*操作パネル_MS2!$H$8,E221-N221*操作パネル_MS2!$H$8))</f>
        <v/>
      </c>
      <c r="X221" s="5" t="str">
        <f t="shared" si="37"/>
        <v/>
      </c>
      <c r="Y221" s="5" t="str">
        <f t="shared" ca="1" si="38"/>
        <v/>
      </c>
      <c r="Z221" s="5" t="str">
        <f>IF(OR(E221="",N221&lt;=0),"",IF(N221&gt;E221*操作パネル_MS2!$H$4,"VOL-HIGH","VOL-NORMAL"))</f>
        <v/>
      </c>
      <c r="AA221" s="5" t="str">
        <f t="shared" si="39"/>
        <v/>
      </c>
      <c r="AB221" s="5" t="str">
        <f t="shared" si="40"/>
        <v/>
      </c>
      <c r="AC221" s="30" t="str">
        <f>IF(C221="","",_xll.RssMarket(C221&amp;"","売買代金"))</f>
        <v/>
      </c>
      <c r="AD221" s="31">
        <f>IFERROR(INDEX(ATRHIST_MS2!$H:$H,MATCH(C221,ATRHIST_MS2!$A:$A,0)),0)</f>
        <v>0</v>
      </c>
    </row>
    <row r="222" spans="1:30" ht="25.95" customHeight="1">
      <c r="A222" s="10" t="str">
        <f t="shared" si="32"/>
        <v/>
      </c>
      <c r="B222" s="11" t="str">
        <f>IF(StockList_MS2!A221="","",HYPERLINK("https://kabutan.jp/stock/?code="&amp;StockList_MS2!A221,"株探"))</f>
        <v/>
      </c>
      <c r="C222" s="10" t="str">
        <f>IF(StockList_MS2!A221="","",StockList_MS2!A221)</f>
        <v/>
      </c>
      <c r="D222" s="12" t="str">
        <f>IF(StockList_MS2!A221="","",StockList_MS2!B221)</f>
        <v/>
      </c>
      <c r="E222" s="13"/>
      <c r="F222" s="13"/>
      <c r="G222" s="13"/>
      <c r="H222" s="13"/>
      <c r="I222" s="20"/>
      <c r="J222" s="13"/>
      <c r="K222" s="13"/>
      <c r="L222" s="13"/>
      <c r="M222" s="5" t="str">
        <f t="shared" si="31"/>
        <v/>
      </c>
      <c r="N222" s="9" t="str">
        <f>IF(OR(E222="",F222="",G222=""),"",IF(AD222&gt;0,AD222,(F222-G222)/SQRT(操作パネル_MS2!$H$12)*操作パネル_MS2!$H$10))</f>
        <v/>
      </c>
      <c r="O222" s="5" t="str">
        <f>IF(OR(E222="",AC222=""),"",IF(AC222&gt;=操作パネル_MS2!$H$3,"VOL-OK","VOL-NG"))</f>
        <v/>
      </c>
      <c r="P222" s="5" t="str">
        <f t="shared" si="33"/>
        <v/>
      </c>
      <c r="Q222" s="5" t="str">
        <f t="shared" si="34"/>
        <v/>
      </c>
      <c r="R222" s="5" t="str">
        <f t="shared" si="35"/>
        <v/>
      </c>
      <c r="S222" s="9" t="str">
        <f t="shared" si="36"/>
        <v/>
      </c>
      <c r="T222" s="9" t="str">
        <f>IF(R222="","",IF(R222="BUY",E222-N222*操作パネル_MS2!$H$5,E222+N222*操作パネル_MS2!$H$5))</f>
        <v/>
      </c>
      <c r="U222" s="9" t="str">
        <f>IF(R222="","",IF(R222="BUY",E222+N222*操作パネル_MS2!$H$6,E222-N222*操作パネル_MS2!$H$6))</f>
        <v/>
      </c>
      <c r="V222" s="9" t="str">
        <f>IF(R222="","",IF(R222="BUY",E222+N222*操作パネル_MS2!$H$7,E222-N222*操作パネル_MS2!$H$7))</f>
        <v/>
      </c>
      <c r="W222" s="9" t="str">
        <f>IF(R222="","",IF(R222="BUY",E222+N222*操作パネル_MS2!$H$8,E222-N222*操作パネル_MS2!$H$8))</f>
        <v/>
      </c>
      <c r="X222" s="5" t="str">
        <f t="shared" si="37"/>
        <v/>
      </c>
      <c r="Y222" s="5" t="str">
        <f t="shared" ca="1" si="38"/>
        <v/>
      </c>
      <c r="Z222" s="5" t="str">
        <f>IF(OR(E222="",N222&lt;=0),"",IF(N222&gt;E222*操作パネル_MS2!$H$4,"VOL-HIGH","VOL-NORMAL"))</f>
        <v/>
      </c>
      <c r="AA222" s="5" t="str">
        <f t="shared" si="39"/>
        <v/>
      </c>
      <c r="AB222" s="5" t="str">
        <f t="shared" si="40"/>
        <v/>
      </c>
      <c r="AC222" s="30" t="str">
        <f>IF(C222="","",_xll.RssMarket(C222&amp;"","売買代金"))</f>
        <v/>
      </c>
      <c r="AD222" s="31">
        <f>IFERROR(INDEX(ATRHIST_MS2!$H:$H,MATCH(C222,ATRHIST_MS2!$A:$A,0)),0)</f>
        <v>0</v>
      </c>
    </row>
    <row r="223" spans="1:30" ht="25.95" customHeight="1">
      <c r="A223" s="5" t="str">
        <f t="shared" si="32"/>
        <v/>
      </c>
      <c r="B223" s="6" t="str">
        <f>IF(StockList_MS2!A222="","",HYPERLINK("https://kabutan.jp/stock/?code="&amp;StockList_MS2!A222,"株探"))</f>
        <v/>
      </c>
      <c r="C223" s="5" t="str">
        <f>IF(StockList_MS2!A222="","",StockList_MS2!A222)</f>
        <v/>
      </c>
      <c r="D223" s="7" t="str">
        <f>IF(StockList_MS2!A222="","",StockList_MS2!B222)</f>
        <v/>
      </c>
      <c r="E223" s="8"/>
      <c r="F223" s="8"/>
      <c r="G223" s="8"/>
      <c r="H223" s="8"/>
      <c r="I223" s="19"/>
      <c r="J223" s="8"/>
      <c r="K223" s="8"/>
      <c r="L223" s="8"/>
      <c r="M223" s="5" t="str">
        <f t="shared" si="31"/>
        <v/>
      </c>
      <c r="N223" s="9" t="str">
        <f>IF(OR(E223="",F223="",G223=""),"",IF(AD223&gt;0,AD223,(F223-G223)/SQRT(操作パネル_MS2!$H$12)*操作パネル_MS2!$H$10))</f>
        <v/>
      </c>
      <c r="O223" s="5" t="str">
        <f>IF(OR(E223="",AC223=""),"",IF(AC223&gt;=操作パネル_MS2!$H$3,"VOL-OK","VOL-NG"))</f>
        <v/>
      </c>
      <c r="P223" s="5" t="str">
        <f t="shared" si="33"/>
        <v/>
      </c>
      <c r="Q223" s="5" t="str">
        <f t="shared" si="34"/>
        <v/>
      </c>
      <c r="R223" s="5" t="str">
        <f t="shared" si="35"/>
        <v/>
      </c>
      <c r="S223" s="9" t="str">
        <f t="shared" si="36"/>
        <v/>
      </c>
      <c r="T223" s="9" t="str">
        <f>IF(R223="","",IF(R223="BUY",E223-N223*操作パネル_MS2!$H$5,E223+N223*操作パネル_MS2!$H$5))</f>
        <v/>
      </c>
      <c r="U223" s="9" t="str">
        <f>IF(R223="","",IF(R223="BUY",E223+N223*操作パネル_MS2!$H$6,E223-N223*操作パネル_MS2!$H$6))</f>
        <v/>
      </c>
      <c r="V223" s="9" t="str">
        <f>IF(R223="","",IF(R223="BUY",E223+N223*操作パネル_MS2!$H$7,E223-N223*操作パネル_MS2!$H$7))</f>
        <v/>
      </c>
      <c r="W223" s="9" t="str">
        <f>IF(R223="","",IF(R223="BUY",E223+N223*操作パネル_MS2!$H$8,E223-N223*操作パネル_MS2!$H$8))</f>
        <v/>
      </c>
      <c r="X223" s="5" t="str">
        <f t="shared" si="37"/>
        <v/>
      </c>
      <c r="Y223" s="5" t="str">
        <f t="shared" ca="1" si="38"/>
        <v/>
      </c>
      <c r="Z223" s="5" t="str">
        <f>IF(OR(E223="",N223&lt;=0),"",IF(N223&gt;E223*操作パネル_MS2!$H$4,"VOL-HIGH","VOL-NORMAL"))</f>
        <v/>
      </c>
      <c r="AA223" s="5" t="str">
        <f t="shared" si="39"/>
        <v/>
      </c>
      <c r="AB223" s="5" t="str">
        <f t="shared" si="40"/>
        <v/>
      </c>
      <c r="AC223" s="30" t="str">
        <f>IF(C223="","",_xll.RssMarket(C223&amp;"","売買代金"))</f>
        <v/>
      </c>
      <c r="AD223" s="31">
        <f>IFERROR(INDEX(ATRHIST_MS2!$H:$H,MATCH(C223,ATRHIST_MS2!$A:$A,0)),0)</f>
        <v>0</v>
      </c>
    </row>
    <row r="224" spans="1:30" ht="25.95" customHeight="1">
      <c r="A224" s="10" t="str">
        <f t="shared" si="32"/>
        <v/>
      </c>
      <c r="B224" s="11" t="str">
        <f>IF(StockList_MS2!A223="","",HYPERLINK("https://kabutan.jp/stock/?code="&amp;StockList_MS2!A223,"株探"))</f>
        <v/>
      </c>
      <c r="C224" s="10" t="str">
        <f>IF(StockList_MS2!A223="","",StockList_MS2!A223)</f>
        <v/>
      </c>
      <c r="D224" s="12" t="str">
        <f>IF(StockList_MS2!A223="","",StockList_MS2!B223)</f>
        <v/>
      </c>
      <c r="E224" s="13"/>
      <c r="F224" s="13"/>
      <c r="G224" s="13"/>
      <c r="H224" s="13"/>
      <c r="I224" s="20"/>
      <c r="J224" s="13"/>
      <c r="K224" s="13"/>
      <c r="L224" s="13"/>
      <c r="M224" s="5" t="str">
        <f t="shared" si="31"/>
        <v/>
      </c>
      <c r="N224" s="9" t="str">
        <f>IF(OR(E224="",F224="",G224=""),"",IF(AD224&gt;0,AD224,(F224-G224)/SQRT(操作パネル_MS2!$H$12)*操作パネル_MS2!$H$10))</f>
        <v/>
      </c>
      <c r="O224" s="5" t="str">
        <f>IF(OR(E224="",AC224=""),"",IF(AC224&gt;=操作パネル_MS2!$H$3,"VOL-OK","VOL-NG"))</f>
        <v/>
      </c>
      <c r="P224" s="5" t="str">
        <f t="shared" si="33"/>
        <v/>
      </c>
      <c r="Q224" s="5" t="str">
        <f t="shared" si="34"/>
        <v/>
      </c>
      <c r="R224" s="5" t="str">
        <f t="shared" si="35"/>
        <v/>
      </c>
      <c r="S224" s="9" t="str">
        <f t="shared" si="36"/>
        <v/>
      </c>
      <c r="T224" s="9" t="str">
        <f>IF(R224="","",IF(R224="BUY",E224-N224*操作パネル_MS2!$H$5,E224+N224*操作パネル_MS2!$H$5))</f>
        <v/>
      </c>
      <c r="U224" s="9" t="str">
        <f>IF(R224="","",IF(R224="BUY",E224+N224*操作パネル_MS2!$H$6,E224-N224*操作パネル_MS2!$H$6))</f>
        <v/>
      </c>
      <c r="V224" s="9" t="str">
        <f>IF(R224="","",IF(R224="BUY",E224+N224*操作パネル_MS2!$H$7,E224-N224*操作パネル_MS2!$H$7))</f>
        <v/>
      </c>
      <c r="W224" s="9" t="str">
        <f>IF(R224="","",IF(R224="BUY",E224+N224*操作パネル_MS2!$H$8,E224-N224*操作パネル_MS2!$H$8))</f>
        <v/>
      </c>
      <c r="X224" s="5" t="str">
        <f t="shared" si="37"/>
        <v/>
      </c>
      <c r="Y224" s="5" t="str">
        <f t="shared" ca="1" si="38"/>
        <v/>
      </c>
      <c r="Z224" s="5" t="str">
        <f>IF(OR(E224="",N224&lt;=0),"",IF(N224&gt;E224*操作パネル_MS2!$H$4,"VOL-HIGH","VOL-NORMAL"))</f>
        <v/>
      </c>
      <c r="AA224" s="5" t="str">
        <f t="shared" si="39"/>
        <v/>
      </c>
      <c r="AB224" s="5" t="str">
        <f t="shared" si="40"/>
        <v/>
      </c>
      <c r="AC224" s="30" t="str">
        <f>IF(C224="","",_xll.RssMarket(C224&amp;"","売買代金"))</f>
        <v/>
      </c>
      <c r="AD224" s="31">
        <f>IFERROR(INDEX(ATRHIST_MS2!$H:$H,MATCH(C224,ATRHIST_MS2!$A:$A,0)),0)</f>
        <v>0</v>
      </c>
    </row>
    <row r="225" spans="1:30" ht="25.95" customHeight="1">
      <c r="A225" s="5" t="str">
        <f t="shared" si="32"/>
        <v/>
      </c>
      <c r="B225" s="6" t="str">
        <f>IF(StockList_MS2!A224="","",HYPERLINK("https://kabutan.jp/stock/?code="&amp;StockList_MS2!A224,"株探"))</f>
        <v/>
      </c>
      <c r="C225" s="5" t="str">
        <f>IF(StockList_MS2!A224="","",StockList_MS2!A224)</f>
        <v/>
      </c>
      <c r="D225" s="7" t="str">
        <f>IF(StockList_MS2!A224="","",StockList_MS2!B224)</f>
        <v/>
      </c>
      <c r="E225" s="8"/>
      <c r="F225" s="8"/>
      <c r="G225" s="8"/>
      <c r="H225" s="8"/>
      <c r="I225" s="19"/>
      <c r="J225" s="8"/>
      <c r="K225" s="8"/>
      <c r="L225" s="8"/>
      <c r="M225" s="5" t="str">
        <f t="shared" si="31"/>
        <v/>
      </c>
      <c r="N225" s="9" t="str">
        <f>IF(OR(E225="",F225="",G225=""),"",IF(AD225&gt;0,AD225,(F225-G225)/SQRT(操作パネル_MS2!$H$12)*操作パネル_MS2!$H$10))</f>
        <v/>
      </c>
      <c r="O225" s="5" t="str">
        <f>IF(OR(E225="",AC225=""),"",IF(AC225&gt;=操作パネル_MS2!$H$3,"VOL-OK","VOL-NG"))</f>
        <v/>
      </c>
      <c r="P225" s="5" t="str">
        <f t="shared" si="33"/>
        <v/>
      </c>
      <c r="Q225" s="5" t="str">
        <f t="shared" si="34"/>
        <v/>
      </c>
      <c r="R225" s="5" t="str">
        <f t="shared" si="35"/>
        <v/>
      </c>
      <c r="S225" s="9" t="str">
        <f t="shared" si="36"/>
        <v/>
      </c>
      <c r="T225" s="9" t="str">
        <f>IF(R225="","",IF(R225="BUY",E225-N225*操作パネル_MS2!$H$5,E225+N225*操作パネル_MS2!$H$5))</f>
        <v/>
      </c>
      <c r="U225" s="9" t="str">
        <f>IF(R225="","",IF(R225="BUY",E225+N225*操作パネル_MS2!$H$6,E225-N225*操作パネル_MS2!$H$6))</f>
        <v/>
      </c>
      <c r="V225" s="9" t="str">
        <f>IF(R225="","",IF(R225="BUY",E225+N225*操作パネル_MS2!$H$7,E225-N225*操作パネル_MS2!$H$7))</f>
        <v/>
      </c>
      <c r="W225" s="9" t="str">
        <f>IF(R225="","",IF(R225="BUY",E225+N225*操作パネル_MS2!$H$8,E225-N225*操作パネル_MS2!$H$8))</f>
        <v/>
      </c>
      <c r="X225" s="5" t="str">
        <f t="shared" si="37"/>
        <v/>
      </c>
      <c r="Y225" s="5" t="str">
        <f t="shared" ca="1" si="38"/>
        <v/>
      </c>
      <c r="Z225" s="5" t="str">
        <f>IF(OR(E225="",N225&lt;=0),"",IF(N225&gt;E225*操作パネル_MS2!$H$4,"VOL-HIGH","VOL-NORMAL"))</f>
        <v/>
      </c>
      <c r="AA225" s="5" t="str">
        <f t="shared" si="39"/>
        <v/>
      </c>
      <c r="AB225" s="5" t="str">
        <f t="shared" si="40"/>
        <v/>
      </c>
      <c r="AC225" s="30" t="str">
        <f>IF(C225="","",_xll.RssMarket(C225&amp;"","売買代金"))</f>
        <v/>
      </c>
      <c r="AD225" s="31">
        <f>IFERROR(INDEX(ATRHIST_MS2!$H:$H,MATCH(C225,ATRHIST_MS2!$A:$A,0)),0)</f>
        <v>0</v>
      </c>
    </row>
    <row r="226" spans="1:30" ht="25.95" customHeight="1">
      <c r="A226" s="10" t="str">
        <f t="shared" si="32"/>
        <v/>
      </c>
      <c r="B226" s="11" t="str">
        <f>IF(StockList_MS2!A225="","",HYPERLINK("https://kabutan.jp/stock/?code="&amp;StockList_MS2!A225,"株探"))</f>
        <v/>
      </c>
      <c r="C226" s="10" t="str">
        <f>IF(StockList_MS2!A225="","",StockList_MS2!A225)</f>
        <v/>
      </c>
      <c r="D226" s="12" t="str">
        <f>IF(StockList_MS2!A225="","",StockList_MS2!B225)</f>
        <v/>
      </c>
      <c r="E226" s="13"/>
      <c r="F226" s="13"/>
      <c r="G226" s="13"/>
      <c r="H226" s="13"/>
      <c r="I226" s="20"/>
      <c r="J226" s="13"/>
      <c r="K226" s="13"/>
      <c r="L226" s="13"/>
      <c r="M226" s="5" t="str">
        <f t="shared" si="31"/>
        <v/>
      </c>
      <c r="N226" s="9" t="str">
        <f>IF(OR(E226="",F226="",G226=""),"",IF(AD226&gt;0,AD226,(F226-G226)/SQRT(操作パネル_MS2!$H$12)*操作パネル_MS2!$H$10))</f>
        <v/>
      </c>
      <c r="O226" s="5" t="str">
        <f>IF(OR(E226="",AC226=""),"",IF(AC226&gt;=操作パネル_MS2!$H$3,"VOL-OK","VOL-NG"))</f>
        <v/>
      </c>
      <c r="P226" s="5" t="str">
        <f t="shared" si="33"/>
        <v/>
      </c>
      <c r="Q226" s="5" t="str">
        <f t="shared" si="34"/>
        <v/>
      </c>
      <c r="R226" s="5" t="str">
        <f t="shared" si="35"/>
        <v/>
      </c>
      <c r="S226" s="9" t="str">
        <f t="shared" si="36"/>
        <v/>
      </c>
      <c r="T226" s="9" t="str">
        <f>IF(R226="","",IF(R226="BUY",E226-N226*操作パネル_MS2!$H$5,E226+N226*操作パネル_MS2!$H$5))</f>
        <v/>
      </c>
      <c r="U226" s="9" t="str">
        <f>IF(R226="","",IF(R226="BUY",E226+N226*操作パネル_MS2!$H$6,E226-N226*操作パネル_MS2!$H$6))</f>
        <v/>
      </c>
      <c r="V226" s="9" t="str">
        <f>IF(R226="","",IF(R226="BUY",E226+N226*操作パネル_MS2!$H$7,E226-N226*操作パネル_MS2!$H$7))</f>
        <v/>
      </c>
      <c r="W226" s="9" t="str">
        <f>IF(R226="","",IF(R226="BUY",E226+N226*操作パネル_MS2!$H$8,E226-N226*操作パネル_MS2!$H$8))</f>
        <v/>
      </c>
      <c r="X226" s="5" t="str">
        <f t="shared" si="37"/>
        <v/>
      </c>
      <c r="Y226" s="5" t="str">
        <f t="shared" ca="1" si="38"/>
        <v/>
      </c>
      <c r="Z226" s="5" t="str">
        <f>IF(OR(E226="",N226&lt;=0),"",IF(N226&gt;E226*操作パネル_MS2!$H$4,"VOL-HIGH","VOL-NORMAL"))</f>
        <v/>
      </c>
      <c r="AA226" s="5" t="str">
        <f t="shared" si="39"/>
        <v/>
      </c>
      <c r="AB226" s="5" t="str">
        <f t="shared" si="40"/>
        <v/>
      </c>
      <c r="AC226" s="30" t="str">
        <f>IF(C226="","",_xll.RssMarket(C226&amp;"","売買代金"))</f>
        <v/>
      </c>
      <c r="AD226" s="31">
        <f>IFERROR(INDEX(ATRHIST_MS2!$H:$H,MATCH(C226,ATRHIST_MS2!$A:$A,0)),0)</f>
        <v>0</v>
      </c>
    </row>
    <row r="227" spans="1:30" ht="25.95" customHeight="1">
      <c r="A227" s="5" t="str">
        <f t="shared" si="32"/>
        <v/>
      </c>
      <c r="B227" s="6" t="str">
        <f>IF(StockList_MS2!A226="","",HYPERLINK("https://kabutan.jp/stock/?code="&amp;StockList_MS2!A226,"株探"))</f>
        <v/>
      </c>
      <c r="C227" s="5" t="str">
        <f>IF(StockList_MS2!A226="","",StockList_MS2!A226)</f>
        <v/>
      </c>
      <c r="D227" s="7" t="str">
        <f>IF(StockList_MS2!A226="","",StockList_MS2!B226)</f>
        <v/>
      </c>
      <c r="E227" s="8"/>
      <c r="F227" s="8"/>
      <c r="G227" s="8"/>
      <c r="H227" s="8"/>
      <c r="I227" s="19"/>
      <c r="J227" s="8"/>
      <c r="K227" s="8"/>
      <c r="L227" s="8"/>
      <c r="M227" s="5" t="str">
        <f t="shared" si="31"/>
        <v/>
      </c>
      <c r="N227" s="9" t="str">
        <f>IF(OR(E227="",F227="",G227=""),"",IF(AD227&gt;0,AD227,(F227-G227)/SQRT(操作パネル_MS2!$H$12)*操作パネル_MS2!$H$10))</f>
        <v/>
      </c>
      <c r="O227" s="5" t="str">
        <f>IF(OR(E227="",AC227=""),"",IF(AC227&gt;=操作パネル_MS2!$H$3,"VOL-OK","VOL-NG"))</f>
        <v/>
      </c>
      <c r="P227" s="5" t="str">
        <f t="shared" si="33"/>
        <v/>
      </c>
      <c r="Q227" s="5" t="str">
        <f t="shared" si="34"/>
        <v/>
      </c>
      <c r="R227" s="5" t="str">
        <f t="shared" si="35"/>
        <v/>
      </c>
      <c r="S227" s="9" t="str">
        <f t="shared" si="36"/>
        <v/>
      </c>
      <c r="T227" s="9" t="str">
        <f>IF(R227="","",IF(R227="BUY",E227-N227*操作パネル_MS2!$H$5,E227+N227*操作パネル_MS2!$H$5))</f>
        <v/>
      </c>
      <c r="U227" s="9" t="str">
        <f>IF(R227="","",IF(R227="BUY",E227+N227*操作パネル_MS2!$H$6,E227-N227*操作パネル_MS2!$H$6))</f>
        <v/>
      </c>
      <c r="V227" s="9" t="str">
        <f>IF(R227="","",IF(R227="BUY",E227+N227*操作パネル_MS2!$H$7,E227-N227*操作パネル_MS2!$H$7))</f>
        <v/>
      </c>
      <c r="W227" s="9" t="str">
        <f>IF(R227="","",IF(R227="BUY",E227+N227*操作パネル_MS2!$H$8,E227-N227*操作パネル_MS2!$H$8))</f>
        <v/>
      </c>
      <c r="X227" s="5" t="str">
        <f t="shared" si="37"/>
        <v/>
      </c>
      <c r="Y227" s="5" t="str">
        <f t="shared" ca="1" si="38"/>
        <v/>
      </c>
      <c r="Z227" s="5" t="str">
        <f>IF(OR(E227="",N227&lt;=0),"",IF(N227&gt;E227*操作パネル_MS2!$H$4,"VOL-HIGH","VOL-NORMAL"))</f>
        <v/>
      </c>
      <c r="AA227" s="5" t="str">
        <f t="shared" si="39"/>
        <v/>
      </c>
      <c r="AB227" s="5" t="str">
        <f t="shared" si="40"/>
        <v/>
      </c>
      <c r="AC227" s="30" t="str">
        <f>IF(C227="","",_xll.RssMarket(C227&amp;"","売買代金"))</f>
        <v/>
      </c>
      <c r="AD227" s="31">
        <f>IFERROR(INDEX(ATRHIST_MS2!$H:$H,MATCH(C227,ATRHIST_MS2!$A:$A,0)),0)</f>
        <v>0</v>
      </c>
    </row>
    <row r="228" spans="1:30" ht="25.95" customHeight="1">
      <c r="A228" s="10" t="str">
        <f t="shared" si="32"/>
        <v/>
      </c>
      <c r="B228" s="11" t="str">
        <f>IF(StockList_MS2!A227="","",HYPERLINK("https://kabutan.jp/stock/?code="&amp;StockList_MS2!A227,"株探"))</f>
        <v/>
      </c>
      <c r="C228" s="10" t="str">
        <f>IF(StockList_MS2!A227="","",StockList_MS2!A227)</f>
        <v/>
      </c>
      <c r="D228" s="12" t="str">
        <f>IF(StockList_MS2!A227="","",StockList_MS2!B227)</f>
        <v/>
      </c>
      <c r="E228" s="13"/>
      <c r="F228" s="13"/>
      <c r="G228" s="13"/>
      <c r="H228" s="13"/>
      <c r="I228" s="20"/>
      <c r="J228" s="13"/>
      <c r="K228" s="13"/>
      <c r="L228" s="13"/>
      <c r="M228" s="5" t="str">
        <f t="shared" si="31"/>
        <v/>
      </c>
      <c r="N228" s="9" t="str">
        <f>IF(OR(E228="",F228="",G228=""),"",IF(AD228&gt;0,AD228,(F228-G228)/SQRT(操作パネル_MS2!$H$12)*操作パネル_MS2!$H$10))</f>
        <v/>
      </c>
      <c r="O228" s="5" t="str">
        <f>IF(OR(E228="",AC228=""),"",IF(AC228&gt;=操作パネル_MS2!$H$3,"VOL-OK","VOL-NG"))</f>
        <v/>
      </c>
      <c r="P228" s="5" t="str">
        <f t="shared" si="33"/>
        <v/>
      </c>
      <c r="Q228" s="5" t="str">
        <f t="shared" si="34"/>
        <v/>
      </c>
      <c r="R228" s="5" t="str">
        <f t="shared" si="35"/>
        <v/>
      </c>
      <c r="S228" s="9" t="str">
        <f t="shared" si="36"/>
        <v/>
      </c>
      <c r="T228" s="9" t="str">
        <f>IF(R228="","",IF(R228="BUY",E228-N228*操作パネル_MS2!$H$5,E228+N228*操作パネル_MS2!$H$5))</f>
        <v/>
      </c>
      <c r="U228" s="9" t="str">
        <f>IF(R228="","",IF(R228="BUY",E228+N228*操作パネル_MS2!$H$6,E228-N228*操作パネル_MS2!$H$6))</f>
        <v/>
      </c>
      <c r="V228" s="9" t="str">
        <f>IF(R228="","",IF(R228="BUY",E228+N228*操作パネル_MS2!$H$7,E228-N228*操作パネル_MS2!$H$7))</f>
        <v/>
      </c>
      <c r="W228" s="9" t="str">
        <f>IF(R228="","",IF(R228="BUY",E228+N228*操作パネル_MS2!$H$8,E228-N228*操作パネル_MS2!$H$8))</f>
        <v/>
      </c>
      <c r="X228" s="5" t="str">
        <f t="shared" si="37"/>
        <v/>
      </c>
      <c r="Y228" s="5" t="str">
        <f t="shared" ca="1" si="38"/>
        <v/>
      </c>
      <c r="Z228" s="5" t="str">
        <f>IF(OR(E228="",N228&lt;=0),"",IF(N228&gt;E228*操作パネル_MS2!$H$4,"VOL-HIGH","VOL-NORMAL"))</f>
        <v/>
      </c>
      <c r="AA228" s="5" t="str">
        <f t="shared" si="39"/>
        <v/>
      </c>
      <c r="AB228" s="5" t="str">
        <f t="shared" si="40"/>
        <v/>
      </c>
      <c r="AC228" s="30" t="str">
        <f>IF(C228="","",_xll.RssMarket(C228&amp;"","売買代金"))</f>
        <v/>
      </c>
      <c r="AD228" s="31">
        <f>IFERROR(INDEX(ATRHIST_MS2!$H:$H,MATCH(C228,ATRHIST_MS2!$A:$A,0)),0)</f>
        <v>0</v>
      </c>
    </row>
    <row r="229" spans="1:30" ht="25.95" customHeight="1">
      <c r="A229" s="5" t="str">
        <f t="shared" si="32"/>
        <v/>
      </c>
      <c r="B229" s="6" t="str">
        <f>IF(StockList_MS2!A228="","",HYPERLINK("https://kabutan.jp/stock/?code="&amp;StockList_MS2!A228,"株探"))</f>
        <v/>
      </c>
      <c r="C229" s="5" t="str">
        <f>IF(StockList_MS2!A228="","",StockList_MS2!A228)</f>
        <v/>
      </c>
      <c r="D229" s="7" t="str">
        <f>IF(StockList_MS2!A228="","",StockList_MS2!B228)</f>
        <v/>
      </c>
      <c r="E229" s="8"/>
      <c r="F229" s="8"/>
      <c r="G229" s="8"/>
      <c r="H229" s="8"/>
      <c r="I229" s="19"/>
      <c r="J229" s="8"/>
      <c r="K229" s="8"/>
      <c r="L229" s="8"/>
      <c r="M229" s="5" t="str">
        <f t="shared" si="31"/>
        <v/>
      </c>
      <c r="N229" s="9" t="str">
        <f>IF(OR(E229="",F229="",G229=""),"",IF(AD229&gt;0,AD229,(F229-G229)/SQRT(操作パネル_MS2!$H$12)*操作パネル_MS2!$H$10))</f>
        <v/>
      </c>
      <c r="O229" s="5" t="str">
        <f>IF(OR(E229="",AC229=""),"",IF(AC229&gt;=操作パネル_MS2!$H$3,"VOL-OK","VOL-NG"))</f>
        <v/>
      </c>
      <c r="P229" s="5" t="str">
        <f t="shared" si="33"/>
        <v/>
      </c>
      <c r="Q229" s="5" t="str">
        <f t="shared" si="34"/>
        <v/>
      </c>
      <c r="R229" s="5" t="str">
        <f t="shared" si="35"/>
        <v/>
      </c>
      <c r="S229" s="9" t="str">
        <f t="shared" si="36"/>
        <v/>
      </c>
      <c r="T229" s="9" t="str">
        <f>IF(R229="","",IF(R229="BUY",E229-N229*操作パネル_MS2!$H$5,E229+N229*操作パネル_MS2!$H$5))</f>
        <v/>
      </c>
      <c r="U229" s="9" t="str">
        <f>IF(R229="","",IF(R229="BUY",E229+N229*操作パネル_MS2!$H$6,E229-N229*操作パネル_MS2!$H$6))</f>
        <v/>
      </c>
      <c r="V229" s="9" t="str">
        <f>IF(R229="","",IF(R229="BUY",E229+N229*操作パネル_MS2!$H$7,E229-N229*操作パネル_MS2!$H$7))</f>
        <v/>
      </c>
      <c r="W229" s="9" t="str">
        <f>IF(R229="","",IF(R229="BUY",E229+N229*操作パネル_MS2!$H$8,E229-N229*操作パネル_MS2!$H$8))</f>
        <v/>
      </c>
      <c r="X229" s="5" t="str">
        <f t="shared" si="37"/>
        <v/>
      </c>
      <c r="Y229" s="5" t="str">
        <f t="shared" ca="1" si="38"/>
        <v/>
      </c>
      <c r="Z229" s="5" t="str">
        <f>IF(OR(E229="",N229&lt;=0),"",IF(N229&gt;E229*操作パネル_MS2!$H$4,"VOL-HIGH","VOL-NORMAL"))</f>
        <v/>
      </c>
      <c r="AA229" s="5" t="str">
        <f t="shared" si="39"/>
        <v/>
      </c>
      <c r="AB229" s="5" t="str">
        <f t="shared" si="40"/>
        <v/>
      </c>
      <c r="AC229" s="30" t="str">
        <f>IF(C229="","",_xll.RssMarket(C229&amp;"","売買代金"))</f>
        <v/>
      </c>
      <c r="AD229" s="31">
        <f>IFERROR(INDEX(ATRHIST_MS2!$H:$H,MATCH(C229,ATRHIST_MS2!$A:$A,0)),0)</f>
        <v>0</v>
      </c>
    </row>
    <row r="230" spans="1:30" ht="25.95" customHeight="1">
      <c r="A230" s="10" t="str">
        <f t="shared" si="32"/>
        <v/>
      </c>
      <c r="B230" s="11" t="str">
        <f>IF(StockList_MS2!A229="","",HYPERLINK("https://kabutan.jp/stock/?code="&amp;StockList_MS2!A229,"株探"))</f>
        <v/>
      </c>
      <c r="C230" s="10" t="str">
        <f>IF(StockList_MS2!A229="","",StockList_MS2!A229)</f>
        <v/>
      </c>
      <c r="D230" s="12" t="str">
        <f>IF(StockList_MS2!A229="","",StockList_MS2!B229)</f>
        <v/>
      </c>
      <c r="E230" s="13"/>
      <c r="F230" s="13"/>
      <c r="G230" s="13"/>
      <c r="H230" s="13"/>
      <c r="I230" s="20"/>
      <c r="J230" s="13"/>
      <c r="K230" s="13"/>
      <c r="L230" s="13"/>
      <c r="M230" s="5" t="str">
        <f t="shared" si="31"/>
        <v/>
      </c>
      <c r="N230" s="9" t="str">
        <f>IF(OR(E230="",F230="",G230=""),"",IF(AD230&gt;0,AD230,(F230-G230)/SQRT(操作パネル_MS2!$H$12)*操作パネル_MS2!$H$10))</f>
        <v/>
      </c>
      <c r="O230" s="5" t="str">
        <f>IF(OR(E230="",AC230=""),"",IF(AC230&gt;=操作パネル_MS2!$H$3,"VOL-OK","VOL-NG"))</f>
        <v/>
      </c>
      <c r="P230" s="5" t="str">
        <f t="shared" si="33"/>
        <v/>
      </c>
      <c r="Q230" s="5" t="str">
        <f t="shared" si="34"/>
        <v/>
      </c>
      <c r="R230" s="5" t="str">
        <f t="shared" si="35"/>
        <v/>
      </c>
      <c r="S230" s="9" t="str">
        <f t="shared" si="36"/>
        <v/>
      </c>
      <c r="T230" s="9" t="str">
        <f>IF(R230="","",IF(R230="BUY",E230-N230*操作パネル_MS2!$H$5,E230+N230*操作パネル_MS2!$H$5))</f>
        <v/>
      </c>
      <c r="U230" s="9" t="str">
        <f>IF(R230="","",IF(R230="BUY",E230+N230*操作パネル_MS2!$H$6,E230-N230*操作パネル_MS2!$H$6))</f>
        <v/>
      </c>
      <c r="V230" s="9" t="str">
        <f>IF(R230="","",IF(R230="BUY",E230+N230*操作パネル_MS2!$H$7,E230-N230*操作パネル_MS2!$H$7))</f>
        <v/>
      </c>
      <c r="W230" s="9" t="str">
        <f>IF(R230="","",IF(R230="BUY",E230+N230*操作パネル_MS2!$H$8,E230-N230*操作パネル_MS2!$H$8))</f>
        <v/>
      </c>
      <c r="X230" s="5" t="str">
        <f t="shared" si="37"/>
        <v/>
      </c>
      <c r="Y230" s="5" t="str">
        <f t="shared" ca="1" si="38"/>
        <v/>
      </c>
      <c r="Z230" s="5" t="str">
        <f>IF(OR(E230="",N230&lt;=0),"",IF(N230&gt;E230*操作パネル_MS2!$H$4,"VOL-HIGH","VOL-NORMAL"))</f>
        <v/>
      </c>
      <c r="AA230" s="5" t="str">
        <f t="shared" si="39"/>
        <v/>
      </c>
      <c r="AB230" s="5" t="str">
        <f t="shared" si="40"/>
        <v/>
      </c>
      <c r="AC230" s="30" t="str">
        <f>IF(C230="","",_xll.RssMarket(C230&amp;"","売買代金"))</f>
        <v/>
      </c>
      <c r="AD230" s="31">
        <f>IFERROR(INDEX(ATRHIST_MS2!$H:$H,MATCH(C230,ATRHIST_MS2!$A:$A,0)),0)</f>
        <v>0</v>
      </c>
    </row>
    <row r="231" spans="1:30" ht="25.95" customHeight="1">
      <c r="A231" s="5" t="str">
        <f t="shared" si="32"/>
        <v/>
      </c>
      <c r="B231" s="6" t="str">
        <f>IF(StockList_MS2!A230="","",HYPERLINK("https://kabutan.jp/stock/?code="&amp;StockList_MS2!A230,"株探"))</f>
        <v/>
      </c>
      <c r="C231" s="5" t="str">
        <f>IF(StockList_MS2!A230="","",StockList_MS2!A230)</f>
        <v/>
      </c>
      <c r="D231" s="7" t="str">
        <f>IF(StockList_MS2!A230="","",StockList_MS2!B230)</f>
        <v/>
      </c>
      <c r="E231" s="8"/>
      <c r="F231" s="8"/>
      <c r="G231" s="8"/>
      <c r="H231" s="8"/>
      <c r="I231" s="19"/>
      <c r="J231" s="8"/>
      <c r="K231" s="8"/>
      <c r="L231" s="8"/>
      <c r="M231" s="5" t="str">
        <f t="shared" ref="M231:M294" si="41">IF(E231="","",IF(E231&gt;L231,"BUY-DAY","SELL-DAY"))</f>
        <v/>
      </c>
      <c r="N231" s="9" t="str">
        <f>IF(OR(E231="",F231="",G231=""),"",IF(AD231&gt;0,AD231,(F231-G231)/SQRT(操作パネル_MS2!$H$12)*操作パネル_MS2!$H$10))</f>
        <v/>
      </c>
      <c r="O231" s="5" t="str">
        <f>IF(OR(E231="",AC231=""),"",IF(AC231&gt;=操作パネル_MS2!$H$3,"VOL-OK","VOL-NG"))</f>
        <v/>
      </c>
      <c r="P231" s="5" t="str">
        <f t="shared" si="33"/>
        <v/>
      </c>
      <c r="Q231" s="5" t="str">
        <f t="shared" si="34"/>
        <v/>
      </c>
      <c r="R231" s="5" t="str">
        <f t="shared" si="35"/>
        <v/>
      </c>
      <c r="S231" s="9" t="str">
        <f t="shared" si="36"/>
        <v/>
      </c>
      <c r="T231" s="9" t="str">
        <f>IF(R231="","",IF(R231="BUY",E231-N231*操作パネル_MS2!$H$5,E231+N231*操作パネル_MS2!$H$5))</f>
        <v/>
      </c>
      <c r="U231" s="9" t="str">
        <f>IF(R231="","",IF(R231="BUY",E231+N231*操作パネル_MS2!$H$6,E231-N231*操作パネル_MS2!$H$6))</f>
        <v/>
      </c>
      <c r="V231" s="9" t="str">
        <f>IF(R231="","",IF(R231="BUY",E231+N231*操作パネル_MS2!$H$7,E231-N231*操作パネル_MS2!$H$7))</f>
        <v/>
      </c>
      <c r="W231" s="9" t="str">
        <f>IF(R231="","",IF(R231="BUY",E231+N231*操作パネル_MS2!$H$8,E231-N231*操作パネル_MS2!$H$8))</f>
        <v/>
      </c>
      <c r="X231" s="5" t="str">
        <f t="shared" si="37"/>
        <v/>
      </c>
      <c r="Y231" s="5" t="str">
        <f t="shared" ca="1" si="38"/>
        <v/>
      </c>
      <c r="Z231" s="5" t="str">
        <f>IF(OR(E231="",N231&lt;=0),"",IF(N231&gt;E231*操作パネル_MS2!$H$4,"VOL-HIGH","VOL-NORMAL"))</f>
        <v/>
      </c>
      <c r="AA231" s="5" t="str">
        <f t="shared" si="39"/>
        <v/>
      </c>
      <c r="AB231" s="5" t="str">
        <f t="shared" si="40"/>
        <v/>
      </c>
      <c r="AC231" s="30" t="str">
        <f>IF(C231="","",_xll.RssMarket(C231&amp;"","売買代金"))</f>
        <v/>
      </c>
      <c r="AD231" s="31">
        <f>IFERROR(INDEX(ATRHIST_MS2!$H:$H,MATCH(C231,ATRHIST_MS2!$A:$A,0)),0)</f>
        <v>0</v>
      </c>
    </row>
    <row r="232" spans="1:30" ht="25.95" customHeight="1">
      <c r="A232" s="10" t="str">
        <f t="shared" si="32"/>
        <v/>
      </c>
      <c r="B232" s="11" t="str">
        <f>IF(StockList_MS2!A231="","",HYPERLINK("https://kabutan.jp/stock/?code="&amp;StockList_MS2!A231,"株探"))</f>
        <v/>
      </c>
      <c r="C232" s="10" t="str">
        <f>IF(StockList_MS2!A231="","",StockList_MS2!A231)</f>
        <v/>
      </c>
      <c r="D232" s="12" t="str">
        <f>IF(StockList_MS2!A231="","",StockList_MS2!B231)</f>
        <v/>
      </c>
      <c r="E232" s="13"/>
      <c r="F232" s="13"/>
      <c r="G232" s="13"/>
      <c r="H232" s="13"/>
      <c r="I232" s="20"/>
      <c r="J232" s="13"/>
      <c r="K232" s="13"/>
      <c r="L232" s="13"/>
      <c r="M232" s="5" t="str">
        <f t="shared" si="41"/>
        <v/>
      </c>
      <c r="N232" s="9" t="str">
        <f>IF(OR(E232="",F232="",G232=""),"",IF(AD232&gt;0,AD232,(F232-G232)/SQRT(操作パネル_MS2!$H$12)*操作パネル_MS2!$H$10))</f>
        <v/>
      </c>
      <c r="O232" s="5" t="str">
        <f>IF(OR(E232="",AC232=""),"",IF(AC232&gt;=操作パネル_MS2!$H$3,"VOL-OK","VOL-NG"))</f>
        <v/>
      </c>
      <c r="P232" s="5" t="str">
        <f t="shared" si="33"/>
        <v/>
      </c>
      <c r="Q232" s="5" t="str">
        <f t="shared" si="34"/>
        <v/>
      </c>
      <c r="R232" s="5" t="str">
        <f t="shared" si="35"/>
        <v/>
      </c>
      <c r="S232" s="9" t="str">
        <f t="shared" si="36"/>
        <v/>
      </c>
      <c r="T232" s="9" t="str">
        <f>IF(R232="","",IF(R232="BUY",E232-N232*操作パネル_MS2!$H$5,E232+N232*操作パネル_MS2!$H$5))</f>
        <v/>
      </c>
      <c r="U232" s="9" t="str">
        <f>IF(R232="","",IF(R232="BUY",E232+N232*操作パネル_MS2!$H$6,E232-N232*操作パネル_MS2!$H$6))</f>
        <v/>
      </c>
      <c r="V232" s="9" t="str">
        <f>IF(R232="","",IF(R232="BUY",E232+N232*操作パネル_MS2!$H$7,E232-N232*操作パネル_MS2!$H$7))</f>
        <v/>
      </c>
      <c r="W232" s="9" t="str">
        <f>IF(R232="","",IF(R232="BUY",E232+N232*操作パネル_MS2!$H$8,E232-N232*操作パネル_MS2!$H$8))</f>
        <v/>
      </c>
      <c r="X232" s="5" t="str">
        <f t="shared" si="37"/>
        <v/>
      </c>
      <c r="Y232" s="5" t="str">
        <f t="shared" ca="1" si="38"/>
        <v/>
      </c>
      <c r="Z232" s="5" t="str">
        <f>IF(OR(E232="",N232&lt;=0),"",IF(N232&gt;E232*操作パネル_MS2!$H$4,"VOL-HIGH","VOL-NORMAL"))</f>
        <v/>
      </c>
      <c r="AA232" s="5" t="str">
        <f t="shared" si="39"/>
        <v/>
      </c>
      <c r="AB232" s="5" t="str">
        <f t="shared" si="40"/>
        <v/>
      </c>
      <c r="AC232" s="30" t="str">
        <f>IF(C232="","",_xll.RssMarket(C232&amp;"","売買代金"))</f>
        <v/>
      </c>
      <c r="AD232" s="31">
        <f>IFERROR(INDEX(ATRHIST_MS2!$H:$H,MATCH(C232,ATRHIST_MS2!$A:$A,0)),0)</f>
        <v>0</v>
      </c>
    </row>
    <row r="233" spans="1:30" ht="25.95" customHeight="1">
      <c r="A233" s="5" t="str">
        <f t="shared" si="32"/>
        <v/>
      </c>
      <c r="B233" s="6" t="str">
        <f>IF(StockList_MS2!A232="","",HYPERLINK("https://kabutan.jp/stock/?code="&amp;StockList_MS2!A232,"株探"))</f>
        <v/>
      </c>
      <c r="C233" s="5" t="str">
        <f>IF(StockList_MS2!A232="","",StockList_MS2!A232)</f>
        <v/>
      </c>
      <c r="D233" s="7" t="str">
        <f>IF(StockList_MS2!A232="","",StockList_MS2!B232)</f>
        <v/>
      </c>
      <c r="E233" s="8"/>
      <c r="F233" s="8"/>
      <c r="G233" s="8"/>
      <c r="H233" s="8"/>
      <c r="I233" s="19"/>
      <c r="J233" s="8"/>
      <c r="K233" s="8"/>
      <c r="L233" s="8"/>
      <c r="M233" s="5" t="str">
        <f t="shared" si="41"/>
        <v/>
      </c>
      <c r="N233" s="9" t="str">
        <f>IF(OR(E233="",F233="",G233=""),"",IF(AD233&gt;0,AD233,(F233-G233)/SQRT(操作パネル_MS2!$H$12)*操作パネル_MS2!$H$10))</f>
        <v/>
      </c>
      <c r="O233" s="5" t="str">
        <f>IF(OR(E233="",AC233=""),"",IF(AC233&gt;=操作パネル_MS2!$H$3,"VOL-OK","VOL-NG"))</f>
        <v/>
      </c>
      <c r="P233" s="5" t="str">
        <f t="shared" si="33"/>
        <v/>
      </c>
      <c r="Q233" s="5" t="str">
        <f t="shared" si="34"/>
        <v/>
      </c>
      <c r="R233" s="5" t="str">
        <f t="shared" si="35"/>
        <v/>
      </c>
      <c r="S233" s="9" t="str">
        <f t="shared" si="36"/>
        <v/>
      </c>
      <c r="T233" s="9" t="str">
        <f>IF(R233="","",IF(R233="BUY",E233-N233*操作パネル_MS2!$H$5,E233+N233*操作パネル_MS2!$H$5))</f>
        <v/>
      </c>
      <c r="U233" s="9" t="str">
        <f>IF(R233="","",IF(R233="BUY",E233+N233*操作パネル_MS2!$H$6,E233-N233*操作パネル_MS2!$H$6))</f>
        <v/>
      </c>
      <c r="V233" s="9" t="str">
        <f>IF(R233="","",IF(R233="BUY",E233+N233*操作パネル_MS2!$H$7,E233-N233*操作パネル_MS2!$H$7))</f>
        <v/>
      </c>
      <c r="W233" s="9" t="str">
        <f>IF(R233="","",IF(R233="BUY",E233+N233*操作パネル_MS2!$H$8,E233-N233*操作パネル_MS2!$H$8))</f>
        <v/>
      </c>
      <c r="X233" s="5" t="str">
        <f t="shared" si="37"/>
        <v/>
      </c>
      <c r="Y233" s="5" t="str">
        <f t="shared" ca="1" si="38"/>
        <v/>
      </c>
      <c r="Z233" s="5" t="str">
        <f>IF(OR(E233="",N233&lt;=0),"",IF(N233&gt;E233*操作パネル_MS2!$H$4,"VOL-HIGH","VOL-NORMAL"))</f>
        <v/>
      </c>
      <c r="AA233" s="5" t="str">
        <f t="shared" si="39"/>
        <v/>
      </c>
      <c r="AB233" s="5" t="str">
        <f t="shared" si="40"/>
        <v/>
      </c>
      <c r="AC233" s="30" t="str">
        <f>IF(C233="","",_xll.RssMarket(C233&amp;"","売買代金"))</f>
        <v/>
      </c>
      <c r="AD233" s="31">
        <f>IFERROR(INDEX(ATRHIST_MS2!$H:$H,MATCH(C233,ATRHIST_MS2!$A:$A,0)),0)</f>
        <v>0</v>
      </c>
    </row>
    <row r="234" spans="1:30" ht="25.95" customHeight="1">
      <c r="A234" s="10" t="str">
        <f t="shared" si="32"/>
        <v/>
      </c>
      <c r="B234" s="11" t="str">
        <f>IF(StockList_MS2!A233="","",HYPERLINK("https://kabutan.jp/stock/?code="&amp;StockList_MS2!A233,"株探"))</f>
        <v/>
      </c>
      <c r="C234" s="10" t="str">
        <f>IF(StockList_MS2!A233="","",StockList_MS2!A233)</f>
        <v/>
      </c>
      <c r="D234" s="12" t="str">
        <f>IF(StockList_MS2!A233="","",StockList_MS2!B233)</f>
        <v/>
      </c>
      <c r="E234" s="13"/>
      <c r="F234" s="13"/>
      <c r="G234" s="13"/>
      <c r="H234" s="13"/>
      <c r="I234" s="20"/>
      <c r="J234" s="13"/>
      <c r="K234" s="13"/>
      <c r="L234" s="13"/>
      <c r="M234" s="5" t="str">
        <f t="shared" si="41"/>
        <v/>
      </c>
      <c r="N234" s="9" t="str">
        <f>IF(OR(E234="",F234="",G234=""),"",IF(AD234&gt;0,AD234,(F234-G234)/SQRT(操作パネル_MS2!$H$12)*操作パネル_MS2!$H$10))</f>
        <v/>
      </c>
      <c r="O234" s="5" t="str">
        <f>IF(OR(E234="",AC234=""),"",IF(AC234&gt;=操作パネル_MS2!$H$3,"VOL-OK","VOL-NG"))</f>
        <v/>
      </c>
      <c r="P234" s="5" t="str">
        <f t="shared" si="33"/>
        <v/>
      </c>
      <c r="Q234" s="5" t="str">
        <f t="shared" si="34"/>
        <v/>
      </c>
      <c r="R234" s="5" t="str">
        <f t="shared" si="35"/>
        <v/>
      </c>
      <c r="S234" s="9" t="str">
        <f t="shared" si="36"/>
        <v/>
      </c>
      <c r="T234" s="9" t="str">
        <f>IF(R234="","",IF(R234="BUY",E234-N234*操作パネル_MS2!$H$5,E234+N234*操作パネル_MS2!$H$5))</f>
        <v/>
      </c>
      <c r="U234" s="9" t="str">
        <f>IF(R234="","",IF(R234="BUY",E234+N234*操作パネル_MS2!$H$6,E234-N234*操作パネル_MS2!$H$6))</f>
        <v/>
      </c>
      <c r="V234" s="9" t="str">
        <f>IF(R234="","",IF(R234="BUY",E234+N234*操作パネル_MS2!$H$7,E234-N234*操作パネル_MS2!$H$7))</f>
        <v/>
      </c>
      <c r="W234" s="9" t="str">
        <f>IF(R234="","",IF(R234="BUY",E234+N234*操作パネル_MS2!$H$8,E234-N234*操作パネル_MS2!$H$8))</f>
        <v/>
      </c>
      <c r="X234" s="5" t="str">
        <f t="shared" si="37"/>
        <v/>
      </c>
      <c r="Y234" s="5" t="str">
        <f t="shared" ca="1" si="38"/>
        <v/>
      </c>
      <c r="Z234" s="5" t="str">
        <f>IF(OR(E234="",N234&lt;=0),"",IF(N234&gt;E234*操作パネル_MS2!$H$4,"VOL-HIGH","VOL-NORMAL"))</f>
        <v/>
      </c>
      <c r="AA234" s="5" t="str">
        <f t="shared" si="39"/>
        <v/>
      </c>
      <c r="AB234" s="5" t="str">
        <f t="shared" si="40"/>
        <v/>
      </c>
      <c r="AC234" s="30" t="str">
        <f>IF(C234="","",_xll.RssMarket(C234&amp;"","売買代金"))</f>
        <v/>
      </c>
      <c r="AD234" s="31">
        <f>IFERROR(INDEX(ATRHIST_MS2!$H:$H,MATCH(C234,ATRHIST_MS2!$A:$A,0)),0)</f>
        <v>0</v>
      </c>
    </row>
    <row r="235" spans="1:30" ht="25.95" customHeight="1">
      <c r="A235" s="5" t="str">
        <f t="shared" si="32"/>
        <v/>
      </c>
      <c r="B235" s="6" t="str">
        <f>IF(StockList_MS2!A234="","",HYPERLINK("https://kabutan.jp/stock/?code="&amp;StockList_MS2!A234,"株探"))</f>
        <v/>
      </c>
      <c r="C235" s="5" t="str">
        <f>IF(StockList_MS2!A234="","",StockList_MS2!A234)</f>
        <v/>
      </c>
      <c r="D235" s="7" t="str">
        <f>IF(StockList_MS2!A234="","",StockList_MS2!B234)</f>
        <v/>
      </c>
      <c r="E235" s="8"/>
      <c r="F235" s="8"/>
      <c r="G235" s="8"/>
      <c r="H235" s="8"/>
      <c r="I235" s="19"/>
      <c r="J235" s="8"/>
      <c r="K235" s="8"/>
      <c r="L235" s="8"/>
      <c r="M235" s="5" t="str">
        <f t="shared" si="41"/>
        <v/>
      </c>
      <c r="N235" s="9" t="str">
        <f>IF(OR(E235="",F235="",G235=""),"",IF(AD235&gt;0,AD235,(F235-G235)/SQRT(操作パネル_MS2!$H$12)*操作パネル_MS2!$H$10))</f>
        <v/>
      </c>
      <c r="O235" s="5" t="str">
        <f>IF(OR(E235="",AC235=""),"",IF(AC235&gt;=操作パネル_MS2!$H$3,"VOL-OK","VOL-NG"))</f>
        <v/>
      </c>
      <c r="P235" s="5" t="str">
        <f t="shared" si="33"/>
        <v/>
      </c>
      <c r="Q235" s="5" t="str">
        <f t="shared" si="34"/>
        <v/>
      </c>
      <c r="R235" s="5" t="str">
        <f t="shared" si="35"/>
        <v/>
      </c>
      <c r="S235" s="9" t="str">
        <f t="shared" si="36"/>
        <v/>
      </c>
      <c r="T235" s="9" t="str">
        <f>IF(R235="","",IF(R235="BUY",E235-N235*操作パネル_MS2!$H$5,E235+N235*操作パネル_MS2!$H$5))</f>
        <v/>
      </c>
      <c r="U235" s="9" t="str">
        <f>IF(R235="","",IF(R235="BUY",E235+N235*操作パネル_MS2!$H$6,E235-N235*操作パネル_MS2!$H$6))</f>
        <v/>
      </c>
      <c r="V235" s="9" t="str">
        <f>IF(R235="","",IF(R235="BUY",E235+N235*操作パネル_MS2!$H$7,E235-N235*操作パネル_MS2!$H$7))</f>
        <v/>
      </c>
      <c r="W235" s="9" t="str">
        <f>IF(R235="","",IF(R235="BUY",E235+N235*操作パネル_MS2!$H$8,E235-N235*操作パネル_MS2!$H$8))</f>
        <v/>
      </c>
      <c r="X235" s="5" t="str">
        <f t="shared" si="37"/>
        <v/>
      </c>
      <c r="Y235" s="5" t="str">
        <f t="shared" ca="1" si="38"/>
        <v/>
      </c>
      <c r="Z235" s="5" t="str">
        <f>IF(OR(E235="",N235&lt;=0),"",IF(N235&gt;E235*操作パネル_MS2!$H$4,"VOL-HIGH","VOL-NORMAL"))</f>
        <v/>
      </c>
      <c r="AA235" s="5" t="str">
        <f t="shared" si="39"/>
        <v/>
      </c>
      <c r="AB235" s="5" t="str">
        <f t="shared" si="40"/>
        <v/>
      </c>
      <c r="AC235" s="30" t="str">
        <f>IF(C235="","",_xll.RssMarket(C235&amp;"","売買代金"))</f>
        <v/>
      </c>
      <c r="AD235" s="31">
        <f>IFERROR(INDEX(ATRHIST_MS2!$H:$H,MATCH(C235,ATRHIST_MS2!$A:$A,0)),0)</f>
        <v>0</v>
      </c>
    </row>
    <row r="236" spans="1:30" ht="25.95" customHeight="1">
      <c r="A236" s="10" t="str">
        <f t="shared" si="32"/>
        <v/>
      </c>
      <c r="B236" s="11" t="str">
        <f>IF(StockList_MS2!A235="","",HYPERLINK("https://kabutan.jp/stock/?code="&amp;StockList_MS2!A235,"株探"))</f>
        <v/>
      </c>
      <c r="C236" s="10" t="str">
        <f>IF(StockList_MS2!A235="","",StockList_MS2!A235)</f>
        <v/>
      </c>
      <c r="D236" s="12" t="str">
        <f>IF(StockList_MS2!A235="","",StockList_MS2!B235)</f>
        <v/>
      </c>
      <c r="E236" s="13"/>
      <c r="F236" s="13"/>
      <c r="G236" s="13"/>
      <c r="H236" s="13"/>
      <c r="I236" s="20"/>
      <c r="J236" s="13"/>
      <c r="K236" s="13"/>
      <c r="L236" s="13"/>
      <c r="M236" s="5" t="str">
        <f t="shared" si="41"/>
        <v/>
      </c>
      <c r="N236" s="9" t="str">
        <f>IF(OR(E236="",F236="",G236=""),"",IF(AD236&gt;0,AD236,(F236-G236)/SQRT(操作パネル_MS2!$H$12)*操作パネル_MS2!$H$10))</f>
        <v/>
      </c>
      <c r="O236" s="5" t="str">
        <f>IF(OR(E236="",AC236=""),"",IF(AC236&gt;=操作パネル_MS2!$H$3,"VOL-OK","VOL-NG"))</f>
        <v/>
      </c>
      <c r="P236" s="5" t="str">
        <f t="shared" si="33"/>
        <v/>
      </c>
      <c r="Q236" s="5" t="str">
        <f t="shared" si="34"/>
        <v/>
      </c>
      <c r="R236" s="5" t="str">
        <f t="shared" si="35"/>
        <v/>
      </c>
      <c r="S236" s="9" t="str">
        <f t="shared" si="36"/>
        <v/>
      </c>
      <c r="T236" s="9" t="str">
        <f>IF(R236="","",IF(R236="BUY",E236-N236*操作パネル_MS2!$H$5,E236+N236*操作パネル_MS2!$H$5))</f>
        <v/>
      </c>
      <c r="U236" s="9" t="str">
        <f>IF(R236="","",IF(R236="BUY",E236+N236*操作パネル_MS2!$H$6,E236-N236*操作パネル_MS2!$H$6))</f>
        <v/>
      </c>
      <c r="V236" s="9" t="str">
        <f>IF(R236="","",IF(R236="BUY",E236+N236*操作パネル_MS2!$H$7,E236-N236*操作パネル_MS2!$H$7))</f>
        <v/>
      </c>
      <c r="W236" s="9" t="str">
        <f>IF(R236="","",IF(R236="BUY",E236+N236*操作パネル_MS2!$H$8,E236-N236*操作パネル_MS2!$H$8))</f>
        <v/>
      </c>
      <c r="X236" s="5" t="str">
        <f t="shared" si="37"/>
        <v/>
      </c>
      <c r="Y236" s="5" t="str">
        <f t="shared" ca="1" si="38"/>
        <v/>
      </c>
      <c r="Z236" s="5" t="str">
        <f>IF(OR(E236="",N236&lt;=0),"",IF(N236&gt;E236*操作パネル_MS2!$H$4,"VOL-HIGH","VOL-NORMAL"))</f>
        <v/>
      </c>
      <c r="AA236" s="5" t="str">
        <f t="shared" si="39"/>
        <v/>
      </c>
      <c r="AB236" s="5" t="str">
        <f t="shared" si="40"/>
        <v/>
      </c>
      <c r="AC236" s="30" t="str">
        <f>IF(C236="","",_xll.RssMarket(C236&amp;"","売買代金"))</f>
        <v/>
      </c>
      <c r="AD236" s="31">
        <f>IFERROR(INDEX(ATRHIST_MS2!$H:$H,MATCH(C236,ATRHIST_MS2!$A:$A,0)),0)</f>
        <v>0</v>
      </c>
    </row>
    <row r="237" spans="1:30" ht="25.95" customHeight="1">
      <c r="A237" s="5" t="str">
        <f t="shared" si="32"/>
        <v/>
      </c>
      <c r="B237" s="6" t="str">
        <f>IF(StockList_MS2!A236="","",HYPERLINK("https://kabutan.jp/stock/?code="&amp;StockList_MS2!A236,"株探"))</f>
        <v/>
      </c>
      <c r="C237" s="5" t="str">
        <f>IF(StockList_MS2!A236="","",StockList_MS2!A236)</f>
        <v/>
      </c>
      <c r="D237" s="7" t="str">
        <f>IF(StockList_MS2!A236="","",StockList_MS2!B236)</f>
        <v/>
      </c>
      <c r="E237" s="8"/>
      <c r="F237" s="8"/>
      <c r="G237" s="8"/>
      <c r="H237" s="8"/>
      <c r="I237" s="19"/>
      <c r="J237" s="8"/>
      <c r="K237" s="8"/>
      <c r="L237" s="8"/>
      <c r="M237" s="5" t="str">
        <f t="shared" si="41"/>
        <v/>
      </c>
      <c r="N237" s="9" t="str">
        <f>IF(OR(E237="",F237="",G237=""),"",IF(AD237&gt;0,AD237,(F237-G237)/SQRT(操作パネル_MS2!$H$12)*操作パネル_MS2!$H$10))</f>
        <v/>
      </c>
      <c r="O237" s="5" t="str">
        <f>IF(OR(E237="",AC237=""),"",IF(AC237&gt;=操作パネル_MS2!$H$3,"VOL-OK","VOL-NG"))</f>
        <v/>
      </c>
      <c r="P237" s="5" t="str">
        <f t="shared" si="33"/>
        <v/>
      </c>
      <c r="Q237" s="5" t="str">
        <f t="shared" si="34"/>
        <v/>
      </c>
      <c r="R237" s="5" t="str">
        <f t="shared" si="35"/>
        <v/>
      </c>
      <c r="S237" s="9" t="str">
        <f t="shared" si="36"/>
        <v/>
      </c>
      <c r="T237" s="9" t="str">
        <f>IF(R237="","",IF(R237="BUY",E237-N237*操作パネル_MS2!$H$5,E237+N237*操作パネル_MS2!$H$5))</f>
        <v/>
      </c>
      <c r="U237" s="9" t="str">
        <f>IF(R237="","",IF(R237="BUY",E237+N237*操作パネル_MS2!$H$6,E237-N237*操作パネル_MS2!$H$6))</f>
        <v/>
      </c>
      <c r="V237" s="9" t="str">
        <f>IF(R237="","",IF(R237="BUY",E237+N237*操作パネル_MS2!$H$7,E237-N237*操作パネル_MS2!$H$7))</f>
        <v/>
      </c>
      <c r="W237" s="9" t="str">
        <f>IF(R237="","",IF(R237="BUY",E237+N237*操作パネル_MS2!$H$8,E237-N237*操作パネル_MS2!$H$8))</f>
        <v/>
      </c>
      <c r="X237" s="5" t="str">
        <f t="shared" si="37"/>
        <v/>
      </c>
      <c r="Y237" s="5" t="str">
        <f t="shared" ca="1" si="38"/>
        <v/>
      </c>
      <c r="Z237" s="5" t="str">
        <f>IF(OR(E237="",N237&lt;=0),"",IF(N237&gt;E237*操作パネル_MS2!$H$4,"VOL-HIGH","VOL-NORMAL"))</f>
        <v/>
      </c>
      <c r="AA237" s="5" t="str">
        <f t="shared" si="39"/>
        <v/>
      </c>
      <c r="AB237" s="5" t="str">
        <f t="shared" si="40"/>
        <v/>
      </c>
      <c r="AC237" s="30" t="str">
        <f>IF(C237="","",_xll.RssMarket(C237&amp;"","売買代金"))</f>
        <v/>
      </c>
      <c r="AD237" s="31">
        <f>IFERROR(INDEX(ATRHIST_MS2!$H:$H,MATCH(C237,ATRHIST_MS2!$A:$A,0)),0)</f>
        <v>0</v>
      </c>
    </row>
    <row r="238" spans="1:30" ht="25.95" customHeight="1">
      <c r="A238" s="10" t="str">
        <f t="shared" si="32"/>
        <v/>
      </c>
      <c r="B238" s="11" t="str">
        <f>IF(StockList_MS2!A237="","",HYPERLINK("https://kabutan.jp/stock/?code="&amp;StockList_MS2!A237,"株探"))</f>
        <v/>
      </c>
      <c r="C238" s="10" t="str">
        <f>IF(StockList_MS2!A237="","",StockList_MS2!A237)</f>
        <v/>
      </c>
      <c r="D238" s="12" t="str">
        <f>IF(StockList_MS2!A237="","",StockList_MS2!B237)</f>
        <v/>
      </c>
      <c r="E238" s="13"/>
      <c r="F238" s="13"/>
      <c r="G238" s="13"/>
      <c r="H238" s="13"/>
      <c r="I238" s="20"/>
      <c r="J238" s="13"/>
      <c r="K238" s="13"/>
      <c r="L238" s="13"/>
      <c r="M238" s="5" t="str">
        <f t="shared" si="41"/>
        <v/>
      </c>
      <c r="N238" s="9" t="str">
        <f>IF(OR(E238="",F238="",G238=""),"",IF(AD238&gt;0,AD238,(F238-G238)/SQRT(操作パネル_MS2!$H$12)*操作パネル_MS2!$H$10))</f>
        <v/>
      </c>
      <c r="O238" s="5" t="str">
        <f>IF(OR(E238="",AC238=""),"",IF(AC238&gt;=操作パネル_MS2!$H$3,"VOL-OK","VOL-NG"))</f>
        <v/>
      </c>
      <c r="P238" s="5" t="str">
        <f t="shared" si="33"/>
        <v/>
      </c>
      <c r="Q238" s="5" t="str">
        <f t="shared" si="34"/>
        <v/>
      </c>
      <c r="R238" s="5" t="str">
        <f t="shared" si="35"/>
        <v/>
      </c>
      <c r="S238" s="9" t="str">
        <f t="shared" si="36"/>
        <v/>
      </c>
      <c r="T238" s="9" t="str">
        <f>IF(R238="","",IF(R238="BUY",E238-N238*操作パネル_MS2!$H$5,E238+N238*操作パネル_MS2!$H$5))</f>
        <v/>
      </c>
      <c r="U238" s="9" t="str">
        <f>IF(R238="","",IF(R238="BUY",E238+N238*操作パネル_MS2!$H$6,E238-N238*操作パネル_MS2!$H$6))</f>
        <v/>
      </c>
      <c r="V238" s="9" t="str">
        <f>IF(R238="","",IF(R238="BUY",E238+N238*操作パネル_MS2!$H$7,E238-N238*操作パネル_MS2!$H$7))</f>
        <v/>
      </c>
      <c r="W238" s="9" t="str">
        <f>IF(R238="","",IF(R238="BUY",E238+N238*操作パネル_MS2!$H$8,E238-N238*操作パネル_MS2!$H$8))</f>
        <v/>
      </c>
      <c r="X238" s="5" t="str">
        <f t="shared" si="37"/>
        <v/>
      </c>
      <c r="Y238" s="5" t="str">
        <f t="shared" ca="1" si="38"/>
        <v/>
      </c>
      <c r="Z238" s="5" t="str">
        <f>IF(OR(E238="",N238&lt;=0),"",IF(N238&gt;E238*操作パネル_MS2!$H$4,"VOL-HIGH","VOL-NORMAL"))</f>
        <v/>
      </c>
      <c r="AA238" s="5" t="str">
        <f t="shared" si="39"/>
        <v/>
      </c>
      <c r="AB238" s="5" t="str">
        <f t="shared" si="40"/>
        <v/>
      </c>
      <c r="AC238" s="30" t="str">
        <f>IF(C238="","",_xll.RssMarket(C238&amp;"","売買代金"))</f>
        <v/>
      </c>
      <c r="AD238" s="31">
        <f>IFERROR(INDEX(ATRHIST_MS2!$H:$H,MATCH(C238,ATRHIST_MS2!$A:$A,0)),0)</f>
        <v>0</v>
      </c>
    </row>
    <row r="239" spans="1:30" ht="25.95" customHeight="1">
      <c r="A239" s="5" t="str">
        <f t="shared" si="32"/>
        <v/>
      </c>
      <c r="B239" s="6" t="str">
        <f>IF(StockList_MS2!A238="","",HYPERLINK("https://kabutan.jp/stock/?code="&amp;StockList_MS2!A238,"株探"))</f>
        <v/>
      </c>
      <c r="C239" s="5" t="str">
        <f>IF(StockList_MS2!A238="","",StockList_MS2!A238)</f>
        <v/>
      </c>
      <c r="D239" s="7" t="str">
        <f>IF(StockList_MS2!A238="","",StockList_MS2!B238)</f>
        <v/>
      </c>
      <c r="E239" s="8"/>
      <c r="F239" s="8"/>
      <c r="G239" s="8"/>
      <c r="H239" s="8"/>
      <c r="I239" s="19"/>
      <c r="J239" s="8"/>
      <c r="K239" s="8"/>
      <c r="L239" s="8"/>
      <c r="M239" s="5" t="str">
        <f t="shared" si="41"/>
        <v/>
      </c>
      <c r="N239" s="9" t="str">
        <f>IF(OR(E239="",F239="",G239=""),"",IF(AD239&gt;0,AD239,(F239-G239)/SQRT(操作パネル_MS2!$H$12)*操作パネル_MS2!$H$10))</f>
        <v/>
      </c>
      <c r="O239" s="5" t="str">
        <f>IF(OR(E239="",AC239=""),"",IF(AC239&gt;=操作パネル_MS2!$H$3,"VOL-OK","VOL-NG"))</f>
        <v/>
      </c>
      <c r="P239" s="5" t="str">
        <f t="shared" si="33"/>
        <v/>
      </c>
      <c r="Q239" s="5" t="str">
        <f t="shared" si="34"/>
        <v/>
      </c>
      <c r="R239" s="5" t="str">
        <f t="shared" si="35"/>
        <v/>
      </c>
      <c r="S239" s="9" t="str">
        <f t="shared" si="36"/>
        <v/>
      </c>
      <c r="T239" s="9" t="str">
        <f>IF(R239="","",IF(R239="BUY",E239-N239*操作パネル_MS2!$H$5,E239+N239*操作パネル_MS2!$H$5))</f>
        <v/>
      </c>
      <c r="U239" s="9" t="str">
        <f>IF(R239="","",IF(R239="BUY",E239+N239*操作パネル_MS2!$H$6,E239-N239*操作パネル_MS2!$H$6))</f>
        <v/>
      </c>
      <c r="V239" s="9" t="str">
        <f>IF(R239="","",IF(R239="BUY",E239+N239*操作パネル_MS2!$H$7,E239-N239*操作パネル_MS2!$H$7))</f>
        <v/>
      </c>
      <c r="W239" s="9" t="str">
        <f>IF(R239="","",IF(R239="BUY",E239+N239*操作パネル_MS2!$H$8,E239-N239*操作パネル_MS2!$H$8))</f>
        <v/>
      </c>
      <c r="X239" s="5" t="str">
        <f t="shared" si="37"/>
        <v/>
      </c>
      <c r="Y239" s="5" t="str">
        <f t="shared" ca="1" si="38"/>
        <v/>
      </c>
      <c r="Z239" s="5" t="str">
        <f>IF(OR(E239="",N239&lt;=0),"",IF(N239&gt;E239*操作パネル_MS2!$H$4,"VOL-HIGH","VOL-NORMAL"))</f>
        <v/>
      </c>
      <c r="AA239" s="5" t="str">
        <f t="shared" si="39"/>
        <v/>
      </c>
      <c r="AB239" s="5" t="str">
        <f t="shared" si="40"/>
        <v/>
      </c>
      <c r="AC239" s="30" t="str">
        <f>IF(C239="","",_xll.RssMarket(C239&amp;"","売買代金"))</f>
        <v/>
      </c>
      <c r="AD239" s="31">
        <f>IFERROR(INDEX(ATRHIST_MS2!$H:$H,MATCH(C239,ATRHIST_MS2!$A:$A,0)),0)</f>
        <v>0</v>
      </c>
    </row>
    <row r="240" spans="1:30" ht="25.95" customHeight="1">
      <c r="A240" s="10" t="str">
        <f t="shared" si="32"/>
        <v/>
      </c>
      <c r="B240" s="11" t="str">
        <f>IF(StockList_MS2!A239="","",HYPERLINK("https://kabutan.jp/stock/?code="&amp;StockList_MS2!A239,"株探"))</f>
        <v/>
      </c>
      <c r="C240" s="10" t="str">
        <f>IF(StockList_MS2!A239="","",StockList_MS2!A239)</f>
        <v/>
      </c>
      <c r="D240" s="12" t="str">
        <f>IF(StockList_MS2!A239="","",StockList_MS2!B239)</f>
        <v/>
      </c>
      <c r="E240" s="13"/>
      <c r="F240" s="13"/>
      <c r="G240" s="13"/>
      <c r="H240" s="13"/>
      <c r="I240" s="20"/>
      <c r="J240" s="13"/>
      <c r="K240" s="13"/>
      <c r="L240" s="13"/>
      <c r="M240" s="5" t="str">
        <f t="shared" si="41"/>
        <v/>
      </c>
      <c r="N240" s="9" t="str">
        <f>IF(OR(E240="",F240="",G240=""),"",IF(AD240&gt;0,AD240,(F240-G240)/SQRT(操作パネル_MS2!$H$12)*操作パネル_MS2!$H$10))</f>
        <v/>
      </c>
      <c r="O240" s="5" t="str">
        <f>IF(OR(E240="",AC240=""),"",IF(AC240&gt;=操作パネル_MS2!$H$3,"VOL-OK","VOL-NG"))</f>
        <v/>
      </c>
      <c r="P240" s="5" t="str">
        <f t="shared" si="33"/>
        <v/>
      </c>
      <c r="Q240" s="5" t="str">
        <f t="shared" si="34"/>
        <v/>
      </c>
      <c r="R240" s="5" t="str">
        <f t="shared" si="35"/>
        <v/>
      </c>
      <c r="S240" s="9" t="str">
        <f t="shared" si="36"/>
        <v/>
      </c>
      <c r="T240" s="9" t="str">
        <f>IF(R240="","",IF(R240="BUY",E240-N240*操作パネル_MS2!$H$5,E240+N240*操作パネル_MS2!$H$5))</f>
        <v/>
      </c>
      <c r="U240" s="9" t="str">
        <f>IF(R240="","",IF(R240="BUY",E240+N240*操作パネル_MS2!$H$6,E240-N240*操作パネル_MS2!$H$6))</f>
        <v/>
      </c>
      <c r="V240" s="9" t="str">
        <f>IF(R240="","",IF(R240="BUY",E240+N240*操作パネル_MS2!$H$7,E240-N240*操作パネル_MS2!$H$7))</f>
        <v/>
      </c>
      <c r="W240" s="9" t="str">
        <f>IF(R240="","",IF(R240="BUY",E240+N240*操作パネル_MS2!$H$8,E240-N240*操作パネル_MS2!$H$8))</f>
        <v/>
      </c>
      <c r="X240" s="5" t="str">
        <f t="shared" si="37"/>
        <v/>
      </c>
      <c r="Y240" s="5" t="str">
        <f t="shared" ca="1" si="38"/>
        <v/>
      </c>
      <c r="Z240" s="5" t="str">
        <f>IF(OR(E240="",N240&lt;=0),"",IF(N240&gt;E240*操作パネル_MS2!$H$4,"VOL-HIGH","VOL-NORMAL"))</f>
        <v/>
      </c>
      <c r="AA240" s="5" t="str">
        <f t="shared" si="39"/>
        <v/>
      </c>
      <c r="AB240" s="5" t="str">
        <f t="shared" si="40"/>
        <v/>
      </c>
      <c r="AC240" s="30" t="str">
        <f>IF(C240="","",_xll.RssMarket(C240&amp;"","売買代金"))</f>
        <v/>
      </c>
      <c r="AD240" s="31">
        <f>IFERROR(INDEX(ATRHIST_MS2!$H:$H,MATCH(C240,ATRHIST_MS2!$A:$A,0)),0)</f>
        <v>0</v>
      </c>
    </row>
    <row r="241" spans="1:30" ht="25.95" customHeight="1">
      <c r="A241" s="5" t="str">
        <f t="shared" si="32"/>
        <v/>
      </c>
      <c r="B241" s="6" t="str">
        <f>IF(StockList_MS2!A240="","",HYPERLINK("https://kabutan.jp/stock/?code="&amp;StockList_MS2!A240,"株探"))</f>
        <v/>
      </c>
      <c r="C241" s="5" t="str">
        <f>IF(StockList_MS2!A240="","",StockList_MS2!A240)</f>
        <v/>
      </c>
      <c r="D241" s="7" t="str">
        <f>IF(StockList_MS2!A240="","",StockList_MS2!B240)</f>
        <v/>
      </c>
      <c r="E241" s="8"/>
      <c r="F241" s="8"/>
      <c r="G241" s="8"/>
      <c r="H241" s="8"/>
      <c r="I241" s="19"/>
      <c r="J241" s="8"/>
      <c r="K241" s="8"/>
      <c r="L241" s="8"/>
      <c r="M241" s="5" t="str">
        <f t="shared" si="41"/>
        <v/>
      </c>
      <c r="N241" s="9" t="str">
        <f>IF(OR(E241="",F241="",G241=""),"",IF(AD241&gt;0,AD241,(F241-G241)/SQRT(操作パネル_MS2!$H$12)*操作パネル_MS2!$H$10))</f>
        <v/>
      </c>
      <c r="O241" s="5" t="str">
        <f>IF(OR(E241="",AC241=""),"",IF(AC241&gt;=操作パネル_MS2!$H$3,"VOL-OK","VOL-NG"))</f>
        <v/>
      </c>
      <c r="P241" s="5" t="str">
        <f t="shared" si="33"/>
        <v/>
      </c>
      <c r="Q241" s="5" t="str">
        <f t="shared" si="34"/>
        <v/>
      </c>
      <c r="R241" s="5" t="str">
        <f t="shared" si="35"/>
        <v/>
      </c>
      <c r="S241" s="9" t="str">
        <f t="shared" si="36"/>
        <v/>
      </c>
      <c r="T241" s="9" t="str">
        <f>IF(R241="","",IF(R241="BUY",E241-N241*操作パネル_MS2!$H$5,E241+N241*操作パネル_MS2!$H$5))</f>
        <v/>
      </c>
      <c r="U241" s="9" t="str">
        <f>IF(R241="","",IF(R241="BUY",E241+N241*操作パネル_MS2!$H$6,E241-N241*操作パネル_MS2!$H$6))</f>
        <v/>
      </c>
      <c r="V241" s="9" t="str">
        <f>IF(R241="","",IF(R241="BUY",E241+N241*操作パネル_MS2!$H$7,E241-N241*操作パネル_MS2!$H$7))</f>
        <v/>
      </c>
      <c r="W241" s="9" t="str">
        <f>IF(R241="","",IF(R241="BUY",E241+N241*操作パネル_MS2!$H$8,E241-N241*操作パネル_MS2!$H$8))</f>
        <v/>
      </c>
      <c r="X241" s="5" t="str">
        <f t="shared" si="37"/>
        <v/>
      </c>
      <c r="Y241" s="5" t="str">
        <f t="shared" ca="1" si="38"/>
        <v/>
      </c>
      <c r="Z241" s="5" t="str">
        <f>IF(OR(E241="",N241&lt;=0),"",IF(N241&gt;E241*操作パネル_MS2!$H$4,"VOL-HIGH","VOL-NORMAL"))</f>
        <v/>
      </c>
      <c r="AA241" s="5" t="str">
        <f t="shared" si="39"/>
        <v/>
      </c>
      <c r="AB241" s="5" t="str">
        <f t="shared" si="40"/>
        <v/>
      </c>
      <c r="AC241" s="30" t="str">
        <f>IF(C241="","",_xll.RssMarket(C241&amp;"","売買代金"))</f>
        <v/>
      </c>
      <c r="AD241" s="31">
        <f>IFERROR(INDEX(ATRHIST_MS2!$H:$H,MATCH(C241,ATRHIST_MS2!$A:$A,0)),0)</f>
        <v>0</v>
      </c>
    </row>
    <row r="242" spans="1:30" ht="25.95" customHeight="1">
      <c r="A242" s="10" t="str">
        <f t="shared" si="32"/>
        <v/>
      </c>
      <c r="B242" s="11" t="str">
        <f>IF(StockList_MS2!A241="","",HYPERLINK("https://kabutan.jp/stock/?code="&amp;StockList_MS2!A241,"株探"))</f>
        <v/>
      </c>
      <c r="C242" s="10" t="str">
        <f>IF(StockList_MS2!A241="","",StockList_MS2!A241)</f>
        <v/>
      </c>
      <c r="D242" s="12" t="str">
        <f>IF(StockList_MS2!A241="","",StockList_MS2!B241)</f>
        <v/>
      </c>
      <c r="E242" s="13"/>
      <c r="F242" s="13"/>
      <c r="G242" s="13"/>
      <c r="H242" s="13"/>
      <c r="I242" s="20"/>
      <c r="J242" s="13"/>
      <c r="K242" s="13"/>
      <c r="L242" s="13"/>
      <c r="M242" s="5" t="str">
        <f t="shared" si="41"/>
        <v/>
      </c>
      <c r="N242" s="9" t="str">
        <f>IF(OR(E242="",F242="",G242=""),"",IF(AD242&gt;0,AD242,(F242-G242)/SQRT(操作パネル_MS2!$H$12)*操作パネル_MS2!$H$10))</f>
        <v/>
      </c>
      <c r="O242" s="5" t="str">
        <f>IF(OR(E242="",AC242=""),"",IF(AC242&gt;=操作パネル_MS2!$H$3,"VOL-OK","VOL-NG"))</f>
        <v/>
      </c>
      <c r="P242" s="5" t="str">
        <f t="shared" si="33"/>
        <v/>
      </c>
      <c r="Q242" s="5" t="str">
        <f t="shared" si="34"/>
        <v/>
      </c>
      <c r="R242" s="5" t="str">
        <f t="shared" si="35"/>
        <v/>
      </c>
      <c r="S242" s="9" t="str">
        <f t="shared" si="36"/>
        <v/>
      </c>
      <c r="T242" s="9" t="str">
        <f>IF(R242="","",IF(R242="BUY",E242-N242*操作パネル_MS2!$H$5,E242+N242*操作パネル_MS2!$H$5))</f>
        <v/>
      </c>
      <c r="U242" s="9" t="str">
        <f>IF(R242="","",IF(R242="BUY",E242+N242*操作パネル_MS2!$H$6,E242-N242*操作パネル_MS2!$H$6))</f>
        <v/>
      </c>
      <c r="V242" s="9" t="str">
        <f>IF(R242="","",IF(R242="BUY",E242+N242*操作パネル_MS2!$H$7,E242-N242*操作パネル_MS2!$H$7))</f>
        <v/>
      </c>
      <c r="W242" s="9" t="str">
        <f>IF(R242="","",IF(R242="BUY",E242+N242*操作パネル_MS2!$H$8,E242-N242*操作パネル_MS2!$H$8))</f>
        <v/>
      </c>
      <c r="X242" s="5" t="str">
        <f t="shared" si="37"/>
        <v/>
      </c>
      <c r="Y242" s="5" t="str">
        <f t="shared" ca="1" si="38"/>
        <v/>
      </c>
      <c r="Z242" s="5" t="str">
        <f>IF(OR(E242="",N242&lt;=0),"",IF(N242&gt;E242*操作パネル_MS2!$H$4,"VOL-HIGH","VOL-NORMAL"))</f>
        <v/>
      </c>
      <c r="AA242" s="5" t="str">
        <f t="shared" si="39"/>
        <v/>
      </c>
      <c r="AB242" s="5" t="str">
        <f t="shared" si="40"/>
        <v/>
      </c>
      <c r="AC242" s="30" t="str">
        <f>IF(C242="","",_xll.RssMarket(C242&amp;"","売買代金"))</f>
        <v/>
      </c>
      <c r="AD242" s="31">
        <f>IFERROR(INDEX(ATRHIST_MS2!$H:$H,MATCH(C242,ATRHIST_MS2!$A:$A,0)),0)</f>
        <v>0</v>
      </c>
    </row>
    <row r="243" spans="1:30" ht="25.95" customHeight="1">
      <c r="A243" s="5" t="str">
        <f t="shared" si="32"/>
        <v/>
      </c>
      <c r="B243" s="6" t="str">
        <f>IF(StockList_MS2!A242="","",HYPERLINK("https://kabutan.jp/stock/?code="&amp;StockList_MS2!A242,"株探"))</f>
        <v/>
      </c>
      <c r="C243" s="5" t="str">
        <f>IF(StockList_MS2!A242="","",StockList_MS2!A242)</f>
        <v/>
      </c>
      <c r="D243" s="7" t="str">
        <f>IF(StockList_MS2!A242="","",StockList_MS2!B242)</f>
        <v/>
      </c>
      <c r="E243" s="8"/>
      <c r="F243" s="8"/>
      <c r="G243" s="8"/>
      <c r="H243" s="8"/>
      <c r="I243" s="19"/>
      <c r="J243" s="8"/>
      <c r="K243" s="8"/>
      <c r="L243" s="8"/>
      <c r="M243" s="5" t="str">
        <f t="shared" si="41"/>
        <v/>
      </c>
      <c r="N243" s="9" t="str">
        <f>IF(OR(E243="",F243="",G243=""),"",IF(AD243&gt;0,AD243,(F243-G243)/SQRT(操作パネル_MS2!$H$12)*操作パネル_MS2!$H$10))</f>
        <v/>
      </c>
      <c r="O243" s="5" t="str">
        <f>IF(OR(E243="",AC243=""),"",IF(AC243&gt;=操作パネル_MS2!$H$3,"VOL-OK","VOL-NG"))</f>
        <v/>
      </c>
      <c r="P243" s="5" t="str">
        <f t="shared" si="33"/>
        <v/>
      </c>
      <c r="Q243" s="5" t="str">
        <f t="shared" si="34"/>
        <v/>
      </c>
      <c r="R243" s="5" t="str">
        <f t="shared" si="35"/>
        <v/>
      </c>
      <c r="S243" s="9" t="str">
        <f t="shared" si="36"/>
        <v/>
      </c>
      <c r="T243" s="9" t="str">
        <f>IF(R243="","",IF(R243="BUY",E243-N243*操作パネル_MS2!$H$5,E243+N243*操作パネル_MS2!$H$5))</f>
        <v/>
      </c>
      <c r="U243" s="9" t="str">
        <f>IF(R243="","",IF(R243="BUY",E243+N243*操作パネル_MS2!$H$6,E243-N243*操作パネル_MS2!$H$6))</f>
        <v/>
      </c>
      <c r="V243" s="9" t="str">
        <f>IF(R243="","",IF(R243="BUY",E243+N243*操作パネル_MS2!$H$7,E243-N243*操作パネル_MS2!$H$7))</f>
        <v/>
      </c>
      <c r="W243" s="9" t="str">
        <f>IF(R243="","",IF(R243="BUY",E243+N243*操作パネル_MS2!$H$8,E243-N243*操作パネル_MS2!$H$8))</f>
        <v/>
      </c>
      <c r="X243" s="5" t="str">
        <f t="shared" si="37"/>
        <v/>
      </c>
      <c r="Y243" s="5" t="str">
        <f t="shared" ca="1" si="38"/>
        <v/>
      </c>
      <c r="Z243" s="5" t="str">
        <f>IF(OR(E243="",N243&lt;=0),"",IF(N243&gt;E243*操作パネル_MS2!$H$4,"VOL-HIGH","VOL-NORMAL"))</f>
        <v/>
      </c>
      <c r="AA243" s="5" t="str">
        <f t="shared" si="39"/>
        <v/>
      </c>
      <c r="AB243" s="5" t="str">
        <f t="shared" si="40"/>
        <v/>
      </c>
      <c r="AC243" s="30" t="str">
        <f>IF(C243="","",_xll.RssMarket(C243&amp;"","売買代金"))</f>
        <v/>
      </c>
      <c r="AD243" s="31">
        <f>IFERROR(INDEX(ATRHIST_MS2!$H:$H,MATCH(C243,ATRHIST_MS2!$A:$A,0)),0)</f>
        <v>0</v>
      </c>
    </row>
    <row r="244" spans="1:30" ht="25.95" customHeight="1">
      <c r="A244" s="10" t="str">
        <f t="shared" si="32"/>
        <v/>
      </c>
      <c r="B244" s="11" t="str">
        <f>IF(StockList_MS2!A243="","",HYPERLINK("https://kabutan.jp/stock/?code="&amp;StockList_MS2!A243,"株探"))</f>
        <v/>
      </c>
      <c r="C244" s="10" t="str">
        <f>IF(StockList_MS2!A243="","",StockList_MS2!A243)</f>
        <v/>
      </c>
      <c r="D244" s="12" t="str">
        <f>IF(StockList_MS2!A243="","",StockList_MS2!B243)</f>
        <v/>
      </c>
      <c r="E244" s="13"/>
      <c r="F244" s="13"/>
      <c r="G244" s="13"/>
      <c r="H244" s="13"/>
      <c r="I244" s="20"/>
      <c r="J244" s="13"/>
      <c r="K244" s="13"/>
      <c r="L244" s="13"/>
      <c r="M244" s="5" t="str">
        <f t="shared" si="41"/>
        <v/>
      </c>
      <c r="N244" s="9" t="str">
        <f>IF(OR(E244="",F244="",G244=""),"",IF(AD244&gt;0,AD244,(F244-G244)/SQRT(操作パネル_MS2!$H$12)*操作パネル_MS2!$H$10))</f>
        <v/>
      </c>
      <c r="O244" s="5" t="str">
        <f>IF(OR(E244="",AC244=""),"",IF(AC244&gt;=操作パネル_MS2!$H$3,"VOL-OK","VOL-NG"))</f>
        <v/>
      </c>
      <c r="P244" s="5" t="str">
        <f t="shared" si="33"/>
        <v/>
      </c>
      <c r="Q244" s="5" t="str">
        <f t="shared" si="34"/>
        <v/>
      </c>
      <c r="R244" s="5" t="str">
        <f t="shared" si="35"/>
        <v/>
      </c>
      <c r="S244" s="9" t="str">
        <f t="shared" si="36"/>
        <v/>
      </c>
      <c r="T244" s="9" t="str">
        <f>IF(R244="","",IF(R244="BUY",E244-N244*操作パネル_MS2!$H$5,E244+N244*操作パネル_MS2!$H$5))</f>
        <v/>
      </c>
      <c r="U244" s="9" t="str">
        <f>IF(R244="","",IF(R244="BUY",E244+N244*操作パネル_MS2!$H$6,E244-N244*操作パネル_MS2!$H$6))</f>
        <v/>
      </c>
      <c r="V244" s="9" t="str">
        <f>IF(R244="","",IF(R244="BUY",E244+N244*操作パネル_MS2!$H$7,E244-N244*操作パネル_MS2!$H$7))</f>
        <v/>
      </c>
      <c r="W244" s="9" t="str">
        <f>IF(R244="","",IF(R244="BUY",E244+N244*操作パネル_MS2!$H$8,E244-N244*操作パネル_MS2!$H$8))</f>
        <v/>
      </c>
      <c r="X244" s="5" t="str">
        <f t="shared" si="37"/>
        <v/>
      </c>
      <c r="Y244" s="5" t="str">
        <f t="shared" ca="1" si="38"/>
        <v/>
      </c>
      <c r="Z244" s="5" t="str">
        <f>IF(OR(E244="",N244&lt;=0),"",IF(N244&gt;E244*操作パネル_MS2!$H$4,"VOL-HIGH","VOL-NORMAL"))</f>
        <v/>
      </c>
      <c r="AA244" s="5" t="str">
        <f t="shared" si="39"/>
        <v/>
      </c>
      <c r="AB244" s="5" t="str">
        <f t="shared" si="40"/>
        <v/>
      </c>
      <c r="AC244" s="30" t="str">
        <f>IF(C244="","",_xll.RssMarket(C244&amp;"","売買代金"))</f>
        <v/>
      </c>
      <c r="AD244" s="31">
        <f>IFERROR(INDEX(ATRHIST_MS2!$H:$H,MATCH(C244,ATRHIST_MS2!$A:$A,0)),0)</f>
        <v>0</v>
      </c>
    </row>
    <row r="245" spans="1:30" ht="25.95" customHeight="1">
      <c r="A245" s="5" t="str">
        <f t="shared" si="32"/>
        <v/>
      </c>
      <c r="B245" s="6" t="str">
        <f>IF(StockList_MS2!A244="","",HYPERLINK("https://kabutan.jp/stock/?code="&amp;StockList_MS2!A244,"株探"))</f>
        <v/>
      </c>
      <c r="C245" s="5" t="str">
        <f>IF(StockList_MS2!A244="","",StockList_MS2!A244)</f>
        <v/>
      </c>
      <c r="D245" s="7" t="str">
        <f>IF(StockList_MS2!A244="","",StockList_MS2!B244)</f>
        <v/>
      </c>
      <c r="E245" s="8"/>
      <c r="F245" s="8"/>
      <c r="G245" s="8"/>
      <c r="H245" s="8"/>
      <c r="I245" s="19"/>
      <c r="J245" s="8"/>
      <c r="K245" s="8"/>
      <c r="L245" s="8"/>
      <c r="M245" s="5" t="str">
        <f t="shared" si="41"/>
        <v/>
      </c>
      <c r="N245" s="9" t="str">
        <f>IF(OR(E245="",F245="",G245=""),"",IF(AD245&gt;0,AD245,(F245-G245)/SQRT(操作パネル_MS2!$H$12)*操作パネル_MS2!$H$10))</f>
        <v/>
      </c>
      <c r="O245" s="5" t="str">
        <f>IF(OR(E245="",AC245=""),"",IF(AC245&gt;=操作パネル_MS2!$H$3,"VOL-OK","VOL-NG"))</f>
        <v/>
      </c>
      <c r="P245" s="5" t="str">
        <f t="shared" si="33"/>
        <v/>
      </c>
      <c r="Q245" s="5" t="str">
        <f t="shared" si="34"/>
        <v/>
      </c>
      <c r="R245" s="5" t="str">
        <f t="shared" si="35"/>
        <v/>
      </c>
      <c r="S245" s="9" t="str">
        <f t="shared" si="36"/>
        <v/>
      </c>
      <c r="T245" s="9" t="str">
        <f>IF(R245="","",IF(R245="BUY",E245-N245*操作パネル_MS2!$H$5,E245+N245*操作パネル_MS2!$H$5))</f>
        <v/>
      </c>
      <c r="U245" s="9" t="str">
        <f>IF(R245="","",IF(R245="BUY",E245+N245*操作パネル_MS2!$H$6,E245-N245*操作パネル_MS2!$H$6))</f>
        <v/>
      </c>
      <c r="V245" s="9" t="str">
        <f>IF(R245="","",IF(R245="BUY",E245+N245*操作パネル_MS2!$H$7,E245-N245*操作パネル_MS2!$H$7))</f>
        <v/>
      </c>
      <c r="W245" s="9" t="str">
        <f>IF(R245="","",IF(R245="BUY",E245+N245*操作パネル_MS2!$H$8,E245-N245*操作パネル_MS2!$H$8))</f>
        <v/>
      </c>
      <c r="X245" s="5" t="str">
        <f t="shared" si="37"/>
        <v/>
      </c>
      <c r="Y245" s="5" t="str">
        <f t="shared" ca="1" si="38"/>
        <v/>
      </c>
      <c r="Z245" s="5" t="str">
        <f>IF(OR(E245="",N245&lt;=0),"",IF(N245&gt;E245*操作パネル_MS2!$H$4,"VOL-HIGH","VOL-NORMAL"))</f>
        <v/>
      </c>
      <c r="AA245" s="5" t="str">
        <f t="shared" si="39"/>
        <v/>
      </c>
      <c r="AB245" s="5" t="str">
        <f t="shared" si="40"/>
        <v/>
      </c>
      <c r="AC245" s="30" t="str">
        <f>IF(C245="","",_xll.RssMarket(C245&amp;"","売買代金"))</f>
        <v/>
      </c>
      <c r="AD245" s="31">
        <f>IFERROR(INDEX(ATRHIST_MS2!$H:$H,MATCH(C245,ATRHIST_MS2!$A:$A,0)),0)</f>
        <v>0</v>
      </c>
    </row>
    <row r="246" spans="1:30" ht="25.95" customHeight="1">
      <c r="A246" s="10" t="str">
        <f t="shared" si="32"/>
        <v/>
      </c>
      <c r="B246" s="11" t="str">
        <f>IF(StockList_MS2!A245="","",HYPERLINK("https://kabutan.jp/stock/?code="&amp;StockList_MS2!A245,"株探"))</f>
        <v/>
      </c>
      <c r="C246" s="10" t="str">
        <f>IF(StockList_MS2!A245="","",StockList_MS2!A245)</f>
        <v/>
      </c>
      <c r="D246" s="12" t="str">
        <f>IF(StockList_MS2!A245="","",StockList_MS2!B245)</f>
        <v/>
      </c>
      <c r="E246" s="13"/>
      <c r="F246" s="13"/>
      <c r="G246" s="13"/>
      <c r="H246" s="13"/>
      <c r="I246" s="20"/>
      <c r="J246" s="13"/>
      <c r="K246" s="13"/>
      <c r="L246" s="13"/>
      <c r="M246" s="5" t="str">
        <f t="shared" si="41"/>
        <v/>
      </c>
      <c r="N246" s="9" t="str">
        <f>IF(OR(E246="",F246="",G246=""),"",IF(AD246&gt;0,AD246,(F246-G246)/SQRT(操作パネル_MS2!$H$12)*操作パネル_MS2!$H$10))</f>
        <v/>
      </c>
      <c r="O246" s="5" t="str">
        <f>IF(OR(E246="",AC246=""),"",IF(AC246&gt;=操作パネル_MS2!$H$3,"VOL-OK","VOL-NG"))</f>
        <v/>
      </c>
      <c r="P246" s="5" t="str">
        <f t="shared" si="33"/>
        <v/>
      </c>
      <c r="Q246" s="5" t="str">
        <f t="shared" si="34"/>
        <v/>
      </c>
      <c r="R246" s="5" t="str">
        <f t="shared" si="35"/>
        <v/>
      </c>
      <c r="S246" s="9" t="str">
        <f t="shared" si="36"/>
        <v/>
      </c>
      <c r="T246" s="9" t="str">
        <f>IF(R246="","",IF(R246="BUY",E246-N246*操作パネル_MS2!$H$5,E246+N246*操作パネル_MS2!$H$5))</f>
        <v/>
      </c>
      <c r="U246" s="9" t="str">
        <f>IF(R246="","",IF(R246="BUY",E246+N246*操作パネル_MS2!$H$6,E246-N246*操作パネル_MS2!$H$6))</f>
        <v/>
      </c>
      <c r="V246" s="9" t="str">
        <f>IF(R246="","",IF(R246="BUY",E246+N246*操作パネル_MS2!$H$7,E246-N246*操作パネル_MS2!$H$7))</f>
        <v/>
      </c>
      <c r="W246" s="9" t="str">
        <f>IF(R246="","",IF(R246="BUY",E246+N246*操作パネル_MS2!$H$8,E246-N246*操作パネル_MS2!$H$8))</f>
        <v/>
      </c>
      <c r="X246" s="5" t="str">
        <f t="shared" si="37"/>
        <v/>
      </c>
      <c r="Y246" s="5" t="str">
        <f t="shared" ca="1" si="38"/>
        <v/>
      </c>
      <c r="Z246" s="5" t="str">
        <f>IF(OR(E246="",N246&lt;=0),"",IF(N246&gt;E246*操作パネル_MS2!$H$4,"VOL-HIGH","VOL-NORMAL"))</f>
        <v/>
      </c>
      <c r="AA246" s="5" t="str">
        <f t="shared" si="39"/>
        <v/>
      </c>
      <c r="AB246" s="5" t="str">
        <f t="shared" si="40"/>
        <v/>
      </c>
      <c r="AC246" s="30" t="str">
        <f>IF(C246="","",_xll.RssMarket(C246&amp;"","売買代金"))</f>
        <v/>
      </c>
      <c r="AD246" s="31">
        <f>IFERROR(INDEX(ATRHIST_MS2!$H:$H,MATCH(C246,ATRHIST_MS2!$A:$A,0)),0)</f>
        <v>0</v>
      </c>
    </row>
    <row r="247" spans="1:30" ht="25.95" customHeight="1">
      <c r="A247" s="5" t="str">
        <f t="shared" si="32"/>
        <v/>
      </c>
      <c r="B247" s="6" t="str">
        <f>IF(StockList_MS2!A246="","",HYPERLINK("https://kabutan.jp/stock/?code="&amp;StockList_MS2!A246,"株探"))</f>
        <v/>
      </c>
      <c r="C247" s="5" t="str">
        <f>IF(StockList_MS2!A246="","",StockList_MS2!A246)</f>
        <v/>
      </c>
      <c r="D247" s="7" t="str">
        <f>IF(StockList_MS2!A246="","",StockList_MS2!B246)</f>
        <v/>
      </c>
      <c r="E247" s="8"/>
      <c r="F247" s="8"/>
      <c r="G247" s="8"/>
      <c r="H247" s="8"/>
      <c r="I247" s="19"/>
      <c r="J247" s="8"/>
      <c r="K247" s="8"/>
      <c r="L247" s="8"/>
      <c r="M247" s="5" t="str">
        <f t="shared" si="41"/>
        <v/>
      </c>
      <c r="N247" s="9" t="str">
        <f>IF(OR(E247="",F247="",G247=""),"",IF(AD247&gt;0,AD247,(F247-G247)/SQRT(操作パネル_MS2!$H$12)*操作パネル_MS2!$H$10))</f>
        <v/>
      </c>
      <c r="O247" s="5" t="str">
        <f>IF(OR(E247="",AC247=""),"",IF(AC247&gt;=操作パネル_MS2!$H$3,"VOL-OK","VOL-NG"))</f>
        <v/>
      </c>
      <c r="P247" s="5" t="str">
        <f t="shared" si="33"/>
        <v/>
      </c>
      <c r="Q247" s="5" t="str">
        <f t="shared" si="34"/>
        <v/>
      </c>
      <c r="R247" s="5" t="str">
        <f t="shared" si="35"/>
        <v/>
      </c>
      <c r="S247" s="9" t="str">
        <f t="shared" si="36"/>
        <v/>
      </c>
      <c r="T247" s="9" t="str">
        <f>IF(R247="","",IF(R247="BUY",E247-N247*操作パネル_MS2!$H$5,E247+N247*操作パネル_MS2!$H$5))</f>
        <v/>
      </c>
      <c r="U247" s="9" t="str">
        <f>IF(R247="","",IF(R247="BUY",E247+N247*操作パネル_MS2!$H$6,E247-N247*操作パネル_MS2!$H$6))</f>
        <v/>
      </c>
      <c r="V247" s="9" t="str">
        <f>IF(R247="","",IF(R247="BUY",E247+N247*操作パネル_MS2!$H$7,E247-N247*操作パネル_MS2!$H$7))</f>
        <v/>
      </c>
      <c r="W247" s="9" t="str">
        <f>IF(R247="","",IF(R247="BUY",E247+N247*操作パネル_MS2!$H$8,E247-N247*操作パネル_MS2!$H$8))</f>
        <v/>
      </c>
      <c r="X247" s="5" t="str">
        <f t="shared" si="37"/>
        <v/>
      </c>
      <c r="Y247" s="5" t="str">
        <f t="shared" ca="1" si="38"/>
        <v/>
      </c>
      <c r="Z247" s="5" t="str">
        <f>IF(OR(E247="",N247&lt;=0),"",IF(N247&gt;E247*操作パネル_MS2!$H$4,"VOL-HIGH","VOL-NORMAL"))</f>
        <v/>
      </c>
      <c r="AA247" s="5" t="str">
        <f t="shared" si="39"/>
        <v/>
      </c>
      <c r="AB247" s="5" t="str">
        <f t="shared" si="40"/>
        <v/>
      </c>
      <c r="AC247" s="30" t="str">
        <f>IF(C247="","",_xll.RssMarket(C247&amp;"","売買代金"))</f>
        <v/>
      </c>
      <c r="AD247" s="31">
        <f>IFERROR(INDEX(ATRHIST_MS2!$H:$H,MATCH(C247,ATRHIST_MS2!$A:$A,0)),0)</f>
        <v>0</v>
      </c>
    </row>
    <row r="248" spans="1:30" ht="25.95" customHeight="1">
      <c r="A248" s="10" t="str">
        <f t="shared" si="32"/>
        <v/>
      </c>
      <c r="B248" s="11" t="str">
        <f>IF(StockList_MS2!A247="","",HYPERLINK("https://kabutan.jp/stock/?code="&amp;StockList_MS2!A247,"株探"))</f>
        <v/>
      </c>
      <c r="C248" s="10" t="str">
        <f>IF(StockList_MS2!A247="","",StockList_MS2!A247)</f>
        <v/>
      </c>
      <c r="D248" s="12" t="str">
        <f>IF(StockList_MS2!A247="","",StockList_MS2!B247)</f>
        <v/>
      </c>
      <c r="E248" s="13"/>
      <c r="F248" s="13"/>
      <c r="G248" s="13"/>
      <c r="H248" s="13"/>
      <c r="I248" s="20"/>
      <c r="J248" s="13"/>
      <c r="K248" s="13"/>
      <c r="L248" s="13"/>
      <c r="M248" s="5" t="str">
        <f t="shared" si="41"/>
        <v/>
      </c>
      <c r="N248" s="9" t="str">
        <f>IF(OR(E248="",F248="",G248=""),"",IF(AD248&gt;0,AD248,(F248-G248)/SQRT(操作パネル_MS2!$H$12)*操作パネル_MS2!$H$10))</f>
        <v/>
      </c>
      <c r="O248" s="5" t="str">
        <f>IF(OR(E248="",AC248=""),"",IF(AC248&gt;=操作パネル_MS2!$H$3,"VOL-OK","VOL-NG"))</f>
        <v/>
      </c>
      <c r="P248" s="5" t="str">
        <f t="shared" si="33"/>
        <v/>
      </c>
      <c r="Q248" s="5" t="str">
        <f t="shared" si="34"/>
        <v/>
      </c>
      <c r="R248" s="5" t="str">
        <f t="shared" si="35"/>
        <v/>
      </c>
      <c r="S248" s="9" t="str">
        <f t="shared" si="36"/>
        <v/>
      </c>
      <c r="T248" s="9" t="str">
        <f>IF(R248="","",IF(R248="BUY",E248-N248*操作パネル_MS2!$H$5,E248+N248*操作パネル_MS2!$H$5))</f>
        <v/>
      </c>
      <c r="U248" s="9" t="str">
        <f>IF(R248="","",IF(R248="BUY",E248+N248*操作パネル_MS2!$H$6,E248-N248*操作パネル_MS2!$H$6))</f>
        <v/>
      </c>
      <c r="V248" s="9" t="str">
        <f>IF(R248="","",IF(R248="BUY",E248+N248*操作パネル_MS2!$H$7,E248-N248*操作パネル_MS2!$H$7))</f>
        <v/>
      </c>
      <c r="W248" s="9" t="str">
        <f>IF(R248="","",IF(R248="BUY",E248+N248*操作パネル_MS2!$H$8,E248-N248*操作パネル_MS2!$H$8))</f>
        <v/>
      </c>
      <c r="X248" s="5" t="str">
        <f t="shared" si="37"/>
        <v/>
      </c>
      <c r="Y248" s="5" t="str">
        <f t="shared" ca="1" si="38"/>
        <v/>
      </c>
      <c r="Z248" s="5" t="str">
        <f>IF(OR(E248="",N248&lt;=0),"",IF(N248&gt;E248*操作パネル_MS2!$H$4,"VOL-HIGH","VOL-NORMAL"))</f>
        <v/>
      </c>
      <c r="AA248" s="5" t="str">
        <f t="shared" si="39"/>
        <v/>
      </c>
      <c r="AB248" s="5" t="str">
        <f t="shared" si="40"/>
        <v/>
      </c>
      <c r="AC248" s="30" t="str">
        <f>IF(C248="","",_xll.RssMarket(C248&amp;"","売買代金"))</f>
        <v/>
      </c>
      <c r="AD248" s="31">
        <f>IFERROR(INDEX(ATRHIST_MS2!$H:$H,MATCH(C248,ATRHIST_MS2!$A:$A,0)),0)</f>
        <v>0</v>
      </c>
    </row>
    <row r="249" spans="1:30" ht="25.95" customHeight="1">
      <c r="A249" s="5" t="str">
        <f t="shared" si="32"/>
        <v/>
      </c>
      <c r="B249" s="6" t="str">
        <f>IF(StockList_MS2!A248="","",HYPERLINK("https://kabutan.jp/stock/?code="&amp;StockList_MS2!A248,"株探"))</f>
        <v/>
      </c>
      <c r="C249" s="5" t="str">
        <f>IF(StockList_MS2!A248="","",StockList_MS2!A248)</f>
        <v/>
      </c>
      <c r="D249" s="7" t="str">
        <f>IF(StockList_MS2!A248="","",StockList_MS2!B248)</f>
        <v/>
      </c>
      <c r="E249" s="8"/>
      <c r="F249" s="8"/>
      <c r="G249" s="8"/>
      <c r="H249" s="8"/>
      <c r="I249" s="19"/>
      <c r="J249" s="8"/>
      <c r="K249" s="8"/>
      <c r="L249" s="8"/>
      <c r="M249" s="5" t="str">
        <f t="shared" si="41"/>
        <v/>
      </c>
      <c r="N249" s="9" t="str">
        <f>IF(OR(E249="",F249="",G249=""),"",IF(AD249&gt;0,AD249,(F249-G249)/SQRT(操作パネル_MS2!$H$12)*操作パネル_MS2!$H$10))</f>
        <v/>
      </c>
      <c r="O249" s="5" t="str">
        <f>IF(OR(E249="",AC249=""),"",IF(AC249&gt;=操作パネル_MS2!$H$3,"VOL-OK","VOL-NG"))</f>
        <v/>
      </c>
      <c r="P249" s="5" t="str">
        <f t="shared" si="33"/>
        <v/>
      </c>
      <c r="Q249" s="5" t="str">
        <f t="shared" si="34"/>
        <v/>
      </c>
      <c r="R249" s="5" t="str">
        <f t="shared" si="35"/>
        <v/>
      </c>
      <c r="S249" s="9" t="str">
        <f t="shared" si="36"/>
        <v/>
      </c>
      <c r="T249" s="9" t="str">
        <f>IF(R249="","",IF(R249="BUY",E249-N249*操作パネル_MS2!$H$5,E249+N249*操作パネル_MS2!$H$5))</f>
        <v/>
      </c>
      <c r="U249" s="9" t="str">
        <f>IF(R249="","",IF(R249="BUY",E249+N249*操作パネル_MS2!$H$6,E249-N249*操作パネル_MS2!$H$6))</f>
        <v/>
      </c>
      <c r="V249" s="9" t="str">
        <f>IF(R249="","",IF(R249="BUY",E249+N249*操作パネル_MS2!$H$7,E249-N249*操作パネル_MS2!$H$7))</f>
        <v/>
      </c>
      <c r="W249" s="9" t="str">
        <f>IF(R249="","",IF(R249="BUY",E249+N249*操作パネル_MS2!$H$8,E249-N249*操作パネル_MS2!$H$8))</f>
        <v/>
      </c>
      <c r="X249" s="5" t="str">
        <f t="shared" si="37"/>
        <v/>
      </c>
      <c r="Y249" s="5" t="str">
        <f t="shared" ca="1" si="38"/>
        <v/>
      </c>
      <c r="Z249" s="5" t="str">
        <f>IF(OR(E249="",N249&lt;=0),"",IF(N249&gt;E249*操作パネル_MS2!$H$4,"VOL-HIGH","VOL-NORMAL"))</f>
        <v/>
      </c>
      <c r="AA249" s="5" t="str">
        <f t="shared" si="39"/>
        <v/>
      </c>
      <c r="AB249" s="5" t="str">
        <f t="shared" si="40"/>
        <v/>
      </c>
      <c r="AC249" s="30" t="str">
        <f>IF(C249="","",_xll.RssMarket(C249&amp;"","売買代金"))</f>
        <v/>
      </c>
      <c r="AD249" s="31">
        <f>IFERROR(INDEX(ATRHIST_MS2!$H:$H,MATCH(C249,ATRHIST_MS2!$A:$A,0)),0)</f>
        <v>0</v>
      </c>
    </row>
    <row r="250" spans="1:30" ht="25.95" customHeight="1">
      <c r="A250" s="10" t="str">
        <f t="shared" si="32"/>
        <v/>
      </c>
      <c r="B250" s="11" t="str">
        <f>IF(StockList_MS2!A249="","",HYPERLINK("https://kabutan.jp/stock/?code="&amp;StockList_MS2!A249,"株探"))</f>
        <v/>
      </c>
      <c r="C250" s="10" t="str">
        <f>IF(StockList_MS2!A249="","",StockList_MS2!A249)</f>
        <v/>
      </c>
      <c r="D250" s="12" t="str">
        <f>IF(StockList_MS2!A249="","",StockList_MS2!B249)</f>
        <v/>
      </c>
      <c r="E250" s="13"/>
      <c r="F250" s="13"/>
      <c r="G250" s="13"/>
      <c r="H250" s="13"/>
      <c r="I250" s="20"/>
      <c r="J250" s="13"/>
      <c r="K250" s="13"/>
      <c r="L250" s="13"/>
      <c r="M250" s="5" t="str">
        <f t="shared" si="41"/>
        <v/>
      </c>
      <c r="N250" s="9" t="str">
        <f>IF(OR(E250="",F250="",G250=""),"",IF(AD250&gt;0,AD250,(F250-G250)/SQRT(操作パネル_MS2!$H$12)*操作パネル_MS2!$H$10))</f>
        <v/>
      </c>
      <c r="O250" s="5" t="str">
        <f>IF(OR(E250="",AC250=""),"",IF(AC250&gt;=操作パネル_MS2!$H$3,"VOL-OK","VOL-NG"))</f>
        <v/>
      </c>
      <c r="P250" s="5" t="str">
        <f t="shared" si="33"/>
        <v/>
      </c>
      <c r="Q250" s="5" t="str">
        <f t="shared" si="34"/>
        <v/>
      </c>
      <c r="R250" s="5" t="str">
        <f t="shared" si="35"/>
        <v/>
      </c>
      <c r="S250" s="9" t="str">
        <f t="shared" si="36"/>
        <v/>
      </c>
      <c r="T250" s="9" t="str">
        <f>IF(R250="","",IF(R250="BUY",E250-N250*操作パネル_MS2!$H$5,E250+N250*操作パネル_MS2!$H$5))</f>
        <v/>
      </c>
      <c r="U250" s="9" t="str">
        <f>IF(R250="","",IF(R250="BUY",E250+N250*操作パネル_MS2!$H$6,E250-N250*操作パネル_MS2!$H$6))</f>
        <v/>
      </c>
      <c r="V250" s="9" t="str">
        <f>IF(R250="","",IF(R250="BUY",E250+N250*操作パネル_MS2!$H$7,E250-N250*操作パネル_MS2!$H$7))</f>
        <v/>
      </c>
      <c r="W250" s="9" t="str">
        <f>IF(R250="","",IF(R250="BUY",E250+N250*操作パネル_MS2!$H$8,E250-N250*操作パネル_MS2!$H$8))</f>
        <v/>
      </c>
      <c r="X250" s="5" t="str">
        <f t="shared" si="37"/>
        <v/>
      </c>
      <c r="Y250" s="5" t="str">
        <f t="shared" ca="1" si="38"/>
        <v/>
      </c>
      <c r="Z250" s="5" t="str">
        <f>IF(OR(E250="",N250&lt;=0),"",IF(N250&gt;E250*操作パネル_MS2!$H$4,"VOL-HIGH","VOL-NORMAL"))</f>
        <v/>
      </c>
      <c r="AA250" s="5" t="str">
        <f t="shared" si="39"/>
        <v/>
      </c>
      <c r="AB250" s="5" t="str">
        <f t="shared" si="40"/>
        <v/>
      </c>
      <c r="AC250" s="30" t="str">
        <f>IF(C250="","",_xll.RssMarket(C250&amp;"","売買代金"))</f>
        <v/>
      </c>
      <c r="AD250" s="31">
        <f>IFERROR(INDEX(ATRHIST_MS2!$H:$H,MATCH(C250,ATRHIST_MS2!$A:$A,0)),0)</f>
        <v>0</v>
      </c>
    </row>
    <row r="251" spans="1:30" ht="25.95" customHeight="1">
      <c r="A251" s="5" t="str">
        <f t="shared" si="32"/>
        <v/>
      </c>
      <c r="B251" s="6" t="str">
        <f>IF(StockList_MS2!A250="","",HYPERLINK("https://kabutan.jp/stock/?code="&amp;StockList_MS2!A250,"株探"))</f>
        <v/>
      </c>
      <c r="C251" s="5" t="str">
        <f>IF(StockList_MS2!A250="","",StockList_MS2!A250)</f>
        <v/>
      </c>
      <c r="D251" s="7" t="str">
        <f>IF(StockList_MS2!A250="","",StockList_MS2!B250)</f>
        <v/>
      </c>
      <c r="E251" s="8"/>
      <c r="F251" s="8"/>
      <c r="G251" s="8"/>
      <c r="H251" s="8"/>
      <c r="I251" s="19"/>
      <c r="J251" s="8"/>
      <c r="K251" s="8"/>
      <c r="L251" s="8"/>
      <c r="M251" s="5" t="str">
        <f t="shared" si="41"/>
        <v/>
      </c>
      <c r="N251" s="9" t="str">
        <f>IF(OR(E251="",F251="",G251=""),"",IF(AD251&gt;0,AD251,(F251-G251)/SQRT(操作パネル_MS2!$H$12)*操作パネル_MS2!$H$10))</f>
        <v/>
      </c>
      <c r="O251" s="5" t="str">
        <f>IF(OR(E251="",AC251=""),"",IF(AC251&gt;=操作パネル_MS2!$H$3,"VOL-OK","VOL-NG"))</f>
        <v/>
      </c>
      <c r="P251" s="5" t="str">
        <f t="shared" si="33"/>
        <v/>
      </c>
      <c r="Q251" s="5" t="str">
        <f t="shared" si="34"/>
        <v/>
      </c>
      <c r="R251" s="5" t="str">
        <f t="shared" si="35"/>
        <v/>
      </c>
      <c r="S251" s="9" t="str">
        <f t="shared" si="36"/>
        <v/>
      </c>
      <c r="T251" s="9" t="str">
        <f>IF(R251="","",IF(R251="BUY",E251-N251*操作パネル_MS2!$H$5,E251+N251*操作パネル_MS2!$H$5))</f>
        <v/>
      </c>
      <c r="U251" s="9" t="str">
        <f>IF(R251="","",IF(R251="BUY",E251+N251*操作パネル_MS2!$H$6,E251-N251*操作パネル_MS2!$H$6))</f>
        <v/>
      </c>
      <c r="V251" s="9" t="str">
        <f>IF(R251="","",IF(R251="BUY",E251+N251*操作パネル_MS2!$H$7,E251-N251*操作パネル_MS2!$H$7))</f>
        <v/>
      </c>
      <c r="W251" s="9" t="str">
        <f>IF(R251="","",IF(R251="BUY",E251+N251*操作パネル_MS2!$H$8,E251-N251*操作パネル_MS2!$H$8))</f>
        <v/>
      </c>
      <c r="X251" s="5" t="str">
        <f t="shared" si="37"/>
        <v/>
      </c>
      <c r="Y251" s="5" t="str">
        <f t="shared" ca="1" si="38"/>
        <v/>
      </c>
      <c r="Z251" s="5" t="str">
        <f>IF(OR(E251="",N251&lt;=0),"",IF(N251&gt;E251*操作パネル_MS2!$H$4,"VOL-HIGH","VOL-NORMAL"))</f>
        <v/>
      </c>
      <c r="AA251" s="5" t="str">
        <f t="shared" si="39"/>
        <v/>
      </c>
      <c r="AB251" s="5" t="str">
        <f t="shared" si="40"/>
        <v/>
      </c>
      <c r="AC251" s="30" t="str">
        <f>IF(C251="","",_xll.RssMarket(C251&amp;"","売買代金"))</f>
        <v/>
      </c>
      <c r="AD251" s="31">
        <f>IFERROR(INDEX(ATRHIST_MS2!$H:$H,MATCH(C251,ATRHIST_MS2!$A:$A,0)),0)</f>
        <v>0</v>
      </c>
    </row>
    <row r="252" spans="1:30" ht="25.95" customHeight="1">
      <c r="A252" s="10" t="str">
        <f t="shared" si="32"/>
        <v/>
      </c>
      <c r="B252" s="11" t="str">
        <f>IF(StockList_MS2!A251="","",HYPERLINK("https://kabutan.jp/stock/?code="&amp;StockList_MS2!A251,"株探"))</f>
        <v/>
      </c>
      <c r="C252" s="10" t="str">
        <f>IF(StockList_MS2!A251="","",StockList_MS2!A251)</f>
        <v/>
      </c>
      <c r="D252" s="12" t="str">
        <f>IF(StockList_MS2!A251="","",StockList_MS2!B251)</f>
        <v/>
      </c>
      <c r="E252" s="13"/>
      <c r="F252" s="13"/>
      <c r="G252" s="13"/>
      <c r="H252" s="13"/>
      <c r="I252" s="20"/>
      <c r="J252" s="13"/>
      <c r="K252" s="13"/>
      <c r="L252" s="13"/>
      <c r="M252" s="5" t="str">
        <f t="shared" si="41"/>
        <v/>
      </c>
      <c r="N252" s="9" t="str">
        <f>IF(OR(E252="",F252="",G252=""),"",IF(AD252&gt;0,AD252,(F252-G252)/SQRT(操作パネル_MS2!$H$12)*操作パネル_MS2!$H$10))</f>
        <v/>
      </c>
      <c r="O252" s="5" t="str">
        <f>IF(OR(E252="",AC252=""),"",IF(AC252&gt;=操作パネル_MS2!$H$3,"VOL-OK","VOL-NG"))</f>
        <v/>
      </c>
      <c r="P252" s="5" t="str">
        <f t="shared" si="33"/>
        <v/>
      </c>
      <c r="Q252" s="5" t="str">
        <f t="shared" si="34"/>
        <v/>
      </c>
      <c r="R252" s="5" t="str">
        <f t="shared" si="35"/>
        <v/>
      </c>
      <c r="S252" s="9" t="str">
        <f t="shared" si="36"/>
        <v/>
      </c>
      <c r="T252" s="9" t="str">
        <f>IF(R252="","",IF(R252="BUY",E252-N252*操作パネル_MS2!$H$5,E252+N252*操作パネル_MS2!$H$5))</f>
        <v/>
      </c>
      <c r="U252" s="9" t="str">
        <f>IF(R252="","",IF(R252="BUY",E252+N252*操作パネル_MS2!$H$6,E252-N252*操作パネル_MS2!$H$6))</f>
        <v/>
      </c>
      <c r="V252" s="9" t="str">
        <f>IF(R252="","",IF(R252="BUY",E252+N252*操作パネル_MS2!$H$7,E252-N252*操作パネル_MS2!$H$7))</f>
        <v/>
      </c>
      <c r="W252" s="9" t="str">
        <f>IF(R252="","",IF(R252="BUY",E252+N252*操作パネル_MS2!$H$8,E252-N252*操作パネル_MS2!$H$8))</f>
        <v/>
      </c>
      <c r="X252" s="5" t="str">
        <f t="shared" si="37"/>
        <v/>
      </c>
      <c r="Y252" s="5" t="str">
        <f t="shared" ca="1" si="38"/>
        <v/>
      </c>
      <c r="Z252" s="5" t="str">
        <f>IF(OR(E252="",N252&lt;=0),"",IF(N252&gt;E252*操作パネル_MS2!$H$4,"VOL-HIGH","VOL-NORMAL"))</f>
        <v/>
      </c>
      <c r="AA252" s="5" t="str">
        <f t="shared" si="39"/>
        <v/>
      </c>
      <c r="AB252" s="5" t="str">
        <f t="shared" si="40"/>
        <v/>
      </c>
      <c r="AC252" s="30" t="str">
        <f>IF(C252="","",_xll.RssMarket(C252&amp;"","売買代金"))</f>
        <v/>
      </c>
      <c r="AD252" s="31">
        <f>IFERROR(INDEX(ATRHIST_MS2!$H:$H,MATCH(C252,ATRHIST_MS2!$A:$A,0)),0)</f>
        <v>0</v>
      </c>
    </row>
    <row r="253" spans="1:30" ht="25.95" customHeight="1">
      <c r="A253" s="5" t="str">
        <f t="shared" si="32"/>
        <v/>
      </c>
      <c r="B253" s="6" t="str">
        <f>IF(StockList_MS2!A252="","",HYPERLINK("https://kabutan.jp/stock/?code="&amp;StockList_MS2!A252,"株探"))</f>
        <v/>
      </c>
      <c r="C253" s="5" t="str">
        <f>IF(StockList_MS2!A252="","",StockList_MS2!A252)</f>
        <v/>
      </c>
      <c r="D253" s="7" t="str">
        <f>IF(StockList_MS2!A252="","",StockList_MS2!B252)</f>
        <v/>
      </c>
      <c r="E253" s="8"/>
      <c r="F253" s="8"/>
      <c r="G253" s="8"/>
      <c r="H253" s="8"/>
      <c r="I253" s="19"/>
      <c r="J253" s="8"/>
      <c r="K253" s="8"/>
      <c r="L253" s="8"/>
      <c r="M253" s="5" t="str">
        <f t="shared" si="41"/>
        <v/>
      </c>
      <c r="N253" s="9" t="str">
        <f>IF(OR(E253="",F253="",G253=""),"",IF(AD253&gt;0,AD253,(F253-G253)/SQRT(操作パネル_MS2!$H$12)*操作パネル_MS2!$H$10))</f>
        <v/>
      </c>
      <c r="O253" s="5" t="str">
        <f>IF(OR(E253="",AC253=""),"",IF(AC253&gt;=操作パネル_MS2!$H$3,"VOL-OK","VOL-NG"))</f>
        <v/>
      </c>
      <c r="P253" s="5" t="str">
        <f t="shared" si="33"/>
        <v/>
      </c>
      <c r="Q253" s="5" t="str">
        <f t="shared" si="34"/>
        <v/>
      </c>
      <c r="R253" s="5" t="str">
        <f t="shared" si="35"/>
        <v/>
      </c>
      <c r="S253" s="9" t="str">
        <f t="shared" si="36"/>
        <v/>
      </c>
      <c r="T253" s="9" t="str">
        <f>IF(R253="","",IF(R253="BUY",E253-N253*操作パネル_MS2!$H$5,E253+N253*操作パネル_MS2!$H$5))</f>
        <v/>
      </c>
      <c r="U253" s="9" t="str">
        <f>IF(R253="","",IF(R253="BUY",E253+N253*操作パネル_MS2!$H$6,E253-N253*操作パネル_MS2!$H$6))</f>
        <v/>
      </c>
      <c r="V253" s="9" t="str">
        <f>IF(R253="","",IF(R253="BUY",E253+N253*操作パネル_MS2!$H$7,E253-N253*操作パネル_MS2!$H$7))</f>
        <v/>
      </c>
      <c r="W253" s="9" t="str">
        <f>IF(R253="","",IF(R253="BUY",E253+N253*操作パネル_MS2!$H$8,E253-N253*操作パネル_MS2!$H$8))</f>
        <v/>
      </c>
      <c r="X253" s="5" t="str">
        <f t="shared" si="37"/>
        <v/>
      </c>
      <c r="Y253" s="5" t="str">
        <f t="shared" ca="1" si="38"/>
        <v/>
      </c>
      <c r="Z253" s="5" t="str">
        <f>IF(OR(E253="",N253&lt;=0),"",IF(N253&gt;E253*操作パネル_MS2!$H$4,"VOL-HIGH","VOL-NORMAL"))</f>
        <v/>
      </c>
      <c r="AA253" s="5" t="str">
        <f t="shared" si="39"/>
        <v/>
      </c>
      <c r="AB253" s="5" t="str">
        <f t="shared" si="40"/>
        <v/>
      </c>
      <c r="AC253" s="30" t="str">
        <f>IF(C253="","",_xll.RssMarket(C253&amp;"","売買代金"))</f>
        <v/>
      </c>
      <c r="AD253" s="31">
        <f>IFERROR(INDEX(ATRHIST_MS2!$H:$H,MATCH(C253,ATRHIST_MS2!$A:$A,0)),0)</f>
        <v>0</v>
      </c>
    </row>
    <row r="254" spans="1:30" ht="25.95" customHeight="1">
      <c r="A254" s="10" t="str">
        <f t="shared" si="32"/>
        <v/>
      </c>
      <c r="B254" s="11" t="str">
        <f>IF(StockList_MS2!A253="","",HYPERLINK("https://kabutan.jp/stock/?code="&amp;StockList_MS2!A253,"株探"))</f>
        <v/>
      </c>
      <c r="C254" s="10" t="str">
        <f>IF(StockList_MS2!A253="","",StockList_MS2!A253)</f>
        <v/>
      </c>
      <c r="D254" s="12" t="str">
        <f>IF(StockList_MS2!A253="","",StockList_MS2!B253)</f>
        <v/>
      </c>
      <c r="E254" s="13"/>
      <c r="F254" s="13"/>
      <c r="G254" s="13"/>
      <c r="H254" s="13"/>
      <c r="I254" s="20"/>
      <c r="J254" s="13"/>
      <c r="K254" s="13"/>
      <c r="L254" s="13"/>
      <c r="M254" s="5" t="str">
        <f t="shared" si="41"/>
        <v/>
      </c>
      <c r="N254" s="9" t="str">
        <f>IF(OR(E254="",F254="",G254=""),"",IF(AD254&gt;0,AD254,(F254-G254)/SQRT(操作パネル_MS2!$H$12)*操作パネル_MS2!$H$10))</f>
        <v/>
      </c>
      <c r="O254" s="5" t="str">
        <f>IF(OR(E254="",AC254=""),"",IF(AC254&gt;=操作パネル_MS2!$H$3,"VOL-OK","VOL-NG"))</f>
        <v/>
      </c>
      <c r="P254" s="5" t="str">
        <f t="shared" si="33"/>
        <v/>
      </c>
      <c r="Q254" s="5" t="str">
        <f t="shared" si="34"/>
        <v/>
      </c>
      <c r="R254" s="5" t="str">
        <f t="shared" si="35"/>
        <v/>
      </c>
      <c r="S254" s="9" t="str">
        <f t="shared" si="36"/>
        <v/>
      </c>
      <c r="T254" s="9" t="str">
        <f>IF(R254="","",IF(R254="BUY",E254-N254*操作パネル_MS2!$H$5,E254+N254*操作パネル_MS2!$H$5))</f>
        <v/>
      </c>
      <c r="U254" s="9" t="str">
        <f>IF(R254="","",IF(R254="BUY",E254+N254*操作パネル_MS2!$H$6,E254-N254*操作パネル_MS2!$H$6))</f>
        <v/>
      </c>
      <c r="V254" s="9" t="str">
        <f>IF(R254="","",IF(R254="BUY",E254+N254*操作パネル_MS2!$H$7,E254-N254*操作パネル_MS2!$H$7))</f>
        <v/>
      </c>
      <c r="W254" s="9" t="str">
        <f>IF(R254="","",IF(R254="BUY",E254+N254*操作パネル_MS2!$H$8,E254-N254*操作パネル_MS2!$H$8))</f>
        <v/>
      </c>
      <c r="X254" s="5" t="str">
        <f t="shared" si="37"/>
        <v/>
      </c>
      <c r="Y254" s="5" t="str">
        <f t="shared" ca="1" si="38"/>
        <v/>
      </c>
      <c r="Z254" s="5" t="str">
        <f>IF(OR(E254="",N254&lt;=0),"",IF(N254&gt;E254*操作パネル_MS2!$H$4,"VOL-HIGH","VOL-NORMAL"))</f>
        <v/>
      </c>
      <c r="AA254" s="5" t="str">
        <f t="shared" si="39"/>
        <v/>
      </c>
      <c r="AB254" s="5" t="str">
        <f t="shared" si="40"/>
        <v/>
      </c>
      <c r="AC254" s="30" t="str">
        <f>IF(C254="","",_xll.RssMarket(C254&amp;"","売買代金"))</f>
        <v/>
      </c>
      <c r="AD254" s="31">
        <f>IFERROR(INDEX(ATRHIST_MS2!$H:$H,MATCH(C254,ATRHIST_MS2!$A:$A,0)),0)</f>
        <v>0</v>
      </c>
    </row>
    <row r="255" spans="1:30" ht="25.95" customHeight="1">
      <c r="A255" s="5" t="str">
        <f t="shared" si="32"/>
        <v/>
      </c>
      <c r="B255" s="6" t="str">
        <f>IF(StockList_MS2!A254="","",HYPERLINK("https://kabutan.jp/stock/?code="&amp;StockList_MS2!A254,"株探"))</f>
        <v/>
      </c>
      <c r="C255" s="5" t="str">
        <f>IF(StockList_MS2!A254="","",StockList_MS2!A254)</f>
        <v/>
      </c>
      <c r="D255" s="7" t="str">
        <f>IF(StockList_MS2!A254="","",StockList_MS2!B254)</f>
        <v/>
      </c>
      <c r="E255" s="8"/>
      <c r="F255" s="8"/>
      <c r="G255" s="8"/>
      <c r="H255" s="8"/>
      <c r="I255" s="19"/>
      <c r="J255" s="8"/>
      <c r="K255" s="8"/>
      <c r="L255" s="8"/>
      <c r="M255" s="5" t="str">
        <f t="shared" si="41"/>
        <v/>
      </c>
      <c r="N255" s="9" t="str">
        <f>IF(OR(E255="",F255="",G255=""),"",IF(AD255&gt;0,AD255,(F255-G255)/SQRT(操作パネル_MS2!$H$12)*操作パネル_MS2!$H$10))</f>
        <v/>
      </c>
      <c r="O255" s="5" t="str">
        <f>IF(OR(E255="",AC255=""),"",IF(AC255&gt;=操作パネル_MS2!$H$3,"VOL-OK","VOL-NG"))</f>
        <v/>
      </c>
      <c r="P255" s="5" t="str">
        <f t="shared" si="33"/>
        <v/>
      </c>
      <c r="Q255" s="5" t="str">
        <f t="shared" si="34"/>
        <v/>
      </c>
      <c r="R255" s="5" t="str">
        <f t="shared" si="35"/>
        <v/>
      </c>
      <c r="S255" s="9" t="str">
        <f t="shared" si="36"/>
        <v/>
      </c>
      <c r="T255" s="9" t="str">
        <f>IF(R255="","",IF(R255="BUY",E255-N255*操作パネル_MS2!$H$5,E255+N255*操作パネル_MS2!$H$5))</f>
        <v/>
      </c>
      <c r="U255" s="9" t="str">
        <f>IF(R255="","",IF(R255="BUY",E255+N255*操作パネル_MS2!$H$6,E255-N255*操作パネル_MS2!$H$6))</f>
        <v/>
      </c>
      <c r="V255" s="9" t="str">
        <f>IF(R255="","",IF(R255="BUY",E255+N255*操作パネル_MS2!$H$7,E255-N255*操作パネル_MS2!$H$7))</f>
        <v/>
      </c>
      <c r="W255" s="9" t="str">
        <f>IF(R255="","",IF(R255="BUY",E255+N255*操作パネル_MS2!$H$8,E255-N255*操作パネル_MS2!$H$8))</f>
        <v/>
      </c>
      <c r="X255" s="5" t="str">
        <f t="shared" si="37"/>
        <v/>
      </c>
      <c r="Y255" s="5" t="str">
        <f t="shared" ca="1" si="38"/>
        <v/>
      </c>
      <c r="Z255" s="5" t="str">
        <f>IF(OR(E255="",N255&lt;=0),"",IF(N255&gt;E255*操作パネル_MS2!$H$4,"VOL-HIGH","VOL-NORMAL"))</f>
        <v/>
      </c>
      <c r="AA255" s="5" t="str">
        <f t="shared" si="39"/>
        <v/>
      </c>
      <c r="AB255" s="5" t="str">
        <f t="shared" si="40"/>
        <v/>
      </c>
      <c r="AC255" s="30" t="str">
        <f>IF(C255="","",_xll.RssMarket(C255&amp;"","売買代金"))</f>
        <v/>
      </c>
      <c r="AD255" s="31">
        <f>IFERROR(INDEX(ATRHIST_MS2!$H:$H,MATCH(C255,ATRHIST_MS2!$A:$A,0)),0)</f>
        <v>0</v>
      </c>
    </row>
    <row r="256" spans="1:30" ht="25.95" customHeight="1">
      <c r="A256" s="10" t="str">
        <f t="shared" si="32"/>
        <v/>
      </c>
      <c r="B256" s="11" t="str">
        <f>IF(StockList_MS2!A255="","",HYPERLINK("https://kabutan.jp/stock/?code="&amp;StockList_MS2!A255,"株探"))</f>
        <v/>
      </c>
      <c r="C256" s="10" t="str">
        <f>IF(StockList_MS2!A255="","",StockList_MS2!A255)</f>
        <v/>
      </c>
      <c r="D256" s="12" t="str">
        <f>IF(StockList_MS2!A255="","",StockList_MS2!B255)</f>
        <v/>
      </c>
      <c r="E256" s="13"/>
      <c r="F256" s="13"/>
      <c r="G256" s="13"/>
      <c r="H256" s="13"/>
      <c r="I256" s="20"/>
      <c r="J256" s="13"/>
      <c r="K256" s="13"/>
      <c r="L256" s="13"/>
      <c r="M256" s="5" t="str">
        <f t="shared" si="41"/>
        <v/>
      </c>
      <c r="N256" s="9" t="str">
        <f>IF(OR(E256="",F256="",G256=""),"",IF(AD256&gt;0,AD256,(F256-G256)/SQRT(操作パネル_MS2!$H$12)*操作パネル_MS2!$H$10))</f>
        <v/>
      </c>
      <c r="O256" s="5" t="str">
        <f>IF(OR(E256="",AC256=""),"",IF(AC256&gt;=操作パネル_MS2!$H$3,"VOL-OK","VOL-NG"))</f>
        <v/>
      </c>
      <c r="P256" s="5" t="str">
        <f t="shared" si="33"/>
        <v/>
      </c>
      <c r="Q256" s="5" t="str">
        <f t="shared" si="34"/>
        <v/>
      </c>
      <c r="R256" s="5" t="str">
        <f t="shared" si="35"/>
        <v/>
      </c>
      <c r="S256" s="9" t="str">
        <f t="shared" si="36"/>
        <v/>
      </c>
      <c r="T256" s="9" t="str">
        <f>IF(R256="","",IF(R256="BUY",E256-N256*操作パネル_MS2!$H$5,E256+N256*操作パネル_MS2!$H$5))</f>
        <v/>
      </c>
      <c r="U256" s="9" t="str">
        <f>IF(R256="","",IF(R256="BUY",E256+N256*操作パネル_MS2!$H$6,E256-N256*操作パネル_MS2!$H$6))</f>
        <v/>
      </c>
      <c r="V256" s="9" t="str">
        <f>IF(R256="","",IF(R256="BUY",E256+N256*操作パネル_MS2!$H$7,E256-N256*操作パネル_MS2!$H$7))</f>
        <v/>
      </c>
      <c r="W256" s="9" t="str">
        <f>IF(R256="","",IF(R256="BUY",E256+N256*操作パネル_MS2!$H$8,E256-N256*操作パネル_MS2!$H$8))</f>
        <v/>
      </c>
      <c r="X256" s="5" t="str">
        <f t="shared" si="37"/>
        <v/>
      </c>
      <c r="Y256" s="5" t="str">
        <f t="shared" ca="1" si="38"/>
        <v/>
      </c>
      <c r="Z256" s="5" t="str">
        <f>IF(OR(E256="",N256&lt;=0),"",IF(N256&gt;E256*操作パネル_MS2!$H$4,"VOL-HIGH","VOL-NORMAL"))</f>
        <v/>
      </c>
      <c r="AA256" s="5" t="str">
        <f t="shared" si="39"/>
        <v/>
      </c>
      <c r="AB256" s="5" t="str">
        <f t="shared" si="40"/>
        <v/>
      </c>
      <c r="AC256" s="30" t="str">
        <f>IF(C256="","",_xll.RssMarket(C256&amp;"","売買代金"))</f>
        <v/>
      </c>
      <c r="AD256" s="31">
        <f>IFERROR(INDEX(ATRHIST_MS2!$H:$H,MATCH(C256,ATRHIST_MS2!$A:$A,0)),0)</f>
        <v>0</v>
      </c>
    </row>
    <row r="257" spans="1:30" ht="25.95" customHeight="1">
      <c r="A257" s="5" t="str">
        <f t="shared" si="32"/>
        <v/>
      </c>
      <c r="B257" s="6" t="str">
        <f>IF(StockList_MS2!A256="","",HYPERLINK("https://kabutan.jp/stock/?code="&amp;StockList_MS2!A256,"株探"))</f>
        <v/>
      </c>
      <c r="C257" s="5" t="str">
        <f>IF(StockList_MS2!A256="","",StockList_MS2!A256)</f>
        <v/>
      </c>
      <c r="D257" s="7" t="str">
        <f>IF(StockList_MS2!A256="","",StockList_MS2!B256)</f>
        <v/>
      </c>
      <c r="E257" s="8"/>
      <c r="F257" s="8"/>
      <c r="G257" s="8"/>
      <c r="H257" s="8"/>
      <c r="I257" s="19"/>
      <c r="J257" s="8"/>
      <c r="K257" s="8"/>
      <c r="L257" s="8"/>
      <c r="M257" s="5" t="str">
        <f t="shared" si="41"/>
        <v/>
      </c>
      <c r="N257" s="9" t="str">
        <f>IF(OR(E257="",F257="",G257=""),"",IF(AD257&gt;0,AD257,(F257-G257)/SQRT(操作パネル_MS2!$H$12)*操作パネル_MS2!$H$10))</f>
        <v/>
      </c>
      <c r="O257" s="5" t="str">
        <f>IF(OR(E257="",AC257=""),"",IF(AC257&gt;=操作パネル_MS2!$H$3,"VOL-OK","VOL-NG"))</f>
        <v/>
      </c>
      <c r="P257" s="5" t="str">
        <f t="shared" si="33"/>
        <v/>
      </c>
      <c r="Q257" s="5" t="str">
        <f t="shared" si="34"/>
        <v/>
      </c>
      <c r="R257" s="5" t="str">
        <f t="shared" si="35"/>
        <v/>
      </c>
      <c r="S257" s="9" t="str">
        <f t="shared" si="36"/>
        <v/>
      </c>
      <c r="T257" s="9" t="str">
        <f>IF(R257="","",IF(R257="BUY",E257-N257*操作パネル_MS2!$H$5,E257+N257*操作パネル_MS2!$H$5))</f>
        <v/>
      </c>
      <c r="U257" s="9" t="str">
        <f>IF(R257="","",IF(R257="BUY",E257+N257*操作パネル_MS2!$H$6,E257-N257*操作パネル_MS2!$H$6))</f>
        <v/>
      </c>
      <c r="V257" s="9" t="str">
        <f>IF(R257="","",IF(R257="BUY",E257+N257*操作パネル_MS2!$H$7,E257-N257*操作パネル_MS2!$H$7))</f>
        <v/>
      </c>
      <c r="W257" s="9" t="str">
        <f>IF(R257="","",IF(R257="BUY",E257+N257*操作パネル_MS2!$H$8,E257-N257*操作パネル_MS2!$H$8))</f>
        <v/>
      </c>
      <c r="X257" s="5" t="str">
        <f t="shared" si="37"/>
        <v/>
      </c>
      <c r="Y257" s="5" t="str">
        <f t="shared" ca="1" si="38"/>
        <v/>
      </c>
      <c r="Z257" s="5" t="str">
        <f>IF(OR(E257="",N257&lt;=0),"",IF(N257&gt;E257*操作パネル_MS2!$H$4,"VOL-HIGH","VOL-NORMAL"))</f>
        <v/>
      </c>
      <c r="AA257" s="5" t="str">
        <f t="shared" si="39"/>
        <v/>
      </c>
      <c r="AB257" s="5" t="str">
        <f t="shared" si="40"/>
        <v/>
      </c>
      <c r="AC257" s="30" t="str">
        <f>IF(C257="","",_xll.RssMarket(C257&amp;"","売買代金"))</f>
        <v/>
      </c>
      <c r="AD257" s="31">
        <f>IFERROR(INDEX(ATRHIST_MS2!$H:$H,MATCH(C257,ATRHIST_MS2!$A:$A,0)),0)</f>
        <v>0</v>
      </c>
    </row>
    <row r="258" spans="1:30" ht="25.95" customHeight="1">
      <c r="A258" s="10" t="str">
        <f t="shared" si="32"/>
        <v/>
      </c>
      <c r="B258" s="11" t="str">
        <f>IF(StockList_MS2!A257="","",HYPERLINK("https://kabutan.jp/stock/?code="&amp;StockList_MS2!A257,"株探"))</f>
        <v/>
      </c>
      <c r="C258" s="10" t="str">
        <f>IF(StockList_MS2!A257="","",StockList_MS2!A257)</f>
        <v/>
      </c>
      <c r="D258" s="12" t="str">
        <f>IF(StockList_MS2!A257="","",StockList_MS2!B257)</f>
        <v/>
      </c>
      <c r="E258" s="13"/>
      <c r="F258" s="13"/>
      <c r="G258" s="13"/>
      <c r="H258" s="13"/>
      <c r="I258" s="20"/>
      <c r="J258" s="13"/>
      <c r="K258" s="13"/>
      <c r="L258" s="13"/>
      <c r="M258" s="5" t="str">
        <f t="shared" si="41"/>
        <v/>
      </c>
      <c r="N258" s="9" t="str">
        <f>IF(OR(E258="",F258="",G258=""),"",IF(AD258&gt;0,AD258,(F258-G258)/SQRT(操作パネル_MS2!$H$12)*操作パネル_MS2!$H$10))</f>
        <v/>
      </c>
      <c r="O258" s="5" t="str">
        <f>IF(OR(E258="",AC258=""),"",IF(AC258&gt;=操作パネル_MS2!$H$3,"VOL-OK","VOL-NG"))</f>
        <v/>
      </c>
      <c r="P258" s="5" t="str">
        <f t="shared" si="33"/>
        <v/>
      </c>
      <c r="Q258" s="5" t="str">
        <f t="shared" si="34"/>
        <v/>
      </c>
      <c r="R258" s="5" t="str">
        <f t="shared" si="35"/>
        <v/>
      </c>
      <c r="S258" s="9" t="str">
        <f t="shared" si="36"/>
        <v/>
      </c>
      <c r="T258" s="9" t="str">
        <f>IF(R258="","",IF(R258="BUY",E258-N258*操作パネル_MS2!$H$5,E258+N258*操作パネル_MS2!$H$5))</f>
        <v/>
      </c>
      <c r="U258" s="9" t="str">
        <f>IF(R258="","",IF(R258="BUY",E258+N258*操作パネル_MS2!$H$6,E258-N258*操作パネル_MS2!$H$6))</f>
        <v/>
      </c>
      <c r="V258" s="9" t="str">
        <f>IF(R258="","",IF(R258="BUY",E258+N258*操作パネル_MS2!$H$7,E258-N258*操作パネル_MS2!$H$7))</f>
        <v/>
      </c>
      <c r="W258" s="9" t="str">
        <f>IF(R258="","",IF(R258="BUY",E258+N258*操作パネル_MS2!$H$8,E258-N258*操作パネル_MS2!$H$8))</f>
        <v/>
      </c>
      <c r="X258" s="5" t="str">
        <f t="shared" si="37"/>
        <v/>
      </c>
      <c r="Y258" s="5" t="str">
        <f t="shared" ca="1" si="38"/>
        <v/>
      </c>
      <c r="Z258" s="5" t="str">
        <f>IF(OR(E258="",N258&lt;=0),"",IF(N258&gt;E258*操作パネル_MS2!$H$4,"VOL-HIGH","VOL-NORMAL"))</f>
        <v/>
      </c>
      <c r="AA258" s="5" t="str">
        <f t="shared" si="39"/>
        <v/>
      </c>
      <c r="AB258" s="5" t="str">
        <f t="shared" si="40"/>
        <v/>
      </c>
      <c r="AC258" s="30" t="str">
        <f>IF(C258="","",_xll.RssMarket(C258&amp;"","売買代金"))</f>
        <v/>
      </c>
      <c r="AD258" s="31">
        <f>IFERROR(INDEX(ATRHIST_MS2!$H:$H,MATCH(C258,ATRHIST_MS2!$A:$A,0)),0)</f>
        <v>0</v>
      </c>
    </row>
    <row r="259" spans="1:30" ht="25.95" customHeight="1">
      <c r="A259" s="5" t="str">
        <f t="shared" ref="A259:A322" si="42">IF(C259="","",ROW()-2)</f>
        <v/>
      </c>
      <c r="B259" s="6" t="str">
        <f>IF(StockList_MS2!A258="","",HYPERLINK("https://kabutan.jp/stock/?code="&amp;StockList_MS2!A258,"株探"))</f>
        <v/>
      </c>
      <c r="C259" s="5" t="str">
        <f>IF(StockList_MS2!A258="","",StockList_MS2!A258)</f>
        <v/>
      </c>
      <c r="D259" s="7" t="str">
        <f>IF(StockList_MS2!A258="","",StockList_MS2!B258)</f>
        <v/>
      </c>
      <c r="E259" s="8"/>
      <c r="F259" s="8"/>
      <c r="G259" s="8"/>
      <c r="H259" s="8"/>
      <c r="I259" s="19"/>
      <c r="J259" s="8"/>
      <c r="K259" s="8"/>
      <c r="L259" s="8"/>
      <c r="M259" s="5" t="str">
        <f t="shared" si="41"/>
        <v/>
      </c>
      <c r="N259" s="9" t="str">
        <f>IF(OR(E259="",F259="",G259=""),"",IF(AD259&gt;0,AD259,(F259-G259)/SQRT(操作パネル_MS2!$H$12)*操作パネル_MS2!$H$10))</f>
        <v/>
      </c>
      <c r="O259" s="5" t="str">
        <f>IF(OR(E259="",AC259=""),"",IF(AC259&gt;=操作パネル_MS2!$H$3,"VOL-OK","VOL-NG"))</f>
        <v/>
      </c>
      <c r="P259" s="5" t="str">
        <f t="shared" ref="P259:P322" si="43">IF(E259="","",IF(E259&gt;J259,"ON","OFF"))</f>
        <v/>
      </c>
      <c r="Q259" s="5" t="str">
        <f t="shared" ref="Q259:Q322" si="44">IF(E259="","",IF(E259&lt;K259,"ON","OFF"))</f>
        <v/>
      </c>
      <c r="R259" s="5" t="str">
        <f t="shared" ref="R259:R322" si="45">IF(OR(E259="",N259&lt;=0),"",IF(AND(M259="BUY-DAY",O259="VOL-OK",P259="ON",AA259="OK",AB259&lt;&gt;"DOWN"),"BUY",IF(AND(M259="SELL-DAY",O259="VOL-OK",Q259="ON",AA259="OK",AB259&lt;&gt;"UP"),"SELL","")))</f>
        <v/>
      </c>
      <c r="S259" s="9" t="str">
        <f t="shared" ref="S259:S322" si="46">IF(R259="","",E259)</f>
        <v/>
      </c>
      <c r="T259" s="9" t="str">
        <f>IF(R259="","",IF(R259="BUY",E259-N259*操作パネル_MS2!$H$5,E259+N259*操作パネル_MS2!$H$5))</f>
        <v/>
      </c>
      <c r="U259" s="9" t="str">
        <f>IF(R259="","",IF(R259="BUY",E259+N259*操作パネル_MS2!$H$6,E259-N259*操作パネル_MS2!$H$6))</f>
        <v/>
      </c>
      <c r="V259" s="9" t="str">
        <f>IF(R259="","",IF(R259="BUY",E259+N259*操作パネル_MS2!$H$7,E259-N259*操作パネル_MS2!$H$7))</f>
        <v/>
      </c>
      <c r="W259" s="9" t="str">
        <f>IF(R259="","",IF(R259="BUY",E259+N259*操作パネル_MS2!$H$8,E259-N259*操作パネル_MS2!$H$8))</f>
        <v/>
      </c>
      <c r="X259" s="5" t="str">
        <f t="shared" ref="X259:X322" si="47">IF(OR(E259="",N259&lt;=0),"",IF(AND(E259&gt;L259,ABS(E259-L259)&lt;N259*0.5),"2ND","1ST"))</f>
        <v/>
      </c>
      <c r="Y259" s="5" t="str">
        <f t="shared" ref="Y259:Y322" ca="1" si="48">IF(OR(E259="",N259&lt;=0),"",IF(AND(TEXT(NOW(),"hh:mm")&gt;="09:00",TEXT(NOW(),"hh:mm")&lt;="09:30"),"寄り付き",IF(AND(TEXT(NOW(),"hh:mm")&gt;="12:30",TEXT(NOW(),"hh:mm")&lt;="14:30"),"後場",IF(AND(TEXT(NOW(),"hh:mm")&gt;="14:30",TEXT(NOW(),"hh:mm")&lt;="15:00"),"引け前","その他"))))</f>
        <v/>
      </c>
      <c r="Z259" s="5" t="str">
        <f>IF(OR(E259="",N259&lt;=0),"",IF(N259&gt;E259*操作パネル_MS2!$H$4,"VOL-HIGH","VOL-NORMAL"))</f>
        <v/>
      </c>
      <c r="AA259" s="5" t="str">
        <f t="shared" ref="AA259:AA322" si="49">IF(OR(E259="",N259&lt;=0),"",IF(AND(O259="VOL-OK",Z259="VOL-NORMAL"),"OK","NG"))</f>
        <v/>
      </c>
      <c r="AB259" s="5" t="str">
        <f t="shared" ref="AB259:AB322" si="50">IF(OR(E259="",N259&lt;=0),"",IF(AND(F259&gt;J259,G259&gt;K259),"UP",IF(AND(F259&lt;J259,G259&lt;K259),"DOWN","FLAT")))</f>
        <v/>
      </c>
      <c r="AC259" s="30" t="str">
        <f>IF(C259="","",_xll.RssMarket(C259&amp;"","売買代金"))</f>
        <v/>
      </c>
      <c r="AD259" s="31">
        <f>IFERROR(INDEX(ATRHIST_MS2!$H:$H,MATCH(C259,ATRHIST_MS2!$A:$A,0)),0)</f>
        <v>0</v>
      </c>
    </row>
    <row r="260" spans="1:30" ht="25.95" customHeight="1">
      <c r="A260" s="10" t="str">
        <f t="shared" si="42"/>
        <v/>
      </c>
      <c r="B260" s="11" t="str">
        <f>IF(StockList_MS2!A259="","",HYPERLINK("https://kabutan.jp/stock/?code="&amp;StockList_MS2!A259,"株探"))</f>
        <v/>
      </c>
      <c r="C260" s="10" t="str">
        <f>IF(StockList_MS2!A259="","",StockList_MS2!A259)</f>
        <v/>
      </c>
      <c r="D260" s="12" t="str">
        <f>IF(StockList_MS2!A259="","",StockList_MS2!B259)</f>
        <v/>
      </c>
      <c r="E260" s="13"/>
      <c r="F260" s="13"/>
      <c r="G260" s="13"/>
      <c r="H260" s="13"/>
      <c r="I260" s="20"/>
      <c r="J260" s="13"/>
      <c r="K260" s="13"/>
      <c r="L260" s="13"/>
      <c r="M260" s="5" t="str">
        <f t="shared" si="41"/>
        <v/>
      </c>
      <c r="N260" s="9" t="str">
        <f>IF(OR(E260="",F260="",G260=""),"",IF(AD260&gt;0,AD260,(F260-G260)/SQRT(操作パネル_MS2!$H$12)*操作パネル_MS2!$H$10))</f>
        <v/>
      </c>
      <c r="O260" s="5" t="str">
        <f>IF(OR(E260="",AC260=""),"",IF(AC260&gt;=操作パネル_MS2!$H$3,"VOL-OK","VOL-NG"))</f>
        <v/>
      </c>
      <c r="P260" s="5" t="str">
        <f t="shared" si="43"/>
        <v/>
      </c>
      <c r="Q260" s="5" t="str">
        <f t="shared" si="44"/>
        <v/>
      </c>
      <c r="R260" s="5" t="str">
        <f t="shared" si="45"/>
        <v/>
      </c>
      <c r="S260" s="9" t="str">
        <f t="shared" si="46"/>
        <v/>
      </c>
      <c r="T260" s="9" t="str">
        <f>IF(R260="","",IF(R260="BUY",E260-N260*操作パネル_MS2!$H$5,E260+N260*操作パネル_MS2!$H$5))</f>
        <v/>
      </c>
      <c r="U260" s="9" t="str">
        <f>IF(R260="","",IF(R260="BUY",E260+N260*操作パネル_MS2!$H$6,E260-N260*操作パネル_MS2!$H$6))</f>
        <v/>
      </c>
      <c r="V260" s="9" t="str">
        <f>IF(R260="","",IF(R260="BUY",E260+N260*操作パネル_MS2!$H$7,E260-N260*操作パネル_MS2!$H$7))</f>
        <v/>
      </c>
      <c r="W260" s="9" t="str">
        <f>IF(R260="","",IF(R260="BUY",E260+N260*操作パネル_MS2!$H$8,E260-N260*操作パネル_MS2!$H$8))</f>
        <v/>
      </c>
      <c r="X260" s="5" t="str">
        <f t="shared" si="47"/>
        <v/>
      </c>
      <c r="Y260" s="5" t="str">
        <f t="shared" ca="1" si="48"/>
        <v/>
      </c>
      <c r="Z260" s="5" t="str">
        <f>IF(OR(E260="",N260&lt;=0),"",IF(N260&gt;E260*操作パネル_MS2!$H$4,"VOL-HIGH","VOL-NORMAL"))</f>
        <v/>
      </c>
      <c r="AA260" s="5" t="str">
        <f t="shared" si="49"/>
        <v/>
      </c>
      <c r="AB260" s="5" t="str">
        <f t="shared" si="50"/>
        <v/>
      </c>
      <c r="AC260" s="30" t="str">
        <f>IF(C260="","",_xll.RssMarket(C260&amp;"","売買代金"))</f>
        <v/>
      </c>
      <c r="AD260" s="31">
        <f>IFERROR(INDEX(ATRHIST_MS2!$H:$H,MATCH(C260,ATRHIST_MS2!$A:$A,0)),0)</f>
        <v>0</v>
      </c>
    </row>
    <row r="261" spans="1:30" ht="25.95" customHeight="1">
      <c r="A261" s="5" t="str">
        <f t="shared" si="42"/>
        <v/>
      </c>
      <c r="B261" s="6" t="str">
        <f>IF(StockList_MS2!A260="","",HYPERLINK("https://kabutan.jp/stock/?code="&amp;StockList_MS2!A260,"株探"))</f>
        <v/>
      </c>
      <c r="C261" s="5" t="str">
        <f>IF(StockList_MS2!A260="","",StockList_MS2!A260)</f>
        <v/>
      </c>
      <c r="D261" s="7" t="str">
        <f>IF(StockList_MS2!A260="","",StockList_MS2!B260)</f>
        <v/>
      </c>
      <c r="E261" s="8"/>
      <c r="F261" s="8"/>
      <c r="G261" s="8"/>
      <c r="H261" s="8"/>
      <c r="I261" s="19"/>
      <c r="J261" s="8"/>
      <c r="K261" s="8"/>
      <c r="L261" s="8"/>
      <c r="M261" s="5" t="str">
        <f t="shared" si="41"/>
        <v/>
      </c>
      <c r="N261" s="9" t="str">
        <f>IF(OR(E261="",F261="",G261=""),"",IF(AD261&gt;0,AD261,(F261-G261)/SQRT(操作パネル_MS2!$H$12)*操作パネル_MS2!$H$10))</f>
        <v/>
      </c>
      <c r="O261" s="5" t="str">
        <f>IF(OR(E261="",AC261=""),"",IF(AC261&gt;=操作パネル_MS2!$H$3,"VOL-OK","VOL-NG"))</f>
        <v/>
      </c>
      <c r="P261" s="5" t="str">
        <f t="shared" si="43"/>
        <v/>
      </c>
      <c r="Q261" s="5" t="str">
        <f t="shared" si="44"/>
        <v/>
      </c>
      <c r="R261" s="5" t="str">
        <f t="shared" si="45"/>
        <v/>
      </c>
      <c r="S261" s="9" t="str">
        <f t="shared" si="46"/>
        <v/>
      </c>
      <c r="T261" s="9" t="str">
        <f>IF(R261="","",IF(R261="BUY",E261-N261*操作パネル_MS2!$H$5,E261+N261*操作パネル_MS2!$H$5))</f>
        <v/>
      </c>
      <c r="U261" s="9" t="str">
        <f>IF(R261="","",IF(R261="BUY",E261+N261*操作パネル_MS2!$H$6,E261-N261*操作パネル_MS2!$H$6))</f>
        <v/>
      </c>
      <c r="V261" s="9" t="str">
        <f>IF(R261="","",IF(R261="BUY",E261+N261*操作パネル_MS2!$H$7,E261-N261*操作パネル_MS2!$H$7))</f>
        <v/>
      </c>
      <c r="W261" s="9" t="str">
        <f>IF(R261="","",IF(R261="BUY",E261+N261*操作パネル_MS2!$H$8,E261-N261*操作パネル_MS2!$H$8))</f>
        <v/>
      </c>
      <c r="X261" s="5" t="str">
        <f t="shared" si="47"/>
        <v/>
      </c>
      <c r="Y261" s="5" t="str">
        <f t="shared" ca="1" si="48"/>
        <v/>
      </c>
      <c r="Z261" s="5" t="str">
        <f>IF(OR(E261="",N261&lt;=0),"",IF(N261&gt;E261*操作パネル_MS2!$H$4,"VOL-HIGH","VOL-NORMAL"))</f>
        <v/>
      </c>
      <c r="AA261" s="5" t="str">
        <f t="shared" si="49"/>
        <v/>
      </c>
      <c r="AB261" s="5" t="str">
        <f t="shared" si="50"/>
        <v/>
      </c>
      <c r="AC261" s="30" t="str">
        <f>IF(C261="","",_xll.RssMarket(C261&amp;"","売買代金"))</f>
        <v/>
      </c>
      <c r="AD261" s="31">
        <f>IFERROR(INDEX(ATRHIST_MS2!$H:$H,MATCH(C261,ATRHIST_MS2!$A:$A,0)),0)</f>
        <v>0</v>
      </c>
    </row>
    <row r="262" spans="1:30" ht="25.95" customHeight="1">
      <c r="A262" s="10" t="str">
        <f t="shared" si="42"/>
        <v/>
      </c>
      <c r="B262" s="11" t="str">
        <f>IF(StockList_MS2!A261="","",HYPERLINK("https://kabutan.jp/stock/?code="&amp;StockList_MS2!A261,"株探"))</f>
        <v/>
      </c>
      <c r="C262" s="10" t="str">
        <f>IF(StockList_MS2!A261="","",StockList_MS2!A261)</f>
        <v/>
      </c>
      <c r="D262" s="12" t="str">
        <f>IF(StockList_MS2!A261="","",StockList_MS2!B261)</f>
        <v/>
      </c>
      <c r="E262" s="13"/>
      <c r="F262" s="13"/>
      <c r="G262" s="13"/>
      <c r="H262" s="13"/>
      <c r="I262" s="20"/>
      <c r="J262" s="13"/>
      <c r="K262" s="13"/>
      <c r="L262" s="13"/>
      <c r="M262" s="5" t="str">
        <f t="shared" si="41"/>
        <v/>
      </c>
      <c r="N262" s="9" t="str">
        <f>IF(OR(E262="",F262="",G262=""),"",IF(AD262&gt;0,AD262,(F262-G262)/SQRT(操作パネル_MS2!$H$12)*操作パネル_MS2!$H$10))</f>
        <v/>
      </c>
      <c r="O262" s="5" t="str">
        <f>IF(OR(E262="",AC262=""),"",IF(AC262&gt;=操作パネル_MS2!$H$3,"VOL-OK","VOL-NG"))</f>
        <v/>
      </c>
      <c r="P262" s="5" t="str">
        <f t="shared" si="43"/>
        <v/>
      </c>
      <c r="Q262" s="5" t="str">
        <f t="shared" si="44"/>
        <v/>
      </c>
      <c r="R262" s="5" t="str">
        <f t="shared" si="45"/>
        <v/>
      </c>
      <c r="S262" s="9" t="str">
        <f t="shared" si="46"/>
        <v/>
      </c>
      <c r="T262" s="9" t="str">
        <f>IF(R262="","",IF(R262="BUY",E262-N262*操作パネル_MS2!$H$5,E262+N262*操作パネル_MS2!$H$5))</f>
        <v/>
      </c>
      <c r="U262" s="9" t="str">
        <f>IF(R262="","",IF(R262="BUY",E262+N262*操作パネル_MS2!$H$6,E262-N262*操作パネル_MS2!$H$6))</f>
        <v/>
      </c>
      <c r="V262" s="9" t="str">
        <f>IF(R262="","",IF(R262="BUY",E262+N262*操作パネル_MS2!$H$7,E262-N262*操作パネル_MS2!$H$7))</f>
        <v/>
      </c>
      <c r="W262" s="9" t="str">
        <f>IF(R262="","",IF(R262="BUY",E262+N262*操作パネル_MS2!$H$8,E262-N262*操作パネル_MS2!$H$8))</f>
        <v/>
      </c>
      <c r="X262" s="5" t="str">
        <f t="shared" si="47"/>
        <v/>
      </c>
      <c r="Y262" s="5" t="str">
        <f t="shared" ca="1" si="48"/>
        <v/>
      </c>
      <c r="Z262" s="5" t="str">
        <f>IF(OR(E262="",N262&lt;=0),"",IF(N262&gt;E262*操作パネル_MS2!$H$4,"VOL-HIGH","VOL-NORMAL"))</f>
        <v/>
      </c>
      <c r="AA262" s="5" t="str">
        <f t="shared" si="49"/>
        <v/>
      </c>
      <c r="AB262" s="5" t="str">
        <f t="shared" si="50"/>
        <v/>
      </c>
      <c r="AC262" s="30" t="str">
        <f>IF(C262="","",_xll.RssMarket(C262&amp;"","売買代金"))</f>
        <v/>
      </c>
      <c r="AD262" s="31">
        <f>IFERROR(INDEX(ATRHIST_MS2!$H:$H,MATCH(C262,ATRHIST_MS2!$A:$A,0)),0)</f>
        <v>0</v>
      </c>
    </row>
    <row r="263" spans="1:30" ht="25.95" customHeight="1">
      <c r="A263" s="5" t="str">
        <f t="shared" si="42"/>
        <v/>
      </c>
      <c r="B263" s="6" t="str">
        <f>IF(StockList_MS2!A262="","",HYPERLINK("https://kabutan.jp/stock/?code="&amp;StockList_MS2!A262,"株探"))</f>
        <v/>
      </c>
      <c r="C263" s="5" t="str">
        <f>IF(StockList_MS2!A262="","",StockList_MS2!A262)</f>
        <v/>
      </c>
      <c r="D263" s="7" t="str">
        <f>IF(StockList_MS2!A262="","",StockList_MS2!B262)</f>
        <v/>
      </c>
      <c r="E263" s="8"/>
      <c r="F263" s="8"/>
      <c r="G263" s="8"/>
      <c r="H263" s="8"/>
      <c r="I263" s="19"/>
      <c r="J263" s="8"/>
      <c r="K263" s="8"/>
      <c r="L263" s="8"/>
      <c r="M263" s="5" t="str">
        <f t="shared" si="41"/>
        <v/>
      </c>
      <c r="N263" s="9" t="str">
        <f>IF(OR(E263="",F263="",G263=""),"",IF(AD263&gt;0,AD263,(F263-G263)/SQRT(操作パネル_MS2!$H$12)*操作パネル_MS2!$H$10))</f>
        <v/>
      </c>
      <c r="O263" s="5" t="str">
        <f>IF(OR(E263="",AC263=""),"",IF(AC263&gt;=操作パネル_MS2!$H$3,"VOL-OK","VOL-NG"))</f>
        <v/>
      </c>
      <c r="P263" s="5" t="str">
        <f t="shared" si="43"/>
        <v/>
      </c>
      <c r="Q263" s="5" t="str">
        <f t="shared" si="44"/>
        <v/>
      </c>
      <c r="R263" s="5" t="str">
        <f t="shared" si="45"/>
        <v/>
      </c>
      <c r="S263" s="9" t="str">
        <f t="shared" si="46"/>
        <v/>
      </c>
      <c r="T263" s="9" t="str">
        <f>IF(R263="","",IF(R263="BUY",E263-N263*操作パネル_MS2!$H$5,E263+N263*操作パネル_MS2!$H$5))</f>
        <v/>
      </c>
      <c r="U263" s="9" t="str">
        <f>IF(R263="","",IF(R263="BUY",E263+N263*操作パネル_MS2!$H$6,E263-N263*操作パネル_MS2!$H$6))</f>
        <v/>
      </c>
      <c r="V263" s="9" t="str">
        <f>IF(R263="","",IF(R263="BUY",E263+N263*操作パネル_MS2!$H$7,E263-N263*操作パネル_MS2!$H$7))</f>
        <v/>
      </c>
      <c r="W263" s="9" t="str">
        <f>IF(R263="","",IF(R263="BUY",E263+N263*操作パネル_MS2!$H$8,E263-N263*操作パネル_MS2!$H$8))</f>
        <v/>
      </c>
      <c r="X263" s="5" t="str">
        <f t="shared" si="47"/>
        <v/>
      </c>
      <c r="Y263" s="5" t="str">
        <f t="shared" ca="1" si="48"/>
        <v/>
      </c>
      <c r="Z263" s="5" t="str">
        <f>IF(OR(E263="",N263&lt;=0),"",IF(N263&gt;E263*操作パネル_MS2!$H$4,"VOL-HIGH","VOL-NORMAL"))</f>
        <v/>
      </c>
      <c r="AA263" s="5" t="str">
        <f t="shared" si="49"/>
        <v/>
      </c>
      <c r="AB263" s="5" t="str">
        <f t="shared" si="50"/>
        <v/>
      </c>
      <c r="AC263" s="30" t="str">
        <f>IF(C263="","",_xll.RssMarket(C263&amp;"","売買代金"))</f>
        <v/>
      </c>
      <c r="AD263" s="31">
        <f>IFERROR(INDEX(ATRHIST_MS2!$H:$H,MATCH(C263,ATRHIST_MS2!$A:$A,0)),0)</f>
        <v>0</v>
      </c>
    </row>
    <row r="264" spans="1:30" ht="25.95" customHeight="1">
      <c r="A264" s="10" t="str">
        <f t="shared" si="42"/>
        <v/>
      </c>
      <c r="B264" s="11" t="str">
        <f>IF(StockList_MS2!A263="","",HYPERLINK("https://kabutan.jp/stock/?code="&amp;StockList_MS2!A263,"株探"))</f>
        <v/>
      </c>
      <c r="C264" s="10" t="str">
        <f>IF(StockList_MS2!A263="","",StockList_MS2!A263)</f>
        <v/>
      </c>
      <c r="D264" s="12" t="str">
        <f>IF(StockList_MS2!A263="","",StockList_MS2!B263)</f>
        <v/>
      </c>
      <c r="E264" s="13"/>
      <c r="F264" s="13"/>
      <c r="G264" s="13"/>
      <c r="H264" s="13"/>
      <c r="I264" s="20"/>
      <c r="J264" s="13"/>
      <c r="K264" s="13"/>
      <c r="L264" s="13"/>
      <c r="M264" s="5" t="str">
        <f t="shared" si="41"/>
        <v/>
      </c>
      <c r="N264" s="9" t="str">
        <f>IF(OR(E264="",F264="",G264=""),"",IF(AD264&gt;0,AD264,(F264-G264)/SQRT(操作パネル_MS2!$H$12)*操作パネル_MS2!$H$10))</f>
        <v/>
      </c>
      <c r="O264" s="5" t="str">
        <f>IF(OR(E264="",AC264=""),"",IF(AC264&gt;=操作パネル_MS2!$H$3,"VOL-OK","VOL-NG"))</f>
        <v/>
      </c>
      <c r="P264" s="5" t="str">
        <f t="shared" si="43"/>
        <v/>
      </c>
      <c r="Q264" s="5" t="str">
        <f t="shared" si="44"/>
        <v/>
      </c>
      <c r="R264" s="5" t="str">
        <f t="shared" si="45"/>
        <v/>
      </c>
      <c r="S264" s="9" t="str">
        <f t="shared" si="46"/>
        <v/>
      </c>
      <c r="T264" s="9" t="str">
        <f>IF(R264="","",IF(R264="BUY",E264-N264*操作パネル_MS2!$H$5,E264+N264*操作パネル_MS2!$H$5))</f>
        <v/>
      </c>
      <c r="U264" s="9" t="str">
        <f>IF(R264="","",IF(R264="BUY",E264+N264*操作パネル_MS2!$H$6,E264-N264*操作パネル_MS2!$H$6))</f>
        <v/>
      </c>
      <c r="V264" s="9" t="str">
        <f>IF(R264="","",IF(R264="BUY",E264+N264*操作パネル_MS2!$H$7,E264-N264*操作パネル_MS2!$H$7))</f>
        <v/>
      </c>
      <c r="W264" s="9" t="str">
        <f>IF(R264="","",IF(R264="BUY",E264+N264*操作パネル_MS2!$H$8,E264-N264*操作パネル_MS2!$H$8))</f>
        <v/>
      </c>
      <c r="X264" s="5" t="str">
        <f t="shared" si="47"/>
        <v/>
      </c>
      <c r="Y264" s="5" t="str">
        <f t="shared" ca="1" si="48"/>
        <v/>
      </c>
      <c r="Z264" s="5" t="str">
        <f>IF(OR(E264="",N264&lt;=0),"",IF(N264&gt;E264*操作パネル_MS2!$H$4,"VOL-HIGH","VOL-NORMAL"))</f>
        <v/>
      </c>
      <c r="AA264" s="5" t="str">
        <f t="shared" si="49"/>
        <v/>
      </c>
      <c r="AB264" s="5" t="str">
        <f t="shared" si="50"/>
        <v/>
      </c>
      <c r="AC264" s="30" t="str">
        <f>IF(C264="","",_xll.RssMarket(C264&amp;"","売買代金"))</f>
        <v/>
      </c>
      <c r="AD264" s="31">
        <f>IFERROR(INDEX(ATRHIST_MS2!$H:$H,MATCH(C264,ATRHIST_MS2!$A:$A,0)),0)</f>
        <v>0</v>
      </c>
    </row>
    <row r="265" spans="1:30" ht="25.95" customHeight="1">
      <c r="A265" s="5" t="str">
        <f t="shared" si="42"/>
        <v/>
      </c>
      <c r="B265" s="6" t="str">
        <f>IF(StockList_MS2!A264="","",HYPERLINK("https://kabutan.jp/stock/?code="&amp;StockList_MS2!A264,"株探"))</f>
        <v/>
      </c>
      <c r="C265" s="5" t="str">
        <f>IF(StockList_MS2!A264="","",StockList_MS2!A264)</f>
        <v/>
      </c>
      <c r="D265" s="7" t="str">
        <f>IF(StockList_MS2!A264="","",StockList_MS2!B264)</f>
        <v/>
      </c>
      <c r="E265" s="8"/>
      <c r="F265" s="8"/>
      <c r="G265" s="8"/>
      <c r="H265" s="8"/>
      <c r="I265" s="19"/>
      <c r="J265" s="8"/>
      <c r="K265" s="8"/>
      <c r="L265" s="8"/>
      <c r="M265" s="5" t="str">
        <f t="shared" si="41"/>
        <v/>
      </c>
      <c r="N265" s="9" t="str">
        <f>IF(OR(E265="",F265="",G265=""),"",IF(AD265&gt;0,AD265,(F265-G265)/SQRT(操作パネル_MS2!$H$12)*操作パネル_MS2!$H$10))</f>
        <v/>
      </c>
      <c r="O265" s="5" t="str">
        <f>IF(OR(E265="",AC265=""),"",IF(AC265&gt;=操作パネル_MS2!$H$3,"VOL-OK","VOL-NG"))</f>
        <v/>
      </c>
      <c r="P265" s="5" t="str">
        <f t="shared" si="43"/>
        <v/>
      </c>
      <c r="Q265" s="5" t="str">
        <f t="shared" si="44"/>
        <v/>
      </c>
      <c r="R265" s="5" t="str">
        <f t="shared" si="45"/>
        <v/>
      </c>
      <c r="S265" s="9" t="str">
        <f t="shared" si="46"/>
        <v/>
      </c>
      <c r="T265" s="9" t="str">
        <f>IF(R265="","",IF(R265="BUY",E265-N265*操作パネル_MS2!$H$5,E265+N265*操作パネル_MS2!$H$5))</f>
        <v/>
      </c>
      <c r="U265" s="9" t="str">
        <f>IF(R265="","",IF(R265="BUY",E265+N265*操作パネル_MS2!$H$6,E265-N265*操作パネル_MS2!$H$6))</f>
        <v/>
      </c>
      <c r="V265" s="9" t="str">
        <f>IF(R265="","",IF(R265="BUY",E265+N265*操作パネル_MS2!$H$7,E265-N265*操作パネル_MS2!$H$7))</f>
        <v/>
      </c>
      <c r="W265" s="9" t="str">
        <f>IF(R265="","",IF(R265="BUY",E265+N265*操作パネル_MS2!$H$8,E265-N265*操作パネル_MS2!$H$8))</f>
        <v/>
      </c>
      <c r="X265" s="5" t="str">
        <f t="shared" si="47"/>
        <v/>
      </c>
      <c r="Y265" s="5" t="str">
        <f t="shared" ca="1" si="48"/>
        <v/>
      </c>
      <c r="Z265" s="5" t="str">
        <f>IF(OR(E265="",N265&lt;=0),"",IF(N265&gt;E265*操作パネル_MS2!$H$4,"VOL-HIGH","VOL-NORMAL"))</f>
        <v/>
      </c>
      <c r="AA265" s="5" t="str">
        <f t="shared" si="49"/>
        <v/>
      </c>
      <c r="AB265" s="5" t="str">
        <f t="shared" si="50"/>
        <v/>
      </c>
      <c r="AC265" s="30" t="str">
        <f>IF(C265="","",_xll.RssMarket(C265&amp;"","売買代金"))</f>
        <v/>
      </c>
      <c r="AD265" s="31">
        <f>IFERROR(INDEX(ATRHIST_MS2!$H:$H,MATCH(C265,ATRHIST_MS2!$A:$A,0)),0)</f>
        <v>0</v>
      </c>
    </row>
    <row r="266" spans="1:30" ht="25.95" customHeight="1">
      <c r="A266" s="10" t="str">
        <f t="shared" si="42"/>
        <v/>
      </c>
      <c r="B266" s="11" t="str">
        <f>IF(StockList_MS2!A265="","",HYPERLINK("https://kabutan.jp/stock/?code="&amp;StockList_MS2!A265,"株探"))</f>
        <v/>
      </c>
      <c r="C266" s="10" t="str">
        <f>IF(StockList_MS2!A265="","",StockList_MS2!A265)</f>
        <v/>
      </c>
      <c r="D266" s="12" t="str">
        <f>IF(StockList_MS2!A265="","",StockList_MS2!B265)</f>
        <v/>
      </c>
      <c r="E266" s="13"/>
      <c r="F266" s="13"/>
      <c r="G266" s="13"/>
      <c r="H266" s="13"/>
      <c r="I266" s="20"/>
      <c r="J266" s="13"/>
      <c r="K266" s="13"/>
      <c r="L266" s="13"/>
      <c r="M266" s="5" t="str">
        <f t="shared" si="41"/>
        <v/>
      </c>
      <c r="N266" s="9" t="str">
        <f>IF(OR(E266="",F266="",G266=""),"",IF(AD266&gt;0,AD266,(F266-G266)/SQRT(操作パネル_MS2!$H$12)*操作パネル_MS2!$H$10))</f>
        <v/>
      </c>
      <c r="O266" s="5" t="str">
        <f>IF(OR(E266="",AC266=""),"",IF(AC266&gt;=操作パネル_MS2!$H$3,"VOL-OK","VOL-NG"))</f>
        <v/>
      </c>
      <c r="P266" s="5" t="str">
        <f t="shared" si="43"/>
        <v/>
      </c>
      <c r="Q266" s="5" t="str">
        <f t="shared" si="44"/>
        <v/>
      </c>
      <c r="R266" s="5" t="str">
        <f t="shared" si="45"/>
        <v/>
      </c>
      <c r="S266" s="9" t="str">
        <f t="shared" si="46"/>
        <v/>
      </c>
      <c r="T266" s="9" t="str">
        <f>IF(R266="","",IF(R266="BUY",E266-N266*操作パネル_MS2!$H$5,E266+N266*操作パネル_MS2!$H$5))</f>
        <v/>
      </c>
      <c r="U266" s="9" t="str">
        <f>IF(R266="","",IF(R266="BUY",E266+N266*操作パネル_MS2!$H$6,E266-N266*操作パネル_MS2!$H$6))</f>
        <v/>
      </c>
      <c r="V266" s="9" t="str">
        <f>IF(R266="","",IF(R266="BUY",E266+N266*操作パネル_MS2!$H$7,E266-N266*操作パネル_MS2!$H$7))</f>
        <v/>
      </c>
      <c r="W266" s="9" t="str">
        <f>IF(R266="","",IF(R266="BUY",E266+N266*操作パネル_MS2!$H$8,E266-N266*操作パネル_MS2!$H$8))</f>
        <v/>
      </c>
      <c r="X266" s="5" t="str">
        <f t="shared" si="47"/>
        <v/>
      </c>
      <c r="Y266" s="5" t="str">
        <f t="shared" ca="1" si="48"/>
        <v/>
      </c>
      <c r="Z266" s="5" t="str">
        <f>IF(OR(E266="",N266&lt;=0),"",IF(N266&gt;E266*操作パネル_MS2!$H$4,"VOL-HIGH","VOL-NORMAL"))</f>
        <v/>
      </c>
      <c r="AA266" s="5" t="str">
        <f t="shared" si="49"/>
        <v/>
      </c>
      <c r="AB266" s="5" t="str">
        <f t="shared" si="50"/>
        <v/>
      </c>
      <c r="AC266" s="30" t="str">
        <f>IF(C266="","",_xll.RssMarket(C266&amp;"","売買代金"))</f>
        <v/>
      </c>
      <c r="AD266" s="31">
        <f>IFERROR(INDEX(ATRHIST_MS2!$H:$H,MATCH(C266,ATRHIST_MS2!$A:$A,0)),0)</f>
        <v>0</v>
      </c>
    </row>
    <row r="267" spans="1:30" ht="25.95" customHeight="1">
      <c r="A267" s="5" t="str">
        <f t="shared" si="42"/>
        <v/>
      </c>
      <c r="B267" s="6" t="str">
        <f>IF(StockList_MS2!A266="","",HYPERLINK("https://kabutan.jp/stock/?code="&amp;StockList_MS2!A266,"株探"))</f>
        <v/>
      </c>
      <c r="C267" s="5" t="str">
        <f>IF(StockList_MS2!A266="","",StockList_MS2!A266)</f>
        <v/>
      </c>
      <c r="D267" s="7" t="str">
        <f>IF(StockList_MS2!A266="","",StockList_MS2!B266)</f>
        <v/>
      </c>
      <c r="E267" s="8"/>
      <c r="F267" s="8"/>
      <c r="G267" s="8"/>
      <c r="H267" s="8"/>
      <c r="I267" s="19"/>
      <c r="J267" s="8"/>
      <c r="K267" s="8"/>
      <c r="L267" s="8"/>
      <c r="M267" s="5" t="str">
        <f t="shared" si="41"/>
        <v/>
      </c>
      <c r="N267" s="9" t="str">
        <f>IF(OR(E267="",F267="",G267=""),"",IF(AD267&gt;0,AD267,(F267-G267)/SQRT(操作パネル_MS2!$H$12)*操作パネル_MS2!$H$10))</f>
        <v/>
      </c>
      <c r="O267" s="5" t="str">
        <f>IF(OR(E267="",AC267=""),"",IF(AC267&gt;=操作パネル_MS2!$H$3,"VOL-OK","VOL-NG"))</f>
        <v/>
      </c>
      <c r="P267" s="5" t="str">
        <f t="shared" si="43"/>
        <v/>
      </c>
      <c r="Q267" s="5" t="str">
        <f t="shared" si="44"/>
        <v/>
      </c>
      <c r="R267" s="5" t="str">
        <f t="shared" si="45"/>
        <v/>
      </c>
      <c r="S267" s="9" t="str">
        <f t="shared" si="46"/>
        <v/>
      </c>
      <c r="T267" s="9" t="str">
        <f>IF(R267="","",IF(R267="BUY",E267-N267*操作パネル_MS2!$H$5,E267+N267*操作パネル_MS2!$H$5))</f>
        <v/>
      </c>
      <c r="U267" s="9" t="str">
        <f>IF(R267="","",IF(R267="BUY",E267+N267*操作パネル_MS2!$H$6,E267-N267*操作パネル_MS2!$H$6))</f>
        <v/>
      </c>
      <c r="V267" s="9" t="str">
        <f>IF(R267="","",IF(R267="BUY",E267+N267*操作パネル_MS2!$H$7,E267-N267*操作パネル_MS2!$H$7))</f>
        <v/>
      </c>
      <c r="W267" s="9" t="str">
        <f>IF(R267="","",IF(R267="BUY",E267+N267*操作パネル_MS2!$H$8,E267-N267*操作パネル_MS2!$H$8))</f>
        <v/>
      </c>
      <c r="X267" s="5" t="str">
        <f t="shared" si="47"/>
        <v/>
      </c>
      <c r="Y267" s="5" t="str">
        <f t="shared" ca="1" si="48"/>
        <v/>
      </c>
      <c r="Z267" s="5" t="str">
        <f>IF(OR(E267="",N267&lt;=0),"",IF(N267&gt;E267*操作パネル_MS2!$H$4,"VOL-HIGH","VOL-NORMAL"))</f>
        <v/>
      </c>
      <c r="AA267" s="5" t="str">
        <f t="shared" si="49"/>
        <v/>
      </c>
      <c r="AB267" s="5" t="str">
        <f t="shared" si="50"/>
        <v/>
      </c>
      <c r="AC267" s="30" t="str">
        <f>IF(C267="","",_xll.RssMarket(C267&amp;"","売買代金"))</f>
        <v/>
      </c>
      <c r="AD267" s="31">
        <f>IFERROR(INDEX(ATRHIST_MS2!$H:$H,MATCH(C267,ATRHIST_MS2!$A:$A,0)),0)</f>
        <v>0</v>
      </c>
    </row>
    <row r="268" spans="1:30" ht="25.95" customHeight="1">
      <c r="A268" s="10" t="str">
        <f t="shared" si="42"/>
        <v/>
      </c>
      <c r="B268" s="11" t="str">
        <f>IF(StockList_MS2!A267="","",HYPERLINK("https://kabutan.jp/stock/?code="&amp;StockList_MS2!A267,"株探"))</f>
        <v/>
      </c>
      <c r="C268" s="10" t="str">
        <f>IF(StockList_MS2!A267="","",StockList_MS2!A267)</f>
        <v/>
      </c>
      <c r="D268" s="12" t="str">
        <f>IF(StockList_MS2!A267="","",StockList_MS2!B267)</f>
        <v/>
      </c>
      <c r="E268" s="13"/>
      <c r="F268" s="13"/>
      <c r="G268" s="13"/>
      <c r="H268" s="13"/>
      <c r="I268" s="20"/>
      <c r="J268" s="13"/>
      <c r="K268" s="13"/>
      <c r="L268" s="13"/>
      <c r="M268" s="5" t="str">
        <f t="shared" si="41"/>
        <v/>
      </c>
      <c r="N268" s="9" t="str">
        <f>IF(OR(E268="",F268="",G268=""),"",IF(AD268&gt;0,AD268,(F268-G268)/SQRT(操作パネル_MS2!$H$12)*操作パネル_MS2!$H$10))</f>
        <v/>
      </c>
      <c r="O268" s="5" t="str">
        <f>IF(OR(E268="",AC268=""),"",IF(AC268&gt;=操作パネル_MS2!$H$3,"VOL-OK","VOL-NG"))</f>
        <v/>
      </c>
      <c r="P268" s="5" t="str">
        <f t="shared" si="43"/>
        <v/>
      </c>
      <c r="Q268" s="5" t="str">
        <f t="shared" si="44"/>
        <v/>
      </c>
      <c r="R268" s="5" t="str">
        <f t="shared" si="45"/>
        <v/>
      </c>
      <c r="S268" s="9" t="str">
        <f t="shared" si="46"/>
        <v/>
      </c>
      <c r="T268" s="9" t="str">
        <f>IF(R268="","",IF(R268="BUY",E268-N268*操作パネル_MS2!$H$5,E268+N268*操作パネル_MS2!$H$5))</f>
        <v/>
      </c>
      <c r="U268" s="9" t="str">
        <f>IF(R268="","",IF(R268="BUY",E268+N268*操作パネル_MS2!$H$6,E268-N268*操作パネル_MS2!$H$6))</f>
        <v/>
      </c>
      <c r="V268" s="9" t="str">
        <f>IF(R268="","",IF(R268="BUY",E268+N268*操作パネル_MS2!$H$7,E268-N268*操作パネル_MS2!$H$7))</f>
        <v/>
      </c>
      <c r="W268" s="9" t="str">
        <f>IF(R268="","",IF(R268="BUY",E268+N268*操作パネル_MS2!$H$8,E268-N268*操作パネル_MS2!$H$8))</f>
        <v/>
      </c>
      <c r="X268" s="5" t="str">
        <f t="shared" si="47"/>
        <v/>
      </c>
      <c r="Y268" s="5" t="str">
        <f t="shared" ca="1" si="48"/>
        <v/>
      </c>
      <c r="Z268" s="5" t="str">
        <f>IF(OR(E268="",N268&lt;=0),"",IF(N268&gt;E268*操作パネル_MS2!$H$4,"VOL-HIGH","VOL-NORMAL"))</f>
        <v/>
      </c>
      <c r="AA268" s="5" t="str">
        <f t="shared" si="49"/>
        <v/>
      </c>
      <c r="AB268" s="5" t="str">
        <f t="shared" si="50"/>
        <v/>
      </c>
      <c r="AC268" s="30" t="str">
        <f>IF(C268="","",_xll.RssMarket(C268&amp;"","売買代金"))</f>
        <v/>
      </c>
      <c r="AD268" s="31">
        <f>IFERROR(INDEX(ATRHIST_MS2!$H:$H,MATCH(C268,ATRHIST_MS2!$A:$A,0)),0)</f>
        <v>0</v>
      </c>
    </row>
    <row r="269" spans="1:30" ht="25.95" customHeight="1">
      <c r="A269" s="5" t="str">
        <f t="shared" si="42"/>
        <v/>
      </c>
      <c r="B269" s="6" t="str">
        <f>IF(StockList_MS2!A268="","",HYPERLINK("https://kabutan.jp/stock/?code="&amp;StockList_MS2!A268,"株探"))</f>
        <v/>
      </c>
      <c r="C269" s="5" t="str">
        <f>IF(StockList_MS2!A268="","",StockList_MS2!A268)</f>
        <v/>
      </c>
      <c r="D269" s="7" t="str">
        <f>IF(StockList_MS2!A268="","",StockList_MS2!B268)</f>
        <v/>
      </c>
      <c r="E269" s="8"/>
      <c r="F269" s="8"/>
      <c r="G269" s="8"/>
      <c r="H269" s="8"/>
      <c r="I269" s="19"/>
      <c r="J269" s="8"/>
      <c r="K269" s="8"/>
      <c r="L269" s="8"/>
      <c r="M269" s="5" t="str">
        <f t="shared" si="41"/>
        <v/>
      </c>
      <c r="N269" s="9" t="str">
        <f>IF(OR(E269="",F269="",G269=""),"",IF(AD269&gt;0,AD269,(F269-G269)/SQRT(操作パネル_MS2!$H$12)*操作パネル_MS2!$H$10))</f>
        <v/>
      </c>
      <c r="O269" s="5" t="str">
        <f>IF(OR(E269="",AC269=""),"",IF(AC269&gt;=操作パネル_MS2!$H$3,"VOL-OK","VOL-NG"))</f>
        <v/>
      </c>
      <c r="P269" s="5" t="str">
        <f t="shared" si="43"/>
        <v/>
      </c>
      <c r="Q269" s="5" t="str">
        <f t="shared" si="44"/>
        <v/>
      </c>
      <c r="R269" s="5" t="str">
        <f t="shared" si="45"/>
        <v/>
      </c>
      <c r="S269" s="9" t="str">
        <f t="shared" si="46"/>
        <v/>
      </c>
      <c r="T269" s="9" t="str">
        <f>IF(R269="","",IF(R269="BUY",E269-N269*操作パネル_MS2!$H$5,E269+N269*操作パネル_MS2!$H$5))</f>
        <v/>
      </c>
      <c r="U269" s="9" t="str">
        <f>IF(R269="","",IF(R269="BUY",E269+N269*操作パネル_MS2!$H$6,E269-N269*操作パネル_MS2!$H$6))</f>
        <v/>
      </c>
      <c r="V269" s="9" t="str">
        <f>IF(R269="","",IF(R269="BUY",E269+N269*操作パネル_MS2!$H$7,E269-N269*操作パネル_MS2!$H$7))</f>
        <v/>
      </c>
      <c r="W269" s="9" t="str">
        <f>IF(R269="","",IF(R269="BUY",E269+N269*操作パネル_MS2!$H$8,E269-N269*操作パネル_MS2!$H$8))</f>
        <v/>
      </c>
      <c r="X269" s="5" t="str">
        <f t="shared" si="47"/>
        <v/>
      </c>
      <c r="Y269" s="5" t="str">
        <f t="shared" ca="1" si="48"/>
        <v/>
      </c>
      <c r="Z269" s="5" t="str">
        <f>IF(OR(E269="",N269&lt;=0),"",IF(N269&gt;E269*操作パネル_MS2!$H$4,"VOL-HIGH","VOL-NORMAL"))</f>
        <v/>
      </c>
      <c r="AA269" s="5" t="str">
        <f t="shared" si="49"/>
        <v/>
      </c>
      <c r="AB269" s="5" t="str">
        <f t="shared" si="50"/>
        <v/>
      </c>
      <c r="AC269" s="30" t="str">
        <f>IF(C269="","",_xll.RssMarket(C269&amp;"","売買代金"))</f>
        <v/>
      </c>
      <c r="AD269" s="31">
        <f>IFERROR(INDEX(ATRHIST_MS2!$H:$H,MATCH(C269,ATRHIST_MS2!$A:$A,0)),0)</f>
        <v>0</v>
      </c>
    </row>
    <row r="270" spans="1:30" ht="25.95" customHeight="1">
      <c r="A270" s="10" t="str">
        <f t="shared" si="42"/>
        <v/>
      </c>
      <c r="B270" s="11" t="str">
        <f>IF(StockList_MS2!A269="","",HYPERLINK("https://kabutan.jp/stock/?code="&amp;StockList_MS2!A269,"株探"))</f>
        <v/>
      </c>
      <c r="C270" s="10" t="str">
        <f>IF(StockList_MS2!A269="","",StockList_MS2!A269)</f>
        <v/>
      </c>
      <c r="D270" s="12" t="str">
        <f>IF(StockList_MS2!A269="","",StockList_MS2!B269)</f>
        <v/>
      </c>
      <c r="E270" s="13"/>
      <c r="F270" s="13"/>
      <c r="G270" s="13"/>
      <c r="H270" s="13"/>
      <c r="I270" s="20"/>
      <c r="J270" s="13"/>
      <c r="K270" s="13"/>
      <c r="L270" s="13"/>
      <c r="M270" s="5" t="str">
        <f t="shared" si="41"/>
        <v/>
      </c>
      <c r="N270" s="9" t="str">
        <f>IF(OR(E270="",F270="",G270=""),"",IF(AD270&gt;0,AD270,(F270-G270)/SQRT(操作パネル_MS2!$H$12)*操作パネル_MS2!$H$10))</f>
        <v/>
      </c>
      <c r="O270" s="5" t="str">
        <f>IF(OR(E270="",AC270=""),"",IF(AC270&gt;=操作パネル_MS2!$H$3,"VOL-OK","VOL-NG"))</f>
        <v/>
      </c>
      <c r="P270" s="5" t="str">
        <f t="shared" si="43"/>
        <v/>
      </c>
      <c r="Q270" s="5" t="str">
        <f t="shared" si="44"/>
        <v/>
      </c>
      <c r="R270" s="5" t="str">
        <f t="shared" si="45"/>
        <v/>
      </c>
      <c r="S270" s="9" t="str">
        <f t="shared" si="46"/>
        <v/>
      </c>
      <c r="T270" s="9" t="str">
        <f>IF(R270="","",IF(R270="BUY",E270-N270*操作パネル_MS2!$H$5,E270+N270*操作パネル_MS2!$H$5))</f>
        <v/>
      </c>
      <c r="U270" s="9" t="str">
        <f>IF(R270="","",IF(R270="BUY",E270+N270*操作パネル_MS2!$H$6,E270-N270*操作パネル_MS2!$H$6))</f>
        <v/>
      </c>
      <c r="V270" s="9" t="str">
        <f>IF(R270="","",IF(R270="BUY",E270+N270*操作パネル_MS2!$H$7,E270-N270*操作パネル_MS2!$H$7))</f>
        <v/>
      </c>
      <c r="W270" s="9" t="str">
        <f>IF(R270="","",IF(R270="BUY",E270+N270*操作パネル_MS2!$H$8,E270-N270*操作パネル_MS2!$H$8))</f>
        <v/>
      </c>
      <c r="X270" s="5" t="str">
        <f t="shared" si="47"/>
        <v/>
      </c>
      <c r="Y270" s="5" t="str">
        <f t="shared" ca="1" si="48"/>
        <v/>
      </c>
      <c r="Z270" s="5" t="str">
        <f>IF(OR(E270="",N270&lt;=0),"",IF(N270&gt;E270*操作パネル_MS2!$H$4,"VOL-HIGH","VOL-NORMAL"))</f>
        <v/>
      </c>
      <c r="AA270" s="5" t="str">
        <f t="shared" si="49"/>
        <v/>
      </c>
      <c r="AB270" s="5" t="str">
        <f t="shared" si="50"/>
        <v/>
      </c>
      <c r="AC270" s="30" t="str">
        <f>IF(C270="","",_xll.RssMarket(C270&amp;"","売買代金"))</f>
        <v/>
      </c>
      <c r="AD270" s="31">
        <f>IFERROR(INDEX(ATRHIST_MS2!$H:$H,MATCH(C270,ATRHIST_MS2!$A:$A,0)),0)</f>
        <v>0</v>
      </c>
    </row>
    <row r="271" spans="1:30" ht="25.95" customHeight="1">
      <c r="A271" s="5" t="str">
        <f t="shared" si="42"/>
        <v/>
      </c>
      <c r="B271" s="6" t="str">
        <f>IF(StockList_MS2!A270="","",HYPERLINK("https://kabutan.jp/stock/?code="&amp;StockList_MS2!A270,"株探"))</f>
        <v/>
      </c>
      <c r="C271" s="5" t="str">
        <f>IF(StockList_MS2!A270="","",StockList_MS2!A270)</f>
        <v/>
      </c>
      <c r="D271" s="7" t="str">
        <f>IF(StockList_MS2!A270="","",StockList_MS2!B270)</f>
        <v/>
      </c>
      <c r="E271" s="8"/>
      <c r="F271" s="8"/>
      <c r="G271" s="8"/>
      <c r="H271" s="8"/>
      <c r="I271" s="19"/>
      <c r="J271" s="8"/>
      <c r="K271" s="8"/>
      <c r="L271" s="8"/>
      <c r="M271" s="5" t="str">
        <f t="shared" si="41"/>
        <v/>
      </c>
      <c r="N271" s="9" t="str">
        <f>IF(OR(E271="",F271="",G271=""),"",IF(AD271&gt;0,AD271,(F271-G271)/SQRT(操作パネル_MS2!$H$12)*操作パネル_MS2!$H$10))</f>
        <v/>
      </c>
      <c r="O271" s="5" t="str">
        <f>IF(OR(E271="",AC271=""),"",IF(AC271&gt;=操作パネル_MS2!$H$3,"VOL-OK","VOL-NG"))</f>
        <v/>
      </c>
      <c r="P271" s="5" t="str">
        <f t="shared" si="43"/>
        <v/>
      </c>
      <c r="Q271" s="5" t="str">
        <f t="shared" si="44"/>
        <v/>
      </c>
      <c r="R271" s="5" t="str">
        <f t="shared" si="45"/>
        <v/>
      </c>
      <c r="S271" s="9" t="str">
        <f t="shared" si="46"/>
        <v/>
      </c>
      <c r="T271" s="9" t="str">
        <f>IF(R271="","",IF(R271="BUY",E271-N271*操作パネル_MS2!$H$5,E271+N271*操作パネル_MS2!$H$5))</f>
        <v/>
      </c>
      <c r="U271" s="9" t="str">
        <f>IF(R271="","",IF(R271="BUY",E271+N271*操作パネル_MS2!$H$6,E271-N271*操作パネル_MS2!$H$6))</f>
        <v/>
      </c>
      <c r="V271" s="9" t="str">
        <f>IF(R271="","",IF(R271="BUY",E271+N271*操作パネル_MS2!$H$7,E271-N271*操作パネル_MS2!$H$7))</f>
        <v/>
      </c>
      <c r="W271" s="9" t="str">
        <f>IF(R271="","",IF(R271="BUY",E271+N271*操作パネル_MS2!$H$8,E271-N271*操作パネル_MS2!$H$8))</f>
        <v/>
      </c>
      <c r="X271" s="5" t="str">
        <f t="shared" si="47"/>
        <v/>
      </c>
      <c r="Y271" s="5" t="str">
        <f t="shared" ca="1" si="48"/>
        <v/>
      </c>
      <c r="Z271" s="5" t="str">
        <f>IF(OR(E271="",N271&lt;=0),"",IF(N271&gt;E271*操作パネル_MS2!$H$4,"VOL-HIGH","VOL-NORMAL"))</f>
        <v/>
      </c>
      <c r="AA271" s="5" t="str">
        <f t="shared" si="49"/>
        <v/>
      </c>
      <c r="AB271" s="5" t="str">
        <f t="shared" si="50"/>
        <v/>
      </c>
      <c r="AC271" s="30" t="str">
        <f>IF(C271="","",_xll.RssMarket(C271&amp;"","売買代金"))</f>
        <v/>
      </c>
      <c r="AD271" s="31">
        <f>IFERROR(INDEX(ATRHIST_MS2!$H:$H,MATCH(C271,ATRHIST_MS2!$A:$A,0)),0)</f>
        <v>0</v>
      </c>
    </row>
    <row r="272" spans="1:30" ht="25.95" customHeight="1">
      <c r="A272" s="10" t="str">
        <f t="shared" si="42"/>
        <v/>
      </c>
      <c r="B272" s="11" t="str">
        <f>IF(StockList_MS2!A271="","",HYPERLINK("https://kabutan.jp/stock/?code="&amp;StockList_MS2!A271,"株探"))</f>
        <v/>
      </c>
      <c r="C272" s="10" t="str">
        <f>IF(StockList_MS2!A271="","",StockList_MS2!A271)</f>
        <v/>
      </c>
      <c r="D272" s="12" t="str">
        <f>IF(StockList_MS2!A271="","",StockList_MS2!B271)</f>
        <v/>
      </c>
      <c r="E272" s="13"/>
      <c r="F272" s="13"/>
      <c r="G272" s="13"/>
      <c r="H272" s="13"/>
      <c r="I272" s="20"/>
      <c r="J272" s="13"/>
      <c r="K272" s="13"/>
      <c r="L272" s="13"/>
      <c r="M272" s="5" t="str">
        <f t="shared" si="41"/>
        <v/>
      </c>
      <c r="N272" s="9" t="str">
        <f>IF(OR(E272="",F272="",G272=""),"",IF(AD272&gt;0,AD272,(F272-G272)/SQRT(操作パネル_MS2!$H$12)*操作パネル_MS2!$H$10))</f>
        <v/>
      </c>
      <c r="O272" s="5" t="str">
        <f>IF(OR(E272="",AC272=""),"",IF(AC272&gt;=操作パネル_MS2!$H$3,"VOL-OK","VOL-NG"))</f>
        <v/>
      </c>
      <c r="P272" s="5" t="str">
        <f t="shared" si="43"/>
        <v/>
      </c>
      <c r="Q272" s="5" t="str">
        <f t="shared" si="44"/>
        <v/>
      </c>
      <c r="R272" s="5" t="str">
        <f t="shared" si="45"/>
        <v/>
      </c>
      <c r="S272" s="9" t="str">
        <f t="shared" si="46"/>
        <v/>
      </c>
      <c r="T272" s="9" t="str">
        <f>IF(R272="","",IF(R272="BUY",E272-N272*操作パネル_MS2!$H$5,E272+N272*操作パネル_MS2!$H$5))</f>
        <v/>
      </c>
      <c r="U272" s="9" t="str">
        <f>IF(R272="","",IF(R272="BUY",E272+N272*操作パネル_MS2!$H$6,E272-N272*操作パネル_MS2!$H$6))</f>
        <v/>
      </c>
      <c r="V272" s="9" t="str">
        <f>IF(R272="","",IF(R272="BUY",E272+N272*操作パネル_MS2!$H$7,E272-N272*操作パネル_MS2!$H$7))</f>
        <v/>
      </c>
      <c r="W272" s="9" t="str">
        <f>IF(R272="","",IF(R272="BUY",E272+N272*操作パネル_MS2!$H$8,E272-N272*操作パネル_MS2!$H$8))</f>
        <v/>
      </c>
      <c r="X272" s="5" t="str">
        <f t="shared" si="47"/>
        <v/>
      </c>
      <c r="Y272" s="5" t="str">
        <f t="shared" ca="1" si="48"/>
        <v/>
      </c>
      <c r="Z272" s="5" t="str">
        <f>IF(OR(E272="",N272&lt;=0),"",IF(N272&gt;E272*操作パネル_MS2!$H$4,"VOL-HIGH","VOL-NORMAL"))</f>
        <v/>
      </c>
      <c r="AA272" s="5" t="str">
        <f t="shared" si="49"/>
        <v/>
      </c>
      <c r="AB272" s="5" t="str">
        <f t="shared" si="50"/>
        <v/>
      </c>
      <c r="AC272" s="30" t="str">
        <f>IF(C272="","",_xll.RssMarket(C272&amp;"","売買代金"))</f>
        <v/>
      </c>
      <c r="AD272" s="31">
        <f>IFERROR(INDEX(ATRHIST_MS2!$H:$H,MATCH(C272,ATRHIST_MS2!$A:$A,0)),0)</f>
        <v>0</v>
      </c>
    </row>
    <row r="273" spans="1:30" ht="25.95" customHeight="1">
      <c r="A273" s="5" t="str">
        <f t="shared" si="42"/>
        <v/>
      </c>
      <c r="B273" s="6" t="str">
        <f>IF(StockList_MS2!A272="","",HYPERLINK("https://kabutan.jp/stock/?code="&amp;StockList_MS2!A272,"株探"))</f>
        <v/>
      </c>
      <c r="C273" s="5" t="str">
        <f>IF(StockList_MS2!A272="","",StockList_MS2!A272)</f>
        <v/>
      </c>
      <c r="D273" s="7" t="str">
        <f>IF(StockList_MS2!A272="","",StockList_MS2!B272)</f>
        <v/>
      </c>
      <c r="E273" s="8"/>
      <c r="F273" s="8"/>
      <c r="G273" s="8"/>
      <c r="H273" s="8"/>
      <c r="I273" s="19"/>
      <c r="J273" s="8"/>
      <c r="K273" s="8"/>
      <c r="L273" s="8"/>
      <c r="M273" s="5" t="str">
        <f t="shared" si="41"/>
        <v/>
      </c>
      <c r="N273" s="9" t="str">
        <f>IF(OR(E273="",F273="",G273=""),"",IF(AD273&gt;0,AD273,(F273-G273)/SQRT(操作パネル_MS2!$H$12)*操作パネル_MS2!$H$10))</f>
        <v/>
      </c>
      <c r="O273" s="5" t="str">
        <f>IF(OR(E273="",AC273=""),"",IF(AC273&gt;=操作パネル_MS2!$H$3,"VOL-OK","VOL-NG"))</f>
        <v/>
      </c>
      <c r="P273" s="5" t="str">
        <f t="shared" si="43"/>
        <v/>
      </c>
      <c r="Q273" s="5" t="str">
        <f t="shared" si="44"/>
        <v/>
      </c>
      <c r="R273" s="5" t="str">
        <f t="shared" si="45"/>
        <v/>
      </c>
      <c r="S273" s="9" t="str">
        <f t="shared" si="46"/>
        <v/>
      </c>
      <c r="T273" s="9" t="str">
        <f>IF(R273="","",IF(R273="BUY",E273-N273*操作パネル_MS2!$H$5,E273+N273*操作パネル_MS2!$H$5))</f>
        <v/>
      </c>
      <c r="U273" s="9" t="str">
        <f>IF(R273="","",IF(R273="BUY",E273+N273*操作パネル_MS2!$H$6,E273-N273*操作パネル_MS2!$H$6))</f>
        <v/>
      </c>
      <c r="V273" s="9" t="str">
        <f>IF(R273="","",IF(R273="BUY",E273+N273*操作パネル_MS2!$H$7,E273-N273*操作パネル_MS2!$H$7))</f>
        <v/>
      </c>
      <c r="W273" s="9" t="str">
        <f>IF(R273="","",IF(R273="BUY",E273+N273*操作パネル_MS2!$H$8,E273-N273*操作パネル_MS2!$H$8))</f>
        <v/>
      </c>
      <c r="X273" s="5" t="str">
        <f t="shared" si="47"/>
        <v/>
      </c>
      <c r="Y273" s="5" t="str">
        <f t="shared" ca="1" si="48"/>
        <v/>
      </c>
      <c r="Z273" s="5" t="str">
        <f>IF(OR(E273="",N273&lt;=0),"",IF(N273&gt;E273*操作パネル_MS2!$H$4,"VOL-HIGH","VOL-NORMAL"))</f>
        <v/>
      </c>
      <c r="AA273" s="5" t="str">
        <f t="shared" si="49"/>
        <v/>
      </c>
      <c r="AB273" s="5" t="str">
        <f t="shared" si="50"/>
        <v/>
      </c>
      <c r="AC273" s="30" t="str">
        <f>IF(C273="","",_xll.RssMarket(C273&amp;"","売買代金"))</f>
        <v/>
      </c>
      <c r="AD273" s="31">
        <f>IFERROR(INDEX(ATRHIST_MS2!$H:$H,MATCH(C273,ATRHIST_MS2!$A:$A,0)),0)</f>
        <v>0</v>
      </c>
    </row>
    <row r="274" spans="1:30" ht="25.95" customHeight="1">
      <c r="A274" s="10" t="str">
        <f t="shared" si="42"/>
        <v/>
      </c>
      <c r="B274" s="11" t="str">
        <f>IF(StockList_MS2!A273="","",HYPERLINK("https://kabutan.jp/stock/?code="&amp;StockList_MS2!A273,"株探"))</f>
        <v/>
      </c>
      <c r="C274" s="10" t="str">
        <f>IF(StockList_MS2!A273="","",StockList_MS2!A273)</f>
        <v/>
      </c>
      <c r="D274" s="12" t="str">
        <f>IF(StockList_MS2!A273="","",StockList_MS2!B273)</f>
        <v/>
      </c>
      <c r="E274" s="13"/>
      <c r="F274" s="13"/>
      <c r="G274" s="13"/>
      <c r="H274" s="13"/>
      <c r="I274" s="20"/>
      <c r="J274" s="13"/>
      <c r="K274" s="13"/>
      <c r="L274" s="13"/>
      <c r="M274" s="5" t="str">
        <f t="shared" si="41"/>
        <v/>
      </c>
      <c r="N274" s="9" t="str">
        <f>IF(OR(E274="",F274="",G274=""),"",IF(AD274&gt;0,AD274,(F274-G274)/SQRT(操作パネル_MS2!$H$12)*操作パネル_MS2!$H$10))</f>
        <v/>
      </c>
      <c r="O274" s="5" t="str">
        <f>IF(OR(E274="",AC274=""),"",IF(AC274&gt;=操作パネル_MS2!$H$3,"VOL-OK","VOL-NG"))</f>
        <v/>
      </c>
      <c r="P274" s="5" t="str">
        <f t="shared" si="43"/>
        <v/>
      </c>
      <c r="Q274" s="5" t="str">
        <f t="shared" si="44"/>
        <v/>
      </c>
      <c r="R274" s="5" t="str">
        <f t="shared" si="45"/>
        <v/>
      </c>
      <c r="S274" s="9" t="str">
        <f t="shared" si="46"/>
        <v/>
      </c>
      <c r="T274" s="9" t="str">
        <f>IF(R274="","",IF(R274="BUY",E274-N274*操作パネル_MS2!$H$5,E274+N274*操作パネル_MS2!$H$5))</f>
        <v/>
      </c>
      <c r="U274" s="9" t="str">
        <f>IF(R274="","",IF(R274="BUY",E274+N274*操作パネル_MS2!$H$6,E274-N274*操作パネル_MS2!$H$6))</f>
        <v/>
      </c>
      <c r="V274" s="9" t="str">
        <f>IF(R274="","",IF(R274="BUY",E274+N274*操作パネル_MS2!$H$7,E274-N274*操作パネル_MS2!$H$7))</f>
        <v/>
      </c>
      <c r="W274" s="9" t="str">
        <f>IF(R274="","",IF(R274="BUY",E274+N274*操作パネル_MS2!$H$8,E274-N274*操作パネル_MS2!$H$8))</f>
        <v/>
      </c>
      <c r="X274" s="5" t="str">
        <f t="shared" si="47"/>
        <v/>
      </c>
      <c r="Y274" s="5" t="str">
        <f t="shared" ca="1" si="48"/>
        <v/>
      </c>
      <c r="Z274" s="5" t="str">
        <f>IF(OR(E274="",N274&lt;=0),"",IF(N274&gt;E274*操作パネル_MS2!$H$4,"VOL-HIGH","VOL-NORMAL"))</f>
        <v/>
      </c>
      <c r="AA274" s="5" t="str">
        <f t="shared" si="49"/>
        <v/>
      </c>
      <c r="AB274" s="5" t="str">
        <f t="shared" si="50"/>
        <v/>
      </c>
      <c r="AC274" s="30" t="str">
        <f>IF(C274="","",_xll.RssMarket(C274&amp;"","売買代金"))</f>
        <v/>
      </c>
      <c r="AD274" s="31">
        <f>IFERROR(INDEX(ATRHIST_MS2!$H:$H,MATCH(C274,ATRHIST_MS2!$A:$A,0)),0)</f>
        <v>0</v>
      </c>
    </row>
    <row r="275" spans="1:30" ht="25.95" customHeight="1">
      <c r="A275" s="5" t="str">
        <f t="shared" si="42"/>
        <v/>
      </c>
      <c r="B275" s="6" t="str">
        <f>IF(StockList_MS2!A274="","",HYPERLINK("https://kabutan.jp/stock/?code="&amp;StockList_MS2!A274,"株探"))</f>
        <v/>
      </c>
      <c r="C275" s="5" t="str">
        <f>IF(StockList_MS2!A274="","",StockList_MS2!A274)</f>
        <v/>
      </c>
      <c r="D275" s="7" t="str">
        <f>IF(StockList_MS2!A274="","",StockList_MS2!B274)</f>
        <v/>
      </c>
      <c r="E275" s="8"/>
      <c r="F275" s="8"/>
      <c r="G275" s="8"/>
      <c r="H275" s="8"/>
      <c r="I275" s="19"/>
      <c r="J275" s="8"/>
      <c r="K275" s="8"/>
      <c r="L275" s="8"/>
      <c r="M275" s="5" t="str">
        <f t="shared" si="41"/>
        <v/>
      </c>
      <c r="N275" s="9" t="str">
        <f>IF(OR(E275="",F275="",G275=""),"",IF(AD275&gt;0,AD275,(F275-G275)/SQRT(操作パネル_MS2!$H$12)*操作パネル_MS2!$H$10))</f>
        <v/>
      </c>
      <c r="O275" s="5" t="str">
        <f>IF(OR(E275="",AC275=""),"",IF(AC275&gt;=操作パネル_MS2!$H$3,"VOL-OK","VOL-NG"))</f>
        <v/>
      </c>
      <c r="P275" s="5" t="str">
        <f t="shared" si="43"/>
        <v/>
      </c>
      <c r="Q275" s="5" t="str">
        <f t="shared" si="44"/>
        <v/>
      </c>
      <c r="R275" s="5" t="str">
        <f t="shared" si="45"/>
        <v/>
      </c>
      <c r="S275" s="9" t="str">
        <f t="shared" si="46"/>
        <v/>
      </c>
      <c r="T275" s="9" t="str">
        <f>IF(R275="","",IF(R275="BUY",E275-N275*操作パネル_MS2!$H$5,E275+N275*操作パネル_MS2!$H$5))</f>
        <v/>
      </c>
      <c r="U275" s="9" t="str">
        <f>IF(R275="","",IF(R275="BUY",E275+N275*操作パネル_MS2!$H$6,E275-N275*操作パネル_MS2!$H$6))</f>
        <v/>
      </c>
      <c r="V275" s="9" t="str">
        <f>IF(R275="","",IF(R275="BUY",E275+N275*操作パネル_MS2!$H$7,E275-N275*操作パネル_MS2!$H$7))</f>
        <v/>
      </c>
      <c r="W275" s="9" t="str">
        <f>IF(R275="","",IF(R275="BUY",E275+N275*操作パネル_MS2!$H$8,E275-N275*操作パネル_MS2!$H$8))</f>
        <v/>
      </c>
      <c r="X275" s="5" t="str">
        <f t="shared" si="47"/>
        <v/>
      </c>
      <c r="Y275" s="5" t="str">
        <f t="shared" ca="1" si="48"/>
        <v/>
      </c>
      <c r="Z275" s="5" t="str">
        <f>IF(OR(E275="",N275&lt;=0),"",IF(N275&gt;E275*操作パネル_MS2!$H$4,"VOL-HIGH","VOL-NORMAL"))</f>
        <v/>
      </c>
      <c r="AA275" s="5" t="str">
        <f t="shared" si="49"/>
        <v/>
      </c>
      <c r="AB275" s="5" t="str">
        <f t="shared" si="50"/>
        <v/>
      </c>
      <c r="AC275" s="30" t="str">
        <f>IF(C275="","",_xll.RssMarket(C275&amp;"","売買代金"))</f>
        <v/>
      </c>
      <c r="AD275" s="31">
        <f>IFERROR(INDEX(ATRHIST_MS2!$H:$H,MATCH(C275,ATRHIST_MS2!$A:$A,0)),0)</f>
        <v>0</v>
      </c>
    </row>
    <row r="276" spans="1:30" ht="25.95" customHeight="1">
      <c r="A276" s="10" t="str">
        <f t="shared" si="42"/>
        <v/>
      </c>
      <c r="B276" s="11" t="str">
        <f>IF(StockList_MS2!A275="","",HYPERLINK("https://kabutan.jp/stock/?code="&amp;StockList_MS2!A275,"株探"))</f>
        <v/>
      </c>
      <c r="C276" s="10" t="str">
        <f>IF(StockList_MS2!A275="","",StockList_MS2!A275)</f>
        <v/>
      </c>
      <c r="D276" s="12" t="str">
        <f>IF(StockList_MS2!A275="","",StockList_MS2!B275)</f>
        <v/>
      </c>
      <c r="E276" s="13"/>
      <c r="F276" s="13"/>
      <c r="G276" s="13"/>
      <c r="H276" s="13"/>
      <c r="I276" s="20"/>
      <c r="J276" s="13"/>
      <c r="K276" s="13"/>
      <c r="L276" s="13"/>
      <c r="M276" s="5" t="str">
        <f t="shared" si="41"/>
        <v/>
      </c>
      <c r="N276" s="9" t="str">
        <f>IF(OR(E276="",F276="",G276=""),"",IF(AD276&gt;0,AD276,(F276-G276)/SQRT(操作パネル_MS2!$H$12)*操作パネル_MS2!$H$10))</f>
        <v/>
      </c>
      <c r="O276" s="5" t="str">
        <f>IF(OR(E276="",AC276=""),"",IF(AC276&gt;=操作パネル_MS2!$H$3,"VOL-OK","VOL-NG"))</f>
        <v/>
      </c>
      <c r="P276" s="5" t="str">
        <f t="shared" si="43"/>
        <v/>
      </c>
      <c r="Q276" s="5" t="str">
        <f t="shared" si="44"/>
        <v/>
      </c>
      <c r="R276" s="5" t="str">
        <f t="shared" si="45"/>
        <v/>
      </c>
      <c r="S276" s="9" t="str">
        <f t="shared" si="46"/>
        <v/>
      </c>
      <c r="T276" s="9" t="str">
        <f>IF(R276="","",IF(R276="BUY",E276-N276*操作パネル_MS2!$H$5,E276+N276*操作パネル_MS2!$H$5))</f>
        <v/>
      </c>
      <c r="U276" s="9" t="str">
        <f>IF(R276="","",IF(R276="BUY",E276+N276*操作パネル_MS2!$H$6,E276-N276*操作パネル_MS2!$H$6))</f>
        <v/>
      </c>
      <c r="V276" s="9" t="str">
        <f>IF(R276="","",IF(R276="BUY",E276+N276*操作パネル_MS2!$H$7,E276-N276*操作パネル_MS2!$H$7))</f>
        <v/>
      </c>
      <c r="W276" s="9" t="str">
        <f>IF(R276="","",IF(R276="BUY",E276+N276*操作パネル_MS2!$H$8,E276-N276*操作パネル_MS2!$H$8))</f>
        <v/>
      </c>
      <c r="X276" s="5" t="str">
        <f t="shared" si="47"/>
        <v/>
      </c>
      <c r="Y276" s="5" t="str">
        <f t="shared" ca="1" si="48"/>
        <v/>
      </c>
      <c r="Z276" s="5" t="str">
        <f>IF(OR(E276="",N276&lt;=0),"",IF(N276&gt;E276*操作パネル_MS2!$H$4,"VOL-HIGH","VOL-NORMAL"))</f>
        <v/>
      </c>
      <c r="AA276" s="5" t="str">
        <f t="shared" si="49"/>
        <v/>
      </c>
      <c r="AB276" s="5" t="str">
        <f t="shared" si="50"/>
        <v/>
      </c>
      <c r="AC276" s="30" t="str">
        <f>IF(C276="","",_xll.RssMarket(C276&amp;"","売買代金"))</f>
        <v/>
      </c>
      <c r="AD276" s="31">
        <f>IFERROR(INDEX(ATRHIST_MS2!$H:$H,MATCH(C276,ATRHIST_MS2!$A:$A,0)),0)</f>
        <v>0</v>
      </c>
    </row>
    <row r="277" spans="1:30" ht="25.95" customHeight="1">
      <c r="A277" s="5" t="str">
        <f t="shared" si="42"/>
        <v/>
      </c>
      <c r="B277" s="6" t="str">
        <f>IF(StockList_MS2!A276="","",HYPERLINK("https://kabutan.jp/stock/?code="&amp;StockList_MS2!A276,"株探"))</f>
        <v/>
      </c>
      <c r="C277" s="5" t="str">
        <f>IF(StockList_MS2!A276="","",StockList_MS2!A276)</f>
        <v/>
      </c>
      <c r="D277" s="7" t="str">
        <f>IF(StockList_MS2!A276="","",StockList_MS2!B276)</f>
        <v/>
      </c>
      <c r="E277" s="8"/>
      <c r="F277" s="8"/>
      <c r="G277" s="8"/>
      <c r="H277" s="8"/>
      <c r="I277" s="19"/>
      <c r="J277" s="8"/>
      <c r="K277" s="8"/>
      <c r="L277" s="8"/>
      <c r="M277" s="5" t="str">
        <f t="shared" si="41"/>
        <v/>
      </c>
      <c r="N277" s="9" t="str">
        <f>IF(OR(E277="",F277="",G277=""),"",IF(AD277&gt;0,AD277,(F277-G277)/SQRT(操作パネル_MS2!$H$12)*操作パネル_MS2!$H$10))</f>
        <v/>
      </c>
      <c r="O277" s="5" t="str">
        <f>IF(OR(E277="",AC277=""),"",IF(AC277&gt;=操作パネル_MS2!$H$3,"VOL-OK","VOL-NG"))</f>
        <v/>
      </c>
      <c r="P277" s="5" t="str">
        <f t="shared" si="43"/>
        <v/>
      </c>
      <c r="Q277" s="5" t="str">
        <f t="shared" si="44"/>
        <v/>
      </c>
      <c r="R277" s="5" t="str">
        <f t="shared" si="45"/>
        <v/>
      </c>
      <c r="S277" s="9" t="str">
        <f t="shared" si="46"/>
        <v/>
      </c>
      <c r="T277" s="9" t="str">
        <f>IF(R277="","",IF(R277="BUY",E277-N277*操作パネル_MS2!$H$5,E277+N277*操作パネル_MS2!$H$5))</f>
        <v/>
      </c>
      <c r="U277" s="9" t="str">
        <f>IF(R277="","",IF(R277="BUY",E277+N277*操作パネル_MS2!$H$6,E277-N277*操作パネル_MS2!$H$6))</f>
        <v/>
      </c>
      <c r="V277" s="9" t="str">
        <f>IF(R277="","",IF(R277="BUY",E277+N277*操作パネル_MS2!$H$7,E277-N277*操作パネル_MS2!$H$7))</f>
        <v/>
      </c>
      <c r="W277" s="9" t="str">
        <f>IF(R277="","",IF(R277="BUY",E277+N277*操作パネル_MS2!$H$8,E277-N277*操作パネル_MS2!$H$8))</f>
        <v/>
      </c>
      <c r="X277" s="5" t="str">
        <f t="shared" si="47"/>
        <v/>
      </c>
      <c r="Y277" s="5" t="str">
        <f t="shared" ca="1" si="48"/>
        <v/>
      </c>
      <c r="Z277" s="5" t="str">
        <f>IF(OR(E277="",N277&lt;=0),"",IF(N277&gt;E277*操作パネル_MS2!$H$4,"VOL-HIGH","VOL-NORMAL"))</f>
        <v/>
      </c>
      <c r="AA277" s="5" t="str">
        <f t="shared" si="49"/>
        <v/>
      </c>
      <c r="AB277" s="5" t="str">
        <f t="shared" si="50"/>
        <v/>
      </c>
      <c r="AC277" s="30" t="str">
        <f>IF(C277="","",_xll.RssMarket(C277&amp;"","売買代金"))</f>
        <v/>
      </c>
      <c r="AD277" s="31">
        <f>IFERROR(INDEX(ATRHIST_MS2!$H:$H,MATCH(C277,ATRHIST_MS2!$A:$A,0)),0)</f>
        <v>0</v>
      </c>
    </row>
    <row r="278" spans="1:30" ht="25.95" customHeight="1">
      <c r="A278" s="10" t="str">
        <f t="shared" si="42"/>
        <v/>
      </c>
      <c r="B278" s="11" t="str">
        <f>IF(StockList_MS2!A277="","",HYPERLINK("https://kabutan.jp/stock/?code="&amp;StockList_MS2!A277,"株探"))</f>
        <v/>
      </c>
      <c r="C278" s="10" t="str">
        <f>IF(StockList_MS2!A277="","",StockList_MS2!A277)</f>
        <v/>
      </c>
      <c r="D278" s="12" t="str">
        <f>IF(StockList_MS2!A277="","",StockList_MS2!B277)</f>
        <v/>
      </c>
      <c r="E278" s="13"/>
      <c r="F278" s="13"/>
      <c r="G278" s="13"/>
      <c r="H278" s="13"/>
      <c r="I278" s="20"/>
      <c r="J278" s="13"/>
      <c r="K278" s="13"/>
      <c r="L278" s="13"/>
      <c r="M278" s="5" t="str">
        <f t="shared" si="41"/>
        <v/>
      </c>
      <c r="N278" s="9" t="str">
        <f>IF(OR(E278="",F278="",G278=""),"",IF(AD278&gt;0,AD278,(F278-G278)/SQRT(操作パネル_MS2!$H$12)*操作パネル_MS2!$H$10))</f>
        <v/>
      </c>
      <c r="O278" s="5" t="str">
        <f>IF(OR(E278="",AC278=""),"",IF(AC278&gt;=操作パネル_MS2!$H$3,"VOL-OK","VOL-NG"))</f>
        <v/>
      </c>
      <c r="P278" s="5" t="str">
        <f t="shared" si="43"/>
        <v/>
      </c>
      <c r="Q278" s="5" t="str">
        <f t="shared" si="44"/>
        <v/>
      </c>
      <c r="R278" s="5" t="str">
        <f t="shared" si="45"/>
        <v/>
      </c>
      <c r="S278" s="9" t="str">
        <f t="shared" si="46"/>
        <v/>
      </c>
      <c r="T278" s="9" t="str">
        <f>IF(R278="","",IF(R278="BUY",E278-N278*操作パネル_MS2!$H$5,E278+N278*操作パネル_MS2!$H$5))</f>
        <v/>
      </c>
      <c r="U278" s="9" t="str">
        <f>IF(R278="","",IF(R278="BUY",E278+N278*操作パネル_MS2!$H$6,E278-N278*操作パネル_MS2!$H$6))</f>
        <v/>
      </c>
      <c r="V278" s="9" t="str">
        <f>IF(R278="","",IF(R278="BUY",E278+N278*操作パネル_MS2!$H$7,E278-N278*操作パネル_MS2!$H$7))</f>
        <v/>
      </c>
      <c r="W278" s="9" t="str">
        <f>IF(R278="","",IF(R278="BUY",E278+N278*操作パネル_MS2!$H$8,E278-N278*操作パネル_MS2!$H$8))</f>
        <v/>
      </c>
      <c r="X278" s="5" t="str">
        <f t="shared" si="47"/>
        <v/>
      </c>
      <c r="Y278" s="5" t="str">
        <f t="shared" ca="1" si="48"/>
        <v/>
      </c>
      <c r="Z278" s="5" t="str">
        <f>IF(OR(E278="",N278&lt;=0),"",IF(N278&gt;E278*操作パネル_MS2!$H$4,"VOL-HIGH","VOL-NORMAL"))</f>
        <v/>
      </c>
      <c r="AA278" s="5" t="str">
        <f t="shared" si="49"/>
        <v/>
      </c>
      <c r="AB278" s="5" t="str">
        <f t="shared" si="50"/>
        <v/>
      </c>
      <c r="AC278" s="30" t="str">
        <f>IF(C278="","",_xll.RssMarket(C278&amp;"","売買代金"))</f>
        <v/>
      </c>
      <c r="AD278" s="31">
        <f>IFERROR(INDEX(ATRHIST_MS2!$H:$H,MATCH(C278,ATRHIST_MS2!$A:$A,0)),0)</f>
        <v>0</v>
      </c>
    </row>
    <row r="279" spans="1:30" ht="25.95" customHeight="1">
      <c r="A279" s="5" t="str">
        <f t="shared" si="42"/>
        <v/>
      </c>
      <c r="B279" s="6" t="str">
        <f>IF(StockList_MS2!A278="","",HYPERLINK("https://kabutan.jp/stock/?code="&amp;StockList_MS2!A278,"株探"))</f>
        <v/>
      </c>
      <c r="C279" s="5" t="str">
        <f>IF(StockList_MS2!A278="","",StockList_MS2!A278)</f>
        <v/>
      </c>
      <c r="D279" s="7" t="str">
        <f>IF(StockList_MS2!A278="","",StockList_MS2!B278)</f>
        <v/>
      </c>
      <c r="E279" s="8"/>
      <c r="F279" s="8"/>
      <c r="G279" s="8"/>
      <c r="H279" s="8"/>
      <c r="I279" s="19"/>
      <c r="J279" s="8"/>
      <c r="K279" s="8"/>
      <c r="L279" s="8"/>
      <c r="M279" s="5" t="str">
        <f t="shared" si="41"/>
        <v/>
      </c>
      <c r="N279" s="9" t="str">
        <f>IF(OR(E279="",F279="",G279=""),"",IF(AD279&gt;0,AD279,(F279-G279)/SQRT(操作パネル_MS2!$H$12)*操作パネル_MS2!$H$10))</f>
        <v/>
      </c>
      <c r="O279" s="5" t="str">
        <f>IF(OR(E279="",AC279=""),"",IF(AC279&gt;=操作パネル_MS2!$H$3,"VOL-OK","VOL-NG"))</f>
        <v/>
      </c>
      <c r="P279" s="5" t="str">
        <f t="shared" si="43"/>
        <v/>
      </c>
      <c r="Q279" s="5" t="str">
        <f t="shared" si="44"/>
        <v/>
      </c>
      <c r="R279" s="5" t="str">
        <f t="shared" si="45"/>
        <v/>
      </c>
      <c r="S279" s="9" t="str">
        <f t="shared" si="46"/>
        <v/>
      </c>
      <c r="T279" s="9" t="str">
        <f>IF(R279="","",IF(R279="BUY",E279-N279*操作パネル_MS2!$H$5,E279+N279*操作パネル_MS2!$H$5))</f>
        <v/>
      </c>
      <c r="U279" s="9" t="str">
        <f>IF(R279="","",IF(R279="BUY",E279+N279*操作パネル_MS2!$H$6,E279-N279*操作パネル_MS2!$H$6))</f>
        <v/>
      </c>
      <c r="V279" s="9" t="str">
        <f>IF(R279="","",IF(R279="BUY",E279+N279*操作パネル_MS2!$H$7,E279-N279*操作パネル_MS2!$H$7))</f>
        <v/>
      </c>
      <c r="W279" s="9" t="str">
        <f>IF(R279="","",IF(R279="BUY",E279+N279*操作パネル_MS2!$H$8,E279-N279*操作パネル_MS2!$H$8))</f>
        <v/>
      </c>
      <c r="X279" s="5" t="str">
        <f t="shared" si="47"/>
        <v/>
      </c>
      <c r="Y279" s="5" t="str">
        <f t="shared" ca="1" si="48"/>
        <v/>
      </c>
      <c r="Z279" s="5" t="str">
        <f>IF(OR(E279="",N279&lt;=0),"",IF(N279&gt;E279*操作パネル_MS2!$H$4,"VOL-HIGH","VOL-NORMAL"))</f>
        <v/>
      </c>
      <c r="AA279" s="5" t="str">
        <f t="shared" si="49"/>
        <v/>
      </c>
      <c r="AB279" s="5" t="str">
        <f t="shared" si="50"/>
        <v/>
      </c>
      <c r="AC279" s="30" t="str">
        <f>IF(C279="","",_xll.RssMarket(C279&amp;"","売買代金"))</f>
        <v/>
      </c>
      <c r="AD279" s="31">
        <f>IFERROR(INDEX(ATRHIST_MS2!$H:$H,MATCH(C279,ATRHIST_MS2!$A:$A,0)),0)</f>
        <v>0</v>
      </c>
    </row>
    <row r="280" spans="1:30" ht="25.95" customHeight="1">
      <c r="A280" s="10" t="str">
        <f t="shared" si="42"/>
        <v/>
      </c>
      <c r="B280" s="11" t="str">
        <f>IF(StockList_MS2!A279="","",HYPERLINK("https://kabutan.jp/stock/?code="&amp;StockList_MS2!A279,"株探"))</f>
        <v/>
      </c>
      <c r="C280" s="10" t="str">
        <f>IF(StockList_MS2!A279="","",StockList_MS2!A279)</f>
        <v/>
      </c>
      <c r="D280" s="12" t="str">
        <f>IF(StockList_MS2!A279="","",StockList_MS2!B279)</f>
        <v/>
      </c>
      <c r="E280" s="13"/>
      <c r="F280" s="13"/>
      <c r="G280" s="13"/>
      <c r="H280" s="13"/>
      <c r="I280" s="20"/>
      <c r="J280" s="13"/>
      <c r="K280" s="13"/>
      <c r="L280" s="13"/>
      <c r="M280" s="5" t="str">
        <f t="shared" si="41"/>
        <v/>
      </c>
      <c r="N280" s="9" t="str">
        <f>IF(OR(E280="",F280="",G280=""),"",IF(AD280&gt;0,AD280,(F280-G280)/SQRT(操作パネル_MS2!$H$12)*操作パネル_MS2!$H$10))</f>
        <v/>
      </c>
      <c r="O280" s="5" t="str">
        <f>IF(OR(E280="",AC280=""),"",IF(AC280&gt;=操作パネル_MS2!$H$3,"VOL-OK","VOL-NG"))</f>
        <v/>
      </c>
      <c r="P280" s="5" t="str">
        <f t="shared" si="43"/>
        <v/>
      </c>
      <c r="Q280" s="5" t="str">
        <f t="shared" si="44"/>
        <v/>
      </c>
      <c r="R280" s="5" t="str">
        <f t="shared" si="45"/>
        <v/>
      </c>
      <c r="S280" s="9" t="str">
        <f t="shared" si="46"/>
        <v/>
      </c>
      <c r="T280" s="9" t="str">
        <f>IF(R280="","",IF(R280="BUY",E280-N280*操作パネル_MS2!$H$5,E280+N280*操作パネル_MS2!$H$5))</f>
        <v/>
      </c>
      <c r="U280" s="9" t="str">
        <f>IF(R280="","",IF(R280="BUY",E280+N280*操作パネル_MS2!$H$6,E280-N280*操作パネル_MS2!$H$6))</f>
        <v/>
      </c>
      <c r="V280" s="9" t="str">
        <f>IF(R280="","",IF(R280="BUY",E280+N280*操作パネル_MS2!$H$7,E280-N280*操作パネル_MS2!$H$7))</f>
        <v/>
      </c>
      <c r="W280" s="9" t="str">
        <f>IF(R280="","",IF(R280="BUY",E280+N280*操作パネル_MS2!$H$8,E280-N280*操作パネル_MS2!$H$8))</f>
        <v/>
      </c>
      <c r="X280" s="5" t="str">
        <f t="shared" si="47"/>
        <v/>
      </c>
      <c r="Y280" s="5" t="str">
        <f t="shared" ca="1" si="48"/>
        <v/>
      </c>
      <c r="Z280" s="5" t="str">
        <f>IF(OR(E280="",N280&lt;=0),"",IF(N280&gt;E280*操作パネル_MS2!$H$4,"VOL-HIGH","VOL-NORMAL"))</f>
        <v/>
      </c>
      <c r="AA280" s="5" t="str">
        <f t="shared" si="49"/>
        <v/>
      </c>
      <c r="AB280" s="5" t="str">
        <f t="shared" si="50"/>
        <v/>
      </c>
      <c r="AC280" s="30" t="str">
        <f>IF(C280="","",_xll.RssMarket(C280&amp;"","売買代金"))</f>
        <v/>
      </c>
      <c r="AD280" s="31">
        <f>IFERROR(INDEX(ATRHIST_MS2!$H:$H,MATCH(C280,ATRHIST_MS2!$A:$A,0)),0)</f>
        <v>0</v>
      </c>
    </row>
    <row r="281" spans="1:30" ht="25.95" customHeight="1">
      <c r="A281" s="5" t="str">
        <f t="shared" si="42"/>
        <v/>
      </c>
      <c r="B281" s="6" t="str">
        <f>IF(StockList_MS2!A280="","",HYPERLINK("https://kabutan.jp/stock/?code="&amp;StockList_MS2!A280,"株探"))</f>
        <v/>
      </c>
      <c r="C281" s="5" t="str">
        <f>IF(StockList_MS2!A280="","",StockList_MS2!A280)</f>
        <v/>
      </c>
      <c r="D281" s="7" t="str">
        <f>IF(StockList_MS2!A280="","",StockList_MS2!B280)</f>
        <v/>
      </c>
      <c r="E281" s="8"/>
      <c r="F281" s="8"/>
      <c r="G281" s="8"/>
      <c r="H281" s="8"/>
      <c r="I281" s="19"/>
      <c r="J281" s="8"/>
      <c r="K281" s="8"/>
      <c r="L281" s="8"/>
      <c r="M281" s="5" t="str">
        <f t="shared" si="41"/>
        <v/>
      </c>
      <c r="N281" s="9" t="str">
        <f>IF(OR(E281="",F281="",G281=""),"",IF(AD281&gt;0,AD281,(F281-G281)/SQRT(操作パネル_MS2!$H$12)*操作パネル_MS2!$H$10))</f>
        <v/>
      </c>
      <c r="O281" s="5" t="str">
        <f>IF(OR(E281="",AC281=""),"",IF(AC281&gt;=操作パネル_MS2!$H$3,"VOL-OK","VOL-NG"))</f>
        <v/>
      </c>
      <c r="P281" s="5" t="str">
        <f t="shared" si="43"/>
        <v/>
      </c>
      <c r="Q281" s="5" t="str">
        <f t="shared" si="44"/>
        <v/>
      </c>
      <c r="R281" s="5" t="str">
        <f t="shared" si="45"/>
        <v/>
      </c>
      <c r="S281" s="9" t="str">
        <f t="shared" si="46"/>
        <v/>
      </c>
      <c r="T281" s="9" t="str">
        <f>IF(R281="","",IF(R281="BUY",E281-N281*操作パネル_MS2!$H$5,E281+N281*操作パネル_MS2!$H$5))</f>
        <v/>
      </c>
      <c r="U281" s="9" t="str">
        <f>IF(R281="","",IF(R281="BUY",E281+N281*操作パネル_MS2!$H$6,E281-N281*操作パネル_MS2!$H$6))</f>
        <v/>
      </c>
      <c r="V281" s="9" t="str">
        <f>IF(R281="","",IF(R281="BUY",E281+N281*操作パネル_MS2!$H$7,E281-N281*操作パネル_MS2!$H$7))</f>
        <v/>
      </c>
      <c r="W281" s="9" t="str">
        <f>IF(R281="","",IF(R281="BUY",E281+N281*操作パネル_MS2!$H$8,E281-N281*操作パネル_MS2!$H$8))</f>
        <v/>
      </c>
      <c r="X281" s="5" t="str">
        <f t="shared" si="47"/>
        <v/>
      </c>
      <c r="Y281" s="5" t="str">
        <f t="shared" ca="1" si="48"/>
        <v/>
      </c>
      <c r="Z281" s="5" t="str">
        <f>IF(OR(E281="",N281&lt;=0),"",IF(N281&gt;E281*操作パネル_MS2!$H$4,"VOL-HIGH","VOL-NORMAL"))</f>
        <v/>
      </c>
      <c r="AA281" s="5" t="str">
        <f t="shared" si="49"/>
        <v/>
      </c>
      <c r="AB281" s="5" t="str">
        <f t="shared" si="50"/>
        <v/>
      </c>
      <c r="AC281" s="30" t="str">
        <f>IF(C281="","",_xll.RssMarket(C281&amp;"","売買代金"))</f>
        <v/>
      </c>
      <c r="AD281" s="31">
        <f>IFERROR(INDEX(ATRHIST_MS2!$H:$H,MATCH(C281,ATRHIST_MS2!$A:$A,0)),0)</f>
        <v>0</v>
      </c>
    </row>
    <row r="282" spans="1:30" ht="25.95" customHeight="1">
      <c r="A282" s="10" t="str">
        <f t="shared" si="42"/>
        <v/>
      </c>
      <c r="B282" s="11" t="str">
        <f>IF(StockList_MS2!A281="","",HYPERLINK("https://kabutan.jp/stock/?code="&amp;StockList_MS2!A281,"株探"))</f>
        <v/>
      </c>
      <c r="C282" s="10" t="str">
        <f>IF(StockList_MS2!A281="","",StockList_MS2!A281)</f>
        <v/>
      </c>
      <c r="D282" s="12" t="str">
        <f>IF(StockList_MS2!A281="","",StockList_MS2!B281)</f>
        <v/>
      </c>
      <c r="E282" s="13"/>
      <c r="F282" s="13"/>
      <c r="G282" s="13"/>
      <c r="H282" s="13"/>
      <c r="I282" s="20"/>
      <c r="J282" s="13"/>
      <c r="K282" s="13"/>
      <c r="L282" s="13"/>
      <c r="M282" s="5" t="str">
        <f t="shared" si="41"/>
        <v/>
      </c>
      <c r="N282" s="9" t="str">
        <f>IF(OR(E282="",F282="",G282=""),"",IF(AD282&gt;0,AD282,(F282-G282)/SQRT(操作パネル_MS2!$H$12)*操作パネル_MS2!$H$10))</f>
        <v/>
      </c>
      <c r="O282" s="5" t="str">
        <f>IF(OR(E282="",AC282=""),"",IF(AC282&gt;=操作パネル_MS2!$H$3,"VOL-OK","VOL-NG"))</f>
        <v/>
      </c>
      <c r="P282" s="5" t="str">
        <f t="shared" si="43"/>
        <v/>
      </c>
      <c r="Q282" s="5" t="str">
        <f t="shared" si="44"/>
        <v/>
      </c>
      <c r="R282" s="5" t="str">
        <f t="shared" si="45"/>
        <v/>
      </c>
      <c r="S282" s="9" t="str">
        <f t="shared" si="46"/>
        <v/>
      </c>
      <c r="T282" s="9" t="str">
        <f>IF(R282="","",IF(R282="BUY",E282-N282*操作パネル_MS2!$H$5,E282+N282*操作パネル_MS2!$H$5))</f>
        <v/>
      </c>
      <c r="U282" s="9" t="str">
        <f>IF(R282="","",IF(R282="BUY",E282+N282*操作パネル_MS2!$H$6,E282-N282*操作パネル_MS2!$H$6))</f>
        <v/>
      </c>
      <c r="V282" s="9" t="str">
        <f>IF(R282="","",IF(R282="BUY",E282+N282*操作パネル_MS2!$H$7,E282-N282*操作パネル_MS2!$H$7))</f>
        <v/>
      </c>
      <c r="W282" s="9" t="str">
        <f>IF(R282="","",IF(R282="BUY",E282+N282*操作パネル_MS2!$H$8,E282-N282*操作パネル_MS2!$H$8))</f>
        <v/>
      </c>
      <c r="X282" s="5" t="str">
        <f t="shared" si="47"/>
        <v/>
      </c>
      <c r="Y282" s="5" t="str">
        <f t="shared" ca="1" si="48"/>
        <v/>
      </c>
      <c r="Z282" s="5" t="str">
        <f>IF(OR(E282="",N282&lt;=0),"",IF(N282&gt;E282*操作パネル_MS2!$H$4,"VOL-HIGH","VOL-NORMAL"))</f>
        <v/>
      </c>
      <c r="AA282" s="5" t="str">
        <f t="shared" si="49"/>
        <v/>
      </c>
      <c r="AB282" s="5" t="str">
        <f t="shared" si="50"/>
        <v/>
      </c>
      <c r="AC282" s="30" t="str">
        <f>IF(C282="","",_xll.RssMarket(C282&amp;"","売買代金"))</f>
        <v/>
      </c>
      <c r="AD282" s="31">
        <f>IFERROR(INDEX(ATRHIST_MS2!$H:$H,MATCH(C282,ATRHIST_MS2!$A:$A,0)),0)</f>
        <v>0</v>
      </c>
    </row>
    <row r="283" spans="1:30" ht="25.95" customHeight="1">
      <c r="A283" s="5" t="str">
        <f t="shared" si="42"/>
        <v/>
      </c>
      <c r="B283" s="6" t="str">
        <f>IF(StockList_MS2!A282="","",HYPERLINK("https://kabutan.jp/stock/?code="&amp;StockList_MS2!A282,"株探"))</f>
        <v/>
      </c>
      <c r="C283" s="5" t="str">
        <f>IF(StockList_MS2!A282="","",StockList_MS2!A282)</f>
        <v/>
      </c>
      <c r="D283" s="7" t="str">
        <f>IF(StockList_MS2!A282="","",StockList_MS2!B282)</f>
        <v/>
      </c>
      <c r="E283" s="8"/>
      <c r="F283" s="8"/>
      <c r="G283" s="8"/>
      <c r="H283" s="8"/>
      <c r="I283" s="19"/>
      <c r="J283" s="8"/>
      <c r="K283" s="8"/>
      <c r="L283" s="8"/>
      <c r="M283" s="5" t="str">
        <f t="shared" si="41"/>
        <v/>
      </c>
      <c r="N283" s="9" t="str">
        <f>IF(OR(E283="",F283="",G283=""),"",IF(AD283&gt;0,AD283,(F283-G283)/SQRT(操作パネル_MS2!$H$12)*操作パネル_MS2!$H$10))</f>
        <v/>
      </c>
      <c r="O283" s="5" t="str">
        <f>IF(OR(E283="",AC283=""),"",IF(AC283&gt;=操作パネル_MS2!$H$3,"VOL-OK","VOL-NG"))</f>
        <v/>
      </c>
      <c r="P283" s="5" t="str">
        <f t="shared" si="43"/>
        <v/>
      </c>
      <c r="Q283" s="5" t="str">
        <f t="shared" si="44"/>
        <v/>
      </c>
      <c r="R283" s="5" t="str">
        <f t="shared" si="45"/>
        <v/>
      </c>
      <c r="S283" s="9" t="str">
        <f t="shared" si="46"/>
        <v/>
      </c>
      <c r="T283" s="9" t="str">
        <f>IF(R283="","",IF(R283="BUY",E283-N283*操作パネル_MS2!$H$5,E283+N283*操作パネル_MS2!$H$5))</f>
        <v/>
      </c>
      <c r="U283" s="9" t="str">
        <f>IF(R283="","",IF(R283="BUY",E283+N283*操作パネル_MS2!$H$6,E283-N283*操作パネル_MS2!$H$6))</f>
        <v/>
      </c>
      <c r="V283" s="9" t="str">
        <f>IF(R283="","",IF(R283="BUY",E283+N283*操作パネル_MS2!$H$7,E283-N283*操作パネル_MS2!$H$7))</f>
        <v/>
      </c>
      <c r="W283" s="9" t="str">
        <f>IF(R283="","",IF(R283="BUY",E283+N283*操作パネル_MS2!$H$8,E283-N283*操作パネル_MS2!$H$8))</f>
        <v/>
      </c>
      <c r="X283" s="5" t="str">
        <f t="shared" si="47"/>
        <v/>
      </c>
      <c r="Y283" s="5" t="str">
        <f t="shared" ca="1" si="48"/>
        <v/>
      </c>
      <c r="Z283" s="5" t="str">
        <f>IF(OR(E283="",N283&lt;=0),"",IF(N283&gt;E283*操作パネル_MS2!$H$4,"VOL-HIGH","VOL-NORMAL"))</f>
        <v/>
      </c>
      <c r="AA283" s="5" t="str">
        <f t="shared" si="49"/>
        <v/>
      </c>
      <c r="AB283" s="5" t="str">
        <f t="shared" si="50"/>
        <v/>
      </c>
      <c r="AC283" s="30" t="str">
        <f>IF(C283="","",_xll.RssMarket(C283&amp;"","売買代金"))</f>
        <v/>
      </c>
      <c r="AD283" s="31">
        <f>IFERROR(INDEX(ATRHIST_MS2!$H:$H,MATCH(C283,ATRHIST_MS2!$A:$A,0)),0)</f>
        <v>0</v>
      </c>
    </row>
    <row r="284" spans="1:30" ht="25.95" customHeight="1">
      <c r="A284" s="10" t="str">
        <f t="shared" si="42"/>
        <v/>
      </c>
      <c r="B284" s="11" t="str">
        <f>IF(StockList_MS2!A283="","",HYPERLINK("https://kabutan.jp/stock/?code="&amp;StockList_MS2!A283,"株探"))</f>
        <v/>
      </c>
      <c r="C284" s="10" t="str">
        <f>IF(StockList_MS2!A283="","",StockList_MS2!A283)</f>
        <v/>
      </c>
      <c r="D284" s="12" t="str">
        <f>IF(StockList_MS2!A283="","",StockList_MS2!B283)</f>
        <v/>
      </c>
      <c r="E284" s="13"/>
      <c r="F284" s="13"/>
      <c r="G284" s="13"/>
      <c r="H284" s="13"/>
      <c r="I284" s="20"/>
      <c r="J284" s="13"/>
      <c r="K284" s="13"/>
      <c r="L284" s="13"/>
      <c r="M284" s="5" t="str">
        <f t="shared" si="41"/>
        <v/>
      </c>
      <c r="N284" s="9" t="str">
        <f>IF(OR(E284="",F284="",G284=""),"",IF(AD284&gt;0,AD284,(F284-G284)/SQRT(操作パネル_MS2!$H$12)*操作パネル_MS2!$H$10))</f>
        <v/>
      </c>
      <c r="O284" s="5" t="str">
        <f>IF(OR(E284="",AC284=""),"",IF(AC284&gt;=操作パネル_MS2!$H$3,"VOL-OK","VOL-NG"))</f>
        <v/>
      </c>
      <c r="P284" s="5" t="str">
        <f t="shared" si="43"/>
        <v/>
      </c>
      <c r="Q284" s="5" t="str">
        <f t="shared" si="44"/>
        <v/>
      </c>
      <c r="R284" s="5" t="str">
        <f t="shared" si="45"/>
        <v/>
      </c>
      <c r="S284" s="9" t="str">
        <f t="shared" si="46"/>
        <v/>
      </c>
      <c r="T284" s="9" t="str">
        <f>IF(R284="","",IF(R284="BUY",E284-N284*操作パネル_MS2!$H$5,E284+N284*操作パネル_MS2!$H$5))</f>
        <v/>
      </c>
      <c r="U284" s="9" t="str">
        <f>IF(R284="","",IF(R284="BUY",E284+N284*操作パネル_MS2!$H$6,E284-N284*操作パネル_MS2!$H$6))</f>
        <v/>
      </c>
      <c r="V284" s="9" t="str">
        <f>IF(R284="","",IF(R284="BUY",E284+N284*操作パネル_MS2!$H$7,E284-N284*操作パネル_MS2!$H$7))</f>
        <v/>
      </c>
      <c r="W284" s="9" t="str">
        <f>IF(R284="","",IF(R284="BUY",E284+N284*操作パネル_MS2!$H$8,E284-N284*操作パネル_MS2!$H$8))</f>
        <v/>
      </c>
      <c r="X284" s="5" t="str">
        <f t="shared" si="47"/>
        <v/>
      </c>
      <c r="Y284" s="5" t="str">
        <f t="shared" ca="1" si="48"/>
        <v/>
      </c>
      <c r="Z284" s="5" t="str">
        <f>IF(OR(E284="",N284&lt;=0),"",IF(N284&gt;E284*操作パネル_MS2!$H$4,"VOL-HIGH","VOL-NORMAL"))</f>
        <v/>
      </c>
      <c r="AA284" s="5" t="str">
        <f t="shared" si="49"/>
        <v/>
      </c>
      <c r="AB284" s="5" t="str">
        <f t="shared" si="50"/>
        <v/>
      </c>
      <c r="AC284" s="30" t="str">
        <f>IF(C284="","",_xll.RssMarket(C284&amp;"","売買代金"))</f>
        <v/>
      </c>
      <c r="AD284" s="31">
        <f>IFERROR(INDEX(ATRHIST_MS2!$H:$H,MATCH(C284,ATRHIST_MS2!$A:$A,0)),0)</f>
        <v>0</v>
      </c>
    </row>
    <row r="285" spans="1:30" ht="25.95" customHeight="1">
      <c r="A285" s="5" t="str">
        <f t="shared" si="42"/>
        <v/>
      </c>
      <c r="B285" s="6" t="str">
        <f>IF(StockList_MS2!A284="","",HYPERLINK("https://kabutan.jp/stock/?code="&amp;StockList_MS2!A284,"株探"))</f>
        <v/>
      </c>
      <c r="C285" s="5" t="str">
        <f>IF(StockList_MS2!A284="","",StockList_MS2!A284)</f>
        <v/>
      </c>
      <c r="D285" s="7" t="str">
        <f>IF(StockList_MS2!A284="","",StockList_MS2!B284)</f>
        <v/>
      </c>
      <c r="E285" s="8"/>
      <c r="F285" s="8"/>
      <c r="G285" s="8"/>
      <c r="H285" s="8"/>
      <c r="I285" s="19"/>
      <c r="J285" s="8"/>
      <c r="K285" s="8"/>
      <c r="L285" s="8"/>
      <c r="M285" s="5" t="str">
        <f t="shared" si="41"/>
        <v/>
      </c>
      <c r="N285" s="9" t="str">
        <f>IF(OR(E285="",F285="",G285=""),"",IF(AD285&gt;0,AD285,(F285-G285)/SQRT(操作パネル_MS2!$H$12)*操作パネル_MS2!$H$10))</f>
        <v/>
      </c>
      <c r="O285" s="5" t="str">
        <f>IF(OR(E285="",AC285=""),"",IF(AC285&gt;=操作パネル_MS2!$H$3,"VOL-OK","VOL-NG"))</f>
        <v/>
      </c>
      <c r="P285" s="5" t="str">
        <f t="shared" si="43"/>
        <v/>
      </c>
      <c r="Q285" s="5" t="str">
        <f t="shared" si="44"/>
        <v/>
      </c>
      <c r="R285" s="5" t="str">
        <f t="shared" si="45"/>
        <v/>
      </c>
      <c r="S285" s="9" t="str">
        <f t="shared" si="46"/>
        <v/>
      </c>
      <c r="T285" s="9" t="str">
        <f>IF(R285="","",IF(R285="BUY",E285-N285*操作パネル_MS2!$H$5,E285+N285*操作パネル_MS2!$H$5))</f>
        <v/>
      </c>
      <c r="U285" s="9" t="str">
        <f>IF(R285="","",IF(R285="BUY",E285+N285*操作パネル_MS2!$H$6,E285-N285*操作パネル_MS2!$H$6))</f>
        <v/>
      </c>
      <c r="V285" s="9" t="str">
        <f>IF(R285="","",IF(R285="BUY",E285+N285*操作パネル_MS2!$H$7,E285-N285*操作パネル_MS2!$H$7))</f>
        <v/>
      </c>
      <c r="W285" s="9" t="str">
        <f>IF(R285="","",IF(R285="BUY",E285+N285*操作パネル_MS2!$H$8,E285-N285*操作パネル_MS2!$H$8))</f>
        <v/>
      </c>
      <c r="X285" s="5" t="str">
        <f t="shared" si="47"/>
        <v/>
      </c>
      <c r="Y285" s="5" t="str">
        <f t="shared" ca="1" si="48"/>
        <v/>
      </c>
      <c r="Z285" s="5" t="str">
        <f>IF(OR(E285="",N285&lt;=0),"",IF(N285&gt;E285*操作パネル_MS2!$H$4,"VOL-HIGH","VOL-NORMAL"))</f>
        <v/>
      </c>
      <c r="AA285" s="5" t="str">
        <f t="shared" si="49"/>
        <v/>
      </c>
      <c r="AB285" s="5" t="str">
        <f t="shared" si="50"/>
        <v/>
      </c>
      <c r="AC285" s="30" t="str">
        <f>IF(C285="","",_xll.RssMarket(C285&amp;"","売買代金"))</f>
        <v/>
      </c>
      <c r="AD285" s="31">
        <f>IFERROR(INDEX(ATRHIST_MS2!$H:$H,MATCH(C285,ATRHIST_MS2!$A:$A,0)),0)</f>
        <v>0</v>
      </c>
    </row>
    <row r="286" spans="1:30" ht="25.95" customHeight="1">
      <c r="A286" s="10" t="str">
        <f t="shared" si="42"/>
        <v/>
      </c>
      <c r="B286" s="11" t="str">
        <f>IF(StockList_MS2!A285="","",HYPERLINK("https://kabutan.jp/stock/?code="&amp;StockList_MS2!A285,"株探"))</f>
        <v/>
      </c>
      <c r="C286" s="10" t="str">
        <f>IF(StockList_MS2!A285="","",StockList_MS2!A285)</f>
        <v/>
      </c>
      <c r="D286" s="12" t="str">
        <f>IF(StockList_MS2!A285="","",StockList_MS2!B285)</f>
        <v/>
      </c>
      <c r="E286" s="13"/>
      <c r="F286" s="13"/>
      <c r="G286" s="13"/>
      <c r="H286" s="13"/>
      <c r="I286" s="20"/>
      <c r="J286" s="13"/>
      <c r="K286" s="13"/>
      <c r="L286" s="13"/>
      <c r="M286" s="5" t="str">
        <f t="shared" si="41"/>
        <v/>
      </c>
      <c r="N286" s="9" t="str">
        <f>IF(OR(E286="",F286="",G286=""),"",IF(AD286&gt;0,AD286,(F286-G286)/SQRT(操作パネル_MS2!$H$12)*操作パネル_MS2!$H$10))</f>
        <v/>
      </c>
      <c r="O286" s="5" t="str">
        <f>IF(OR(E286="",AC286=""),"",IF(AC286&gt;=操作パネル_MS2!$H$3,"VOL-OK","VOL-NG"))</f>
        <v/>
      </c>
      <c r="P286" s="5" t="str">
        <f t="shared" si="43"/>
        <v/>
      </c>
      <c r="Q286" s="5" t="str">
        <f t="shared" si="44"/>
        <v/>
      </c>
      <c r="R286" s="5" t="str">
        <f t="shared" si="45"/>
        <v/>
      </c>
      <c r="S286" s="9" t="str">
        <f t="shared" si="46"/>
        <v/>
      </c>
      <c r="T286" s="9" t="str">
        <f>IF(R286="","",IF(R286="BUY",E286-N286*操作パネル_MS2!$H$5,E286+N286*操作パネル_MS2!$H$5))</f>
        <v/>
      </c>
      <c r="U286" s="9" t="str">
        <f>IF(R286="","",IF(R286="BUY",E286+N286*操作パネル_MS2!$H$6,E286-N286*操作パネル_MS2!$H$6))</f>
        <v/>
      </c>
      <c r="V286" s="9" t="str">
        <f>IF(R286="","",IF(R286="BUY",E286+N286*操作パネル_MS2!$H$7,E286-N286*操作パネル_MS2!$H$7))</f>
        <v/>
      </c>
      <c r="W286" s="9" t="str">
        <f>IF(R286="","",IF(R286="BUY",E286+N286*操作パネル_MS2!$H$8,E286-N286*操作パネル_MS2!$H$8))</f>
        <v/>
      </c>
      <c r="X286" s="5" t="str">
        <f t="shared" si="47"/>
        <v/>
      </c>
      <c r="Y286" s="5" t="str">
        <f t="shared" ca="1" si="48"/>
        <v/>
      </c>
      <c r="Z286" s="5" t="str">
        <f>IF(OR(E286="",N286&lt;=0),"",IF(N286&gt;E286*操作パネル_MS2!$H$4,"VOL-HIGH","VOL-NORMAL"))</f>
        <v/>
      </c>
      <c r="AA286" s="5" t="str">
        <f t="shared" si="49"/>
        <v/>
      </c>
      <c r="AB286" s="5" t="str">
        <f t="shared" si="50"/>
        <v/>
      </c>
      <c r="AC286" s="30" t="str">
        <f>IF(C286="","",_xll.RssMarket(C286&amp;"","売買代金"))</f>
        <v/>
      </c>
      <c r="AD286" s="31">
        <f>IFERROR(INDEX(ATRHIST_MS2!$H:$H,MATCH(C286,ATRHIST_MS2!$A:$A,0)),0)</f>
        <v>0</v>
      </c>
    </row>
    <row r="287" spans="1:30" ht="25.95" customHeight="1">
      <c r="A287" s="5" t="str">
        <f t="shared" si="42"/>
        <v/>
      </c>
      <c r="B287" s="6" t="str">
        <f>IF(StockList_MS2!A286="","",HYPERLINK("https://kabutan.jp/stock/?code="&amp;StockList_MS2!A286,"株探"))</f>
        <v/>
      </c>
      <c r="C287" s="5" t="str">
        <f>IF(StockList_MS2!A286="","",StockList_MS2!A286)</f>
        <v/>
      </c>
      <c r="D287" s="7" t="str">
        <f>IF(StockList_MS2!A286="","",StockList_MS2!B286)</f>
        <v/>
      </c>
      <c r="E287" s="8"/>
      <c r="F287" s="8"/>
      <c r="G287" s="8"/>
      <c r="H287" s="8"/>
      <c r="I287" s="19"/>
      <c r="J287" s="8"/>
      <c r="K287" s="8"/>
      <c r="L287" s="8"/>
      <c r="M287" s="5" t="str">
        <f t="shared" si="41"/>
        <v/>
      </c>
      <c r="N287" s="9" t="str">
        <f>IF(OR(E287="",F287="",G287=""),"",IF(AD287&gt;0,AD287,(F287-G287)/SQRT(操作パネル_MS2!$H$12)*操作パネル_MS2!$H$10))</f>
        <v/>
      </c>
      <c r="O287" s="5" t="str">
        <f>IF(OR(E287="",AC287=""),"",IF(AC287&gt;=操作パネル_MS2!$H$3,"VOL-OK","VOL-NG"))</f>
        <v/>
      </c>
      <c r="P287" s="5" t="str">
        <f t="shared" si="43"/>
        <v/>
      </c>
      <c r="Q287" s="5" t="str">
        <f t="shared" si="44"/>
        <v/>
      </c>
      <c r="R287" s="5" t="str">
        <f t="shared" si="45"/>
        <v/>
      </c>
      <c r="S287" s="9" t="str">
        <f t="shared" si="46"/>
        <v/>
      </c>
      <c r="T287" s="9" t="str">
        <f>IF(R287="","",IF(R287="BUY",E287-N287*操作パネル_MS2!$H$5,E287+N287*操作パネル_MS2!$H$5))</f>
        <v/>
      </c>
      <c r="U287" s="9" t="str">
        <f>IF(R287="","",IF(R287="BUY",E287+N287*操作パネル_MS2!$H$6,E287-N287*操作パネル_MS2!$H$6))</f>
        <v/>
      </c>
      <c r="V287" s="9" t="str">
        <f>IF(R287="","",IF(R287="BUY",E287+N287*操作パネル_MS2!$H$7,E287-N287*操作パネル_MS2!$H$7))</f>
        <v/>
      </c>
      <c r="W287" s="9" t="str">
        <f>IF(R287="","",IF(R287="BUY",E287+N287*操作パネル_MS2!$H$8,E287-N287*操作パネル_MS2!$H$8))</f>
        <v/>
      </c>
      <c r="X287" s="5" t="str">
        <f t="shared" si="47"/>
        <v/>
      </c>
      <c r="Y287" s="5" t="str">
        <f t="shared" ca="1" si="48"/>
        <v/>
      </c>
      <c r="Z287" s="5" t="str">
        <f>IF(OR(E287="",N287&lt;=0),"",IF(N287&gt;E287*操作パネル_MS2!$H$4,"VOL-HIGH","VOL-NORMAL"))</f>
        <v/>
      </c>
      <c r="AA287" s="5" t="str">
        <f t="shared" si="49"/>
        <v/>
      </c>
      <c r="AB287" s="5" t="str">
        <f t="shared" si="50"/>
        <v/>
      </c>
      <c r="AC287" s="30" t="str">
        <f>IF(C287="","",_xll.RssMarket(C287&amp;"","売買代金"))</f>
        <v/>
      </c>
      <c r="AD287" s="31">
        <f>IFERROR(INDEX(ATRHIST_MS2!$H:$H,MATCH(C287,ATRHIST_MS2!$A:$A,0)),0)</f>
        <v>0</v>
      </c>
    </row>
    <row r="288" spans="1:30" ht="25.95" customHeight="1">
      <c r="A288" s="10" t="str">
        <f t="shared" si="42"/>
        <v/>
      </c>
      <c r="B288" s="11" t="str">
        <f>IF(StockList_MS2!A287="","",HYPERLINK("https://kabutan.jp/stock/?code="&amp;StockList_MS2!A287,"株探"))</f>
        <v/>
      </c>
      <c r="C288" s="10" t="str">
        <f>IF(StockList_MS2!A287="","",StockList_MS2!A287)</f>
        <v/>
      </c>
      <c r="D288" s="12" t="str">
        <f>IF(StockList_MS2!A287="","",StockList_MS2!B287)</f>
        <v/>
      </c>
      <c r="E288" s="13"/>
      <c r="F288" s="13"/>
      <c r="G288" s="13"/>
      <c r="H288" s="13"/>
      <c r="I288" s="20"/>
      <c r="J288" s="13"/>
      <c r="K288" s="13"/>
      <c r="L288" s="13"/>
      <c r="M288" s="5" t="str">
        <f t="shared" si="41"/>
        <v/>
      </c>
      <c r="N288" s="9" t="str">
        <f>IF(OR(E288="",F288="",G288=""),"",IF(AD288&gt;0,AD288,(F288-G288)/SQRT(操作パネル_MS2!$H$12)*操作パネル_MS2!$H$10))</f>
        <v/>
      </c>
      <c r="O288" s="5" t="str">
        <f>IF(OR(E288="",AC288=""),"",IF(AC288&gt;=操作パネル_MS2!$H$3,"VOL-OK","VOL-NG"))</f>
        <v/>
      </c>
      <c r="P288" s="5" t="str">
        <f t="shared" si="43"/>
        <v/>
      </c>
      <c r="Q288" s="5" t="str">
        <f t="shared" si="44"/>
        <v/>
      </c>
      <c r="R288" s="5" t="str">
        <f t="shared" si="45"/>
        <v/>
      </c>
      <c r="S288" s="9" t="str">
        <f t="shared" si="46"/>
        <v/>
      </c>
      <c r="T288" s="9" t="str">
        <f>IF(R288="","",IF(R288="BUY",E288-N288*操作パネル_MS2!$H$5,E288+N288*操作パネル_MS2!$H$5))</f>
        <v/>
      </c>
      <c r="U288" s="9" t="str">
        <f>IF(R288="","",IF(R288="BUY",E288+N288*操作パネル_MS2!$H$6,E288-N288*操作パネル_MS2!$H$6))</f>
        <v/>
      </c>
      <c r="V288" s="9" t="str">
        <f>IF(R288="","",IF(R288="BUY",E288+N288*操作パネル_MS2!$H$7,E288-N288*操作パネル_MS2!$H$7))</f>
        <v/>
      </c>
      <c r="W288" s="9" t="str">
        <f>IF(R288="","",IF(R288="BUY",E288+N288*操作パネル_MS2!$H$8,E288-N288*操作パネル_MS2!$H$8))</f>
        <v/>
      </c>
      <c r="X288" s="5" t="str">
        <f t="shared" si="47"/>
        <v/>
      </c>
      <c r="Y288" s="5" t="str">
        <f t="shared" ca="1" si="48"/>
        <v/>
      </c>
      <c r="Z288" s="5" t="str">
        <f>IF(OR(E288="",N288&lt;=0),"",IF(N288&gt;E288*操作パネル_MS2!$H$4,"VOL-HIGH","VOL-NORMAL"))</f>
        <v/>
      </c>
      <c r="AA288" s="5" t="str">
        <f t="shared" si="49"/>
        <v/>
      </c>
      <c r="AB288" s="5" t="str">
        <f t="shared" si="50"/>
        <v/>
      </c>
      <c r="AC288" s="30" t="str">
        <f>IF(C288="","",_xll.RssMarket(C288&amp;"","売買代金"))</f>
        <v/>
      </c>
      <c r="AD288" s="31">
        <f>IFERROR(INDEX(ATRHIST_MS2!$H:$H,MATCH(C288,ATRHIST_MS2!$A:$A,0)),0)</f>
        <v>0</v>
      </c>
    </row>
    <row r="289" spans="1:30" ht="25.95" customHeight="1">
      <c r="A289" s="5" t="str">
        <f t="shared" si="42"/>
        <v/>
      </c>
      <c r="B289" s="6" t="str">
        <f>IF(StockList_MS2!A288="","",HYPERLINK("https://kabutan.jp/stock/?code="&amp;StockList_MS2!A288,"株探"))</f>
        <v/>
      </c>
      <c r="C289" s="5" t="str">
        <f>IF(StockList_MS2!A288="","",StockList_MS2!A288)</f>
        <v/>
      </c>
      <c r="D289" s="7" t="str">
        <f>IF(StockList_MS2!A288="","",StockList_MS2!B288)</f>
        <v/>
      </c>
      <c r="E289" s="8"/>
      <c r="F289" s="8"/>
      <c r="G289" s="8"/>
      <c r="H289" s="8"/>
      <c r="I289" s="19"/>
      <c r="J289" s="8"/>
      <c r="K289" s="8"/>
      <c r="L289" s="8"/>
      <c r="M289" s="5" t="str">
        <f t="shared" si="41"/>
        <v/>
      </c>
      <c r="N289" s="9" t="str">
        <f>IF(OR(E289="",F289="",G289=""),"",IF(AD289&gt;0,AD289,(F289-G289)/SQRT(操作パネル_MS2!$H$12)*操作パネル_MS2!$H$10))</f>
        <v/>
      </c>
      <c r="O289" s="5" t="str">
        <f>IF(OR(E289="",AC289=""),"",IF(AC289&gt;=操作パネル_MS2!$H$3,"VOL-OK","VOL-NG"))</f>
        <v/>
      </c>
      <c r="P289" s="5" t="str">
        <f t="shared" si="43"/>
        <v/>
      </c>
      <c r="Q289" s="5" t="str">
        <f t="shared" si="44"/>
        <v/>
      </c>
      <c r="R289" s="5" t="str">
        <f t="shared" si="45"/>
        <v/>
      </c>
      <c r="S289" s="9" t="str">
        <f t="shared" si="46"/>
        <v/>
      </c>
      <c r="T289" s="9" t="str">
        <f>IF(R289="","",IF(R289="BUY",E289-N289*操作パネル_MS2!$H$5,E289+N289*操作パネル_MS2!$H$5))</f>
        <v/>
      </c>
      <c r="U289" s="9" t="str">
        <f>IF(R289="","",IF(R289="BUY",E289+N289*操作パネル_MS2!$H$6,E289-N289*操作パネル_MS2!$H$6))</f>
        <v/>
      </c>
      <c r="V289" s="9" t="str">
        <f>IF(R289="","",IF(R289="BUY",E289+N289*操作パネル_MS2!$H$7,E289-N289*操作パネル_MS2!$H$7))</f>
        <v/>
      </c>
      <c r="W289" s="9" t="str">
        <f>IF(R289="","",IF(R289="BUY",E289+N289*操作パネル_MS2!$H$8,E289-N289*操作パネル_MS2!$H$8))</f>
        <v/>
      </c>
      <c r="X289" s="5" t="str">
        <f t="shared" si="47"/>
        <v/>
      </c>
      <c r="Y289" s="5" t="str">
        <f t="shared" ca="1" si="48"/>
        <v/>
      </c>
      <c r="Z289" s="5" t="str">
        <f>IF(OR(E289="",N289&lt;=0),"",IF(N289&gt;E289*操作パネル_MS2!$H$4,"VOL-HIGH","VOL-NORMAL"))</f>
        <v/>
      </c>
      <c r="AA289" s="5" t="str">
        <f t="shared" si="49"/>
        <v/>
      </c>
      <c r="AB289" s="5" t="str">
        <f t="shared" si="50"/>
        <v/>
      </c>
      <c r="AC289" s="30" t="str">
        <f>IF(C289="","",_xll.RssMarket(C289&amp;"","売買代金"))</f>
        <v/>
      </c>
      <c r="AD289" s="31">
        <f>IFERROR(INDEX(ATRHIST_MS2!$H:$H,MATCH(C289,ATRHIST_MS2!$A:$A,0)),0)</f>
        <v>0</v>
      </c>
    </row>
    <row r="290" spans="1:30" ht="25.95" customHeight="1">
      <c r="A290" s="10" t="str">
        <f t="shared" si="42"/>
        <v/>
      </c>
      <c r="B290" s="11" t="str">
        <f>IF(StockList_MS2!A289="","",HYPERLINK("https://kabutan.jp/stock/?code="&amp;StockList_MS2!A289,"株探"))</f>
        <v/>
      </c>
      <c r="C290" s="10" t="str">
        <f>IF(StockList_MS2!A289="","",StockList_MS2!A289)</f>
        <v/>
      </c>
      <c r="D290" s="12" t="str">
        <f>IF(StockList_MS2!A289="","",StockList_MS2!B289)</f>
        <v/>
      </c>
      <c r="E290" s="13"/>
      <c r="F290" s="13"/>
      <c r="G290" s="13"/>
      <c r="H290" s="13"/>
      <c r="I290" s="20"/>
      <c r="J290" s="13"/>
      <c r="K290" s="13"/>
      <c r="L290" s="13"/>
      <c r="M290" s="5" t="str">
        <f t="shared" si="41"/>
        <v/>
      </c>
      <c r="N290" s="9" t="str">
        <f>IF(OR(E290="",F290="",G290=""),"",IF(AD290&gt;0,AD290,(F290-G290)/SQRT(操作パネル_MS2!$H$12)*操作パネル_MS2!$H$10))</f>
        <v/>
      </c>
      <c r="O290" s="5" t="str">
        <f>IF(OR(E290="",AC290=""),"",IF(AC290&gt;=操作パネル_MS2!$H$3,"VOL-OK","VOL-NG"))</f>
        <v/>
      </c>
      <c r="P290" s="5" t="str">
        <f t="shared" si="43"/>
        <v/>
      </c>
      <c r="Q290" s="5" t="str">
        <f t="shared" si="44"/>
        <v/>
      </c>
      <c r="R290" s="5" t="str">
        <f t="shared" si="45"/>
        <v/>
      </c>
      <c r="S290" s="9" t="str">
        <f t="shared" si="46"/>
        <v/>
      </c>
      <c r="T290" s="9" t="str">
        <f>IF(R290="","",IF(R290="BUY",E290-N290*操作パネル_MS2!$H$5,E290+N290*操作パネル_MS2!$H$5))</f>
        <v/>
      </c>
      <c r="U290" s="9" t="str">
        <f>IF(R290="","",IF(R290="BUY",E290+N290*操作パネル_MS2!$H$6,E290-N290*操作パネル_MS2!$H$6))</f>
        <v/>
      </c>
      <c r="V290" s="9" t="str">
        <f>IF(R290="","",IF(R290="BUY",E290+N290*操作パネル_MS2!$H$7,E290-N290*操作パネル_MS2!$H$7))</f>
        <v/>
      </c>
      <c r="W290" s="9" t="str">
        <f>IF(R290="","",IF(R290="BUY",E290+N290*操作パネル_MS2!$H$8,E290-N290*操作パネル_MS2!$H$8))</f>
        <v/>
      </c>
      <c r="X290" s="5" t="str">
        <f t="shared" si="47"/>
        <v/>
      </c>
      <c r="Y290" s="5" t="str">
        <f t="shared" ca="1" si="48"/>
        <v/>
      </c>
      <c r="Z290" s="5" t="str">
        <f>IF(OR(E290="",N290&lt;=0),"",IF(N290&gt;E290*操作パネル_MS2!$H$4,"VOL-HIGH","VOL-NORMAL"))</f>
        <v/>
      </c>
      <c r="AA290" s="5" t="str">
        <f t="shared" si="49"/>
        <v/>
      </c>
      <c r="AB290" s="5" t="str">
        <f t="shared" si="50"/>
        <v/>
      </c>
      <c r="AC290" s="30" t="str">
        <f>IF(C290="","",_xll.RssMarket(C290&amp;"","売買代金"))</f>
        <v/>
      </c>
      <c r="AD290" s="31">
        <f>IFERROR(INDEX(ATRHIST_MS2!$H:$H,MATCH(C290,ATRHIST_MS2!$A:$A,0)),0)</f>
        <v>0</v>
      </c>
    </row>
    <row r="291" spans="1:30" ht="25.95" customHeight="1">
      <c r="A291" s="5" t="str">
        <f t="shared" si="42"/>
        <v/>
      </c>
      <c r="B291" s="6" t="str">
        <f>IF(StockList_MS2!A290="","",HYPERLINK("https://kabutan.jp/stock/?code="&amp;StockList_MS2!A290,"株探"))</f>
        <v/>
      </c>
      <c r="C291" s="5" t="str">
        <f>IF(StockList_MS2!A290="","",StockList_MS2!A290)</f>
        <v/>
      </c>
      <c r="D291" s="7" t="str">
        <f>IF(StockList_MS2!A290="","",StockList_MS2!B290)</f>
        <v/>
      </c>
      <c r="E291" s="8"/>
      <c r="F291" s="8"/>
      <c r="G291" s="8"/>
      <c r="H291" s="8"/>
      <c r="I291" s="19"/>
      <c r="J291" s="8"/>
      <c r="K291" s="8"/>
      <c r="L291" s="8"/>
      <c r="M291" s="5" t="str">
        <f t="shared" si="41"/>
        <v/>
      </c>
      <c r="N291" s="9" t="str">
        <f>IF(OR(E291="",F291="",G291=""),"",IF(AD291&gt;0,AD291,(F291-G291)/SQRT(操作パネル_MS2!$H$12)*操作パネル_MS2!$H$10))</f>
        <v/>
      </c>
      <c r="O291" s="5" t="str">
        <f>IF(OR(E291="",AC291=""),"",IF(AC291&gt;=操作パネル_MS2!$H$3,"VOL-OK","VOL-NG"))</f>
        <v/>
      </c>
      <c r="P291" s="5" t="str">
        <f t="shared" si="43"/>
        <v/>
      </c>
      <c r="Q291" s="5" t="str">
        <f t="shared" si="44"/>
        <v/>
      </c>
      <c r="R291" s="5" t="str">
        <f t="shared" si="45"/>
        <v/>
      </c>
      <c r="S291" s="9" t="str">
        <f t="shared" si="46"/>
        <v/>
      </c>
      <c r="T291" s="9" t="str">
        <f>IF(R291="","",IF(R291="BUY",E291-N291*操作パネル_MS2!$H$5,E291+N291*操作パネル_MS2!$H$5))</f>
        <v/>
      </c>
      <c r="U291" s="9" t="str">
        <f>IF(R291="","",IF(R291="BUY",E291+N291*操作パネル_MS2!$H$6,E291-N291*操作パネル_MS2!$H$6))</f>
        <v/>
      </c>
      <c r="V291" s="9" t="str">
        <f>IF(R291="","",IF(R291="BUY",E291+N291*操作パネル_MS2!$H$7,E291-N291*操作パネル_MS2!$H$7))</f>
        <v/>
      </c>
      <c r="W291" s="9" t="str">
        <f>IF(R291="","",IF(R291="BUY",E291+N291*操作パネル_MS2!$H$8,E291-N291*操作パネル_MS2!$H$8))</f>
        <v/>
      </c>
      <c r="X291" s="5" t="str">
        <f t="shared" si="47"/>
        <v/>
      </c>
      <c r="Y291" s="5" t="str">
        <f t="shared" ca="1" si="48"/>
        <v/>
      </c>
      <c r="Z291" s="5" t="str">
        <f>IF(OR(E291="",N291&lt;=0),"",IF(N291&gt;E291*操作パネル_MS2!$H$4,"VOL-HIGH","VOL-NORMAL"))</f>
        <v/>
      </c>
      <c r="AA291" s="5" t="str">
        <f t="shared" si="49"/>
        <v/>
      </c>
      <c r="AB291" s="5" t="str">
        <f t="shared" si="50"/>
        <v/>
      </c>
      <c r="AC291" s="30" t="str">
        <f>IF(C291="","",_xll.RssMarket(C291&amp;"","売買代金"))</f>
        <v/>
      </c>
      <c r="AD291" s="31">
        <f>IFERROR(INDEX(ATRHIST_MS2!$H:$H,MATCH(C291,ATRHIST_MS2!$A:$A,0)),0)</f>
        <v>0</v>
      </c>
    </row>
    <row r="292" spans="1:30" ht="25.95" customHeight="1">
      <c r="A292" s="10" t="str">
        <f t="shared" si="42"/>
        <v/>
      </c>
      <c r="B292" s="11" t="str">
        <f>IF(StockList_MS2!A291="","",HYPERLINK("https://kabutan.jp/stock/?code="&amp;StockList_MS2!A291,"株探"))</f>
        <v/>
      </c>
      <c r="C292" s="10" t="str">
        <f>IF(StockList_MS2!A291="","",StockList_MS2!A291)</f>
        <v/>
      </c>
      <c r="D292" s="12" t="str">
        <f>IF(StockList_MS2!A291="","",StockList_MS2!B291)</f>
        <v/>
      </c>
      <c r="E292" s="13"/>
      <c r="F292" s="13"/>
      <c r="G292" s="13"/>
      <c r="H292" s="13"/>
      <c r="I292" s="20"/>
      <c r="J292" s="13"/>
      <c r="K292" s="13"/>
      <c r="L292" s="13"/>
      <c r="M292" s="5" t="str">
        <f t="shared" si="41"/>
        <v/>
      </c>
      <c r="N292" s="9" t="str">
        <f>IF(OR(E292="",F292="",G292=""),"",IF(AD292&gt;0,AD292,(F292-G292)/SQRT(操作パネル_MS2!$H$12)*操作パネル_MS2!$H$10))</f>
        <v/>
      </c>
      <c r="O292" s="5" t="str">
        <f>IF(OR(E292="",AC292=""),"",IF(AC292&gt;=操作パネル_MS2!$H$3,"VOL-OK","VOL-NG"))</f>
        <v/>
      </c>
      <c r="P292" s="5" t="str">
        <f t="shared" si="43"/>
        <v/>
      </c>
      <c r="Q292" s="5" t="str">
        <f t="shared" si="44"/>
        <v/>
      </c>
      <c r="R292" s="5" t="str">
        <f t="shared" si="45"/>
        <v/>
      </c>
      <c r="S292" s="9" t="str">
        <f t="shared" si="46"/>
        <v/>
      </c>
      <c r="T292" s="9" t="str">
        <f>IF(R292="","",IF(R292="BUY",E292-N292*操作パネル_MS2!$H$5,E292+N292*操作パネル_MS2!$H$5))</f>
        <v/>
      </c>
      <c r="U292" s="9" t="str">
        <f>IF(R292="","",IF(R292="BUY",E292+N292*操作パネル_MS2!$H$6,E292-N292*操作パネル_MS2!$H$6))</f>
        <v/>
      </c>
      <c r="V292" s="9" t="str">
        <f>IF(R292="","",IF(R292="BUY",E292+N292*操作パネル_MS2!$H$7,E292-N292*操作パネル_MS2!$H$7))</f>
        <v/>
      </c>
      <c r="W292" s="9" t="str">
        <f>IF(R292="","",IF(R292="BUY",E292+N292*操作パネル_MS2!$H$8,E292-N292*操作パネル_MS2!$H$8))</f>
        <v/>
      </c>
      <c r="X292" s="5" t="str">
        <f t="shared" si="47"/>
        <v/>
      </c>
      <c r="Y292" s="5" t="str">
        <f t="shared" ca="1" si="48"/>
        <v/>
      </c>
      <c r="Z292" s="5" t="str">
        <f>IF(OR(E292="",N292&lt;=0),"",IF(N292&gt;E292*操作パネル_MS2!$H$4,"VOL-HIGH","VOL-NORMAL"))</f>
        <v/>
      </c>
      <c r="AA292" s="5" t="str">
        <f t="shared" si="49"/>
        <v/>
      </c>
      <c r="AB292" s="5" t="str">
        <f t="shared" si="50"/>
        <v/>
      </c>
      <c r="AC292" s="30" t="str">
        <f>IF(C292="","",_xll.RssMarket(C292&amp;"","売買代金"))</f>
        <v/>
      </c>
      <c r="AD292" s="31">
        <f>IFERROR(INDEX(ATRHIST_MS2!$H:$H,MATCH(C292,ATRHIST_MS2!$A:$A,0)),0)</f>
        <v>0</v>
      </c>
    </row>
    <row r="293" spans="1:30" ht="25.95" customHeight="1">
      <c r="A293" s="5" t="str">
        <f t="shared" si="42"/>
        <v/>
      </c>
      <c r="B293" s="6" t="str">
        <f>IF(StockList_MS2!A292="","",HYPERLINK("https://kabutan.jp/stock/?code="&amp;StockList_MS2!A292,"株探"))</f>
        <v/>
      </c>
      <c r="C293" s="5" t="str">
        <f>IF(StockList_MS2!A292="","",StockList_MS2!A292)</f>
        <v/>
      </c>
      <c r="D293" s="7" t="str">
        <f>IF(StockList_MS2!A292="","",StockList_MS2!B292)</f>
        <v/>
      </c>
      <c r="E293" s="8"/>
      <c r="F293" s="8"/>
      <c r="G293" s="8"/>
      <c r="H293" s="8"/>
      <c r="I293" s="19"/>
      <c r="J293" s="8"/>
      <c r="K293" s="8"/>
      <c r="L293" s="8"/>
      <c r="M293" s="5" t="str">
        <f t="shared" si="41"/>
        <v/>
      </c>
      <c r="N293" s="9" t="str">
        <f>IF(OR(E293="",F293="",G293=""),"",IF(AD293&gt;0,AD293,(F293-G293)/SQRT(操作パネル_MS2!$H$12)*操作パネル_MS2!$H$10))</f>
        <v/>
      </c>
      <c r="O293" s="5" t="str">
        <f>IF(OR(E293="",AC293=""),"",IF(AC293&gt;=操作パネル_MS2!$H$3,"VOL-OK","VOL-NG"))</f>
        <v/>
      </c>
      <c r="P293" s="5" t="str">
        <f t="shared" si="43"/>
        <v/>
      </c>
      <c r="Q293" s="5" t="str">
        <f t="shared" si="44"/>
        <v/>
      </c>
      <c r="R293" s="5" t="str">
        <f t="shared" si="45"/>
        <v/>
      </c>
      <c r="S293" s="9" t="str">
        <f t="shared" si="46"/>
        <v/>
      </c>
      <c r="T293" s="9" t="str">
        <f>IF(R293="","",IF(R293="BUY",E293-N293*操作パネル_MS2!$H$5,E293+N293*操作パネル_MS2!$H$5))</f>
        <v/>
      </c>
      <c r="U293" s="9" t="str">
        <f>IF(R293="","",IF(R293="BUY",E293+N293*操作パネル_MS2!$H$6,E293-N293*操作パネル_MS2!$H$6))</f>
        <v/>
      </c>
      <c r="V293" s="9" t="str">
        <f>IF(R293="","",IF(R293="BUY",E293+N293*操作パネル_MS2!$H$7,E293-N293*操作パネル_MS2!$H$7))</f>
        <v/>
      </c>
      <c r="W293" s="9" t="str">
        <f>IF(R293="","",IF(R293="BUY",E293+N293*操作パネル_MS2!$H$8,E293-N293*操作パネル_MS2!$H$8))</f>
        <v/>
      </c>
      <c r="X293" s="5" t="str">
        <f t="shared" si="47"/>
        <v/>
      </c>
      <c r="Y293" s="5" t="str">
        <f t="shared" ca="1" si="48"/>
        <v/>
      </c>
      <c r="Z293" s="5" t="str">
        <f>IF(OR(E293="",N293&lt;=0),"",IF(N293&gt;E293*操作パネル_MS2!$H$4,"VOL-HIGH","VOL-NORMAL"))</f>
        <v/>
      </c>
      <c r="AA293" s="5" t="str">
        <f t="shared" si="49"/>
        <v/>
      </c>
      <c r="AB293" s="5" t="str">
        <f t="shared" si="50"/>
        <v/>
      </c>
      <c r="AC293" s="30" t="str">
        <f>IF(C293="","",_xll.RssMarket(C293&amp;"","売買代金"))</f>
        <v/>
      </c>
      <c r="AD293" s="31">
        <f>IFERROR(INDEX(ATRHIST_MS2!$H:$H,MATCH(C293,ATRHIST_MS2!$A:$A,0)),0)</f>
        <v>0</v>
      </c>
    </row>
    <row r="294" spans="1:30" ht="25.95" customHeight="1">
      <c r="A294" s="10" t="str">
        <f t="shared" si="42"/>
        <v/>
      </c>
      <c r="B294" s="11" t="str">
        <f>IF(StockList_MS2!A293="","",HYPERLINK("https://kabutan.jp/stock/?code="&amp;StockList_MS2!A293,"株探"))</f>
        <v/>
      </c>
      <c r="C294" s="10" t="str">
        <f>IF(StockList_MS2!A293="","",StockList_MS2!A293)</f>
        <v/>
      </c>
      <c r="D294" s="12" t="str">
        <f>IF(StockList_MS2!A293="","",StockList_MS2!B293)</f>
        <v/>
      </c>
      <c r="E294" s="13"/>
      <c r="F294" s="13"/>
      <c r="G294" s="13"/>
      <c r="H294" s="13"/>
      <c r="I294" s="20"/>
      <c r="J294" s="13"/>
      <c r="K294" s="13"/>
      <c r="L294" s="13"/>
      <c r="M294" s="5" t="str">
        <f t="shared" si="41"/>
        <v/>
      </c>
      <c r="N294" s="9" t="str">
        <f>IF(OR(E294="",F294="",G294=""),"",IF(AD294&gt;0,AD294,(F294-G294)/SQRT(操作パネル_MS2!$H$12)*操作パネル_MS2!$H$10))</f>
        <v/>
      </c>
      <c r="O294" s="5" t="str">
        <f>IF(OR(E294="",AC294=""),"",IF(AC294&gt;=操作パネル_MS2!$H$3,"VOL-OK","VOL-NG"))</f>
        <v/>
      </c>
      <c r="P294" s="5" t="str">
        <f t="shared" si="43"/>
        <v/>
      </c>
      <c r="Q294" s="5" t="str">
        <f t="shared" si="44"/>
        <v/>
      </c>
      <c r="R294" s="5" t="str">
        <f t="shared" si="45"/>
        <v/>
      </c>
      <c r="S294" s="9" t="str">
        <f t="shared" si="46"/>
        <v/>
      </c>
      <c r="T294" s="9" t="str">
        <f>IF(R294="","",IF(R294="BUY",E294-N294*操作パネル_MS2!$H$5,E294+N294*操作パネル_MS2!$H$5))</f>
        <v/>
      </c>
      <c r="U294" s="9" t="str">
        <f>IF(R294="","",IF(R294="BUY",E294+N294*操作パネル_MS2!$H$6,E294-N294*操作パネル_MS2!$H$6))</f>
        <v/>
      </c>
      <c r="V294" s="9" t="str">
        <f>IF(R294="","",IF(R294="BUY",E294+N294*操作パネル_MS2!$H$7,E294-N294*操作パネル_MS2!$H$7))</f>
        <v/>
      </c>
      <c r="W294" s="9" t="str">
        <f>IF(R294="","",IF(R294="BUY",E294+N294*操作パネル_MS2!$H$8,E294-N294*操作パネル_MS2!$H$8))</f>
        <v/>
      </c>
      <c r="X294" s="5" t="str">
        <f t="shared" si="47"/>
        <v/>
      </c>
      <c r="Y294" s="5" t="str">
        <f t="shared" ca="1" si="48"/>
        <v/>
      </c>
      <c r="Z294" s="5" t="str">
        <f>IF(OR(E294="",N294&lt;=0),"",IF(N294&gt;E294*操作パネル_MS2!$H$4,"VOL-HIGH","VOL-NORMAL"))</f>
        <v/>
      </c>
      <c r="AA294" s="5" t="str">
        <f t="shared" si="49"/>
        <v/>
      </c>
      <c r="AB294" s="5" t="str">
        <f t="shared" si="50"/>
        <v/>
      </c>
      <c r="AC294" s="30" t="str">
        <f>IF(C294="","",_xll.RssMarket(C294&amp;"","売買代金"))</f>
        <v/>
      </c>
      <c r="AD294" s="31">
        <f>IFERROR(INDEX(ATRHIST_MS2!$H:$H,MATCH(C294,ATRHIST_MS2!$A:$A,0)),0)</f>
        <v>0</v>
      </c>
    </row>
    <row r="295" spans="1:30" ht="25.95" customHeight="1">
      <c r="A295" s="5" t="str">
        <f t="shared" si="42"/>
        <v/>
      </c>
      <c r="B295" s="6" t="str">
        <f>IF(StockList_MS2!A294="","",HYPERLINK("https://kabutan.jp/stock/?code="&amp;StockList_MS2!A294,"株探"))</f>
        <v/>
      </c>
      <c r="C295" s="5" t="str">
        <f>IF(StockList_MS2!A294="","",StockList_MS2!A294)</f>
        <v/>
      </c>
      <c r="D295" s="7" t="str">
        <f>IF(StockList_MS2!A294="","",StockList_MS2!B294)</f>
        <v/>
      </c>
      <c r="E295" s="8"/>
      <c r="F295" s="8"/>
      <c r="G295" s="8"/>
      <c r="H295" s="8"/>
      <c r="I295" s="19"/>
      <c r="J295" s="8"/>
      <c r="K295" s="8"/>
      <c r="L295" s="8"/>
      <c r="M295" s="5" t="str">
        <f t="shared" ref="M295:M352" si="51">IF(E295="","",IF(E295&gt;L295,"BUY-DAY","SELL-DAY"))</f>
        <v/>
      </c>
      <c r="N295" s="9" t="str">
        <f>IF(OR(E295="",F295="",G295=""),"",IF(AD295&gt;0,AD295,(F295-G295)/SQRT(操作パネル_MS2!$H$12)*操作パネル_MS2!$H$10))</f>
        <v/>
      </c>
      <c r="O295" s="5" t="str">
        <f>IF(OR(E295="",AC295=""),"",IF(AC295&gt;=操作パネル_MS2!$H$3,"VOL-OK","VOL-NG"))</f>
        <v/>
      </c>
      <c r="P295" s="5" t="str">
        <f t="shared" si="43"/>
        <v/>
      </c>
      <c r="Q295" s="5" t="str">
        <f t="shared" si="44"/>
        <v/>
      </c>
      <c r="R295" s="5" t="str">
        <f t="shared" si="45"/>
        <v/>
      </c>
      <c r="S295" s="9" t="str">
        <f t="shared" si="46"/>
        <v/>
      </c>
      <c r="T295" s="9" t="str">
        <f>IF(R295="","",IF(R295="BUY",E295-N295*操作パネル_MS2!$H$5,E295+N295*操作パネル_MS2!$H$5))</f>
        <v/>
      </c>
      <c r="U295" s="9" t="str">
        <f>IF(R295="","",IF(R295="BUY",E295+N295*操作パネル_MS2!$H$6,E295-N295*操作パネル_MS2!$H$6))</f>
        <v/>
      </c>
      <c r="V295" s="9" t="str">
        <f>IF(R295="","",IF(R295="BUY",E295+N295*操作パネル_MS2!$H$7,E295-N295*操作パネル_MS2!$H$7))</f>
        <v/>
      </c>
      <c r="W295" s="9" t="str">
        <f>IF(R295="","",IF(R295="BUY",E295+N295*操作パネル_MS2!$H$8,E295-N295*操作パネル_MS2!$H$8))</f>
        <v/>
      </c>
      <c r="X295" s="5" t="str">
        <f t="shared" si="47"/>
        <v/>
      </c>
      <c r="Y295" s="5" t="str">
        <f t="shared" ca="1" si="48"/>
        <v/>
      </c>
      <c r="Z295" s="5" t="str">
        <f>IF(OR(E295="",N295&lt;=0),"",IF(N295&gt;E295*操作パネル_MS2!$H$4,"VOL-HIGH","VOL-NORMAL"))</f>
        <v/>
      </c>
      <c r="AA295" s="5" t="str">
        <f t="shared" si="49"/>
        <v/>
      </c>
      <c r="AB295" s="5" t="str">
        <f t="shared" si="50"/>
        <v/>
      </c>
      <c r="AC295" s="30" t="str">
        <f>IF(C295="","",_xll.RssMarket(C295&amp;"","売買代金"))</f>
        <v/>
      </c>
      <c r="AD295" s="31">
        <f>IFERROR(INDEX(ATRHIST_MS2!$H:$H,MATCH(C295,ATRHIST_MS2!$A:$A,0)),0)</f>
        <v>0</v>
      </c>
    </row>
    <row r="296" spans="1:30" ht="25.95" customHeight="1">
      <c r="A296" s="10" t="str">
        <f t="shared" si="42"/>
        <v/>
      </c>
      <c r="B296" s="11" t="str">
        <f>IF(StockList_MS2!A295="","",HYPERLINK("https://kabutan.jp/stock/?code="&amp;StockList_MS2!A295,"株探"))</f>
        <v/>
      </c>
      <c r="C296" s="10" t="str">
        <f>IF(StockList_MS2!A295="","",StockList_MS2!A295)</f>
        <v/>
      </c>
      <c r="D296" s="12" t="str">
        <f>IF(StockList_MS2!A295="","",StockList_MS2!B295)</f>
        <v/>
      </c>
      <c r="E296" s="13"/>
      <c r="F296" s="13"/>
      <c r="G296" s="13"/>
      <c r="H296" s="13"/>
      <c r="I296" s="20"/>
      <c r="J296" s="13"/>
      <c r="K296" s="13"/>
      <c r="L296" s="13"/>
      <c r="M296" s="5" t="str">
        <f t="shared" si="51"/>
        <v/>
      </c>
      <c r="N296" s="9" t="str">
        <f>IF(OR(E296="",F296="",G296=""),"",IF(AD296&gt;0,AD296,(F296-G296)/SQRT(操作パネル_MS2!$H$12)*操作パネル_MS2!$H$10))</f>
        <v/>
      </c>
      <c r="O296" s="5" t="str">
        <f>IF(OR(E296="",AC296=""),"",IF(AC296&gt;=操作パネル_MS2!$H$3,"VOL-OK","VOL-NG"))</f>
        <v/>
      </c>
      <c r="P296" s="5" t="str">
        <f t="shared" si="43"/>
        <v/>
      </c>
      <c r="Q296" s="5" t="str">
        <f t="shared" si="44"/>
        <v/>
      </c>
      <c r="R296" s="5" t="str">
        <f t="shared" si="45"/>
        <v/>
      </c>
      <c r="S296" s="9" t="str">
        <f t="shared" si="46"/>
        <v/>
      </c>
      <c r="T296" s="9" t="str">
        <f>IF(R296="","",IF(R296="BUY",E296-N296*操作パネル_MS2!$H$5,E296+N296*操作パネル_MS2!$H$5))</f>
        <v/>
      </c>
      <c r="U296" s="9" t="str">
        <f>IF(R296="","",IF(R296="BUY",E296+N296*操作パネル_MS2!$H$6,E296-N296*操作パネル_MS2!$H$6))</f>
        <v/>
      </c>
      <c r="V296" s="9" t="str">
        <f>IF(R296="","",IF(R296="BUY",E296+N296*操作パネル_MS2!$H$7,E296-N296*操作パネル_MS2!$H$7))</f>
        <v/>
      </c>
      <c r="W296" s="9" t="str">
        <f>IF(R296="","",IF(R296="BUY",E296+N296*操作パネル_MS2!$H$8,E296-N296*操作パネル_MS2!$H$8))</f>
        <v/>
      </c>
      <c r="X296" s="5" t="str">
        <f t="shared" si="47"/>
        <v/>
      </c>
      <c r="Y296" s="5" t="str">
        <f t="shared" ca="1" si="48"/>
        <v/>
      </c>
      <c r="Z296" s="5" t="str">
        <f>IF(OR(E296="",N296&lt;=0),"",IF(N296&gt;E296*操作パネル_MS2!$H$4,"VOL-HIGH","VOL-NORMAL"))</f>
        <v/>
      </c>
      <c r="AA296" s="5" t="str">
        <f t="shared" si="49"/>
        <v/>
      </c>
      <c r="AB296" s="5" t="str">
        <f t="shared" si="50"/>
        <v/>
      </c>
      <c r="AC296" s="30" t="str">
        <f>IF(C296="","",_xll.RssMarket(C296&amp;"","売買代金"))</f>
        <v/>
      </c>
      <c r="AD296" s="31">
        <f>IFERROR(INDEX(ATRHIST_MS2!$H:$H,MATCH(C296,ATRHIST_MS2!$A:$A,0)),0)</f>
        <v>0</v>
      </c>
    </row>
    <row r="297" spans="1:30" ht="25.95" customHeight="1">
      <c r="A297" s="5" t="str">
        <f t="shared" si="42"/>
        <v/>
      </c>
      <c r="B297" s="6" t="str">
        <f>IF(StockList_MS2!A296="","",HYPERLINK("https://kabutan.jp/stock/?code="&amp;StockList_MS2!A296,"株探"))</f>
        <v/>
      </c>
      <c r="C297" s="5" t="str">
        <f>IF(StockList_MS2!A296="","",StockList_MS2!A296)</f>
        <v/>
      </c>
      <c r="D297" s="7" t="str">
        <f>IF(StockList_MS2!A296="","",StockList_MS2!B296)</f>
        <v/>
      </c>
      <c r="E297" s="8"/>
      <c r="F297" s="8"/>
      <c r="G297" s="8"/>
      <c r="H297" s="8"/>
      <c r="I297" s="19"/>
      <c r="J297" s="8"/>
      <c r="K297" s="8"/>
      <c r="L297" s="8"/>
      <c r="M297" s="5" t="str">
        <f t="shared" si="51"/>
        <v/>
      </c>
      <c r="N297" s="9" t="str">
        <f>IF(OR(E297="",F297="",G297=""),"",IF(AD297&gt;0,AD297,(F297-G297)/SQRT(操作パネル_MS2!$H$12)*操作パネル_MS2!$H$10))</f>
        <v/>
      </c>
      <c r="O297" s="5" t="str">
        <f>IF(OR(E297="",AC297=""),"",IF(AC297&gt;=操作パネル_MS2!$H$3,"VOL-OK","VOL-NG"))</f>
        <v/>
      </c>
      <c r="P297" s="5" t="str">
        <f t="shared" si="43"/>
        <v/>
      </c>
      <c r="Q297" s="5" t="str">
        <f t="shared" si="44"/>
        <v/>
      </c>
      <c r="R297" s="5" t="str">
        <f t="shared" si="45"/>
        <v/>
      </c>
      <c r="S297" s="9" t="str">
        <f t="shared" si="46"/>
        <v/>
      </c>
      <c r="T297" s="9" t="str">
        <f>IF(R297="","",IF(R297="BUY",E297-N297*操作パネル_MS2!$H$5,E297+N297*操作パネル_MS2!$H$5))</f>
        <v/>
      </c>
      <c r="U297" s="9" t="str">
        <f>IF(R297="","",IF(R297="BUY",E297+N297*操作パネル_MS2!$H$6,E297-N297*操作パネル_MS2!$H$6))</f>
        <v/>
      </c>
      <c r="V297" s="9" t="str">
        <f>IF(R297="","",IF(R297="BUY",E297+N297*操作パネル_MS2!$H$7,E297-N297*操作パネル_MS2!$H$7))</f>
        <v/>
      </c>
      <c r="W297" s="9" t="str">
        <f>IF(R297="","",IF(R297="BUY",E297+N297*操作パネル_MS2!$H$8,E297-N297*操作パネル_MS2!$H$8))</f>
        <v/>
      </c>
      <c r="X297" s="5" t="str">
        <f t="shared" si="47"/>
        <v/>
      </c>
      <c r="Y297" s="5" t="str">
        <f t="shared" ca="1" si="48"/>
        <v/>
      </c>
      <c r="Z297" s="5" t="str">
        <f>IF(OR(E297="",N297&lt;=0),"",IF(N297&gt;E297*操作パネル_MS2!$H$4,"VOL-HIGH","VOL-NORMAL"))</f>
        <v/>
      </c>
      <c r="AA297" s="5" t="str">
        <f t="shared" si="49"/>
        <v/>
      </c>
      <c r="AB297" s="5" t="str">
        <f t="shared" si="50"/>
        <v/>
      </c>
      <c r="AC297" s="30" t="str">
        <f>IF(C297="","",_xll.RssMarket(C297&amp;"","売買代金"))</f>
        <v/>
      </c>
      <c r="AD297" s="31">
        <f>IFERROR(INDEX(ATRHIST_MS2!$H:$H,MATCH(C297,ATRHIST_MS2!$A:$A,0)),0)</f>
        <v>0</v>
      </c>
    </row>
    <row r="298" spans="1:30" ht="25.95" customHeight="1">
      <c r="A298" s="10" t="str">
        <f t="shared" si="42"/>
        <v/>
      </c>
      <c r="B298" s="11" t="str">
        <f>IF(StockList_MS2!A297="","",HYPERLINK("https://kabutan.jp/stock/?code="&amp;StockList_MS2!A297,"株探"))</f>
        <v/>
      </c>
      <c r="C298" s="10" t="str">
        <f>IF(StockList_MS2!A297="","",StockList_MS2!A297)</f>
        <v/>
      </c>
      <c r="D298" s="12" t="str">
        <f>IF(StockList_MS2!A297="","",StockList_MS2!B297)</f>
        <v/>
      </c>
      <c r="E298" s="13"/>
      <c r="F298" s="13"/>
      <c r="G298" s="13"/>
      <c r="H298" s="13"/>
      <c r="I298" s="20"/>
      <c r="J298" s="13"/>
      <c r="K298" s="13"/>
      <c r="L298" s="13"/>
      <c r="M298" s="5" t="str">
        <f t="shared" si="51"/>
        <v/>
      </c>
      <c r="N298" s="9" t="str">
        <f>IF(OR(E298="",F298="",G298=""),"",IF(AD298&gt;0,AD298,(F298-G298)/SQRT(操作パネル_MS2!$H$12)*操作パネル_MS2!$H$10))</f>
        <v/>
      </c>
      <c r="O298" s="5" t="str">
        <f>IF(OR(E298="",AC298=""),"",IF(AC298&gt;=操作パネル_MS2!$H$3,"VOL-OK","VOL-NG"))</f>
        <v/>
      </c>
      <c r="P298" s="5" t="str">
        <f t="shared" si="43"/>
        <v/>
      </c>
      <c r="Q298" s="5" t="str">
        <f t="shared" si="44"/>
        <v/>
      </c>
      <c r="R298" s="5" t="str">
        <f t="shared" si="45"/>
        <v/>
      </c>
      <c r="S298" s="9" t="str">
        <f t="shared" si="46"/>
        <v/>
      </c>
      <c r="T298" s="9" t="str">
        <f>IF(R298="","",IF(R298="BUY",E298-N298*操作パネル_MS2!$H$5,E298+N298*操作パネル_MS2!$H$5))</f>
        <v/>
      </c>
      <c r="U298" s="9" t="str">
        <f>IF(R298="","",IF(R298="BUY",E298+N298*操作パネル_MS2!$H$6,E298-N298*操作パネル_MS2!$H$6))</f>
        <v/>
      </c>
      <c r="V298" s="9" t="str">
        <f>IF(R298="","",IF(R298="BUY",E298+N298*操作パネル_MS2!$H$7,E298-N298*操作パネル_MS2!$H$7))</f>
        <v/>
      </c>
      <c r="W298" s="9" t="str">
        <f>IF(R298="","",IF(R298="BUY",E298+N298*操作パネル_MS2!$H$8,E298-N298*操作パネル_MS2!$H$8))</f>
        <v/>
      </c>
      <c r="X298" s="5" t="str">
        <f t="shared" si="47"/>
        <v/>
      </c>
      <c r="Y298" s="5" t="str">
        <f t="shared" ca="1" si="48"/>
        <v/>
      </c>
      <c r="Z298" s="5" t="str">
        <f>IF(OR(E298="",N298&lt;=0),"",IF(N298&gt;E298*操作パネル_MS2!$H$4,"VOL-HIGH","VOL-NORMAL"))</f>
        <v/>
      </c>
      <c r="AA298" s="5" t="str">
        <f t="shared" si="49"/>
        <v/>
      </c>
      <c r="AB298" s="5" t="str">
        <f t="shared" si="50"/>
        <v/>
      </c>
      <c r="AC298" s="30" t="str">
        <f>IF(C298="","",_xll.RssMarket(C298&amp;"","売買代金"))</f>
        <v/>
      </c>
      <c r="AD298" s="31">
        <f>IFERROR(INDEX(ATRHIST_MS2!$H:$H,MATCH(C298,ATRHIST_MS2!$A:$A,0)),0)</f>
        <v>0</v>
      </c>
    </row>
    <row r="299" spans="1:30" ht="25.95" customHeight="1">
      <c r="A299" s="5" t="str">
        <f t="shared" si="42"/>
        <v/>
      </c>
      <c r="B299" s="6" t="str">
        <f>IF(StockList_MS2!A298="","",HYPERLINK("https://kabutan.jp/stock/?code="&amp;StockList_MS2!A298,"株探"))</f>
        <v/>
      </c>
      <c r="C299" s="5" t="str">
        <f>IF(StockList_MS2!A298="","",StockList_MS2!A298)</f>
        <v/>
      </c>
      <c r="D299" s="7" t="str">
        <f>IF(StockList_MS2!A298="","",StockList_MS2!B298)</f>
        <v/>
      </c>
      <c r="E299" s="8"/>
      <c r="F299" s="8"/>
      <c r="G299" s="8"/>
      <c r="H299" s="8"/>
      <c r="I299" s="19"/>
      <c r="J299" s="8"/>
      <c r="K299" s="8"/>
      <c r="L299" s="8"/>
      <c r="M299" s="5" t="str">
        <f t="shared" si="51"/>
        <v/>
      </c>
      <c r="N299" s="9" t="str">
        <f>IF(OR(E299="",F299="",G299=""),"",IF(AD299&gt;0,AD299,(F299-G299)/SQRT(操作パネル_MS2!$H$12)*操作パネル_MS2!$H$10))</f>
        <v/>
      </c>
      <c r="O299" s="5" t="str">
        <f>IF(OR(E299="",AC299=""),"",IF(AC299&gt;=操作パネル_MS2!$H$3,"VOL-OK","VOL-NG"))</f>
        <v/>
      </c>
      <c r="P299" s="5" t="str">
        <f t="shared" si="43"/>
        <v/>
      </c>
      <c r="Q299" s="5" t="str">
        <f t="shared" si="44"/>
        <v/>
      </c>
      <c r="R299" s="5" t="str">
        <f t="shared" si="45"/>
        <v/>
      </c>
      <c r="S299" s="9" t="str">
        <f t="shared" si="46"/>
        <v/>
      </c>
      <c r="T299" s="9" t="str">
        <f>IF(R299="","",IF(R299="BUY",E299-N299*操作パネル_MS2!$H$5,E299+N299*操作パネル_MS2!$H$5))</f>
        <v/>
      </c>
      <c r="U299" s="9" t="str">
        <f>IF(R299="","",IF(R299="BUY",E299+N299*操作パネル_MS2!$H$6,E299-N299*操作パネル_MS2!$H$6))</f>
        <v/>
      </c>
      <c r="V299" s="9" t="str">
        <f>IF(R299="","",IF(R299="BUY",E299+N299*操作パネル_MS2!$H$7,E299-N299*操作パネル_MS2!$H$7))</f>
        <v/>
      </c>
      <c r="W299" s="9" t="str">
        <f>IF(R299="","",IF(R299="BUY",E299+N299*操作パネル_MS2!$H$8,E299-N299*操作パネル_MS2!$H$8))</f>
        <v/>
      </c>
      <c r="X299" s="5" t="str">
        <f t="shared" si="47"/>
        <v/>
      </c>
      <c r="Y299" s="5" t="str">
        <f t="shared" ca="1" si="48"/>
        <v/>
      </c>
      <c r="Z299" s="5" t="str">
        <f>IF(OR(E299="",N299&lt;=0),"",IF(N299&gt;E299*操作パネル_MS2!$H$4,"VOL-HIGH","VOL-NORMAL"))</f>
        <v/>
      </c>
      <c r="AA299" s="5" t="str">
        <f t="shared" si="49"/>
        <v/>
      </c>
      <c r="AB299" s="5" t="str">
        <f t="shared" si="50"/>
        <v/>
      </c>
      <c r="AC299" s="30" t="str">
        <f>IF(C299="","",_xll.RssMarket(C299&amp;"","売買代金"))</f>
        <v/>
      </c>
      <c r="AD299" s="31">
        <f>IFERROR(INDEX(ATRHIST_MS2!$H:$H,MATCH(C299,ATRHIST_MS2!$A:$A,0)),0)</f>
        <v>0</v>
      </c>
    </row>
    <row r="300" spans="1:30" ht="25.95" customHeight="1">
      <c r="A300" s="10" t="str">
        <f t="shared" si="42"/>
        <v/>
      </c>
      <c r="B300" s="11" t="str">
        <f>IF(StockList_MS2!A299="","",HYPERLINK("https://kabutan.jp/stock/?code="&amp;StockList_MS2!A299,"株探"))</f>
        <v/>
      </c>
      <c r="C300" s="10" t="str">
        <f>IF(StockList_MS2!A299="","",StockList_MS2!A299)</f>
        <v/>
      </c>
      <c r="D300" s="12" t="str">
        <f>IF(StockList_MS2!A299="","",StockList_MS2!B299)</f>
        <v/>
      </c>
      <c r="E300" s="13"/>
      <c r="F300" s="13"/>
      <c r="G300" s="13"/>
      <c r="H300" s="13"/>
      <c r="I300" s="20"/>
      <c r="J300" s="13"/>
      <c r="K300" s="13"/>
      <c r="L300" s="13"/>
      <c r="M300" s="5" t="str">
        <f t="shared" si="51"/>
        <v/>
      </c>
      <c r="N300" s="9" t="str">
        <f>IF(OR(E300="",F300="",G300=""),"",IF(AD300&gt;0,AD300,(F300-G300)/SQRT(操作パネル_MS2!$H$12)*操作パネル_MS2!$H$10))</f>
        <v/>
      </c>
      <c r="O300" s="5" t="str">
        <f>IF(OR(E300="",AC300=""),"",IF(AC300&gt;=操作パネル_MS2!$H$3,"VOL-OK","VOL-NG"))</f>
        <v/>
      </c>
      <c r="P300" s="5" t="str">
        <f t="shared" si="43"/>
        <v/>
      </c>
      <c r="Q300" s="5" t="str">
        <f t="shared" si="44"/>
        <v/>
      </c>
      <c r="R300" s="5" t="str">
        <f t="shared" si="45"/>
        <v/>
      </c>
      <c r="S300" s="9" t="str">
        <f t="shared" si="46"/>
        <v/>
      </c>
      <c r="T300" s="9" t="str">
        <f>IF(R300="","",IF(R300="BUY",E300-N300*操作パネル_MS2!$H$5,E300+N300*操作パネル_MS2!$H$5))</f>
        <v/>
      </c>
      <c r="U300" s="9" t="str">
        <f>IF(R300="","",IF(R300="BUY",E300+N300*操作パネル_MS2!$H$6,E300-N300*操作パネル_MS2!$H$6))</f>
        <v/>
      </c>
      <c r="V300" s="9" t="str">
        <f>IF(R300="","",IF(R300="BUY",E300+N300*操作パネル_MS2!$H$7,E300-N300*操作パネル_MS2!$H$7))</f>
        <v/>
      </c>
      <c r="W300" s="9" t="str">
        <f>IF(R300="","",IF(R300="BUY",E300+N300*操作パネル_MS2!$H$8,E300-N300*操作パネル_MS2!$H$8))</f>
        <v/>
      </c>
      <c r="X300" s="5" t="str">
        <f t="shared" si="47"/>
        <v/>
      </c>
      <c r="Y300" s="5" t="str">
        <f t="shared" ca="1" si="48"/>
        <v/>
      </c>
      <c r="Z300" s="5" t="str">
        <f>IF(OR(E300="",N300&lt;=0),"",IF(N300&gt;E300*操作パネル_MS2!$H$4,"VOL-HIGH","VOL-NORMAL"))</f>
        <v/>
      </c>
      <c r="AA300" s="5" t="str">
        <f t="shared" si="49"/>
        <v/>
      </c>
      <c r="AB300" s="5" t="str">
        <f t="shared" si="50"/>
        <v/>
      </c>
      <c r="AC300" s="30" t="str">
        <f>IF(C300="","",_xll.RssMarket(C300&amp;"","売買代金"))</f>
        <v/>
      </c>
      <c r="AD300" s="31">
        <f>IFERROR(INDEX(ATRHIST_MS2!$H:$H,MATCH(C300,ATRHIST_MS2!$A:$A,0)),0)</f>
        <v>0</v>
      </c>
    </row>
    <row r="301" spans="1:30" ht="25.95" customHeight="1">
      <c r="A301" s="5" t="str">
        <f t="shared" si="42"/>
        <v/>
      </c>
      <c r="B301" s="6" t="str">
        <f>IF(StockList_MS2!A300="","",HYPERLINK("https://kabutan.jp/stock/?code="&amp;StockList_MS2!A300,"株探"))</f>
        <v/>
      </c>
      <c r="C301" s="5" t="str">
        <f>IF(StockList_MS2!A300="","",StockList_MS2!A300)</f>
        <v/>
      </c>
      <c r="D301" s="7" t="str">
        <f>IF(StockList_MS2!A300="","",StockList_MS2!B300)</f>
        <v/>
      </c>
      <c r="E301" s="8"/>
      <c r="F301" s="8"/>
      <c r="G301" s="8"/>
      <c r="H301" s="8"/>
      <c r="I301" s="19"/>
      <c r="J301" s="8"/>
      <c r="K301" s="8"/>
      <c r="L301" s="8"/>
      <c r="M301" s="5" t="str">
        <f t="shared" si="51"/>
        <v/>
      </c>
      <c r="N301" s="9" t="str">
        <f>IF(OR(E301="",F301="",G301=""),"",IF(AD301&gt;0,AD301,(F301-G301)/SQRT(操作パネル_MS2!$H$12)*操作パネル_MS2!$H$10))</f>
        <v/>
      </c>
      <c r="O301" s="5" t="str">
        <f>IF(OR(E301="",AC301=""),"",IF(AC301&gt;=操作パネル_MS2!$H$3,"VOL-OK","VOL-NG"))</f>
        <v/>
      </c>
      <c r="P301" s="5" t="str">
        <f t="shared" si="43"/>
        <v/>
      </c>
      <c r="Q301" s="5" t="str">
        <f t="shared" si="44"/>
        <v/>
      </c>
      <c r="R301" s="5" t="str">
        <f t="shared" si="45"/>
        <v/>
      </c>
      <c r="S301" s="9" t="str">
        <f t="shared" si="46"/>
        <v/>
      </c>
      <c r="T301" s="9" t="str">
        <f>IF(R301="","",IF(R301="BUY",E301-N301*操作パネル_MS2!$H$5,E301+N301*操作パネル_MS2!$H$5))</f>
        <v/>
      </c>
      <c r="U301" s="9" t="str">
        <f>IF(R301="","",IF(R301="BUY",E301+N301*操作パネル_MS2!$H$6,E301-N301*操作パネル_MS2!$H$6))</f>
        <v/>
      </c>
      <c r="V301" s="9" t="str">
        <f>IF(R301="","",IF(R301="BUY",E301+N301*操作パネル_MS2!$H$7,E301-N301*操作パネル_MS2!$H$7))</f>
        <v/>
      </c>
      <c r="W301" s="9" t="str">
        <f>IF(R301="","",IF(R301="BUY",E301+N301*操作パネル_MS2!$H$8,E301-N301*操作パネル_MS2!$H$8))</f>
        <v/>
      </c>
      <c r="X301" s="5" t="str">
        <f t="shared" si="47"/>
        <v/>
      </c>
      <c r="Y301" s="5" t="str">
        <f t="shared" ca="1" si="48"/>
        <v/>
      </c>
      <c r="Z301" s="5" t="str">
        <f>IF(OR(E301="",N301&lt;=0),"",IF(N301&gt;E301*操作パネル_MS2!$H$4,"VOL-HIGH","VOL-NORMAL"))</f>
        <v/>
      </c>
      <c r="AA301" s="5" t="str">
        <f t="shared" si="49"/>
        <v/>
      </c>
      <c r="AB301" s="5" t="str">
        <f t="shared" si="50"/>
        <v/>
      </c>
      <c r="AC301" s="30" t="str">
        <f>IF(C301="","",_xll.RssMarket(C301&amp;"","売買代金"))</f>
        <v/>
      </c>
      <c r="AD301" s="31">
        <f>IFERROR(INDEX(ATRHIST_MS2!$H:$H,MATCH(C301,ATRHIST_MS2!$A:$A,0)),0)</f>
        <v>0</v>
      </c>
    </row>
    <row r="302" spans="1:30" ht="25.95" customHeight="1">
      <c r="A302" s="10" t="str">
        <f t="shared" si="42"/>
        <v/>
      </c>
      <c r="B302" s="11" t="str">
        <f>IF(StockList_MS2!A301="","",HYPERLINK("https://kabutan.jp/stock/?code="&amp;StockList_MS2!A301,"株探"))</f>
        <v/>
      </c>
      <c r="C302" s="10" t="str">
        <f>IF(StockList_MS2!A301="","",StockList_MS2!A301)</f>
        <v/>
      </c>
      <c r="D302" s="12" t="str">
        <f>IF(StockList_MS2!A301="","",StockList_MS2!B301)</f>
        <v/>
      </c>
      <c r="E302" s="13"/>
      <c r="F302" s="13"/>
      <c r="G302" s="13"/>
      <c r="H302" s="13"/>
      <c r="I302" s="20"/>
      <c r="J302" s="13"/>
      <c r="K302" s="13"/>
      <c r="L302" s="13"/>
      <c r="M302" s="5" t="str">
        <f t="shared" si="51"/>
        <v/>
      </c>
      <c r="N302" s="9" t="str">
        <f>IF(OR(E302="",F302="",G302=""),"",IF(AD302&gt;0,AD302,(F302-G302)/SQRT(操作パネル_MS2!$H$12)*操作パネル_MS2!$H$10))</f>
        <v/>
      </c>
      <c r="O302" s="5" t="str">
        <f>IF(OR(E302="",AC302=""),"",IF(AC302&gt;=操作パネル_MS2!$H$3,"VOL-OK","VOL-NG"))</f>
        <v/>
      </c>
      <c r="P302" s="5" t="str">
        <f t="shared" si="43"/>
        <v/>
      </c>
      <c r="Q302" s="5" t="str">
        <f t="shared" si="44"/>
        <v/>
      </c>
      <c r="R302" s="5" t="str">
        <f t="shared" si="45"/>
        <v/>
      </c>
      <c r="S302" s="9" t="str">
        <f t="shared" si="46"/>
        <v/>
      </c>
      <c r="T302" s="9" t="str">
        <f>IF(R302="","",IF(R302="BUY",E302-N302*操作パネル_MS2!$H$5,E302+N302*操作パネル_MS2!$H$5))</f>
        <v/>
      </c>
      <c r="U302" s="9" t="str">
        <f>IF(R302="","",IF(R302="BUY",E302+N302*操作パネル_MS2!$H$6,E302-N302*操作パネル_MS2!$H$6))</f>
        <v/>
      </c>
      <c r="V302" s="9" t="str">
        <f>IF(R302="","",IF(R302="BUY",E302+N302*操作パネル_MS2!$H$7,E302-N302*操作パネル_MS2!$H$7))</f>
        <v/>
      </c>
      <c r="W302" s="9" t="str">
        <f>IF(R302="","",IF(R302="BUY",E302+N302*操作パネル_MS2!$H$8,E302-N302*操作パネル_MS2!$H$8))</f>
        <v/>
      </c>
      <c r="X302" s="5" t="str">
        <f t="shared" si="47"/>
        <v/>
      </c>
      <c r="Y302" s="5" t="str">
        <f t="shared" ca="1" si="48"/>
        <v/>
      </c>
      <c r="Z302" s="5" t="str">
        <f>IF(OR(E302="",N302&lt;=0),"",IF(N302&gt;E302*操作パネル_MS2!$H$4,"VOL-HIGH","VOL-NORMAL"))</f>
        <v/>
      </c>
      <c r="AA302" s="5" t="str">
        <f t="shared" si="49"/>
        <v/>
      </c>
      <c r="AB302" s="5" t="str">
        <f t="shared" si="50"/>
        <v/>
      </c>
      <c r="AC302" s="30" t="str">
        <f>IF(C302="","",_xll.RssMarket(C302&amp;"","売買代金"))</f>
        <v/>
      </c>
      <c r="AD302" s="31">
        <f>IFERROR(INDEX(ATRHIST_MS2!$H:$H,MATCH(C302,ATRHIST_MS2!$A:$A,0)),0)</f>
        <v>0</v>
      </c>
    </row>
    <row r="303" spans="1:30" ht="25.95" customHeight="1">
      <c r="A303" s="5" t="str">
        <f t="shared" si="42"/>
        <v/>
      </c>
      <c r="B303" s="6" t="str">
        <f>IF(StockList_MS2!A302="","",HYPERLINK("https://kabutan.jp/stock/?code="&amp;StockList_MS2!A302,"株探"))</f>
        <v/>
      </c>
      <c r="C303" s="5" t="str">
        <f>IF(StockList_MS2!A302="","",StockList_MS2!A302)</f>
        <v/>
      </c>
      <c r="D303" s="7" t="str">
        <f>IF(StockList_MS2!A302="","",StockList_MS2!B302)</f>
        <v/>
      </c>
      <c r="E303" s="8"/>
      <c r="F303" s="8"/>
      <c r="G303" s="8"/>
      <c r="H303" s="8"/>
      <c r="I303" s="19"/>
      <c r="J303" s="8"/>
      <c r="K303" s="8"/>
      <c r="L303" s="8"/>
      <c r="M303" s="5" t="str">
        <f t="shared" si="51"/>
        <v/>
      </c>
      <c r="N303" s="9" t="str">
        <f>IF(OR(E303="",F303="",G303=""),"",IF(AD303&gt;0,AD303,(F303-G303)/SQRT(操作パネル_MS2!$H$12)*操作パネル_MS2!$H$10))</f>
        <v/>
      </c>
      <c r="O303" s="5" t="str">
        <f>IF(OR(E303="",AC303=""),"",IF(AC303&gt;=操作パネル_MS2!$H$3,"VOL-OK","VOL-NG"))</f>
        <v/>
      </c>
      <c r="P303" s="5" t="str">
        <f t="shared" si="43"/>
        <v/>
      </c>
      <c r="Q303" s="5" t="str">
        <f t="shared" si="44"/>
        <v/>
      </c>
      <c r="R303" s="5" t="str">
        <f t="shared" si="45"/>
        <v/>
      </c>
      <c r="S303" s="9" t="str">
        <f t="shared" si="46"/>
        <v/>
      </c>
      <c r="T303" s="9" t="str">
        <f>IF(R303="","",IF(R303="BUY",E303-N303*操作パネル_MS2!$H$5,E303+N303*操作パネル_MS2!$H$5))</f>
        <v/>
      </c>
      <c r="U303" s="9" t="str">
        <f>IF(R303="","",IF(R303="BUY",E303+N303*操作パネル_MS2!$H$6,E303-N303*操作パネル_MS2!$H$6))</f>
        <v/>
      </c>
      <c r="V303" s="9" t="str">
        <f>IF(R303="","",IF(R303="BUY",E303+N303*操作パネル_MS2!$H$7,E303-N303*操作パネル_MS2!$H$7))</f>
        <v/>
      </c>
      <c r="W303" s="9" t="str">
        <f>IF(R303="","",IF(R303="BUY",E303+N303*操作パネル_MS2!$H$8,E303-N303*操作パネル_MS2!$H$8))</f>
        <v/>
      </c>
      <c r="X303" s="5" t="str">
        <f t="shared" si="47"/>
        <v/>
      </c>
      <c r="Y303" s="5" t="str">
        <f t="shared" ca="1" si="48"/>
        <v/>
      </c>
      <c r="Z303" s="5" t="str">
        <f>IF(OR(E303="",N303&lt;=0),"",IF(N303&gt;E303*操作パネル_MS2!$H$4,"VOL-HIGH","VOL-NORMAL"))</f>
        <v/>
      </c>
      <c r="AA303" s="5" t="str">
        <f t="shared" si="49"/>
        <v/>
      </c>
      <c r="AB303" s="5" t="str">
        <f t="shared" si="50"/>
        <v/>
      </c>
      <c r="AC303" s="30" t="str">
        <f>IF(C303="","",_xll.RssMarket(C303&amp;"","売買代金"))</f>
        <v/>
      </c>
      <c r="AD303" s="31">
        <f>IFERROR(INDEX(ATRHIST_MS2!$H:$H,MATCH(C303,ATRHIST_MS2!$A:$A,0)),0)</f>
        <v>0</v>
      </c>
    </row>
    <row r="304" spans="1:30" ht="25.95" customHeight="1">
      <c r="A304" s="10" t="str">
        <f t="shared" si="42"/>
        <v/>
      </c>
      <c r="B304" s="11" t="str">
        <f>IF(StockList_MS2!A303="","",HYPERLINK("https://kabutan.jp/stock/?code="&amp;StockList_MS2!A303,"株探"))</f>
        <v/>
      </c>
      <c r="C304" s="10" t="str">
        <f>IF(StockList_MS2!A303="","",StockList_MS2!A303)</f>
        <v/>
      </c>
      <c r="D304" s="12" t="str">
        <f>IF(StockList_MS2!A303="","",StockList_MS2!B303)</f>
        <v/>
      </c>
      <c r="E304" s="13"/>
      <c r="F304" s="13"/>
      <c r="G304" s="13"/>
      <c r="H304" s="13"/>
      <c r="I304" s="20"/>
      <c r="J304" s="13"/>
      <c r="K304" s="13"/>
      <c r="L304" s="13"/>
      <c r="M304" s="5" t="str">
        <f t="shared" si="51"/>
        <v/>
      </c>
      <c r="N304" s="9" t="str">
        <f>IF(OR(E304="",F304="",G304=""),"",IF(AD304&gt;0,AD304,(F304-G304)/SQRT(操作パネル_MS2!$H$12)*操作パネル_MS2!$H$10))</f>
        <v/>
      </c>
      <c r="O304" s="5" t="str">
        <f>IF(OR(E304="",AC304=""),"",IF(AC304&gt;=操作パネル_MS2!$H$3,"VOL-OK","VOL-NG"))</f>
        <v/>
      </c>
      <c r="P304" s="5" t="str">
        <f t="shared" si="43"/>
        <v/>
      </c>
      <c r="Q304" s="5" t="str">
        <f t="shared" si="44"/>
        <v/>
      </c>
      <c r="R304" s="5" t="str">
        <f t="shared" si="45"/>
        <v/>
      </c>
      <c r="S304" s="9" t="str">
        <f t="shared" si="46"/>
        <v/>
      </c>
      <c r="T304" s="9" t="str">
        <f>IF(R304="","",IF(R304="BUY",E304-N304*操作パネル_MS2!$H$5,E304+N304*操作パネル_MS2!$H$5))</f>
        <v/>
      </c>
      <c r="U304" s="9" t="str">
        <f>IF(R304="","",IF(R304="BUY",E304+N304*操作パネル_MS2!$H$6,E304-N304*操作パネル_MS2!$H$6))</f>
        <v/>
      </c>
      <c r="V304" s="9" t="str">
        <f>IF(R304="","",IF(R304="BUY",E304+N304*操作パネル_MS2!$H$7,E304-N304*操作パネル_MS2!$H$7))</f>
        <v/>
      </c>
      <c r="W304" s="9" t="str">
        <f>IF(R304="","",IF(R304="BUY",E304+N304*操作パネル_MS2!$H$8,E304-N304*操作パネル_MS2!$H$8))</f>
        <v/>
      </c>
      <c r="X304" s="5" t="str">
        <f t="shared" si="47"/>
        <v/>
      </c>
      <c r="Y304" s="5" t="str">
        <f t="shared" ca="1" si="48"/>
        <v/>
      </c>
      <c r="Z304" s="5" t="str">
        <f>IF(OR(E304="",N304&lt;=0),"",IF(N304&gt;E304*操作パネル_MS2!$H$4,"VOL-HIGH","VOL-NORMAL"))</f>
        <v/>
      </c>
      <c r="AA304" s="5" t="str">
        <f t="shared" si="49"/>
        <v/>
      </c>
      <c r="AB304" s="5" t="str">
        <f t="shared" si="50"/>
        <v/>
      </c>
      <c r="AC304" s="30" t="str">
        <f>IF(C304="","",_xll.RssMarket(C304&amp;"","売買代金"))</f>
        <v/>
      </c>
      <c r="AD304" s="31">
        <f>IFERROR(INDEX(ATRHIST_MS2!$H:$H,MATCH(C304,ATRHIST_MS2!$A:$A,0)),0)</f>
        <v>0</v>
      </c>
    </row>
    <row r="305" spans="1:30" ht="25.95" customHeight="1">
      <c r="A305" s="5" t="str">
        <f t="shared" si="42"/>
        <v/>
      </c>
      <c r="B305" s="6" t="str">
        <f>IF(StockList_MS2!A304="","",HYPERLINK("https://kabutan.jp/stock/?code="&amp;StockList_MS2!A304,"株探"))</f>
        <v/>
      </c>
      <c r="C305" s="5" t="str">
        <f>IF(StockList_MS2!A304="","",StockList_MS2!A304)</f>
        <v/>
      </c>
      <c r="D305" s="7" t="str">
        <f>IF(StockList_MS2!A304="","",StockList_MS2!B304)</f>
        <v/>
      </c>
      <c r="E305" s="8"/>
      <c r="F305" s="8"/>
      <c r="G305" s="8"/>
      <c r="H305" s="8"/>
      <c r="I305" s="19"/>
      <c r="J305" s="8"/>
      <c r="K305" s="8"/>
      <c r="L305" s="8"/>
      <c r="M305" s="5" t="str">
        <f t="shared" si="51"/>
        <v/>
      </c>
      <c r="N305" s="9" t="str">
        <f>IF(OR(E305="",F305="",G305=""),"",IF(AD305&gt;0,AD305,(F305-G305)/SQRT(操作パネル_MS2!$H$12)*操作パネル_MS2!$H$10))</f>
        <v/>
      </c>
      <c r="O305" s="5" t="str">
        <f>IF(OR(E305="",AC305=""),"",IF(AC305&gt;=操作パネル_MS2!$H$3,"VOL-OK","VOL-NG"))</f>
        <v/>
      </c>
      <c r="P305" s="5" t="str">
        <f t="shared" si="43"/>
        <v/>
      </c>
      <c r="Q305" s="5" t="str">
        <f t="shared" si="44"/>
        <v/>
      </c>
      <c r="R305" s="5" t="str">
        <f t="shared" si="45"/>
        <v/>
      </c>
      <c r="S305" s="9" t="str">
        <f t="shared" si="46"/>
        <v/>
      </c>
      <c r="T305" s="9" t="str">
        <f>IF(R305="","",IF(R305="BUY",E305-N305*操作パネル_MS2!$H$5,E305+N305*操作パネル_MS2!$H$5))</f>
        <v/>
      </c>
      <c r="U305" s="9" t="str">
        <f>IF(R305="","",IF(R305="BUY",E305+N305*操作パネル_MS2!$H$6,E305-N305*操作パネル_MS2!$H$6))</f>
        <v/>
      </c>
      <c r="V305" s="9" t="str">
        <f>IF(R305="","",IF(R305="BUY",E305+N305*操作パネル_MS2!$H$7,E305-N305*操作パネル_MS2!$H$7))</f>
        <v/>
      </c>
      <c r="W305" s="9" t="str">
        <f>IF(R305="","",IF(R305="BUY",E305+N305*操作パネル_MS2!$H$8,E305-N305*操作パネル_MS2!$H$8))</f>
        <v/>
      </c>
      <c r="X305" s="5" t="str">
        <f t="shared" si="47"/>
        <v/>
      </c>
      <c r="Y305" s="5" t="str">
        <f t="shared" ca="1" si="48"/>
        <v/>
      </c>
      <c r="Z305" s="5" t="str">
        <f>IF(OR(E305="",N305&lt;=0),"",IF(N305&gt;E305*操作パネル_MS2!$H$4,"VOL-HIGH","VOL-NORMAL"))</f>
        <v/>
      </c>
      <c r="AA305" s="5" t="str">
        <f t="shared" si="49"/>
        <v/>
      </c>
      <c r="AB305" s="5" t="str">
        <f t="shared" si="50"/>
        <v/>
      </c>
      <c r="AC305" s="30" t="str">
        <f>IF(C305="","",_xll.RssMarket(C305&amp;"","売買代金"))</f>
        <v/>
      </c>
      <c r="AD305" s="31">
        <f>IFERROR(INDEX(ATRHIST_MS2!$H:$H,MATCH(C305,ATRHIST_MS2!$A:$A,0)),0)</f>
        <v>0</v>
      </c>
    </row>
    <row r="306" spans="1:30" ht="25.95" customHeight="1">
      <c r="A306" s="10" t="str">
        <f t="shared" si="42"/>
        <v/>
      </c>
      <c r="B306" s="11" t="str">
        <f>IF(StockList_MS2!A305="","",HYPERLINK("https://kabutan.jp/stock/?code="&amp;StockList_MS2!A305,"株探"))</f>
        <v/>
      </c>
      <c r="C306" s="10" t="str">
        <f>IF(StockList_MS2!A305="","",StockList_MS2!A305)</f>
        <v/>
      </c>
      <c r="D306" s="12" t="str">
        <f>IF(StockList_MS2!A305="","",StockList_MS2!B305)</f>
        <v/>
      </c>
      <c r="E306" s="13"/>
      <c r="F306" s="13"/>
      <c r="G306" s="13"/>
      <c r="H306" s="13"/>
      <c r="I306" s="20"/>
      <c r="J306" s="13"/>
      <c r="K306" s="13"/>
      <c r="L306" s="13"/>
      <c r="M306" s="5" t="str">
        <f t="shared" si="51"/>
        <v/>
      </c>
      <c r="N306" s="9" t="str">
        <f>IF(OR(E306="",F306="",G306=""),"",IF(AD306&gt;0,AD306,(F306-G306)/SQRT(操作パネル_MS2!$H$12)*操作パネル_MS2!$H$10))</f>
        <v/>
      </c>
      <c r="O306" s="5" t="str">
        <f>IF(OR(E306="",AC306=""),"",IF(AC306&gt;=操作パネル_MS2!$H$3,"VOL-OK","VOL-NG"))</f>
        <v/>
      </c>
      <c r="P306" s="5" t="str">
        <f t="shared" si="43"/>
        <v/>
      </c>
      <c r="Q306" s="5" t="str">
        <f t="shared" si="44"/>
        <v/>
      </c>
      <c r="R306" s="5" t="str">
        <f t="shared" si="45"/>
        <v/>
      </c>
      <c r="S306" s="9" t="str">
        <f t="shared" si="46"/>
        <v/>
      </c>
      <c r="T306" s="9" t="str">
        <f>IF(R306="","",IF(R306="BUY",E306-N306*操作パネル_MS2!$H$5,E306+N306*操作パネル_MS2!$H$5))</f>
        <v/>
      </c>
      <c r="U306" s="9" t="str">
        <f>IF(R306="","",IF(R306="BUY",E306+N306*操作パネル_MS2!$H$6,E306-N306*操作パネル_MS2!$H$6))</f>
        <v/>
      </c>
      <c r="V306" s="9" t="str">
        <f>IF(R306="","",IF(R306="BUY",E306+N306*操作パネル_MS2!$H$7,E306-N306*操作パネル_MS2!$H$7))</f>
        <v/>
      </c>
      <c r="W306" s="9" t="str">
        <f>IF(R306="","",IF(R306="BUY",E306+N306*操作パネル_MS2!$H$8,E306-N306*操作パネル_MS2!$H$8))</f>
        <v/>
      </c>
      <c r="X306" s="5" t="str">
        <f t="shared" si="47"/>
        <v/>
      </c>
      <c r="Y306" s="5" t="str">
        <f t="shared" ca="1" si="48"/>
        <v/>
      </c>
      <c r="Z306" s="5" t="str">
        <f>IF(OR(E306="",N306&lt;=0),"",IF(N306&gt;E306*操作パネル_MS2!$H$4,"VOL-HIGH","VOL-NORMAL"))</f>
        <v/>
      </c>
      <c r="AA306" s="5" t="str">
        <f t="shared" si="49"/>
        <v/>
      </c>
      <c r="AB306" s="5" t="str">
        <f t="shared" si="50"/>
        <v/>
      </c>
      <c r="AC306" s="30" t="str">
        <f>IF(C306="","",_xll.RssMarket(C306&amp;"","売買代金"))</f>
        <v/>
      </c>
      <c r="AD306" s="31">
        <f>IFERROR(INDEX(ATRHIST_MS2!$H:$H,MATCH(C306,ATRHIST_MS2!$A:$A,0)),0)</f>
        <v>0</v>
      </c>
    </row>
    <row r="307" spans="1:30" ht="25.95" customHeight="1">
      <c r="A307" s="5" t="str">
        <f t="shared" si="42"/>
        <v/>
      </c>
      <c r="B307" s="6" t="str">
        <f>IF(StockList_MS2!A306="","",HYPERLINK("https://kabutan.jp/stock/?code="&amp;StockList_MS2!A306,"株探"))</f>
        <v/>
      </c>
      <c r="C307" s="5" t="str">
        <f>IF(StockList_MS2!A306="","",StockList_MS2!A306)</f>
        <v/>
      </c>
      <c r="D307" s="7" t="str">
        <f>IF(StockList_MS2!A306="","",StockList_MS2!B306)</f>
        <v/>
      </c>
      <c r="E307" s="8"/>
      <c r="F307" s="8"/>
      <c r="G307" s="8"/>
      <c r="H307" s="8"/>
      <c r="I307" s="19"/>
      <c r="J307" s="8"/>
      <c r="K307" s="8"/>
      <c r="L307" s="8"/>
      <c r="M307" s="5" t="str">
        <f t="shared" si="51"/>
        <v/>
      </c>
      <c r="N307" s="9" t="str">
        <f>IF(OR(E307="",F307="",G307=""),"",IF(AD307&gt;0,AD307,(F307-G307)/SQRT(操作パネル_MS2!$H$12)*操作パネル_MS2!$H$10))</f>
        <v/>
      </c>
      <c r="O307" s="5" t="str">
        <f>IF(OR(E307="",AC307=""),"",IF(AC307&gt;=操作パネル_MS2!$H$3,"VOL-OK","VOL-NG"))</f>
        <v/>
      </c>
      <c r="P307" s="5" t="str">
        <f t="shared" si="43"/>
        <v/>
      </c>
      <c r="Q307" s="5" t="str">
        <f t="shared" si="44"/>
        <v/>
      </c>
      <c r="R307" s="5" t="str">
        <f t="shared" si="45"/>
        <v/>
      </c>
      <c r="S307" s="9" t="str">
        <f t="shared" si="46"/>
        <v/>
      </c>
      <c r="T307" s="9" t="str">
        <f>IF(R307="","",IF(R307="BUY",E307-N307*操作パネル_MS2!$H$5,E307+N307*操作パネル_MS2!$H$5))</f>
        <v/>
      </c>
      <c r="U307" s="9" t="str">
        <f>IF(R307="","",IF(R307="BUY",E307+N307*操作パネル_MS2!$H$6,E307-N307*操作パネル_MS2!$H$6))</f>
        <v/>
      </c>
      <c r="V307" s="9" t="str">
        <f>IF(R307="","",IF(R307="BUY",E307+N307*操作パネル_MS2!$H$7,E307-N307*操作パネル_MS2!$H$7))</f>
        <v/>
      </c>
      <c r="W307" s="9" t="str">
        <f>IF(R307="","",IF(R307="BUY",E307+N307*操作パネル_MS2!$H$8,E307-N307*操作パネル_MS2!$H$8))</f>
        <v/>
      </c>
      <c r="X307" s="5" t="str">
        <f t="shared" si="47"/>
        <v/>
      </c>
      <c r="Y307" s="5" t="str">
        <f t="shared" ca="1" si="48"/>
        <v/>
      </c>
      <c r="Z307" s="5" t="str">
        <f>IF(OR(E307="",N307&lt;=0),"",IF(N307&gt;E307*操作パネル_MS2!$H$4,"VOL-HIGH","VOL-NORMAL"))</f>
        <v/>
      </c>
      <c r="AA307" s="5" t="str">
        <f t="shared" si="49"/>
        <v/>
      </c>
      <c r="AB307" s="5" t="str">
        <f t="shared" si="50"/>
        <v/>
      </c>
      <c r="AC307" s="30" t="str">
        <f>IF(C307="","",_xll.RssMarket(C307&amp;"","売買代金"))</f>
        <v/>
      </c>
      <c r="AD307" s="31">
        <f>IFERROR(INDEX(ATRHIST_MS2!$H:$H,MATCH(C307,ATRHIST_MS2!$A:$A,0)),0)</f>
        <v>0</v>
      </c>
    </row>
    <row r="308" spans="1:30" ht="25.95" customHeight="1">
      <c r="A308" s="10" t="str">
        <f t="shared" si="42"/>
        <v/>
      </c>
      <c r="B308" s="11" t="str">
        <f>IF(StockList_MS2!A307="","",HYPERLINK("https://kabutan.jp/stock/?code="&amp;StockList_MS2!A307,"株探"))</f>
        <v/>
      </c>
      <c r="C308" s="10" t="str">
        <f>IF(StockList_MS2!A307="","",StockList_MS2!A307)</f>
        <v/>
      </c>
      <c r="D308" s="12" t="str">
        <f>IF(StockList_MS2!A307="","",StockList_MS2!B307)</f>
        <v/>
      </c>
      <c r="E308" s="13"/>
      <c r="F308" s="13"/>
      <c r="G308" s="13"/>
      <c r="H308" s="13"/>
      <c r="I308" s="20"/>
      <c r="J308" s="13"/>
      <c r="K308" s="13"/>
      <c r="L308" s="13"/>
      <c r="M308" s="5" t="str">
        <f t="shared" si="51"/>
        <v/>
      </c>
      <c r="N308" s="9" t="str">
        <f>IF(OR(E308="",F308="",G308=""),"",IF(AD308&gt;0,AD308,(F308-G308)/SQRT(操作パネル_MS2!$H$12)*操作パネル_MS2!$H$10))</f>
        <v/>
      </c>
      <c r="O308" s="5" t="str">
        <f>IF(OR(E308="",AC308=""),"",IF(AC308&gt;=操作パネル_MS2!$H$3,"VOL-OK","VOL-NG"))</f>
        <v/>
      </c>
      <c r="P308" s="5" t="str">
        <f t="shared" si="43"/>
        <v/>
      </c>
      <c r="Q308" s="5" t="str">
        <f t="shared" si="44"/>
        <v/>
      </c>
      <c r="R308" s="5" t="str">
        <f t="shared" si="45"/>
        <v/>
      </c>
      <c r="S308" s="9" t="str">
        <f t="shared" si="46"/>
        <v/>
      </c>
      <c r="T308" s="9" t="str">
        <f>IF(R308="","",IF(R308="BUY",E308-N308*操作パネル_MS2!$H$5,E308+N308*操作パネル_MS2!$H$5))</f>
        <v/>
      </c>
      <c r="U308" s="9" t="str">
        <f>IF(R308="","",IF(R308="BUY",E308+N308*操作パネル_MS2!$H$6,E308-N308*操作パネル_MS2!$H$6))</f>
        <v/>
      </c>
      <c r="V308" s="9" t="str">
        <f>IF(R308="","",IF(R308="BUY",E308+N308*操作パネル_MS2!$H$7,E308-N308*操作パネル_MS2!$H$7))</f>
        <v/>
      </c>
      <c r="W308" s="9" t="str">
        <f>IF(R308="","",IF(R308="BUY",E308+N308*操作パネル_MS2!$H$8,E308-N308*操作パネル_MS2!$H$8))</f>
        <v/>
      </c>
      <c r="X308" s="5" t="str">
        <f t="shared" si="47"/>
        <v/>
      </c>
      <c r="Y308" s="5" t="str">
        <f t="shared" ca="1" si="48"/>
        <v/>
      </c>
      <c r="Z308" s="5" t="str">
        <f>IF(OR(E308="",N308&lt;=0),"",IF(N308&gt;E308*操作パネル_MS2!$H$4,"VOL-HIGH","VOL-NORMAL"))</f>
        <v/>
      </c>
      <c r="AA308" s="5" t="str">
        <f t="shared" si="49"/>
        <v/>
      </c>
      <c r="AB308" s="5" t="str">
        <f t="shared" si="50"/>
        <v/>
      </c>
      <c r="AC308" s="30" t="str">
        <f>IF(C308="","",_xll.RssMarket(C308&amp;"","売買代金"))</f>
        <v/>
      </c>
      <c r="AD308" s="31">
        <f>IFERROR(INDEX(ATRHIST_MS2!$H:$H,MATCH(C308,ATRHIST_MS2!$A:$A,0)),0)</f>
        <v>0</v>
      </c>
    </row>
    <row r="309" spans="1:30" ht="25.95" customHeight="1">
      <c r="A309" s="5" t="str">
        <f t="shared" si="42"/>
        <v/>
      </c>
      <c r="B309" s="6" t="str">
        <f>IF(StockList_MS2!A308="","",HYPERLINK("https://kabutan.jp/stock/?code="&amp;StockList_MS2!A308,"株探"))</f>
        <v/>
      </c>
      <c r="C309" s="5" t="str">
        <f>IF(StockList_MS2!A308="","",StockList_MS2!A308)</f>
        <v/>
      </c>
      <c r="D309" s="7" t="str">
        <f>IF(StockList_MS2!A308="","",StockList_MS2!B308)</f>
        <v/>
      </c>
      <c r="E309" s="8"/>
      <c r="F309" s="8"/>
      <c r="G309" s="8"/>
      <c r="H309" s="8"/>
      <c r="I309" s="19"/>
      <c r="J309" s="8"/>
      <c r="K309" s="8"/>
      <c r="L309" s="8"/>
      <c r="M309" s="5" t="str">
        <f t="shared" si="51"/>
        <v/>
      </c>
      <c r="N309" s="9" t="str">
        <f>IF(OR(E309="",F309="",G309=""),"",IF(AD309&gt;0,AD309,(F309-G309)/SQRT(操作パネル_MS2!$H$12)*操作パネル_MS2!$H$10))</f>
        <v/>
      </c>
      <c r="O309" s="5" t="str">
        <f>IF(OR(E309="",AC309=""),"",IF(AC309&gt;=操作パネル_MS2!$H$3,"VOL-OK","VOL-NG"))</f>
        <v/>
      </c>
      <c r="P309" s="5" t="str">
        <f t="shared" si="43"/>
        <v/>
      </c>
      <c r="Q309" s="5" t="str">
        <f t="shared" si="44"/>
        <v/>
      </c>
      <c r="R309" s="5" t="str">
        <f t="shared" si="45"/>
        <v/>
      </c>
      <c r="S309" s="9" t="str">
        <f t="shared" si="46"/>
        <v/>
      </c>
      <c r="T309" s="9" t="str">
        <f>IF(R309="","",IF(R309="BUY",E309-N309*操作パネル_MS2!$H$5,E309+N309*操作パネル_MS2!$H$5))</f>
        <v/>
      </c>
      <c r="U309" s="9" t="str">
        <f>IF(R309="","",IF(R309="BUY",E309+N309*操作パネル_MS2!$H$6,E309-N309*操作パネル_MS2!$H$6))</f>
        <v/>
      </c>
      <c r="V309" s="9" t="str">
        <f>IF(R309="","",IF(R309="BUY",E309+N309*操作パネル_MS2!$H$7,E309-N309*操作パネル_MS2!$H$7))</f>
        <v/>
      </c>
      <c r="W309" s="9" t="str">
        <f>IF(R309="","",IF(R309="BUY",E309+N309*操作パネル_MS2!$H$8,E309-N309*操作パネル_MS2!$H$8))</f>
        <v/>
      </c>
      <c r="X309" s="5" t="str">
        <f t="shared" si="47"/>
        <v/>
      </c>
      <c r="Y309" s="5" t="str">
        <f t="shared" ca="1" si="48"/>
        <v/>
      </c>
      <c r="Z309" s="5" t="str">
        <f>IF(OR(E309="",N309&lt;=0),"",IF(N309&gt;E309*操作パネル_MS2!$H$4,"VOL-HIGH","VOL-NORMAL"))</f>
        <v/>
      </c>
      <c r="AA309" s="5" t="str">
        <f t="shared" si="49"/>
        <v/>
      </c>
      <c r="AB309" s="5" t="str">
        <f t="shared" si="50"/>
        <v/>
      </c>
      <c r="AC309" s="30" t="str">
        <f>IF(C309="","",_xll.RssMarket(C309&amp;"","売買代金"))</f>
        <v/>
      </c>
      <c r="AD309" s="31">
        <f>IFERROR(INDEX(ATRHIST_MS2!$H:$H,MATCH(C309,ATRHIST_MS2!$A:$A,0)),0)</f>
        <v>0</v>
      </c>
    </row>
    <row r="310" spans="1:30" ht="25.95" customHeight="1">
      <c r="A310" s="10" t="str">
        <f t="shared" si="42"/>
        <v/>
      </c>
      <c r="B310" s="11" t="str">
        <f>IF(StockList_MS2!A309="","",HYPERLINK("https://kabutan.jp/stock/?code="&amp;StockList_MS2!A309,"株探"))</f>
        <v/>
      </c>
      <c r="C310" s="10" t="str">
        <f>IF(StockList_MS2!A309="","",StockList_MS2!A309)</f>
        <v/>
      </c>
      <c r="D310" s="12" t="str">
        <f>IF(StockList_MS2!A309="","",StockList_MS2!B309)</f>
        <v/>
      </c>
      <c r="E310" s="13"/>
      <c r="F310" s="13"/>
      <c r="G310" s="13"/>
      <c r="H310" s="13"/>
      <c r="I310" s="20"/>
      <c r="J310" s="13"/>
      <c r="K310" s="13"/>
      <c r="L310" s="13"/>
      <c r="M310" s="5" t="str">
        <f t="shared" si="51"/>
        <v/>
      </c>
      <c r="N310" s="9" t="str">
        <f>IF(OR(E310="",F310="",G310=""),"",IF(AD310&gt;0,AD310,(F310-G310)/SQRT(操作パネル_MS2!$H$12)*操作パネル_MS2!$H$10))</f>
        <v/>
      </c>
      <c r="O310" s="5" t="str">
        <f>IF(OR(E310="",AC310=""),"",IF(AC310&gt;=操作パネル_MS2!$H$3,"VOL-OK","VOL-NG"))</f>
        <v/>
      </c>
      <c r="P310" s="5" t="str">
        <f t="shared" si="43"/>
        <v/>
      </c>
      <c r="Q310" s="5" t="str">
        <f t="shared" si="44"/>
        <v/>
      </c>
      <c r="R310" s="5" t="str">
        <f t="shared" si="45"/>
        <v/>
      </c>
      <c r="S310" s="9" t="str">
        <f t="shared" si="46"/>
        <v/>
      </c>
      <c r="T310" s="9" t="str">
        <f>IF(R310="","",IF(R310="BUY",E310-N310*操作パネル_MS2!$H$5,E310+N310*操作パネル_MS2!$H$5))</f>
        <v/>
      </c>
      <c r="U310" s="9" t="str">
        <f>IF(R310="","",IF(R310="BUY",E310+N310*操作パネル_MS2!$H$6,E310-N310*操作パネル_MS2!$H$6))</f>
        <v/>
      </c>
      <c r="V310" s="9" t="str">
        <f>IF(R310="","",IF(R310="BUY",E310+N310*操作パネル_MS2!$H$7,E310-N310*操作パネル_MS2!$H$7))</f>
        <v/>
      </c>
      <c r="W310" s="9" t="str">
        <f>IF(R310="","",IF(R310="BUY",E310+N310*操作パネル_MS2!$H$8,E310-N310*操作パネル_MS2!$H$8))</f>
        <v/>
      </c>
      <c r="X310" s="5" t="str">
        <f t="shared" si="47"/>
        <v/>
      </c>
      <c r="Y310" s="5" t="str">
        <f t="shared" ca="1" si="48"/>
        <v/>
      </c>
      <c r="Z310" s="5" t="str">
        <f>IF(OR(E310="",N310&lt;=0),"",IF(N310&gt;E310*操作パネル_MS2!$H$4,"VOL-HIGH","VOL-NORMAL"))</f>
        <v/>
      </c>
      <c r="AA310" s="5" t="str">
        <f t="shared" si="49"/>
        <v/>
      </c>
      <c r="AB310" s="5" t="str">
        <f t="shared" si="50"/>
        <v/>
      </c>
      <c r="AC310" s="30" t="str">
        <f>IF(C310="","",_xll.RssMarket(C310&amp;"","売買代金"))</f>
        <v/>
      </c>
      <c r="AD310" s="31">
        <f>IFERROR(INDEX(ATRHIST_MS2!$H:$H,MATCH(C310,ATRHIST_MS2!$A:$A,0)),0)</f>
        <v>0</v>
      </c>
    </row>
    <row r="311" spans="1:30" ht="25.95" customHeight="1">
      <c r="A311" s="5" t="str">
        <f t="shared" si="42"/>
        <v/>
      </c>
      <c r="B311" s="6" t="str">
        <f>IF(StockList_MS2!A310="","",HYPERLINK("https://kabutan.jp/stock/?code="&amp;StockList_MS2!A310,"株探"))</f>
        <v/>
      </c>
      <c r="C311" s="5" t="str">
        <f>IF(StockList_MS2!A310="","",StockList_MS2!A310)</f>
        <v/>
      </c>
      <c r="D311" s="7" t="str">
        <f>IF(StockList_MS2!A310="","",StockList_MS2!B310)</f>
        <v/>
      </c>
      <c r="E311" s="8"/>
      <c r="F311" s="8"/>
      <c r="G311" s="8"/>
      <c r="H311" s="8"/>
      <c r="I311" s="19"/>
      <c r="J311" s="8"/>
      <c r="K311" s="8"/>
      <c r="L311" s="8"/>
      <c r="M311" s="5" t="str">
        <f t="shared" si="51"/>
        <v/>
      </c>
      <c r="N311" s="9" t="str">
        <f>IF(OR(E311="",F311="",G311=""),"",IF(AD311&gt;0,AD311,(F311-G311)/SQRT(操作パネル_MS2!$H$12)*操作パネル_MS2!$H$10))</f>
        <v/>
      </c>
      <c r="O311" s="5" t="str">
        <f>IF(OR(E311="",AC311=""),"",IF(AC311&gt;=操作パネル_MS2!$H$3,"VOL-OK","VOL-NG"))</f>
        <v/>
      </c>
      <c r="P311" s="5" t="str">
        <f t="shared" si="43"/>
        <v/>
      </c>
      <c r="Q311" s="5" t="str">
        <f t="shared" si="44"/>
        <v/>
      </c>
      <c r="R311" s="5" t="str">
        <f t="shared" si="45"/>
        <v/>
      </c>
      <c r="S311" s="9" t="str">
        <f t="shared" si="46"/>
        <v/>
      </c>
      <c r="T311" s="9" t="str">
        <f>IF(R311="","",IF(R311="BUY",E311-N311*操作パネル_MS2!$H$5,E311+N311*操作パネル_MS2!$H$5))</f>
        <v/>
      </c>
      <c r="U311" s="9" t="str">
        <f>IF(R311="","",IF(R311="BUY",E311+N311*操作パネル_MS2!$H$6,E311-N311*操作パネル_MS2!$H$6))</f>
        <v/>
      </c>
      <c r="V311" s="9" t="str">
        <f>IF(R311="","",IF(R311="BUY",E311+N311*操作パネル_MS2!$H$7,E311-N311*操作パネル_MS2!$H$7))</f>
        <v/>
      </c>
      <c r="W311" s="9" t="str">
        <f>IF(R311="","",IF(R311="BUY",E311+N311*操作パネル_MS2!$H$8,E311-N311*操作パネル_MS2!$H$8))</f>
        <v/>
      </c>
      <c r="X311" s="5" t="str">
        <f t="shared" si="47"/>
        <v/>
      </c>
      <c r="Y311" s="5" t="str">
        <f t="shared" ca="1" si="48"/>
        <v/>
      </c>
      <c r="Z311" s="5" t="str">
        <f>IF(OR(E311="",N311&lt;=0),"",IF(N311&gt;E311*操作パネル_MS2!$H$4,"VOL-HIGH","VOL-NORMAL"))</f>
        <v/>
      </c>
      <c r="AA311" s="5" t="str">
        <f t="shared" si="49"/>
        <v/>
      </c>
      <c r="AB311" s="5" t="str">
        <f t="shared" si="50"/>
        <v/>
      </c>
      <c r="AC311" s="30" t="str">
        <f>IF(C311="","",_xll.RssMarket(C311&amp;"","売買代金"))</f>
        <v/>
      </c>
      <c r="AD311" s="31">
        <f>IFERROR(INDEX(ATRHIST_MS2!$H:$H,MATCH(C311,ATRHIST_MS2!$A:$A,0)),0)</f>
        <v>0</v>
      </c>
    </row>
    <row r="312" spans="1:30" ht="25.95" customHeight="1">
      <c r="A312" s="10" t="str">
        <f t="shared" si="42"/>
        <v/>
      </c>
      <c r="B312" s="11" t="str">
        <f>IF(StockList_MS2!A311="","",HYPERLINK("https://kabutan.jp/stock/?code="&amp;StockList_MS2!A311,"株探"))</f>
        <v/>
      </c>
      <c r="C312" s="10" t="str">
        <f>IF(StockList_MS2!A311="","",StockList_MS2!A311)</f>
        <v/>
      </c>
      <c r="D312" s="12" t="str">
        <f>IF(StockList_MS2!A311="","",StockList_MS2!B311)</f>
        <v/>
      </c>
      <c r="E312" s="13"/>
      <c r="F312" s="13"/>
      <c r="G312" s="13"/>
      <c r="H312" s="13"/>
      <c r="I312" s="20"/>
      <c r="J312" s="13"/>
      <c r="K312" s="13"/>
      <c r="L312" s="13"/>
      <c r="M312" s="5" t="str">
        <f t="shared" si="51"/>
        <v/>
      </c>
      <c r="N312" s="9" t="str">
        <f>IF(OR(E312="",F312="",G312=""),"",IF(AD312&gt;0,AD312,(F312-G312)/SQRT(操作パネル_MS2!$H$12)*操作パネル_MS2!$H$10))</f>
        <v/>
      </c>
      <c r="O312" s="5" t="str">
        <f>IF(OR(E312="",AC312=""),"",IF(AC312&gt;=操作パネル_MS2!$H$3,"VOL-OK","VOL-NG"))</f>
        <v/>
      </c>
      <c r="P312" s="5" t="str">
        <f t="shared" si="43"/>
        <v/>
      </c>
      <c r="Q312" s="5" t="str">
        <f t="shared" si="44"/>
        <v/>
      </c>
      <c r="R312" s="5" t="str">
        <f t="shared" si="45"/>
        <v/>
      </c>
      <c r="S312" s="9" t="str">
        <f t="shared" si="46"/>
        <v/>
      </c>
      <c r="T312" s="9" t="str">
        <f>IF(R312="","",IF(R312="BUY",E312-N312*操作パネル_MS2!$H$5,E312+N312*操作パネル_MS2!$H$5))</f>
        <v/>
      </c>
      <c r="U312" s="9" t="str">
        <f>IF(R312="","",IF(R312="BUY",E312+N312*操作パネル_MS2!$H$6,E312-N312*操作パネル_MS2!$H$6))</f>
        <v/>
      </c>
      <c r="V312" s="9" t="str">
        <f>IF(R312="","",IF(R312="BUY",E312+N312*操作パネル_MS2!$H$7,E312-N312*操作パネル_MS2!$H$7))</f>
        <v/>
      </c>
      <c r="W312" s="9" t="str">
        <f>IF(R312="","",IF(R312="BUY",E312+N312*操作パネル_MS2!$H$8,E312-N312*操作パネル_MS2!$H$8))</f>
        <v/>
      </c>
      <c r="X312" s="5" t="str">
        <f t="shared" si="47"/>
        <v/>
      </c>
      <c r="Y312" s="5" t="str">
        <f t="shared" ca="1" si="48"/>
        <v/>
      </c>
      <c r="Z312" s="5" t="str">
        <f>IF(OR(E312="",N312&lt;=0),"",IF(N312&gt;E312*操作パネル_MS2!$H$4,"VOL-HIGH","VOL-NORMAL"))</f>
        <v/>
      </c>
      <c r="AA312" s="5" t="str">
        <f t="shared" si="49"/>
        <v/>
      </c>
      <c r="AB312" s="5" t="str">
        <f t="shared" si="50"/>
        <v/>
      </c>
      <c r="AC312" s="30" t="str">
        <f>IF(C312="","",_xll.RssMarket(C312&amp;"","売買代金"))</f>
        <v/>
      </c>
      <c r="AD312" s="31">
        <f>IFERROR(INDEX(ATRHIST_MS2!$H:$H,MATCH(C312,ATRHIST_MS2!$A:$A,0)),0)</f>
        <v>0</v>
      </c>
    </row>
    <row r="313" spans="1:30" ht="25.95" customHeight="1">
      <c r="A313" s="5" t="str">
        <f t="shared" si="42"/>
        <v/>
      </c>
      <c r="B313" s="6" t="str">
        <f>IF(StockList_MS2!A312="","",HYPERLINK("https://kabutan.jp/stock/?code="&amp;StockList_MS2!A312,"株探"))</f>
        <v/>
      </c>
      <c r="C313" s="5" t="str">
        <f>IF(StockList_MS2!A312="","",StockList_MS2!A312)</f>
        <v/>
      </c>
      <c r="D313" s="7" t="str">
        <f>IF(StockList_MS2!A312="","",StockList_MS2!B312)</f>
        <v/>
      </c>
      <c r="E313" s="8"/>
      <c r="F313" s="8"/>
      <c r="G313" s="8"/>
      <c r="H313" s="8"/>
      <c r="I313" s="19"/>
      <c r="J313" s="8"/>
      <c r="K313" s="8"/>
      <c r="L313" s="8"/>
      <c r="M313" s="5" t="str">
        <f t="shared" si="51"/>
        <v/>
      </c>
      <c r="N313" s="9" t="str">
        <f>IF(OR(E313="",F313="",G313=""),"",IF(AD313&gt;0,AD313,(F313-G313)/SQRT(操作パネル_MS2!$H$12)*操作パネル_MS2!$H$10))</f>
        <v/>
      </c>
      <c r="O313" s="5" t="str">
        <f>IF(OR(E313="",AC313=""),"",IF(AC313&gt;=操作パネル_MS2!$H$3,"VOL-OK","VOL-NG"))</f>
        <v/>
      </c>
      <c r="P313" s="5" t="str">
        <f t="shared" si="43"/>
        <v/>
      </c>
      <c r="Q313" s="5" t="str">
        <f t="shared" si="44"/>
        <v/>
      </c>
      <c r="R313" s="5" t="str">
        <f t="shared" si="45"/>
        <v/>
      </c>
      <c r="S313" s="9" t="str">
        <f t="shared" si="46"/>
        <v/>
      </c>
      <c r="T313" s="9" t="str">
        <f>IF(R313="","",IF(R313="BUY",E313-N313*操作パネル_MS2!$H$5,E313+N313*操作パネル_MS2!$H$5))</f>
        <v/>
      </c>
      <c r="U313" s="9" t="str">
        <f>IF(R313="","",IF(R313="BUY",E313+N313*操作パネル_MS2!$H$6,E313-N313*操作パネル_MS2!$H$6))</f>
        <v/>
      </c>
      <c r="V313" s="9" t="str">
        <f>IF(R313="","",IF(R313="BUY",E313+N313*操作パネル_MS2!$H$7,E313-N313*操作パネル_MS2!$H$7))</f>
        <v/>
      </c>
      <c r="W313" s="9" t="str">
        <f>IF(R313="","",IF(R313="BUY",E313+N313*操作パネル_MS2!$H$8,E313-N313*操作パネル_MS2!$H$8))</f>
        <v/>
      </c>
      <c r="X313" s="5" t="str">
        <f t="shared" si="47"/>
        <v/>
      </c>
      <c r="Y313" s="5" t="str">
        <f t="shared" ca="1" si="48"/>
        <v/>
      </c>
      <c r="Z313" s="5" t="str">
        <f>IF(OR(E313="",N313&lt;=0),"",IF(N313&gt;E313*操作パネル_MS2!$H$4,"VOL-HIGH","VOL-NORMAL"))</f>
        <v/>
      </c>
      <c r="AA313" s="5" t="str">
        <f t="shared" si="49"/>
        <v/>
      </c>
      <c r="AB313" s="5" t="str">
        <f t="shared" si="50"/>
        <v/>
      </c>
      <c r="AC313" s="30" t="str">
        <f>IF(C313="","",_xll.RssMarket(C313&amp;"","売買代金"))</f>
        <v/>
      </c>
      <c r="AD313" s="31">
        <f>IFERROR(INDEX(ATRHIST_MS2!$H:$H,MATCH(C313,ATRHIST_MS2!$A:$A,0)),0)</f>
        <v>0</v>
      </c>
    </row>
    <row r="314" spans="1:30" ht="25.95" customHeight="1">
      <c r="A314" s="10" t="str">
        <f t="shared" si="42"/>
        <v/>
      </c>
      <c r="B314" s="11" t="str">
        <f>IF(StockList_MS2!A313="","",HYPERLINK("https://kabutan.jp/stock/?code="&amp;StockList_MS2!A313,"株探"))</f>
        <v/>
      </c>
      <c r="C314" s="10" t="str">
        <f>IF(StockList_MS2!A313="","",StockList_MS2!A313)</f>
        <v/>
      </c>
      <c r="D314" s="12" t="str">
        <f>IF(StockList_MS2!A313="","",StockList_MS2!B313)</f>
        <v/>
      </c>
      <c r="E314" s="13"/>
      <c r="F314" s="13"/>
      <c r="G314" s="13"/>
      <c r="H314" s="13"/>
      <c r="I314" s="20"/>
      <c r="J314" s="13"/>
      <c r="K314" s="13"/>
      <c r="L314" s="13"/>
      <c r="M314" s="5" t="str">
        <f t="shared" si="51"/>
        <v/>
      </c>
      <c r="N314" s="9" t="str">
        <f>IF(OR(E314="",F314="",G314=""),"",IF(AD314&gt;0,AD314,(F314-G314)/SQRT(操作パネル_MS2!$H$12)*操作パネル_MS2!$H$10))</f>
        <v/>
      </c>
      <c r="O314" s="5" t="str">
        <f>IF(OR(E314="",AC314=""),"",IF(AC314&gt;=操作パネル_MS2!$H$3,"VOL-OK","VOL-NG"))</f>
        <v/>
      </c>
      <c r="P314" s="5" t="str">
        <f t="shared" si="43"/>
        <v/>
      </c>
      <c r="Q314" s="5" t="str">
        <f t="shared" si="44"/>
        <v/>
      </c>
      <c r="R314" s="5" t="str">
        <f t="shared" si="45"/>
        <v/>
      </c>
      <c r="S314" s="9" t="str">
        <f t="shared" si="46"/>
        <v/>
      </c>
      <c r="T314" s="9" t="str">
        <f>IF(R314="","",IF(R314="BUY",E314-N314*操作パネル_MS2!$H$5,E314+N314*操作パネル_MS2!$H$5))</f>
        <v/>
      </c>
      <c r="U314" s="9" t="str">
        <f>IF(R314="","",IF(R314="BUY",E314+N314*操作パネル_MS2!$H$6,E314-N314*操作パネル_MS2!$H$6))</f>
        <v/>
      </c>
      <c r="V314" s="9" t="str">
        <f>IF(R314="","",IF(R314="BUY",E314+N314*操作パネル_MS2!$H$7,E314-N314*操作パネル_MS2!$H$7))</f>
        <v/>
      </c>
      <c r="W314" s="9" t="str">
        <f>IF(R314="","",IF(R314="BUY",E314+N314*操作パネル_MS2!$H$8,E314-N314*操作パネル_MS2!$H$8))</f>
        <v/>
      </c>
      <c r="X314" s="5" t="str">
        <f t="shared" si="47"/>
        <v/>
      </c>
      <c r="Y314" s="5" t="str">
        <f t="shared" ca="1" si="48"/>
        <v/>
      </c>
      <c r="Z314" s="5" t="str">
        <f>IF(OR(E314="",N314&lt;=0),"",IF(N314&gt;E314*操作パネル_MS2!$H$4,"VOL-HIGH","VOL-NORMAL"))</f>
        <v/>
      </c>
      <c r="AA314" s="5" t="str">
        <f t="shared" si="49"/>
        <v/>
      </c>
      <c r="AB314" s="5" t="str">
        <f t="shared" si="50"/>
        <v/>
      </c>
      <c r="AC314" s="30" t="str">
        <f>IF(C314="","",_xll.RssMarket(C314&amp;"","売買代金"))</f>
        <v/>
      </c>
      <c r="AD314" s="31">
        <f>IFERROR(INDEX(ATRHIST_MS2!$H:$H,MATCH(C314,ATRHIST_MS2!$A:$A,0)),0)</f>
        <v>0</v>
      </c>
    </row>
    <row r="315" spans="1:30" ht="25.95" customHeight="1">
      <c r="A315" s="5" t="str">
        <f t="shared" si="42"/>
        <v/>
      </c>
      <c r="B315" s="6" t="str">
        <f>IF(StockList_MS2!A314="","",HYPERLINK("https://kabutan.jp/stock/?code="&amp;StockList_MS2!A314,"株探"))</f>
        <v/>
      </c>
      <c r="C315" s="5" t="str">
        <f>IF(StockList_MS2!A314="","",StockList_MS2!A314)</f>
        <v/>
      </c>
      <c r="D315" s="7" t="str">
        <f>IF(StockList_MS2!A314="","",StockList_MS2!B314)</f>
        <v/>
      </c>
      <c r="E315" s="8"/>
      <c r="F315" s="8"/>
      <c r="G315" s="8"/>
      <c r="H315" s="8"/>
      <c r="I315" s="19"/>
      <c r="J315" s="8"/>
      <c r="K315" s="8"/>
      <c r="L315" s="8"/>
      <c r="M315" s="5" t="str">
        <f t="shared" si="51"/>
        <v/>
      </c>
      <c r="N315" s="9" t="str">
        <f>IF(OR(E315="",F315="",G315=""),"",IF(AD315&gt;0,AD315,(F315-G315)/SQRT(操作パネル_MS2!$H$12)*操作パネル_MS2!$H$10))</f>
        <v/>
      </c>
      <c r="O315" s="5" t="str">
        <f>IF(OR(E315="",AC315=""),"",IF(AC315&gt;=操作パネル_MS2!$H$3,"VOL-OK","VOL-NG"))</f>
        <v/>
      </c>
      <c r="P315" s="5" t="str">
        <f t="shared" si="43"/>
        <v/>
      </c>
      <c r="Q315" s="5" t="str">
        <f t="shared" si="44"/>
        <v/>
      </c>
      <c r="R315" s="5" t="str">
        <f t="shared" si="45"/>
        <v/>
      </c>
      <c r="S315" s="9" t="str">
        <f t="shared" si="46"/>
        <v/>
      </c>
      <c r="T315" s="9" t="str">
        <f>IF(R315="","",IF(R315="BUY",E315-N315*操作パネル_MS2!$H$5,E315+N315*操作パネル_MS2!$H$5))</f>
        <v/>
      </c>
      <c r="U315" s="9" t="str">
        <f>IF(R315="","",IF(R315="BUY",E315+N315*操作パネル_MS2!$H$6,E315-N315*操作パネル_MS2!$H$6))</f>
        <v/>
      </c>
      <c r="V315" s="9" t="str">
        <f>IF(R315="","",IF(R315="BUY",E315+N315*操作パネル_MS2!$H$7,E315-N315*操作パネル_MS2!$H$7))</f>
        <v/>
      </c>
      <c r="W315" s="9" t="str">
        <f>IF(R315="","",IF(R315="BUY",E315+N315*操作パネル_MS2!$H$8,E315-N315*操作パネル_MS2!$H$8))</f>
        <v/>
      </c>
      <c r="X315" s="5" t="str">
        <f t="shared" si="47"/>
        <v/>
      </c>
      <c r="Y315" s="5" t="str">
        <f t="shared" ca="1" si="48"/>
        <v/>
      </c>
      <c r="Z315" s="5" t="str">
        <f>IF(OR(E315="",N315&lt;=0),"",IF(N315&gt;E315*操作パネル_MS2!$H$4,"VOL-HIGH","VOL-NORMAL"))</f>
        <v/>
      </c>
      <c r="AA315" s="5" t="str">
        <f t="shared" si="49"/>
        <v/>
      </c>
      <c r="AB315" s="5" t="str">
        <f t="shared" si="50"/>
        <v/>
      </c>
      <c r="AC315" s="30" t="str">
        <f>IF(C315="","",_xll.RssMarket(C315&amp;"","売買代金"))</f>
        <v/>
      </c>
      <c r="AD315" s="31">
        <f>IFERROR(INDEX(ATRHIST_MS2!$H:$H,MATCH(C315,ATRHIST_MS2!$A:$A,0)),0)</f>
        <v>0</v>
      </c>
    </row>
    <row r="316" spans="1:30" ht="25.95" customHeight="1">
      <c r="A316" s="10" t="str">
        <f t="shared" si="42"/>
        <v/>
      </c>
      <c r="B316" s="11" t="str">
        <f>IF(StockList_MS2!A315="","",HYPERLINK("https://kabutan.jp/stock/?code="&amp;StockList_MS2!A315,"株探"))</f>
        <v/>
      </c>
      <c r="C316" s="10" t="str">
        <f>IF(StockList_MS2!A315="","",StockList_MS2!A315)</f>
        <v/>
      </c>
      <c r="D316" s="12" t="str">
        <f>IF(StockList_MS2!A315="","",StockList_MS2!B315)</f>
        <v/>
      </c>
      <c r="E316" s="13"/>
      <c r="F316" s="13"/>
      <c r="G316" s="13"/>
      <c r="H316" s="13"/>
      <c r="I316" s="20"/>
      <c r="J316" s="13"/>
      <c r="K316" s="13"/>
      <c r="L316" s="13"/>
      <c r="M316" s="5" t="str">
        <f t="shared" si="51"/>
        <v/>
      </c>
      <c r="N316" s="9" t="str">
        <f>IF(OR(E316="",F316="",G316=""),"",IF(AD316&gt;0,AD316,(F316-G316)/SQRT(操作パネル_MS2!$H$12)*操作パネル_MS2!$H$10))</f>
        <v/>
      </c>
      <c r="O316" s="5" t="str">
        <f>IF(OR(E316="",AC316=""),"",IF(AC316&gt;=操作パネル_MS2!$H$3,"VOL-OK","VOL-NG"))</f>
        <v/>
      </c>
      <c r="P316" s="5" t="str">
        <f t="shared" si="43"/>
        <v/>
      </c>
      <c r="Q316" s="5" t="str">
        <f t="shared" si="44"/>
        <v/>
      </c>
      <c r="R316" s="5" t="str">
        <f t="shared" si="45"/>
        <v/>
      </c>
      <c r="S316" s="9" t="str">
        <f t="shared" si="46"/>
        <v/>
      </c>
      <c r="T316" s="9" t="str">
        <f>IF(R316="","",IF(R316="BUY",E316-N316*操作パネル_MS2!$H$5,E316+N316*操作パネル_MS2!$H$5))</f>
        <v/>
      </c>
      <c r="U316" s="9" t="str">
        <f>IF(R316="","",IF(R316="BUY",E316+N316*操作パネル_MS2!$H$6,E316-N316*操作パネル_MS2!$H$6))</f>
        <v/>
      </c>
      <c r="V316" s="9" t="str">
        <f>IF(R316="","",IF(R316="BUY",E316+N316*操作パネル_MS2!$H$7,E316-N316*操作パネル_MS2!$H$7))</f>
        <v/>
      </c>
      <c r="W316" s="9" t="str">
        <f>IF(R316="","",IF(R316="BUY",E316+N316*操作パネル_MS2!$H$8,E316-N316*操作パネル_MS2!$H$8))</f>
        <v/>
      </c>
      <c r="X316" s="5" t="str">
        <f t="shared" si="47"/>
        <v/>
      </c>
      <c r="Y316" s="5" t="str">
        <f t="shared" ca="1" si="48"/>
        <v/>
      </c>
      <c r="Z316" s="5" t="str">
        <f>IF(OR(E316="",N316&lt;=0),"",IF(N316&gt;E316*操作パネル_MS2!$H$4,"VOL-HIGH","VOL-NORMAL"))</f>
        <v/>
      </c>
      <c r="AA316" s="5" t="str">
        <f t="shared" si="49"/>
        <v/>
      </c>
      <c r="AB316" s="5" t="str">
        <f t="shared" si="50"/>
        <v/>
      </c>
      <c r="AC316" s="30" t="str">
        <f>IF(C316="","",_xll.RssMarket(C316&amp;"","売買代金"))</f>
        <v/>
      </c>
      <c r="AD316" s="31">
        <f>IFERROR(INDEX(ATRHIST_MS2!$H:$H,MATCH(C316,ATRHIST_MS2!$A:$A,0)),0)</f>
        <v>0</v>
      </c>
    </row>
    <row r="317" spans="1:30" ht="25.95" customHeight="1">
      <c r="A317" s="5" t="str">
        <f t="shared" si="42"/>
        <v/>
      </c>
      <c r="B317" s="6" t="str">
        <f>IF(StockList_MS2!A316="","",HYPERLINK("https://kabutan.jp/stock/?code="&amp;StockList_MS2!A316,"株探"))</f>
        <v/>
      </c>
      <c r="C317" s="5" t="str">
        <f>IF(StockList_MS2!A316="","",StockList_MS2!A316)</f>
        <v/>
      </c>
      <c r="D317" s="7" t="str">
        <f>IF(StockList_MS2!A316="","",StockList_MS2!B316)</f>
        <v/>
      </c>
      <c r="E317" s="8"/>
      <c r="F317" s="8"/>
      <c r="G317" s="8"/>
      <c r="H317" s="8"/>
      <c r="I317" s="19"/>
      <c r="J317" s="8"/>
      <c r="K317" s="8"/>
      <c r="L317" s="8"/>
      <c r="M317" s="5" t="str">
        <f t="shared" si="51"/>
        <v/>
      </c>
      <c r="N317" s="9" t="str">
        <f>IF(OR(E317="",F317="",G317=""),"",IF(AD317&gt;0,AD317,(F317-G317)/SQRT(操作パネル_MS2!$H$12)*操作パネル_MS2!$H$10))</f>
        <v/>
      </c>
      <c r="O317" s="5" t="str">
        <f>IF(OR(E317="",AC317=""),"",IF(AC317&gt;=操作パネル_MS2!$H$3,"VOL-OK","VOL-NG"))</f>
        <v/>
      </c>
      <c r="P317" s="5" t="str">
        <f t="shared" si="43"/>
        <v/>
      </c>
      <c r="Q317" s="5" t="str">
        <f t="shared" si="44"/>
        <v/>
      </c>
      <c r="R317" s="5" t="str">
        <f t="shared" si="45"/>
        <v/>
      </c>
      <c r="S317" s="9" t="str">
        <f t="shared" si="46"/>
        <v/>
      </c>
      <c r="T317" s="9" t="str">
        <f>IF(R317="","",IF(R317="BUY",E317-N317*操作パネル_MS2!$H$5,E317+N317*操作パネル_MS2!$H$5))</f>
        <v/>
      </c>
      <c r="U317" s="9" t="str">
        <f>IF(R317="","",IF(R317="BUY",E317+N317*操作パネル_MS2!$H$6,E317-N317*操作パネル_MS2!$H$6))</f>
        <v/>
      </c>
      <c r="V317" s="9" t="str">
        <f>IF(R317="","",IF(R317="BUY",E317+N317*操作パネル_MS2!$H$7,E317-N317*操作パネル_MS2!$H$7))</f>
        <v/>
      </c>
      <c r="W317" s="9" t="str">
        <f>IF(R317="","",IF(R317="BUY",E317+N317*操作パネル_MS2!$H$8,E317-N317*操作パネル_MS2!$H$8))</f>
        <v/>
      </c>
      <c r="X317" s="5" t="str">
        <f t="shared" si="47"/>
        <v/>
      </c>
      <c r="Y317" s="5" t="str">
        <f t="shared" ca="1" si="48"/>
        <v/>
      </c>
      <c r="Z317" s="5" t="str">
        <f>IF(OR(E317="",N317&lt;=0),"",IF(N317&gt;E317*操作パネル_MS2!$H$4,"VOL-HIGH","VOL-NORMAL"))</f>
        <v/>
      </c>
      <c r="AA317" s="5" t="str">
        <f t="shared" si="49"/>
        <v/>
      </c>
      <c r="AB317" s="5" t="str">
        <f t="shared" si="50"/>
        <v/>
      </c>
      <c r="AC317" s="30" t="str">
        <f>IF(C317="","",_xll.RssMarket(C317&amp;"","売買代金"))</f>
        <v/>
      </c>
      <c r="AD317" s="31">
        <f>IFERROR(INDEX(ATRHIST_MS2!$H:$H,MATCH(C317,ATRHIST_MS2!$A:$A,0)),0)</f>
        <v>0</v>
      </c>
    </row>
    <row r="318" spans="1:30" ht="25.95" customHeight="1">
      <c r="A318" s="10" t="str">
        <f t="shared" si="42"/>
        <v/>
      </c>
      <c r="B318" s="11" t="str">
        <f>IF(StockList_MS2!A317="","",HYPERLINK("https://kabutan.jp/stock/?code="&amp;StockList_MS2!A317,"株探"))</f>
        <v/>
      </c>
      <c r="C318" s="10" t="str">
        <f>IF(StockList_MS2!A317="","",StockList_MS2!A317)</f>
        <v/>
      </c>
      <c r="D318" s="12" t="str">
        <f>IF(StockList_MS2!A317="","",StockList_MS2!B317)</f>
        <v/>
      </c>
      <c r="E318" s="13"/>
      <c r="F318" s="13"/>
      <c r="G318" s="13"/>
      <c r="H318" s="13"/>
      <c r="I318" s="20"/>
      <c r="J318" s="13"/>
      <c r="K318" s="13"/>
      <c r="L318" s="13"/>
      <c r="M318" s="5" t="str">
        <f t="shared" si="51"/>
        <v/>
      </c>
      <c r="N318" s="9" t="str">
        <f>IF(OR(E318="",F318="",G318=""),"",IF(AD318&gt;0,AD318,(F318-G318)/SQRT(操作パネル_MS2!$H$12)*操作パネル_MS2!$H$10))</f>
        <v/>
      </c>
      <c r="O318" s="5" t="str">
        <f>IF(OR(E318="",AC318=""),"",IF(AC318&gt;=操作パネル_MS2!$H$3,"VOL-OK","VOL-NG"))</f>
        <v/>
      </c>
      <c r="P318" s="5" t="str">
        <f t="shared" si="43"/>
        <v/>
      </c>
      <c r="Q318" s="5" t="str">
        <f t="shared" si="44"/>
        <v/>
      </c>
      <c r="R318" s="5" t="str">
        <f t="shared" si="45"/>
        <v/>
      </c>
      <c r="S318" s="9" t="str">
        <f t="shared" si="46"/>
        <v/>
      </c>
      <c r="T318" s="9" t="str">
        <f>IF(R318="","",IF(R318="BUY",E318-N318*操作パネル_MS2!$H$5,E318+N318*操作パネル_MS2!$H$5))</f>
        <v/>
      </c>
      <c r="U318" s="9" t="str">
        <f>IF(R318="","",IF(R318="BUY",E318+N318*操作パネル_MS2!$H$6,E318-N318*操作パネル_MS2!$H$6))</f>
        <v/>
      </c>
      <c r="V318" s="9" t="str">
        <f>IF(R318="","",IF(R318="BUY",E318+N318*操作パネル_MS2!$H$7,E318-N318*操作パネル_MS2!$H$7))</f>
        <v/>
      </c>
      <c r="W318" s="9" t="str">
        <f>IF(R318="","",IF(R318="BUY",E318+N318*操作パネル_MS2!$H$8,E318-N318*操作パネル_MS2!$H$8))</f>
        <v/>
      </c>
      <c r="X318" s="5" t="str">
        <f t="shared" si="47"/>
        <v/>
      </c>
      <c r="Y318" s="5" t="str">
        <f t="shared" ca="1" si="48"/>
        <v/>
      </c>
      <c r="Z318" s="5" t="str">
        <f>IF(OR(E318="",N318&lt;=0),"",IF(N318&gt;E318*操作パネル_MS2!$H$4,"VOL-HIGH","VOL-NORMAL"))</f>
        <v/>
      </c>
      <c r="AA318" s="5" t="str">
        <f t="shared" si="49"/>
        <v/>
      </c>
      <c r="AB318" s="5" t="str">
        <f t="shared" si="50"/>
        <v/>
      </c>
      <c r="AC318" s="30" t="str">
        <f>IF(C318="","",_xll.RssMarket(C318&amp;"","売買代金"))</f>
        <v/>
      </c>
      <c r="AD318" s="31">
        <f>IFERROR(INDEX(ATRHIST_MS2!$H:$H,MATCH(C318,ATRHIST_MS2!$A:$A,0)),0)</f>
        <v>0</v>
      </c>
    </row>
    <row r="319" spans="1:30" ht="25.95" customHeight="1">
      <c r="A319" s="5" t="str">
        <f t="shared" si="42"/>
        <v/>
      </c>
      <c r="B319" s="6" t="str">
        <f>IF(StockList_MS2!A318="","",HYPERLINK("https://kabutan.jp/stock/?code="&amp;StockList_MS2!A318,"株探"))</f>
        <v/>
      </c>
      <c r="C319" s="5" t="str">
        <f>IF(StockList_MS2!A318="","",StockList_MS2!A318)</f>
        <v/>
      </c>
      <c r="D319" s="7" t="str">
        <f>IF(StockList_MS2!A318="","",StockList_MS2!B318)</f>
        <v/>
      </c>
      <c r="E319" s="8"/>
      <c r="F319" s="8"/>
      <c r="G319" s="8"/>
      <c r="H319" s="8"/>
      <c r="I319" s="19"/>
      <c r="J319" s="8"/>
      <c r="K319" s="8"/>
      <c r="L319" s="8"/>
      <c r="M319" s="5" t="str">
        <f t="shared" si="51"/>
        <v/>
      </c>
      <c r="N319" s="9" t="str">
        <f>IF(OR(E319="",F319="",G319=""),"",IF(AD319&gt;0,AD319,(F319-G319)/SQRT(操作パネル_MS2!$H$12)*操作パネル_MS2!$H$10))</f>
        <v/>
      </c>
      <c r="O319" s="5" t="str">
        <f>IF(OR(E319="",AC319=""),"",IF(AC319&gt;=操作パネル_MS2!$H$3,"VOL-OK","VOL-NG"))</f>
        <v/>
      </c>
      <c r="P319" s="5" t="str">
        <f t="shared" si="43"/>
        <v/>
      </c>
      <c r="Q319" s="5" t="str">
        <f t="shared" si="44"/>
        <v/>
      </c>
      <c r="R319" s="5" t="str">
        <f t="shared" si="45"/>
        <v/>
      </c>
      <c r="S319" s="9" t="str">
        <f t="shared" si="46"/>
        <v/>
      </c>
      <c r="T319" s="9" t="str">
        <f>IF(R319="","",IF(R319="BUY",E319-N319*操作パネル_MS2!$H$5,E319+N319*操作パネル_MS2!$H$5))</f>
        <v/>
      </c>
      <c r="U319" s="9" t="str">
        <f>IF(R319="","",IF(R319="BUY",E319+N319*操作パネル_MS2!$H$6,E319-N319*操作パネル_MS2!$H$6))</f>
        <v/>
      </c>
      <c r="V319" s="9" t="str">
        <f>IF(R319="","",IF(R319="BUY",E319+N319*操作パネル_MS2!$H$7,E319-N319*操作パネル_MS2!$H$7))</f>
        <v/>
      </c>
      <c r="W319" s="9" t="str">
        <f>IF(R319="","",IF(R319="BUY",E319+N319*操作パネル_MS2!$H$8,E319-N319*操作パネル_MS2!$H$8))</f>
        <v/>
      </c>
      <c r="X319" s="5" t="str">
        <f t="shared" si="47"/>
        <v/>
      </c>
      <c r="Y319" s="5" t="str">
        <f t="shared" ca="1" si="48"/>
        <v/>
      </c>
      <c r="Z319" s="5" t="str">
        <f>IF(OR(E319="",N319&lt;=0),"",IF(N319&gt;E319*操作パネル_MS2!$H$4,"VOL-HIGH","VOL-NORMAL"))</f>
        <v/>
      </c>
      <c r="AA319" s="5" t="str">
        <f t="shared" si="49"/>
        <v/>
      </c>
      <c r="AB319" s="5" t="str">
        <f t="shared" si="50"/>
        <v/>
      </c>
      <c r="AC319" s="30" t="str">
        <f>IF(C319="","",_xll.RssMarket(C319&amp;"","売買代金"))</f>
        <v/>
      </c>
      <c r="AD319" s="31">
        <f>IFERROR(INDEX(ATRHIST_MS2!$H:$H,MATCH(C319,ATRHIST_MS2!$A:$A,0)),0)</f>
        <v>0</v>
      </c>
    </row>
    <row r="320" spans="1:30" ht="25.95" customHeight="1">
      <c r="A320" s="10" t="str">
        <f t="shared" si="42"/>
        <v/>
      </c>
      <c r="B320" s="11" t="str">
        <f>IF(StockList_MS2!A319="","",HYPERLINK("https://kabutan.jp/stock/?code="&amp;StockList_MS2!A319,"株探"))</f>
        <v/>
      </c>
      <c r="C320" s="10" t="str">
        <f>IF(StockList_MS2!A319="","",StockList_MS2!A319)</f>
        <v/>
      </c>
      <c r="D320" s="12" t="str">
        <f>IF(StockList_MS2!A319="","",StockList_MS2!B319)</f>
        <v/>
      </c>
      <c r="E320" s="13"/>
      <c r="F320" s="13"/>
      <c r="G320" s="13"/>
      <c r="H320" s="13"/>
      <c r="I320" s="20"/>
      <c r="J320" s="13"/>
      <c r="K320" s="13"/>
      <c r="L320" s="13"/>
      <c r="M320" s="5" t="str">
        <f t="shared" si="51"/>
        <v/>
      </c>
      <c r="N320" s="9" t="str">
        <f>IF(OR(E320="",F320="",G320=""),"",IF(AD320&gt;0,AD320,(F320-G320)/SQRT(操作パネル_MS2!$H$12)*操作パネル_MS2!$H$10))</f>
        <v/>
      </c>
      <c r="O320" s="5" t="str">
        <f>IF(OR(E320="",AC320=""),"",IF(AC320&gt;=操作パネル_MS2!$H$3,"VOL-OK","VOL-NG"))</f>
        <v/>
      </c>
      <c r="P320" s="5" t="str">
        <f t="shared" si="43"/>
        <v/>
      </c>
      <c r="Q320" s="5" t="str">
        <f t="shared" si="44"/>
        <v/>
      </c>
      <c r="R320" s="5" t="str">
        <f t="shared" si="45"/>
        <v/>
      </c>
      <c r="S320" s="9" t="str">
        <f t="shared" si="46"/>
        <v/>
      </c>
      <c r="T320" s="9" t="str">
        <f>IF(R320="","",IF(R320="BUY",E320-N320*操作パネル_MS2!$H$5,E320+N320*操作パネル_MS2!$H$5))</f>
        <v/>
      </c>
      <c r="U320" s="9" t="str">
        <f>IF(R320="","",IF(R320="BUY",E320+N320*操作パネル_MS2!$H$6,E320-N320*操作パネル_MS2!$H$6))</f>
        <v/>
      </c>
      <c r="V320" s="9" t="str">
        <f>IF(R320="","",IF(R320="BUY",E320+N320*操作パネル_MS2!$H$7,E320-N320*操作パネル_MS2!$H$7))</f>
        <v/>
      </c>
      <c r="W320" s="9" t="str">
        <f>IF(R320="","",IF(R320="BUY",E320+N320*操作パネル_MS2!$H$8,E320-N320*操作パネル_MS2!$H$8))</f>
        <v/>
      </c>
      <c r="X320" s="5" t="str">
        <f t="shared" si="47"/>
        <v/>
      </c>
      <c r="Y320" s="5" t="str">
        <f t="shared" ca="1" si="48"/>
        <v/>
      </c>
      <c r="Z320" s="5" t="str">
        <f>IF(OR(E320="",N320&lt;=0),"",IF(N320&gt;E320*操作パネル_MS2!$H$4,"VOL-HIGH","VOL-NORMAL"))</f>
        <v/>
      </c>
      <c r="AA320" s="5" t="str">
        <f t="shared" si="49"/>
        <v/>
      </c>
      <c r="AB320" s="5" t="str">
        <f t="shared" si="50"/>
        <v/>
      </c>
      <c r="AC320" s="30" t="str">
        <f>IF(C320="","",_xll.RssMarket(C320&amp;"","売買代金"))</f>
        <v/>
      </c>
      <c r="AD320" s="31">
        <f>IFERROR(INDEX(ATRHIST_MS2!$H:$H,MATCH(C320,ATRHIST_MS2!$A:$A,0)),0)</f>
        <v>0</v>
      </c>
    </row>
    <row r="321" spans="1:30" ht="25.95" customHeight="1">
      <c r="A321" s="5" t="str">
        <f t="shared" si="42"/>
        <v/>
      </c>
      <c r="B321" s="6" t="str">
        <f>IF(StockList_MS2!A320="","",HYPERLINK("https://kabutan.jp/stock/?code="&amp;StockList_MS2!A320,"株探"))</f>
        <v/>
      </c>
      <c r="C321" s="5" t="str">
        <f>IF(StockList_MS2!A320="","",StockList_MS2!A320)</f>
        <v/>
      </c>
      <c r="D321" s="7" t="str">
        <f>IF(StockList_MS2!A320="","",StockList_MS2!B320)</f>
        <v/>
      </c>
      <c r="E321" s="8"/>
      <c r="F321" s="8"/>
      <c r="G321" s="8"/>
      <c r="H321" s="8"/>
      <c r="I321" s="19"/>
      <c r="J321" s="8"/>
      <c r="K321" s="8"/>
      <c r="L321" s="8"/>
      <c r="M321" s="5" t="str">
        <f t="shared" si="51"/>
        <v/>
      </c>
      <c r="N321" s="9" t="str">
        <f>IF(OR(E321="",F321="",G321=""),"",IF(AD321&gt;0,AD321,(F321-G321)/SQRT(操作パネル_MS2!$H$12)*操作パネル_MS2!$H$10))</f>
        <v/>
      </c>
      <c r="O321" s="5" t="str">
        <f>IF(OR(E321="",AC321=""),"",IF(AC321&gt;=操作パネル_MS2!$H$3,"VOL-OK","VOL-NG"))</f>
        <v/>
      </c>
      <c r="P321" s="5" t="str">
        <f t="shared" si="43"/>
        <v/>
      </c>
      <c r="Q321" s="5" t="str">
        <f t="shared" si="44"/>
        <v/>
      </c>
      <c r="R321" s="5" t="str">
        <f t="shared" si="45"/>
        <v/>
      </c>
      <c r="S321" s="9" t="str">
        <f t="shared" si="46"/>
        <v/>
      </c>
      <c r="T321" s="9" t="str">
        <f>IF(R321="","",IF(R321="BUY",E321-N321*操作パネル_MS2!$H$5,E321+N321*操作パネル_MS2!$H$5))</f>
        <v/>
      </c>
      <c r="U321" s="9" t="str">
        <f>IF(R321="","",IF(R321="BUY",E321+N321*操作パネル_MS2!$H$6,E321-N321*操作パネル_MS2!$H$6))</f>
        <v/>
      </c>
      <c r="V321" s="9" t="str">
        <f>IF(R321="","",IF(R321="BUY",E321+N321*操作パネル_MS2!$H$7,E321-N321*操作パネル_MS2!$H$7))</f>
        <v/>
      </c>
      <c r="W321" s="9" t="str">
        <f>IF(R321="","",IF(R321="BUY",E321+N321*操作パネル_MS2!$H$8,E321-N321*操作パネル_MS2!$H$8))</f>
        <v/>
      </c>
      <c r="X321" s="5" t="str">
        <f t="shared" si="47"/>
        <v/>
      </c>
      <c r="Y321" s="5" t="str">
        <f t="shared" ca="1" si="48"/>
        <v/>
      </c>
      <c r="Z321" s="5" t="str">
        <f>IF(OR(E321="",N321&lt;=0),"",IF(N321&gt;E321*操作パネル_MS2!$H$4,"VOL-HIGH","VOL-NORMAL"))</f>
        <v/>
      </c>
      <c r="AA321" s="5" t="str">
        <f t="shared" si="49"/>
        <v/>
      </c>
      <c r="AB321" s="5" t="str">
        <f t="shared" si="50"/>
        <v/>
      </c>
      <c r="AC321" s="30" t="str">
        <f>IF(C321="","",_xll.RssMarket(C321&amp;"","売買代金"))</f>
        <v/>
      </c>
      <c r="AD321" s="31">
        <f>IFERROR(INDEX(ATRHIST_MS2!$H:$H,MATCH(C321,ATRHIST_MS2!$A:$A,0)),0)</f>
        <v>0</v>
      </c>
    </row>
    <row r="322" spans="1:30" ht="25.95" customHeight="1">
      <c r="A322" s="10" t="str">
        <f t="shared" si="42"/>
        <v/>
      </c>
      <c r="B322" s="11" t="str">
        <f>IF(StockList_MS2!A321="","",HYPERLINK("https://kabutan.jp/stock/?code="&amp;StockList_MS2!A321,"株探"))</f>
        <v/>
      </c>
      <c r="C322" s="10" t="str">
        <f>IF(StockList_MS2!A321="","",StockList_MS2!A321)</f>
        <v/>
      </c>
      <c r="D322" s="12" t="str">
        <f>IF(StockList_MS2!A321="","",StockList_MS2!B321)</f>
        <v/>
      </c>
      <c r="E322" s="13"/>
      <c r="F322" s="13"/>
      <c r="G322" s="13"/>
      <c r="H322" s="13"/>
      <c r="I322" s="20"/>
      <c r="J322" s="13"/>
      <c r="K322" s="13"/>
      <c r="L322" s="13"/>
      <c r="M322" s="5" t="str">
        <f t="shared" si="51"/>
        <v/>
      </c>
      <c r="N322" s="9" t="str">
        <f>IF(OR(E322="",F322="",G322=""),"",IF(AD322&gt;0,AD322,(F322-G322)/SQRT(操作パネル_MS2!$H$12)*操作パネル_MS2!$H$10))</f>
        <v/>
      </c>
      <c r="O322" s="5" t="str">
        <f>IF(OR(E322="",AC322=""),"",IF(AC322&gt;=操作パネル_MS2!$H$3,"VOL-OK","VOL-NG"))</f>
        <v/>
      </c>
      <c r="P322" s="5" t="str">
        <f t="shared" si="43"/>
        <v/>
      </c>
      <c r="Q322" s="5" t="str">
        <f t="shared" si="44"/>
        <v/>
      </c>
      <c r="R322" s="5" t="str">
        <f t="shared" si="45"/>
        <v/>
      </c>
      <c r="S322" s="9" t="str">
        <f t="shared" si="46"/>
        <v/>
      </c>
      <c r="T322" s="9" t="str">
        <f>IF(R322="","",IF(R322="BUY",E322-N322*操作パネル_MS2!$H$5,E322+N322*操作パネル_MS2!$H$5))</f>
        <v/>
      </c>
      <c r="U322" s="9" t="str">
        <f>IF(R322="","",IF(R322="BUY",E322+N322*操作パネル_MS2!$H$6,E322-N322*操作パネル_MS2!$H$6))</f>
        <v/>
      </c>
      <c r="V322" s="9" t="str">
        <f>IF(R322="","",IF(R322="BUY",E322+N322*操作パネル_MS2!$H$7,E322-N322*操作パネル_MS2!$H$7))</f>
        <v/>
      </c>
      <c r="W322" s="9" t="str">
        <f>IF(R322="","",IF(R322="BUY",E322+N322*操作パネル_MS2!$H$8,E322-N322*操作パネル_MS2!$H$8))</f>
        <v/>
      </c>
      <c r="X322" s="5" t="str">
        <f t="shared" si="47"/>
        <v/>
      </c>
      <c r="Y322" s="5" t="str">
        <f t="shared" ca="1" si="48"/>
        <v/>
      </c>
      <c r="Z322" s="5" t="str">
        <f>IF(OR(E322="",N322&lt;=0),"",IF(N322&gt;E322*操作パネル_MS2!$H$4,"VOL-HIGH","VOL-NORMAL"))</f>
        <v/>
      </c>
      <c r="AA322" s="5" t="str">
        <f t="shared" si="49"/>
        <v/>
      </c>
      <c r="AB322" s="5" t="str">
        <f t="shared" si="50"/>
        <v/>
      </c>
      <c r="AC322" s="30" t="str">
        <f>IF(C322="","",_xll.RssMarket(C322&amp;"","売買代金"))</f>
        <v/>
      </c>
      <c r="AD322" s="31">
        <f>IFERROR(INDEX(ATRHIST_MS2!$H:$H,MATCH(C322,ATRHIST_MS2!$A:$A,0)),0)</f>
        <v>0</v>
      </c>
    </row>
    <row r="323" spans="1:30" ht="25.95" customHeight="1">
      <c r="A323" s="5" t="str">
        <f t="shared" ref="A323:A352" si="52">IF(C323="","",ROW()-2)</f>
        <v/>
      </c>
      <c r="B323" s="6" t="str">
        <f>IF(StockList_MS2!A322="","",HYPERLINK("https://kabutan.jp/stock/?code="&amp;StockList_MS2!A322,"株探"))</f>
        <v/>
      </c>
      <c r="C323" s="5" t="str">
        <f>IF(StockList_MS2!A322="","",StockList_MS2!A322)</f>
        <v/>
      </c>
      <c r="D323" s="7" t="str">
        <f>IF(StockList_MS2!A322="","",StockList_MS2!B322)</f>
        <v/>
      </c>
      <c r="E323" s="8"/>
      <c r="F323" s="8"/>
      <c r="G323" s="8"/>
      <c r="H323" s="8"/>
      <c r="I323" s="19"/>
      <c r="J323" s="8"/>
      <c r="K323" s="8"/>
      <c r="L323" s="8"/>
      <c r="M323" s="5" t="str">
        <f t="shared" si="51"/>
        <v/>
      </c>
      <c r="N323" s="9" t="str">
        <f>IF(OR(E323="",F323="",G323=""),"",IF(AD323&gt;0,AD323,(F323-G323)/SQRT(操作パネル_MS2!$H$12)*操作パネル_MS2!$H$10))</f>
        <v/>
      </c>
      <c r="O323" s="5" t="str">
        <f>IF(OR(E323="",AC323=""),"",IF(AC323&gt;=操作パネル_MS2!$H$3,"VOL-OK","VOL-NG"))</f>
        <v/>
      </c>
      <c r="P323" s="5" t="str">
        <f t="shared" ref="P323:P352" si="53">IF(E323="","",IF(E323&gt;J323,"ON","OFF"))</f>
        <v/>
      </c>
      <c r="Q323" s="5" t="str">
        <f t="shared" ref="Q323:Q352" si="54">IF(E323="","",IF(E323&lt;K323,"ON","OFF"))</f>
        <v/>
      </c>
      <c r="R323" s="5" t="str">
        <f t="shared" ref="R323:R352" si="55">IF(OR(E323="",N323&lt;=0),"",IF(AND(M323="BUY-DAY",O323="VOL-OK",P323="ON",AA323="OK",AB323&lt;&gt;"DOWN"),"BUY",IF(AND(M323="SELL-DAY",O323="VOL-OK",Q323="ON",AA323="OK",AB323&lt;&gt;"UP"),"SELL","")))</f>
        <v/>
      </c>
      <c r="S323" s="9" t="str">
        <f t="shared" ref="S323:S352" si="56">IF(R323="","",E323)</f>
        <v/>
      </c>
      <c r="T323" s="9" t="str">
        <f>IF(R323="","",IF(R323="BUY",E323-N323*操作パネル_MS2!$H$5,E323+N323*操作パネル_MS2!$H$5))</f>
        <v/>
      </c>
      <c r="U323" s="9" t="str">
        <f>IF(R323="","",IF(R323="BUY",E323+N323*操作パネル_MS2!$H$6,E323-N323*操作パネル_MS2!$H$6))</f>
        <v/>
      </c>
      <c r="V323" s="9" t="str">
        <f>IF(R323="","",IF(R323="BUY",E323+N323*操作パネル_MS2!$H$7,E323-N323*操作パネル_MS2!$H$7))</f>
        <v/>
      </c>
      <c r="W323" s="9" t="str">
        <f>IF(R323="","",IF(R323="BUY",E323+N323*操作パネル_MS2!$H$8,E323-N323*操作パネル_MS2!$H$8))</f>
        <v/>
      </c>
      <c r="X323" s="5" t="str">
        <f t="shared" ref="X323:X352" si="57">IF(OR(E323="",N323&lt;=0),"",IF(AND(E323&gt;L323,ABS(E323-L323)&lt;N323*0.5),"2ND","1ST"))</f>
        <v/>
      </c>
      <c r="Y323" s="5" t="str">
        <f t="shared" ref="Y323:Y352" ca="1" si="58">IF(OR(E323="",N323&lt;=0),"",IF(AND(TEXT(NOW(),"hh:mm")&gt;="09:00",TEXT(NOW(),"hh:mm")&lt;="09:30"),"寄り付き",IF(AND(TEXT(NOW(),"hh:mm")&gt;="12:30",TEXT(NOW(),"hh:mm")&lt;="14:30"),"後場",IF(AND(TEXT(NOW(),"hh:mm")&gt;="14:30",TEXT(NOW(),"hh:mm")&lt;="15:00"),"引け前","その他"))))</f>
        <v/>
      </c>
      <c r="Z323" s="5" t="str">
        <f>IF(OR(E323="",N323&lt;=0),"",IF(N323&gt;E323*操作パネル_MS2!$H$4,"VOL-HIGH","VOL-NORMAL"))</f>
        <v/>
      </c>
      <c r="AA323" s="5" t="str">
        <f t="shared" ref="AA323:AA352" si="59">IF(OR(E323="",N323&lt;=0),"",IF(AND(O323="VOL-OK",Z323="VOL-NORMAL"),"OK","NG"))</f>
        <v/>
      </c>
      <c r="AB323" s="5" t="str">
        <f t="shared" ref="AB323:AB352" si="60">IF(OR(E323="",N323&lt;=0),"",IF(AND(F323&gt;J323,G323&gt;K323),"UP",IF(AND(F323&lt;J323,G323&lt;K323),"DOWN","FLAT")))</f>
        <v/>
      </c>
      <c r="AC323" s="30" t="str">
        <f>IF(C323="","",_xll.RssMarket(C323&amp;"","売買代金"))</f>
        <v/>
      </c>
      <c r="AD323" s="31">
        <f>IFERROR(INDEX(ATRHIST_MS2!$H:$H,MATCH(C323,ATRHIST_MS2!$A:$A,0)),0)</f>
        <v>0</v>
      </c>
    </row>
    <row r="324" spans="1:30" ht="25.95" customHeight="1">
      <c r="A324" s="10" t="str">
        <f t="shared" si="52"/>
        <v/>
      </c>
      <c r="B324" s="11" t="str">
        <f>IF(StockList_MS2!A323="","",HYPERLINK("https://kabutan.jp/stock/?code="&amp;StockList_MS2!A323,"株探"))</f>
        <v/>
      </c>
      <c r="C324" s="10" t="str">
        <f>IF(StockList_MS2!A323="","",StockList_MS2!A323)</f>
        <v/>
      </c>
      <c r="D324" s="12" t="str">
        <f>IF(StockList_MS2!A323="","",StockList_MS2!B323)</f>
        <v/>
      </c>
      <c r="E324" s="13"/>
      <c r="F324" s="13"/>
      <c r="G324" s="13"/>
      <c r="H324" s="13"/>
      <c r="I324" s="20"/>
      <c r="J324" s="13"/>
      <c r="K324" s="13"/>
      <c r="L324" s="13"/>
      <c r="M324" s="5" t="str">
        <f t="shared" si="51"/>
        <v/>
      </c>
      <c r="N324" s="9" t="str">
        <f>IF(OR(E324="",F324="",G324=""),"",IF(AD324&gt;0,AD324,(F324-G324)/SQRT(操作パネル_MS2!$H$12)*操作パネル_MS2!$H$10))</f>
        <v/>
      </c>
      <c r="O324" s="5" t="str">
        <f>IF(OR(E324="",AC324=""),"",IF(AC324&gt;=操作パネル_MS2!$H$3,"VOL-OK","VOL-NG"))</f>
        <v/>
      </c>
      <c r="P324" s="5" t="str">
        <f t="shared" si="53"/>
        <v/>
      </c>
      <c r="Q324" s="5" t="str">
        <f t="shared" si="54"/>
        <v/>
      </c>
      <c r="R324" s="5" t="str">
        <f t="shared" si="55"/>
        <v/>
      </c>
      <c r="S324" s="9" t="str">
        <f t="shared" si="56"/>
        <v/>
      </c>
      <c r="T324" s="9" t="str">
        <f>IF(R324="","",IF(R324="BUY",E324-N324*操作パネル_MS2!$H$5,E324+N324*操作パネル_MS2!$H$5))</f>
        <v/>
      </c>
      <c r="U324" s="9" t="str">
        <f>IF(R324="","",IF(R324="BUY",E324+N324*操作パネル_MS2!$H$6,E324-N324*操作パネル_MS2!$H$6))</f>
        <v/>
      </c>
      <c r="V324" s="9" t="str">
        <f>IF(R324="","",IF(R324="BUY",E324+N324*操作パネル_MS2!$H$7,E324-N324*操作パネル_MS2!$H$7))</f>
        <v/>
      </c>
      <c r="W324" s="9" t="str">
        <f>IF(R324="","",IF(R324="BUY",E324+N324*操作パネル_MS2!$H$8,E324-N324*操作パネル_MS2!$H$8))</f>
        <v/>
      </c>
      <c r="X324" s="5" t="str">
        <f t="shared" si="57"/>
        <v/>
      </c>
      <c r="Y324" s="5" t="str">
        <f t="shared" ca="1" si="58"/>
        <v/>
      </c>
      <c r="Z324" s="5" t="str">
        <f>IF(OR(E324="",N324&lt;=0),"",IF(N324&gt;E324*操作パネル_MS2!$H$4,"VOL-HIGH","VOL-NORMAL"))</f>
        <v/>
      </c>
      <c r="AA324" s="5" t="str">
        <f t="shared" si="59"/>
        <v/>
      </c>
      <c r="AB324" s="5" t="str">
        <f t="shared" si="60"/>
        <v/>
      </c>
      <c r="AC324" s="30" t="str">
        <f>IF(C324="","",_xll.RssMarket(C324&amp;"","売買代金"))</f>
        <v/>
      </c>
      <c r="AD324" s="31">
        <f>IFERROR(INDEX(ATRHIST_MS2!$H:$H,MATCH(C324,ATRHIST_MS2!$A:$A,0)),0)</f>
        <v>0</v>
      </c>
    </row>
    <row r="325" spans="1:30" ht="25.95" customHeight="1">
      <c r="A325" s="5" t="str">
        <f t="shared" si="52"/>
        <v/>
      </c>
      <c r="B325" s="6" t="str">
        <f>IF(StockList_MS2!A324="","",HYPERLINK("https://kabutan.jp/stock/?code="&amp;StockList_MS2!A324,"株探"))</f>
        <v/>
      </c>
      <c r="C325" s="5" t="str">
        <f>IF(StockList_MS2!A324="","",StockList_MS2!A324)</f>
        <v/>
      </c>
      <c r="D325" s="7" t="str">
        <f>IF(StockList_MS2!A324="","",StockList_MS2!B324)</f>
        <v/>
      </c>
      <c r="E325" s="8"/>
      <c r="F325" s="8"/>
      <c r="G325" s="8"/>
      <c r="H325" s="8"/>
      <c r="I325" s="19"/>
      <c r="J325" s="8"/>
      <c r="K325" s="8"/>
      <c r="L325" s="8"/>
      <c r="M325" s="5" t="str">
        <f t="shared" si="51"/>
        <v/>
      </c>
      <c r="N325" s="9" t="str">
        <f>IF(OR(E325="",F325="",G325=""),"",IF(AD325&gt;0,AD325,(F325-G325)/SQRT(操作パネル_MS2!$H$12)*操作パネル_MS2!$H$10))</f>
        <v/>
      </c>
      <c r="O325" s="5" t="str">
        <f>IF(OR(E325="",AC325=""),"",IF(AC325&gt;=操作パネル_MS2!$H$3,"VOL-OK","VOL-NG"))</f>
        <v/>
      </c>
      <c r="P325" s="5" t="str">
        <f t="shared" si="53"/>
        <v/>
      </c>
      <c r="Q325" s="5" t="str">
        <f t="shared" si="54"/>
        <v/>
      </c>
      <c r="R325" s="5" t="str">
        <f t="shared" si="55"/>
        <v/>
      </c>
      <c r="S325" s="9" t="str">
        <f t="shared" si="56"/>
        <v/>
      </c>
      <c r="T325" s="9" t="str">
        <f>IF(R325="","",IF(R325="BUY",E325-N325*操作パネル_MS2!$H$5,E325+N325*操作パネル_MS2!$H$5))</f>
        <v/>
      </c>
      <c r="U325" s="9" t="str">
        <f>IF(R325="","",IF(R325="BUY",E325+N325*操作パネル_MS2!$H$6,E325-N325*操作パネル_MS2!$H$6))</f>
        <v/>
      </c>
      <c r="V325" s="9" t="str">
        <f>IF(R325="","",IF(R325="BUY",E325+N325*操作パネル_MS2!$H$7,E325-N325*操作パネル_MS2!$H$7))</f>
        <v/>
      </c>
      <c r="W325" s="9" t="str">
        <f>IF(R325="","",IF(R325="BUY",E325+N325*操作パネル_MS2!$H$8,E325-N325*操作パネル_MS2!$H$8))</f>
        <v/>
      </c>
      <c r="X325" s="5" t="str">
        <f t="shared" si="57"/>
        <v/>
      </c>
      <c r="Y325" s="5" t="str">
        <f t="shared" ca="1" si="58"/>
        <v/>
      </c>
      <c r="Z325" s="5" t="str">
        <f>IF(OR(E325="",N325&lt;=0),"",IF(N325&gt;E325*操作パネル_MS2!$H$4,"VOL-HIGH","VOL-NORMAL"))</f>
        <v/>
      </c>
      <c r="AA325" s="5" t="str">
        <f t="shared" si="59"/>
        <v/>
      </c>
      <c r="AB325" s="5" t="str">
        <f t="shared" si="60"/>
        <v/>
      </c>
      <c r="AC325" s="30" t="str">
        <f>IF(C325="","",_xll.RssMarket(C325&amp;"","売買代金"))</f>
        <v/>
      </c>
      <c r="AD325" s="31">
        <f>IFERROR(INDEX(ATRHIST_MS2!$H:$H,MATCH(C325,ATRHIST_MS2!$A:$A,0)),0)</f>
        <v>0</v>
      </c>
    </row>
    <row r="326" spans="1:30" ht="25.95" customHeight="1">
      <c r="A326" s="10" t="str">
        <f t="shared" si="52"/>
        <v/>
      </c>
      <c r="B326" s="11" t="str">
        <f>IF(StockList_MS2!A325="","",HYPERLINK("https://kabutan.jp/stock/?code="&amp;StockList_MS2!A325,"株探"))</f>
        <v/>
      </c>
      <c r="C326" s="10" t="str">
        <f>IF(StockList_MS2!A325="","",StockList_MS2!A325)</f>
        <v/>
      </c>
      <c r="D326" s="12" t="str">
        <f>IF(StockList_MS2!A325="","",StockList_MS2!B325)</f>
        <v/>
      </c>
      <c r="E326" s="13"/>
      <c r="F326" s="13"/>
      <c r="G326" s="13"/>
      <c r="H326" s="13"/>
      <c r="I326" s="20"/>
      <c r="J326" s="13"/>
      <c r="K326" s="13"/>
      <c r="L326" s="13"/>
      <c r="M326" s="5" t="str">
        <f t="shared" si="51"/>
        <v/>
      </c>
      <c r="N326" s="9" t="str">
        <f>IF(OR(E326="",F326="",G326=""),"",IF(AD326&gt;0,AD326,(F326-G326)/SQRT(操作パネル_MS2!$H$12)*操作パネル_MS2!$H$10))</f>
        <v/>
      </c>
      <c r="O326" s="5" t="str">
        <f>IF(OR(E326="",AC326=""),"",IF(AC326&gt;=操作パネル_MS2!$H$3,"VOL-OK","VOL-NG"))</f>
        <v/>
      </c>
      <c r="P326" s="5" t="str">
        <f t="shared" si="53"/>
        <v/>
      </c>
      <c r="Q326" s="5" t="str">
        <f t="shared" si="54"/>
        <v/>
      </c>
      <c r="R326" s="5" t="str">
        <f t="shared" si="55"/>
        <v/>
      </c>
      <c r="S326" s="9" t="str">
        <f t="shared" si="56"/>
        <v/>
      </c>
      <c r="T326" s="9" t="str">
        <f>IF(R326="","",IF(R326="BUY",E326-N326*操作パネル_MS2!$H$5,E326+N326*操作パネル_MS2!$H$5))</f>
        <v/>
      </c>
      <c r="U326" s="9" t="str">
        <f>IF(R326="","",IF(R326="BUY",E326+N326*操作パネル_MS2!$H$6,E326-N326*操作パネル_MS2!$H$6))</f>
        <v/>
      </c>
      <c r="V326" s="9" t="str">
        <f>IF(R326="","",IF(R326="BUY",E326+N326*操作パネル_MS2!$H$7,E326-N326*操作パネル_MS2!$H$7))</f>
        <v/>
      </c>
      <c r="W326" s="9" t="str">
        <f>IF(R326="","",IF(R326="BUY",E326+N326*操作パネル_MS2!$H$8,E326-N326*操作パネル_MS2!$H$8))</f>
        <v/>
      </c>
      <c r="X326" s="5" t="str">
        <f t="shared" si="57"/>
        <v/>
      </c>
      <c r="Y326" s="5" t="str">
        <f t="shared" ca="1" si="58"/>
        <v/>
      </c>
      <c r="Z326" s="5" t="str">
        <f>IF(OR(E326="",N326&lt;=0),"",IF(N326&gt;E326*操作パネル_MS2!$H$4,"VOL-HIGH","VOL-NORMAL"))</f>
        <v/>
      </c>
      <c r="AA326" s="5" t="str">
        <f t="shared" si="59"/>
        <v/>
      </c>
      <c r="AB326" s="5" t="str">
        <f t="shared" si="60"/>
        <v/>
      </c>
      <c r="AC326" s="30" t="str">
        <f>IF(C326="","",_xll.RssMarket(C326&amp;"","売買代金"))</f>
        <v/>
      </c>
      <c r="AD326" s="31">
        <f>IFERROR(INDEX(ATRHIST_MS2!$H:$H,MATCH(C326,ATRHIST_MS2!$A:$A,0)),0)</f>
        <v>0</v>
      </c>
    </row>
    <row r="327" spans="1:30" ht="25.95" customHeight="1">
      <c r="A327" s="5" t="str">
        <f t="shared" si="52"/>
        <v/>
      </c>
      <c r="B327" s="6" t="str">
        <f>IF(StockList_MS2!A326="","",HYPERLINK("https://kabutan.jp/stock/?code="&amp;StockList_MS2!A326,"株探"))</f>
        <v/>
      </c>
      <c r="C327" s="5" t="str">
        <f>IF(StockList_MS2!A326="","",StockList_MS2!A326)</f>
        <v/>
      </c>
      <c r="D327" s="7" t="str">
        <f>IF(StockList_MS2!A326="","",StockList_MS2!B326)</f>
        <v/>
      </c>
      <c r="E327" s="8"/>
      <c r="F327" s="8"/>
      <c r="G327" s="8"/>
      <c r="H327" s="8"/>
      <c r="I327" s="19"/>
      <c r="J327" s="8"/>
      <c r="K327" s="8"/>
      <c r="L327" s="8"/>
      <c r="M327" s="5" t="str">
        <f t="shared" si="51"/>
        <v/>
      </c>
      <c r="N327" s="9" t="str">
        <f>IF(OR(E327="",F327="",G327=""),"",IF(AD327&gt;0,AD327,(F327-G327)/SQRT(操作パネル_MS2!$H$12)*操作パネル_MS2!$H$10))</f>
        <v/>
      </c>
      <c r="O327" s="5" t="str">
        <f>IF(OR(E327="",AC327=""),"",IF(AC327&gt;=操作パネル_MS2!$H$3,"VOL-OK","VOL-NG"))</f>
        <v/>
      </c>
      <c r="P327" s="5" t="str">
        <f t="shared" si="53"/>
        <v/>
      </c>
      <c r="Q327" s="5" t="str">
        <f t="shared" si="54"/>
        <v/>
      </c>
      <c r="R327" s="5" t="str">
        <f t="shared" si="55"/>
        <v/>
      </c>
      <c r="S327" s="9" t="str">
        <f t="shared" si="56"/>
        <v/>
      </c>
      <c r="T327" s="9" t="str">
        <f>IF(R327="","",IF(R327="BUY",E327-N327*操作パネル_MS2!$H$5,E327+N327*操作パネル_MS2!$H$5))</f>
        <v/>
      </c>
      <c r="U327" s="9" t="str">
        <f>IF(R327="","",IF(R327="BUY",E327+N327*操作パネル_MS2!$H$6,E327-N327*操作パネル_MS2!$H$6))</f>
        <v/>
      </c>
      <c r="V327" s="9" t="str">
        <f>IF(R327="","",IF(R327="BUY",E327+N327*操作パネル_MS2!$H$7,E327-N327*操作パネル_MS2!$H$7))</f>
        <v/>
      </c>
      <c r="W327" s="9" t="str">
        <f>IF(R327="","",IF(R327="BUY",E327+N327*操作パネル_MS2!$H$8,E327-N327*操作パネル_MS2!$H$8))</f>
        <v/>
      </c>
      <c r="X327" s="5" t="str">
        <f t="shared" si="57"/>
        <v/>
      </c>
      <c r="Y327" s="5" t="str">
        <f t="shared" ca="1" si="58"/>
        <v/>
      </c>
      <c r="Z327" s="5" t="str">
        <f>IF(OR(E327="",N327&lt;=0),"",IF(N327&gt;E327*操作パネル_MS2!$H$4,"VOL-HIGH","VOL-NORMAL"))</f>
        <v/>
      </c>
      <c r="AA327" s="5" t="str">
        <f t="shared" si="59"/>
        <v/>
      </c>
      <c r="AB327" s="5" t="str">
        <f t="shared" si="60"/>
        <v/>
      </c>
      <c r="AC327" s="30" t="str">
        <f>IF(C327="","",_xll.RssMarket(C327&amp;"","売買代金"))</f>
        <v/>
      </c>
      <c r="AD327" s="31">
        <f>IFERROR(INDEX(ATRHIST_MS2!$H:$H,MATCH(C327,ATRHIST_MS2!$A:$A,0)),0)</f>
        <v>0</v>
      </c>
    </row>
    <row r="328" spans="1:30" ht="25.95" customHeight="1">
      <c r="A328" s="10" t="str">
        <f t="shared" si="52"/>
        <v/>
      </c>
      <c r="B328" s="11" t="str">
        <f>IF(StockList_MS2!A327="","",HYPERLINK("https://kabutan.jp/stock/?code="&amp;StockList_MS2!A327,"株探"))</f>
        <v/>
      </c>
      <c r="C328" s="10" t="str">
        <f>IF(StockList_MS2!A327="","",StockList_MS2!A327)</f>
        <v/>
      </c>
      <c r="D328" s="12" t="str">
        <f>IF(StockList_MS2!A327="","",StockList_MS2!B327)</f>
        <v/>
      </c>
      <c r="E328" s="13"/>
      <c r="F328" s="13"/>
      <c r="G328" s="13"/>
      <c r="H328" s="13"/>
      <c r="I328" s="20"/>
      <c r="J328" s="13"/>
      <c r="K328" s="13"/>
      <c r="L328" s="13"/>
      <c r="M328" s="5" t="str">
        <f t="shared" si="51"/>
        <v/>
      </c>
      <c r="N328" s="9" t="str">
        <f>IF(OR(E328="",F328="",G328=""),"",IF(AD328&gt;0,AD328,(F328-G328)/SQRT(操作パネル_MS2!$H$12)*操作パネル_MS2!$H$10))</f>
        <v/>
      </c>
      <c r="O328" s="5" t="str">
        <f>IF(OR(E328="",AC328=""),"",IF(AC328&gt;=操作パネル_MS2!$H$3,"VOL-OK","VOL-NG"))</f>
        <v/>
      </c>
      <c r="P328" s="5" t="str">
        <f t="shared" si="53"/>
        <v/>
      </c>
      <c r="Q328" s="5" t="str">
        <f t="shared" si="54"/>
        <v/>
      </c>
      <c r="R328" s="5" t="str">
        <f t="shared" si="55"/>
        <v/>
      </c>
      <c r="S328" s="9" t="str">
        <f t="shared" si="56"/>
        <v/>
      </c>
      <c r="T328" s="9" t="str">
        <f>IF(R328="","",IF(R328="BUY",E328-N328*操作パネル_MS2!$H$5,E328+N328*操作パネル_MS2!$H$5))</f>
        <v/>
      </c>
      <c r="U328" s="9" t="str">
        <f>IF(R328="","",IF(R328="BUY",E328+N328*操作パネル_MS2!$H$6,E328-N328*操作パネル_MS2!$H$6))</f>
        <v/>
      </c>
      <c r="V328" s="9" t="str">
        <f>IF(R328="","",IF(R328="BUY",E328+N328*操作パネル_MS2!$H$7,E328-N328*操作パネル_MS2!$H$7))</f>
        <v/>
      </c>
      <c r="W328" s="9" t="str">
        <f>IF(R328="","",IF(R328="BUY",E328+N328*操作パネル_MS2!$H$8,E328-N328*操作パネル_MS2!$H$8))</f>
        <v/>
      </c>
      <c r="X328" s="5" t="str">
        <f t="shared" si="57"/>
        <v/>
      </c>
      <c r="Y328" s="5" t="str">
        <f t="shared" ca="1" si="58"/>
        <v/>
      </c>
      <c r="Z328" s="5" t="str">
        <f>IF(OR(E328="",N328&lt;=0),"",IF(N328&gt;E328*操作パネル_MS2!$H$4,"VOL-HIGH","VOL-NORMAL"))</f>
        <v/>
      </c>
      <c r="AA328" s="5" t="str">
        <f t="shared" si="59"/>
        <v/>
      </c>
      <c r="AB328" s="5" t="str">
        <f t="shared" si="60"/>
        <v/>
      </c>
      <c r="AC328" s="30" t="str">
        <f>IF(C328="","",_xll.RssMarket(C328&amp;"","売買代金"))</f>
        <v/>
      </c>
      <c r="AD328" s="31">
        <f>IFERROR(INDEX(ATRHIST_MS2!$H:$H,MATCH(C328,ATRHIST_MS2!$A:$A,0)),0)</f>
        <v>0</v>
      </c>
    </row>
    <row r="329" spans="1:30" ht="25.95" customHeight="1">
      <c r="A329" s="5" t="str">
        <f t="shared" si="52"/>
        <v/>
      </c>
      <c r="B329" s="6" t="str">
        <f>IF(StockList_MS2!A328="","",HYPERLINK("https://kabutan.jp/stock/?code="&amp;StockList_MS2!A328,"株探"))</f>
        <v/>
      </c>
      <c r="C329" s="5" t="str">
        <f>IF(StockList_MS2!A328="","",StockList_MS2!A328)</f>
        <v/>
      </c>
      <c r="D329" s="7" t="str">
        <f>IF(StockList_MS2!A328="","",StockList_MS2!B328)</f>
        <v/>
      </c>
      <c r="E329" s="8"/>
      <c r="F329" s="8"/>
      <c r="G329" s="8"/>
      <c r="H329" s="8"/>
      <c r="I329" s="19"/>
      <c r="J329" s="8"/>
      <c r="K329" s="8"/>
      <c r="L329" s="8"/>
      <c r="M329" s="5" t="str">
        <f t="shared" si="51"/>
        <v/>
      </c>
      <c r="N329" s="9" t="str">
        <f>IF(OR(E329="",F329="",G329=""),"",IF(AD329&gt;0,AD329,(F329-G329)/SQRT(操作パネル_MS2!$H$12)*操作パネル_MS2!$H$10))</f>
        <v/>
      </c>
      <c r="O329" s="5" t="str">
        <f>IF(OR(E329="",AC329=""),"",IF(AC329&gt;=操作パネル_MS2!$H$3,"VOL-OK","VOL-NG"))</f>
        <v/>
      </c>
      <c r="P329" s="5" t="str">
        <f t="shared" si="53"/>
        <v/>
      </c>
      <c r="Q329" s="5" t="str">
        <f t="shared" si="54"/>
        <v/>
      </c>
      <c r="R329" s="5" t="str">
        <f t="shared" si="55"/>
        <v/>
      </c>
      <c r="S329" s="9" t="str">
        <f t="shared" si="56"/>
        <v/>
      </c>
      <c r="T329" s="9" t="str">
        <f>IF(R329="","",IF(R329="BUY",E329-N329*操作パネル_MS2!$H$5,E329+N329*操作パネル_MS2!$H$5))</f>
        <v/>
      </c>
      <c r="U329" s="9" t="str">
        <f>IF(R329="","",IF(R329="BUY",E329+N329*操作パネル_MS2!$H$6,E329-N329*操作パネル_MS2!$H$6))</f>
        <v/>
      </c>
      <c r="V329" s="9" t="str">
        <f>IF(R329="","",IF(R329="BUY",E329+N329*操作パネル_MS2!$H$7,E329-N329*操作パネル_MS2!$H$7))</f>
        <v/>
      </c>
      <c r="W329" s="9" t="str">
        <f>IF(R329="","",IF(R329="BUY",E329+N329*操作パネル_MS2!$H$8,E329-N329*操作パネル_MS2!$H$8))</f>
        <v/>
      </c>
      <c r="X329" s="5" t="str">
        <f t="shared" si="57"/>
        <v/>
      </c>
      <c r="Y329" s="5" t="str">
        <f t="shared" ca="1" si="58"/>
        <v/>
      </c>
      <c r="Z329" s="5" t="str">
        <f>IF(OR(E329="",N329&lt;=0),"",IF(N329&gt;E329*操作パネル_MS2!$H$4,"VOL-HIGH","VOL-NORMAL"))</f>
        <v/>
      </c>
      <c r="AA329" s="5" t="str">
        <f t="shared" si="59"/>
        <v/>
      </c>
      <c r="AB329" s="5" t="str">
        <f t="shared" si="60"/>
        <v/>
      </c>
      <c r="AC329" s="30" t="str">
        <f>IF(C329="","",_xll.RssMarket(C329&amp;"","売買代金"))</f>
        <v/>
      </c>
      <c r="AD329" s="31">
        <f>IFERROR(INDEX(ATRHIST_MS2!$H:$H,MATCH(C329,ATRHIST_MS2!$A:$A,0)),0)</f>
        <v>0</v>
      </c>
    </row>
    <row r="330" spans="1:30" ht="25.95" customHeight="1">
      <c r="A330" s="10" t="str">
        <f t="shared" si="52"/>
        <v/>
      </c>
      <c r="B330" s="11" t="str">
        <f>IF(StockList_MS2!A329="","",HYPERLINK("https://kabutan.jp/stock/?code="&amp;StockList_MS2!A329,"株探"))</f>
        <v/>
      </c>
      <c r="C330" s="10" t="str">
        <f>IF(StockList_MS2!A329="","",StockList_MS2!A329)</f>
        <v/>
      </c>
      <c r="D330" s="12" t="str">
        <f>IF(StockList_MS2!A329="","",StockList_MS2!B329)</f>
        <v/>
      </c>
      <c r="E330" s="13"/>
      <c r="F330" s="13"/>
      <c r="G330" s="13"/>
      <c r="H330" s="13"/>
      <c r="I330" s="20"/>
      <c r="J330" s="13"/>
      <c r="K330" s="13"/>
      <c r="L330" s="13"/>
      <c r="M330" s="5" t="str">
        <f t="shared" si="51"/>
        <v/>
      </c>
      <c r="N330" s="9" t="str">
        <f>IF(OR(E330="",F330="",G330=""),"",IF(AD330&gt;0,AD330,(F330-G330)/SQRT(操作パネル_MS2!$H$12)*操作パネル_MS2!$H$10))</f>
        <v/>
      </c>
      <c r="O330" s="5" t="str">
        <f>IF(OR(E330="",AC330=""),"",IF(AC330&gt;=操作パネル_MS2!$H$3,"VOL-OK","VOL-NG"))</f>
        <v/>
      </c>
      <c r="P330" s="5" t="str">
        <f t="shared" si="53"/>
        <v/>
      </c>
      <c r="Q330" s="5" t="str">
        <f t="shared" si="54"/>
        <v/>
      </c>
      <c r="R330" s="5" t="str">
        <f t="shared" si="55"/>
        <v/>
      </c>
      <c r="S330" s="9" t="str">
        <f t="shared" si="56"/>
        <v/>
      </c>
      <c r="T330" s="9" t="str">
        <f>IF(R330="","",IF(R330="BUY",E330-N330*操作パネル_MS2!$H$5,E330+N330*操作パネル_MS2!$H$5))</f>
        <v/>
      </c>
      <c r="U330" s="9" t="str">
        <f>IF(R330="","",IF(R330="BUY",E330+N330*操作パネル_MS2!$H$6,E330-N330*操作パネル_MS2!$H$6))</f>
        <v/>
      </c>
      <c r="V330" s="9" t="str">
        <f>IF(R330="","",IF(R330="BUY",E330+N330*操作パネル_MS2!$H$7,E330-N330*操作パネル_MS2!$H$7))</f>
        <v/>
      </c>
      <c r="W330" s="9" t="str">
        <f>IF(R330="","",IF(R330="BUY",E330+N330*操作パネル_MS2!$H$8,E330-N330*操作パネル_MS2!$H$8))</f>
        <v/>
      </c>
      <c r="X330" s="5" t="str">
        <f t="shared" si="57"/>
        <v/>
      </c>
      <c r="Y330" s="5" t="str">
        <f t="shared" ca="1" si="58"/>
        <v/>
      </c>
      <c r="Z330" s="5" t="str">
        <f>IF(OR(E330="",N330&lt;=0),"",IF(N330&gt;E330*操作パネル_MS2!$H$4,"VOL-HIGH","VOL-NORMAL"))</f>
        <v/>
      </c>
      <c r="AA330" s="5" t="str">
        <f t="shared" si="59"/>
        <v/>
      </c>
      <c r="AB330" s="5" t="str">
        <f t="shared" si="60"/>
        <v/>
      </c>
      <c r="AC330" s="30" t="str">
        <f>IF(C330="","",_xll.RssMarket(C330&amp;"","売買代金"))</f>
        <v/>
      </c>
      <c r="AD330" s="31">
        <f>IFERROR(INDEX(ATRHIST_MS2!$H:$H,MATCH(C330,ATRHIST_MS2!$A:$A,0)),0)</f>
        <v>0</v>
      </c>
    </row>
    <row r="331" spans="1:30" ht="25.95" customHeight="1">
      <c r="A331" s="5" t="str">
        <f t="shared" si="52"/>
        <v/>
      </c>
      <c r="B331" s="6" t="str">
        <f>IF(StockList_MS2!A330="","",HYPERLINK("https://kabutan.jp/stock/?code="&amp;StockList_MS2!A330,"株探"))</f>
        <v/>
      </c>
      <c r="C331" s="5" t="str">
        <f>IF(StockList_MS2!A330="","",StockList_MS2!A330)</f>
        <v/>
      </c>
      <c r="D331" s="7" t="str">
        <f>IF(StockList_MS2!A330="","",StockList_MS2!B330)</f>
        <v/>
      </c>
      <c r="E331" s="8"/>
      <c r="F331" s="8"/>
      <c r="G331" s="8"/>
      <c r="H331" s="8"/>
      <c r="I331" s="19"/>
      <c r="J331" s="8"/>
      <c r="K331" s="8"/>
      <c r="L331" s="8"/>
      <c r="M331" s="5" t="str">
        <f t="shared" si="51"/>
        <v/>
      </c>
      <c r="N331" s="9" t="str">
        <f>IF(OR(E331="",F331="",G331=""),"",IF(AD331&gt;0,AD331,(F331-G331)/SQRT(操作パネル_MS2!$H$12)*操作パネル_MS2!$H$10))</f>
        <v/>
      </c>
      <c r="O331" s="5" t="str">
        <f>IF(OR(E331="",AC331=""),"",IF(AC331&gt;=操作パネル_MS2!$H$3,"VOL-OK","VOL-NG"))</f>
        <v/>
      </c>
      <c r="P331" s="5" t="str">
        <f t="shared" si="53"/>
        <v/>
      </c>
      <c r="Q331" s="5" t="str">
        <f t="shared" si="54"/>
        <v/>
      </c>
      <c r="R331" s="5" t="str">
        <f t="shared" si="55"/>
        <v/>
      </c>
      <c r="S331" s="9" t="str">
        <f t="shared" si="56"/>
        <v/>
      </c>
      <c r="T331" s="9" t="str">
        <f>IF(R331="","",IF(R331="BUY",E331-N331*操作パネル_MS2!$H$5,E331+N331*操作パネル_MS2!$H$5))</f>
        <v/>
      </c>
      <c r="U331" s="9" t="str">
        <f>IF(R331="","",IF(R331="BUY",E331+N331*操作パネル_MS2!$H$6,E331-N331*操作パネル_MS2!$H$6))</f>
        <v/>
      </c>
      <c r="V331" s="9" t="str">
        <f>IF(R331="","",IF(R331="BUY",E331+N331*操作パネル_MS2!$H$7,E331-N331*操作パネル_MS2!$H$7))</f>
        <v/>
      </c>
      <c r="W331" s="9" t="str">
        <f>IF(R331="","",IF(R331="BUY",E331+N331*操作パネル_MS2!$H$8,E331-N331*操作パネル_MS2!$H$8))</f>
        <v/>
      </c>
      <c r="X331" s="5" t="str">
        <f t="shared" si="57"/>
        <v/>
      </c>
      <c r="Y331" s="5" t="str">
        <f t="shared" ca="1" si="58"/>
        <v/>
      </c>
      <c r="Z331" s="5" t="str">
        <f>IF(OR(E331="",N331&lt;=0),"",IF(N331&gt;E331*操作パネル_MS2!$H$4,"VOL-HIGH","VOL-NORMAL"))</f>
        <v/>
      </c>
      <c r="AA331" s="5" t="str">
        <f t="shared" si="59"/>
        <v/>
      </c>
      <c r="AB331" s="5" t="str">
        <f t="shared" si="60"/>
        <v/>
      </c>
      <c r="AC331" s="30" t="str">
        <f>IF(C331="","",_xll.RssMarket(C331&amp;"","売買代金"))</f>
        <v/>
      </c>
      <c r="AD331" s="31">
        <f>IFERROR(INDEX(ATRHIST_MS2!$H:$H,MATCH(C331,ATRHIST_MS2!$A:$A,0)),0)</f>
        <v>0</v>
      </c>
    </row>
    <row r="332" spans="1:30" ht="25.95" customHeight="1">
      <c r="A332" s="10" t="str">
        <f t="shared" si="52"/>
        <v/>
      </c>
      <c r="B332" s="11" t="str">
        <f>IF(StockList_MS2!A331="","",HYPERLINK("https://kabutan.jp/stock/?code="&amp;StockList_MS2!A331,"株探"))</f>
        <v/>
      </c>
      <c r="C332" s="10" t="str">
        <f>IF(StockList_MS2!A331="","",StockList_MS2!A331)</f>
        <v/>
      </c>
      <c r="D332" s="12" t="str">
        <f>IF(StockList_MS2!A331="","",StockList_MS2!B331)</f>
        <v/>
      </c>
      <c r="E332" s="13"/>
      <c r="F332" s="13"/>
      <c r="G332" s="13"/>
      <c r="H332" s="13"/>
      <c r="I332" s="20"/>
      <c r="J332" s="13"/>
      <c r="K332" s="13"/>
      <c r="L332" s="13"/>
      <c r="M332" s="5" t="str">
        <f t="shared" si="51"/>
        <v/>
      </c>
      <c r="N332" s="9" t="str">
        <f>IF(OR(E332="",F332="",G332=""),"",IF(AD332&gt;0,AD332,(F332-G332)/SQRT(操作パネル_MS2!$H$12)*操作パネル_MS2!$H$10))</f>
        <v/>
      </c>
      <c r="O332" s="5" t="str">
        <f>IF(OR(E332="",AC332=""),"",IF(AC332&gt;=操作パネル_MS2!$H$3,"VOL-OK","VOL-NG"))</f>
        <v/>
      </c>
      <c r="P332" s="5" t="str">
        <f t="shared" si="53"/>
        <v/>
      </c>
      <c r="Q332" s="5" t="str">
        <f t="shared" si="54"/>
        <v/>
      </c>
      <c r="R332" s="5" t="str">
        <f t="shared" si="55"/>
        <v/>
      </c>
      <c r="S332" s="9" t="str">
        <f t="shared" si="56"/>
        <v/>
      </c>
      <c r="T332" s="9" t="str">
        <f>IF(R332="","",IF(R332="BUY",E332-N332*操作パネル_MS2!$H$5,E332+N332*操作パネル_MS2!$H$5))</f>
        <v/>
      </c>
      <c r="U332" s="9" t="str">
        <f>IF(R332="","",IF(R332="BUY",E332+N332*操作パネル_MS2!$H$6,E332-N332*操作パネル_MS2!$H$6))</f>
        <v/>
      </c>
      <c r="V332" s="9" t="str">
        <f>IF(R332="","",IF(R332="BUY",E332+N332*操作パネル_MS2!$H$7,E332-N332*操作パネル_MS2!$H$7))</f>
        <v/>
      </c>
      <c r="W332" s="9" t="str">
        <f>IF(R332="","",IF(R332="BUY",E332+N332*操作パネル_MS2!$H$8,E332-N332*操作パネル_MS2!$H$8))</f>
        <v/>
      </c>
      <c r="X332" s="5" t="str">
        <f t="shared" si="57"/>
        <v/>
      </c>
      <c r="Y332" s="5" t="str">
        <f t="shared" ca="1" si="58"/>
        <v/>
      </c>
      <c r="Z332" s="5" t="str">
        <f>IF(OR(E332="",N332&lt;=0),"",IF(N332&gt;E332*操作パネル_MS2!$H$4,"VOL-HIGH","VOL-NORMAL"))</f>
        <v/>
      </c>
      <c r="AA332" s="5" t="str">
        <f t="shared" si="59"/>
        <v/>
      </c>
      <c r="AB332" s="5" t="str">
        <f t="shared" si="60"/>
        <v/>
      </c>
      <c r="AC332" s="30" t="str">
        <f>IF(C332="","",_xll.RssMarket(C332&amp;"","売買代金"))</f>
        <v/>
      </c>
      <c r="AD332" s="31">
        <f>IFERROR(INDEX(ATRHIST_MS2!$H:$H,MATCH(C332,ATRHIST_MS2!$A:$A,0)),0)</f>
        <v>0</v>
      </c>
    </row>
    <row r="333" spans="1:30" ht="25.95" customHeight="1">
      <c r="A333" s="5" t="str">
        <f t="shared" si="52"/>
        <v/>
      </c>
      <c r="B333" s="6" t="str">
        <f>IF(StockList_MS2!A332="","",HYPERLINK("https://kabutan.jp/stock/?code="&amp;StockList_MS2!A332,"株探"))</f>
        <v/>
      </c>
      <c r="C333" s="5" t="str">
        <f>IF(StockList_MS2!A332="","",StockList_MS2!A332)</f>
        <v/>
      </c>
      <c r="D333" s="7" t="str">
        <f>IF(StockList_MS2!A332="","",StockList_MS2!B332)</f>
        <v/>
      </c>
      <c r="E333" s="8"/>
      <c r="F333" s="8"/>
      <c r="G333" s="8"/>
      <c r="H333" s="8"/>
      <c r="I333" s="19"/>
      <c r="J333" s="8"/>
      <c r="K333" s="8"/>
      <c r="L333" s="8"/>
      <c r="M333" s="5" t="str">
        <f t="shared" si="51"/>
        <v/>
      </c>
      <c r="N333" s="9" t="str">
        <f>IF(OR(E333="",F333="",G333=""),"",IF(AD333&gt;0,AD333,(F333-G333)/SQRT(操作パネル_MS2!$H$12)*操作パネル_MS2!$H$10))</f>
        <v/>
      </c>
      <c r="O333" s="5" t="str">
        <f>IF(OR(E333="",AC333=""),"",IF(AC333&gt;=操作パネル_MS2!$H$3,"VOL-OK","VOL-NG"))</f>
        <v/>
      </c>
      <c r="P333" s="5" t="str">
        <f t="shared" si="53"/>
        <v/>
      </c>
      <c r="Q333" s="5" t="str">
        <f t="shared" si="54"/>
        <v/>
      </c>
      <c r="R333" s="5" t="str">
        <f t="shared" si="55"/>
        <v/>
      </c>
      <c r="S333" s="9" t="str">
        <f t="shared" si="56"/>
        <v/>
      </c>
      <c r="T333" s="9" t="str">
        <f>IF(R333="","",IF(R333="BUY",E333-N333*操作パネル_MS2!$H$5,E333+N333*操作パネル_MS2!$H$5))</f>
        <v/>
      </c>
      <c r="U333" s="9" t="str">
        <f>IF(R333="","",IF(R333="BUY",E333+N333*操作パネル_MS2!$H$6,E333-N333*操作パネル_MS2!$H$6))</f>
        <v/>
      </c>
      <c r="V333" s="9" t="str">
        <f>IF(R333="","",IF(R333="BUY",E333+N333*操作パネル_MS2!$H$7,E333-N333*操作パネル_MS2!$H$7))</f>
        <v/>
      </c>
      <c r="W333" s="9" t="str">
        <f>IF(R333="","",IF(R333="BUY",E333+N333*操作パネル_MS2!$H$8,E333-N333*操作パネル_MS2!$H$8))</f>
        <v/>
      </c>
      <c r="X333" s="5" t="str">
        <f t="shared" si="57"/>
        <v/>
      </c>
      <c r="Y333" s="5" t="str">
        <f t="shared" ca="1" si="58"/>
        <v/>
      </c>
      <c r="Z333" s="5" t="str">
        <f>IF(OR(E333="",N333&lt;=0),"",IF(N333&gt;E333*操作パネル_MS2!$H$4,"VOL-HIGH","VOL-NORMAL"))</f>
        <v/>
      </c>
      <c r="AA333" s="5" t="str">
        <f t="shared" si="59"/>
        <v/>
      </c>
      <c r="AB333" s="5" t="str">
        <f t="shared" si="60"/>
        <v/>
      </c>
      <c r="AC333" s="30" t="str">
        <f>IF(C333="","",_xll.RssMarket(C333&amp;"","売買代金"))</f>
        <v/>
      </c>
      <c r="AD333" s="31">
        <f>IFERROR(INDEX(ATRHIST_MS2!$H:$H,MATCH(C333,ATRHIST_MS2!$A:$A,0)),0)</f>
        <v>0</v>
      </c>
    </row>
    <row r="334" spans="1:30" ht="25.95" customHeight="1">
      <c r="A334" s="10" t="str">
        <f t="shared" si="52"/>
        <v/>
      </c>
      <c r="B334" s="11" t="str">
        <f>IF(StockList_MS2!A333="","",HYPERLINK("https://kabutan.jp/stock/?code="&amp;StockList_MS2!A333,"株探"))</f>
        <v/>
      </c>
      <c r="C334" s="10" t="str">
        <f>IF(StockList_MS2!A333="","",StockList_MS2!A333)</f>
        <v/>
      </c>
      <c r="D334" s="12" t="str">
        <f>IF(StockList_MS2!A333="","",StockList_MS2!B333)</f>
        <v/>
      </c>
      <c r="E334" s="13"/>
      <c r="F334" s="13"/>
      <c r="G334" s="13"/>
      <c r="H334" s="13"/>
      <c r="I334" s="20"/>
      <c r="J334" s="13"/>
      <c r="K334" s="13"/>
      <c r="L334" s="13"/>
      <c r="M334" s="5" t="str">
        <f t="shared" si="51"/>
        <v/>
      </c>
      <c r="N334" s="9" t="str">
        <f>IF(OR(E334="",F334="",G334=""),"",IF(AD334&gt;0,AD334,(F334-G334)/SQRT(操作パネル_MS2!$H$12)*操作パネル_MS2!$H$10))</f>
        <v/>
      </c>
      <c r="O334" s="5" t="str">
        <f>IF(OR(E334="",AC334=""),"",IF(AC334&gt;=操作パネル_MS2!$H$3,"VOL-OK","VOL-NG"))</f>
        <v/>
      </c>
      <c r="P334" s="5" t="str">
        <f t="shared" si="53"/>
        <v/>
      </c>
      <c r="Q334" s="5" t="str">
        <f t="shared" si="54"/>
        <v/>
      </c>
      <c r="R334" s="5" t="str">
        <f t="shared" si="55"/>
        <v/>
      </c>
      <c r="S334" s="9" t="str">
        <f t="shared" si="56"/>
        <v/>
      </c>
      <c r="T334" s="9" t="str">
        <f>IF(R334="","",IF(R334="BUY",E334-N334*操作パネル_MS2!$H$5,E334+N334*操作パネル_MS2!$H$5))</f>
        <v/>
      </c>
      <c r="U334" s="9" t="str">
        <f>IF(R334="","",IF(R334="BUY",E334+N334*操作パネル_MS2!$H$6,E334-N334*操作パネル_MS2!$H$6))</f>
        <v/>
      </c>
      <c r="V334" s="9" t="str">
        <f>IF(R334="","",IF(R334="BUY",E334+N334*操作パネル_MS2!$H$7,E334-N334*操作パネル_MS2!$H$7))</f>
        <v/>
      </c>
      <c r="W334" s="9" t="str">
        <f>IF(R334="","",IF(R334="BUY",E334+N334*操作パネル_MS2!$H$8,E334-N334*操作パネル_MS2!$H$8))</f>
        <v/>
      </c>
      <c r="X334" s="5" t="str">
        <f t="shared" si="57"/>
        <v/>
      </c>
      <c r="Y334" s="5" t="str">
        <f t="shared" ca="1" si="58"/>
        <v/>
      </c>
      <c r="Z334" s="5" t="str">
        <f>IF(OR(E334="",N334&lt;=0),"",IF(N334&gt;E334*操作パネル_MS2!$H$4,"VOL-HIGH","VOL-NORMAL"))</f>
        <v/>
      </c>
      <c r="AA334" s="5" t="str">
        <f t="shared" si="59"/>
        <v/>
      </c>
      <c r="AB334" s="5" t="str">
        <f t="shared" si="60"/>
        <v/>
      </c>
      <c r="AC334" s="30" t="str">
        <f>IF(C334="","",_xll.RssMarket(C334&amp;"","売買代金"))</f>
        <v/>
      </c>
      <c r="AD334" s="31">
        <f>IFERROR(INDEX(ATRHIST_MS2!$H:$H,MATCH(C334,ATRHIST_MS2!$A:$A,0)),0)</f>
        <v>0</v>
      </c>
    </row>
    <row r="335" spans="1:30" ht="25.95" customHeight="1">
      <c r="A335" s="5" t="str">
        <f t="shared" si="52"/>
        <v/>
      </c>
      <c r="B335" s="6" t="str">
        <f>IF(StockList_MS2!A334="","",HYPERLINK("https://kabutan.jp/stock/?code="&amp;StockList_MS2!A334,"株探"))</f>
        <v/>
      </c>
      <c r="C335" s="5" t="str">
        <f>IF(StockList_MS2!A334="","",StockList_MS2!A334)</f>
        <v/>
      </c>
      <c r="D335" s="7" t="str">
        <f>IF(StockList_MS2!A334="","",StockList_MS2!B334)</f>
        <v/>
      </c>
      <c r="E335" s="8"/>
      <c r="F335" s="8"/>
      <c r="G335" s="8"/>
      <c r="H335" s="8"/>
      <c r="I335" s="19"/>
      <c r="J335" s="8"/>
      <c r="K335" s="8"/>
      <c r="L335" s="8"/>
      <c r="M335" s="5" t="str">
        <f t="shared" si="51"/>
        <v/>
      </c>
      <c r="N335" s="9" t="str">
        <f>IF(OR(E335="",F335="",G335=""),"",IF(AD335&gt;0,AD335,(F335-G335)/SQRT(操作パネル_MS2!$H$12)*操作パネル_MS2!$H$10))</f>
        <v/>
      </c>
      <c r="O335" s="5" t="str">
        <f>IF(OR(E335="",AC335=""),"",IF(AC335&gt;=操作パネル_MS2!$H$3,"VOL-OK","VOL-NG"))</f>
        <v/>
      </c>
      <c r="P335" s="5" t="str">
        <f t="shared" si="53"/>
        <v/>
      </c>
      <c r="Q335" s="5" t="str">
        <f t="shared" si="54"/>
        <v/>
      </c>
      <c r="R335" s="5" t="str">
        <f t="shared" si="55"/>
        <v/>
      </c>
      <c r="S335" s="9" t="str">
        <f t="shared" si="56"/>
        <v/>
      </c>
      <c r="T335" s="9" t="str">
        <f>IF(R335="","",IF(R335="BUY",E335-N335*操作パネル_MS2!$H$5,E335+N335*操作パネル_MS2!$H$5))</f>
        <v/>
      </c>
      <c r="U335" s="9" t="str">
        <f>IF(R335="","",IF(R335="BUY",E335+N335*操作パネル_MS2!$H$6,E335-N335*操作パネル_MS2!$H$6))</f>
        <v/>
      </c>
      <c r="V335" s="9" t="str">
        <f>IF(R335="","",IF(R335="BUY",E335+N335*操作パネル_MS2!$H$7,E335-N335*操作パネル_MS2!$H$7))</f>
        <v/>
      </c>
      <c r="W335" s="9" t="str">
        <f>IF(R335="","",IF(R335="BUY",E335+N335*操作パネル_MS2!$H$8,E335-N335*操作パネル_MS2!$H$8))</f>
        <v/>
      </c>
      <c r="X335" s="5" t="str">
        <f t="shared" si="57"/>
        <v/>
      </c>
      <c r="Y335" s="5" t="str">
        <f t="shared" ca="1" si="58"/>
        <v/>
      </c>
      <c r="Z335" s="5" t="str">
        <f>IF(OR(E335="",N335&lt;=0),"",IF(N335&gt;E335*操作パネル_MS2!$H$4,"VOL-HIGH","VOL-NORMAL"))</f>
        <v/>
      </c>
      <c r="AA335" s="5" t="str">
        <f t="shared" si="59"/>
        <v/>
      </c>
      <c r="AB335" s="5" t="str">
        <f t="shared" si="60"/>
        <v/>
      </c>
      <c r="AC335" s="30" t="str">
        <f>IF(C335="","",_xll.RssMarket(C335&amp;"","売買代金"))</f>
        <v/>
      </c>
      <c r="AD335" s="31">
        <f>IFERROR(INDEX(ATRHIST_MS2!$H:$H,MATCH(C335,ATRHIST_MS2!$A:$A,0)),0)</f>
        <v>0</v>
      </c>
    </row>
    <row r="336" spans="1:30" ht="25.95" customHeight="1">
      <c r="A336" s="10" t="str">
        <f t="shared" si="52"/>
        <v/>
      </c>
      <c r="B336" s="11" t="str">
        <f>IF(StockList_MS2!A335="","",HYPERLINK("https://kabutan.jp/stock/?code="&amp;StockList_MS2!A335,"株探"))</f>
        <v/>
      </c>
      <c r="C336" s="10" t="str">
        <f>IF(StockList_MS2!A335="","",StockList_MS2!A335)</f>
        <v/>
      </c>
      <c r="D336" s="12" t="str">
        <f>IF(StockList_MS2!A335="","",StockList_MS2!B335)</f>
        <v/>
      </c>
      <c r="E336" s="13"/>
      <c r="F336" s="13"/>
      <c r="G336" s="13"/>
      <c r="H336" s="13"/>
      <c r="I336" s="20"/>
      <c r="J336" s="13"/>
      <c r="K336" s="13"/>
      <c r="L336" s="13"/>
      <c r="M336" s="5" t="str">
        <f t="shared" si="51"/>
        <v/>
      </c>
      <c r="N336" s="9" t="str">
        <f>IF(OR(E336="",F336="",G336=""),"",IF(AD336&gt;0,AD336,(F336-G336)/SQRT(操作パネル_MS2!$H$12)*操作パネル_MS2!$H$10))</f>
        <v/>
      </c>
      <c r="O336" s="5" t="str">
        <f>IF(OR(E336="",AC336=""),"",IF(AC336&gt;=操作パネル_MS2!$H$3,"VOL-OK","VOL-NG"))</f>
        <v/>
      </c>
      <c r="P336" s="5" t="str">
        <f t="shared" si="53"/>
        <v/>
      </c>
      <c r="Q336" s="5" t="str">
        <f t="shared" si="54"/>
        <v/>
      </c>
      <c r="R336" s="5" t="str">
        <f t="shared" si="55"/>
        <v/>
      </c>
      <c r="S336" s="9" t="str">
        <f t="shared" si="56"/>
        <v/>
      </c>
      <c r="T336" s="9" t="str">
        <f>IF(R336="","",IF(R336="BUY",E336-N336*操作パネル_MS2!$H$5,E336+N336*操作パネル_MS2!$H$5))</f>
        <v/>
      </c>
      <c r="U336" s="9" t="str">
        <f>IF(R336="","",IF(R336="BUY",E336+N336*操作パネル_MS2!$H$6,E336-N336*操作パネル_MS2!$H$6))</f>
        <v/>
      </c>
      <c r="V336" s="9" t="str">
        <f>IF(R336="","",IF(R336="BUY",E336+N336*操作パネル_MS2!$H$7,E336-N336*操作パネル_MS2!$H$7))</f>
        <v/>
      </c>
      <c r="W336" s="9" t="str">
        <f>IF(R336="","",IF(R336="BUY",E336+N336*操作パネル_MS2!$H$8,E336-N336*操作パネル_MS2!$H$8))</f>
        <v/>
      </c>
      <c r="X336" s="5" t="str">
        <f t="shared" si="57"/>
        <v/>
      </c>
      <c r="Y336" s="5" t="str">
        <f t="shared" ca="1" si="58"/>
        <v/>
      </c>
      <c r="Z336" s="5" t="str">
        <f>IF(OR(E336="",N336&lt;=0),"",IF(N336&gt;E336*操作パネル_MS2!$H$4,"VOL-HIGH","VOL-NORMAL"))</f>
        <v/>
      </c>
      <c r="AA336" s="5" t="str">
        <f t="shared" si="59"/>
        <v/>
      </c>
      <c r="AB336" s="5" t="str">
        <f t="shared" si="60"/>
        <v/>
      </c>
      <c r="AC336" s="30" t="str">
        <f>IF(C336="","",_xll.RssMarket(C336&amp;"","売買代金"))</f>
        <v/>
      </c>
      <c r="AD336" s="31">
        <f>IFERROR(INDEX(ATRHIST_MS2!$H:$H,MATCH(C336,ATRHIST_MS2!$A:$A,0)),0)</f>
        <v>0</v>
      </c>
    </row>
    <row r="337" spans="1:30" ht="25.95" customHeight="1">
      <c r="A337" s="5" t="str">
        <f t="shared" si="52"/>
        <v/>
      </c>
      <c r="B337" s="6" t="str">
        <f>IF(StockList_MS2!A336="","",HYPERLINK("https://kabutan.jp/stock/?code="&amp;StockList_MS2!A336,"株探"))</f>
        <v/>
      </c>
      <c r="C337" s="5" t="str">
        <f>IF(StockList_MS2!A336="","",StockList_MS2!A336)</f>
        <v/>
      </c>
      <c r="D337" s="7" t="str">
        <f>IF(StockList_MS2!A336="","",StockList_MS2!B336)</f>
        <v/>
      </c>
      <c r="E337" s="8"/>
      <c r="F337" s="8"/>
      <c r="G337" s="8"/>
      <c r="H337" s="8"/>
      <c r="I337" s="19"/>
      <c r="J337" s="8"/>
      <c r="K337" s="8"/>
      <c r="L337" s="8"/>
      <c r="M337" s="5" t="str">
        <f t="shared" si="51"/>
        <v/>
      </c>
      <c r="N337" s="9" t="str">
        <f>IF(OR(E337="",F337="",G337=""),"",IF(AD337&gt;0,AD337,(F337-G337)/SQRT(操作パネル_MS2!$H$12)*操作パネル_MS2!$H$10))</f>
        <v/>
      </c>
      <c r="O337" s="5" t="str">
        <f>IF(OR(E337="",AC337=""),"",IF(AC337&gt;=操作パネル_MS2!$H$3,"VOL-OK","VOL-NG"))</f>
        <v/>
      </c>
      <c r="P337" s="5" t="str">
        <f t="shared" si="53"/>
        <v/>
      </c>
      <c r="Q337" s="5" t="str">
        <f t="shared" si="54"/>
        <v/>
      </c>
      <c r="R337" s="5" t="str">
        <f t="shared" si="55"/>
        <v/>
      </c>
      <c r="S337" s="9" t="str">
        <f t="shared" si="56"/>
        <v/>
      </c>
      <c r="T337" s="9" t="str">
        <f>IF(R337="","",IF(R337="BUY",E337-N337*操作パネル_MS2!$H$5,E337+N337*操作パネル_MS2!$H$5))</f>
        <v/>
      </c>
      <c r="U337" s="9" t="str">
        <f>IF(R337="","",IF(R337="BUY",E337+N337*操作パネル_MS2!$H$6,E337-N337*操作パネル_MS2!$H$6))</f>
        <v/>
      </c>
      <c r="V337" s="9" t="str">
        <f>IF(R337="","",IF(R337="BUY",E337+N337*操作パネル_MS2!$H$7,E337-N337*操作パネル_MS2!$H$7))</f>
        <v/>
      </c>
      <c r="W337" s="9" t="str">
        <f>IF(R337="","",IF(R337="BUY",E337+N337*操作パネル_MS2!$H$8,E337-N337*操作パネル_MS2!$H$8))</f>
        <v/>
      </c>
      <c r="X337" s="5" t="str">
        <f t="shared" si="57"/>
        <v/>
      </c>
      <c r="Y337" s="5" t="str">
        <f t="shared" ca="1" si="58"/>
        <v/>
      </c>
      <c r="Z337" s="5" t="str">
        <f>IF(OR(E337="",N337&lt;=0),"",IF(N337&gt;E337*操作パネル_MS2!$H$4,"VOL-HIGH","VOL-NORMAL"))</f>
        <v/>
      </c>
      <c r="AA337" s="5" t="str">
        <f t="shared" si="59"/>
        <v/>
      </c>
      <c r="AB337" s="5" t="str">
        <f t="shared" si="60"/>
        <v/>
      </c>
      <c r="AC337" s="30" t="str">
        <f>IF(C337="","",_xll.RssMarket(C337&amp;"","売買代金"))</f>
        <v/>
      </c>
      <c r="AD337" s="31">
        <f>IFERROR(INDEX(ATRHIST_MS2!$H:$H,MATCH(C337,ATRHIST_MS2!$A:$A,0)),0)</f>
        <v>0</v>
      </c>
    </row>
    <row r="338" spans="1:30" ht="25.95" customHeight="1">
      <c r="A338" s="10" t="str">
        <f t="shared" si="52"/>
        <v/>
      </c>
      <c r="B338" s="11" t="str">
        <f>IF(StockList_MS2!A337="","",HYPERLINK("https://kabutan.jp/stock/?code="&amp;StockList_MS2!A337,"株探"))</f>
        <v/>
      </c>
      <c r="C338" s="10" t="str">
        <f>IF(StockList_MS2!A337="","",StockList_MS2!A337)</f>
        <v/>
      </c>
      <c r="D338" s="12" t="str">
        <f>IF(StockList_MS2!A337="","",StockList_MS2!B337)</f>
        <v/>
      </c>
      <c r="E338" s="13"/>
      <c r="F338" s="13"/>
      <c r="G338" s="13"/>
      <c r="H338" s="13"/>
      <c r="I338" s="20"/>
      <c r="J338" s="13"/>
      <c r="K338" s="13"/>
      <c r="L338" s="13"/>
      <c r="M338" s="5" t="str">
        <f t="shared" si="51"/>
        <v/>
      </c>
      <c r="N338" s="9" t="str">
        <f>IF(OR(E338="",F338="",G338=""),"",IF(AD338&gt;0,AD338,(F338-G338)/SQRT(操作パネル_MS2!$H$12)*操作パネル_MS2!$H$10))</f>
        <v/>
      </c>
      <c r="O338" s="5" t="str">
        <f>IF(OR(E338="",AC338=""),"",IF(AC338&gt;=操作パネル_MS2!$H$3,"VOL-OK","VOL-NG"))</f>
        <v/>
      </c>
      <c r="P338" s="5" t="str">
        <f t="shared" si="53"/>
        <v/>
      </c>
      <c r="Q338" s="5" t="str">
        <f t="shared" si="54"/>
        <v/>
      </c>
      <c r="R338" s="5" t="str">
        <f t="shared" si="55"/>
        <v/>
      </c>
      <c r="S338" s="9" t="str">
        <f t="shared" si="56"/>
        <v/>
      </c>
      <c r="T338" s="9" t="str">
        <f>IF(R338="","",IF(R338="BUY",E338-N338*操作パネル_MS2!$H$5,E338+N338*操作パネル_MS2!$H$5))</f>
        <v/>
      </c>
      <c r="U338" s="9" t="str">
        <f>IF(R338="","",IF(R338="BUY",E338+N338*操作パネル_MS2!$H$6,E338-N338*操作パネル_MS2!$H$6))</f>
        <v/>
      </c>
      <c r="V338" s="9" t="str">
        <f>IF(R338="","",IF(R338="BUY",E338+N338*操作パネル_MS2!$H$7,E338-N338*操作パネル_MS2!$H$7))</f>
        <v/>
      </c>
      <c r="W338" s="9" t="str">
        <f>IF(R338="","",IF(R338="BUY",E338+N338*操作パネル_MS2!$H$8,E338-N338*操作パネル_MS2!$H$8))</f>
        <v/>
      </c>
      <c r="X338" s="5" t="str">
        <f t="shared" si="57"/>
        <v/>
      </c>
      <c r="Y338" s="5" t="str">
        <f t="shared" ca="1" si="58"/>
        <v/>
      </c>
      <c r="Z338" s="5" t="str">
        <f>IF(OR(E338="",N338&lt;=0),"",IF(N338&gt;E338*操作パネル_MS2!$H$4,"VOL-HIGH","VOL-NORMAL"))</f>
        <v/>
      </c>
      <c r="AA338" s="5" t="str">
        <f t="shared" si="59"/>
        <v/>
      </c>
      <c r="AB338" s="5" t="str">
        <f t="shared" si="60"/>
        <v/>
      </c>
      <c r="AC338" s="30" t="str">
        <f>IF(C338="","",_xll.RssMarket(C338&amp;"","売買代金"))</f>
        <v/>
      </c>
      <c r="AD338" s="31">
        <f>IFERROR(INDEX(ATRHIST_MS2!$H:$H,MATCH(C338,ATRHIST_MS2!$A:$A,0)),0)</f>
        <v>0</v>
      </c>
    </row>
    <row r="339" spans="1:30" ht="25.95" customHeight="1">
      <c r="A339" s="5" t="str">
        <f t="shared" si="52"/>
        <v/>
      </c>
      <c r="B339" s="6" t="str">
        <f>IF(StockList_MS2!A338="","",HYPERLINK("https://kabutan.jp/stock/?code="&amp;StockList_MS2!A338,"株探"))</f>
        <v/>
      </c>
      <c r="C339" s="5" t="str">
        <f>IF(StockList_MS2!A338="","",StockList_MS2!A338)</f>
        <v/>
      </c>
      <c r="D339" s="7" t="str">
        <f>IF(StockList_MS2!A338="","",StockList_MS2!B338)</f>
        <v/>
      </c>
      <c r="E339" s="8"/>
      <c r="F339" s="8"/>
      <c r="G339" s="8"/>
      <c r="H339" s="8"/>
      <c r="I339" s="19"/>
      <c r="J339" s="8"/>
      <c r="K339" s="8"/>
      <c r="L339" s="8"/>
      <c r="M339" s="5" t="str">
        <f t="shared" si="51"/>
        <v/>
      </c>
      <c r="N339" s="9" t="str">
        <f>IF(OR(E339="",F339="",G339=""),"",IF(AD339&gt;0,AD339,(F339-G339)/SQRT(操作パネル_MS2!$H$12)*操作パネル_MS2!$H$10))</f>
        <v/>
      </c>
      <c r="O339" s="5" t="str">
        <f>IF(OR(E339="",AC339=""),"",IF(AC339&gt;=操作パネル_MS2!$H$3,"VOL-OK","VOL-NG"))</f>
        <v/>
      </c>
      <c r="P339" s="5" t="str">
        <f t="shared" si="53"/>
        <v/>
      </c>
      <c r="Q339" s="5" t="str">
        <f t="shared" si="54"/>
        <v/>
      </c>
      <c r="R339" s="5" t="str">
        <f t="shared" si="55"/>
        <v/>
      </c>
      <c r="S339" s="9" t="str">
        <f t="shared" si="56"/>
        <v/>
      </c>
      <c r="T339" s="9" t="str">
        <f>IF(R339="","",IF(R339="BUY",E339-N339*操作パネル_MS2!$H$5,E339+N339*操作パネル_MS2!$H$5))</f>
        <v/>
      </c>
      <c r="U339" s="9" t="str">
        <f>IF(R339="","",IF(R339="BUY",E339+N339*操作パネル_MS2!$H$6,E339-N339*操作パネル_MS2!$H$6))</f>
        <v/>
      </c>
      <c r="V339" s="9" t="str">
        <f>IF(R339="","",IF(R339="BUY",E339+N339*操作パネル_MS2!$H$7,E339-N339*操作パネル_MS2!$H$7))</f>
        <v/>
      </c>
      <c r="W339" s="9" t="str">
        <f>IF(R339="","",IF(R339="BUY",E339+N339*操作パネル_MS2!$H$8,E339-N339*操作パネル_MS2!$H$8))</f>
        <v/>
      </c>
      <c r="X339" s="5" t="str">
        <f t="shared" si="57"/>
        <v/>
      </c>
      <c r="Y339" s="5" t="str">
        <f t="shared" ca="1" si="58"/>
        <v/>
      </c>
      <c r="Z339" s="5" t="str">
        <f>IF(OR(E339="",N339&lt;=0),"",IF(N339&gt;E339*操作パネル_MS2!$H$4,"VOL-HIGH","VOL-NORMAL"))</f>
        <v/>
      </c>
      <c r="AA339" s="5" t="str">
        <f t="shared" si="59"/>
        <v/>
      </c>
      <c r="AB339" s="5" t="str">
        <f t="shared" si="60"/>
        <v/>
      </c>
      <c r="AC339" s="30" t="str">
        <f>IF(C339="","",_xll.RssMarket(C339&amp;"","売買代金"))</f>
        <v/>
      </c>
      <c r="AD339" s="31">
        <f>IFERROR(INDEX(ATRHIST_MS2!$H:$H,MATCH(C339,ATRHIST_MS2!$A:$A,0)),0)</f>
        <v>0</v>
      </c>
    </row>
    <row r="340" spans="1:30" ht="25.95" customHeight="1">
      <c r="A340" s="10" t="str">
        <f t="shared" si="52"/>
        <v/>
      </c>
      <c r="B340" s="11" t="str">
        <f>IF(StockList_MS2!A339="","",HYPERLINK("https://kabutan.jp/stock/?code="&amp;StockList_MS2!A339,"株探"))</f>
        <v/>
      </c>
      <c r="C340" s="10" t="str">
        <f>IF(StockList_MS2!A339="","",StockList_MS2!A339)</f>
        <v/>
      </c>
      <c r="D340" s="12" t="str">
        <f>IF(StockList_MS2!A339="","",StockList_MS2!B339)</f>
        <v/>
      </c>
      <c r="E340" s="13"/>
      <c r="F340" s="13"/>
      <c r="G340" s="13"/>
      <c r="H340" s="13"/>
      <c r="I340" s="20"/>
      <c r="J340" s="13"/>
      <c r="K340" s="13"/>
      <c r="L340" s="13"/>
      <c r="M340" s="5" t="str">
        <f t="shared" si="51"/>
        <v/>
      </c>
      <c r="N340" s="9" t="str">
        <f>IF(OR(E340="",F340="",G340=""),"",IF(AD340&gt;0,AD340,(F340-G340)/SQRT(操作パネル_MS2!$H$12)*操作パネル_MS2!$H$10))</f>
        <v/>
      </c>
      <c r="O340" s="5" t="str">
        <f>IF(OR(E340="",AC340=""),"",IF(AC340&gt;=操作パネル_MS2!$H$3,"VOL-OK","VOL-NG"))</f>
        <v/>
      </c>
      <c r="P340" s="5" t="str">
        <f t="shared" si="53"/>
        <v/>
      </c>
      <c r="Q340" s="5" t="str">
        <f t="shared" si="54"/>
        <v/>
      </c>
      <c r="R340" s="5" t="str">
        <f t="shared" si="55"/>
        <v/>
      </c>
      <c r="S340" s="9" t="str">
        <f t="shared" si="56"/>
        <v/>
      </c>
      <c r="T340" s="9" t="str">
        <f>IF(R340="","",IF(R340="BUY",E340-N340*操作パネル_MS2!$H$5,E340+N340*操作パネル_MS2!$H$5))</f>
        <v/>
      </c>
      <c r="U340" s="9" t="str">
        <f>IF(R340="","",IF(R340="BUY",E340+N340*操作パネル_MS2!$H$6,E340-N340*操作パネル_MS2!$H$6))</f>
        <v/>
      </c>
      <c r="V340" s="9" t="str">
        <f>IF(R340="","",IF(R340="BUY",E340+N340*操作パネル_MS2!$H$7,E340-N340*操作パネル_MS2!$H$7))</f>
        <v/>
      </c>
      <c r="W340" s="9" t="str">
        <f>IF(R340="","",IF(R340="BUY",E340+N340*操作パネル_MS2!$H$8,E340-N340*操作パネル_MS2!$H$8))</f>
        <v/>
      </c>
      <c r="X340" s="5" t="str">
        <f t="shared" si="57"/>
        <v/>
      </c>
      <c r="Y340" s="5" t="str">
        <f t="shared" ca="1" si="58"/>
        <v/>
      </c>
      <c r="Z340" s="5" t="str">
        <f>IF(OR(E340="",N340&lt;=0),"",IF(N340&gt;E340*操作パネル_MS2!$H$4,"VOL-HIGH","VOL-NORMAL"))</f>
        <v/>
      </c>
      <c r="AA340" s="5" t="str">
        <f t="shared" si="59"/>
        <v/>
      </c>
      <c r="AB340" s="5" t="str">
        <f t="shared" si="60"/>
        <v/>
      </c>
      <c r="AC340" s="30" t="str">
        <f>IF(C340="","",_xll.RssMarket(C340&amp;"","売買代金"))</f>
        <v/>
      </c>
      <c r="AD340" s="31">
        <f>IFERROR(INDEX(ATRHIST_MS2!$H:$H,MATCH(C340,ATRHIST_MS2!$A:$A,0)),0)</f>
        <v>0</v>
      </c>
    </row>
    <row r="341" spans="1:30" ht="25.95" customHeight="1">
      <c r="A341" s="5" t="str">
        <f t="shared" si="52"/>
        <v/>
      </c>
      <c r="B341" s="6" t="str">
        <f>IF(StockList_MS2!A340="","",HYPERLINK("https://kabutan.jp/stock/?code="&amp;StockList_MS2!A340,"株探"))</f>
        <v/>
      </c>
      <c r="C341" s="5" t="str">
        <f>IF(StockList_MS2!A340="","",StockList_MS2!A340)</f>
        <v/>
      </c>
      <c r="D341" s="7" t="str">
        <f>IF(StockList_MS2!A340="","",StockList_MS2!B340)</f>
        <v/>
      </c>
      <c r="E341" s="8"/>
      <c r="F341" s="8"/>
      <c r="G341" s="8"/>
      <c r="H341" s="8"/>
      <c r="I341" s="19"/>
      <c r="J341" s="8"/>
      <c r="K341" s="8"/>
      <c r="L341" s="8"/>
      <c r="M341" s="5" t="str">
        <f t="shared" si="51"/>
        <v/>
      </c>
      <c r="N341" s="9" t="str">
        <f>IF(OR(E341="",F341="",G341=""),"",IF(AD341&gt;0,AD341,(F341-G341)/SQRT(操作パネル_MS2!$H$12)*操作パネル_MS2!$H$10))</f>
        <v/>
      </c>
      <c r="O341" s="5" t="str">
        <f>IF(OR(E341="",AC341=""),"",IF(AC341&gt;=操作パネル_MS2!$H$3,"VOL-OK","VOL-NG"))</f>
        <v/>
      </c>
      <c r="P341" s="5" t="str">
        <f t="shared" si="53"/>
        <v/>
      </c>
      <c r="Q341" s="5" t="str">
        <f t="shared" si="54"/>
        <v/>
      </c>
      <c r="R341" s="5" t="str">
        <f t="shared" si="55"/>
        <v/>
      </c>
      <c r="S341" s="9" t="str">
        <f t="shared" si="56"/>
        <v/>
      </c>
      <c r="T341" s="9" t="str">
        <f>IF(R341="","",IF(R341="BUY",E341-N341*操作パネル_MS2!$H$5,E341+N341*操作パネル_MS2!$H$5))</f>
        <v/>
      </c>
      <c r="U341" s="9" t="str">
        <f>IF(R341="","",IF(R341="BUY",E341+N341*操作パネル_MS2!$H$6,E341-N341*操作パネル_MS2!$H$6))</f>
        <v/>
      </c>
      <c r="V341" s="9" t="str">
        <f>IF(R341="","",IF(R341="BUY",E341+N341*操作パネル_MS2!$H$7,E341-N341*操作パネル_MS2!$H$7))</f>
        <v/>
      </c>
      <c r="W341" s="9" t="str">
        <f>IF(R341="","",IF(R341="BUY",E341+N341*操作パネル_MS2!$H$8,E341-N341*操作パネル_MS2!$H$8))</f>
        <v/>
      </c>
      <c r="X341" s="5" t="str">
        <f t="shared" si="57"/>
        <v/>
      </c>
      <c r="Y341" s="5" t="str">
        <f t="shared" ca="1" si="58"/>
        <v/>
      </c>
      <c r="Z341" s="5" t="str">
        <f>IF(OR(E341="",N341&lt;=0),"",IF(N341&gt;E341*操作パネル_MS2!$H$4,"VOL-HIGH","VOL-NORMAL"))</f>
        <v/>
      </c>
      <c r="AA341" s="5" t="str">
        <f t="shared" si="59"/>
        <v/>
      </c>
      <c r="AB341" s="5" t="str">
        <f t="shared" si="60"/>
        <v/>
      </c>
      <c r="AC341" s="30" t="str">
        <f>IF(C341="","",_xll.RssMarket(C341&amp;"","売買代金"))</f>
        <v/>
      </c>
      <c r="AD341" s="31">
        <f>IFERROR(INDEX(ATRHIST_MS2!$H:$H,MATCH(C341,ATRHIST_MS2!$A:$A,0)),0)</f>
        <v>0</v>
      </c>
    </row>
    <row r="342" spans="1:30" ht="25.95" customHeight="1">
      <c r="A342" s="10" t="str">
        <f t="shared" si="52"/>
        <v/>
      </c>
      <c r="B342" s="11" t="str">
        <f>IF(StockList_MS2!A341="","",HYPERLINK("https://kabutan.jp/stock/?code="&amp;StockList_MS2!A341,"株探"))</f>
        <v/>
      </c>
      <c r="C342" s="10" t="str">
        <f>IF(StockList_MS2!A341="","",StockList_MS2!A341)</f>
        <v/>
      </c>
      <c r="D342" s="12" t="str">
        <f>IF(StockList_MS2!A341="","",StockList_MS2!B341)</f>
        <v/>
      </c>
      <c r="E342" s="13"/>
      <c r="F342" s="13"/>
      <c r="G342" s="13"/>
      <c r="H342" s="13"/>
      <c r="I342" s="20"/>
      <c r="J342" s="13"/>
      <c r="K342" s="13"/>
      <c r="L342" s="13"/>
      <c r="M342" s="5" t="str">
        <f t="shared" si="51"/>
        <v/>
      </c>
      <c r="N342" s="9" t="str">
        <f>IF(OR(E342="",F342="",G342=""),"",IF(AD342&gt;0,AD342,(F342-G342)/SQRT(操作パネル_MS2!$H$12)*操作パネル_MS2!$H$10))</f>
        <v/>
      </c>
      <c r="O342" s="5" t="str">
        <f>IF(OR(E342="",AC342=""),"",IF(AC342&gt;=操作パネル_MS2!$H$3,"VOL-OK","VOL-NG"))</f>
        <v/>
      </c>
      <c r="P342" s="5" t="str">
        <f t="shared" si="53"/>
        <v/>
      </c>
      <c r="Q342" s="5" t="str">
        <f t="shared" si="54"/>
        <v/>
      </c>
      <c r="R342" s="5" t="str">
        <f t="shared" si="55"/>
        <v/>
      </c>
      <c r="S342" s="9" t="str">
        <f t="shared" si="56"/>
        <v/>
      </c>
      <c r="T342" s="9" t="str">
        <f>IF(R342="","",IF(R342="BUY",E342-N342*操作パネル_MS2!$H$5,E342+N342*操作パネル_MS2!$H$5))</f>
        <v/>
      </c>
      <c r="U342" s="9" t="str">
        <f>IF(R342="","",IF(R342="BUY",E342+N342*操作パネル_MS2!$H$6,E342-N342*操作パネル_MS2!$H$6))</f>
        <v/>
      </c>
      <c r="V342" s="9" t="str">
        <f>IF(R342="","",IF(R342="BUY",E342+N342*操作パネル_MS2!$H$7,E342-N342*操作パネル_MS2!$H$7))</f>
        <v/>
      </c>
      <c r="W342" s="9" t="str">
        <f>IF(R342="","",IF(R342="BUY",E342+N342*操作パネル_MS2!$H$8,E342-N342*操作パネル_MS2!$H$8))</f>
        <v/>
      </c>
      <c r="X342" s="5" t="str">
        <f t="shared" si="57"/>
        <v/>
      </c>
      <c r="Y342" s="5" t="str">
        <f t="shared" ca="1" si="58"/>
        <v/>
      </c>
      <c r="Z342" s="5" t="str">
        <f>IF(OR(E342="",N342&lt;=0),"",IF(N342&gt;E342*操作パネル_MS2!$H$4,"VOL-HIGH","VOL-NORMAL"))</f>
        <v/>
      </c>
      <c r="AA342" s="5" t="str">
        <f t="shared" si="59"/>
        <v/>
      </c>
      <c r="AB342" s="5" t="str">
        <f t="shared" si="60"/>
        <v/>
      </c>
      <c r="AC342" s="30" t="str">
        <f>IF(C342="","",_xll.RssMarket(C342&amp;"","売買代金"))</f>
        <v/>
      </c>
      <c r="AD342" s="31">
        <f>IFERROR(INDEX(ATRHIST_MS2!$H:$H,MATCH(C342,ATRHIST_MS2!$A:$A,0)),0)</f>
        <v>0</v>
      </c>
    </row>
    <row r="343" spans="1:30" ht="25.95" customHeight="1">
      <c r="A343" s="5" t="str">
        <f t="shared" si="52"/>
        <v/>
      </c>
      <c r="B343" s="6" t="str">
        <f>IF(StockList_MS2!A342="","",HYPERLINK("https://kabutan.jp/stock/?code="&amp;StockList_MS2!A342,"株探"))</f>
        <v/>
      </c>
      <c r="C343" s="5" t="str">
        <f>IF(StockList_MS2!A342="","",StockList_MS2!A342)</f>
        <v/>
      </c>
      <c r="D343" s="7" t="str">
        <f>IF(StockList_MS2!A342="","",StockList_MS2!B342)</f>
        <v/>
      </c>
      <c r="E343" s="8"/>
      <c r="F343" s="8"/>
      <c r="G343" s="8"/>
      <c r="H343" s="8"/>
      <c r="I343" s="19"/>
      <c r="J343" s="8"/>
      <c r="K343" s="8"/>
      <c r="L343" s="8"/>
      <c r="M343" s="5" t="str">
        <f t="shared" si="51"/>
        <v/>
      </c>
      <c r="N343" s="9" t="str">
        <f>IF(OR(E343="",F343="",G343=""),"",IF(AD343&gt;0,AD343,(F343-G343)/SQRT(操作パネル_MS2!$H$12)*操作パネル_MS2!$H$10))</f>
        <v/>
      </c>
      <c r="O343" s="5" t="str">
        <f>IF(OR(E343="",AC343=""),"",IF(AC343&gt;=操作パネル_MS2!$H$3,"VOL-OK","VOL-NG"))</f>
        <v/>
      </c>
      <c r="P343" s="5" t="str">
        <f t="shared" si="53"/>
        <v/>
      </c>
      <c r="Q343" s="5" t="str">
        <f t="shared" si="54"/>
        <v/>
      </c>
      <c r="R343" s="5" t="str">
        <f t="shared" si="55"/>
        <v/>
      </c>
      <c r="S343" s="9" t="str">
        <f t="shared" si="56"/>
        <v/>
      </c>
      <c r="T343" s="9" t="str">
        <f>IF(R343="","",IF(R343="BUY",E343-N343*操作パネル_MS2!$H$5,E343+N343*操作パネル_MS2!$H$5))</f>
        <v/>
      </c>
      <c r="U343" s="9" t="str">
        <f>IF(R343="","",IF(R343="BUY",E343+N343*操作パネル_MS2!$H$6,E343-N343*操作パネル_MS2!$H$6))</f>
        <v/>
      </c>
      <c r="V343" s="9" t="str">
        <f>IF(R343="","",IF(R343="BUY",E343+N343*操作パネル_MS2!$H$7,E343-N343*操作パネル_MS2!$H$7))</f>
        <v/>
      </c>
      <c r="W343" s="9" t="str">
        <f>IF(R343="","",IF(R343="BUY",E343+N343*操作パネル_MS2!$H$8,E343-N343*操作パネル_MS2!$H$8))</f>
        <v/>
      </c>
      <c r="X343" s="5" t="str">
        <f t="shared" si="57"/>
        <v/>
      </c>
      <c r="Y343" s="5" t="str">
        <f t="shared" ca="1" si="58"/>
        <v/>
      </c>
      <c r="Z343" s="5" t="str">
        <f>IF(OR(E343="",N343&lt;=0),"",IF(N343&gt;E343*操作パネル_MS2!$H$4,"VOL-HIGH","VOL-NORMAL"))</f>
        <v/>
      </c>
      <c r="AA343" s="5" t="str">
        <f t="shared" si="59"/>
        <v/>
      </c>
      <c r="AB343" s="5" t="str">
        <f t="shared" si="60"/>
        <v/>
      </c>
      <c r="AC343" s="30" t="str">
        <f>IF(C343="","",_xll.RssMarket(C343&amp;"","売買代金"))</f>
        <v/>
      </c>
      <c r="AD343" s="31">
        <f>IFERROR(INDEX(ATRHIST_MS2!$H:$H,MATCH(C343,ATRHIST_MS2!$A:$A,0)),0)</f>
        <v>0</v>
      </c>
    </row>
    <row r="344" spans="1:30" ht="25.95" customHeight="1">
      <c r="A344" s="10" t="str">
        <f t="shared" si="52"/>
        <v/>
      </c>
      <c r="B344" s="11" t="str">
        <f>IF(StockList_MS2!A343="","",HYPERLINK("https://kabutan.jp/stock/?code="&amp;StockList_MS2!A343,"株探"))</f>
        <v/>
      </c>
      <c r="C344" s="10" t="str">
        <f>IF(StockList_MS2!A343="","",StockList_MS2!A343)</f>
        <v/>
      </c>
      <c r="D344" s="12" t="str">
        <f>IF(StockList_MS2!A343="","",StockList_MS2!B343)</f>
        <v/>
      </c>
      <c r="E344" s="13"/>
      <c r="F344" s="13"/>
      <c r="G344" s="13"/>
      <c r="H344" s="13"/>
      <c r="I344" s="20"/>
      <c r="J344" s="13"/>
      <c r="K344" s="13"/>
      <c r="L344" s="13"/>
      <c r="M344" s="5" t="str">
        <f t="shared" si="51"/>
        <v/>
      </c>
      <c r="N344" s="9" t="str">
        <f>IF(OR(E344="",F344="",G344=""),"",IF(AD344&gt;0,AD344,(F344-G344)/SQRT(操作パネル_MS2!$H$12)*操作パネル_MS2!$H$10))</f>
        <v/>
      </c>
      <c r="O344" s="5" t="str">
        <f>IF(OR(E344="",AC344=""),"",IF(AC344&gt;=操作パネル_MS2!$H$3,"VOL-OK","VOL-NG"))</f>
        <v/>
      </c>
      <c r="P344" s="5" t="str">
        <f t="shared" si="53"/>
        <v/>
      </c>
      <c r="Q344" s="5" t="str">
        <f t="shared" si="54"/>
        <v/>
      </c>
      <c r="R344" s="5" t="str">
        <f t="shared" si="55"/>
        <v/>
      </c>
      <c r="S344" s="9" t="str">
        <f t="shared" si="56"/>
        <v/>
      </c>
      <c r="T344" s="9" t="str">
        <f>IF(R344="","",IF(R344="BUY",E344-N344*操作パネル_MS2!$H$5,E344+N344*操作パネル_MS2!$H$5))</f>
        <v/>
      </c>
      <c r="U344" s="9" t="str">
        <f>IF(R344="","",IF(R344="BUY",E344+N344*操作パネル_MS2!$H$6,E344-N344*操作パネル_MS2!$H$6))</f>
        <v/>
      </c>
      <c r="V344" s="9" t="str">
        <f>IF(R344="","",IF(R344="BUY",E344+N344*操作パネル_MS2!$H$7,E344-N344*操作パネル_MS2!$H$7))</f>
        <v/>
      </c>
      <c r="W344" s="9" t="str">
        <f>IF(R344="","",IF(R344="BUY",E344+N344*操作パネル_MS2!$H$8,E344-N344*操作パネル_MS2!$H$8))</f>
        <v/>
      </c>
      <c r="X344" s="5" t="str">
        <f t="shared" si="57"/>
        <v/>
      </c>
      <c r="Y344" s="5" t="str">
        <f t="shared" ca="1" si="58"/>
        <v/>
      </c>
      <c r="Z344" s="5" t="str">
        <f>IF(OR(E344="",N344&lt;=0),"",IF(N344&gt;E344*操作パネル_MS2!$H$4,"VOL-HIGH","VOL-NORMAL"))</f>
        <v/>
      </c>
      <c r="AA344" s="5" t="str">
        <f t="shared" si="59"/>
        <v/>
      </c>
      <c r="AB344" s="5" t="str">
        <f t="shared" si="60"/>
        <v/>
      </c>
      <c r="AC344" s="30" t="str">
        <f>IF(C344="","",_xll.RssMarket(C344&amp;"","売買代金"))</f>
        <v/>
      </c>
      <c r="AD344" s="31">
        <f>IFERROR(INDEX(ATRHIST_MS2!$H:$H,MATCH(C344,ATRHIST_MS2!$A:$A,0)),0)</f>
        <v>0</v>
      </c>
    </row>
    <row r="345" spans="1:30" ht="25.95" customHeight="1">
      <c r="A345" s="5" t="str">
        <f t="shared" si="52"/>
        <v/>
      </c>
      <c r="B345" s="6" t="str">
        <f>IF(StockList_MS2!A344="","",HYPERLINK("https://kabutan.jp/stock/?code="&amp;StockList_MS2!A344,"株探"))</f>
        <v/>
      </c>
      <c r="C345" s="5" t="str">
        <f>IF(StockList_MS2!A344="","",StockList_MS2!A344)</f>
        <v/>
      </c>
      <c r="D345" s="7" t="str">
        <f>IF(StockList_MS2!A344="","",StockList_MS2!B344)</f>
        <v/>
      </c>
      <c r="E345" s="8"/>
      <c r="F345" s="8"/>
      <c r="G345" s="8"/>
      <c r="H345" s="8"/>
      <c r="I345" s="19"/>
      <c r="J345" s="8"/>
      <c r="K345" s="8"/>
      <c r="L345" s="8"/>
      <c r="M345" s="5" t="str">
        <f t="shared" si="51"/>
        <v/>
      </c>
      <c r="N345" s="9" t="str">
        <f>IF(OR(E345="",F345="",G345=""),"",IF(AD345&gt;0,AD345,(F345-G345)/SQRT(操作パネル_MS2!$H$12)*操作パネル_MS2!$H$10))</f>
        <v/>
      </c>
      <c r="O345" s="5" t="str">
        <f>IF(OR(E345="",AC345=""),"",IF(AC345&gt;=操作パネル_MS2!$H$3,"VOL-OK","VOL-NG"))</f>
        <v/>
      </c>
      <c r="P345" s="5" t="str">
        <f t="shared" si="53"/>
        <v/>
      </c>
      <c r="Q345" s="5" t="str">
        <f t="shared" si="54"/>
        <v/>
      </c>
      <c r="R345" s="5" t="str">
        <f t="shared" si="55"/>
        <v/>
      </c>
      <c r="S345" s="9" t="str">
        <f t="shared" si="56"/>
        <v/>
      </c>
      <c r="T345" s="9" t="str">
        <f>IF(R345="","",IF(R345="BUY",E345-N345*操作パネル_MS2!$H$5,E345+N345*操作パネル_MS2!$H$5))</f>
        <v/>
      </c>
      <c r="U345" s="9" t="str">
        <f>IF(R345="","",IF(R345="BUY",E345+N345*操作パネル_MS2!$H$6,E345-N345*操作パネル_MS2!$H$6))</f>
        <v/>
      </c>
      <c r="V345" s="9" t="str">
        <f>IF(R345="","",IF(R345="BUY",E345+N345*操作パネル_MS2!$H$7,E345-N345*操作パネル_MS2!$H$7))</f>
        <v/>
      </c>
      <c r="W345" s="9" t="str">
        <f>IF(R345="","",IF(R345="BUY",E345+N345*操作パネル_MS2!$H$8,E345-N345*操作パネル_MS2!$H$8))</f>
        <v/>
      </c>
      <c r="X345" s="5" t="str">
        <f t="shared" si="57"/>
        <v/>
      </c>
      <c r="Y345" s="5" t="str">
        <f t="shared" ca="1" si="58"/>
        <v/>
      </c>
      <c r="Z345" s="5" t="str">
        <f>IF(OR(E345="",N345&lt;=0),"",IF(N345&gt;E345*操作パネル_MS2!$H$4,"VOL-HIGH","VOL-NORMAL"))</f>
        <v/>
      </c>
      <c r="AA345" s="5" t="str">
        <f t="shared" si="59"/>
        <v/>
      </c>
      <c r="AB345" s="5" t="str">
        <f t="shared" si="60"/>
        <v/>
      </c>
      <c r="AC345" s="30" t="str">
        <f>IF(C345="","",_xll.RssMarket(C345&amp;"","売買代金"))</f>
        <v/>
      </c>
      <c r="AD345" s="31">
        <f>IFERROR(INDEX(ATRHIST_MS2!$H:$H,MATCH(C345,ATRHIST_MS2!$A:$A,0)),0)</f>
        <v>0</v>
      </c>
    </row>
    <row r="346" spans="1:30" ht="25.95" customHeight="1">
      <c r="A346" s="10" t="str">
        <f t="shared" si="52"/>
        <v/>
      </c>
      <c r="B346" s="11" t="str">
        <f>IF(StockList_MS2!A345="","",HYPERLINK("https://kabutan.jp/stock/?code="&amp;StockList_MS2!A345,"株探"))</f>
        <v/>
      </c>
      <c r="C346" s="10" t="str">
        <f>IF(StockList_MS2!A345="","",StockList_MS2!A345)</f>
        <v/>
      </c>
      <c r="D346" s="12" t="str">
        <f>IF(StockList_MS2!A345="","",StockList_MS2!B345)</f>
        <v/>
      </c>
      <c r="E346" s="13"/>
      <c r="F346" s="13"/>
      <c r="G346" s="13"/>
      <c r="H346" s="13"/>
      <c r="I346" s="20"/>
      <c r="J346" s="13"/>
      <c r="K346" s="13"/>
      <c r="L346" s="13"/>
      <c r="M346" s="5" t="str">
        <f t="shared" si="51"/>
        <v/>
      </c>
      <c r="N346" s="9" t="str">
        <f>IF(OR(E346="",F346="",G346=""),"",IF(AD346&gt;0,AD346,(F346-G346)/SQRT(操作パネル_MS2!$H$12)*操作パネル_MS2!$H$10))</f>
        <v/>
      </c>
      <c r="O346" s="5" t="str">
        <f>IF(OR(E346="",AC346=""),"",IF(AC346&gt;=操作パネル_MS2!$H$3,"VOL-OK","VOL-NG"))</f>
        <v/>
      </c>
      <c r="P346" s="5" t="str">
        <f t="shared" si="53"/>
        <v/>
      </c>
      <c r="Q346" s="5" t="str">
        <f t="shared" si="54"/>
        <v/>
      </c>
      <c r="R346" s="5" t="str">
        <f t="shared" si="55"/>
        <v/>
      </c>
      <c r="S346" s="9" t="str">
        <f t="shared" si="56"/>
        <v/>
      </c>
      <c r="T346" s="9" t="str">
        <f>IF(R346="","",IF(R346="BUY",E346-N346*操作パネル_MS2!$H$5,E346+N346*操作パネル_MS2!$H$5))</f>
        <v/>
      </c>
      <c r="U346" s="9" t="str">
        <f>IF(R346="","",IF(R346="BUY",E346+N346*操作パネル_MS2!$H$6,E346-N346*操作パネル_MS2!$H$6))</f>
        <v/>
      </c>
      <c r="V346" s="9" t="str">
        <f>IF(R346="","",IF(R346="BUY",E346+N346*操作パネル_MS2!$H$7,E346-N346*操作パネル_MS2!$H$7))</f>
        <v/>
      </c>
      <c r="W346" s="9" t="str">
        <f>IF(R346="","",IF(R346="BUY",E346+N346*操作パネル_MS2!$H$8,E346-N346*操作パネル_MS2!$H$8))</f>
        <v/>
      </c>
      <c r="X346" s="5" t="str">
        <f t="shared" si="57"/>
        <v/>
      </c>
      <c r="Y346" s="5" t="str">
        <f t="shared" ca="1" si="58"/>
        <v/>
      </c>
      <c r="Z346" s="5" t="str">
        <f>IF(OR(E346="",N346&lt;=0),"",IF(N346&gt;E346*操作パネル_MS2!$H$4,"VOL-HIGH","VOL-NORMAL"))</f>
        <v/>
      </c>
      <c r="AA346" s="5" t="str">
        <f t="shared" si="59"/>
        <v/>
      </c>
      <c r="AB346" s="5" t="str">
        <f t="shared" si="60"/>
        <v/>
      </c>
      <c r="AC346" s="30" t="str">
        <f>IF(C346="","",_xll.RssMarket(C346&amp;"","売買代金"))</f>
        <v/>
      </c>
      <c r="AD346" s="31">
        <f>IFERROR(INDEX(ATRHIST_MS2!$H:$H,MATCH(C346,ATRHIST_MS2!$A:$A,0)),0)</f>
        <v>0</v>
      </c>
    </row>
    <row r="347" spans="1:30" ht="25.95" customHeight="1">
      <c r="A347" s="5" t="str">
        <f t="shared" si="52"/>
        <v/>
      </c>
      <c r="B347" s="6" t="str">
        <f>IF(StockList_MS2!A346="","",HYPERLINK("https://kabutan.jp/stock/?code="&amp;StockList_MS2!A346,"株探"))</f>
        <v/>
      </c>
      <c r="C347" s="5" t="str">
        <f>IF(StockList_MS2!A346="","",StockList_MS2!A346)</f>
        <v/>
      </c>
      <c r="D347" s="7" t="str">
        <f>IF(StockList_MS2!A346="","",StockList_MS2!B346)</f>
        <v/>
      </c>
      <c r="E347" s="8"/>
      <c r="F347" s="8"/>
      <c r="G347" s="8"/>
      <c r="H347" s="8"/>
      <c r="I347" s="19"/>
      <c r="J347" s="8"/>
      <c r="K347" s="8"/>
      <c r="L347" s="8"/>
      <c r="M347" s="5" t="str">
        <f t="shared" si="51"/>
        <v/>
      </c>
      <c r="N347" s="9" t="str">
        <f>IF(OR(E347="",F347="",G347=""),"",IF(AD347&gt;0,AD347,(F347-G347)/SQRT(操作パネル_MS2!$H$12)*操作パネル_MS2!$H$10))</f>
        <v/>
      </c>
      <c r="O347" s="5" t="str">
        <f>IF(OR(E347="",AC347=""),"",IF(AC347&gt;=操作パネル_MS2!$H$3,"VOL-OK","VOL-NG"))</f>
        <v/>
      </c>
      <c r="P347" s="5" t="str">
        <f t="shared" si="53"/>
        <v/>
      </c>
      <c r="Q347" s="5" t="str">
        <f t="shared" si="54"/>
        <v/>
      </c>
      <c r="R347" s="5" t="str">
        <f t="shared" si="55"/>
        <v/>
      </c>
      <c r="S347" s="9" t="str">
        <f t="shared" si="56"/>
        <v/>
      </c>
      <c r="T347" s="9" t="str">
        <f>IF(R347="","",IF(R347="BUY",E347-N347*操作パネル_MS2!$H$5,E347+N347*操作パネル_MS2!$H$5))</f>
        <v/>
      </c>
      <c r="U347" s="9" t="str">
        <f>IF(R347="","",IF(R347="BUY",E347+N347*操作パネル_MS2!$H$6,E347-N347*操作パネル_MS2!$H$6))</f>
        <v/>
      </c>
      <c r="V347" s="9" t="str">
        <f>IF(R347="","",IF(R347="BUY",E347+N347*操作パネル_MS2!$H$7,E347-N347*操作パネル_MS2!$H$7))</f>
        <v/>
      </c>
      <c r="W347" s="9" t="str">
        <f>IF(R347="","",IF(R347="BUY",E347+N347*操作パネル_MS2!$H$8,E347-N347*操作パネル_MS2!$H$8))</f>
        <v/>
      </c>
      <c r="X347" s="5" t="str">
        <f t="shared" si="57"/>
        <v/>
      </c>
      <c r="Y347" s="5" t="str">
        <f t="shared" ca="1" si="58"/>
        <v/>
      </c>
      <c r="Z347" s="5" t="str">
        <f>IF(OR(E347="",N347&lt;=0),"",IF(N347&gt;E347*操作パネル_MS2!$H$4,"VOL-HIGH","VOL-NORMAL"))</f>
        <v/>
      </c>
      <c r="AA347" s="5" t="str">
        <f t="shared" si="59"/>
        <v/>
      </c>
      <c r="AB347" s="5" t="str">
        <f t="shared" si="60"/>
        <v/>
      </c>
      <c r="AC347" s="30" t="str">
        <f>IF(C347="","",_xll.RssMarket(C347&amp;"","売買代金"))</f>
        <v/>
      </c>
      <c r="AD347" s="31">
        <f>IFERROR(INDEX(ATRHIST_MS2!$H:$H,MATCH(C347,ATRHIST_MS2!$A:$A,0)),0)</f>
        <v>0</v>
      </c>
    </row>
    <row r="348" spans="1:30" ht="25.95" customHeight="1">
      <c r="A348" s="10" t="str">
        <f t="shared" si="52"/>
        <v/>
      </c>
      <c r="B348" s="11" t="str">
        <f>IF(StockList_MS2!A347="","",HYPERLINK("https://kabutan.jp/stock/?code="&amp;StockList_MS2!A347,"株探"))</f>
        <v/>
      </c>
      <c r="C348" s="10" t="str">
        <f>IF(StockList_MS2!A347="","",StockList_MS2!A347)</f>
        <v/>
      </c>
      <c r="D348" s="12" t="str">
        <f>IF(StockList_MS2!A347="","",StockList_MS2!B347)</f>
        <v/>
      </c>
      <c r="E348" s="13"/>
      <c r="F348" s="13"/>
      <c r="G348" s="13"/>
      <c r="H348" s="13"/>
      <c r="I348" s="20"/>
      <c r="J348" s="13"/>
      <c r="K348" s="13"/>
      <c r="L348" s="13"/>
      <c r="M348" s="5" t="str">
        <f t="shared" si="51"/>
        <v/>
      </c>
      <c r="N348" s="9" t="str">
        <f>IF(OR(E348="",F348="",G348=""),"",IF(AD348&gt;0,AD348,(F348-G348)/SQRT(操作パネル_MS2!$H$12)*操作パネル_MS2!$H$10))</f>
        <v/>
      </c>
      <c r="O348" s="5" t="str">
        <f>IF(OR(E348="",AC348=""),"",IF(AC348&gt;=操作パネル_MS2!$H$3,"VOL-OK","VOL-NG"))</f>
        <v/>
      </c>
      <c r="P348" s="5" t="str">
        <f t="shared" si="53"/>
        <v/>
      </c>
      <c r="Q348" s="5" t="str">
        <f t="shared" si="54"/>
        <v/>
      </c>
      <c r="R348" s="5" t="str">
        <f t="shared" si="55"/>
        <v/>
      </c>
      <c r="S348" s="9" t="str">
        <f t="shared" si="56"/>
        <v/>
      </c>
      <c r="T348" s="9" t="str">
        <f>IF(R348="","",IF(R348="BUY",E348-N348*操作パネル_MS2!$H$5,E348+N348*操作パネル_MS2!$H$5))</f>
        <v/>
      </c>
      <c r="U348" s="9" t="str">
        <f>IF(R348="","",IF(R348="BUY",E348+N348*操作パネル_MS2!$H$6,E348-N348*操作パネル_MS2!$H$6))</f>
        <v/>
      </c>
      <c r="V348" s="9" t="str">
        <f>IF(R348="","",IF(R348="BUY",E348+N348*操作パネル_MS2!$H$7,E348-N348*操作パネル_MS2!$H$7))</f>
        <v/>
      </c>
      <c r="W348" s="9" t="str">
        <f>IF(R348="","",IF(R348="BUY",E348+N348*操作パネル_MS2!$H$8,E348-N348*操作パネル_MS2!$H$8))</f>
        <v/>
      </c>
      <c r="X348" s="5" t="str">
        <f t="shared" si="57"/>
        <v/>
      </c>
      <c r="Y348" s="5" t="str">
        <f t="shared" ca="1" si="58"/>
        <v/>
      </c>
      <c r="Z348" s="5" t="str">
        <f>IF(OR(E348="",N348&lt;=0),"",IF(N348&gt;E348*操作パネル_MS2!$H$4,"VOL-HIGH","VOL-NORMAL"))</f>
        <v/>
      </c>
      <c r="AA348" s="5" t="str">
        <f t="shared" si="59"/>
        <v/>
      </c>
      <c r="AB348" s="5" t="str">
        <f t="shared" si="60"/>
        <v/>
      </c>
      <c r="AC348" s="30" t="str">
        <f>IF(C348="","",_xll.RssMarket(C348&amp;"","売買代金"))</f>
        <v/>
      </c>
      <c r="AD348" s="31">
        <f>IFERROR(INDEX(ATRHIST_MS2!$H:$H,MATCH(C348,ATRHIST_MS2!$A:$A,0)),0)</f>
        <v>0</v>
      </c>
    </row>
    <row r="349" spans="1:30" ht="25.95" customHeight="1">
      <c r="A349" s="5" t="str">
        <f t="shared" si="52"/>
        <v/>
      </c>
      <c r="B349" s="6" t="str">
        <f>IF(StockList_MS2!A348="","",HYPERLINK("https://kabutan.jp/stock/?code="&amp;StockList_MS2!A348,"株探"))</f>
        <v/>
      </c>
      <c r="C349" s="5" t="str">
        <f>IF(StockList_MS2!A348="","",StockList_MS2!A348)</f>
        <v/>
      </c>
      <c r="D349" s="7" t="str">
        <f>IF(StockList_MS2!A348="","",StockList_MS2!B348)</f>
        <v/>
      </c>
      <c r="E349" s="8"/>
      <c r="F349" s="8"/>
      <c r="G349" s="8"/>
      <c r="H349" s="8"/>
      <c r="I349" s="19"/>
      <c r="J349" s="8"/>
      <c r="K349" s="8"/>
      <c r="L349" s="8"/>
      <c r="M349" s="5" t="str">
        <f t="shared" si="51"/>
        <v/>
      </c>
      <c r="N349" s="9" t="str">
        <f>IF(OR(E349="",F349="",G349=""),"",IF(AD349&gt;0,AD349,(F349-G349)/SQRT(操作パネル_MS2!$H$12)*操作パネル_MS2!$H$10))</f>
        <v/>
      </c>
      <c r="O349" s="5" t="str">
        <f>IF(OR(E349="",AC349=""),"",IF(AC349&gt;=操作パネル_MS2!$H$3,"VOL-OK","VOL-NG"))</f>
        <v/>
      </c>
      <c r="P349" s="5" t="str">
        <f t="shared" si="53"/>
        <v/>
      </c>
      <c r="Q349" s="5" t="str">
        <f t="shared" si="54"/>
        <v/>
      </c>
      <c r="R349" s="5" t="str">
        <f t="shared" si="55"/>
        <v/>
      </c>
      <c r="S349" s="9" t="str">
        <f t="shared" si="56"/>
        <v/>
      </c>
      <c r="T349" s="9" t="str">
        <f>IF(R349="","",IF(R349="BUY",E349-N349*操作パネル_MS2!$H$5,E349+N349*操作パネル_MS2!$H$5))</f>
        <v/>
      </c>
      <c r="U349" s="9" t="str">
        <f>IF(R349="","",IF(R349="BUY",E349+N349*操作パネル_MS2!$H$6,E349-N349*操作パネル_MS2!$H$6))</f>
        <v/>
      </c>
      <c r="V349" s="9" t="str">
        <f>IF(R349="","",IF(R349="BUY",E349+N349*操作パネル_MS2!$H$7,E349-N349*操作パネル_MS2!$H$7))</f>
        <v/>
      </c>
      <c r="W349" s="9" t="str">
        <f>IF(R349="","",IF(R349="BUY",E349+N349*操作パネル_MS2!$H$8,E349-N349*操作パネル_MS2!$H$8))</f>
        <v/>
      </c>
      <c r="X349" s="5" t="str">
        <f t="shared" si="57"/>
        <v/>
      </c>
      <c r="Y349" s="5" t="str">
        <f t="shared" ca="1" si="58"/>
        <v/>
      </c>
      <c r="Z349" s="5" t="str">
        <f>IF(OR(E349="",N349&lt;=0),"",IF(N349&gt;E349*操作パネル_MS2!$H$4,"VOL-HIGH","VOL-NORMAL"))</f>
        <v/>
      </c>
      <c r="AA349" s="5" t="str">
        <f t="shared" si="59"/>
        <v/>
      </c>
      <c r="AB349" s="5" t="str">
        <f t="shared" si="60"/>
        <v/>
      </c>
      <c r="AC349" s="30" t="str">
        <f>IF(C349="","",_xll.RssMarket(C349&amp;"","売買代金"))</f>
        <v/>
      </c>
      <c r="AD349" s="31">
        <f>IFERROR(INDEX(ATRHIST_MS2!$H:$H,MATCH(C349,ATRHIST_MS2!$A:$A,0)),0)</f>
        <v>0</v>
      </c>
    </row>
    <row r="350" spans="1:30" ht="25.95" customHeight="1">
      <c r="A350" s="10" t="str">
        <f t="shared" si="52"/>
        <v/>
      </c>
      <c r="B350" s="11" t="str">
        <f>IF(StockList_MS2!A349="","",HYPERLINK("https://kabutan.jp/stock/?code="&amp;StockList_MS2!A349,"株探"))</f>
        <v/>
      </c>
      <c r="C350" s="10" t="str">
        <f>IF(StockList_MS2!A349="","",StockList_MS2!A349)</f>
        <v/>
      </c>
      <c r="D350" s="12" t="str">
        <f>IF(StockList_MS2!A349="","",StockList_MS2!B349)</f>
        <v/>
      </c>
      <c r="E350" s="13"/>
      <c r="F350" s="13"/>
      <c r="G350" s="13"/>
      <c r="H350" s="13"/>
      <c r="I350" s="20"/>
      <c r="J350" s="13"/>
      <c r="K350" s="13"/>
      <c r="L350" s="13"/>
      <c r="M350" s="5" t="str">
        <f t="shared" si="51"/>
        <v/>
      </c>
      <c r="N350" s="9" t="str">
        <f>IF(OR(E350="",F350="",G350=""),"",IF(AD350&gt;0,AD350,(F350-G350)/SQRT(操作パネル_MS2!$H$12)*操作パネル_MS2!$H$10))</f>
        <v/>
      </c>
      <c r="O350" s="5" t="str">
        <f>IF(OR(E350="",AC350=""),"",IF(AC350&gt;=操作パネル_MS2!$H$3,"VOL-OK","VOL-NG"))</f>
        <v/>
      </c>
      <c r="P350" s="5" t="str">
        <f t="shared" si="53"/>
        <v/>
      </c>
      <c r="Q350" s="5" t="str">
        <f t="shared" si="54"/>
        <v/>
      </c>
      <c r="R350" s="5" t="str">
        <f t="shared" si="55"/>
        <v/>
      </c>
      <c r="S350" s="9" t="str">
        <f t="shared" si="56"/>
        <v/>
      </c>
      <c r="T350" s="9" t="str">
        <f>IF(R350="","",IF(R350="BUY",E350-N350*操作パネル_MS2!$H$5,E350+N350*操作パネル_MS2!$H$5))</f>
        <v/>
      </c>
      <c r="U350" s="9" t="str">
        <f>IF(R350="","",IF(R350="BUY",E350+N350*操作パネル_MS2!$H$6,E350-N350*操作パネル_MS2!$H$6))</f>
        <v/>
      </c>
      <c r="V350" s="9" t="str">
        <f>IF(R350="","",IF(R350="BUY",E350+N350*操作パネル_MS2!$H$7,E350-N350*操作パネル_MS2!$H$7))</f>
        <v/>
      </c>
      <c r="W350" s="9" t="str">
        <f>IF(R350="","",IF(R350="BUY",E350+N350*操作パネル_MS2!$H$8,E350-N350*操作パネル_MS2!$H$8))</f>
        <v/>
      </c>
      <c r="X350" s="5" t="str">
        <f t="shared" si="57"/>
        <v/>
      </c>
      <c r="Y350" s="5" t="str">
        <f t="shared" ca="1" si="58"/>
        <v/>
      </c>
      <c r="Z350" s="5" t="str">
        <f>IF(OR(E350="",N350&lt;=0),"",IF(N350&gt;E350*操作パネル_MS2!$H$4,"VOL-HIGH","VOL-NORMAL"))</f>
        <v/>
      </c>
      <c r="AA350" s="5" t="str">
        <f t="shared" si="59"/>
        <v/>
      </c>
      <c r="AB350" s="5" t="str">
        <f t="shared" si="60"/>
        <v/>
      </c>
      <c r="AC350" s="30" t="str">
        <f>IF(C350="","",_xll.RssMarket(C350&amp;"","売買代金"))</f>
        <v/>
      </c>
      <c r="AD350" s="31">
        <f>IFERROR(INDEX(ATRHIST_MS2!$H:$H,MATCH(C350,ATRHIST_MS2!$A:$A,0)),0)</f>
        <v>0</v>
      </c>
    </row>
    <row r="351" spans="1:30" ht="25.95" customHeight="1">
      <c r="A351" s="5" t="str">
        <f t="shared" si="52"/>
        <v/>
      </c>
      <c r="B351" s="6" t="str">
        <f>IF(StockList_MS2!A350="","",HYPERLINK("https://kabutan.jp/stock/?code="&amp;StockList_MS2!A350,"株探"))</f>
        <v/>
      </c>
      <c r="C351" s="5" t="str">
        <f>IF(StockList_MS2!A350="","",StockList_MS2!A350)</f>
        <v/>
      </c>
      <c r="D351" s="7" t="str">
        <f>IF(StockList_MS2!A350="","",StockList_MS2!B350)</f>
        <v/>
      </c>
      <c r="E351" s="8"/>
      <c r="F351" s="8"/>
      <c r="G351" s="8"/>
      <c r="H351" s="8"/>
      <c r="I351" s="19"/>
      <c r="J351" s="8"/>
      <c r="K351" s="8"/>
      <c r="L351" s="8"/>
      <c r="M351" s="5" t="str">
        <f t="shared" si="51"/>
        <v/>
      </c>
      <c r="N351" s="9" t="str">
        <f>IF(OR(E351="",F351="",G351=""),"",IF(AD351&gt;0,AD351,(F351-G351)/SQRT(操作パネル_MS2!$H$12)*操作パネル_MS2!$H$10))</f>
        <v/>
      </c>
      <c r="O351" s="5" t="str">
        <f>IF(OR(E351="",AC351=""),"",IF(AC351&gt;=操作パネル_MS2!$H$3,"VOL-OK","VOL-NG"))</f>
        <v/>
      </c>
      <c r="P351" s="5" t="str">
        <f t="shared" si="53"/>
        <v/>
      </c>
      <c r="Q351" s="5" t="str">
        <f t="shared" si="54"/>
        <v/>
      </c>
      <c r="R351" s="5" t="str">
        <f t="shared" si="55"/>
        <v/>
      </c>
      <c r="S351" s="9" t="str">
        <f t="shared" si="56"/>
        <v/>
      </c>
      <c r="T351" s="9" t="str">
        <f>IF(R351="","",IF(R351="BUY",E351-N351*操作パネル_MS2!$H$5,E351+N351*操作パネル_MS2!$H$5))</f>
        <v/>
      </c>
      <c r="U351" s="9" t="str">
        <f>IF(R351="","",IF(R351="BUY",E351+N351*操作パネル_MS2!$H$6,E351-N351*操作パネル_MS2!$H$6))</f>
        <v/>
      </c>
      <c r="V351" s="9" t="str">
        <f>IF(R351="","",IF(R351="BUY",E351+N351*操作パネル_MS2!$H$7,E351-N351*操作パネル_MS2!$H$7))</f>
        <v/>
      </c>
      <c r="W351" s="9" t="str">
        <f>IF(R351="","",IF(R351="BUY",E351+N351*操作パネル_MS2!$H$8,E351-N351*操作パネル_MS2!$H$8))</f>
        <v/>
      </c>
      <c r="X351" s="5" t="str">
        <f t="shared" si="57"/>
        <v/>
      </c>
      <c r="Y351" s="5" t="str">
        <f t="shared" ca="1" si="58"/>
        <v/>
      </c>
      <c r="Z351" s="5" t="str">
        <f>IF(OR(E351="",N351&lt;=0),"",IF(N351&gt;E351*操作パネル_MS2!$H$4,"VOL-HIGH","VOL-NORMAL"))</f>
        <v/>
      </c>
      <c r="AA351" s="5" t="str">
        <f t="shared" si="59"/>
        <v/>
      </c>
      <c r="AB351" s="5" t="str">
        <f t="shared" si="60"/>
        <v/>
      </c>
      <c r="AC351" s="30" t="str">
        <f>IF(C351="","",_xll.RssMarket(C351&amp;"","売買代金"))</f>
        <v/>
      </c>
      <c r="AD351" s="31">
        <f>IFERROR(INDEX(ATRHIST_MS2!$H:$H,MATCH(C351,ATRHIST_MS2!$A:$A,0)),0)</f>
        <v>0</v>
      </c>
    </row>
    <row r="352" spans="1:30" ht="25.95" customHeight="1">
      <c r="A352" s="10" t="str">
        <f t="shared" si="52"/>
        <v/>
      </c>
      <c r="B352" s="11" t="str">
        <f>IF(StockList_MS2!A351="","",HYPERLINK("https://kabutan.jp/stock/?code="&amp;StockList_MS2!A351,"株探"))</f>
        <v/>
      </c>
      <c r="C352" s="10" t="str">
        <f>IF(StockList_MS2!A351="","",StockList_MS2!A351)</f>
        <v/>
      </c>
      <c r="D352" s="12" t="str">
        <f>IF(StockList_MS2!A351="","",StockList_MS2!B351)</f>
        <v/>
      </c>
      <c r="E352" s="13"/>
      <c r="F352" s="13"/>
      <c r="G352" s="13"/>
      <c r="H352" s="13"/>
      <c r="I352" s="20"/>
      <c r="J352" s="13"/>
      <c r="K352" s="13"/>
      <c r="L352" s="13"/>
      <c r="M352" s="5" t="str">
        <f t="shared" si="51"/>
        <v/>
      </c>
      <c r="N352" s="9" t="str">
        <f>IF(OR(E352="",F352="",G352=""),"",IF(AD352&gt;0,AD352,(F352-G352)/SQRT(操作パネル_MS2!$H$12)*操作パネル_MS2!$H$10))</f>
        <v/>
      </c>
      <c r="O352" s="5" t="str">
        <f>IF(OR(E352="",AC352=""),"",IF(AC352&gt;=操作パネル_MS2!$H$3,"VOL-OK","VOL-NG"))</f>
        <v/>
      </c>
      <c r="P352" s="5" t="str">
        <f t="shared" si="53"/>
        <v/>
      </c>
      <c r="Q352" s="5" t="str">
        <f t="shared" si="54"/>
        <v/>
      </c>
      <c r="R352" s="5" t="str">
        <f t="shared" si="55"/>
        <v/>
      </c>
      <c r="S352" s="9" t="str">
        <f t="shared" si="56"/>
        <v/>
      </c>
      <c r="T352" s="9" t="str">
        <f>IF(R352="","",IF(R352="BUY",E352-N352*操作パネル_MS2!$H$5,E352+N352*操作パネル_MS2!$H$5))</f>
        <v/>
      </c>
      <c r="U352" s="9" t="str">
        <f>IF(R352="","",IF(R352="BUY",E352+N352*操作パネル_MS2!$H$6,E352-N352*操作パネル_MS2!$H$6))</f>
        <v/>
      </c>
      <c r="V352" s="9" t="str">
        <f>IF(R352="","",IF(R352="BUY",E352+N352*操作パネル_MS2!$H$7,E352-N352*操作パネル_MS2!$H$7))</f>
        <v/>
      </c>
      <c r="W352" s="9" t="str">
        <f>IF(R352="","",IF(R352="BUY",E352+N352*操作パネル_MS2!$H$8,E352-N352*操作パネル_MS2!$H$8))</f>
        <v/>
      </c>
      <c r="X352" s="5" t="str">
        <f t="shared" si="57"/>
        <v/>
      </c>
      <c r="Y352" s="5" t="str">
        <f t="shared" ca="1" si="58"/>
        <v/>
      </c>
      <c r="Z352" s="5" t="str">
        <f>IF(OR(E352="",N352&lt;=0),"",IF(N352&gt;E352*操作パネル_MS2!$H$4,"VOL-HIGH","VOL-NORMAL"))</f>
        <v/>
      </c>
      <c r="AA352" s="5" t="str">
        <f t="shared" si="59"/>
        <v/>
      </c>
      <c r="AB352" s="5" t="str">
        <f t="shared" si="60"/>
        <v/>
      </c>
      <c r="AC352" s="30" t="str">
        <f>IF(C352="","",_xll.RssMarket(C352&amp;"","売買代金"))</f>
        <v/>
      </c>
      <c r="AD352" s="31">
        <f>IFERROR(INDEX(ATRHIST_MS2!$H:$H,MATCH(C352,ATRHIST_MS2!$A:$A,0)),0)</f>
        <v>0</v>
      </c>
    </row>
    <row r="354" spans="14:14" ht="28.8">
      <c r="N354" s="2" t="s">
        <v>12</v>
      </c>
    </row>
  </sheetData>
  <autoFilter ref="A2:AB2" xr:uid="{00000000-0009-0000-0000-000002000000}">
    <sortState xmlns:xlrd2="http://schemas.microsoft.com/office/spreadsheetml/2017/richdata2" ref="A3:AB352">
      <sortCondition descending="1" ref="AB2"/>
    </sortState>
  </autoFilter>
  <mergeCells count="1">
    <mergeCell ref="A1:AD1"/>
  </mergeCells>
  <phoneticPr fontId="1"/>
  <pageMargins left="0.75" right="0.75" top="1" bottom="1" header="0.5" footer="0.5"/>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S92"/>
  <sheetViews>
    <sheetView workbookViewId="0">
      <pane ySplit="1" topLeftCell="A2" activePane="bottomLeft" state="frozen"/>
      <selection pane="bottomLeft" activeCell="A6" sqref="A6"/>
    </sheetView>
  </sheetViews>
  <sheetFormatPr defaultRowHeight="22.2"/>
  <cols>
    <col min="1" max="1" width="25.15234375" style="1" customWidth="1"/>
    <col min="2" max="2" width="13" style="1" customWidth="1"/>
    <col min="3" max="3" width="25.61328125" style="1" customWidth="1"/>
    <col min="4" max="11" width="13" style="1" customWidth="1"/>
    <col min="12" max="13" width="15.3828125" style="1" bestFit="1" customWidth="1"/>
    <col min="14" max="14" width="20.53515625" bestFit="1" customWidth="1"/>
    <col min="15" max="15" width="15.61328125" style="66" bestFit="1" customWidth="1"/>
    <col min="16" max="16" width="7.69140625" bestFit="1" customWidth="1"/>
    <col min="18" max="18" width="26.23046875" bestFit="1" customWidth="1"/>
    <col min="19" max="19" width="7.07421875" bestFit="1" customWidth="1"/>
  </cols>
  <sheetData>
    <row r="1" spans="1:19" ht="46.2" customHeight="1">
      <c r="A1" s="80" t="s">
        <v>3</v>
      </c>
      <c r="B1" s="3" t="s">
        <v>0</v>
      </c>
      <c r="C1" s="3" t="s">
        <v>1</v>
      </c>
      <c r="D1" s="3" t="s">
        <v>6</v>
      </c>
      <c r="E1" s="3" t="s">
        <v>7</v>
      </c>
      <c r="F1" s="3" t="s">
        <v>8</v>
      </c>
      <c r="G1" s="3" t="s">
        <v>48</v>
      </c>
      <c r="H1" s="3" t="s">
        <v>10</v>
      </c>
      <c r="I1" s="3" t="s">
        <v>11</v>
      </c>
      <c r="J1" s="3" t="s">
        <v>13</v>
      </c>
      <c r="K1" s="3" t="s">
        <v>14</v>
      </c>
      <c r="L1" s="3" t="s">
        <v>15</v>
      </c>
      <c r="M1" s="3" t="s">
        <v>16</v>
      </c>
      <c r="N1" s="3" t="s">
        <v>179</v>
      </c>
      <c r="O1" s="65" t="s">
        <v>180</v>
      </c>
      <c r="P1" s="3" t="s">
        <v>181</v>
      </c>
      <c r="R1" s="60" t="s">
        <v>182</v>
      </c>
    </row>
    <row r="2" spans="1:19">
      <c r="A2" s="1">
        <v>1</v>
      </c>
      <c r="B2" s="1">
        <v>8729</v>
      </c>
      <c r="C2" s="1" t="str">
        <f>IFERROR(INDEX(StockList_MS2!$B:$B,MATCH($B2,StockList_MS2!$A:$A,0)),"")</f>
        <v>ソニーフィナンシャルグループ</v>
      </c>
      <c r="D2" s="1" t="s">
        <v>73</v>
      </c>
      <c r="E2" s="1">
        <v>156</v>
      </c>
      <c r="F2" s="1">
        <v>154.6006254099913</v>
      </c>
      <c r="G2" s="1">
        <v>157.39936116006206</v>
      </c>
      <c r="H2" s="1">
        <v>157.86580081098796</v>
      </c>
      <c r="I2" s="1">
        <v>158.79867627637464</v>
      </c>
      <c r="J2" s="1" t="s">
        <v>8</v>
      </c>
      <c r="K2" s="1">
        <v>-1.3993745900087049</v>
      </c>
      <c r="L2" s="35">
        <v>46244.459421296298</v>
      </c>
      <c r="M2" s="35">
        <v>46246.486770833333</v>
      </c>
      <c r="N2" s="58">
        <f>IF($E2="","",ROUNDUP($E2*操作パネル_MS2!$H$13,0))</f>
        <v>15600</v>
      </c>
      <c r="O2" s="66">
        <f>IF($K2="","",ROUNDUP($K2*操作パネル_MS2!$H$13,0))</f>
        <v>-140</v>
      </c>
      <c r="P2" s="59">
        <f>IF(OR($K2="",$E2="",$F2=""),"",$K2/ABS($E2-$F2))</f>
        <v>-1</v>
      </c>
      <c r="R2" t="s">
        <v>183</v>
      </c>
      <c r="S2" s="61">
        <f>COUNT($O$2:$O$92)</f>
        <v>91</v>
      </c>
    </row>
    <row r="3" spans="1:19" ht="28.8">
      <c r="A3" s="2">
        <v>2</v>
      </c>
      <c r="B3" s="1">
        <v>7201</v>
      </c>
      <c r="C3" s="1" t="str">
        <f>IFERROR(INDEX(StockList_MS2!$B:$B,MATCH($B3,StockList_MS2!$A:$A,0)),"")</f>
        <v>日産自動車</v>
      </c>
      <c r="D3" s="1" t="s">
        <v>73</v>
      </c>
      <c r="E3" s="1">
        <v>349.9</v>
      </c>
      <c r="F3" s="1">
        <v>347.13195662341576</v>
      </c>
      <c r="G3" s="1">
        <v>352.66801491977856</v>
      </c>
      <c r="H3" s="1">
        <v>353.59065620649409</v>
      </c>
      <c r="I3" s="1">
        <v>355.43593878128689</v>
      </c>
      <c r="J3" s="1" t="s">
        <v>8</v>
      </c>
      <c r="K3" s="1">
        <v>-2.7680433765842167</v>
      </c>
      <c r="L3" s="35">
        <v>46244.459444444445</v>
      </c>
      <c r="M3" s="35">
        <v>46246.46533564815</v>
      </c>
      <c r="N3" s="58">
        <f>IF($E3="","",ROUNDUP($E3*操作パネル_MS2!$H$13,0))</f>
        <v>34990</v>
      </c>
      <c r="O3" s="66">
        <f>IF($K3="","",ROUNDUP($K3*操作パネル_MS2!$H$13,0))</f>
        <v>-277</v>
      </c>
      <c r="P3" s="59">
        <f t="shared" ref="P3:P66" si="0">IF(OR($K3="",$E3="",$F3=""),"",$K3/ABS($E3-$F3))</f>
        <v>-1</v>
      </c>
      <c r="R3" t="s">
        <v>184</v>
      </c>
      <c r="S3" s="58">
        <f>SUM($O$2:$O$92)</f>
        <v>47993</v>
      </c>
    </row>
    <row r="4" spans="1:19">
      <c r="A4" s="1">
        <v>3</v>
      </c>
      <c r="B4" s="1">
        <v>8306</v>
      </c>
      <c r="C4" s="1" t="str">
        <f>IFERROR(INDEX(StockList_MS2!$B:$B,MATCH($B4,StockList_MS2!$A:$A,0)),"")</f>
        <v>三菱ＵＦＪフィナンシャルＧ</v>
      </c>
      <c r="D4" s="1" t="s">
        <v>74</v>
      </c>
      <c r="E4" s="1">
        <v>3515</v>
      </c>
      <c r="F4" s="1">
        <v>3536.8988413577813</v>
      </c>
      <c r="G4" s="1">
        <v>3493.1013537177437</v>
      </c>
      <c r="H4" s="1">
        <v>3485.8020650494836</v>
      </c>
      <c r="I4" s="1">
        <v>3471.2034276862328</v>
      </c>
      <c r="J4" s="1" t="s">
        <v>8</v>
      </c>
      <c r="K4" s="1">
        <v>-21.898841357781293</v>
      </c>
      <c r="L4" s="35">
        <v>46244.459456018521</v>
      </c>
      <c r="M4" s="35">
        <v>46246.46533564815</v>
      </c>
      <c r="N4" s="58">
        <f>IF($E4="","",ROUNDUP($E4*操作パネル_MS2!$H$13,0))</f>
        <v>351500</v>
      </c>
      <c r="O4" s="66">
        <f>IF($K4="","",ROUNDUP($K4*操作パネル_MS2!$H$13,0))</f>
        <v>-2190</v>
      </c>
      <c r="P4" s="59">
        <f t="shared" si="0"/>
        <v>-1</v>
      </c>
      <c r="R4" t="s">
        <v>185</v>
      </c>
      <c r="S4" s="58">
        <f>IF(S2=0,0,ROUNDUP(S3/S2,0))</f>
        <v>528</v>
      </c>
    </row>
    <row r="5" spans="1:19">
      <c r="A5" s="1">
        <v>4</v>
      </c>
      <c r="B5" s="1">
        <v>8053</v>
      </c>
      <c r="C5" s="1" t="str">
        <f>IFERROR(INDEX(StockList_MS2!$B:$B,MATCH($B5,StockList_MS2!$A:$A,0)),"")</f>
        <v>住友商事</v>
      </c>
      <c r="D5" s="1" t="s">
        <v>73</v>
      </c>
      <c r="E5" s="1">
        <v>1798</v>
      </c>
      <c r="F5" s="1">
        <v>1785.6831086032089</v>
      </c>
      <c r="G5" s="1">
        <v>1810.3167901376075</v>
      </c>
      <c r="H5" s="1">
        <v>1814.4222405901055</v>
      </c>
      <c r="I5" s="1">
        <v>1822.6331583761357</v>
      </c>
      <c r="J5" s="1" t="s">
        <v>8</v>
      </c>
      <c r="K5" s="1">
        <v>-12.316891396791107</v>
      </c>
      <c r="L5" s="35">
        <v>46244.459479166668</v>
      </c>
      <c r="M5" s="35">
        <v>46246.46533564815</v>
      </c>
      <c r="N5" s="58">
        <f>IF($E5="","",ROUNDUP($E5*操作パネル_MS2!$H$13,0))</f>
        <v>179800</v>
      </c>
      <c r="O5" s="66">
        <f>IF($K5="","",ROUNDUP($K5*操作パネル_MS2!$H$13,0))</f>
        <v>-1232</v>
      </c>
      <c r="P5" s="59">
        <f t="shared" si="0"/>
        <v>-1</v>
      </c>
      <c r="R5" t="s">
        <v>186</v>
      </c>
      <c r="S5" s="58">
        <f>IF(S2=0,0,MIN($O$2:$O$92))</f>
        <v>-7287</v>
      </c>
    </row>
    <row r="6" spans="1:19">
      <c r="A6" s="1">
        <v>5</v>
      </c>
      <c r="B6" s="1">
        <v>3350</v>
      </c>
      <c r="C6" s="1" t="str">
        <f>IFERROR(INDEX(StockList_MS2!$B:$B,MATCH($B6,StockList_MS2!$A:$A,0)),"")</f>
        <v>メタプラネット</v>
      </c>
      <c r="D6" s="1" t="s">
        <v>73</v>
      </c>
      <c r="E6" s="1">
        <v>235</v>
      </c>
      <c r="F6" s="1">
        <v>230.13457423710994</v>
      </c>
      <c r="G6" s="1">
        <v>239.86539243677188</v>
      </c>
      <c r="H6" s="1">
        <v>241.48713659500029</v>
      </c>
      <c r="I6" s="1">
        <v>244.73061824915433</v>
      </c>
      <c r="J6" s="1" t="s">
        <v>8</v>
      </c>
      <c r="K6" s="1">
        <v>-4.8654257628900552</v>
      </c>
      <c r="L6" s="35">
        <v>46244.459490740737</v>
      </c>
      <c r="M6" s="35">
        <v>46246.46534722222</v>
      </c>
      <c r="N6" s="58">
        <f>IF($E6="","",ROUNDUP($E6*操作パネル_MS2!$H$13,0))</f>
        <v>23500</v>
      </c>
      <c r="O6" s="66">
        <f>IF($K6="","",ROUNDUP($K6*操作パネル_MS2!$H$13,0))</f>
        <v>-487</v>
      </c>
      <c r="P6" s="59">
        <f t="shared" si="0"/>
        <v>-1</v>
      </c>
      <c r="R6" t="s">
        <v>87</v>
      </c>
      <c r="S6" s="62">
        <f>IF(S2=0,0,COUNTIF($O$2:$O$92,"&gt;0")/S2)</f>
        <v>0.40659340659340659</v>
      </c>
    </row>
    <row r="7" spans="1:19">
      <c r="A7" s="1">
        <v>6</v>
      </c>
      <c r="B7" s="1">
        <v>6723</v>
      </c>
      <c r="C7" s="1" t="str">
        <f>IFERROR(INDEX(StockList_MS2!$B:$B,MATCH($B7,StockList_MS2!$A:$A,0)),"")</f>
        <v>ルネサスエレクトロニクス</v>
      </c>
      <c r="D7" s="1" t="s">
        <v>73</v>
      </c>
      <c r="E7" s="1">
        <v>3851</v>
      </c>
      <c r="F7" s="1">
        <v>3811.776265968238</v>
      </c>
      <c r="G7" s="1">
        <v>3890.2234385565689</v>
      </c>
      <c r="H7" s="1">
        <v>3903.2975599307883</v>
      </c>
      <c r="I7" s="1">
        <v>3929.4456415336799</v>
      </c>
      <c r="J7" s="1" t="s">
        <v>8</v>
      </c>
      <c r="K7" s="1">
        <v>-39.223734031761978</v>
      </c>
      <c r="L7" s="35">
        <v>46244.459502314814</v>
      </c>
      <c r="M7" s="35">
        <v>46246.46534722222</v>
      </c>
      <c r="N7" s="58">
        <f>IF($E7="","",ROUNDUP($E7*操作パネル_MS2!$H$13,0))</f>
        <v>385100</v>
      </c>
      <c r="O7" s="66">
        <f>IF($K7="","",ROUNDUP($K7*操作パネル_MS2!$H$13,0))</f>
        <v>-3923</v>
      </c>
      <c r="P7" s="59">
        <f t="shared" si="0"/>
        <v>-1</v>
      </c>
    </row>
    <row r="8" spans="1:19">
      <c r="A8" s="1">
        <v>7</v>
      </c>
      <c r="B8" s="1">
        <v>4689</v>
      </c>
      <c r="C8" s="1" t="str">
        <f>IFERROR(INDEX(StockList_MS2!$B:$B,MATCH($B8,StockList_MS2!$A:$A,0)),"")</f>
        <v>ＬＩＮＥヤフー</v>
      </c>
      <c r="D8" s="1" t="s">
        <v>73</v>
      </c>
      <c r="E8" s="1">
        <v>489</v>
      </c>
      <c r="F8" s="1">
        <v>484.22671961893212</v>
      </c>
      <c r="G8" s="1">
        <v>493.77323789408405</v>
      </c>
      <c r="H8" s="1">
        <v>495.36427361704273</v>
      </c>
      <c r="I8" s="1">
        <v>498.54634506389175</v>
      </c>
      <c r="J8" s="1" t="s">
        <v>9</v>
      </c>
      <c r="K8" s="1">
        <v>4.7732378940840476</v>
      </c>
      <c r="L8" s="35">
        <v>46244.45952546296</v>
      </c>
      <c r="M8" s="35">
        <v>46246.46534722222</v>
      </c>
      <c r="N8" s="58">
        <f>IF($E8="","",ROUNDUP($E8*操作パネル_MS2!$H$13,0))</f>
        <v>48900</v>
      </c>
      <c r="O8" s="66">
        <f>IF($K8="","",ROUNDUP($K8*操作パネル_MS2!$H$13,0))</f>
        <v>478</v>
      </c>
      <c r="P8" s="59">
        <f t="shared" si="0"/>
        <v>0.99999109899682437</v>
      </c>
    </row>
    <row r="9" spans="1:19">
      <c r="A9" s="1">
        <v>8</v>
      </c>
      <c r="B9" s="1">
        <v>8136</v>
      </c>
      <c r="C9" s="1" t="str">
        <f>IFERROR(INDEX(StockList_MS2!$B:$B,MATCH($B9,StockList_MS2!$A:$A,0)),"")</f>
        <v>サンリオ</v>
      </c>
      <c r="D9" s="1" t="s">
        <v>73</v>
      </c>
      <c r="E9" s="1">
        <v>1460.5</v>
      </c>
      <c r="F9" s="1">
        <v>1433.7479083314356</v>
      </c>
      <c r="G9" s="1">
        <v>1487.2519085352719</v>
      </c>
      <c r="H9" s="1">
        <v>1496.1688939546698</v>
      </c>
      <c r="I9" s="1">
        <v>1514.0029746804169</v>
      </c>
      <c r="J9" s="1" t="s">
        <v>8</v>
      </c>
      <c r="K9" s="1">
        <v>-26.75209166856439</v>
      </c>
      <c r="L9" s="35">
        <v>46244.459537037037</v>
      </c>
      <c r="M9" s="35">
        <v>46246.465358796297</v>
      </c>
      <c r="N9" s="58">
        <f>IF($E9="","",ROUNDUP($E9*操作パネル_MS2!$H$13,0))</f>
        <v>146050</v>
      </c>
      <c r="O9" s="66">
        <f>IF($K9="","",ROUNDUP($K9*操作パネル_MS2!$H$13,0))</f>
        <v>-2676</v>
      </c>
      <c r="P9" s="59">
        <f t="shared" si="0"/>
        <v>-1</v>
      </c>
    </row>
    <row r="10" spans="1:19">
      <c r="A10" s="1">
        <v>9</v>
      </c>
      <c r="B10" s="1">
        <v>4661</v>
      </c>
      <c r="C10" s="1" t="str">
        <f>IFERROR(INDEX(StockList_MS2!$B:$B,MATCH($B10,StockList_MS2!$A:$A,0)),"")</f>
        <v>オリエンタルランド</v>
      </c>
      <c r="D10" s="1" t="s">
        <v>73</v>
      </c>
      <c r="E10" s="1">
        <v>3036</v>
      </c>
      <c r="F10" s="1">
        <v>3011.2263401549249</v>
      </c>
      <c r="G10" s="1">
        <v>3060.7734902874049</v>
      </c>
      <c r="H10" s="1">
        <v>3069.0310264900427</v>
      </c>
      <c r="I10" s="1">
        <v>3085.5460649983829</v>
      </c>
      <c r="J10" s="1" t="s">
        <v>8</v>
      </c>
      <c r="K10" s="1">
        <v>-24.773659845075144</v>
      </c>
      <c r="L10" s="35">
        <v>46244.459560185183</v>
      </c>
      <c r="M10" s="35">
        <v>46246.465358796297</v>
      </c>
      <c r="N10" s="58">
        <f>IF($E10="","",ROUNDUP($E10*操作パネル_MS2!$H$13,0))</f>
        <v>303600</v>
      </c>
      <c r="O10" s="66">
        <f>IF($K10="","",ROUNDUP($K10*操作パネル_MS2!$H$13,0))</f>
        <v>-2478</v>
      </c>
      <c r="P10" s="59">
        <f t="shared" si="0"/>
        <v>-1</v>
      </c>
    </row>
    <row r="11" spans="1:19">
      <c r="A11" s="1">
        <v>10</v>
      </c>
      <c r="B11" s="1">
        <v>8604</v>
      </c>
      <c r="C11" s="1" t="str">
        <f>IFERROR(INDEX(StockList_MS2!$B:$B,MATCH($B11,StockList_MS2!$A:$A,0)),"")</f>
        <v>野村ホールディングス</v>
      </c>
      <c r="D11" s="1" t="s">
        <v>74</v>
      </c>
      <c r="E11" s="1">
        <v>1542</v>
      </c>
      <c r="F11" s="1">
        <v>1549.9025016686051</v>
      </c>
      <c r="G11" s="1">
        <v>1534.0975632232974</v>
      </c>
      <c r="H11" s="1">
        <v>1531.4635113608012</v>
      </c>
      <c r="I11" s="1">
        <v>1526.1953860039325</v>
      </c>
      <c r="J11" s="1" t="s">
        <v>8</v>
      </c>
      <c r="K11" s="1">
        <v>-7.9025016686050549</v>
      </c>
      <c r="L11" s="35">
        <v>46244.45957175926</v>
      </c>
      <c r="M11" s="35">
        <v>46246.465358796297</v>
      </c>
      <c r="N11" s="58">
        <f>IF($E11="","",ROUNDUP($E11*操作パネル_MS2!$H$13,0))</f>
        <v>154200</v>
      </c>
      <c r="O11" s="66">
        <f>IF($K11="","",ROUNDUP($K11*操作パネル_MS2!$H$13,0))</f>
        <v>-791</v>
      </c>
      <c r="P11" s="59">
        <f t="shared" si="0"/>
        <v>-1</v>
      </c>
    </row>
    <row r="12" spans="1:19">
      <c r="A12" s="1">
        <v>11</v>
      </c>
      <c r="B12" s="1">
        <v>6501</v>
      </c>
      <c r="C12" s="1" t="str">
        <f>IFERROR(INDEX(StockList_MS2!$B:$B,MATCH($B12,StockList_MS2!$A:$A,0)),"")</f>
        <v>日立</v>
      </c>
      <c r="D12" s="1" t="s">
        <v>73</v>
      </c>
      <c r="E12" s="1">
        <v>5679</v>
      </c>
      <c r="F12" s="1">
        <v>5644.3540071510706</v>
      </c>
      <c r="G12" s="1">
        <v>5713.6457795187434</v>
      </c>
      <c r="H12" s="1">
        <v>5725.19380382295</v>
      </c>
      <c r="I12" s="1">
        <v>5748.2902316947639</v>
      </c>
      <c r="J12" s="1" t="s">
        <v>8</v>
      </c>
      <c r="K12" s="1">
        <v>-34.645992848929382</v>
      </c>
      <c r="L12" s="35">
        <v>46244.459594907406</v>
      </c>
      <c r="M12" s="35">
        <v>46264.053263888891</v>
      </c>
      <c r="N12" s="58">
        <f>IF($E12="","",ROUNDUP($E12*操作パネル_MS2!$H$13,0))</f>
        <v>567900</v>
      </c>
      <c r="O12" s="66">
        <f>IF($K12="","",ROUNDUP($K12*操作パネル_MS2!$H$13,0))</f>
        <v>-3465</v>
      </c>
      <c r="P12" s="59">
        <f t="shared" si="0"/>
        <v>-1</v>
      </c>
    </row>
    <row r="13" spans="1:19">
      <c r="A13" s="1">
        <v>12</v>
      </c>
      <c r="B13" s="1">
        <v>4063</v>
      </c>
      <c r="C13" s="1" t="str">
        <f>IFERROR(INDEX(StockList_MS2!$B:$B,MATCH($B13,StockList_MS2!$A:$A,0)),"")</f>
        <v>信越化学</v>
      </c>
      <c r="D13" s="1" t="s">
        <v>73</v>
      </c>
      <c r="E13" s="1">
        <v>6302</v>
      </c>
      <c r="F13" s="1">
        <v>6262.49530347986</v>
      </c>
      <c r="G13" s="1">
        <v>6341.5043722547289</v>
      </c>
      <c r="H13" s="1">
        <v>6354.6721000217703</v>
      </c>
      <c r="I13" s="1">
        <v>6381.0073934489274</v>
      </c>
      <c r="J13" s="1" t="s">
        <v>9</v>
      </c>
      <c r="K13" s="1">
        <v>39.504372254728878</v>
      </c>
      <c r="L13" s="35">
        <v>46244.459606481483</v>
      </c>
      <c r="M13" s="35">
        <v>46246.465358796297</v>
      </c>
      <c r="N13" s="58">
        <f>IF($E13="","",ROUNDUP($E13*操作パネル_MS2!$H$13,0))</f>
        <v>630200</v>
      </c>
      <c r="O13" s="66">
        <f>IF($K13="","",ROUNDUP($K13*操作パネル_MS2!$H$13,0))</f>
        <v>3951</v>
      </c>
      <c r="P13" s="59">
        <f t="shared" si="0"/>
        <v>0.99999179172504349</v>
      </c>
    </row>
    <row r="14" spans="1:19">
      <c r="A14" s="1">
        <v>13</v>
      </c>
      <c r="B14" s="1">
        <v>4568</v>
      </c>
      <c r="C14" s="1" t="str">
        <f>IFERROR(INDEX(StockList_MS2!$B:$B,MATCH($B14,StockList_MS2!$A:$A,0)),"")</f>
        <v>第一三共</v>
      </c>
      <c r="D14" s="1" t="s">
        <v>73</v>
      </c>
      <c r="E14" s="1">
        <v>2802</v>
      </c>
      <c r="F14" s="1">
        <v>2775.7166995893476</v>
      </c>
      <c r="G14" s="1">
        <v>2828.2831026858598</v>
      </c>
      <c r="H14" s="1">
        <v>2837.0438253551265</v>
      </c>
      <c r="I14" s="1">
        <v>2854.5653785497839</v>
      </c>
      <c r="J14" s="1" t="s">
        <v>8</v>
      </c>
      <c r="K14" s="1">
        <v>-26.283300410652373</v>
      </c>
      <c r="L14" s="35">
        <v>46244.459618055553</v>
      </c>
      <c r="M14" s="35">
        <v>46246.465370370373</v>
      </c>
      <c r="N14" s="58">
        <f>IF($E14="","",ROUNDUP($E14*操作パネル_MS2!$H$13,0))</f>
        <v>280200</v>
      </c>
      <c r="O14" s="66">
        <f>IF($K14="","",ROUNDUP($K14*操作パネル_MS2!$H$13,0))</f>
        <v>-2629</v>
      </c>
      <c r="P14" s="59">
        <f t="shared" si="0"/>
        <v>-1</v>
      </c>
    </row>
    <row r="15" spans="1:19">
      <c r="A15" s="1">
        <v>14</v>
      </c>
      <c r="B15" s="1">
        <v>8001</v>
      </c>
      <c r="C15" s="1" t="str">
        <f>IFERROR(INDEX(StockList_MS2!$B:$B,MATCH($B15,StockList_MS2!$A:$A,0)),"")</f>
        <v>伊藤忠</v>
      </c>
      <c r="D15" s="1" t="s">
        <v>73</v>
      </c>
      <c r="E15" s="1">
        <v>2095.5</v>
      </c>
      <c r="F15" s="1">
        <v>2081.9798277587593</v>
      </c>
      <c r="G15" s="1">
        <v>2109.0200705507605</v>
      </c>
      <c r="H15" s="1">
        <v>2113.5266374756029</v>
      </c>
      <c r="I15" s="1">
        <v>2122.539752841205</v>
      </c>
      <c r="J15" s="1" t="s">
        <v>9</v>
      </c>
      <c r="K15" s="1">
        <v>13.520070550760465</v>
      </c>
      <c r="L15" s="35">
        <v>46244.459641203706</v>
      </c>
      <c r="M15" s="35">
        <v>46264.053263888891</v>
      </c>
      <c r="N15" s="58">
        <f>IF($E15="","",ROUNDUP($E15*操作パネル_MS2!$H$13,0))</f>
        <v>209550</v>
      </c>
      <c r="O15" s="66">
        <f>IF($K15="","",ROUNDUP($K15*操作パネル_MS2!$H$13,0))</f>
        <v>1353</v>
      </c>
      <c r="P15" s="59">
        <f t="shared" si="0"/>
        <v>0.99999247861059282</v>
      </c>
    </row>
    <row r="16" spans="1:19">
      <c r="A16" s="1">
        <v>15</v>
      </c>
      <c r="B16" s="1">
        <v>6857</v>
      </c>
      <c r="C16" s="1" t="str">
        <f>IFERROR(INDEX(StockList_MS2!$B:$B,MATCH($B16,StockList_MS2!$A:$A,0)),"")</f>
        <v>アドバンテスト</v>
      </c>
      <c r="D16" s="1" t="s">
        <v>73</v>
      </c>
      <c r="E16" s="1">
        <v>33660</v>
      </c>
      <c r="F16" s="1">
        <v>33271.141583238299</v>
      </c>
      <c r="G16" s="1">
        <v>34048.856024214096</v>
      </c>
      <c r="H16" s="1">
        <v>34178.470091194031</v>
      </c>
      <c r="I16" s="1">
        <v>34437.698225371598</v>
      </c>
      <c r="J16" s="1" t="s">
        <v>9</v>
      </c>
      <c r="K16" s="1">
        <v>388.85602421409567</v>
      </c>
      <c r="L16" s="35">
        <v>46244.459652777776</v>
      </c>
      <c r="M16" s="35">
        <v>46246.465370370373</v>
      </c>
      <c r="N16" s="58">
        <f>IF($E16="","",ROUNDUP($E16*操作パネル_MS2!$H$13,0))</f>
        <v>3366000</v>
      </c>
      <c r="O16" s="66">
        <f>IF($K16="","",ROUNDUP($K16*操作パネル_MS2!$H$13,0))</f>
        <v>38886</v>
      </c>
      <c r="P16" s="59">
        <f t="shared" si="0"/>
        <v>0.99999384725261908</v>
      </c>
    </row>
    <row r="17" spans="1:16">
      <c r="A17" s="1">
        <v>16</v>
      </c>
      <c r="B17" s="1">
        <v>7974</v>
      </c>
      <c r="C17" s="1" t="str">
        <f>IFERROR(INDEX(StockList_MS2!$B:$B,MATCH($B17,StockList_MS2!$A:$A,0)),"")</f>
        <v>任天堂</v>
      </c>
      <c r="D17" s="1" t="s">
        <v>73</v>
      </c>
      <c r="E17" s="1">
        <v>8198</v>
      </c>
      <c r="F17" s="1">
        <v>8129.0447067316272</v>
      </c>
      <c r="G17" s="1">
        <v>8266.9546805605933</v>
      </c>
      <c r="H17" s="1">
        <v>8289.9388828319661</v>
      </c>
      <c r="I17" s="1">
        <v>8335.9073816599812</v>
      </c>
      <c r="J17" s="1" t="s">
        <v>9</v>
      </c>
      <c r="K17" s="1">
        <v>68.95468056059326</v>
      </c>
      <c r="L17" s="35">
        <v>46244.459664351853</v>
      </c>
      <c r="M17" s="35">
        <v>46246.465370370373</v>
      </c>
      <c r="N17" s="58">
        <f>IF($E17="","",ROUNDUP($E17*操作パネル_MS2!$H$13,0))</f>
        <v>819800</v>
      </c>
      <c r="O17" s="66">
        <f>IF($K17="","",ROUNDUP($K17*操作パネル_MS2!$H$13,0))</f>
        <v>6896</v>
      </c>
      <c r="P17" s="59">
        <f t="shared" si="0"/>
        <v>0.99999111441993116</v>
      </c>
    </row>
    <row r="18" spans="1:16">
      <c r="A18" s="1">
        <v>17</v>
      </c>
      <c r="B18" s="1">
        <v>6702</v>
      </c>
      <c r="C18" s="1" t="str">
        <f>IFERROR(INDEX(StockList_MS2!$B:$B,MATCH($B18,StockList_MS2!$A:$A,0)),"")</f>
        <v>富士通</v>
      </c>
      <c r="D18" s="1" t="s">
        <v>73</v>
      </c>
      <c r="E18" s="1">
        <v>3746</v>
      </c>
      <c r="F18" s="1">
        <v>3713.1962600898723</v>
      </c>
      <c r="G18" s="1">
        <v>3778.8035157363952</v>
      </c>
      <c r="H18" s="1">
        <v>3789.7376922013605</v>
      </c>
      <c r="I18" s="1">
        <v>3811.6060899738782</v>
      </c>
      <c r="J18" s="1" t="s">
        <v>8</v>
      </c>
      <c r="K18" s="1">
        <v>-32.803739910127661</v>
      </c>
      <c r="L18" s="35">
        <v>46244.459687499999</v>
      </c>
      <c r="M18" s="35">
        <v>46246.486770833333</v>
      </c>
      <c r="N18" s="58">
        <f>IF($E18="","",ROUNDUP($E18*操作パネル_MS2!$H$13,0))</f>
        <v>374600</v>
      </c>
      <c r="O18" s="66">
        <f>IF($K18="","",ROUNDUP($K18*操作パネル_MS2!$H$13,0))</f>
        <v>-3281</v>
      </c>
      <c r="P18" s="59">
        <f t="shared" si="0"/>
        <v>-1</v>
      </c>
    </row>
    <row r="19" spans="1:16">
      <c r="A19" s="1">
        <v>18</v>
      </c>
      <c r="B19" s="1">
        <v>8316</v>
      </c>
      <c r="C19" s="1" t="str">
        <f>IFERROR(INDEX(StockList_MS2!$B:$B,MATCH($B19,StockList_MS2!$A:$A,0)),"")</f>
        <v>三井住友フィナンシャルＧ</v>
      </c>
      <c r="D19" s="1" t="s">
        <v>74</v>
      </c>
      <c r="E19" s="1">
        <v>6677</v>
      </c>
      <c r="F19" s="1">
        <v>6728.3270080636257</v>
      </c>
      <c r="G19" s="1">
        <v>6625.6733426289675</v>
      </c>
      <c r="H19" s="1">
        <v>6608.5650646917511</v>
      </c>
      <c r="I19" s="1">
        <v>6574.3483685228466</v>
      </c>
      <c r="J19" s="1" t="s">
        <v>8</v>
      </c>
      <c r="K19" s="1">
        <v>-51.327008063625726</v>
      </c>
      <c r="L19" s="35">
        <v>46244.459699074076</v>
      </c>
      <c r="M19" s="35">
        <v>46246.465381944443</v>
      </c>
      <c r="N19" s="58">
        <f>IF($E19="","",ROUNDUP($E19*操作パネル_MS2!$H$13,0))</f>
        <v>667700</v>
      </c>
      <c r="O19" s="66">
        <f>IF($K19="","",ROUNDUP($K19*操作パネル_MS2!$H$13,0))</f>
        <v>-5133</v>
      </c>
      <c r="P19" s="59">
        <f t="shared" si="0"/>
        <v>-1</v>
      </c>
    </row>
    <row r="20" spans="1:16">
      <c r="A20" s="1">
        <v>19</v>
      </c>
      <c r="B20" s="1">
        <v>4005</v>
      </c>
      <c r="C20" s="1" t="str">
        <f>IFERROR(INDEX(StockList_MS2!$B:$B,MATCH($B20,StockList_MS2!$A:$A,0)),"")</f>
        <v>住友化学</v>
      </c>
      <c r="D20" s="1" t="s">
        <v>73</v>
      </c>
      <c r="E20" s="1">
        <v>517.79999999999995</v>
      </c>
      <c r="F20" s="1">
        <v>514.79356367403977</v>
      </c>
      <c r="G20" s="1">
        <v>520.80641373476055</v>
      </c>
      <c r="H20" s="1">
        <v>521.80851604889062</v>
      </c>
      <c r="I20" s="1">
        <v>523.81272478573271</v>
      </c>
      <c r="J20" s="1" t="s">
        <v>9</v>
      </c>
      <c r="K20" s="1">
        <v>3.0064137347605993</v>
      </c>
      <c r="L20" s="35">
        <v>46244.459722222222</v>
      </c>
      <c r="M20" s="35">
        <v>46246.465381944443</v>
      </c>
      <c r="N20" s="58">
        <f>IF($E20="","",ROUNDUP($E20*操作パネル_MS2!$H$13,0))</f>
        <v>51780</v>
      </c>
      <c r="O20" s="66">
        <f>IF($K20="","",ROUNDUP($K20*操作パネル_MS2!$H$13,0))</f>
        <v>301</v>
      </c>
      <c r="P20" s="59">
        <f t="shared" si="0"/>
        <v>0.99999248572158794</v>
      </c>
    </row>
    <row r="21" spans="1:16">
      <c r="A21" s="1">
        <v>20</v>
      </c>
      <c r="B21" s="1">
        <v>4188</v>
      </c>
      <c r="C21" s="1" t="str">
        <f>IFERROR(INDEX(StockList_MS2!$B:$B,MATCH($B21,StockList_MS2!$A:$A,0)),"")</f>
        <v>三菱ケミカルグループ</v>
      </c>
      <c r="D21" s="1" t="s">
        <v>73</v>
      </c>
      <c r="E21" s="1">
        <v>1239</v>
      </c>
      <c r="F21" s="1">
        <v>1229.1313700090541</v>
      </c>
      <c r="G21" s="1">
        <v>1248.8685356300841</v>
      </c>
      <c r="H21" s="1">
        <v>1252.1579396683435</v>
      </c>
      <c r="I21" s="1">
        <v>1258.7367612287251</v>
      </c>
      <c r="J21" s="1" t="s">
        <v>8</v>
      </c>
      <c r="K21" s="1">
        <v>-9.8686299909459194</v>
      </c>
      <c r="L21" s="35">
        <v>46244.459733796299</v>
      </c>
      <c r="M21" s="35">
        <v>46246.486770833333</v>
      </c>
      <c r="N21" s="58">
        <f>IF($E21="","",ROUNDUP($E21*操作パネル_MS2!$H$13,0))</f>
        <v>123900</v>
      </c>
      <c r="O21" s="66">
        <f>IF($K21="","",ROUNDUP($K21*操作パネル_MS2!$H$13,0))</f>
        <v>-987</v>
      </c>
      <c r="P21" s="59">
        <f t="shared" si="0"/>
        <v>-1</v>
      </c>
    </row>
    <row r="22" spans="1:16">
      <c r="A22" s="1">
        <v>21</v>
      </c>
      <c r="B22" s="1">
        <v>8411</v>
      </c>
      <c r="C22" s="1" t="str">
        <f>IFERROR(INDEX(StockList_MS2!$B:$B,MATCH($B22,StockList_MS2!$A:$A,0)),"")</f>
        <v>みずほフィナンシャルＧ</v>
      </c>
      <c r="D22" s="1" t="s">
        <v>74</v>
      </c>
      <c r="E22" s="1">
        <v>8315</v>
      </c>
      <c r="F22" s="1">
        <v>8387.8688705332897</v>
      </c>
      <c r="G22" s="1">
        <v>8242.1316768068318</v>
      </c>
      <c r="H22" s="1">
        <v>8217.8428991718811</v>
      </c>
      <c r="I22" s="1">
        <v>8169.2657419241432</v>
      </c>
      <c r="J22" s="1" t="s">
        <v>8</v>
      </c>
      <c r="K22" s="1">
        <v>-72.868870533289737</v>
      </c>
      <c r="L22" s="35">
        <v>46244.459756944445</v>
      </c>
      <c r="M22" s="35">
        <v>46246.465381944443</v>
      </c>
      <c r="N22" s="58">
        <f>IF($E22="","",ROUNDUP($E22*操作パネル_MS2!$H$13,0))</f>
        <v>831500</v>
      </c>
      <c r="O22" s="66">
        <f>IF($K22="","",ROUNDUP($K22*操作パネル_MS2!$H$13,0))</f>
        <v>-7287</v>
      </c>
      <c r="P22" s="59">
        <f t="shared" si="0"/>
        <v>-1</v>
      </c>
    </row>
    <row r="23" spans="1:16">
      <c r="A23" s="1">
        <v>22</v>
      </c>
      <c r="B23" s="1">
        <v>9433</v>
      </c>
      <c r="C23" s="1" t="str">
        <f>IFERROR(INDEX(StockList_MS2!$B:$B,MATCH($B23,StockList_MS2!$A:$A,0)),"")</f>
        <v>ＫＤＤＩ</v>
      </c>
      <c r="D23" s="1" t="s">
        <v>74</v>
      </c>
      <c r="E23" s="1">
        <v>2820.5</v>
      </c>
      <c r="F23" s="1">
        <v>2837.6528248986756</v>
      </c>
      <c r="G23" s="1">
        <v>2803.3473156262912</v>
      </c>
      <c r="H23" s="1">
        <v>2797.6299415294247</v>
      </c>
      <c r="I23" s="1">
        <v>2786.1952167491309</v>
      </c>
      <c r="J23" s="1" t="s">
        <v>8</v>
      </c>
      <c r="K23" s="1">
        <v>-17.15282489867559</v>
      </c>
      <c r="L23" s="35">
        <v>46244.459768518522</v>
      </c>
      <c r="M23" s="35">
        <v>46246.46539351852</v>
      </c>
      <c r="N23" s="58">
        <f>IF($E23="","",ROUNDUP($E23*操作パネル_MS2!$H$13,0))</f>
        <v>282050</v>
      </c>
      <c r="O23" s="66">
        <f>IF($K23="","",ROUNDUP($K23*操作パネル_MS2!$H$13,0))</f>
        <v>-1716</v>
      </c>
      <c r="P23" s="59">
        <f t="shared" si="0"/>
        <v>-1</v>
      </c>
    </row>
    <row r="24" spans="1:16">
      <c r="A24" s="1">
        <v>23</v>
      </c>
      <c r="B24" s="1">
        <v>7532</v>
      </c>
      <c r="C24" s="1" t="str">
        <f>IFERROR(INDEX(StockList_MS2!$B:$B,MATCH($B24,StockList_MS2!$A:$A,0)),"")</f>
        <v>パンパシフィックＨＤ</v>
      </c>
      <c r="D24" s="1" t="s">
        <v>73</v>
      </c>
      <c r="E24" s="1">
        <v>927.7</v>
      </c>
      <c r="F24" s="1">
        <v>919.80742976294732</v>
      </c>
      <c r="G24" s="1">
        <v>935.59250558983763</v>
      </c>
      <c r="H24" s="1">
        <v>938.22326895760318</v>
      </c>
      <c r="I24" s="1">
        <v>943.48477414712158</v>
      </c>
      <c r="J24" s="1" t="s">
        <v>8</v>
      </c>
      <c r="K24" s="1">
        <v>-7.8925702370527233</v>
      </c>
      <c r="L24" s="35">
        <v>46244.459780092591</v>
      </c>
      <c r="M24" s="35">
        <v>46264.053263888891</v>
      </c>
      <c r="N24" s="58">
        <f>IF($E24="","",ROUNDUP($E24*操作パネル_MS2!$H$13,0))</f>
        <v>92770</v>
      </c>
      <c r="O24" s="66">
        <f>IF($K24="","",ROUNDUP($K24*操作パネル_MS2!$H$13,0))</f>
        <v>-790</v>
      </c>
      <c r="P24" s="59">
        <f t="shared" si="0"/>
        <v>-1</v>
      </c>
    </row>
    <row r="25" spans="1:16">
      <c r="A25" s="1">
        <v>24</v>
      </c>
      <c r="B25" s="1">
        <v>7012</v>
      </c>
      <c r="C25" s="1" t="str">
        <f>IFERROR(INDEX(StockList_MS2!$B:$B,MATCH($B25,StockList_MS2!$A:$A,0)),"")</f>
        <v>川崎重工業</v>
      </c>
      <c r="D25" s="1" t="s">
        <v>74</v>
      </c>
      <c r="E25" s="1">
        <v>2674</v>
      </c>
      <c r="F25" s="1">
        <v>2711.4859730593448</v>
      </c>
      <c r="G25" s="1">
        <v>2636.5143339231445</v>
      </c>
      <c r="H25" s="1">
        <v>2624.0195553069375</v>
      </c>
      <c r="I25" s="1">
        <v>2599.0298957342116</v>
      </c>
      <c r="J25" s="1" t="s">
        <v>8</v>
      </c>
      <c r="K25" s="1">
        <v>-37.485973059344815</v>
      </c>
      <c r="L25" s="35">
        <v>46244.459803240738</v>
      </c>
      <c r="M25" s="35">
        <v>46246.46539351852</v>
      </c>
      <c r="N25" s="58">
        <f>IF($E25="","",ROUNDUP($E25*操作パネル_MS2!$H$13,0))</f>
        <v>267400</v>
      </c>
      <c r="O25" s="66">
        <f>IF($K25="","",ROUNDUP($K25*操作パネル_MS2!$H$13,0))</f>
        <v>-3749</v>
      </c>
      <c r="P25" s="59">
        <f t="shared" si="0"/>
        <v>-1</v>
      </c>
    </row>
    <row r="26" spans="1:16">
      <c r="A26" s="1">
        <v>25</v>
      </c>
      <c r="B26" s="1">
        <v>8308</v>
      </c>
      <c r="C26" s="1" t="str">
        <f>IFERROR(INDEX(StockList_MS2!$B:$B,MATCH($B26,StockList_MS2!$A:$A,0)),"")</f>
        <v>りそなホールディングス</v>
      </c>
      <c r="D26" s="1" t="s">
        <v>74</v>
      </c>
      <c r="E26" s="1">
        <v>2303</v>
      </c>
      <c r="F26" s="1">
        <v>2314.9882545368723</v>
      </c>
      <c r="G26" s="1">
        <v>2291.0118354397764</v>
      </c>
      <c r="H26" s="1">
        <v>2287.0159005518472</v>
      </c>
      <c r="I26" s="1">
        <v>2279.0240307719364</v>
      </c>
      <c r="J26" s="1" t="s">
        <v>8</v>
      </c>
      <c r="K26" s="1">
        <v>-11.988254536872319</v>
      </c>
      <c r="L26" s="35">
        <v>46244.459814814814</v>
      </c>
      <c r="M26" s="35">
        <v>46246.46539351852</v>
      </c>
      <c r="N26" s="58">
        <f>IF($E26="","",ROUNDUP($E26*操作パネル_MS2!$H$13,0))</f>
        <v>230300</v>
      </c>
      <c r="O26" s="66">
        <f>IF($K26="","",ROUNDUP($K26*操作パネル_MS2!$H$13,0))</f>
        <v>-1199</v>
      </c>
      <c r="P26" s="59">
        <f t="shared" si="0"/>
        <v>-1</v>
      </c>
    </row>
    <row r="27" spans="1:16">
      <c r="A27" s="1">
        <v>26</v>
      </c>
      <c r="B27" s="1">
        <v>7182</v>
      </c>
      <c r="C27" s="1" t="str">
        <f>IFERROR(INDEX(StockList_MS2!$B:$B,MATCH($B27,StockList_MS2!$A:$A,0)),"")</f>
        <v>ゆうちょ銀行</v>
      </c>
      <c r="D27" s="1" t="s">
        <v>74</v>
      </c>
      <c r="E27" s="1">
        <v>3088</v>
      </c>
      <c r="F27" s="1">
        <v>3136.8589515182666</v>
      </c>
      <c r="G27" s="1">
        <v>3039.141481776026</v>
      </c>
      <c r="H27" s="1">
        <v>3022.8558423097802</v>
      </c>
      <c r="I27" s="1">
        <v>2990.2845633534544</v>
      </c>
      <c r="J27" s="1" t="s">
        <v>8</v>
      </c>
      <c r="K27" s="1">
        <v>-48.858951518266622</v>
      </c>
      <c r="L27" s="35">
        <v>46244.459837962961</v>
      </c>
      <c r="M27" s="35">
        <v>46264.053263888891</v>
      </c>
      <c r="N27" s="58">
        <f>IF($E27="","",ROUNDUP($E27*操作パネル_MS2!$H$13,0))</f>
        <v>308800</v>
      </c>
      <c r="O27" s="66">
        <f>IF($K27="","",ROUNDUP($K27*操作パネル_MS2!$H$13,0))</f>
        <v>-4886</v>
      </c>
      <c r="P27" s="59">
        <f t="shared" si="0"/>
        <v>-1</v>
      </c>
    </row>
    <row r="28" spans="1:16">
      <c r="A28" s="1">
        <v>27</v>
      </c>
      <c r="B28" s="1">
        <v>8801</v>
      </c>
      <c r="C28" s="1" t="str">
        <f>IFERROR(INDEX(StockList_MS2!$B:$B,MATCH($B28,StockList_MS2!$A:$A,0)),"")</f>
        <v>三井不動産</v>
      </c>
      <c r="D28" s="1" t="s">
        <v>74</v>
      </c>
      <c r="E28" s="1">
        <v>1478</v>
      </c>
      <c r="F28" s="1">
        <v>1488.7721595338342</v>
      </c>
      <c r="G28" s="1">
        <v>1467.2279359777431</v>
      </c>
      <c r="H28" s="1">
        <v>1463.6373557240925</v>
      </c>
      <c r="I28" s="1">
        <v>1456.4561805201906</v>
      </c>
      <c r="J28" s="1" t="s">
        <v>9</v>
      </c>
      <c r="K28" s="1">
        <v>10.772064022256927</v>
      </c>
      <c r="L28" s="35">
        <v>46244.459849537037</v>
      </c>
      <c r="M28" s="35">
        <v>46246.46539351852</v>
      </c>
      <c r="N28" s="58">
        <f>IF($E28="","",ROUNDUP($E28*操作パネル_MS2!$H$13,0))</f>
        <v>147800</v>
      </c>
      <c r="O28" s="66">
        <f>IF($K28="","",ROUNDUP($K28*操作パネル_MS2!$H$13,0))</f>
        <v>1078</v>
      </c>
      <c r="P28" s="59">
        <f t="shared" si="0"/>
        <v>0.99999113347913859</v>
      </c>
    </row>
    <row r="29" spans="1:16">
      <c r="A29" s="1">
        <v>28</v>
      </c>
      <c r="B29" s="1">
        <v>6503</v>
      </c>
      <c r="C29" s="1" t="str">
        <f>IFERROR(INDEX(StockList_MS2!$B:$B,MATCH($B29,StockList_MS2!$A:$A,0)),"")</f>
        <v>三菱電機</v>
      </c>
      <c r="D29" s="1" t="s">
        <v>73</v>
      </c>
      <c r="E29" s="1">
        <v>5916</v>
      </c>
      <c r="F29" s="1">
        <v>5886.2656707982251</v>
      </c>
      <c r="G29" s="1">
        <v>5945.7340453377756</v>
      </c>
      <c r="H29" s="1">
        <v>5955.6449882762163</v>
      </c>
      <c r="I29" s="1">
        <v>5975.4670363677824</v>
      </c>
      <c r="J29" s="1" t="s">
        <v>8</v>
      </c>
      <c r="K29" s="1">
        <v>-29.734329201774926</v>
      </c>
      <c r="L29" s="35">
        <v>46244.459872685184</v>
      </c>
      <c r="M29" s="35">
        <v>46246.465405092589</v>
      </c>
      <c r="N29" s="58">
        <f>IF($E29="","",ROUNDUP($E29*操作パネル_MS2!$H$13,0))</f>
        <v>591600</v>
      </c>
      <c r="O29" s="66">
        <f>IF($K29="","",ROUNDUP($K29*操作パネル_MS2!$H$13,0))</f>
        <v>-2974</v>
      </c>
      <c r="P29" s="59">
        <f t="shared" si="0"/>
        <v>-1</v>
      </c>
    </row>
    <row r="30" spans="1:16">
      <c r="A30" s="1">
        <v>29</v>
      </c>
      <c r="B30" s="1">
        <v>8410</v>
      </c>
      <c r="C30" s="1" t="str">
        <f>IFERROR(INDEX(StockList_MS2!$B:$B,MATCH($B30,StockList_MS2!$A:$A,0)),"")</f>
        <v>セブン銀行</v>
      </c>
      <c r="D30" s="1" t="s">
        <v>73</v>
      </c>
      <c r="E30" s="1">
        <v>337.5</v>
      </c>
      <c r="F30" s="1">
        <v>333.46501469648592</v>
      </c>
      <c r="G30" s="1">
        <v>341.53495229195602</v>
      </c>
      <c r="H30" s="1">
        <v>342.87989604291761</v>
      </c>
      <c r="I30" s="1">
        <v>345.56977254288694</v>
      </c>
      <c r="J30" s="1" t="s">
        <v>8</v>
      </c>
      <c r="K30" s="1">
        <v>-4.0349853035140768</v>
      </c>
      <c r="L30" s="35">
        <v>46244.45988425926</v>
      </c>
      <c r="M30" s="35">
        <v>46246.465405092589</v>
      </c>
      <c r="N30" s="58">
        <f>IF($E30="","",ROUNDUP($E30*操作パネル_MS2!$H$13,0))</f>
        <v>33750</v>
      </c>
      <c r="O30" s="66">
        <f>IF($K30="","",ROUNDUP($K30*操作パネル_MS2!$H$13,0))</f>
        <v>-404</v>
      </c>
      <c r="P30" s="59">
        <f t="shared" si="0"/>
        <v>-1</v>
      </c>
    </row>
    <row r="31" spans="1:16">
      <c r="A31" s="1">
        <v>30</v>
      </c>
      <c r="B31" s="1">
        <v>2181</v>
      </c>
      <c r="C31" s="1" t="str">
        <f>IFERROR(INDEX(StockList_MS2!$B:$B,MATCH($B31,StockList_MS2!$A:$A,0)),"")</f>
        <v>パーソルホールディングス</v>
      </c>
      <c r="D31" s="1" t="s">
        <v>73</v>
      </c>
      <c r="E31" s="1">
        <v>280.89999999999998</v>
      </c>
      <c r="F31" s="1">
        <v>277.25975671845003</v>
      </c>
      <c r="G31" s="1">
        <v>284.54021846788572</v>
      </c>
      <c r="H31" s="1">
        <v>285.75359153963859</v>
      </c>
      <c r="I31" s="1">
        <v>288.18031783438624</v>
      </c>
      <c r="J31" s="1" t="s">
        <v>9</v>
      </c>
      <c r="K31" s="1">
        <v>3.6402184678857452</v>
      </c>
      <c r="L31" s="35">
        <v>46244.45989583333</v>
      </c>
      <c r="M31" s="35">
        <v>46264.053263888891</v>
      </c>
      <c r="N31" s="58">
        <f>IF($E31="","",ROUNDUP($E31*操作パネル_MS2!$H$13,0))</f>
        <v>28090</v>
      </c>
      <c r="O31" s="66">
        <f>IF($K31="","",ROUNDUP($K31*操作パネル_MS2!$H$13,0))</f>
        <v>365</v>
      </c>
      <c r="P31" s="59">
        <f t="shared" si="0"/>
        <v>0.99999318351487032</v>
      </c>
    </row>
    <row r="32" spans="1:16">
      <c r="A32" s="1">
        <v>31</v>
      </c>
      <c r="B32" s="1">
        <v>5020</v>
      </c>
      <c r="C32" s="1" t="str">
        <f>IFERROR(INDEX(StockList_MS2!$B:$B,MATCH($B32,StockList_MS2!$A:$A,0)),"")</f>
        <v>ＥＮＥＯＳホールディングス</v>
      </c>
      <c r="D32" s="1" t="s">
        <v>74</v>
      </c>
      <c r="E32" s="1">
        <v>1276</v>
      </c>
      <c r="F32" s="1">
        <v>1296.62602074644</v>
      </c>
      <c r="G32" s="1">
        <v>1255.37414793681</v>
      </c>
      <c r="H32" s="1">
        <v>1248.4990325941974</v>
      </c>
      <c r="I32" s="1">
        <v>1234.7488862433113</v>
      </c>
      <c r="J32" s="1" t="s">
        <v>8</v>
      </c>
      <c r="K32" s="1">
        <v>-20.626020746439963</v>
      </c>
      <c r="L32" s="35">
        <v>46244.459918981483</v>
      </c>
      <c r="M32" s="35">
        <v>46264.053263888891</v>
      </c>
      <c r="N32" s="58">
        <f>IF($E32="","",ROUNDUP($E32*操作パネル_MS2!$H$13,0))</f>
        <v>127600</v>
      </c>
      <c r="O32" s="66">
        <f>IF($K32="","",ROUNDUP($K32*操作パネル_MS2!$H$13,0))</f>
        <v>-2063</v>
      </c>
      <c r="P32" s="59">
        <f t="shared" si="0"/>
        <v>-1</v>
      </c>
    </row>
    <row r="33" spans="1:16">
      <c r="A33" s="1">
        <v>32</v>
      </c>
      <c r="B33" s="1">
        <v>8750</v>
      </c>
      <c r="C33" s="1" t="str">
        <f>IFERROR(INDEX(StockList_MS2!$B:$B,MATCH($B33,StockList_MS2!$A:$A,0)),"")</f>
        <v>第一ライフグループ</v>
      </c>
      <c r="D33" s="1" t="s">
        <v>74</v>
      </c>
      <c r="E33" s="1">
        <v>1859</v>
      </c>
      <c r="F33" s="1">
        <v>1877.652661623059</v>
      </c>
      <c r="G33" s="1">
        <v>1840.347503601462</v>
      </c>
      <c r="H33" s="1">
        <v>1834.1301912060858</v>
      </c>
      <c r="I33" s="1">
        <v>1821.6955664074485</v>
      </c>
      <c r="J33" s="1" t="s">
        <v>214</v>
      </c>
      <c r="K33" s="1">
        <v>16</v>
      </c>
      <c r="L33" s="35">
        <v>46244.459930555553</v>
      </c>
      <c r="M33" s="35">
        <v>46264.053263888891</v>
      </c>
      <c r="N33" s="58">
        <f>IF($E33="","",ROUNDUP($E33*操作パネル_MS2!$H$13,0))</f>
        <v>185900</v>
      </c>
      <c r="O33" s="66">
        <f>IF($K33="","",ROUNDUP($K33*操作パネル_MS2!$H$13,0))</f>
        <v>1600</v>
      </c>
      <c r="P33" s="59">
        <f t="shared" si="0"/>
        <v>0.85778642873252597</v>
      </c>
    </row>
    <row r="34" spans="1:16">
      <c r="A34" s="1">
        <v>33</v>
      </c>
      <c r="B34" s="1">
        <v>7269</v>
      </c>
      <c r="C34" s="1" t="str">
        <f>IFERROR(INDEX(StockList_MS2!$B:$B,MATCH($B34,StockList_MS2!$A:$A,0)),"")</f>
        <v>スズキ</v>
      </c>
      <c r="D34" s="1" t="s">
        <v>73</v>
      </c>
      <c r="E34" s="1">
        <v>2026</v>
      </c>
      <c r="F34" s="1">
        <v>2004.3165127593099</v>
      </c>
      <c r="G34" s="1">
        <v>2047.6833247498187</v>
      </c>
      <c r="H34" s="1">
        <v>2054.9107845405206</v>
      </c>
      <c r="I34" s="1">
        <v>2069.3658518469706</v>
      </c>
      <c r="J34" s="1" t="s">
        <v>8</v>
      </c>
      <c r="K34" s="1">
        <v>-21.683487240690056</v>
      </c>
      <c r="L34" s="35">
        <v>46244.459953703707</v>
      </c>
      <c r="M34" s="35">
        <v>46246.542187500003</v>
      </c>
      <c r="N34" s="58">
        <f>IF($E34="","",ROUNDUP($E34*操作パネル_MS2!$H$13,0))</f>
        <v>202600</v>
      </c>
      <c r="O34" s="66">
        <f>IF($K34="","",ROUNDUP($K34*操作パネル_MS2!$H$13,0))</f>
        <v>-2169</v>
      </c>
      <c r="P34" s="59">
        <f t="shared" si="0"/>
        <v>-1</v>
      </c>
    </row>
    <row r="35" spans="1:16">
      <c r="A35" s="1">
        <v>34</v>
      </c>
      <c r="B35" s="1">
        <v>8113</v>
      </c>
      <c r="C35" s="1" t="str">
        <f>IFERROR(INDEX(StockList_MS2!$B:$B,MATCH($B35,StockList_MS2!$A:$A,0)),"")</f>
        <v>ユニ・チヤ－ム</v>
      </c>
      <c r="D35" s="1" t="s">
        <v>73</v>
      </c>
      <c r="E35" s="1">
        <v>1037.5</v>
      </c>
      <c r="F35" s="1">
        <v>1031.7385196206512</v>
      </c>
      <c r="G35" s="1">
        <v>1043.2614372126611</v>
      </c>
      <c r="H35" s="1">
        <v>1045.1818482648312</v>
      </c>
      <c r="I35" s="1">
        <v>1049.0226939159941</v>
      </c>
      <c r="J35" s="1" t="s">
        <v>8</v>
      </c>
      <c r="K35" s="1">
        <v>-5.7614803793487681</v>
      </c>
      <c r="L35" s="35">
        <v>46244.459965277776</v>
      </c>
      <c r="M35" s="35">
        <v>46246.465405092589</v>
      </c>
      <c r="N35" s="58">
        <f>IF($E35="","",ROUNDUP($E35*操作パネル_MS2!$H$13,0))</f>
        <v>103750</v>
      </c>
      <c r="O35" s="66">
        <f>IF($K35="","",ROUNDUP($K35*操作パネル_MS2!$H$13,0))</f>
        <v>-577</v>
      </c>
      <c r="P35" s="59">
        <f t="shared" si="0"/>
        <v>-1</v>
      </c>
    </row>
    <row r="36" spans="1:16">
      <c r="A36" s="1">
        <v>35</v>
      </c>
      <c r="B36" s="1">
        <v>6963</v>
      </c>
      <c r="C36" s="1" t="str">
        <f>IFERROR(INDEX(StockList_MS2!$B:$B,MATCH($B36,StockList_MS2!$A:$A,0)),"")</f>
        <v>ローム</v>
      </c>
      <c r="D36" s="1" t="s">
        <v>73</v>
      </c>
      <c r="E36" s="1">
        <v>4723</v>
      </c>
      <c r="F36" s="1">
        <v>4671.7583134454235</v>
      </c>
      <c r="G36" s="1">
        <v>4774.2413027143348</v>
      </c>
      <c r="H36" s="1">
        <v>4791.3212251769583</v>
      </c>
      <c r="I36" s="1">
        <v>4825.4810701194556</v>
      </c>
      <c r="J36" s="1" t="s">
        <v>9</v>
      </c>
      <c r="K36" s="1">
        <v>51.241302714334779</v>
      </c>
      <c r="L36" s="35">
        <v>46244.459988425922</v>
      </c>
      <c r="M36" s="35">
        <v>46246.542187500003</v>
      </c>
      <c r="N36" s="58">
        <f>IF($E36="","",ROUNDUP($E36*操作パネル_MS2!$H$13,0))</f>
        <v>472300</v>
      </c>
      <c r="O36" s="66">
        <f>IF($K36="","",ROUNDUP($K36*操作パネル_MS2!$H$13,0))</f>
        <v>5125</v>
      </c>
      <c r="P36" s="59">
        <f t="shared" si="0"/>
        <v>0.99999250921920124</v>
      </c>
    </row>
    <row r="37" spans="1:16">
      <c r="A37" s="1">
        <v>36</v>
      </c>
      <c r="B37" s="1">
        <v>3697</v>
      </c>
      <c r="C37" s="1" t="str">
        <f>IFERROR(INDEX(StockList_MS2!$B:$B,MATCH($B37,StockList_MS2!$A:$A,0)),"")</f>
        <v>ＳＨＩＦＴ</v>
      </c>
      <c r="D37" s="1" t="s">
        <v>73</v>
      </c>
      <c r="E37" s="1">
        <v>907.7</v>
      </c>
      <c r="F37" s="1">
        <v>894.14803592472731</v>
      </c>
      <c r="G37" s="1">
        <v>921.25185335296771</v>
      </c>
      <c r="H37" s="1">
        <v>925.76899017860865</v>
      </c>
      <c r="I37" s="1">
        <v>934.80324538197647</v>
      </c>
      <c r="J37" s="1" t="s">
        <v>9</v>
      </c>
      <c r="K37" s="1">
        <v>13.551853352967669</v>
      </c>
      <c r="L37" s="35">
        <v>46244.46</v>
      </c>
      <c r="M37" s="35">
        <v>46264.053263888891</v>
      </c>
      <c r="N37" s="58">
        <f>IF($E37="","",ROUNDUP($E37*操作パネル_MS2!$H$13,0))</f>
        <v>90770</v>
      </c>
      <c r="O37" s="66">
        <f>IF($K37="","",ROUNDUP($K37*操作パネル_MS2!$H$13,0))</f>
        <v>1356</v>
      </c>
      <c r="P37" s="59">
        <f t="shared" si="0"/>
        <v>0.99999182979644485</v>
      </c>
    </row>
    <row r="38" spans="1:16">
      <c r="A38" s="1">
        <v>37</v>
      </c>
      <c r="B38" s="1">
        <v>4503</v>
      </c>
      <c r="C38" s="1" t="str">
        <f>IFERROR(INDEX(StockList_MS2!$B:$B,MATCH($B38,StockList_MS2!$A:$A,0)),"")</f>
        <v>アステラス製薬</v>
      </c>
      <c r="D38" s="1" t="s">
        <v>73</v>
      </c>
      <c r="E38" s="1">
        <v>2362.5</v>
      </c>
      <c r="F38" s="1">
        <v>2342.1892177510008</v>
      </c>
      <c r="G38" s="1">
        <v>2382.8106163394013</v>
      </c>
      <c r="H38" s="1">
        <v>2389.5806190119433</v>
      </c>
      <c r="I38" s="1">
        <v>2403.1205967125657</v>
      </c>
      <c r="J38" s="1" t="s">
        <v>8</v>
      </c>
      <c r="K38" s="1">
        <v>-20.310782248999203</v>
      </c>
      <c r="L38" s="35">
        <v>46244.460011574076</v>
      </c>
      <c r="M38" s="35">
        <v>46246.465416666666</v>
      </c>
      <c r="N38" s="58">
        <f>IF($E38="","",ROUNDUP($E38*操作パネル_MS2!$H$13,0))</f>
        <v>236250</v>
      </c>
      <c r="O38" s="66">
        <f>IF($K38="","",ROUNDUP($K38*操作パネル_MS2!$H$13,0))</f>
        <v>-2032</v>
      </c>
      <c r="P38" s="59">
        <f t="shared" si="0"/>
        <v>-1</v>
      </c>
    </row>
    <row r="39" spans="1:16">
      <c r="A39" s="1">
        <v>38</v>
      </c>
      <c r="B39" s="1">
        <v>8601</v>
      </c>
      <c r="C39" s="1" t="str">
        <f>IFERROR(INDEX(StockList_MS2!$B:$B,MATCH($B39,StockList_MS2!$A:$A,0)),"")</f>
        <v>大和証券Ｇ本社</v>
      </c>
      <c r="D39" s="1" t="s">
        <v>74</v>
      </c>
      <c r="E39" s="1">
        <v>1803.5</v>
      </c>
      <c r="F39" s="1">
        <v>1813.5028376526363</v>
      </c>
      <c r="G39" s="1">
        <v>1793.4972440400068</v>
      </c>
      <c r="H39" s="1">
        <v>1790.1631191276995</v>
      </c>
      <c r="I39" s="1">
        <v>1783.4948420690182</v>
      </c>
      <c r="J39" s="1" t="s">
        <v>8</v>
      </c>
      <c r="K39" s="1">
        <v>-10.002837652636345</v>
      </c>
      <c r="L39" s="35">
        <v>46244.460034722222</v>
      </c>
      <c r="M39" s="35">
        <v>46264.053263888891</v>
      </c>
      <c r="N39" s="58">
        <f>IF($E39="","",ROUNDUP($E39*操作パネル_MS2!$H$13,0))</f>
        <v>180350</v>
      </c>
      <c r="O39" s="66">
        <f>IF($K39="","",ROUNDUP($K39*操作パネル_MS2!$H$13,0))</f>
        <v>-1001</v>
      </c>
      <c r="P39" s="59">
        <f t="shared" si="0"/>
        <v>-1</v>
      </c>
    </row>
    <row r="40" spans="1:16">
      <c r="A40" s="1">
        <v>39</v>
      </c>
      <c r="B40" s="1">
        <v>4502</v>
      </c>
      <c r="C40" s="1" t="str">
        <f>IFERROR(INDEX(StockList_MS2!$B:$B,MATCH($B40,StockList_MS2!$A:$A,0)),"")</f>
        <v>武田薬品</v>
      </c>
      <c r="D40" s="1" t="s">
        <v>73</v>
      </c>
      <c r="E40" s="1">
        <v>5575</v>
      </c>
      <c r="F40" s="1">
        <v>5552.2686140216438</v>
      </c>
      <c r="G40" s="1">
        <v>5597.7312003695133</v>
      </c>
      <c r="H40" s="1">
        <v>5605.3080403102867</v>
      </c>
      <c r="I40" s="1">
        <v>5620.4616892671156</v>
      </c>
      <c r="J40" s="1" t="s">
        <v>8</v>
      </c>
      <c r="K40" s="1">
        <v>-22.731385978356229</v>
      </c>
      <c r="L40" s="35">
        <v>46244.460046296299</v>
      </c>
      <c r="M40" s="35">
        <v>46246.465416666666</v>
      </c>
      <c r="N40" s="58">
        <f>IF($E40="","",ROUNDUP($E40*操作パネル_MS2!$H$13,0))</f>
        <v>557500</v>
      </c>
      <c r="O40" s="66">
        <f>IF($K40="","",ROUNDUP($K40*操作パネル_MS2!$H$13,0))</f>
        <v>-2274</v>
      </c>
      <c r="P40" s="59">
        <f t="shared" si="0"/>
        <v>-1</v>
      </c>
    </row>
    <row r="41" spans="1:16">
      <c r="A41" s="1">
        <v>40</v>
      </c>
      <c r="B41" s="1">
        <v>8593</v>
      </c>
      <c r="C41" s="1" t="str">
        <f>IFERROR(INDEX(StockList_MS2!$B:$B,MATCH($B41,StockList_MS2!$A:$A,0)),"")</f>
        <v>三菱ＨＣキャピタル</v>
      </c>
      <c r="D41" s="1" t="s">
        <v>74</v>
      </c>
      <c r="E41" s="1">
        <v>1383</v>
      </c>
      <c r="F41" s="1">
        <v>1396.0313578849739</v>
      </c>
      <c r="G41" s="1">
        <v>1369.9687750943845</v>
      </c>
      <c r="H41" s="1">
        <v>1365.625187118834</v>
      </c>
      <c r="I41" s="1">
        <v>1356.9379934337173</v>
      </c>
      <c r="J41" s="1" t="s">
        <v>8</v>
      </c>
      <c r="K41" s="1">
        <v>-13.031357884973886</v>
      </c>
      <c r="L41" s="35">
        <v>46244.460069444445</v>
      </c>
      <c r="M41" s="35">
        <v>46246.465416666666</v>
      </c>
      <c r="N41" s="58">
        <f>IF($E41="","",ROUNDUP($E41*操作パネル_MS2!$H$13,0))</f>
        <v>138300</v>
      </c>
      <c r="O41" s="66">
        <f>IF($K41="","",ROUNDUP($K41*操作パネル_MS2!$H$13,0))</f>
        <v>-1304</v>
      </c>
      <c r="P41" s="59">
        <f t="shared" si="0"/>
        <v>-1</v>
      </c>
    </row>
    <row r="42" spans="1:16">
      <c r="A42" s="1">
        <v>41</v>
      </c>
      <c r="B42" s="1">
        <v>1942</v>
      </c>
      <c r="C42" s="1" t="str">
        <f>IFERROR(INDEX(StockList_MS2!$B:$B,MATCH($B42,StockList_MS2!$A:$A,0)),"")</f>
        <v>関電工</v>
      </c>
      <c r="D42" s="1" t="s">
        <v>74</v>
      </c>
      <c r="E42" s="1">
        <v>5404</v>
      </c>
      <c r="F42" s="1">
        <v>5449.150563104422</v>
      </c>
      <c r="G42" s="1">
        <v>5358.8498361239372</v>
      </c>
      <c r="H42" s="1">
        <v>5343.8002728422507</v>
      </c>
      <c r="I42" s="1">
        <v>5313.7011462646906</v>
      </c>
      <c r="J42" s="1" t="s">
        <v>8</v>
      </c>
      <c r="K42" s="1">
        <v>-45.150563104421963</v>
      </c>
      <c r="L42" s="35">
        <v>46244.460081018522</v>
      </c>
      <c r="M42" s="35">
        <v>46264.053263888891</v>
      </c>
      <c r="N42" s="58">
        <f>IF($E42="","",ROUNDUP($E42*操作パネル_MS2!$H$13,0))</f>
        <v>540400</v>
      </c>
      <c r="O42" s="66">
        <f>IF($K42="","",ROUNDUP($K42*操作パネル_MS2!$H$13,0))</f>
        <v>-4516</v>
      </c>
      <c r="P42" s="59">
        <f t="shared" si="0"/>
        <v>-1</v>
      </c>
    </row>
    <row r="43" spans="1:16">
      <c r="A43" s="1">
        <v>42</v>
      </c>
      <c r="B43" s="1">
        <v>6178</v>
      </c>
      <c r="C43" s="1" t="str">
        <f>IFERROR(INDEX(StockList_MS2!$B:$B,MATCH($B43,StockList_MS2!$A:$A,0)),"")</f>
        <v>日本郵政</v>
      </c>
      <c r="D43" s="1" t="s">
        <v>74</v>
      </c>
      <c r="E43" s="1">
        <v>2347</v>
      </c>
      <c r="F43" s="1">
        <v>2370.3304452759489</v>
      </c>
      <c r="G43" s="1">
        <v>2323.6698720279251</v>
      </c>
      <c r="H43" s="1">
        <v>2315.8934165392457</v>
      </c>
      <c r="I43" s="1">
        <v>2300.3404738229506</v>
      </c>
      <c r="J43" s="1" t="s">
        <v>8</v>
      </c>
      <c r="K43" s="1">
        <v>-23.330445275948932</v>
      </c>
      <c r="L43" s="35">
        <v>46244.460104166668</v>
      </c>
      <c r="M43" s="35">
        <v>46264.053263888891</v>
      </c>
      <c r="N43" s="58">
        <f>IF($E43="","",ROUNDUP($E43*操作パネル_MS2!$H$13,0))</f>
        <v>234700</v>
      </c>
      <c r="O43" s="66">
        <f>IF($K43="","",ROUNDUP($K43*操作パネル_MS2!$H$13,0))</f>
        <v>-2334</v>
      </c>
      <c r="P43" s="59">
        <f t="shared" si="0"/>
        <v>-1</v>
      </c>
    </row>
    <row r="44" spans="1:16">
      <c r="A44" s="1">
        <v>43</v>
      </c>
      <c r="B44" s="1">
        <v>7272</v>
      </c>
      <c r="C44" s="1" t="str">
        <f>IFERROR(INDEX(StockList_MS2!$B:$B,MATCH($B44,StockList_MS2!$A:$A,0)),"")</f>
        <v>ヤマハ発動機</v>
      </c>
      <c r="D44" s="1" t="s">
        <v>73</v>
      </c>
      <c r="E44" s="1">
        <v>1954</v>
      </c>
      <c r="F44" s="1">
        <v>1919.0079964431757</v>
      </c>
      <c r="G44" s="1">
        <v>1988.9916942818559</v>
      </c>
      <c r="H44" s="1">
        <v>2000.6550531414948</v>
      </c>
      <c r="I44" s="1">
        <v>2023.9820563534101</v>
      </c>
      <c r="J44" s="1" t="s">
        <v>8</v>
      </c>
      <c r="K44" s="1">
        <v>-34.992003556824329</v>
      </c>
      <c r="L44" s="35">
        <v>46244.460127314815</v>
      </c>
      <c r="M44" s="35">
        <v>46246.465428240743</v>
      </c>
      <c r="N44" s="58">
        <f>IF($E44="","",ROUNDUP($E44*操作パネル_MS2!$H$13,0))</f>
        <v>195400</v>
      </c>
      <c r="O44" s="66">
        <f>IF($K44="","",ROUNDUP($K44*操作パネル_MS2!$H$13,0))</f>
        <v>-3500</v>
      </c>
      <c r="P44" s="59">
        <f t="shared" si="0"/>
        <v>-1</v>
      </c>
    </row>
    <row r="45" spans="1:16">
      <c r="A45" s="1">
        <v>44</v>
      </c>
      <c r="B45" s="1">
        <v>5938</v>
      </c>
      <c r="C45" s="1" t="str">
        <f>IFERROR(INDEX(StockList_MS2!$B:$B,MATCH($B45,StockList_MS2!$A:$A,0)),"")</f>
        <v>ＬＩＸＩＬ</v>
      </c>
      <c r="D45" s="1" t="s">
        <v>73</v>
      </c>
      <c r="E45" s="1">
        <v>1815.5</v>
      </c>
      <c r="F45" s="1">
        <v>1808.0782156994887</v>
      </c>
      <c r="G45" s="1">
        <v>1822.9217136718673</v>
      </c>
      <c r="H45" s="1">
        <v>1825.39554423919</v>
      </c>
      <c r="I45" s="1">
        <v>1830.3432053763249</v>
      </c>
      <c r="J45" s="1" t="s">
        <v>8</v>
      </c>
      <c r="K45" s="1">
        <v>-7.4217843005112627</v>
      </c>
      <c r="L45" s="35">
        <v>46244.460138888891</v>
      </c>
      <c r="M45" s="35">
        <v>46246.465428240743</v>
      </c>
      <c r="N45" s="58">
        <f>IF($E45="","",ROUNDUP($E45*操作パネル_MS2!$H$13,0))</f>
        <v>181550</v>
      </c>
      <c r="O45" s="66">
        <f>IF($K45="","",ROUNDUP($K45*操作パネル_MS2!$H$13,0))</f>
        <v>-743</v>
      </c>
      <c r="P45" s="59">
        <f t="shared" si="0"/>
        <v>-1</v>
      </c>
    </row>
    <row r="46" spans="1:16">
      <c r="A46" s="1">
        <v>45</v>
      </c>
      <c r="B46" s="1">
        <v>5802</v>
      </c>
      <c r="C46" s="1" t="str">
        <f>IFERROR(INDEX(StockList_MS2!$B:$B,MATCH($B46,StockList_MS2!$A:$A,0)),"")</f>
        <v>住友電工</v>
      </c>
      <c r="D46" s="1" t="s">
        <v>73</v>
      </c>
      <c r="E46" s="1">
        <v>2182</v>
      </c>
      <c r="F46" s="1">
        <v>2155.9649886949646</v>
      </c>
      <c r="G46" s="1">
        <v>2208.0347461935453</v>
      </c>
      <c r="H46" s="1">
        <v>2216.7126178911517</v>
      </c>
      <c r="I46" s="1">
        <v>2234.0683966494425</v>
      </c>
      <c r="J46" s="1" t="s">
        <v>9</v>
      </c>
      <c r="K46" s="1">
        <v>26.034746193545288</v>
      </c>
      <c r="L46" s="35">
        <v>46244.46025462963</v>
      </c>
      <c r="M46" s="35">
        <v>46246.542187500003</v>
      </c>
      <c r="N46" s="58">
        <f>IF($E46="","",ROUNDUP($E46*操作パネル_MS2!$H$13,0))</f>
        <v>218200</v>
      </c>
      <c r="O46" s="66">
        <f>IF($K46="","",ROUNDUP($K46*操作パネル_MS2!$H$13,0))</f>
        <v>2604</v>
      </c>
      <c r="P46" s="59">
        <f t="shared" si="0"/>
        <v>0.99998981711638324</v>
      </c>
    </row>
    <row r="47" spans="1:16">
      <c r="A47" s="1">
        <v>46</v>
      </c>
      <c r="B47" s="1">
        <v>6758</v>
      </c>
      <c r="C47" s="1" t="str">
        <f>IFERROR(INDEX(StockList_MS2!$B:$B,MATCH($B47,StockList_MS2!$A:$A,0)),"")</f>
        <v>ソニーグループ</v>
      </c>
      <c r="D47" s="1" t="s">
        <v>73</v>
      </c>
      <c r="E47" s="1">
        <v>3771</v>
      </c>
      <c r="F47" s="1">
        <v>3731.0438417015885</v>
      </c>
      <c r="G47" s="1">
        <v>3810.9558057589529</v>
      </c>
      <c r="H47" s="1">
        <v>3824.2740461083131</v>
      </c>
      <c r="I47" s="1">
        <v>3850.910255651725</v>
      </c>
      <c r="J47" s="1" t="s">
        <v>9</v>
      </c>
      <c r="K47" s="1">
        <v>39.95580575895292</v>
      </c>
      <c r="L47" s="35">
        <v>46244.460266203707</v>
      </c>
      <c r="M47" s="35">
        <v>46264.053263888891</v>
      </c>
      <c r="N47" s="58">
        <f>IF($E47="","",ROUNDUP($E47*操作パネル_MS2!$H$13,0))</f>
        <v>377100</v>
      </c>
      <c r="O47" s="66">
        <f>IF($K47="","",ROUNDUP($K47*操作パネル_MS2!$H$13,0))</f>
        <v>3996</v>
      </c>
      <c r="P47" s="59">
        <f t="shared" si="0"/>
        <v>0.99999117684297911</v>
      </c>
    </row>
    <row r="48" spans="1:16">
      <c r="A48" s="1">
        <v>47</v>
      </c>
      <c r="B48" s="1">
        <v>7203</v>
      </c>
      <c r="C48" s="1" t="str">
        <f>IFERROR(INDEX(StockList_MS2!$B:$B,MATCH($B48,StockList_MS2!$A:$A,0)),"")</f>
        <v>トヨタ自動車</v>
      </c>
      <c r="D48" s="1" t="s">
        <v>73</v>
      </c>
      <c r="E48" s="1">
        <v>3005</v>
      </c>
      <c r="F48" s="1">
        <v>2998.440357464277</v>
      </c>
      <c r="G48" s="1">
        <v>3011.559642535723</v>
      </c>
      <c r="H48" s="1">
        <v>3013.7461900476305</v>
      </c>
      <c r="I48" s="1">
        <v>3018.119285071446</v>
      </c>
      <c r="J48" s="1" t="s">
        <v>8</v>
      </c>
      <c r="K48" s="1">
        <v>-6.5596425357230146</v>
      </c>
      <c r="L48" s="35">
        <v>46246.464618055557</v>
      </c>
      <c r="M48" s="35">
        <v>46246.48678240741</v>
      </c>
      <c r="N48" s="58">
        <f>IF($E48="","",ROUNDUP($E48*操作パネル_MS2!$H$13,0))</f>
        <v>300500</v>
      </c>
      <c r="O48" s="66">
        <f>IF($K48="","",ROUNDUP($K48*操作パネル_MS2!$H$13,0))</f>
        <v>-656</v>
      </c>
      <c r="P48" s="59">
        <f t="shared" si="0"/>
        <v>-1</v>
      </c>
    </row>
    <row r="49" spans="1:16">
      <c r="A49" s="1">
        <v>48</v>
      </c>
      <c r="B49" s="1">
        <v>7011</v>
      </c>
      <c r="C49" s="1" t="str">
        <f>IFERROR(INDEX(StockList_MS2!$B:$B,MATCH($B49,StockList_MS2!$A:$A,0)),"")</f>
        <v>三菱重工業</v>
      </c>
      <c r="D49" s="1" t="s">
        <v>73</v>
      </c>
      <c r="E49" s="1">
        <v>4074</v>
      </c>
      <c r="F49" s="1">
        <v>4057.2435123916753</v>
      </c>
      <c r="G49" s="1">
        <v>4090.7564876083247</v>
      </c>
      <c r="H49" s="1">
        <v>4096.3419834777669</v>
      </c>
      <c r="I49" s="1">
        <v>4107.5129752166495</v>
      </c>
      <c r="J49" s="1" t="s">
        <v>8</v>
      </c>
      <c r="K49" s="1">
        <v>-16.756487608324733</v>
      </c>
      <c r="L49" s="35">
        <v>46246.464629629627</v>
      </c>
      <c r="M49" s="35">
        <v>46264.053263888891</v>
      </c>
      <c r="N49" s="58">
        <f>IF($E49="","",ROUNDUP($E49*操作パネル_MS2!$H$13,0))</f>
        <v>407400</v>
      </c>
      <c r="O49" s="66">
        <f>IF($K49="","",ROUNDUP($K49*操作パネル_MS2!$H$13,0))</f>
        <v>-1676</v>
      </c>
      <c r="P49" s="59">
        <f t="shared" si="0"/>
        <v>-1</v>
      </c>
    </row>
    <row r="50" spans="1:16">
      <c r="A50" s="1">
        <v>49</v>
      </c>
      <c r="B50" s="1">
        <v>8309</v>
      </c>
      <c r="C50" s="1" t="str">
        <f>IFERROR(INDEX(StockList_MS2!$B:$B,MATCH($B50,StockList_MS2!$A:$A,0)),"")</f>
        <v>三井住友トラストグルー</v>
      </c>
      <c r="D50" s="1" t="s">
        <v>73</v>
      </c>
      <c r="E50" s="1">
        <v>1697</v>
      </c>
      <c r="F50" s="1">
        <v>1690.7890415594875</v>
      </c>
      <c r="G50" s="1">
        <v>1703.2109584405125</v>
      </c>
      <c r="H50" s="1">
        <v>1705.2812779206834</v>
      </c>
      <c r="I50" s="1">
        <v>1709.421916881025</v>
      </c>
      <c r="J50" s="1" t="s">
        <v>9</v>
      </c>
      <c r="K50" s="1">
        <v>6.2109584405125133</v>
      </c>
      <c r="L50" s="35">
        <v>46246.464641203704</v>
      </c>
      <c r="M50" s="35">
        <v>46246.542187500003</v>
      </c>
      <c r="N50" s="58">
        <f>IF($E50="","",ROUNDUP($E50*操作パネル_MS2!$H$13,0))</f>
        <v>169700</v>
      </c>
      <c r="O50" s="66">
        <f>IF($K50="","",ROUNDUP($K50*操作パネル_MS2!$H$13,0))</f>
        <v>622</v>
      </c>
      <c r="P50" s="59">
        <f t="shared" si="0"/>
        <v>1</v>
      </c>
    </row>
    <row r="51" spans="1:16">
      <c r="A51" s="1">
        <v>50</v>
      </c>
      <c r="B51" s="1">
        <v>7013</v>
      </c>
      <c r="C51" s="1" t="str">
        <f>IFERROR(INDEX(StockList_MS2!$B:$B,MATCH($B51,StockList_MS2!$A:$A,0)),"")</f>
        <v>ＩＨＩ</v>
      </c>
      <c r="D51" s="1" t="s">
        <v>73</v>
      </c>
      <c r="E51" s="1">
        <v>2896</v>
      </c>
      <c r="F51" s="1">
        <v>2880.4702373642335</v>
      </c>
      <c r="G51" s="1">
        <v>2911.5297626357665</v>
      </c>
      <c r="H51" s="1">
        <v>2916.7063501810217</v>
      </c>
      <c r="I51" s="1">
        <v>2927.0595252715329</v>
      </c>
      <c r="J51" s="1" t="s">
        <v>8</v>
      </c>
      <c r="K51" s="1">
        <v>-15.529762635766474</v>
      </c>
      <c r="L51" s="35">
        <v>46246.46465277778</v>
      </c>
      <c r="M51" s="35">
        <v>46264.053263888891</v>
      </c>
      <c r="N51" s="58">
        <f>IF($E51="","",ROUNDUP($E51*操作パネル_MS2!$H$13,0))</f>
        <v>289600</v>
      </c>
      <c r="O51" s="66">
        <f>IF($K51="","",ROUNDUP($K51*操作パネル_MS2!$H$13,0))</f>
        <v>-1553</v>
      </c>
      <c r="P51" s="59">
        <f t="shared" si="0"/>
        <v>-1</v>
      </c>
    </row>
    <row r="52" spans="1:16">
      <c r="A52" s="1">
        <v>51</v>
      </c>
      <c r="B52" s="1">
        <v>8035</v>
      </c>
      <c r="C52" s="1" t="str">
        <f>IFERROR(INDEX(StockList_MS2!$B:$B,MATCH($B52,StockList_MS2!$A:$A,0)),"")</f>
        <v>東京エレクトロン</v>
      </c>
      <c r="D52" s="1" t="s">
        <v>73</v>
      </c>
      <c r="E52" s="1">
        <v>57340</v>
      </c>
      <c r="F52" s="1">
        <v>57050.419575038526</v>
      </c>
      <c r="G52" s="1">
        <v>57629.580424961474</v>
      </c>
      <c r="H52" s="1">
        <v>57726.10723328196</v>
      </c>
      <c r="I52" s="1">
        <v>57919.160849922941</v>
      </c>
      <c r="J52" s="1" t="s">
        <v>9</v>
      </c>
      <c r="K52" s="1">
        <v>289.58042496147391</v>
      </c>
      <c r="L52" s="35">
        <v>46246.46466435185</v>
      </c>
      <c r="M52" s="35">
        <v>46246.542199074072</v>
      </c>
      <c r="N52" s="58">
        <f>IF($E52="","",ROUNDUP($E52*操作パネル_MS2!$H$13,0))</f>
        <v>5734000</v>
      </c>
      <c r="O52" s="66">
        <f>IF($K52="","",ROUNDUP($K52*操作パネル_MS2!$H$13,0))</f>
        <v>28959</v>
      </c>
      <c r="P52" s="59">
        <f t="shared" si="0"/>
        <v>1</v>
      </c>
    </row>
    <row r="53" spans="1:16">
      <c r="A53" s="1">
        <v>52</v>
      </c>
      <c r="B53" s="1">
        <v>3407</v>
      </c>
      <c r="C53" s="1" t="str">
        <f>IFERROR(INDEX(StockList_MS2!$B:$B,MATCH($B53,StockList_MS2!$A:$A,0)),"")</f>
        <v>旭化成</v>
      </c>
      <c r="D53" s="1" t="s">
        <v>73</v>
      </c>
      <c r="E53" s="1">
        <v>1724</v>
      </c>
      <c r="F53" s="1">
        <v>1718.6605906402181</v>
      </c>
      <c r="G53" s="1">
        <v>1729.3394093597819</v>
      </c>
      <c r="H53" s="1">
        <v>1731.1192124797092</v>
      </c>
      <c r="I53" s="1">
        <v>1734.6788187195637</v>
      </c>
      <c r="J53" s="1" t="s">
        <v>8</v>
      </c>
      <c r="K53" s="1">
        <v>-5.3394093597819392</v>
      </c>
      <c r="L53" s="35">
        <v>46246.464675925927</v>
      </c>
      <c r="M53" s="35">
        <v>46264.053263888891</v>
      </c>
      <c r="N53" s="58">
        <f>IF($E53="","",ROUNDUP($E53*操作パネル_MS2!$H$13,0))</f>
        <v>172400</v>
      </c>
      <c r="O53" s="66">
        <f>IF($K53="","",ROUNDUP($K53*操作パネル_MS2!$H$13,0))</f>
        <v>-534</v>
      </c>
      <c r="P53" s="59">
        <f t="shared" si="0"/>
        <v>-1</v>
      </c>
    </row>
    <row r="54" spans="1:16">
      <c r="A54" s="1">
        <v>53</v>
      </c>
      <c r="B54" s="1">
        <v>2914</v>
      </c>
      <c r="C54" s="1" t="str">
        <f>IFERROR(INDEX(StockList_MS2!$B:$B,MATCH($B54,StockList_MS2!$A:$A,0)),"")</f>
        <v>日本たばこ産業</v>
      </c>
      <c r="D54" s="1" t="s">
        <v>74</v>
      </c>
      <c r="E54" s="1">
        <v>7020</v>
      </c>
      <c r="F54" s="1">
        <v>7036.5888285459232</v>
      </c>
      <c r="G54" s="1">
        <v>7003.4111714540768</v>
      </c>
      <c r="H54" s="1">
        <v>6997.8815619387697</v>
      </c>
      <c r="I54" s="1">
        <v>6986.8223429081536</v>
      </c>
      <c r="J54" s="1" t="s">
        <v>9</v>
      </c>
      <c r="K54" s="1">
        <v>16.588828545923207</v>
      </c>
      <c r="L54" s="35">
        <v>46246.464699074073</v>
      </c>
      <c r="M54" s="35">
        <v>46246.48678240741</v>
      </c>
      <c r="N54" s="58">
        <f>IF($E54="","",ROUNDUP($E54*操作パネル_MS2!$H$13,0))</f>
        <v>702000</v>
      </c>
      <c r="O54" s="66">
        <f>IF($K54="","",ROUNDUP($K54*操作パネル_MS2!$H$13,0))</f>
        <v>1659</v>
      </c>
      <c r="P54" s="59">
        <f t="shared" si="0"/>
        <v>1</v>
      </c>
    </row>
    <row r="55" spans="1:16">
      <c r="A55" s="1">
        <v>54</v>
      </c>
      <c r="B55" s="1">
        <v>8473</v>
      </c>
      <c r="C55" s="1" t="str">
        <f>IFERROR(INDEX(StockList_MS2!$B:$B,MATCH($B55,StockList_MS2!$A:$A,0)),"")</f>
        <v>ＳＢＩホールディングス</v>
      </c>
      <c r="D55" s="1" t="s">
        <v>73</v>
      </c>
      <c r="E55" s="1">
        <v>3052</v>
      </c>
      <c r="F55" s="1">
        <v>3042.7156577947308</v>
      </c>
      <c r="G55" s="1">
        <v>3061.2843422052692</v>
      </c>
      <c r="H55" s="1">
        <v>3064.3791229403587</v>
      </c>
      <c r="I55" s="1">
        <v>3070.568684410538</v>
      </c>
      <c r="J55" s="1" t="s">
        <v>9</v>
      </c>
      <c r="K55" s="1">
        <v>9.2843422052692404</v>
      </c>
      <c r="L55" s="35">
        <v>46246.46471064815</v>
      </c>
      <c r="M55" s="35">
        <v>46264.053263888891</v>
      </c>
      <c r="N55" s="58">
        <f>IF($E55="","",ROUNDUP($E55*操作パネル_MS2!$H$13,0))</f>
        <v>305200</v>
      </c>
      <c r="O55" s="66">
        <f>IF($K55="","",ROUNDUP($K55*操作パネル_MS2!$H$13,0))</f>
        <v>929</v>
      </c>
      <c r="P55" s="59">
        <f t="shared" si="0"/>
        <v>1</v>
      </c>
    </row>
    <row r="56" spans="1:16">
      <c r="A56" s="1">
        <v>55</v>
      </c>
      <c r="B56" s="1">
        <v>6701</v>
      </c>
      <c r="C56" s="1" t="str">
        <f>IFERROR(INDEX(StockList_MS2!$B:$B,MATCH($B56,StockList_MS2!$A:$A,0)),"")</f>
        <v>日本電気</v>
      </c>
      <c r="D56" s="1" t="s">
        <v>73</v>
      </c>
      <c r="E56" s="1">
        <v>4937</v>
      </c>
      <c r="F56" s="1">
        <v>4911.1736309322578</v>
      </c>
      <c r="G56" s="1">
        <v>4962.8263690677422</v>
      </c>
      <c r="H56" s="1">
        <v>4971.435158756989</v>
      </c>
      <c r="I56" s="1">
        <v>4988.6527381354836</v>
      </c>
      <c r="J56" s="1" t="s">
        <v>8</v>
      </c>
      <c r="K56" s="1">
        <v>-25.826369067742235</v>
      </c>
      <c r="L56" s="35">
        <v>46246.464722222219</v>
      </c>
      <c r="M56" s="35">
        <v>46264.053263888891</v>
      </c>
      <c r="N56" s="58">
        <f>IF($E56="","",ROUNDUP($E56*操作パネル_MS2!$H$13,0))</f>
        <v>493700</v>
      </c>
      <c r="O56" s="66">
        <f>IF($K56="","",ROUNDUP($K56*操作パネル_MS2!$H$13,0))</f>
        <v>-2583</v>
      </c>
      <c r="P56" s="59">
        <f t="shared" si="0"/>
        <v>-1</v>
      </c>
    </row>
    <row r="57" spans="1:16">
      <c r="A57" s="1">
        <v>56</v>
      </c>
      <c r="B57" s="1">
        <v>3861</v>
      </c>
      <c r="C57" s="1" t="str">
        <f>IFERROR(INDEX(StockList_MS2!$B:$B,MATCH($B57,StockList_MS2!$A:$A,0)),"")</f>
        <v>王子ホールディングス</v>
      </c>
      <c r="D57" s="1" t="s">
        <v>74</v>
      </c>
      <c r="E57" s="1">
        <v>872.3</v>
      </c>
      <c r="F57" s="1">
        <v>874.45113654479474</v>
      </c>
      <c r="G57" s="1">
        <v>870.14886345520517</v>
      </c>
      <c r="H57" s="1">
        <v>869.43181794027362</v>
      </c>
      <c r="I57" s="1">
        <v>867.99772691041039</v>
      </c>
      <c r="J57" s="1" t="s">
        <v>8</v>
      </c>
      <c r="K57" s="1">
        <v>-2.151136544794781</v>
      </c>
      <c r="L57" s="35">
        <v>46246.464733796296</v>
      </c>
      <c r="M57" s="35">
        <v>46264.053263888891</v>
      </c>
      <c r="N57" s="58">
        <f>IF($E57="","",ROUNDUP($E57*操作パネル_MS2!$H$13,0))</f>
        <v>87230</v>
      </c>
      <c r="O57" s="66">
        <f>IF($K57="","",ROUNDUP($K57*操作パネル_MS2!$H$13,0))</f>
        <v>-216</v>
      </c>
      <c r="P57" s="59">
        <f t="shared" si="0"/>
        <v>-1</v>
      </c>
    </row>
    <row r="58" spans="1:16">
      <c r="A58" s="1">
        <v>57</v>
      </c>
      <c r="B58" s="1">
        <v>2413</v>
      </c>
      <c r="C58" s="1" t="str">
        <f>IFERROR(INDEX(StockList_MS2!$B:$B,MATCH($B58,StockList_MS2!$A:$A,0)),"")</f>
        <v>エムスリー</v>
      </c>
      <c r="D58" s="1" t="s">
        <v>73</v>
      </c>
      <c r="E58" s="1">
        <v>1697</v>
      </c>
      <c r="F58" s="1">
        <v>1680.1734739292865</v>
      </c>
      <c r="G58" s="1">
        <v>1713.8265260707135</v>
      </c>
      <c r="H58" s="1">
        <v>1719.4353680942847</v>
      </c>
      <c r="I58" s="1">
        <v>1730.653052141427</v>
      </c>
      <c r="J58" s="1" t="s">
        <v>8</v>
      </c>
      <c r="K58" s="1">
        <v>-16.826526070713498</v>
      </c>
      <c r="L58" s="35">
        <v>46246.464756944442</v>
      </c>
      <c r="M58" s="35">
        <v>46246.542199074072</v>
      </c>
      <c r="N58" s="58">
        <f>IF($E58="","",ROUNDUP($E58*操作パネル_MS2!$H$13,0))</f>
        <v>169700</v>
      </c>
      <c r="O58" s="66">
        <f>IF($K58="","",ROUNDUP($K58*操作パネル_MS2!$H$13,0))</f>
        <v>-1683</v>
      </c>
      <c r="P58" s="59">
        <f t="shared" si="0"/>
        <v>-1</v>
      </c>
    </row>
    <row r="59" spans="1:16">
      <c r="A59" s="1">
        <v>58</v>
      </c>
      <c r="B59" s="1">
        <v>4307</v>
      </c>
      <c r="C59" s="1" t="str">
        <f>IFERROR(INDEX(StockList_MS2!$B:$B,MATCH($B59,StockList_MS2!$A:$A,0)),"")</f>
        <v>野村総合研究所</v>
      </c>
      <c r="D59" s="1" t="s">
        <v>73</v>
      </c>
      <c r="E59" s="1">
        <v>4986</v>
      </c>
      <c r="F59" s="1">
        <v>4965.5552062086626</v>
      </c>
      <c r="G59" s="1">
        <v>5006.4447937913374</v>
      </c>
      <c r="H59" s="1">
        <v>5013.2597250551171</v>
      </c>
      <c r="I59" s="1">
        <v>5026.8895875826747</v>
      </c>
      <c r="J59" s="1" t="s">
        <v>8</v>
      </c>
      <c r="K59" s="1">
        <v>-20.444793791337361</v>
      </c>
      <c r="L59" s="35">
        <v>46246.464768518519</v>
      </c>
      <c r="M59" s="35">
        <v>46246.542199074072</v>
      </c>
      <c r="N59" s="58">
        <f>IF($E59="","",ROUNDUP($E59*操作パネル_MS2!$H$13,0))</f>
        <v>498600</v>
      </c>
      <c r="O59" s="66">
        <f>IF($K59="","",ROUNDUP($K59*操作パネル_MS2!$H$13,0))</f>
        <v>-2045</v>
      </c>
      <c r="P59" s="59">
        <f t="shared" si="0"/>
        <v>-1</v>
      </c>
    </row>
    <row r="60" spans="1:16">
      <c r="A60" s="1">
        <v>59</v>
      </c>
      <c r="B60" s="1">
        <v>3110</v>
      </c>
      <c r="C60" s="1" t="str">
        <f>IFERROR(INDEX(StockList_MS2!$B:$B,MATCH($B60,StockList_MS2!$A:$A,0)),"")</f>
        <v>日東紡績</v>
      </c>
      <c r="D60" s="1" t="s">
        <v>73</v>
      </c>
      <c r="E60" s="1">
        <v>3035</v>
      </c>
      <c r="F60" s="1">
        <v>3007.0948766842348</v>
      </c>
      <c r="G60" s="1">
        <v>3062.9051233157652</v>
      </c>
      <c r="H60" s="1">
        <v>3072.2068310876866</v>
      </c>
      <c r="I60" s="1">
        <v>3090.8102466315304</v>
      </c>
      <c r="J60" s="1" t="s">
        <v>9</v>
      </c>
      <c r="K60" s="1">
        <v>27.905123315765195</v>
      </c>
      <c r="L60" s="35">
        <v>46246.464780092596</v>
      </c>
      <c r="M60" s="35">
        <v>46246.542210648149</v>
      </c>
      <c r="N60" s="58">
        <f>IF($E60="","",ROUNDUP($E60*操作パネル_MS2!$H$13,0))</f>
        <v>303500</v>
      </c>
      <c r="O60" s="66">
        <f>IF($K60="","",ROUNDUP($K60*操作パネル_MS2!$H$13,0))</f>
        <v>2791</v>
      </c>
      <c r="P60" s="59">
        <f t="shared" si="0"/>
        <v>1</v>
      </c>
    </row>
    <row r="61" spans="1:16">
      <c r="A61" s="1">
        <v>60</v>
      </c>
      <c r="B61" s="1">
        <v>2802</v>
      </c>
      <c r="C61" s="1" t="str">
        <f>IFERROR(INDEX(StockList_MS2!$B:$B,MATCH($B61,StockList_MS2!$A:$A,0)),"")</f>
        <v>味の素</v>
      </c>
      <c r="D61" s="1" t="s">
        <v>73</v>
      </c>
      <c r="E61" s="1">
        <v>5453</v>
      </c>
      <c r="F61" s="1">
        <v>5421.4518675668342</v>
      </c>
      <c r="G61" s="1">
        <v>5484.5481324331658</v>
      </c>
      <c r="H61" s="1">
        <v>5495.0641765775545</v>
      </c>
      <c r="I61" s="1">
        <v>5516.0962648663308</v>
      </c>
      <c r="J61" s="1" t="s">
        <v>9</v>
      </c>
      <c r="K61" s="1">
        <v>31.548132433165847</v>
      </c>
      <c r="L61" s="35">
        <v>46246.464791666665</v>
      </c>
      <c r="M61" s="35">
        <v>46246.542210648149</v>
      </c>
      <c r="N61" s="58">
        <f>IF($E61="","",ROUNDUP($E61*操作パネル_MS2!$H$13,0))</f>
        <v>545300</v>
      </c>
      <c r="O61" s="66">
        <f>IF($K61="","",ROUNDUP($K61*操作パネル_MS2!$H$13,0))</f>
        <v>3155</v>
      </c>
      <c r="P61" s="59">
        <f t="shared" si="0"/>
        <v>1</v>
      </c>
    </row>
    <row r="62" spans="1:16">
      <c r="A62" s="1">
        <v>61</v>
      </c>
      <c r="B62" s="1">
        <v>6762</v>
      </c>
      <c r="C62" s="1" t="str">
        <f>IFERROR(INDEX(StockList_MS2!$B:$B,MATCH($B62,StockList_MS2!$A:$A,0)),"")</f>
        <v>ＴＤＫ</v>
      </c>
      <c r="D62" s="1" t="s">
        <v>73</v>
      </c>
      <c r="E62" s="1">
        <v>3086</v>
      </c>
      <c r="F62" s="1">
        <v>3070.8391757438876</v>
      </c>
      <c r="G62" s="1">
        <v>3101.1608242561124</v>
      </c>
      <c r="H62" s="1">
        <v>3106.2144323414832</v>
      </c>
      <c r="I62" s="1">
        <v>3116.3216485122248</v>
      </c>
      <c r="J62" s="1" t="s">
        <v>9</v>
      </c>
      <c r="K62" s="1">
        <v>15.160824256112392</v>
      </c>
      <c r="L62" s="35">
        <v>46246.464803240742</v>
      </c>
      <c r="M62" s="35">
        <v>46246.542210648149</v>
      </c>
      <c r="N62" s="58">
        <f>IF($E62="","",ROUNDUP($E62*操作パネル_MS2!$H$13,0))</f>
        <v>308600</v>
      </c>
      <c r="O62" s="66">
        <f>IF($K62="","",ROUNDUP($K62*操作パネル_MS2!$H$13,0))</f>
        <v>1517</v>
      </c>
      <c r="P62" s="59">
        <f t="shared" si="0"/>
        <v>1</v>
      </c>
    </row>
    <row r="63" spans="1:16">
      <c r="A63" s="1">
        <v>62</v>
      </c>
      <c r="B63" s="1">
        <v>3436</v>
      </c>
      <c r="C63" s="1" t="str">
        <f>IFERROR(INDEX(StockList_MS2!$B:$B,MATCH($B63,StockList_MS2!$A:$A,0)),"")</f>
        <v>ＳＵＭＣＯ</v>
      </c>
      <c r="D63" s="1" t="s">
        <v>73</v>
      </c>
      <c r="E63" s="1">
        <v>3616</v>
      </c>
      <c r="F63" s="1">
        <v>3574.4861676953087</v>
      </c>
      <c r="G63" s="1">
        <v>3657.5138323046913</v>
      </c>
      <c r="H63" s="1">
        <v>3671.3517764062549</v>
      </c>
      <c r="I63" s="1">
        <v>3699.0276646093821</v>
      </c>
      <c r="J63" s="1" t="s">
        <v>9</v>
      </c>
      <c r="K63" s="1">
        <v>41.513832304691277</v>
      </c>
      <c r="L63" s="35">
        <v>46246.464826388888</v>
      </c>
      <c r="M63" s="35">
        <v>46246.542210648149</v>
      </c>
      <c r="N63" s="58">
        <f>IF($E63="","",ROUNDUP($E63*操作パネル_MS2!$H$13,0))</f>
        <v>361600</v>
      </c>
      <c r="O63" s="66">
        <f>IF($K63="","",ROUNDUP($K63*操作パネル_MS2!$H$13,0))</f>
        <v>4152</v>
      </c>
      <c r="P63" s="59">
        <f t="shared" si="0"/>
        <v>1</v>
      </c>
    </row>
    <row r="64" spans="1:16">
      <c r="A64" s="1">
        <v>63</v>
      </c>
      <c r="B64" s="1">
        <v>8303</v>
      </c>
      <c r="C64" s="1" t="str">
        <f>IFERROR(INDEX(StockList_MS2!$B:$B,MATCH($B64,StockList_MS2!$A:$A,0)),"")</f>
        <v>ＳＢＩ新生銀行</v>
      </c>
      <c r="D64" s="1" t="s">
        <v>73</v>
      </c>
      <c r="E64" s="1">
        <v>1575.5</v>
      </c>
      <c r="F64" s="1">
        <v>1569.5557391256423</v>
      </c>
      <c r="G64" s="1">
        <v>1581.4442608743577</v>
      </c>
      <c r="H64" s="1">
        <v>1583.4256811658104</v>
      </c>
      <c r="I64" s="1">
        <v>1587.3885217487157</v>
      </c>
      <c r="J64" s="1" t="s">
        <v>8</v>
      </c>
      <c r="K64" s="1">
        <v>-5.9442608743577239</v>
      </c>
      <c r="L64" s="35">
        <v>46246.464837962965</v>
      </c>
      <c r="M64" s="35">
        <v>46246.542222222219</v>
      </c>
      <c r="N64" s="58">
        <f>IF($E64="","",ROUNDUP($E64*操作パネル_MS2!$H$13,0))</f>
        <v>157550</v>
      </c>
      <c r="O64" s="66">
        <f>IF($K64="","",ROUNDUP($K64*操作パネル_MS2!$H$13,0))</f>
        <v>-595</v>
      </c>
      <c r="P64" s="59">
        <f t="shared" si="0"/>
        <v>-1</v>
      </c>
    </row>
    <row r="65" spans="1:16">
      <c r="A65" s="1">
        <v>64</v>
      </c>
      <c r="B65" s="1">
        <v>7735</v>
      </c>
      <c r="C65" s="1" t="str">
        <f>IFERROR(INDEX(StockList_MS2!$B:$B,MATCH($B65,StockList_MS2!$A:$A,0)),"")</f>
        <v>ＳＣＲＥＥＮホールディングス</v>
      </c>
      <c r="D65" s="1" t="s">
        <v>73</v>
      </c>
      <c r="E65" s="1">
        <v>13565</v>
      </c>
      <c r="F65" s="1">
        <v>13465.438750072106</v>
      </c>
      <c r="G65" s="1">
        <v>13664.561249927894</v>
      </c>
      <c r="H65" s="1">
        <v>13697.748333237192</v>
      </c>
      <c r="I65" s="1">
        <v>13764.122499855786</v>
      </c>
      <c r="J65" s="1" t="s">
        <v>9</v>
      </c>
      <c r="K65" s="1">
        <v>99.561249927894096</v>
      </c>
      <c r="L65" s="35">
        <v>46246.464849537035</v>
      </c>
      <c r="M65" s="35">
        <v>46246.542222222219</v>
      </c>
      <c r="N65" s="58">
        <f>IF($E65="","",ROUNDUP($E65*操作パネル_MS2!$H$13,0))</f>
        <v>1356500</v>
      </c>
      <c r="O65" s="66">
        <f>IF($K65="","",ROUNDUP($K65*操作パネル_MS2!$H$13,0))</f>
        <v>9957</v>
      </c>
      <c r="P65" s="59">
        <f t="shared" si="0"/>
        <v>1</v>
      </c>
    </row>
    <row r="66" spans="1:16">
      <c r="A66" s="1">
        <v>65</v>
      </c>
      <c r="B66" s="1">
        <v>6506</v>
      </c>
      <c r="C66" s="1" t="str">
        <f>IFERROR(INDEX(StockList_MS2!$B:$B,MATCH($B66,StockList_MS2!$A:$A,0)),"")</f>
        <v>安川電機</v>
      </c>
      <c r="D66" s="1" t="s">
        <v>73</v>
      </c>
      <c r="E66" s="1">
        <v>5453</v>
      </c>
      <c r="F66" s="1">
        <v>5422.9962909041087</v>
      </c>
      <c r="G66" s="1">
        <v>5483.0037090958913</v>
      </c>
      <c r="H66" s="1">
        <v>5493.004945461189</v>
      </c>
      <c r="I66" s="1">
        <v>5513.0074181917835</v>
      </c>
      <c r="J66" s="1" t="s">
        <v>8</v>
      </c>
      <c r="K66" s="1">
        <v>-30.003709095891281</v>
      </c>
      <c r="L66" s="35">
        <v>46246.464861111112</v>
      </c>
      <c r="M66" s="35">
        <v>46264.053263888891</v>
      </c>
      <c r="N66" s="58">
        <f>IF($E66="","",ROUNDUP($E66*操作パネル_MS2!$H$13,0))</f>
        <v>545300</v>
      </c>
      <c r="O66" s="66">
        <f>IF($K66="","",ROUNDUP($K66*操作パネル_MS2!$H$13,0))</f>
        <v>-3001</v>
      </c>
      <c r="P66" s="59">
        <f t="shared" si="0"/>
        <v>-1</v>
      </c>
    </row>
    <row r="67" spans="1:16">
      <c r="A67" s="1">
        <v>66</v>
      </c>
      <c r="B67" s="1">
        <v>4755</v>
      </c>
      <c r="C67" s="1" t="str">
        <f>IFERROR(INDEX(StockList_MS2!$B:$B,MATCH($B67,StockList_MS2!$A:$A,0)),"")</f>
        <v>楽天グループ</v>
      </c>
      <c r="D67" s="1" t="s">
        <v>74</v>
      </c>
      <c r="E67" s="1">
        <v>764.2</v>
      </c>
      <c r="F67" s="1">
        <v>769.13445746669572</v>
      </c>
      <c r="G67" s="1">
        <v>759.26554253330437</v>
      </c>
      <c r="H67" s="1">
        <v>757.62072337773918</v>
      </c>
      <c r="I67" s="1">
        <v>754.33108506660869</v>
      </c>
      <c r="J67" s="1" t="s">
        <v>9</v>
      </c>
      <c r="K67" s="1">
        <v>4.934457466695676</v>
      </c>
      <c r="L67" s="35">
        <v>46246.464884259258</v>
      </c>
      <c r="M67" s="35">
        <v>46246.542222222219</v>
      </c>
      <c r="N67" s="58">
        <f>IF($E67="","",ROUNDUP($E67*操作パネル_MS2!$H$13,0))</f>
        <v>76420</v>
      </c>
      <c r="O67" s="66">
        <f>IF($K67="","",ROUNDUP($K67*操作パネル_MS2!$H$13,0))</f>
        <v>494</v>
      </c>
      <c r="P67" s="59">
        <f t="shared" ref="P67:P92" si="1">IF(OR($K67="",$E67="",$F67=""),"",$K67/ABS($E67-$F67))</f>
        <v>1</v>
      </c>
    </row>
    <row r="68" spans="1:16">
      <c r="A68" s="1">
        <v>67</v>
      </c>
      <c r="B68" s="1">
        <v>6971</v>
      </c>
      <c r="C68" s="1" t="str">
        <f>IFERROR(INDEX(StockList_MS2!$B:$B,MATCH($B68,StockList_MS2!$A:$A,0)),"")</f>
        <v>京セラ</v>
      </c>
      <c r="D68" s="1" t="s">
        <v>74</v>
      </c>
      <c r="E68" s="1">
        <v>3755</v>
      </c>
      <c r="F68" s="1">
        <v>3769.4422681936189</v>
      </c>
      <c r="G68" s="1">
        <v>3740.5577318063811</v>
      </c>
      <c r="H68" s="1">
        <v>3735.7436424085081</v>
      </c>
      <c r="I68" s="1">
        <v>3726.1154636127617</v>
      </c>
      <c r="J68" s="1" t="s">
        <v>9</v>
      </c>
      <c r="K68" s="1">
        <v>14.442268193618929</v>
      </c>
      <c r="L68" s="35">
        <v>46246.464895833335</v>
      </c>
      <c r="M68" s="35">
        <v>46264.053263888891</v>
      </c>
      <c r="N68" s="58">
        <f>IF($E68="","",ROUNDUP($E68*操作パネル_MS2!$H$13,0))</f>
        <v>375500</v>
      </c>
      <c r="O68" s="66">
        <f>IF($K68="","",ROUNDUP($K68*操作パネル_MS2!$H$13,0))</f>
        <v>1445</v>
      </c>
      <c r="P68" s="59">
        <f t="shared" si="1"/>
        <v>1</v>
      </c>
    </row>
    <row r="69" spans="1:16">
      <c r="A69" s="1">
        <v>68</v>
      </c>
      <c r="B69" s="1">
        <v>3382</v>
      </c>
      <c r="C69" s="1" t="str">
        <f>IFERROR(INDEX(StockList_MS2!$B:$B,MATCH($B69,StockList_MS2!$A:$A,0)),"")</f>
        <v>セブン＆アイ・ＨＬＤＧＳ</v>
      </c>
      <c r="D69" s="1" t="s">
        <v>74</v>
      </c>
      <c r="E69" s="1">
        <v>2068</v>
      </c>
      <c r="F69" s="1">
        <v>2075.6406361975828</v>
      </c>
      <c r="G69" s="1">
        <v>2060.3593638024172</v>
      </c>
      <c r="H69" s="1">
        <v>2057.8124850698891</v>
      </c>
      <c r="I69" s="1">
        <v>2052.7187276048339</v>
      </c>
      <c r="J69" s="1" t="s">
        <v>9</v>
      </c>
      <c r="K69" s="1">
        <v>7.6406361975828077</v>
      </c>
      <c r="L69" s="35">
        <v>46246.464907407404</v>
      </c>
      <c r="M69" s="35">
        <v>46246.542233796295</v>
      </c>
      <c r="N69" s="58">
        <f>IF($E69="","",ROUNDUP($E69*操作パネル_MS2!$H$13,0))</f>
        <v>206800</v>
      </c>
      <c r="O69" s="66">
        <f>IF($K69="","",ROUNDUP($K69*操作パネル_MS2!$H$13,0))</f>
        <v>765</v>
      </c>
      <c r="P69" s="59">
        <f t="shared" si="1"/>
        <v>1</v>
      </c>
    </row>
    <row r="70" spans="1:16">
      <c r="A70" s="1">
        <v>69</v>
      </c>
      <c r="B70" s="1">
        <v>5411</v>
      </c>
      <c r="C70" s="1" t="str">
        <f>IFERROR(INDEX(StockList_MS2!$B:$B,MATCH($B70,StockList_MS2!$A:$A,0)),"")</f>
        <v>ＪＦＥホールディングス</v>
      </c>
      <c r="D70" s="1" t="s">
        <v>74</v>
      </c>
      <c r="E70" s="1">
        <v>1826</v>
      </c>
      <c r="F70" s="1">
        <v>1830.7349576898416</v>
      </c>
      <c r="G70" s="1">
        <v>1821.2650423101584</v>
      </c>
      <c r="H70" s="1">
        <v>1819.6867230802113</v>
      </c>
      <c r="I70" s="1">
        <v>1816.5300846203168</v>
      </c>
      <c r="J70" s="1" t="s">
        <v>9</v>
      </c>
      <c r="K70" s="1">
        <v>4.7349576898416217</v>
      </c>
      <c r="L70" s="35">
        <v>46246.464918981481</v>
      </c>
      <c r="M70" s="35">
        <v>46246.48678240741</v>
      </c>
      <c r="N70" s="58">
        <f>IF($E70="","",ROUNDUP($E70*操作パネル_MS2!$H$13,0))</f>
        <v>182600</v>
      </c>
      <c r="O70" s="66">
        <f>IF($K70="","",ROUNDUP($K70*操作パネル_MS2!$H$13,0))</f>
        <v>474</v>
      </c>
      <c r="P70" s="59">
        <f t="shared" si="1"/>
        <v>1</v>
      </c>
    </row>
    <row r="71" spans="1:16">
      <c r="A71" s="1">
        <v>70</v>
      </c>
      <c r="B71" s="1">
        <v>8306</v>
      </c>
      <c r="C71" s="1" t="str">
        <f>IFERROR(INDEX(StockList_MS2!$B:$B,MATCH($B71,StockList_MS2!$A:$A,0)),"")</f>
        <v>三菱ＵＦＪフィナンシャルＧ</v>
      </c>
      <c r="D71" s="1" t="s">
        <v>73</v>
      </c>
      <c r="E71" s="1">
        <v>3575</v>
      </c>
      <c r="F71" s="1">
        <v>3563.5149708028953</v>
      </c>
      <c r="G71" s="1">
        <v>3586.4850291971047</v>
      </c>
      <c r="H71" s="1">
        <v>3590.3133722628063</v>
      </c>
      <c r="I71" s="1">
        <v>3597.970058394209</v>
      </c>
      <c r="J71" s="1" t="s">
        <v>9</v>
      </c>
      <c r="K71" s="1">
        <v>11.485029197104723</v>
      </c>
      <c r="L71" s="35">
        <v>46246.486388888887</v>
      </c>
      <c r="M71" s="35">
        <v>46246.542233796295</v>
      </c>
      <c r="N71" s="58">
        <f>IF($E71="","",ROUNDUP($E71*操作パネル_MS2!$H$13,0))</f>
        <v>357500</v>
      </c>
      <c r="O71" s="66">
        <f>IF($K71="","",ROUNDUP($K71*操作パネル_MS2!$H$13,0))</f>
        <v>1149</v>
      </c>
      <c r="P71" s="59">
        <f t="shared" si="1"/>
        <v>1</v>
      </c>
    </row>
    <row r="72" spans="1:16">
      <c r="A72" s="1">
        <v>71</v>
      </c>
      <c r="B72" s="1">
        <v>9501</v>
      </c>
      <c r="C72" s="1" t="str">
        <f>IFERROR(INDEX(StockList_MS2!$B:$B,MATCH($B72,StockList_MS2!$A:$A,0)),"")</f>
        <v>東京電力ＨＤ</v>
      </c>
      <c r="D72" s="1" t="s">
        <v>74</v>
      </c>
      <c r="E72" s="1">
        <v>517.1</v>
      </c>
      <c r="F72" s="1">
        <v>519.15020640970033</v>
      </c>
      <c r="G72" s="1">
        <v>515.04979359029971</v>
      </c>
      <c r="H72" s="1">
        <v>514.36639145373306</v>
      </c>
      <c r="I72" s="1">
        <v>512.99958718059952</v>
      </c>
      <c r="J72" s="1" t="s">
        <v>8</v>
      </c>
      <c r="K72" s="1">
        <v>-2.0502064097003085</v>
      </c>
      <c r="L72" s="35">
        <v>46246.486400462964</v>
      </c>
      <c r="M72" s="35">
        <v>46264.053263888891</v>
      </c>
      <c r="N72" s="58">
        <f>IF($E72="","",ROUNDUP($E72*操作パネル_MS2!$H$13,0))</f>
        <v>51710</v>
      </c>
      <c r="O72" s="66">
        <f>IF($K72="","",ROUNDUP($K72*操作パネル_MS2!$H$13,0))</f>
        <v>-206</v>
      </c>
      <c r="P72" s="59">
        <f t="shared" si="1"/>
        <v>-1</v>
      </c>
    </row>
    <row r="73" spans="1:16">
      <c r="A73" s="1">
        <v>72</v>
      </c>
      <c r="B73" s="1">
        <v>5401</v>
      </c>
      <c r="C73" s="1" t="str">
        <f>IFERROR(INDEX(StockList_MS2!$B:$B,MATCH($B73,StockList_MS2!$A:$A,0)),"")</f>
        <v>日本製鉄</v>
      </c>
      <c r="D73" s="1" t="s">
        <v>74</v>
      </c>
      <c r="E73" s="1">
        <v>685.2</v>
      </c>
      <c r="F73" s="1">
        <v>687.20975071340945</v>
      </c>
      <c r="G73" s="1">
        <v>683.19024928659064</v>
      </c>
      <c r="H73" s="1">
        <v>682.52033238212084</v>
      </c>
      <c r="I73" s="1">
        <v>681.18049857318124</v>
      </c>
      <c r="J73" s="1" t="s">
        <v>8</v>
      </c>
      <c r="K73" s="1">
        <v>-2.009750713409403</v>
      </c>
      <c r="L73" s="35">
        <v>46246.48641203704</v>
      </c>
      <c r="M73" s="35">
        <v>46246.542233796295</v>
      </c>
      <c r="N73" s="58">
        <f>IF($E73="","",ROUNDUP($E73*操作パネル_MS2!$H$13,0))</f>
        <v>68520</v>
      </c>
      <c r="O73" s="66">
        <f>IF($K73="","",ROUNDUP($K73*操作パネル_MS2!$H$13,0))</f>
        <v>-201</v>
      </c>
      <c r="P73" s="59">
        <f t="shared" si="1"/>
        <v>-1</v>
      </c>
    </row>
    <row r="74" spans="1:16">
      <c r="A74" s="1">
        <v>73</v>
      </c>
      <c r="B74" s="1">
        <v>4689</v>
      </c>
      <c r="C74" s="1" t="str">
        <f>IFERROR(INDEX(StockList_MS2!$B:$B,MATCH($B74,StockList_MS2!$A:$A,0)),"")</f>
        <v>ＬＩＮＥヤフー</v>
      </c>
      <c r="D74" s="1" t="s">
        <v>73</v>
      </c>
      <c r="E74" s="1">
        <v>495.9</v>
      </c>
      <c r="F74" s="1">
        <v>494.00931530164905</v>
      </c>
      <c r="G74" s="1">
        <v>497.7906846983509</v>
      </c>
      <c r="H74" s="1">
        <v>498.42091293113458</v>
      </c>
      <c r="I74" s="1">
        <v>499.68136939670183</v>
      </c>
      <c r="J74" s="1" t="s">
        <v>9</v>
      </c>
      <c r="K74" s="1">
        <v>1.890684698350924</v>
      </c>
      <c r="L74" s="35">
        <v>46246.486435185187</v>
      </c>
      <c r="M74" s="35">
        <v>46264.053263888891</v>
      </c>
      <c r="N74" s="58">
        <f>IF($E74="","",ROUNDUP($E74*操作パネル_MS2!$H$13,0))</f>
        <v>49590</v>
      </c>
      <c r="O74" s="66">
        <f>IF($K74="","",ROUNDUP($K74*操作パネル_MS2!$H$13,0))</f>
        <v>190</v>
      </c>
      <c r="P74" s="59">
        <f t="shared" si="1"/>
        <v>1</v>
      </c>
    </row>
    <row r="75" spans="1:16">
      <c r="A75" s="1">
        <v>74</v>
      </c>
      <c r="B75" s="1">
        <v>4063</v>
      </c>
      <c r="C75" s="1" t="str">
        <f>IFERROR(INDEX(StockList_MS2!$B:$B,MATCH($B75,StockList_MS2!$A:$A,0)),"")</f>
        <v>信越化学</v>
      </c>
      <c r="D75" s="1" t="s">
        <v>73</v>
      </c>
      <c r="E75" s="1">
        <v>6351</v>
      </c>
      <c r="F75" s="1">
        <v>6332.3903128913271</v>
      </c>
      <c r="G75" s="1">
        <v>6369.6096871086729</v>
      </c>
      <c r="H75" s="1">
        <v>6375.8129161448978</v>
      </c>
      <c r="I75" s="1">
        <v>6388.2193742173458</v>
      </c>
      <c r="J75" s="1" t="s">
        <v>9</v>
      </c>
      <c r="K75" s="1">
        <v>18.609687108672915</v>
      </c>
      <c r="L75" s="35">
        <v>46246.486446759256</v>
      </c>
      <c r="M75" s="35">
        <v>46246.542233796295</v>
      </c>
      <c r="N75" s="58">
        <f>IF($E75="","",ROUNDUP($E75*操作パネル_MS2!$H$13,0))</f>
        <v>635100</v>
      </c>
      <c r="O75" s="66">
        <f>IF($K75="","",ROUNDUP($K75*操作パネル_MS2!$H$13,0))</f>
        <v>1861</v>
      </c>
      <c r="P75" s="59">
        <f t="shared" si="1"/>
        <v>1</v>
      </c>
    </row>
    <row r="76" spans="1:16">
      <c r="A76" s="1">
        <v>75</v>
      </c>
      <c r="B76" s="1">
        <v>6857</v>
      </c>
      <c r="C76" s="1" t="str">
        <f>IFERROR(INDEX(StockList_MS2!$B:$B,MATCH($B76,StockList_MS2!$A:$A,0)),"")</f>
        <v>アドバンテスト</v>
      </c>
      <c r="D76" s="1" t="s">
        <v>73</v>
      </c>
      <c r="E76" s="1">
        <v>34420</v>
      </c>
      <c r="F76" s="1">
        <v>34206.95749763721</v>
      </c>
      <c r="G76" s="1">
        <v>34633.04250236279</v>
      </c>
      <c r="H76" s="1">
        <v>34704.056669817051</v>
      </c>
      <c r="I76" s="1">
        <v>34846.085004725574</v>
      </c>
      <c r="J76" s="1" t="s">
        <v>9</v>
      </c>
      <c r="K76" s="1">
        <v>213.0425023627904</v>
      </c>
      <c r="L76" s="35">
        <v>46246.486458333333</v>
      </c>
      <c r="M76" s="35">
        <v>46246.542245370372</v>
      </c>
      <c r="N76" s="58">
        <f>IF($E76="","",ROUNDUP($E76*操作パネル_MS2!$H$13,0))</f>
        <v>3442000</v>
      </c>
      <c r="O76" s="66">
        <f>IF($K76="","",ROUNDUP($K76*操作パネル_MS2!$H$13,0))</f>
        <v>21305</v>
      </c>
      <c r="P76" s="59">
        <f t="shared" si="1"/>
        <v>1</v>
      </c>
    </row>
    <row r="77" spans="1:16">
      <c r="A77" s="1">
        <v>76</v>
      </c>
      <c r="B77" s="1">
        <v>7974</v>
      </c>
      <c r="C77" s="1" t="str">
        <f>IFERROR(INDEX(StockList_MS2!$B:$B,MATCH($B77,StockList_MS2!$A:$A,0)),"")</f>
        <v>任天堂</v>
      </c>
      <c r="D77" s="1" t="s">
        <v>73</v>
      </c>
      <c r="E77" s="1">
        <v>8475</v>
      </c>
      <c r="F77" s="1">
        <v>8439.3557242129627</v>
      </c>
      <c r="G77" s="1">
        <v>8510.6442757870373</v>
      </c>
      <c r="H77" s="1">
        <v>8522.5257010493824</v>
      </c>
      <c r="I77" s="1">
        <v>8546.2885515740745</v>
      </c>
      <c r="J77" s="1" t="s">
        <v>8</v>
      </c>
      <c r="K77" s="1">
        <v>-35.644275787037259</v>
      </c>
      <c r="L77" s="35">
        <v>46246.486481481479</v>
      </c>
      <c r="M77" s="35">
        <v>46246.542245370372</v>
      </c>
      <c r="N77" s="58">
        <f>IF($E77="","",ROUNDUP($E77*操作パネル_MS2!$H$13,0))</f>
        <v>847500</v>
      </c>
      <c r="O77" s="66">
        <f>IF($K77="","",ROUNDUP($K77*操作パネル_MS2!$H$13,0))</f>
        <v>-3565</v>
      </c>
      <c r="P77" s="59">
        <f t="shared" si="1"/>
        <v>-1</v>
      </c>
    </row>
    <row r="78" spans="1:16">
      <c r="A78" s="1">
        <v>77</v>
      </c>
      <c r="B78" s="1">
        <v>8316</v>
      </c>
      <c r="C78" s="1" t="str">
        <f>IFERROR(INDEX(StockList_MS2!$B:$B,MATCH($B78,StockList_MS2!$A:$A,0)),"")</f>
        <v>三井住友フィナンシャルＧ</v>
      </c>
      <c r="D78" s="1" t="s">
        <v>73</v>
      </c>
      <c r="E78" s="1">
        <v>6804</v>
      </c>
      <c r="F78" s="1">
        <v>6780.8850462140863</v>
      </c>
      <c r="G78" s="1">
        <v>6827.1149537859137</v>
      </c>
      <c r="H78" s="1">
        <v>6834.819938381218</v>
      </c>
      <c r="I78" s="1">
        <v>6850.2299075718274</v>
      </c>
      <c r="J78" s="1" t="s">
        <v>9</v>
      </c>
      <c r="K78" s="1">
        <v>23.114953785913713</v>
      </c>
      <c r="L78" s="35">
        <v>46246.486493055556</v>
      </c>
      <c r="M78" s="35">
        <v>46246.542245370372</v>
      </c>
      <c r="N78" s="58">
        <f>IF($E78="","",ROUNDUP($E78*操作パネル_MS2!$H$13,0))</f>
        <v>680400</v>
      </c>
      <c r="O78" s="66">
        <f>IF($K78="","",ROUNDUP($K78*操作パネル_MS2!$H$13,0))</f>
        <v>2312</v>
      </c>
      <c r="P78" s="59">
        <f t="shared" si="1"/>
        <v>1</v>
      </c>
    </row>
    <row r="79" spans="1:16">
      <c r="A79" s="1">
        <v>78</v>
      </c>
      <c r="B79" s="1">
        <v>8308</v>
      </c>
      <c r="C79" s="1" t="str">
        <f>IFERROR(INDEX(StockList_MS2!$B:$B,MATCH($B79,StockList_MS2!$A:$A,0)),"")</f>
        <v>りそなホールディングス</v>
      </c>
      <c r="D79" s="1" t="s">
        <v>73</v>
      </c>
      <c r="E79" s="1">
        <v>2315</v>
      </c>
      <c r="F79" s="1">
        <v>2304.7305973570647</v>
      </c>
      <c r="G79" s="1">
        <v>2325.2694026429353</v>
      </c>
      <c r="H79" s="1">
        <v>2328.692536857247</v>
      </c>
      <c r="I79" s="1">
        <v>2335.5388052858702</v>
      </c>
      <c r="J79" s="1" t="s">
        <v>9</v>
      </c>
      <c r="K79" s="1">
        <v>10.269402642935347</v>
      </c>
      <c r="L79" s="35">
        <v>46246.486516203702</v>
      </c>
      <c r="M79" s="35">
        <v>46246.542256944442</v>
      </c>
      <c r="N79" s="58">
        <f>IF($E79="","",ROUNDUP($E79*操作パネル_MS2!$H$13,0))</f>
        <v>231500</v>
      </c>
      <c r="O79" s="66">
        <f>IF($K79="","",ROUNDUP($K79*操作パネル_MS2!$H$13,0))</f>
        <v>1027</v>
      </c>
      <c r="P79" s="59">
        <f t="shared" si="1"/>
        <v>1</v>
      </c>
    </row>
    <row r="80" spans="1:16">
      <c r="A80" s="1">
        <v>79</v>
      </c>
      <c r="B80" s="1">
        <v>8593</v>
      </c>
      <c r="C80" s="1" t="str">
        <f>IFERROR(INDEX(StockList_MS2!$B:$B,MATCH($B80,StockList_MS2!$A:$A,0)),"")</f>
        <v>三菱ＨＣキャピタル</v>
      </c>
      <c r="D80" s="1" t="s">
        <v>73</v>
      </c>
      <c r="E80" s="1">
        <v>1399</v>
      </c>
      <c r="F80" s="1">
        <v>1395.8996673967542</v>
      </c>
      <c r="G80" s="1">
        <v>1402.1003326032458</v>
      </c>
      <c r="H80" s="1">
        <v>1403.1337768043277</v>
      </c>
      <c r="I80" s="1">
        <v>1405.2006652064915</v>
      </c>
      <c r="J80" s="1" t="s">
        <v>9</v>
      </c>
      <c r="K80" s="1">
        <v>3.1003326032457608</v>
      </c>
      <c r="L80" s="35">
        <v>46246.486527777779</v>
      </c>
      <c r="M80" s="35">
        <v>46264.053263888891</v>
      </c>
      <c r="N80" s="58">
        <f>IF($E80="","",ROUNDUP($E80*操作パネル_MS2!$H$13,0))</f>
        <v>139900</v>
      </c>
      <c r="O80" s="66">
        <f>IF($K80="","",ROUNDUP($K80*操作パネル_MS2!$H$13,0))</f>
        <v>311</v>
      </c>
      <c r="P80" s="59">
        <f t="shared" si="1"/>
        <v>1</v>
      </c>
    </row>
    <row r="81" spans="1:16">
      <c r="A81" s="1">
        <v>80</v>
      </c>
      <c r="B81" s="1">
        <v>7201</v>
      </c>
      <c r="C81" s="1" t="str">
        <f>IFERROR(INDEX(StockList_MS2!$B:$B,MATCH($B81,StockList_MS2!$A:$A,0)),"")</f>
        <v>日産自動車</v>
      </c>
      <c r="D81" s="1" t="s">
        <v>74</v>
      </c>
      <c r="E81" s="1">
        <v>338.4</v>
      </c>
      <c r="F81" s="1">
        <v>339.53036082340896</v>
      </c>
      <c r="G81" s="1">
        <v>337.269639176591</v>
      </c>
      <c r="H81" s="1">
        <v>336.89285223545471</v>
      </c>
      <c r="I81" s="1">
        <v>336.13927835318208</v>
      </c>
      <c r="J81" s="1" t="s">
        <v>9</v>
      </c>
      <c r="K81" s="1">
        <v>1.1303608234089779</v>
      </c>
      <c r="L81" s="35">
        <v>46246.486539351848</v>
      </c>
      <c r="M81" s="35">
        <v>46264.053263888891</v>
      </c>
      <c r="N81" s="58">
        <f>IF($E81="","",ROUNDUP($E81*操作パネル_MS2!$H$13,0))</f>
        <v>33840</v>
      </c>
      <c r="O81" s="66">
        <f>IF($K81="","",ROUNDUP($K81*操作パネル_MS2!$H$13,0))</f>
        <v>114</v>
      </c>
      <c r="P81" s="59">
        <f t="shared" si="1"/>
        <v>1</v>
      </c>
    </row>
    <row r="82" spans="1:16">
      <c r="A82" s="1">
        <v>81</v>
      </c>
      <c r="B82" s="1">
        <v>7751</v>
      </c>
      <c r="C82" s="1" t="str">
        <f>IFERROR(INDEX(StockList_MS2!$B:$B,MATCH($B82,StockList_MS2!$A:$A,0)),"")</f>
        <v>キヤノン</v>
      </c>
      <c r="D82" s="1" t="s">
        <v>74</v>
      </c>
      <c r="E82" s="1">
        <v>4559</v>
      </c>
      <c r="F82" s="1">
        <v>4570.3631794933008</v>
      </c>
      <c r="G82" s="1">
        <v>4547.6368205066992</v>
      </c>
      <c r="H82" s="1">
        <v>4543.8490940089314</v>
      </c>
      <c r="I82" s="1">
        <v>4536.2736410133975</v>
      </c>
      <c r="J82" s="1" t="s">
        <v>8</v>
      </c>
      <c r="K82" s="1">
        <v>-11.363179493300777</v>
      </c>
      <c r="L82" s="35">
        <v>46246.486562500002</v>
      </c>
      <c r="M82" s="35">
        <v>46264.053263888891</v>
      </c>
      <c r="N82" s="58">
        <f>IF($E82="","",ROUNDUP($E82*操作パネル_MS2!$H$13,0))</f>
        <v>455900</v>
      </c>
      <c r="O82" s="66">
        <f>IF($K82="","",ROUNDUP($K82*操作パネル_MS2!$H$13,0))</f>
        <v>-1137</v>
      </c>
      <c r="P82" s="59">
        <f t="shared" si="1"/>
        <v>-1</v>
      </c>
    </row>
    <row r="83" spans="1:16">
      <c r="A83" s="1">
        <v>82</v>
      </c>
      <c r="B83" s="1">
        <v>3350</v>
      </c>
      <c r="C83" s="1" t="str">
        <f>IFERROR(INDEX(StockList_MS2!$B:$B,MATCH($B83,StockList_MS2!$A:$A,0)),"")</f>
        <v>メタプラネット</v>
      </c>
      <c r="D83" s="1" t="s">
        <v>74</v>
      </c>
      <c r="E83" s="1">
        <v>218</v>
      </c>
      <c r="F83" s="1">
        <v>220.05453107002538</v>
      </c>
      <c r="G83" s="1">
        <v>215.94546892997462</v>
      </c>
      <c r="H83" s="1">
        <v>215.26062523996615</v>
      </c>
      <c r="I83" s="1">
        <v>213.89093785994922</v>
      </c>
      <c r="J83" s="1" t="s">
        <v>8</v>
      </c>
      <c r="K83" s="1">
        <v>-2.0545310700253765</v>
      </c>
      <c r="L83" s="35">
        <v>46246.486574074072</v>
      </c>
      <c r="M83" s="35">
        <v>46264.053263888891</v>
      </c>
      <c r="N83" s="58">
        <f>IF($E83="","",ROUNDUP($E83*操作パネル_MS2!$H$13,0))</f>
        <v>21800</v>
      </c>
      <c r="O83" s="66">
        <f>IF($K83="","",ROUNDUP($K83*操作パネル_MS2!$H$13,0))</f>
        <v>-206</v>
      </c>
      <c r="P83" s="59">
        <f t="shared" si="1"/>
        <v>-1</v>
      </c>
    </row>
    <row r="84" spans="1:16">
      <c r="A84" s="1">
        <v>83</v>
      </c>
      <c r="B84" s="1">
        <v>8136</v>
      </c>
      <c r="C84" s="1" t="str">
        <f>IFERROR(INDEX(StockList_MS2!$B:$B,MATCH($B84,StockList_MS2!$A:$A,0)),"")</f>
        <v>サンリオ</v>
      </c>
      <c r="D84" s="1" t="s">
        <v>74</v>
      </c>
      <c r="E84" s="1">
        <v>1199</v>
      </c>
      <c r="F84" s="1">
        <v>1216.0530131090902</v>
      </c>
      <c r="G84" s="1">
        <v>1181.9469868909098</v>
      </c>
      <c r="H84" s="1">
        <v>1176.2626491878796</v>
      </c>
      <c r="I84" s="1">
        <v>1164.8939737818193</v>
      </c>
      <c r="J84" s="1" t="s">
        <v>8</v>
      </c>
      <c r="K84" s="1">
        <v>-17.053013109090216</v>
      </c>
      <c r="L84" s="35">
        <v>46246.486597222225</v>
      </c>
      <c r="M84" s="35">
        <v>46264.053263888891</v>
      </c>
      <c r="N84" s="58">
        <f>IF($E84="","",ROUNDUP($E84*操作パネル_MS2!$H$13,0))</f>
        <v>119900</v>
      </c>
      <c r="O84" s="66">
        <f>IF($K84="","",ROUNDUP($K84*操作パネル_MS2!$H$13,0))</f>
        <v>-1706</v>
      </c>
      <c r="P84" s="59">
        <f t="shared" si="1"/>
        <v>-1</v>
      </c>
    </row>
    <row r="85" spans="1:16">
      <c r="A85" s="1">
        <v>84</v>
      </c>
      <c r="B85" s="1">
        <v>8801</v>
      </c>
      <c r="C85" s="1" t="str">
        <f>IFERROR(INDEX(StockList_MS2!$B:$B,MATCH($B85,StockList_MS2!$A:$A,0)),"")</f>
        <v>三井不動産</v>
      </c>
      <c r="D85" s="1" t="s">
        <v>74</v>
      </c>
      <c r="E85" s="1">
        <v>1452</v>
      </c>
      <c r="F85" s="1">
        <v>1456.5312812329164</v>
      </c>
      <c r="G85" s="1">
        <v>1447.4687187670836</v>
      </c>
      <c r="H85" s="1">
        <v>1445.9582916894446</v>
      </c>
      <c r="I85" s="1">
        <v>1442.937437534167</v>
      </c>
      <c r="J85" s="1" t="s">
        <v>8</v>
      </c>
      <c r="K85" s="1">
        <v>-4.5312812329163989</v>
      </c>
      <c r="L85" s="35">
        <v>46246.486608796295</v>
      </c>
      <c r="M85" s="35">
        <v>46264.053263888891</v>
      </c>
      <c r="N85" s="58">
        <f>IF($E85="","",ROUNDUP($E85*操作パネル_MS2!$H$13,0))</f>
        <v>145200</v>
      </c>
      <c r="O85" s="66">
        <f>IF($K85="","",ROUNDUP($K85*操作パネル_MS2!$H$13,0))</f>
        <v>-454</v>
      </c>
      <c r="P85" s="59">
        <f t="shared" si="1"/>
        <v>-1</v>
      </c>
    </row>
    <row r="86" spans="1:16">
      <c r="A86" s="1">
        <v>85</v>
      </c>
      <c r="B86" s="1">
        <v>6954</v>
      </c>
      <c r="C86" s="1" t="str">
        <f>IFERROR(INDEX(StockList_MS2!$B:$B,MATCH($B86,StockList_MS2!$A:$A,0)),"")</f>
        <v>ファナック</v>
      </c>
      <c r="D86" s="1" t="s">
        <v>73</v>
      </c>
      <c r="E86" s="1">
        <v>6646</v>
      </c>
      <c r="F86" s="1">
        <v>6615.5698865292143</v>
      </c>
      <c r="G86" s="1">
        <v>6676.4301134707857</v>
      </c>
      <c r="H86" s="1">
        <v>6686.5734846277137</v>
      </c>
      <c r="I86" s="1">
        <v>6706.8602269415705</v>
      </c>
      <c r="J86" s="1" t="s">
        <v>8</v>
      </c>
      <c r="K86" s="1">
        <v>-30.430113470785727</v>
      </c>
      <c r="L86" s="35">
        <v>46246.486620370371</v>
      </c>
      <c r="M86" s="35">
        <v>46264.053263888891</v>
      </c>
      <c r="N86" s="58">
        <f>IF($E86="","",ROUNDUP($E86*操作パネル_MS2!$H$13,0))</f>
        <v>664600</v>
      </c>
      <c r="O86" s="66">
        <f>IF($K86="","",ROUNDUP($K86*操作パネル_MS2!$H$13,0))</f>
        <v>-3044</v>
      </c>
      <c r="P86" s="59">
        <f t="shared" si="1"/>
        <v>-1</v>
      </c>
    </row>
    <row r="87" spans="1:16">
      <c r="A87" s="1">
        <v>86</v>
      </c>
      <c r="B87" s="1">
        <v>8113</v>
      </c>
      <c r="C87" s="1" t="str">
        <f>IFERROR(INDEX(StockList_MS2!$B:$B,MATCH($B87,StockList_MS2!$A:$A,0)),"")</f>
        <v>ユニ・チヤ－ム</v>
      </c>
      <c r="D87" s="1" t="s">
        <v>74</v>
      </c>
      <c r="E87" s="1">
        <v>999.9</v>
      </c>
      <c r="F87" s="1">
        <v>1003.7172314939107</v>
      </c>
      <c r="G87" s="1">
        <v>996.08276850608922</v>
      </c>
      <c r="H87" s="1">
        <v>994.81035800811901</v>
      </c>
      <c r="I87" s="1">
        <v>992.26553701217847</v>
      </c>
      <c r="J87" s="1" t="s">
        <v>9</v>
      </c>
      <c r="K87" s="1">
        <v>3.8172314939107537</v>
      </c>
      <c r="L87" s="35">
        <v>46246.486643518518</v>
      </c>
      <c r="M87" s="35">
        <v>46264.053263888891</v>
      </c>
      <c r="N87" s="58">
        <f>IF($E87="","",ROUNDUP($E87*操作パネル_MS2!$H$13,0))</f>
        <v>99990</v>
      </c>
      <c r="O87" s="66">
        <f>IF($K87="","",ROUNDUP($K87*操作パネル_MS2!$H$13,0))</f>
        <v>382</v>
      </c>
      <c r="P87" s="59">
        <f t="shared" si="1"/>
        <v>1</v>
      </c>
    </row>
    <row r="88" spans="1:16">
      <c r="A88" s="1">
        <v>87</v>
      </c>
      <c r="B88" s="1">
        <v>8604</v>
      </c>
      <c r="C88" s="1" t="str">
        <f>IFERROR(INDEX(StockList_MS2!$B:$B,MATCH($B88,StockList_MS2!$A:$A,0)),"")</f>
        <v>野村ホールディングス</v>
      </c>
      <c r="D88" s="1" t="s">
        <v>73</v>
      </c>
      <c r="E88" s="1">
        <v>1558.5</v>
      </c>
      <c r="F88" s="1">
        <v>1554.9939479720315</v>
      </c>
      <c r="G88" s="1">
        <v>1562.0060520279685</v>
      </c>
      <c r="H88" s="1">
        <v>1563.1747360372915</v>
      </c>
      <c r="I88" s="1">
        <v>1565.5121040559372</v>
      </c>
      <c r="J88" s="1" t="s">
        <v>9</v>
      </c>
      <c r="K88" s="1">
        <v>3.5060520279685079</v>
      </c>
      <c r="L88" s="35">
        <v>46246.542071759257</v>
      </c>
      <c r="M88" s="35">
        <v>46264.053263888891</v>
      </c>
      <c r="N88" s="58">
        <f>IF($E88="","",ROUNDUP($E88*操作パネル_MS2!$H$13,0))</f>
        <v>155850</v>
      </c>
      <c r="O88" s="66">
        <f>IF($K88="","",ROUNDUP($K88*操作パネル_MS2!$H$13,0))</f>
        <v>351</v>
      </c>
      <c r="P88" s="59">
        <f t="shared" si="1"/>
        <v>1</v>
      </c>
    </row>
    <row r="89" spans="1:16">
      <c r="A89" s="1">
        <v>88</v>
      </c>
      <c r="B89" s="1">
        <v>4005</v>
      </c>
      <c r="C89" s="1" t="str">
        <f>IFERROR(INDEX(StockList_MS2!$B:$B,MATCH($B89,StockList_MS2!$A:$A,0)),"")</f>
        <v>住友化学</v>
      </c>
      <c r="D89" s="1" t="s">
        <v>73</v>
      </c>
      <c r="E89" s="1">
        <v>524.79999999999995</v>
      </c>
      <c r="F89" s="1">
        <v>523.06302377325164</v>
      </c>
      <c r="G89" s="1">
        <v>526.53697622674827</v>
      </c>
      <c r="H89" s="1">
        <v>527.115968302331</v>
      </c>
      <c r="I89" s="1">
        <v>528.27395245349646</v>
      </c>
      <c r="J89" s="1" t="s">
        <v>9</v>
      </c>
      <c r="K89" s="1">
        <v>1.7369762267483111</v>
      </c>
      <c r="L89" s="35">
        <v>46246.542094907411</v>
      </c>
      <c r="M89" s="35">
        <v>46264.053263888891</v>
      </c>
      <c r="N89" s="58">
        <f>IF($E89="","",ROUNDUP($E89*操作パネル_MS2!$H$13,0))</f>
        <v>52480</v>
      </c>
      <c r="O89" s="66">
        <f>IF($K89="","",ROUNDUP($K89*操作パネル_MS2!$H$13,0))</f>
        <v>174</v>
      </c>
      <c r="P89" s="59">
        <f t="shared" si="1"/>
        <v>1</v>
      </c>
    </row>
    <row r="90" spans="1:16">
      <c r="A90" s="1">
        <v>89</v>
      </c>
      <c r="B90" s="1">
        <v>5803</v>
      </c>
      <c r="C90" s="1" t="str">
        <f>IFERROR(INDEX(StockList_MS2!$B:$B,MATCH($B90,StockList_MS2!$A:$A,0)),"")</f>
        <v>フジクラ</v>
      </c>
      <c r="D90" s="1" t="s">
        <v>73</v>
      </c>
      <c r="E90" s="1">
        <v>5746</v>
      </c>
      <c r="F90" s="1">
        <v>5689.8441879579077</v>
      </c>
      <c r="G90" s="1">
        <v>5802.1558120420923</v>
      </c>
      <c r="H90" s="1">
        <v>5820.8744160561237</v>
      </c>
      <c r="I90" s="1">
        <v>5858.3116240841855</v>
      </c>
      <c r="J90" s="1" t="s">
        <v>8</v>
      </c>
      <c r="K90" s="1">
        <v>-56.155812042092293</v>
      </c>
      <c r="L90" s="35">
        <v>46246.54210648148</v>
      </c>
      <c r="M90" s="35">
        <v>46264.053263888891</v>
      </c>
      <c r="N90" s="58">
        <f>IF($E90="","",ROUNDUP($E90*操作パネル_MS2!$H$13,0))</f>
        <v>574600</v>
      </c>
      <c r="O90" s="66">
        <f>IF($K90="","",ROUNDUP($K90*操作パネル_MS2!$H$13,0))</f>
        <v>-5616</v>
      </c>
      <c r="P90" s="59">
        <f t="shared" si="1"/>
        <v>-1</v>
      </c>
    </row>
    <row r="91" spans="1:16">
      <c r="A91" s="1">
        <v>90</v>
      </c>
      <c r="B91" s="1">
        <v>8411</v>
      </c>
      <c r="C91" s="1" t="str">
        <f>IFERROR(INDEX(StockList_MS2!$B:$B,MATCH($B91,StockList_MS2!$A:$A,0)),"")</f>
        <v>みずほフィナンシャルＧ</v>
      </c>
      <c r="D91" s="1" t="s">
        <v>73</v>
      </c>
      <c r="E91" s="1">
        <v>8487</v>
      </c>
      <c r="F91" s="1">
        <v>8456.0779712426374</v>
      </c>
      <c r="G91" s="1">
        <v>8517.9220287573626</v>
      </c>
      <c r="H91" s="1">
        <v>8528.2293716764834</v>
      </c>
      <c r="I91" s="1">
        <v>8548.8440575147251</v>
      </c>
      <c r="J91" s="1" t="s">
        <v>214</v>
      </c>
      <c r="K91" s="1">
        <v>-1</v>
      </c>
      <c r="L91" s="35">
        <v>46246.542118055557</v>
      </c>
      <c r="M91" s="35">
        <v>46264.053263888891</v>
      </c>
      <c r="N91" s="58">
        <f>IF($E91="","",ROUNDUP($E91*操作パネル_MS2!$H$13,0))</f>
        <v>848700</v>
      </c>
      <c r="O91" s="66">
        <f>IF($K91="","",ROUNDUP($K91*操作パネル_MS2!$H$13,0))</f>
        <v>-100</v>
      </c>
      <c r="P91" s="59">
        <f t="shared" si="1"/>
        <v>-3.2339404631136916E-2</v>
      </c>
    </row>
    <row r="92" spans="1:16">
      <c r="A92" s="1">
        <v>91</v>
      </c>
      <c r="B92" s="1">
        <v>7211</v>
      </c>
      <c r="C92" s="1" t="str">
        <f>IFERROR(INDEX(StockList_MS2!$B:$B,MATCH($B92,StockList_MS2!$A:$A,0)),"")</f>
        <v>三菱自動車工業</v>
      </c>
      <c r="D92" s="1" t="s">
        <v>74</v>
      </c>
      <c r="E92" s="1">
        <v>344.8</v>
      </c>
      <c r="F92" s="1">
        <v>345.86681903828043</v>
      </c>
      <c r="G92" s="1">
        <v>343.7331809617196</v>
      </c>
      <c r="H92" s="1">
        <v>343.37757461562614</v>
      </c>
      <c r="I92" s="1">
        <v>342.66636192343924</v>
      </c>
      <c r="J92" s="1" t="s">
        <v>8</v>
      </c>
      <c r="K92" s="1">
        <v>-1.0668190382804141</v>
      </c>
      <c r="L92" s="35">
        <v>46246.542129629626</v>
      </c>
      <c r="M92" s="35">
        <v>46264.053263888891</v>
      </c>
      <c r="N92" s="58">
        <f>IF($E92="","",ROUNDUP($E92*操作パネル_MS2!$H$13,0))</f>
        <v>34480</v>
      </c>
      <c r="O92" s="66">
        <f>IF($K92="","",ROUNDUP($K92*操作パネル_MS2!$H$13,0))</f>
        <v>-107</v>
      </c>
      <c r="P92" s="59">
        <f t="shared" si="1"/>
        <v>-1</v>
      </c>
    </row>
  </sheetData>
  <phoneticPr fontId="1"/>
  <pageMargins left="0.75" right="0.75" top="1" bottom="1" header="0.5" footer="0.5"/>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00"/>
  <sheetViews>
    <sheetView workbookViewId="0">
      <pane ySplit="1" topLeftCell="A2" activePane="bottomLeft" state="frozen"/>
      <selection pane="bottomLeft" activeCell="B1" sqref="B1"/>
    </sheetView>
  </sheetViews>
  <sheetFormatPr defaultRowHeight="22.2"/>
  <cols>
    <col min="1" max="1" width="13" style="1" customWidth="1"/>
    <col min="2" max="2" width="25.61328125" style="1" customWidth="1"/>
    <col min="3" max="4" width="13" style="1" customWidth="1"/>
    <col min="5" max="5" width="13" style="64" customWidth="1"/>
    <col min="6" max="9" width="13" style="1" customWidth="1"/>
    <col min="10" max="10" width="13" style="64" customWidth="1"/>
    <col min="11" max="11" width="13" style="1" customWidth="1"/>
  </cols>
  <sheetData>
    <row r="1" spans="1:11" ht="46.05" customHeight="1">
      <c r="A1" s="21" t="s">
        <v>20</v>
      </c>
      <c r="B1" s="21" t="s">
        <v>23</v>
      </c>
      <c r="C1" s="21" t="s">
        <v>21</v>
      </c>
      <c r="D1" s="21" t="s">
        <v>22</v>
      </c>
      <c r="E1" s="63" t="s">
        <v>76</v>
      </c>
      <c r="F1" s="21" t="s">
        <v>24</v>
      </c>
      <c r="G1" s="21" t="s">
        <v>25</v>
      </c>
      <c r="H1" s="21" t="s">
        <v>77</v>
      </c>
      <c r="I1" s="21" t="s">
        <v>78</v>
      </c>
      <c r="J1" s="63" t="s">
        <v>26</v>
      </c>
      <c r="K1" s="21" t="s">
        <v>27</v>
      </c>
    </row>
    <row r="2" spans="1:11">
      <c r="A2" s="38" t="str">
        <f>HYPERLINK("https://kabutan.jp/stock/?code="&amp;"8729","8729")</f>
        <v>8729</v>
      </c>
      <c r="B2" s="67"/>
      <c r="C2" s="36">
        <v>0</v>
      </c>
      <c r="D2" s="39">
        <v>0</v>
      </c>
      <c r="E2" s="56">
        <v>-1.3993745900087049</v>
      </c>
      <c r="F2" s="56">
        <v>1.3993745900087049</v>
      </c>
      <c r="G2" s="39">
        <v>0</v>
      </c>
      <c r="H2" s="40">
        <v>0</v>
      </c>
      <c r="I2" s="40">
        <v>1</v>
      </c>
      <c r="J2" s="56">
        <v>-1.3993745900087049</v>
      </c>
      <c r="K2" s="40">
        <v>1</v>
      </c>
    </row>
    <row r="3" spans="1:11">
      <c r="A3" s="38" t="str">
        <f>HYPERLINK("https://kabutan.jp/stock/?code="&amp;"7201","7201")</f>
        <v>7201</v>
      </c>
      <c r="B3" s="67" t="s">
        <v>243</v>
      </c>
      <c r="C3" s="36">
        <v>0.5</v>
      </c>
      <c r="D3" s="39">
        <v>0.4083609501827426</v>
      </c>
      <c r="E3" s="56">
        <v>-0.8188412765876194</v>
      </c>
      <c r="F3" s="56">
        <v>2.7680433765842167</v>
      </c>
      <c r="G3" s="39">
        <v>0.4083609501827426</v>
      </c>
      <c r="H3" s="40">
        <v>1</v>
      </c>
      <c r="I3" s="40">
        <v>1</v>
      </c>
      <c r="J3" s="56">
        <v>-1.6376825531752388</v>
      </c>
      <c r="K3" s="40">
        <v>2</v>
      </c>
    </row>
    <row r="4" spans="1:11">
      <c r="A4" s="38" t="str">
        <f>HYPERLINK("https://kabutan.jp/stock/?code="&amp;"8306","8306")</f>
        <v>8306</v>
      </c>
      <c r="B4" s="67" t="s">
        <v>243</v>
      </c>
      <c r="C4" s="36">
        <v>0.5</v>
      </c>
      <c r="D4" s="39">
        <v>0.52445830395605653</v>
      </c>
      <c r="E4" s="56">
        <v>-5.2069060803382854</v>
      </c>
      <c r="F4" s="56">
        <v>21.898841357781293</v>
      </c>
      <c r="G4" s="39">
        <v>0.52445830395605653</v>
      </c>
      <c r="H4" s="40">
        <v>1</v>
      </c>
      <c r="I4" s="40">
        <v>1</v>
      </c>
      <c r="J4" s="56">
        <v>-10.413812160676571</v>
      </c>
      <c r="K4" s="40">
        <v>2</v>
      </c>
    </row>
    <row r="5" spans="1:11">
      <c r="A5" s="38" t="str">
        <f>HYPERLINK("https://kabutan.jp/stock/?code="&amp;"8053","8053")</f>
        <v>8053</v>
      </c>
      <c r="B5" s="67" t="s">
        <v>243</v>
      </c>
      <c r="C5" s="36">
        <v>0</v>
      </c>
      <c r="D5" s="39">
        <v>0</v>
      </c>
      <c r="E5" s="56">
        <v>-12.316891396791107</v>
      </c>
      <c r="F5" s="56">
        <v>12.316891396791107</v>
      </c>
      <c r="G5" s="39">
        <v>0</v>
      </c>
      <c r="H5" s="40">
        <v>0</v>
      </c>
      <c r="I5" s="40">
        <v>1</v>
      </c>
      <c r="J5" s="56">
        <v>-12.316891396791107</v>
      </c>
      <c r="K5" s="40">
        <v>1</v>
      </c>
    </row>
    <row r="6" spans="1:11">
      <c r="A6" s="38" t="str">
        <f>HYPERLINK("https://kabutan.jp/stock/?code="&amp;"3350","3350")</f>
        <v>3350</v>
      </c>
      <c r="B6" s="67"/>
      <c r="C6" s="36">
        <v>0</v>
      </c>
      <c r="D6" s="39">
        <v>0</v>
      </c>
      <c r="E6" s="56">
        <v>-3.4599784164577159</v>
      </c>
      <c r="F6" s="56">
        <v>6.9199568329154317</v>
      </c>
      <c r="G6" s="39">
        <v>0</v>
      </c>
      <c r="H6" s="40">
        <v>0</v>
      </c>
      <c r="I6" s="40">
        <v>2</v>
      </c>
      <c r="J6" s="56">
        <v>-6.9199568329154317</v>
      </c>
      <c r="K6" s="40">
        <v>2</v>
      </c>
    </row>
    <row r="7" spans="1:11">
      <c r="A7" s="38" t="str">
        <f>HYPERLINK("https://kabutan.jp/stock/?code="&amp;"6723","6723")</f>
        <v>6723</v>
      </c>
      <c r="B7" s="67"/>
      <c r="C7" s="36">
        <v>0</v>
      </c>
      <c r="D7" s="39">
        <v>0</v>
      </c>
      <c r="E7" s="56">
        <v>-39.223734031761978</v>
      </c>
      <c r="F7" s="56">
        <v>39.223734031761978</v>
      </c>
      <c r="G7" s="39">
        <v>0</v>
      </c>
      <c r="H7" s="40">
        <v>0</v>
      </c>
      <c r="I7" s="40">
        <v>1</v>
      </c>
      <c r="J7" s="56">
        <v>-39.223734031761978</v>
      </c>
      <c r="K7" s="40">
        <v>1</v>
      </c>
    </row>
    <row r="8" spans="1:11">
      <c r="A8" s="38" t="str">
        <f>HYPERLINK("https://kabutan.jp/stock/?code="&amp;"4689","4689")</f>
        <v>4689</v>
      </c>
      <c r="B8" s="67"/>
      <c r="C8" s="36">
        <v>1</v>
      </c>
      <c r="D8" s="39" t="s">
        <v>88</v>
      </c>
      <c r="E8" s="56">
        <v>3.3319612962174858</v>
      </c>
      <c r="F8" s="56">
        <v>0</v>
      </c>
      <c r="G8" s="39" t="s">
        <v>88</v>
      </c>
      <c r="H8" s="40">
        <v>2</v>
      </c>
      <c r="I8" s="40">
        <v>0</v>
      </c>
      <c r="J8" s="56">
        <v>6.6639225924349716</v>
      </c>
      <c r="K8" s="40">
        <v>2</v>
      </c>
    </row>
    <row r="9" spans="1:11">
      <c r="A9" s="38" t="str">
        <f>HYPERLINK("https://kabutan.jp/stock/?code="&amp;"8136","8136")</f>
        <v>8136</v>
      </c>
      <c r="B9" s="67"/>
      <c r="C9" s="36">
        <v>0</v>
      </c>
      <c r="D9" s="39">
        <v>0</v>
      </c>
      <c r="E9" s="56">
        <v>-21.902552388827303</v>
      </c>
      <c r="F9" s="56">
        <v>43.805104777654606</v>
      </c>
      <c r="G9" s="39">
        <v>0</v>
      </c>
      <c r="H9" s="40">
        <v>0</v>
      </c>
      <c r="I9" s="40">
        <v>2</v>
      </c>
      <c r="J9" s="56">
        <v>-43.805104777654606</v>
      </c>
      <c r="K9" s="40">
        <v>2</v>
      </c>
    </row>
    <row r="10" spans="1:11">
      <c r="A10" s="38" t="str">
        <f>HYPERLINK("https://kabutan.jp/stock/?code="&amp;"4661","4661")</f>
        <v>4661</v>
      </c>
      <c r="B10" s="67" t="s">
        <v>243</v>
      </c>
      <c r="C10" s="36">
        <v>0</v>
      </c>
      <c r="D10" s="39">
        <v>0</v>
      </c>
      <c r="E10" s="56">
        <v>-24.773659845075144</v>
      </c>
      <c r="F10" s="56">
        <v>24.773659845075144</v>
      </c>
      <c r="G10" s="39">
        <v>0</v>
      </c>
      <c r="H10" s="40">
        <v>0</v>
      </c>
      <c r="I10" s="40">
        <v>1</v>
      </c>
      <c r="J10" s="56">
        <v>-24.773659845075144</v>
      </c>
      <c r="K10" s="40">
        <v>1</v>
      </c>
    </row>
    <row r="11" spans="1:11">
      <c r="A11" s="38" t="str">
        <f>HYPERLINK("https://kabutan.jp/stock/?code="&amp;"8604","8604")</f>
        <v>8604</v>
      </c>
      <c r="B11" s="67" t="s">
        <v>243</v>
      </c>
      <c r="C11" s="36">
        <v>0.5</v>
      </c>
      <c r="D11" s="39">
        <v>0.44366356060351131</v>
      </c>
      <c r="E11" s="56">
        <v>-2.1982248203182735</v>
      </c>
      <c r="F11" s="56">
        <v>7.9025016686050549</v>
      </c>
      <c r="G11" s="39">
        <v>0.44366356060351131</v>
      </c>
      <c r="H11" s="40">
        <v>1</v>
      </c>
      <c r="I11" s="40">
        <v>1</v>
      </c>
      <c r="J11" s="56">
        <v>-4.396449640636547</v>
      </c>
      <c r="K11" s="40">
        <v>2</v>
      </c>
    </row>
    <row r="12" spans="1:11">
      <c r="A12" s="38" t="str">
        <f>HYPERLINK("https://kabutan.jp/stock/?code="&amp;"6501","6501")</f>
        <v>6501</v>
      </c>
      <c r="B12" s="67" t="s">
        <v>243</v>
      </c>
      <c r="C12" s="36">
        <v>0</v>
      </c>
      <c r="D12" s="39">
        <v>0</v>
      </c>
      <c r="E12" s="56">
        <v>-34.645992848929382</v>
      </c>
      <c r="F12" s="56">
        <v>34.645992848929382</v>
      </c>
      <c r="G12" s="39">
        <v>0</v>
      </c>
      <c r="H12" s="40">
        <v>0</v>
      </c>
      <c r="I12" s="40">
        <v>1</v>
      </c>
      <c r="J12" s="56">
        <v>-34.645992848929382</v>
      </c>
      <c r="K12" s="40">
        <v>1</v>
      </c>
    </row>
    <row r="13" spans="1:11">
      <c r="A13" s="38" t="str">
        <f>HYPERLINK("https://kabutan.jp/stock/?code="&amp;"4063","4063")</f>
        <v>4063</v>
      </c>
      <c r="B13" s="67" t="s">
        <v>243</v>
      </c>
      <c r="C13" s="36">
        <v>1</v>
      </c>
      <c r="D13" s="39" t="s">
        <v>88</v>
      </c>
      <c r="E13" s="56">
        <v>29.057029681700897</v>
      </c>
      <c r="F13" s="56">
        <v>0</v>
      </c>
      <c r="G13" s="39" t="s">
        <v>88</v>
      </c>
      <c r="H13" s="40">
        <v>2</v>
      </c>
      <c r="I13" s="40">
        <v>0</v>
      </c>
      <c r="J13" s="56">
        <v>58.114059363401793</v>
      </c>
      <c r="K13" s="40">
        <v>2</v>
      </c>
    </row>
    <row r="14" spans="1:11">
      <c r="A14" s="38" t="str">
        <f>HYPERLINK("https://kabutan.jp/stock/?code="&amp;"4568","4568")</f>
        <v>4568</v>
      </c>
      <c r="B14" s="67" t="s">
        <v>243</v>
      </c>
      <c r="C14" s="36">
        <v>0</v>
      </c>
      <c r="D14" s="39">
        <v>0</v>
      </c>
      <c r="E14" s="56">
        <v>-26.283300410652373</v>
      </c>
      <c r="F14" s="56">
        <v>26.283300410652373</v>
      </c>
      <c r="G14" s="39">
        <v>0</v>
      </c>
      <c r="H14" s="40">
        <v>0</v>
      </c>
      <c r="I14" s="40">
        <v>1</v>
      </c>
      <c r="J14" s="56">
        <v>-26.283300410652373</v>
      </c>
      <c r="K14" s="40">
        <v>1</v>
      </c>
    </row>
    <row r="15" spans="1:11">
      <c r="A15" s="38" t="str">
        <f>HYPERLINK("https://kabutan.jp/stock/?code="&amp;"8001","8001")</f>
        <v>8001</v>
      </c>
      <c r="B15" s="67"/>
      <c r="C15" s="36">
        <v>1</v>
      </c>
      <c r="D15" s="39" t="s">
        <v>88</v>
      </c>
      <c r="E15" s="56">
        <v>13.520070550760465</v>
      </c>
      <c r="F15" s="56">
        <v>0</v>
      </c>
      <c r="G15" s="39" t="s">
        <v>88</v>
      </c>
      <c r="H15" s="40">
        <v>1</v>
      </c>
      <c r="I15" s="40">
        <v>0</v>
      </c>
      <c r="J15" s="56">
        <v>13.520070550760465</v>
      </c>
      <c r="K15" s="40">
        <v>1</v>
      </c>
    </row>
    <row r="16" spans="1:11">
      <c r="A16" s="38" t="str">
        <f>HYPERLINK("https://kabutan.jp/stock/?code="&amp;"6857","6857")</f>
        <v>6857</v>
      </c>
      <c r="B16" s="67" t="s">
        <v>243</v>
      </c>
      <c r="C16" s="36">
        <v>1</v>
      </c>
      <c r="D16" s="39" t="s">
        <v>88</v>
      </c>
      <c r="E16" s="56">
        <v>300.94926328844303</v>
      </c>
      <c r="F16" s="56">
        <v>0</v>
      </c>
      <c r="G16" s="39" t="s">
        <v>88</v>
      </c>
      <c r="H16" s="40">
        <v>2</v>
      </c>
      <c r="I16" s="40">
        <v>0</v>
      </c>
      <c r="J16" s="56">
        <v>601.89852657688607</v>
      </c>
      <c r="K16" s="40">
        <v>2</v>
      </c>
    </row>
    <row r="17" spans="1:11">
      <c r="A17" s="38" t="str">
        <f>HYPERLINK("https://kabutan.jp/stock/?code="&amp;"7974","7974")</f>
        <v>7974</v>
      </c>
      <c r="B17" s="67"/>
      <c r="C17" s="36">
        <v>0.5</v>
      </c>
      <c r="D17" s="39">
        <v>1.934523259010076</v>
      </c>
      <c r="E17" s="56">
        <v>16.655202386778001</v>
      </c>
      <c r="F17" s="56">
        <v>35.644275787037259</v>
      </c>
      <c r="G17" s="39">
        <v>1.934523259010076</v>
      </c>
      <c r="H17" s="40">
        <v>1</v>
      </c>
      <c r="I17" s="40">
        <v>1</v>
      </c>
      <c r="J17" s="56">
        <v>33.310404773556002</v>
      </c>
      <c r="K17" s="40">
        <v>2</v>
      </c>
    </row>
    <row r="18" spans="1:11">
      <c r="A18" s="38" t="str">
        <f>HYPERLINK("https://kabutan.jp/stock/?code="&amp;"6702","6702")</f>
        <v>6702</v>
      </c>
      <c r="B18" s="67"/>
      <c r="C18" s="36">
        <v>0</v>
      </c>
      <c r="D18" s="39">
        <v>0</v>
      </c>
      <c r="E18" s="56">
        <v>-32.803739910127661</v>
      </c>
      <c r="F18" s="56">
        <v>32.803739910127661</v>
      </c>
      <c r="G18" s="39">
        <v>0</v>
      </c>
      <c r="H18" s="40">
        <v>0</v>
      </c>
      <c r="I18" s="40">
        <v>1</v>
      </c>
      <c r="J18" s="56">
        <v>-32.803739910127661</v>
      </c>
      <c r="K18" s="40">
        <v>1</v>
      </c>
    </row>
    <row r="19" spans="1:11">
      <c r="A19" s="38" t="str">
        <f>HYPERLINK("https://kabutan.jp/stock/?code="&amp;"8316","8316")</f>
        <v>8316</v>
      </c>
      <c r="B19" s="67" t="s">
        <v>243</v>
      </c>
      <c r="C19" s="36">
        <v>0.5</v>
      </c>
      <c r="D19" s="39">
        <v>0.45034679904310942</v>
      </c>
      <c r="E19" s="56">
        <v>-14.106027138856007</v>
      </c>
      <c r="F19" s="56">
        <v>51.327008063625726</v>
      </c>
      <c r="G19" s="39">
        <v>0.45034679904310942</v>
      </c>
      <c r="H19" s="40">
        <v>1</v>
      </c>
      <c r="I19" s="40">
        <v>1</v>
      </c>
      <c r="J19" s="56">
        <v>-28.212054277712014</v>
      </c>
      <c r="K19" s="40">
        <v>2</v>
      </c>
    </row>
    <row r="20" spans="1:11">
      <c r="A20" s="38" t="str">
        <f>HYPERLINK("https://kabutan.jp/stock/?code="&amp;"4005","4005")</f>
        <v>4005</v>
      </c>
      <c r="B20" s="67"/>
      <c r="C20" s="36">
        <v>1</v>
      </c>
      <c r="D20" s="39" t="s">
        <v>88</v>
      </c>
      <c r="E20" s="56">
        <v>2.3716949807544552</v>
      </c>
      <c r="F20" s="56">
        <v>0</v>
      </c>
      <c r="G20" s="39" t="s">
        <v>88</v>
      </c>
      <c r="H20" s="40">
        <v>2</v>
      </c>
      <c r="I20" s="40">
        <v>0</v>
      </c>
      <c r="J20" s="56">
        <v>4.7433899615089103</v>
      </c>
      <c r="K20" s="40">
        <v>2</v>
      </c>
    </row>
    <row r="21" spans="1:11">
      <c r="A21" s="38" t="str">
        <f>HYPERLINK("https://kabutan.jp/stock/?code="&amp;"4188","4188")</f>
        <v>4188</v>
      </c>
      <c r="B21" s="67" t="s">
        <v>243</v>
      </c>
      <c r="C21" s="36">
        <v>0</v>
      </c>
      <c r="D21" s="39">
        <v>0</v>
      </c>
      <c r="E21" s="56">
        <v>-9.8686299909459194</v>
      </c>
      <c r="F21" s="56">
        <v>9.8686299909459194</v>
      </c>
      <c r="G21" s="39">
        <v>0</v>
      </c>
      <c r="H21" s="40">
        <v>0</v>
      </c>
      <c r="I21" s="40">
        <v>1</v>
      </c>
      <c r="J21" s="56">
        <v>-9.8686299909459194</v>
      </c>
      <c r="K21" s="40">
        <v>1</v>
      </c>
    </row>
    <row r="22" spans="1:11">
      <c r="A22" s="38" t="str">
        <f>HYPERLINK("https://kabutan.jp/stock/?code="&amp;"8411","8411")</f>
        <v>8411</v>
      </c>
      <c r="B22" s="67" t="s">
        <v>243</v>
      </c>
      <c r="C22" s="36">
        <v>0</v>
      </c>
      <c r="D22" s="39">
        <v>0</v>
      </c>
      <c r="E22" s="56">
        <v>-36.934435266644869</v>
      </c>
      <c r="F22" s="56">
        <v>73.868870533289737</v>
      </c>
      <c r="G22" s="39">
        <v>0</v>
      </c>
      <c r="H22" s="40">
        <v>0</v>
      </c>
      <c r="I22" s="40">
        <v>2</v>
      </c>
      <c r="J22" s="56">
        <v>-73.868870533289737</v>
      </c>
      <c r="K22" s="40">
        <v>2</v>
      </c>
    </row>
    <row r="23" spans="1:11">
      <c r="A23" s="38" t="str">
        <f>HYPERLINK("https://kabutan.jp/stock/?code="&amp;"9433","9433")</f>
        <v>9433</v>
      </c>
      <c r="B23" s="67"/>
      <c r="C23" s="36">
        <v>0</v>
      </c>
      <c r="D23" s="39">
        <v>0</v>
      </c>
      <c r="E23" s="56">
        <v>-17.15282489867559</v>
      </c>
      <c r="F23" s="56">
        <v>17.15282489867559</v>
      </c>
      <c r="G23" s="39">
        <v>0</v>
      </c>
      <c r="H23" s="40">
        <v>0</v>
      </c>
      <c r="I23" s="40">
        <v>1</v>
      </c>
      <c r="J23" s="56">
        <v>-17.15282489867559</v>
      </c>
      <c r="K23" s="40">
        <v>1</v>
      </c>
    </row>
    <row r="24" spans="1:11">
      <c r="A24" s="38" t="str">
        <f>HYPERLINK("https://kabutan.jp/stock/?code="&amp;"7532","7532")</f>
        <v>7532</v>
      </c>
      <c r="B24" s="67" t="s">
        <v>243</v>
      </c>
      <c r="C24" s="36">
        <v>0</v>
      </c>
      <c r="D24" s="39">
        <v>0</v>
      </c>
      <c r="E24" s="56">
        <v>-7.8925702370527233</v>
      </c>
      <c r="F24" s="56">
        <v>7.8925702370527233</v>
      </c>
      <c r="G24" s="39">
        <v>0</v>
      </c>
      <c r="H24" s="40">
        <v>0</v>
      </c>
      <c r="I24" s="40">
        <v>1</v>
      </c>
      <c r="J24" s="56">
        <v>-7.8925702370527233</v>
      </c>
      <c r="K24" s="40">
        <v>1</v>
      </c>
    </row>
    <row r="25" spans="1:11">
      <c r="A25" s="38" t="str">
        <f>HYPERLINK("https://kabutan.jp/stock/?code="&amp;"7012","7012")</f>
        <v>7012</v>
      </c>
      <c r="B25" s="67"/>
      <c r="C25" s="36">
        <v>0</v>
      </c>
      <c r="D25" s="39">
        <v>0</v>
      </c>
      <c r="E25" s="56">
        <v>-37.485973059344815</v>
      </c>
      <c r="F25" s="56">
        <v>37.485973059344815</v>
      </c>
      <c r="G25" s="39">
        <v>0</v>
      </c>
      <c r="H25" s="40">
        <v>0</v>
      </c>
      <c r="I25" s="40">
        <v>1</v>
      </c>
      <c r="J25" s="56">
        <v>-37.485973059344815</v>
      </c>
      <c r="K25" s="40">
        <v>1</v>
      </c>
    </row>
    <row r="26" spans="1:11">
      <c r="A26" s="38" t="str">
        <f>HYPERLINK("https://kabutan.jp/stock/?code="&amp;"8308","8308")</f>
        <v>8308</v>
      </c>
      <c r="B26" s="67" t="s">
        <v>243</v>
      </c>
      <c r="C26" s="36">
        <v>0.5</v>
      </c>
      <c r="D26" s="39">
        <v>0.85662200542620337</v>
      </c>
      <c r="E26" s="56">
        <v>-0.85942594696848573</v>
      </c>
      <c r="F26" s="56">
        <v>11.988254536872319</v>
      </c>
      <c r="G26" s="39">
        <v>0.85662200542620337</v>
      </c>
      <c r="H26" s="40">
        <v>1</v>
      </c>
      <c r="I26" s="40">
        <v>1</v>
      </c>
      <c r="J26" s="56">
        <v>-1.7188518939369715</v>
      </c>
      <c r="K26" s="40">
        <v>2</v>
      </c>
    </row>
    <row r="27" spans="1:11">
      <c r="A27" s="38" t="str">
        <f>HYPERLINK("https://kabutan.jp/stock/?code="&amp;"7182","7182")</f>
        <v>7182</v>
      </c>
      <c r="B27" s="67" t="s">
        <v>243</v>
      </c>
      <c r="C27" s="36">
        <v>0</v>
      </c>
      <c r="D27" s="39">
        <v>0</v>
      </c>
      <c r="E27" s="56">
        <v>-48.858951518266622</v>
      </c>
      <c r="F27" s="56">
        <v>48.858951518266622</v>
      </c>
      <c r="G27" s="39">
        <v>0</v>
      </c>
      <c r="H27" s="40">
        <v>0</v>
      </c>
      <c r="I27" s="40">
        <v>1</v>
      </c>
      <c r="J27" s="56">
        <v>-48.858951518266622</v>
      </c>
      <c r="K27" s="40">
        <v>1</v>
      </c>
    </row>
    <row r="28" spans="1:11">
      <c r="A28" s="38" t="str">
        <f>HYPERLINK("https://kabutan.jp/stock/?code="&amp;"8801","8801")</f>
        <v>8801</v>
      </c>
      <c r="B28" s="67" t="s">
        <v>243</v>
      </c>
      <c r="C28" s="36">
        <v>0.5</v>
      </c>
      <c r="D28" s="39">
        <v>2.3772667085869372</v>
      </c>
      <c r="E28" s="56">
        <v>3.1203913946702642</v>
      </c>
      <c r="F28" s="56">
        <v>4.5312812329163989</v>
      </c>
      <c r="G28" s="39">
        <v>2.3772667085869372</v>
      </c>
      <c r="H28" s="40">
        <v>1</v>
      </c>
      <c r="I28" s="40">
        <v>1</v>
      </c>
      <c r="J28" s="56">
        <v>6.2407827893405283</v>
      </c>
      <c r="K28" s="40">
        <v>2</v>
      </c>
    </row>
    <row r="29" spans="1:11">
      <c r="A29" s="38" t="str">
        <f>HYPERLINK("https://kabutan.jp/stock/?code="&amp;"6503","6503")</f>
        <v>6503</v>
      </c>
      <c r="B29" s="67" t="s">
        <v>243</v>
      </c>
      <c r="C29" s="36">
        <v>0</v>
      </c>
      <c r="D29" s="39">
        <v>0</v>
      </c>
      <c r="E29" s="56">
        <v>-29.734329201774926</v>
      </c>
      <c r="F29" s="56">
        <v>29.734329201774926</v>
      </c>
      <c r="G29" s="39">
        <v>0</v>
      </c>
      <c r="H29" s="40">
        <v>0</v>
      </c>
      <c r="I29" s="40">
        <v>1</v>
      </c>
      <c r="J29" s="56">
        <v>-29.734329201774926</v>
      </c>
      <c r="K29" s="40">
        <v>1</v>
      </c>
    </row>
    <row r="30" spans="1:11">
      <c r="A30" s="38" t="str">
        <f>HYPERLINK("https://kabutan.jp/stock/?code="&amp;"8410","8410")</f>
        <v>8410</v>
      </c>
      <c r="B30" s="67"/>
      <c r="C30" s="36">
        <v>0</v>
      </c>
      <c r="D30" s="39">
        <v>0</v>
      </c>
      <c r="E30" s="56">
        <v>-4.0349853035140768</v>
      </c>
      <c r="F30" s="56">
        <v>4.0349853035140768</v>
      </c>
      <c r="G30" s="39">
        <v>0</v>
      </c>
      <c r="H30" s="40">
        <v>0</v>
      </c>
      <c r="I30" s="40">
        <v>1</v>
      </c>
      <c r="J30" s="56">
        <v>-4.0349853035140768</v>
      </c>
      <c r="K30" s="40">
        <v>1</v>
      </c>
    </row>
    <row r="31" spans="1:11">
      <c r="A31" s="38" t="str">
        <f>HYPERLINK("https://kabutan.jp/stock/?code="&amp;"2181","2181")</f>
        <v>2181</v>
      </c>
      <c r="B31" s="67"/>
      <c r="C31" s="36">
        <v>1</v>
      </c>
      <c r="D31" s="39" t="s">
        <v>88</v>
      </c>
      <c r="E31" s="56">
        <v>3.6402184678857452</v>
      </c>
      <c r="F31" s="56">
        <v>0</v>
      </c>
      <c r="G31" s="39" t="s">
        <v>88</v>
      </c>
      <c r="H31" s="40">
        <v>1</v>
      </c>
      <c r="I31" s="40">
        <v>0</v>
      </c>
      <c r="J31" s="56">
        <v>3.6402184678857452</v>
      </c>
      <c r="K31" s="40">
        <v>1</v>
      </c>
    </row>
    <row r="32" spans="1:11">
      <c r="A32" s="38" t="str">
        <f>HYPERLINK("https://kabutan.jp/stock/?code="&amp;"5020","5020")</f>
        <v>5020</v>
      </c>
      <c r="B32" s="67" t="s">
        <v>243</v>
      </c>
      <c r="C32" s="36">
        <v>0</v>
      </c>
      <c r="D32" s="39">
        <v>0</v>
      </c>
      <c r="E32" s="56">
        <v>-20.626020746439963</v>
      </c>
      <c r="F32" s="56">
        <v>20.626020746439963</v>
      </c>
      <c r="G32" s="39">
        <v>0</v>
      </c>
      <c r="H32" s="40">
        <v>0</v>
      </c>
      <c r="I32" s="40">
        <v>1</v>
      </c>
      <c r="J32" s="56">
        <v>-20.626020746439963</v>
      </c>
      <c r="K32" s="40">
        <v>1</v>
      </c>
    </row>
    <row r="33" spans="1:11">
      <c r="A33" s="38" t="str">
        <f>HYPERLINK("https://kabutan.jp/stock/?code="&amp;"8750","8750")</f>
        <v>8750</v>
      </c>
      <c r="B33" s="67" t="s">
        <v>243</v>
      </c>
      <c r="C33" s="36">
        <v>1</v>
      </c>
      <c r="D33" s="39" t="s">
        <v>88</v>
      </c>
      <c r="E33" s="56">
        <v>16</v>
      </c>
      <c r="F33" s="56">
        <v>0</v>
      </c>
      <c r="G33" s="39" t="s">
        <v>88</v>
      </c>
      <c r="H33" s="40">
        <v>1</v>
      </c>
      <c r="I33" s="40">
        <v>0</v>
      </c>
      <c r="J33" s="56">
        <v>16</v>
      </c>
      <c r="K33" s="40">
        <v>1</v>
      </c>
    </row>
    <row r="34" spans="1:11">
      <c r="A34" s="38" t="str">
        <f>HYPERLINK("https://kabutan.jp/stock/?code="&amp;"7269","7269")</f>
        <v>7269</v>
      </c>
      <c r="B34" s="67"/>
      <c r="C34" s="36">
        <v>0</v>
      </c>
      <c r="D34" s="39">
        <v>0</v>
      </c>
      <c r="E34" s="56">
        <v>-21.683487240690056</v>
      </c>
      <c r="F34" s="56">
        <v>21.683487240690056</v>
      </c>
      <c r="G34" s="39">
        <v>0</v>
      </c>
      <c r="H34" s="40">
        <v>0</v>
      </c>
      <c r="I34" s="40">
        <v>1</v>
      </c>
      <c r="J34" s="56">
        <v>-21.683487240690056</v>
      </c>
      <c r="K34" s="40">
        <v>1</v>
      </c>
    </row>
    <row r="35" spans="1:11">
      <c r="A35" s="38" t="str">
        <f>HYPERLINK("https://kabutan.jp/stock/?code="&amp;"8113","8113")</f>
        <v>8113</v>
      </c>
      <c r="B35" s="67"/>
      <c r="C35" s="36">
        <v>0.5</v>
      </c>
      <c r="D35" s="39">
        <v>0.66254352051481313</v>
      </c>
      <c r="E35" s="56">
        <v>-0.97212444271900722</v>
      </c>
      <c r="F35" s="56">
        <v>5.7614803793487681</v>
      </c>
      <c r="G35" s="39">
        <v>0.66254352051481313</v>
      </c>
      <c r="H35" s="40">
        <v>1</v>
      </c>
      <c r="I35" s="40">
        <v>1</v>
      </c>
      <c r="J35" s="56">
        <v>-1.9442488854380144</v>
      </c>
      <c r="K35" s="40">
        <v>2</v>
      </c>
    </row>
    <row r="36" spans="1:11">
      <c r="A36" s="38" t="str">
        <f>HYPERLINK("https://kabutan.jp/stock/?code="&amp;"6963","6963")</f>
        <v>6963</v>
      </c>
      <c r="B36" s="57"/>
      <c r="C36" s="36">
        <v>1</v>
      </c>
      <c r="D36" s="39" t="s">
        <v>88</v>
      </c>
      <c r="E36" s="56">
        <v>51.241302714334779</v>
      </c>
      <c r="F36" s="56">
        <v>0</v>
      </c>
      <c r="G36" s="39" t="s">
        <v>88</v>
      </c>
      <c r="H36" s="40">
        <v>1</v>
      </c>
      <c r="I36" s="40">
        <v>0</v>
      </c>
      <c r="J36" s="56">
        <v>51.241302714334779</v>
      </c>
      <c r="K36" s="40">
        <v>1</v>
      </c>
    </row>
    <row r="37" spans="1:11">
      <c r="A37" s="38" t="str">
        <f>HYPERLINK("https://kabutan.jp/stock/?code="&amp;"3697","3697")</f>
        <v>3697</v>
      </c>
      <c r="B37" s="57" t="s">
        <v>243</v>
      </c>
      <c r="C37" s="36">
        <v>1</v>
      </c>
      <c r="D37" s="39" t="s">
        <v>88</v>
      </c>
      <c r="E37" s="56">
        <v>13.551853352967669</v>
      </c>
      <c r="F37" s="56">
        <v>0</v>
      </c>
      <c r="G37" s="39" t="s">
        <v>88</v>
      </c>
      <c r="H37" s="40">
        <v>1</v>
      </c>
      <c r="I37" s="40">
        <v>0</v>
      </c>
      <c r="J37" s="56">
        <v>13.551853352967669</v>
      </c>
      <c r="K37" s="40">
        <v>1</v>
      </c>
    </row>
    <row r="38" spans="1:11">
      <c r="A38" s="38" t="str">
        <f>HYPERLINK("https://kabutan.jp/stock/?code="&amp;"4503","4503")</f>
        <v>4503</v>
      </c>
      <c r="B38" s="57"/>
      <c r="C38" s="36">
        <v>0</v>
      </c>
      <c r="D38" s="39">
        <v>0</v>
      </c>
      <c r="E38" s="56">
        <v>-20.310782248999203</v>
      </c>
      <c r="F38" s="56">
        <v>20.310782248999203</v>
      </c>
      <c r="G38" s="39">
        <v>0</v>
      </c>
      <c r="H38" s="40">
        <v>0</v>
      </c>
      <c r="I38" s="40">
        <v>1</v>
      </c>
      <c r="J38" s="56">
        <v>-20.310782248999203</v>
      </c>
      <c r="K38" s="40">
        <v>1</v>
      </c>
    </row>
    <row r="39" spans="1:11">
      <c r="A39" s="38" t="str">
        <f>HYPERLINK("https://kabutan.jp/stock/?code="&amp;"8601","8601")</f>
        <v>8601</v>
      </c>
      <c r="B39" s="57" t="s">
        <v>243</v>
      </c>
      <c r="C39" s="36">
        <v>0</v>
      </c>
      <c r="D39" s="39">
        <v>0</v>
      </c>
      <c r="E39" s="56">
        <v>-10.002837652636345</v>
      </c>
      <c r="F39" s="56">
        <v>10.002837652636345</v>
      </c>
      <c r="G39" s="39">
        <v>0</v>
      </c>
      <c r="H39" s="40">
        <v>0</v>
      </c>
      <c r="I39" s="40">
        <v>1</v>
      </c>
      <c r="J39" s="56">
        <v>-10.002837652636345</v>
      </c>
      <c r="K39" s="40">
        <v>1</v>
      </c>
    </row>
    <row r="40" spans="1:11">
      <c r="A40" s="38" t="str">
        <f>HYPERLINK("https://kabutan.jp/stock/?code="&amp;"4502","4502")</f>
        <v>4502</v>
      </c>
      <c r="B40" s="57" t="s">
        <v>243</v>
      </c>
      <c r="C40" s="36">
        <v>0</v>
      </c>
      <c r="D40" s="39">
        <v>0</v>
      </c>
      <c r="E40" s="56">
        <v>-22.731385978356229</v>
      </c>
      <c r="F40" s="56">
        <v>22.731385978356229</v>
      </c>
      <c r="G40" s="39">
        <v>0</v>
      </c>
      <c r="H40" s="40">
        <v>0</v>
      </c>
      <c r="I40" s="40">
        <v>1</v>
      </c>
      <c r="J40" s="56">
        <v>-22.731385978356229</v>
      </c>
      <c r="K40" s="40">
        <v>1</v>
      </c>
    </row>
    <row r="41" spans="1:11">
      <c r="A41" s="38" t="str">
        <f>HYPERLINK("https://kabutan.jp/stock/?code="&amp;"8593","8593")</f>
        <v>8593</v>
      </c>
      <c r="B41" s="57" t="s">
        <v>243</v>
      </c>
      <c r="C41" s="36">
        <v>0.5</v>
      </c>
      <c r="D41" s="39">
        <v>0.23791324208973436</v>
      </c>
      <c r="E41" s="56">
        <v>-4.9655126408640626</v>
      </c>
      <c r="F41" s="56">
        <v>13.031357884973886</v>
      </c>
      <c r="G41" s="39">
        <v>0.23791324208973436</v>
      </c>
      <c r="H41" s="40">
        <v>1</v>
      </c>
      <c r="I41" s="40">
        <v>1</v>
      </c>
      <c r="J41" s="56">
        <v>-9.9310252817281253</v>
      </c>
      <c r="K41" s="40">
        <v>2</v>
      </c>
    </row>
    <row r="42" spans="1:11">
      <c r="A42" s="38" t="str">
        <f>HYPERLINK("https://kabutan.jp/stock/?code="&amp;"1942","1942")</f>
        <v>1942</v>
      </c>
      <c r="B42" s="57" t="s">
        <v>243</v>
      </c>
      <c r="C42" s="36">
        <v>0</v>
      </c>
      <c r="D42" s="39">
        <v>0</v>
      </c>
      <c r="E42" s="56">
        <v>-45.150563104421963</v>
      </c>
      <c r="F42" s="56">
        <v>45.150563104421963</v>
      </c>
      <c r="G42" s="39">
        <v>0</v>
      </c>
      <c r="H42" s="40">
        <v>0</v>
      </c>
      <c r="I42" s="40">
        <v>1</v>
      </c>
      <c r="J42" s="56">
        <v>-45.150563104421963</v>
      </c>
      <c r="K42" s="40">
        <v>1</v>
      </c>
    </row>
    <row r="43" spans="1:11">
      <c r="A43" s="38" t="str">
        <f>HYPERLINK("https://kabutan.jp/stock/?code="&amp;"6178","6178")</f>
        <v>6178</v>
      </c>
      <c r="B43" s="57" t="s">
        <v>243</v>
      </c>
      <c r="C43" s="36">
        <v>0</v>
      </c>
      <c r="D43" s="39">
        <v>0</v>
      </c>
      <c r="E43" s="56">
        <v>-23.330445275948932</v>
      </c>
      <c r="F43" s="56">
        <v>23.330445275948932</v>
      </c>
      <c r="G43" s="39">
        <v>0</v>
      </c>
      <c r="H43" s="40">
        <v>0</v>
      </c>
      <c r="I43" s="40">
        <v>1</v>
      </c>
      <c r="J43" s="56">
        <v>-23.330445275948932</v>
      </c>
      <c r="K43" s="40">
        <v>1</v>
      </c>
    </row>
    <row r="44" spans="1:11">
      <c r="A44" s="38" t="str">
        <f>HYPERLINK("https://kabutan.jp/stock/?code="&amp;"7272","7272")</f>
        <v>7272</v>
      </c>
      <c r="B44" s="57"/>
      <c r="C44" s="36">
        <v>0</v>
      </c>
      <c r="D44" s="39">
        <v>0</v>
      </c>
      <c r="E44" s="56">
        <v>-34.992003556824329</v>
      </c>
      <c r="F44" s="56">
        <v>34.992003556824329</v>
      </c>
      <c r="G44" s="39">
        <v>0</v>
      </c>
      <c r="H44" s="40">
        <v>0</v>
      </c>
      <c r="I44" s="40">
        <v>1</v>
      </c>
      <c r="J44" s="56">
        <v>-34.992003556824329</v>
      </c>
      <c r="K44" s="40">
        <v>1</v>
      </c>
    </row>
    <row r="45" spans="1:11">
      <c r="A45" s="38" t="str">
        <f>HYPERLINK("https://kabutan.jp/stock/?code="&amp;"5938","5938")</f>
        <v>5938</v>
      </c>
      <c r="B45" s="57" t="s">
        <v>243</v>
      </c>
      <c r="C45" s="36">
        <v>0</v>
      </c>
      <c r="D45" s="39">
        <v>0</v>
      </c>
      <c r="E45" s="56">
        <v>-7.4217843005112627</v>
      </c>
      <c r="F45" s="56">
        <v>7.4217843005112627</v>
      </c>
      <c r="G45" s="39">
        <v>0</v>
      </c>
      <c r="H45" s="40">
        <v>0</v>
      </c>
      <c r="I45" s="40">
        <v>1</v>
      </c>
      <c r="J45" s="56">
        <v>-7.4217843005112627</v>
      </c>
      <c r="K45" s="40">
        <v>1</v>
      </c>
    </row>
    <row r="46" spans="1:11">
      <c r="A46" s="38" t="str">
        <f>HYPERLINK("https://kabutan.jp/stock/?code="&amp;"5802","5802")</f>
        <v>5802</v>
      </c>
      <c r="B46" s="57" t="s">
        <v>243</v>
      </c>
      <c r="C46" s="36">
        <v>1</v>
      </c>
      <c r="D46" s="39" t="s">
        <v>88</v>
      </c>
      <c r="E46" s="56">
        <v>26.034746193545288</v>
      </c>
      <c r="F46" s="56">
        <v>0</v>
      </c>
      <c r="G46" s="39" t="s">
        <v>88</v>
      </c>
      <c r="H46" s="40">
        <v>1</v>
      </c>
      <c r="I46" s="40">
        <v>0</v>
      </c>
      <c r="J46" s="56">
        <v>26.034746193545288</v>
      </c>
      <c r="K46" s="40">
        <v>1</v>
      </c>
    </row>
    <row r="47" spans="1:11">
      <c r="A47" s="38" t="str">
        <f>HYPERLINK("https://kabutan.jp/stock/?code="&amp;"6758","6758")</f>
        <v>6758</v>
      </c>
      <c r="B47" s="57" t="s">
        <v>243</v>
      </c>
      <c r="C47" s="36">
        <v>1</v>
      </c>
      <c r="D47" s="39" t="s">
        <v>88</v>
      </c>
      <c r="E47" s="56">
        <v>39.95580575895292</v>
      </c>
      <c r="F47" s="56">
        <v>0</v>
      </c>
      <c r="G47" s="39" t="s">
        <v>88</v>
      </c>
      <c r="H47" s="40">
        <v>1</v>
      </c>
      <c r="I47" s="40">
        <v>0</v>
      </c>
      <c r="J47" s="56">
        <v>39.95580575895292</v>
      </c>
      <c r="K47" s="40">
        <v>1</v>
      </c>
    </row>
    <row r="48" spans="1:11">
      <c r="A48" s="38" t="str">
        <f>HYPERLINK("https://kabutan.jp/stock/?code="&amp;"7203","7203")</f>
        <v>7203</v>
      </c>
      <c r="B48" s="57" t="s">
        <v>243</v>
      </c>
      <c r="C48" s="36">
        <v>0</v>
      </c>
      <c r="D48" s="39">
        <v>0</v>
      </c>
      <c r="E48" s="56">
        <v>-6.5596425357230146</v>
      </c>
      <c r="F48" s="56">
        <v>6.5596425357230146</v>
      </c>
      <c r="G48" s="39">
        <v>0</v>
      </c>
      <c r="H48" s="40">
        <v>0</v>
      </c>
      <c r="I48" s="40">
        <v>1</v>
      </c>
      <c r="J48" s="56">
        <v>-6.5596425357230146</v>
      </c>
      <c r="K48" s="40">
        <v>1</v>
      </c>
    </row>
    <row r="49" spans="1:11">
      <c r="A49" s="38" t="str">
        <f>HYPERLINK("https://kabutan.jp/stock/?code="&amp;"7011","7011")</f>
        <v>7011</v>
      </c>
      <c r="B49" s="57" t="s">
        <v>243</v>
      </c>
      <c r="C49" s="36">
        <v>0</v>
      </c>
      <c r="D49" s="39">
        <v>0</v>
      </c>
      <c r="E49" s="56">
        <v>-16.756487608324733</v>
      </c>
      <c r="F49" s="56">
        <v>16.756487608324733</v>
      </c>
      <c r="G49" s="39">
        <v>0</v>
      </c>
      <c r="H49" s="40">
        <v>0</v>
      </c>
      <c r="I49" s="40">
        <v>1</v>
      </c>
      <c r="J49" s="56">
        <v>-16.756487608324733</v>
      </c>
      <c r="K49" s="40">
        <v>1</v>
      </c>
    </row>
    <row r="50" spans="1:11">
      <c r="A50" s="38" t="str">
        <f>HYPERLINK("https://kabutan.jp/stock/?code="&amp;"8309","8309")</f>
        <v>8309</v>
      </c>
      <c r="B50" s="57" t="s">
        <v>243</v>
      </c>
      <c r="C50" s="36">
        <v>1</v>
      </c>
      <c r="D50" s="39" t="s">
        <v>88</v>
      </c>
      <c r="E50" s="56">
        <v>6.2109584405125133</v>
      </c>
      <c r="F50" s="56">
        <v>0</v>
      </c>
      <c r="G50" s="39" t="s">
        <v>88</v>
      </c>
      <c r="H50" s="40">
        <v>1</v>
      </c>
      <c r="I50" s="40">
        <v>0</v>
      </c>
      <c r="J50" s="56">
        <v>6.2109584405125133</v>
      </c>
      <c r="K50" s="40">
        <v>1</v>
      </c>
    </row>
    <row r="51" spans="1:11">
      <c r="A51" s="38" t="str">
        <f>HYPERLINK("https://kabutan.jp/stock/?code="&amp;"7013","7013")</f>
        <v>7013</v>
      </c>
      <c r="B51" s="57" t="s">
        <v>243</v>
      </c>
      <c r="C51" s="36">
        <v>0</v>
      </c>
      <c r="D51" s="39">
        <v>0</v>
      </c>
      <c r="E51" s="56">
        <v>-15.529762635766474</v>
      </c>
      <c r="F51" s="56">
        <v>15.529762635766474</v>
      </c>
      <c r="G51" s="39">
        <v>0</v>
      </c>
      <c r="H51" s="40">
        <v>0</v>
      </c>
      <c r="I51" s="40">
        <v>1</v>
      </c>
      <c r="J51" s="56">
        <v>-15.529762635766474</v>
      </c>
      <c r="K51" s="40">
        <v>1</v>
      </c>
    </row>
    <row r="52" spans="1:11">
      <c r="A52" s="38" t="str">
        <f>HYPERLINK("https://kabutan.jp/stock/?code="&amp;"8035","8035")</f>
        <v>8035</v>
      </c>
      <c r="B52" s="57" t="s">
        <v>243</v>
      </c>
      <c r="C52" s="36">
        <v>1</v>
      </c>
      <c r="D52" s="39" t="s">
        <v>88</v>
      </c>
      <c r="E52" s="56">
        <v>289.58042496147391</v>
      </c>
      <c r="F52" s="56">
        <v>0</v>
      </c>
      <c r="G52" s="39" t="s">
        <v>88</v>
      </c>
      <c r="H52" s="40">
        <v>1</v>
      </c>
      <c r="I52" s="40">
        <v>0</v>
      </c>
      <c r="J52" s="56">
        <v>289.58042496147391</v>
      </c>
      <c r="K52" s="40">
        <v>1</v>
      </c>
    </row>
    <row r="53" spans="1:11">
      <c r="A53" s="38" t="str">
        <f>HYPERLINK("https://kabutan.jp/stock/?code="&amp;"3407","3407")</f>
        <v>3407</v>
      </c>
      <c r="B53" s="57" t="s">
        <v>243</v>
      </c>
      <c r="C53" s="36">
        <v>0</v>
      </c>
      <c r="D53" s="39">
        <v>0</v>
      </c>
      <c r="E53" s="56">
        <v>-5.3394093597819392</v>
      </c>
      <c r="F53" s="56">
        <v>5.3394093597819392</v>
      </c>
      <c r="G53" s="39">
        <v>0</v>
      </c>
      <c r="H53" s="40">
        <v>0</v>
      </c>
      <c r="I53" s="40">
        <v>1</v>
      </c>
      <c r="J53" s="56">
        <v>-5.3394093597819392</v>
      </c>
      <c r="K53" s="40">
        <v>1</v>
      </c>
    </row>
    <row r="54" spans="1:11">
      <c r="A54" s="38" t="str">
        <f>HYPERLINK("https://kabutan.jp/stock/?code="&amp;"2914","2914")</f>
        <v>2914</v>
      </c>
      <c r="B54" s="57" t="s">
        <v>243</v>
      </c>
      <c r="C54" s="36">
        <v>1</v>
      </c>
      <c r="D54" s="39" t="s">
        <v>88</v>
      </c>
      <c r="E54" s="56">
        <v>16.588828545923207</v>
      </c>
      <c r="F54" s="56">
        <v>0</v>
      </c>
      <c r="G54" s="39" t="s">
        <v>88</v>
      </c>
      <c r="H54" s="40">
        <v>1</v>
      </c>
      <c r="I54" s="40">
        <v>0</v>
      </c>
      <c r="J54" s="56">
        <v>16.588828545923207</v>
      </c>
      <c r="K54" s="40">
        <v>1</v>
      </c>
    </row>
    <row r="55" spans="1:11">
      <c r="A55" s="38" t="str">
        <f>HYPERLINK("https://kabutan.jp/stock/?code="&amp;"8473","8473")</f>
        <v>8473</v>
      </c>
      <c r="B55" s="57"/>
      <c r="C55" s="36">
        <v>1</v>
      </c>
      <c r="D55" s="39" t="s">
        <v>88</v>
      </c>
      <c r="E55" s="56">
        <v>9.2843422052692404</v>
      </c>
      <c r="F55" s="56">
        <v>0</v>
      </c>
      <c r="G55" s="39" t="s">
        <v>88</v>
      </c>
      <c r="H55" s="40">
        <v>1</v>
      </c>
      <c r="I55" s="40">
        <v>0</v>
      </c>
      <c r="J55" s="56">
        <v>9.2843422052692404</v>
      </c>
      <c r="K55" s="40">
        <v>1</v>
      </c>
    </row>
    <row r="56" spans="1:11">
      <c r="A56" s="38" t="str">
        <f>HYPERLINK("https://kabutan.jp/stock/?code="&amp;"6701","6701")</f>
        <v>6701</v>
      </c>
      <c r="B56" s="57" t="s">
        <v>243</v>
      </c>
      <c r="C56" s="36">
        <v>0</v>
      </c>
      <c r="D56" s="39">
        <v>0</v>
      </c>
      <c r="E56" s="56">
        <v>-25.826369067742235</v>
      </c>
      <c r="F56" s="56">
        <v>25.826369067742235</v>
      </c>
      <c r="G56" s="39">
        <v>0</v>
      </c>
      <c r="H56" s="40">
        <v>0</v>
      </c>
      <c r="I56" s="40">
        <v>1</v>
      </c>
      <c r="J56" s="56">
        <v>-25.826369067742235</v>
      </c>
      <c r="K56" s="40">
        <v>1</v>
      </c>
    </row>
    <row r="57" spans="1:11">
      <c r="A57" s="38" t="str">
        <f>HYPERLINK("https://kabutan.jp/stock/?code="&amp;"3861","3861")</f>
        <v>3861</v>
      </c>
      <c r="B57" s="57" t="s">
        <v>243</v>
      </c>
      <c r="C57" s="36">
        <v>0</v>
      </c>
      <c r="D57" s="39">
        <v>0</v>
      </c>
      <c r="E57" s="56">
        <v>-2.151136544794781</v>
      </c>
      <c r="F57" s="56">
        <v>2.151136544794781</v>
      </c>
      <c r="G57" s="39">
        <v>0</v>
      </c>
      <c r="H57" s="40">
        <v>0</v>
      </c>
      <c r="I57" s="40">
        <v>1</v>
      </c>
      <c r="J57" s="56">
        <v>-2.151136544794781</v>
      </c>
      <c r="K57" s="40">
        <v>1</v>
      </c>
    </row>
    <row r="58" spans="1:11">
      <c r="A58" s="38" t="str">
        <f>HYPERLINK("https://kabutan.jp/stock/?code="&amp;"2413","2413")</f>
        <v>2413</v>
      </c>
      <c r="B58" s="57"/>
      <c r="C58" s="36">
        <v>0</v>
      </c>
      <c r="D58" s="39">
        <v>0</v>
      </c>
      <c r="E58" s="56">
        <v>-16.826526070713498</v>
      </c>
      <c r="F58" s="56">
        <v>16.826526070713498</v>
      </c>
      <c r="G58" s="39">
        <v>0</v>
      </c>
      <c r="H58" s="40">
        <v>0</v>
      </c>
      <c r="I58" s="40">
        <v>1</v>
      </c>
      <c r="J58" s="56">
        <v>-16.826526070713498</v>
      </c>
      <c r="K58" s="40">
        <v>1</v>
      </c>
    </row>
    <row r="59" spans="1:11">
      <c r="A59" s="38" t="str">
        <f>HYPERLINK("https://kabutan.jp/stock/?code="&amp;"4307","4307")</f>
        <v>4307</v>
      </c>
      <c r="B59" s="57" t="s">
        <v>243</v>
      </c>
      <c r="C59" s="36">
        <v>0</v>
      </c>
      <c r="D59" s="39">
        <v>0</v>
      </c>
      <c r="E59" s="56">
        <v>-20.444793791337361</v>
      </c>
      <c r="F59" s="56">
        <v>20.444793791337361</v>
      </c>
      <c r="G59" s="39">
        <v>0</v>
      </c>
      <c r="H59" s="40">
        <v>0</v>
      </c>
      <c r="I59" s="40">
        <v>1</v>
      </c>
      <c r="J59" s="56">
        <v>-20.444793791337361</v>
      </c>
      <c r="K59" s="40">
        <v>1</v>
      </c>
    </row>
    <row r="60" spans="1:11">
      <c r="A60" s="38" t="str">
        <f>HYPERLINK("https://kabutan.jp/stock/?code="&amp;"3110","3110")</f>
        <v>3110</v>
      </c>
      <c r="B60" s="57" t="s">
        <v>243</v>
      </c>
      <c r="C60" s="36">
        <v>1</v>
      </c>
      <c r="D60" s="39" t="s">
        <v>88</v>
      </c>
      <c r="E60" s="56">
        <v>27.905123315765195</v>
      </c>
      <c r="F60" s="56">
        <v>0</v>
      </c>
      <c r="G60" s="39" t="s">
        <v>88</v>
      </c>
      <c r="H60" s="40">
        <v>1</v>
      </c>
      <c r="I60" s="40">
        <v>0</v>
      </c>
      <c r="J60" s="56">
        <v>27.905123315765195</v>
      </c>
      <c r="K60" s="40">
        <v>1</v>
      </c>
    </row>
    <row r="61" spans="1:11">
      <c r="A61" s="38" t="str">
        <f>HYPERLINK("https://kabutan.jp/stock/?code="&amp;"2802","2802")</f>
        <v>2802</v>
      </c>
      <c r="B61" s="57" t="s">
        <v>243</v>
      </c>
      <c r="C61" s="36">
        <v>1</v>
      </c>
      <c r="D61" s="39" t="s">
        <v>88</v>
      </c>
      <c r="E61" s="56">
        <v>31.548132433165847</v>
      </c>
      <c r="F61" s="56">
        <v>0</v>
      </c>
      <c r="G61" s="39" t="s">
        <v>88</v>
      </c>
      <c r="H61" s="40">
        <v>1</v>
      </c>
      <c r="I61" s="40">
        <v>0</v>
      </c>
      <c r="J61" s="56">
        <v>31.548132433165847</v>
      </c>
      <c r="K61" s="40">
        <v>1</v>
      </c>
    </row>
    <row r="62" spans="1:11">
      <c r="A62" s="38" t="str">
        <f>HYPERLINK("https://kabutan.jp/stock/?code="&amp;"6762","6762")</f>
        <v>6762</v>
      </c>
      <c r="B62" s="57" t="s">
        <v>243</v>
      </c>
      <c r="C62" s="36">
        <v>1</v>
      </c>
      <c r="D62" s="39" t="s">
        <v>88</v>
      </c>
      <c r="E62" s="56">
        <v>15.160824256112392</v>
      </c>
      <c r="F62" s="56">
        <v>0</v>
      </c>
      <c r="G62" s="39" t="s">
        <v>88</v>
      </c>
      <c r="H62" s="40">
        <v>1</v>
      </c>
      <c r="I62" s="40">
        <v>0</v>
      </c>
      <c r="J62" s="56">
        <v>15.160824256112392</v>
      </c>
      <c r="K62" s="40">
        <v>1</v>
      </c>
    </row>
    <row r="63" spans="1:11">
      <c r="A63" s="38" t="str">
        <f>HYPERLINK("https://kabutan.jp/stock/?code="&amp;"3436","3436")</f>
        <v>3436</v>
      </c>
      <c r="B63" s="57" t="s">
        <v>243</v>
      </c>
      <c r="C63" s="36">
        <v>1</v>
      </c>
      <c r="D63" s="39" t="s">
        <v>88</v>
      </c>
      <c r="E63" s="56">
        <v>41.513832304691277</v>
      </c>
      <c r="F63" s="56">
        <v>0</v>
      </c>
      <c r="G63" s="39" t="s">
        <v>88</v>
      </c>
      <c r="H63" s="40">
        <v>1</v>
      </c>
      <c r="I63" s="40">
        <v>0</v>
      </c>
      <c r="J63" s="56">
        <v>41.513832304691277</v>
      </c>
      <c r="K63" s="40">
        <v>1</v>
      </c>
    </row>
    <row r="64" spans="1:11">
      <c r="A64" s="38" t="str">
        <f>HYPERLINK("https://kabutan.jp/stock/?code="&amp;"8303","8303")</f>
        <v>8303</v>
      </c>
      <c r="B64" s="57" t="s">
        <v>243</v>
      </c>
      <c r="C64" s="36">
        <v>0</v>
      </c>
      <c r="D64" s="39">
        <v>0</v>
      </c>
      <c r="E64" s="56">
        <v>-5.9442608743577239</v>
      </c>
      <c r="F64" s="56">
        <v>5.9442608743577239</v>
      </c>
      <c r="G64" s="39">
        <v>0</v>
      </c>
      <c r="H64" s="40">
        <v>0</v>
      </c>
      <c r="I64" s="40">
        <v>1</v>
      </c>
      <c r="J64" s="56">
        <v>-5.9442608743577239</v>
      </c>
      <c r="K64" s="40">
        <v>1</v>
      </c>
    </row>
    <row r="65" spans="1:11">
      <c r="A65" s="38" t="str">
        <f>HYPERLINK("https://kabutan.jp/stock/?code="&amp;"7735","7735")</f>
        <v>7735</v>
      </c>
      <c r="B65" s="57" t="s">
        <v>243</v>
      </c>
      <c r="C65" s="36">
        <v>1</v>
      </c>
      <c r="D65" s="39" t="s">
        <v>88</v>
      </c>
      <c r="E65" s="56">
        <v>99.561249927894096</v>
      </c>
      <c r="F65" s="56">
        <v>0</v>
      </c>
      <c r="G65" s="39" t="s">
        <v>88</v>
      </c>
      <c r="H65" s="40">
        <v>1</v>
      </c>
      <c r="I65" s="40">
        <v>0</v>
      </c>
      <c r="J65" s="56">
        <v>99.561249927894096</v>
      </c>
      <c r="K65" s="40">
        <v>1</v>
      </c>
    </row>
    <row r="66" spans="1:11">
      <c r="A66" s="38" t="str">
        <f>HYPERLINK("https://kabutan.jp/stock/?code="&amp;"6506","6506")</f>
        <v>6506</v>
      </c>
      <c r="B66" s="57" t="s">
        <v>243</v>
      </c>
      <c r="C66" s="36">
        <v>0</v>
      </c>
      <c r="D66" s="39">
        <v>0</v>
      </c>
      <c r="E66" s="56">
        <v>-30.003709095891281</v>
      </c>
      <c r="F66" s="56">
        <v>30.003709095891281</v>
      </c>
      <c r="G66" s="39">
        <v>0</v>
      </c>
      <c r="H66" s="40">
        <v>0</v>
      </c>
      <c r="I66" s="40">
        <v>1</v>
      </c>
      <c r="J66" s="56">
        <v>-30.003709095891281</v>
      </c>
      <c r="K66" s="40">
        <v>1</v>
      </c>
    </row>
    <row r="67" spans="1:11">
      <c r="A67" s="38" t="str">
        <f>HYPERLINK("https://kabutan.jp/stock/?code="&amp;"4755","4755")</f>
        <v>4755</v>
      </c>
      <c r="B67" s="57"/>
      <c r="C67" s="36">
        <v>1</v>
      </c>
      <c r="D67" s="39" t="s">
        <v>88</v>
      </c>
      <c r="E67" s="56">
        <v>4.934457466695676</v>
      </c>
      <c r="F67" s="56">
        <v>0</v>
      </c>
      <c r="G67" s="39" t="s">
        <v>88</v>
      </c>
      <c r="H67" s="40">
        <v>1</v>
      </c>
      <c r="I67" s="40">
        <v>0</v>
      </c>
      <c r="J67" s="56">
        <v>4.934457466695676</v>
      </c>
      <c r="K67" s="40">
        <v>1</v>
      </c>
    </row>
    <row r="68" spans="1:11">
      <c r="A68" s="38" t="str">
        <f>HYPERLINK("https://kabutan.jp/stock/?code="&amp;"6971","6971")</f>
        <v>6971</v>
      </c>
      <c r="B68" s="57"/>
      <c r="C68" s="36">
        <v>1</v>
      </c>
      <c r="D68" s="39" t="s">
        <v>88</v>
      </c>
      <c r="E68" s="56">
        <v>14.442268193618929</v>
      </c>
      <c r="F68" s="56">
        <v>0</v>
      </c>
      <c r="G68" s="39" t="s">
        <v>88</v>
      </c>
      <c r="H68" s="40">
        <v>1</v>
      </c>
      <c r="I68" s="40">
        <v>0</v>
      </c>
      <c r="J68" s="56">
        <v>14.442268193618929</v>
      </c>
      <c r="K68" s="40">
        <v>1</v>
      </c>
    </row>
    <row r="69" spans="1:11">
      <c r="A69" s="38" t="str">
        <f>HYPERLINK("https://kabutan.jp/stock/?code="&amp;"3382","3382")</f>
        <v>3382</v>
      </c>
      <c r="B69" s="57"/>
      <c r="C69" s="36">
        <v>1</v>
      </c>
      <c r="D69" s="39" t="s">
        <v>88</v>
      </c>
      <c r="E69" s="56">
        <v>7.6406361975828077</v>
      </c>
      <c r="F69" s="56">
        <v>0</v>
      </c>
      <c r="G69" s="39" t="s">
        <v>88</v>
      </c>
      <c r="H69" s="40">
        <v>1</v>
      </c>
      <c r="I69" s="40">
        <v>0</v>
      </c>
      <c r="J69" s="56">
        <v>7.6406361975828077</v>
      </c>
      <c r="K69" s="40">
        <v>1</v>
      </c>
    </row>
    <row r="70" spans="1:11">
      <c r="A70" s="38" t="str">
        <f>HYPERLINK("https://kabutan.jp/stock/?code="&amp;"5411","5411")</f>
        <v>5411</v>
      </c>
      <c r="B70" s="57" t="s">
        <v>243</v>
      </c>
      <c r="C70" s="36">
        <v>1</v>
      </c>
      <c r="D70" s="39" t="s">
        <v>88</v>
      </c>
      <c r="E70" s="56">
        <v>4.7349576898416217</v>
      </c>
      <c r="F70" s="56">
        <v>0</v>
      </c>
      <c r="G70" s="39" t="s">
        <v>88</v>
      </c>
      <c r="H70" s="40">
        <v>1</v>
      </c>
      <c r="I70" s="40">
        <v>0</v>
      </c>
      <c r="J70" s="56">
        <v>4.7349576898416217</v>
      </c>
      <c r="K70" s="40">
        <v>1</v>
      </c>
    </row>
    <row r="71" spans="1:11">
      <c r="A71" s="38" t="str">
        <f>HYPERLINK("https://kabutan.jp/stock/?code="&amp;"9501","9501")</f>
        <v>9501</v>
      </c>
      <c r="B71" s="57" t="s">
        <v>243</v>
      </c>
      <c r="C71" s="36">
        <v>0</v>
      </c>
      <c r="D71" s="39">
        <v>0</v>
      </c>
      <c r="E71" s="56">
        <v>-2.0502064097003085</v>
      </c>
      <c r="F71" s="56">
        <v>2.0502064097003085</v>
      </c>
      <c r="G71" s="39">
        <v>0</v>
      </c>
      <c r="H71" s="40">
        <v>0</v>
      </c>
      <c r="I71" s="40">
        <v>1</v>
      </c>
      <c r="J71" s="56">
        <v>-2.0502064097003085</v>
      </c>
      <c r="K71" s="40">
        <v>1</v>
      </c>
    </row>
    <row r="72" spans="1:11">
      <c r="A72" s="38" t="str">
        <f>HYPERLINK("https://kabutan.jp/stock/?code="&amp;"5401","5401")</f>
        <v>5401</v>
      </c>
      <c r="B72" s="57" t="s">
        <v>243</v>
      </c>
      <c r="C72" s="36">
        <v>0</v>
      </c>
      <c r="D72" s="39">
        <v>0</v>
      </c>
      <c r="E72" s="56">
        <v>-2.009750713409403</v>
      </c>
      <c r="F72" s="56">
        <v>2.009750713409403</v>
      </c>
      <c r="G72" s="39">
        <v>0</v>
      </c>
      <c r="H72" s="40">
        <v>0</v>
      </c>
      <c r="I72" s="40">
        <v>1</v>
      </c>
      <c r="J72" s="56">
        <v>-2.009750713409403</v>
      </c>
      <c r="K72" s="40">
        <v>1</v>
      </c>
    </row>
    <row r="73" spans="1:11">
      <c r="A73" s="38" t="str">
        <f>HYPERLINK("https://kabutan.jp/stock/?code="&amp;"7751","7751")</f>
        <v>7751</v>
      </c>
      <c r="B73" s="57"/>
      <c r="C73" s="36">
        <v>0</v>
      </c>
      <c r="D73" s="39">
        <v>0</v>
      </c>
      <c r="E73" s="56">
        <v>-11.363179493300777</v>
      </c>
      <c r="F73" s="56">
        <v>11.363179493300777</v>
      </c>
      <c r="G73" s="39">
        <v>0</v>
      </c>
      <c r="H73" s="40">
        <v>0</v>
      </c>
      <c r="I73" s="40">
        <v>1</v>
      </c>
      <c r="J73" s="56">
        <v>-11.363179493300777</v>
      </c>
      <c r="K73" s="40">
        <v>1</v>
      </c>
    </row>
    <row r="74" spans="1:11">
      <c r="A74" s="38" t="str">
        <f>HYPERLINK("https://kabutan.jp/stock/?code="&amp;"6954","6954")</f>
        <v>6954</v>
      </c>
      <c r="B74" s="57" t="s">
        <v>243</v>
      </c>
      <c r="C74" s="36">
        <v>0</v>
      </c>
      <c r="D74" s="39">
        <v>0</v>
      </c>
      <c r="E74" s="56">
        <v>-30.430113470785727</v>
      </c>
      <c r="F74" s="56">
        <v>30.430113470785727</v>
      </c>
      <c r="G74" s="39">
        <v>0</v>
      </c>
      <c r="H74" s="40">
        <v>0</v>
      </c>
      <c r="I74" s="40">
        <v>1</v>
      </c>
      <c r="J74" s="56">
        <v>-30.430113470785727</v>
      </c>
      <c r="K74" s="40">
        <v>1</v>
      </c>
    </row>
    <row r="75" spans="1:11">
      <c r="A75" s="38" t="str">
        <f>HYPERLINK("https://kabutan.jp/stock/?code="&amp;"5803","5803")</f>
        <v>5803</v>
      </c>
      <c r="B75" s="57" t="s">
        <v>243</v>
      </c>
      <c r="C75" s="36">
        <v>0</v>
      </c>
      <c r="D75" s="39">
        <v>0</v>
      </c>
      <c r="E75" s="56">
        <v>-56.155812042092293</v>
      </c>
      <c r="F75" s="56">
        <v>56.155812042092293</v>
      </c>
      <c r="G75" s="39">
        <v>0</v>
      </c>
      <c r="H75" s="40">
        <v>0</v>
      </c>
      <c r="I75" s="40">
        <v>1</v>
      </c>
      <c r="J75" s="56">
        <v>-56.155812042092293</v>
      </c>
      <c r="K75" s="40">
        <v>1</v>
      </c>
    </row>
    <row r="76" spans="1:11">
      <c r="A76" s="38" t="str">
        <f>HYPERLINK("https://kabutan.jp/stock/?code="&amp;"7211","7211")</f>
        <v>7211</v>
      </c>
      <c r="B76" s="57"/>
      <c r="C76" s="36">
        <v>0</v>
      </c>
      <c r="D76" s="39">
        <v>0</v>
      </c>
      <c r="E76" s="56">
        <v>-1.0668190382804141</v>
      </c>
      <c r="F76" s="56">
        <v>1.0668190382804141</v>
      </c>
      <c r="G76" s="39">
        <v>0</v>
      </c>
      <c r="H76" s="40">
        <v>0</v>
      </c>
      <c r="I76" s="40">
        <v>1</v>
      </c>
      <c r="J76" s="56">
        <v>-1.0668190382804141</v>
      </c>
      <c r="K76" s="40">
        <v>1</v>
      </c>
    </row>
    <row r="77" spans="1:11">
      <c r="B77" s="55"/>
    </row>
    <row r="78" spans="1:11">
      <c r="B78" s="55"/>
    </row>
    <row r="79" spans="1:11">
      <c r="B79" s="55"/>
    </row>
    <row r="80" spans="1:11">
      <c r="B80" s="55"/>
    </row>
    <row r="81" spans="2:2">
      <c r="B81" s="55"/>
    </row>
    <row r="82" spans="2:2">
      <c r="B82" s="55"/>
    </row>
    <row r="83" spans="2:2">
      <c r="B83" s="55"/>
    </row>
    <row r="84" spans="2:2">
      <c r="B84" s="55"/>
    </row>
    <row r="85" spans="2:2">
      <c r="B85" s="55"/>
    </row>
    <row r="86" spans="2:2">
      <c r="B86" s="55"/>
    </row>
    <row r="87" spans="2:2">
      <c r="B87" s="55"/>
    </row>
    <row r="88" spans="2:2">
      <c r="B88" s="55"/>
    </row>
    <row r="89" spans="2:2">
      <c r="B89" s="55"/>
    </row>
    <row r="90" spans="2:2">
      <c r="B90" s="55"/>
    </row>
    <row r="91" spans="2:2">
      <c r="B91" s="55"/>
    </row>
    <row r="92" spans="2:2">
      <c r="B92" s="55"/>
    </row>
    <row r="93" spans="2:2">
      <c r="B93" s="55"/>
    </row>
    <row r="94" spans="2:2">
      <c r="B94" s="55"/>
    </row>
    <row r="95" spans="2:2">
      <c r="B95" s="55"/>
    </row>
    <row r="96" spans="2:2">
      <c r="B96" s="55"/>
    </row>
    <row r="97" spans="2:2">
      <c r="B97" s="55"/>
    </row>
    <row r="98" spans="2:2">
      <c r="B98" s="55"/>
    </row>
    <row r="99" spans="2:2">
      <c r="B99" s="55"/>
    </row>
    <row r="100" spans="2:2">
      <c r="B100" s="55"/>
    </row>
    <row r="101" spans="2:2">
      <c r="B101" s="55"/>
    </row>
    <row r="102" spans="2:2">
      <c r="B102" s="55"/>
    </row>
    <row r="103" spans="2:2">
      <c r="B103" s="55"/>
    </row>
    <row r="104" spans="2:2">
      <c r="B104" s="55"/>
    </row>
    <row r="105" spans="2:2">
      <c r="B105" s="55"/>
    </row>
    <row r="106" spans="2:2">
      <c r="B106" s="55"/>
    </row>
    <row r="107" spans="2:2">
      <c r="B107" s="55"/>
    </row>
    <row r="108" spans="2:2">
      <c r="B108" s="55"/>
    </row>
    <row r="109" spans="2:2">
      <c r="B109" s="55"/>
    </row>
    <row r="110" spans="2:2">
      <c r="B110" s="55"/>
    </row>
    <row r="111" spans="2:2">
      <c r="B111" s="55"/>
    </row>
    <row r="112" spans="2:2">
      <c r="B112" s="55"/>
    </row>
    <row r="113" spans="2:2">
      <c r="B113" s="55"/>
    </row>
    <row r="114" spans="2:2">
      <c r="B114" s="55"/>
    </row>
    <row r="115" spans="2:2">
      <c r="B115" s="55"/>
    </row>
    <row r="116" spans="2:2">
      <c r="B116" s="55"/>
    </row>
    <row r="117" spans="2:2">
      <c r="B117" s="55"/>
    </row>
    <row r="118" spans="2:2">
      <c r="B118" s="55"/>
    </row>
    <row r="119" spans="2:2">
      <c r="B119" s="55"/>
    </row>
    <row r="120" spans="2:2">
      <c r="B120" s="55"/>
    </row>
    <row r="121" spans="2:2">
      <c r="B121" s="55"/>
    </row>
    <row r="122" spans="2:2">
      <c r="B122" s="55"/>
    </row>
    <row r="123" spans="2:2">
      <c r="B123" s="55"/>
    </row>
    <row r="124" spans="2:2">
      <c r="B124" s="55"/>
    </row>
    <row r="125" spans="2:2">
      <c r="B125" s="55"/>
    </row>
    <row r="126" spans="2:2">
      <c r="B126" s="55"/>
    </row>
    <row r="127" spans="2:2">
      <c r="B127" s="55"/>
    </row>
    <row r="128" spans="2:2">
      <c r="B128" s="55"/>
    </row>
    <row r="129" spans="2:2">
      <c r="B129" s="55"/>
    </row>
    <row r="130" spans="2:2">
      <c r="B130" s="55"/>
    </row>
    <row r="131" spans="2:2">
      <c r="B131" s="55"/>
    </row>
    <row r="132" spans="2:2">
      <c r="B132" s="55"/>
    </row>
    <row r="133" spans="2:2">
      <c r="B133" s="55"/>
    </row>
    <row r="134" spans="2:2">
      <c r="B134" s="55"/>
    </row>
    <row r="135" spans="2:2">
      <c r="B135" s="55"/>
    </row>
    <row r="136" spans="2:2">
      <c r="B136" s="55"/>
    </row>
    <row r="137" spans="2:2">
      <c r="B137" s="55"/>
    </row>
    <row r="138" spans="2:2">
      <c r="B138" s="55"/>
    </row>
    <row r="139" spans="2:2">
      <c r="B139" s="55"/>
    </row>
    <row r="140" spans="2:2">
      <c r="B140" s="55"/>
    </row>
    <row r="141" spans="2:2">
      <c r="B141" s="55"/>
    </row>
    <row r="142" spans="2:2">
      <c r="B142" s="55"/>
    </row>
    <row r="143" spans="2:2">
      <c r="B143" s="55"/>
    </row>
    <row r="144" spans="2:2">
      <c r="B144" s="55"/>
    </row>
    <row r="145" spans="2:2">
      <c r="B145" s="55"/>
    </row>
    <row r="146" spans="2:2">
      <c r="B146" s="55"/>
    </row>
    <row r="147" spans="2:2">
      <c r="B147" s="55"/>
    </row>
    <row r="148" spans="2:2">
      <c r="B148" s="55"/>
    </row>
    <row r="149" spans="2:2">
      <c r="B149" s="55"/>
    </row>
    <row r="150" spans="2:2">
      <c r="B150" s="55"/>
    </row>
    <row r="151" spans="2:2">
      <c r="B151" s="55"/>
    </row>
    <row r="152" spans="2:2">
      <c r="B152" s="55"/>
    </row>
    <row r="153" spans="2:2">
      <c r="B153" s="55"/>
    </row>
    <row r="154" spans="2:2">
      <c r="B154" s="55"/>
    </row>
    <row r="155" spans="2:2">
      <c r="B155" s="55"/>
    </row>
    <row r="156" spans="2:2">
      <c r="B156" s="55"/>
    </row>
    <row r="157" spans="2:2">
      <c r="B157" s="55"/>
    </row>
    <row r="158" spans="2:2">
      <c r="B158" s="55"/>
    </row>
    <row r="159" spans="2:2">
      <c r="B159" s="55"/>
    </row>
    <row r="160" spans="2:2">
      <c r="B160" s="55"/>
    </row>
    <row r="161" spans="2:2">
      <c r="B161" s="55"/>
    </row>
    <row r="162" spans="2:2">
      <c r="B162" s="55"/>
    </row>
    <row r="163" spans="2:2">
      <c r="B163" s="55"/>
    </row>
    <row r="164" spans="2:2">
      <c r="B164" s="55"/>
    </row>
    <row r="165" spans="2:2">
      <c r="B165" s="55"/>
    </row>
    <row r="166" spans="2:2">
      <c r="B166" s="55"/>
    </row>
    <row r="167" spans="2:2">
      <c r="B167" s="55"/>
    </row>
    <row r="168" spans="2:2">
      <c r="B168" s="55"/>
    </row>
    <row r="169" spans="2:2">
      <c r="B169" s="55"/>
    </row>
    <row r="170" spans="2:2">
      <c r="B170" s="55"/>
    </row>
    <row r="171" spans="2:2">
      <c r="B171" s="55"/>
    </row>
    <row r="172" spans="2:2">
      <c r="B172" s="55"/>
    </row>
    <row r="173" spans="2:2">
      <c r="B173" s="55"/>
    </row>
    <row r="174" spans="2:2">
      <c r="B174" s="55"/>
    </row>
    <row r="175" spans="2:2">
      <c r="B175" s="55"/>
    </row>
    <row r="176" spans="2:2">
      <c r="B176" s="55"/>
    </row>
    <row r="177" spans="2:2">
      <c r="B177" s="55"/>
    </row>
    <row r="178" spans="2:2">
      <c r="B178" s="55"/>
    </row>
    <row r="179" spans="2:2">
      <c r="B179" s="55"/>
    </row>
    <row r="180" spans="2:2">
      <c r="B180" s="55"/>
    </row>
    <row r="181" spans="2:2">
      <c r="B181" s="55"/>
    </row>
    <row r="182" spans="2:2">
      <c r="B182" s="55"/>
    </row>
    <row r="183" spans="2:2">
      <c r="B183" s="55"/>
    </row>
    <row r="184" spans="2:2">
      <c r="B184" s="55"/>
    </row>
    <row r="185" spans="2:2">
      <c r="B185" s="55"/>
    </row>
    <row r="186" spans="2:2">
      <c r="B186" s="55"/>
    </row>
    <row r="187" spans="2:2">
      <c r="B187" s="55"/>
    </row>
    <row r="188" spans="2:2">
      <c r="B188" s="55"/>
    </row>
    <row r="189" spans="2:2">
      <c r="B189" s="55"/>
    </row>
    <row r="190" spans="2:2">
      <c r="B190" s="55"/>
    </row>
    <row r="191" spans="2:2">
      <c r="B191" s="55"/>
    </row>
    <row r="192" spans="2:2">
      <c r="B192" s="55"/>
    </row>
    <row r="193" spans="2:2">
      <c r="B193" s="55"/>
    </row>
    <row r="194" spans="2:2">
      <c r="B194" s="55"/>
    </row>
    <row r="195" spans="2:2">
      <c r="B195" s="55"/>
    </row>
    <row r="196" spans="2:2">
      <c r="B196" s="55"/>
    </row>
    <row r="197" spans="2:2">
      <c r="B197" s="55"/>
    </row>
    <row r="198" spans="2:2">
      <c r="B198" s="55"/>
    </row>
    <row r="199" spans="2:2">
      <c r="B199" s="55"/>
    </row>
    <row r="200" spans="2:2">
      <c r="B200" s="55"/>
    </row>
  </sheetData>
  <phoneticPr fontId="1"/>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353"/>
  <sheetViews>
    <sheetView workbookViewId="0">
      <pane ySplit="1" topLeftCell="A2" activePane="bottomLeft" state="frozen"/>
      <selection pane="bottomLeft" activeCell="C34" sqref="C34"/>
    </sheetView>
  </sheetViews>
  <sheetFormatPr defaultRowHeight="22.2"/>
  <cols>
    <col min="1" max="1" width="18" style="1" customWidth="1"/>
    <col min="2" max="2" width="30" style="1" customWidth="1"/>
  </cols>
  <sheetData>
    <row r="1" spans="1:27" ht="46.2" customHeight="1">
      <c r="A1" s="3" t="s">
        <v>0</v>
      </c>
      <c r="B1" s="3" t="s">
        <v>1</v>
      </c>
    </row>
    <row r="2" spans="1:27" ht="25.95" customHeight="1">
      <c r="A2">
        <v>9432</v>
      </c>
      <c r="B2" s="4" t="str" cm="1">
        <f t="array" ref="B2">IF($A2="","",IFERROR(_xll.RssMarket($A2,"銘柄名称"),""))</f>
        <v>ＮＴＴ</v>
      </c>
    </row>
    <row r="3" spans="1:27" ht="25.95" customHeight="1">
      <c r="A3">
        <v>9434</v>
      </c>
      <c r="B3" s="4" t="str" cm="1">
        <f t="array" ref="B3">IF($A3="","",IFERROR(_xll.RssMarket($A3,"銘柄名称"),""))</f>
        <v>ソフトバンク</v>
      </c>
      <c r="Q3" s="15"/>
      <c r="R3" s="16"/>
      <c r="S3" s="16"/>
      <c r="V3" s="17"/>
      <c r="W3" s="17"/>
      <c r="Z3" s="16"/>
      <c r="AA3" s="16"/>
    </row>
    <row r="4" spans="1:27" ht="25.95" customHeight="1">
      <c r="A4">
        <v>5803</v>
      </c>
      <c r="B4" s="4" t="str" cm="1">
        <f t="array" ref="B4">IF($A4="","",IFERROR(_xll.RssMarket($A4,"銘柄名称"),""))</f>
        <v>フジクラ</v>
      </c>
      <c r="Q4" s="15"/>
      <c r="R4" s="16"/>
      <c r="S4" s="16"/>
      <c r="V4" s="17"/>
      <c r="W4" s="17"/>
    </row>
    <row r="5" spans="1:27" ht="25.95" customHeight="1">
      <c r="A5">
        <v>5802</v>
      </c>
      <c r="B5" s="4" t="str" cm="1">
        <f t="array" ref="B5">IF($A5="","",IFERROR(_xll.RssMarket($A5,"銘柄名称"),""))</f>
        <v>住友電工</v>
      </c>
      <c r="O5" s="18"/>
      <c r="P5" s="18"/>
      <c r="Q5" s="15"/>
      <c r="R5" s="16"/>
      <c r="S5" s="18"/>
      <c r="T5" s="18"/>
      <c r="U5" s="18"/>
      <c r="V5" s="17"/>
      <c r="W5" s="17"/>
      <c r="Z5" s="16"/>
      <c r="AA5" s="16"/>
    </row>
    <row r="6" spans="1:27" ht="25.95" customHeight="1">
      <c r="A6">
        <v>8729</v>
      </c>
      <c r="B6" s="4" t="str" cm="1">
        <f t="array" ref="B6">IF($A6="","",IFERROR(_xll.RssMarket($A6,"銘柄名称"),""))</f>
        <v>ソニーフィナンシャルグループ</v>
      </c>
      <c r="O6" s="18"/>
      <c r="P6" s="18"/>
      <c r="Q6" s="15"/>
      <c r="R6" s="16"/>
      <c r="S6" s="18"/>
      <c r="T6" s="18"/>
      <c r="U6" s="18"/>
      <c r="V6" s="17"/>
      <c r="W6" s="17"/>
      <c r="Z6" s="16"/>
      <c r="AA6" s="16"/>
    </row>
    <row r="7" spans="1:27" ht="25.95" customHeight="1">
      <c r="A7">
        <v>7201</v>
      </c>
      <c r="B7" s="4" t="str" cm="1">
        <f t="array" ref="B7">IF($A7="","",IFERROR(_xll.RssMarket($A7,"銘柄名称"),""))</f>
        <v>日産自動車</v>
      </c>
      <c r="Q7" s="15"/>
      <c r="R7" s="16"/>
      <c r="S7" s="16"/>
      <c r="V7" s="17"/>
      <c r="W7" s="17"/>
      <c r="Z7" s="16"/>
      <c r="AA7" s="16"/>
    </row>
    <row r="8" spans="1:27" ht="25.95" customHeight="1">
      <c r="A8">
        <v>9984</v>
      </c>
      <c r="B8" s="4" t="str" cm="1">
        <f t="array" ref="B8">IF($A8="","",IFERROR(_xll.RssMarket($A8,"銘柄名称"),""))</f>
        <v>ソフトバンクグループ</v>
      </c>
      <c r="Q8" s="15"/>
      <c r="R8" s="16"/>
      <c r="S8" s="16"/>
      <c r="V8" s="17"/>
      <c r="W8" s="17"/>
    </row>
    <row r="9" spans="1:27" ht="25.95" customHeight="1">
      <c r="A9">
        <v>8306</v>
      </c>
      <c r="B9" s="4" t="str" cm="1">
        <f t="array" ref="B9">IF($A9="","",IFERROR(_xll.RssMarket($A9,"銘柄名称"),""))</f>
        <v>三菱ＵＦＪフィナンシャルＧ</v>
      </c>
      <c r="O9" s="18"/>
      <c r="P9" s="18"/>
      <c r="Q9" s="15"/>
      <c r="R9" s="16"/>
      <c r="S9" s="18"/>
      <c r="T9" s="18"/>
      <c r="U9" s="18"/>
      <c r="V9" s="17"/>
      <c r="W9" s="17"/>
      <c r="Z9" s="16"/>
      <c r="AA9" s="16"/>
    </row>
    <row r="10" spans="1:27" ht="25.95" customHeight="1">
      <c r="A10">
        <v>9501</v>
      </c>
      <c r="B10" s="4" t="str" cm="1">
        <f t="array" ref="B10">IF($A10="","",IFERROR(_xll.RssMarket($A10,"銘柄名称"),""))</f>
        <v>東京電力ＨＤ</v>
      </c>
      <c r="O10" s="18"/>
      <c r="P10" s="18"/>
      <c r="Q10" s="15"/>
      <c r="R10" s="16"/>
      <c r="S10" s="18"/>
      <c r="T10" s="18"/>
      <c r="U10" s="18"/>
      <c r="V10" s="17"/>
      <c r="W10" s="17"/>
      <c r="Z10" s="16"/>
      <c r="AA10" s="16"/>
    </row>
    <row r="11" spans="1:27" ht="25.95" customHeight="1">
      <c r="A11">
        <v>5401</v>
      </c>
      <c r="B11" s="4" t="str" cm="1">
        <f t="array" ref="B11">IF($A11="","",IFERROR(_xll.RssMarket($A11,"銘柄名称"),""))</f>
        <v>日本製鉄</v>
      </c>
      <c r="Q11" s="15"/>
      <c r="R11" s="16"/>
      <c r="S11" s="16"/>
      <c r="V11" s="17"/>
      <c r="W11" s="17"/>
      <c r="Z11" s="16"/>
      <c r="AA11" s="16"/>
    </row>
    <row r="12" spans="1:27" ht="25.95" customHeight="1">
      <c r="A12">
        <v>5801</v>
      </c>
      <c r="B12" s="4" t="str" cm="1">
        <f t="array" ref="B12">IF($A12="","",IFERROR(_xll.RssMarket($A12,"銘柄名称"),""))</f>
        <v>古河電工</v>
      </c>
      <c r="Q12" s="15"/>
      <c r="R12" s="16"/>
      <c r="S12" s="16"/>
      <c r="V12" s="17"/>
      <c r="W12" s="17"/>
    </row>
    <row r="13" spans="1:27" ht="25.95" customHeight="1">
      <c r="A13">
        <v>6758</v>
      </c>
      <c r="B13" s="4" t="str" cm="1">
        <f t="array" ref="B13">IF($A13="","",IFERROR(_xll.RssMarket($A13,"銘柄名称"),""))</f>
        <v>ソニーグループ</v>
      </c>
      <c r="O13" s="18"/>
      <c r="P13" s="18"/>
      <c r="Q13" s="15"/>
      <c r="R13" s="16"/>
      <c r="S13" s="18"/>
      <c r="T13" s="18"/>
      <c r="U13" s="18"/>
      <c r="V13" s="17"/>
      <c r="W13" s="17"/>
      <c r="Z13" s="16"/>
      <c r="AA13" s="16"/>
    </row>
    <row r="14" spans="1:27" ht="25.95" customHeight="1">
      <c r="A14">
        <v>7203</v>
      </c>
      <c r="B14" s="4" t="str" cm="1">
        <f t="array" ref="B14">IF($A14="","",IFERROR(_xll.RssMarket($A14,"銘柄名称"),""))</f>
        <v>トヨタ自動車</v>
      </c>
      <c r="O14" s="18"/>
      <c r="P14" s="18"/>
      <c r="Q14" s="15"/>
      <c r="R14" s="16"/>
      <c r="S14" s="18"/>
      <c r="T14" s="18"/>
      <c r="U14" s="18"/>
      <c r="V14" s="17"/>
      <c r="W14" s="17"/>
      <c r="Z14" s="16"/>
      <c r="AA14" s="16"/>
    </row>
    <row r="15" spans="1:27" ht="25.95" customHeight="1">
      <c r="A15">
        <v>5016</v>
      </c>
      <c r="B15" s="4" t="str" cm="1">
        <f t="array" ref="B15">IF($A15="","",IFERROR(_xll.RssMarket($A15,"銘柄名称"),""))</f>
        <v>ＪＸ金属</v>
      </c>
      <c r="O15" s="18"/>
      <c r="P15" s="18"/>
      <c r="Q15" s="15"/>
      <c r="R15" s="16"/>
      <c r="S15" s="18"/>
      <c r="T15" s="18"/>
      <c r="U15" s="18"/>
      <c r="V15" s="17"/>
      <c r="W15" s="17"/>
      <c r="Z15" s="16"/>
      <c r="AA15" s="16"/>
    </row>
    <row r="16" spans="1:27" ht="25.95" customHeight="1">
      <c r="A16">
        <v>8053</v>
      </c>
      <c r="B16" s="4" t="str" cm="1">
        <f t="array" ref="B16">IF($A16="","",IFERROR(_xll.RssMarket($A16,"銘柄名称"),""))</f>
        <v>住友商事</v>
      </c>
      <c r="O16" s="18"/>
      <c r="P16" s="18"/>
      <c r="Q16" s="15"/>
      <c r="R16" s="16"/>
      <c r="S16" s="18"/>
      <c r="T16" s="18"/>
      <c r="U16" s="18"/>
      <c r="V16" s="17"/>
      <c r="W16" s="17"/>
      <c r="Z16" s="16"/>
      <c r="AA16" s="16"/>
    </row>
    <row r="17" spans="1:27" ht="25.95" customHeight="1">
      <c r="A17" t="s">
        <v>17</v>
      </c>
      <c r="B17" s="4" t="str" cm="1">
        <f t="array" ref="B17">IF($A17="","",IFERROR(_xll.RssMarket($A17,"銘柄名称"),""))</f>
        <v>ＡＲＣＨＩＯＮ</v>
      </c>
      <c r="O17" s="18"/>
      <c r="P17" s="18"/>
      <c r="Q17" s="15"/>
      <c r="R17" s="16"/>
      <c r="S17" s="18"/>
      <c r="T17" s="18"/>
      <c r="U17" s="18"/>
      <c r="V17" s="17"/>
      <c r="W17" s="17"/>
      <c r="Z17" s="16"/>
      <c r="AA17" s="16"/>
    </row>
    <row r="18" spans="1:27" ht="25.95" customHeight="1">
      <c r="A18">
        <v>3350</v>
      </c>
      <c r="B18" s="4" t="str" cm="1">
        <f t="array" ref="B18">IF($A18="","",IFERROR(_xll.RssMarket($A18,"銘柄名称"),""))</f>
        <v>メタプラネット</v>
      </c>
      <c r="Q18" s="15"/>
      <c r="R18" s="16"/>
      <c r="S18" s="16"/>
      <c r="V18" s="17"/>
      <c r="W18" s="17"/>
      <c r="Z18" s="16"/>
      <c r="AA18" s="16"/>
    </row>
    <row r="19" spans="1:27" ht="25.95" customHeight="1">
      <c r="A19">
        <v>6723</v>
      </c>
      <c r="B19" s="4" t="str" cm="1">
        <f t="array" ref="B19">IF($A19="","",IFERROR(_xll.RssMarket($A19,"銘柄名称"),""))</f>
        <v>ルネサスエレクトロニクス</v>
      </c>
      <c r="Q19" s="15"/>
      <c r="R19" s="16"/>
      <c r="S19" s="16"/>
      <c r="V19" s="17"/>
      <c r="W19" s="17"/>
      <c r="Z19" s="16"/>
      <c r="AA19" s="16"/>
    </row>
    <row r="20" spans="1:27" ht="25.95" customHeight="1">
      <c r="A20">
        <v>4689</v>
      </c>
      <c r="B20" s="4" t="str" cm="1">
        <f t="array" ref="B20">IF($A20="","",IFERROR(_xll.RssMarket($A20,"銘柄名称"),""))</f>
        <v>ＬＩＮＥヤフー</v>
      </c>
      <c r="O20" s="18"/>
      <c r="P20" s="18"/>
      <c r="Q20" s="15"/>
      <c r="R20" s="16"/>
      <c r="S20" s="18"/>
      <c r="T20" s="18"/>
      <c r="U20" s="18"/>
      <c r="V20" s="17"/>
      <c r="W20" s="17"/>
      <c r="Z20" s="16"/>
      <c r="AA20" s="16"/>
    </row>
    <row r="21" spans="1:27" ht="25.95" customHeight="1">
      <c r="A21">
        <v>8136</v>
      </c>
      <c r="B21" s="4" t="str" cm="1">
        <f t="array" ref="B21">IF($A21="","",IFERROR(_xll.RssMarket($A21,"銘柄名称"),""))</f>
        <v>サンリオ</v>
      </c>
      <c r="Q21" s="15"/>
      <c r="R21" s="16"/>
      <c r="S21" s="16"/>
      <c r="V21" s="17"/>
      <c r="W21" s="17"/>
      <c r="Z21" s="16"/>
      <c r="AA21" s="16"/>
    </row>
    <row r="22" spans="1:27" ht="25.95" customHeight="1">
      <c r="A22">
        <v>6902</v>
      </c>
      <c r="B22" s="4" t="str" cm="1">
        <f t="array" ref="B22">IF($A22="","",IFERROR(_xll.RssMarket($A22,"銘柄名称"),""))</f>
        <v>デンソー</v>
      </c>
      <c r="O22" s="18"/>
      <c r="P22" s="18"/>
      <c r="Q22" s="15"/>
      <c r="R22" s="16"/>
      <c r="S22" s="18"/>
      <c r="T22" s="18"/>
      <c r="U22" s="18"/>
      <c r="V22" s="17"/>
      <c r="W22" s="17"/>
    </row>
    <row r="23" spans="1:27" ht="25.95" customHeight="1">
      <c r="A23">
        <v>7267</v>
      </c>
      <c r="B23" s="4" t="str" cm="1">
        <f t="array" ref="B23">IF($A23="","",IFERROR(_xll.RssMarket($A23,"銘柄名称"),""))</f>
        <v>本田技研</v>
      </c>
      <c r="O23" s="18"/>
      <c r="P23" s="18"/>
      <c r="Q23" s="15"/>
      <c r="R23" s="16"/>
      <c r="S23" s="18"/>
      <c r="T23" s="18"/>
      <c r="U23" s="18"/>
      <c r="V23" s="17"/>
      <c r="W23" s="17"/>
      <c r="Z23" s="16"/>
      <c r="AA23" s="16"/>
    </row>
    <row r="24" spans="1:27" ht="25.95" customHeight="1">
      <c r="A24">
        <v>7011</v>
      </c>
      <c r="B24" s="4" t="str" cm="1">
        <f t="array" ref="B24">IF($A24="","",IFERROR(_xll.RssMarket($A24,"銘柄名称"),""))</f>
        <v>三菱重工業</v>
      </c>
      <c r="O24" s="18"/>
      <c r="P24" s="18"/>
      <c r="Q24" s="15"/>
      <c r="R24" s="16"/>
      <c r="S24" s="18"/>
      <c r="T24" s="18"/>
      <c r="U24" s="18"/>
      <c r="V24" s="17"/>
      <c r="W24" s="17"/>
      <c r="Z24" s="16"/>
      <c r="AA24" s="16"/>
    </row>
    <row r="25" spans="1:27" ht="25.95" customHeight="1">
      <c r="A25">
        <v>4661</v>
      </c>
      <c r="B25" s="4" t="str" cm="1">
        <f t="array" ref="B25">IF($A25="","",IFERROR(_xll.RssMarket($A25,"銘柄名称"),""))</f>
        <v>オリエンタルランド</v>
      </c>
      <c r="O25" s="18"/>
      <c r="P25" s="18"/>
      <c r="Q25" s="15"/>
      <c r="R25" s="16"/>
      <c r="S25" s="18"/>
      <c r="T25" s="18"/>
      <c r="U25" s="18"/>
      <c r="V25" s="17"/>
      <c r="W25" s="17"/>
      <c r="Z25" s="16"/>
      <c r="AA25" s="16"/>
    </row>
    <row r="26" spans="1:27" ht="25.95" customHeight="1">
      <c r="A26">
        <v>8604</v>
      </c>
      <c r="B26" s="4" t="str" cm="1">
        <f t="array" ref="B26">IF($A26="","",IFERROR(_xll.RssMarket($A26,"銘柄名称"),""))</f>
        <v>野村ホールディングス</v>
      </c>
      <c r="O26" s="18"/>
      <c r="P26" s="18"/>
      <c r="Q26" s="15"/>
      <c r="R26" s="16"/>
      <c r="S26" s="18"/>
      <c r="T26" s="18"/>
      <c r="U26" s="18"/>
      <c r="V26" s="17"/>
      <c r="W26" s="17"/>
      <c r="Z26" s="16"/>
      <c r="AA26" s="16"/>
    </row>
    <row r="27" spans="1:27" ht="25.95" customHeight="1">
      <c r="A27">
        <v>6762</v>
      </c>
      <c r="B27" s="4" t="str" cm="1">
        <f t="array" ref="B27">IF($A27="","",IFERROR(_xll.RssMarket($A27,"銘柄名称"),""))</f>
        <v>ＴＤＫ</v>
      </c>
      <c r="O27" s="18"/>
      <c r="P27" s="18"/>
      <c r="Q27" s="15"/>
      <c r="R27" s="16"/>
      <c r="S27" s="18"/>
      <c r="T27" s="18"/>
      <c r="U27" s="18"/>
      <c r="V27" s="17"/>
      <c r="W27" s="17"/>
      <c r="Z27" s="16"/>
      <c r="AA27" s="16"/>
    </row>
    <row r="28" spans="1:27" ht="25.95" customHeight="1">
      <c r="A28">
        <v>6501</v>
      </c>
      <c r="B28" s="4" t="str" cm="1">
        <f t="array" ref="B28">IF($A28="","",IFERROR(_xll.RssMarket($A28,"銘柄名称"),""))</f>
        <v>日立</v>
      </c>
      <c r="O28" s="18"/>
      <c r="P28" s="18"/>
      <c r="Q28" s="15"/>
      <c r="R28" s="16"/>
      <c r="S28" s="18"/>
      <c r="T28" s="18"/>
      <c r="U28" s="18"/>
      <c r="V28" s="17"/>
      <c r="W28" s="17"/>
      <c r="Z28" s="16"/>
      <c r="AA28" s="16"/>
    </row>
    <row r="29" spans="1:27" ht="25.95" customHeight="1">
      <c r="A29">
        <v>4063</v>
      </c>
      <c r="B29" s="4" t="str" cm="1">
        <f t="array" ref="B29">IF($A29="","",IFERROR(_xll.RssMarket($A29,"銘柄名称"),""))</f>
        <v>信越化学</v>
      </c>
      <c r="O29" s="18"/>
      <c r="P29" s="18"/>
      <c r="Q29" s="15"/>
      <c r="R29" s="16"/>
      <c r="S29" s="18"/>
      <c r="T29" s="18"/>
      <c r="U29" s="18"/>
      <c r="V29" s="17"/>
      <c r="W29" s="17"/>
      <c r="Z29" s="16"/>
      <c r="AA29" s="16"/>
    </row>
    <row r="30" spans="1:27" ht="25.95" customHeight="1">
      <c r="A30">
        <v>4568</v>
      </c>
      <c r="B30" s="4" t="str" cm="1">
        <f t="array" ref="B30">IF($A30="","",IFERROR(_xll.RssMarket($A30,"銘柄名称"),""))</f>
        <v>第一三共</v>
      </c>
      <c r="O30" s="18"/>
      <c r="P30" s="18"/>
      <c r="Q30" s="15"/>
      <c r="R30" s="16"/>
      <c r="S30" s="18"/>
      <c r="T30" s="18"/>
      <c r="U30" s="18"/>
      <c r="V30" s="17"/>
      <c r="W30" s="17"/>
      <c r="Z30" s="16"/>
      <c r="AA30" s="16"/>
    </row>
    <row r="31" spans="1:27" ht="25.95" customHeight="1">
      <c r="A31">
        <v>8001</v>
      </c>
      <c r="B31" s="4" t="str" cm="1">
        <f t="array" ref="B31">IF($A31="","",IFERROR(_xll.RssMarket($A31,"銘柄名称"),""))</f>
        <v>伊藤忠</v>
      </c>
      <c r="O31" s="18"/>
      <c r="P31" s="18"/>
      <c r="Q31" s="15"/>
      <c r="R31" s="16"/>
      <c r="S31" s="18"/>
      <c r="T31" s="18"/>
      <c r="U31" s="18"/>
      <c r="V31" s="17"/>
      <c r="W31" s="17"/>
      <c r="Z31" s="16"/>
      <c r="AA31" s="16"/>
    </row>
    <row r="32" spans="1:27" ht="25.95" customHeight="1">
      <c r="A32">
        <v>6857</v>
      </c>
      <c r="B32" s="4" t="str" cm="1">
        <f t="array" ref="B32">IF($A32="","",IFERROR(_xll.RssMarket($A32,"銘柄名称"),""))</f>
        <v>アドバンテスト</v>
      </c>
      <c r="O32" s="18"/>
      <c r="P32" s="18"/>
      <c r="Q32" s="15"/>
      <c r="R32" s="16"/>
      <c r="S32" s="18"/>
      <c r="T32" s="18"/>
      <c r="U32" s="18"/>
      <c r="V32" s="17"/>
      <c r="W32" s="17"/>
      <c r="Z32" s="16"/>
      <c r="AA32" s="16"/>
    </row>
    <row r="33" spans="1:27" ht="25.95" customHeight="1">
      <c r="A33">
        <v>7974</v>
      </c>
      <c r="B33" s="4" t="str" cm="1">
        <f t="array" ref="B33">IF($A33="","",IFERROR(_xll.RssMarket($A33,"銘柄名称"),""))</f>
        <v>任天堂</v>
      </c>
      <c r="O33" s="18"/>
      <c r="P33" s="18"/>
      <c r="Q33" s="15"/>
      <c r="R33" s="16"/>
      <c r="S33" s="18"/>
      <c r="T33" s="18"/>
      <c r="U33" s="18"/>
      <c r="V33" s="17"/>
      <c r="W33" s="17"/>
      <c r="Z33" s="16"/>
      <c r="AA33" s="16"/>
    </row>
    <row r="34" spans="1:27" ht="25.95" customHeight="1">
      <c r="A34">
        <v>8309</v>
      </c>
      <c r="B34" s="4" t="str" cm="1">
        <f t="array" ref="B34">IF($A34="","",IFERROR(_xll.RssMarket($A34,"銘柄名称"),""))</f>
        <v>三井住友トラストグルー</v>
      </c>
      <c r="O34" s="18"/>
      <c r="P34" s="18"/>
      <c r="Q34" s="15"/>
      <c r="R34" s="16"/>
      <c r="S34" s="18"/>
      <c r="T34" s="18"/>
      <c r="U34" s="18"/>
      <c r="V34" s="17"/>
      <c r="W34" s="17"/>
      <c r="Z34" s="16"/>
      <c r="AA34" s="16"/>
    </row>
    <row r="35" spans="1:27" ht="25.95" customHeight="1">
      <c r="A35">
        <v>4755</v>
      </c>
      <c r="B35" s="4" t="str" cm="1">
        <f t="array" ref="B35">IF($A35="","",IFERROR(_xll.RssMarket($A35,"銘柄名称"),""))</f>
        <v>楽天グループ</v>
      </c>
      <c r="O35" s="18"/>
      <c r="P35" s="18"/>
      <c r="Q35" s="15"/>
      <c r="R35" s="16"/>
      <c r="S35" s="18"/>
      <c r="T35" s="18"/>
      <c r="U35" s="18"/>
      <c r="V35" s="17"/>
      <c r="W35" s="17"/>
      <c r="Z35" s="16"/>
      <c r="AA35" s="16"/>
    </row>
    <row r="36" spans="1:27" ht="25.95" customHeight="1">
      <c r="A36">
        <v>6702</v>
      </c>
      <c r="B36" s="4" t="str" cm="1">
        <f t="array" ref="B36">IF($A36="","",IFERROR(_xll.RssMarket($A36,"銘柄名称"),""))</f>
        <v>富士通</v>
      </c>
      <c r="Q36" s="15"/>
      <c r="R36" s="16"/>
      <c r="S36" s="16"/>
      <c r="V36" s="17"/>
      <c r="W36" s="17"/>
    </row>
    <row r="37" spans="1:27" ht="25.95" customHeight="1">
      <c r="A37">
        <v>8316</v>
      </c>
      <c r="B37" s="4" t="str" cm="1">
        <f t="array" ref="B37">IF($A37="","",IFERROR(_xll.RssMarket($A37,"銘柄名称"),""))</f>
        <v>三井住友フィナンシャルＧ</v>
      </c>
      <c r="O37" s="18"/>
      <c r="P37" s="18"/>
      <c r="Q37" s="15"/>
      <c r="R37" s="16"/>
      <c r="S37" s="18"/>
      <c r="T37" s="18"/>
      <c r="U37" s="18"/>
      <c r="V37" s="17"/>
      <c r="W37" s="17"/>
      <c r="Z37" s="16"/>
      <c r="AA37" s="16"/>
    </row>
    <row r="38" spans="1:27" ht="25.95" customHeight="1">
      <c r="A38">
        <v>6526</v>
      </c>
      <c r="B38" s="4" t="str" cm="1">
        <f t="array" ref="B38">IF($A38="","",IFERROR(_xll.RssMarket($A38,"銘柄名称"),""))</f>
        <v>ソシオネクスト</v>
      </c>
      <c r="O38" s="18"/>
      <c r="P38" s="18"/>
      <c r="Q38" s="15"/>
      <c r="R38" s="16"/>
      <c r="S38" s="18"/>
      <c r="T38" s="18"/>
      <c r="U38" s="18"/>
      <c r="V38" s="17"/>
      <c r="W38" s="17"/>
    </row>
    <row r="39" spans="1:27" ht="25.95" customHeight="1">
      <c r="A39">
        <v>7013</v>
      </c>
      <c r="B39" s="4" t="str" cm="1">
        <f t="array" ref="B39">IF($A39="","",IFERROR(_xll.RssMarket($A39,"銘柄名称"),""))</f>
        <v>ＩＨＩ</v>
      </c>
      <c r="O39" s="18"/>
      <c r="P39" s="18"/>
      <c r="Q39" s="15"/>
      <c r="R39" s="16"/>
      <c r="S39" s="18"/>
      <c r="T39" s="18"/>
      <c r="U39" s="18"/>
      <c r="V39" s="17"/>
      <c r="W39" s="17"/>
      <c r="Z39" s="16"/>
      <c r="AA39" s="16"/>
    </row>
    <row r="40" spans="1:27" ht="25.95" customHeight="1">
      <c r="A40">
        <v>4005</v>
      </c>
      <c r="B40" s="4" t="str" cm="1">
        <f t="array" ref="B40">IF($A40="","",IFERROR(_xll.RssMarket($A40,"銘柄名称"),""))</f>
        <v>住友化学</v>
      </c>
      <c r="O40" s="18"/>
      <c r="P40" s="18"/>
      <c r="Q40" s="15"/>
      <c r="R40" s="16"/>
      <c r="S40" s="18"/>
      <c r="T40" s="18"/>
      <c r="U40" s="18"/>
      <c r="V40" s="17"/>
      <c r="W40" s="17"/>
      <c r="Z40" s="16"/>
      <c r="AA40" s="16"/>
    </row>
    <row r="41" spans="1:27" ht="25.95" customHeight="1">
      <c r="A41">
        <v>4188</v>
      </c>
      <c r="B41" s="4" t="str" cm="1">
        <f t="array" ref="B41">IF($A41="","",IFERROR(_xll.RssMarket($A41,"銘柄名称"),""))</f>
        <v>三菱ケミカルグループ</v>
      </c>
      <c r="Q41" s="15"/>
      <c r="R41" s="16"/>
      <c r="S41" s="16"/>
      <c r="V41" s="17"/>
      <c r="W41" s="17"/>
      <c r="Z41" s="16"/>
      <c r="AA41" s="16"/>
    </row>
    <row r="42" spans="1:27" ht="25.95" customHeight="1">
      <c r="A42">
        <v>8035</v>
      </c>
      <c r="B42" s="4" t="str" cm="1">
        <f t="array" ref="B42">IF($A42="","",IFERROR(_xll.RssMarket($A42,"銘柄名称"),""))</f>
        <v>東京エレクトロン</v>
      </c>
      <c r="O42" s="18"/>
      <c r="P42" s="18"/>
      <c r="Q42" s="15"/>
      <c r="R42" s="16"/>
      <c r="S42" s="18"/>
      <c r="T42" s="18"/>
      <c r="U42" s="18"/>
      <c r="V42" s="17"/>
      <c r="W42" s="17"/>
      <c r="Z42" s="16"/>
      <c r="AA42" s="16"/>
    </row>
    <row r="43" spans="1:27" ht="25.95" customHeight="1">
      <c r="A43">
        <v>8411</v>
      </c>
      <c r="B43" s="4" t="str" cm="1">
        <f t="array" ref="B43">IF($A43="","",IFERROR(_xll.RssMarket($A43,"銘柄名称"),""))</f>
        <v>みずほフィナンシャルＧ</v>
      </c>
      <c r="O43" s="18"/>
      <c r="P43" s="18"/>
      <c r="Q43" s="15"/>
      <c r="R43" s="16"/>
      <c r="S43" s="18"/>
      <c r="T43" s="18"/>
      <c r="U43" s="18"/>
      <c r="V43" s="17"/>
      <c r="W43" s="17"/>
      <c r="Z43" s="16"/>
      <c r="AA43" s="16"/>
    </row>
    <row r="44" spans="1:27" ht="25.95" customHeight="1">
      <c r="A44">
        <v>3436</v>
      </c>
      <c r="B44" s="4" t="str" cm="1">
        <f t="array" ref="B44">IF($A44="","",IFERROR(_xll.RssMarket($A44,"銘柄名称"),""))</f>
        <v>ＳＵＭＣＯ</v>
      </c>
      <c r="O44" s="18"/>
      <c r="P44" s="18"/>
      <c r="Q44" s="15"/>
      <c r="R44" s="16"/>
      <c r="S44" s="18"/>
      <c r="T44" s="18"/>
      <c r="U44" s="18"/>
      <c r="V44" s="17"/>
      <c r="W44" s="17"/>
      <c r="Z44" s="16"/>
      <c r="AA44" s="16"/>
    </row>
    <row r="45" spans="1:27" ht="25.95" customHeight="1">
      <c r="A45">
        <v>9433</v>
      </c>
      <c r="B45" s="4" t="str" cm="1">
        <f t="array" ref="B45">IF($A45="","",IFERROR(_xll.RssMarket($A45,"銘柄名称"),""))</f>
        <v>ＫＤＤＩ</v>
      </c>
      <c r="O45" s="18"/>
      <c r="P45" s="18"/>
      <c r="Q45" s="15"/>
      <c r="R45" s="16"/>
      <c r="S45" s="18"/>
      <c r="T45" s="18"/>
      <c r="U45" s="18"/>
      <c r="V45" s="17"/>
      <c r="W45" s="17"/>
      <c r="Z45" s="16"/>
      <c r="AA45" s="16"/>
    </row>
    <row r="46" spans="1:27" ht="25.95" customHeight="1">
      <c r="A46">
        <v>7532</v>
      </c>
      <c r="B46" s="4" t="str" cm="1">
        <f t="array" ref="B46">IF($A46="","",IFERROR(_xll.RssMarket($A46,"銘柄名称"),""))</f>
        <v>パンパシフィックＨＤ</v>
      </c>
      <c r="O46" s="18"/>
      <c r="P46" s="18"/>
      <c r="Q46" s="15"/>
      <c r="R46" s="16"/>
      <c r="S46" s="18"/>
      <c r="T46" s="18"/>
      <c r="U46" s="18"/>
      <c r="V46" s="17"/>
      <c r="W46" s="17"/>
      <c r="Z46" s="16"/>
      <c r="AA46" s="16"/>
    </row>
    <row r="47" spans="1:27" ht="25.95" customHeight="1">
      <c r="A47">
        <v>8267</v>
      </c>
      <c r="B47" s="4" t="str" cm="1">
        <f t="array" ref="B47">IF($A47="","",IFERROR(_xll.RssMarket($A47,"銘柄名称"),""))</f>
        <v>イオン</v>
      </c>
      <c r="Q47" s="15"/>
      <c r="R47" s="16"/>
      <c r="S47" s="16"/>
      <c r="V47" s="17"/>
      <c r="W47" s="17"/>
      <c r="Z47" s="16"/>
      <c r="AA47" s="16"/>
    </row>
    <row r="48" spans="1:27" ht="25.95" customHeight="1">
      <c r="A48">
        <v>7012</v>
      </c>
      <c r="B48" s="4" t="str" cm="1">
        <f t="array" ref="B48">IF($A48="","",IFERROR(_xll.RssMarket($A48,"銘柄名称"),""))</f>
        <v>川崎重工業</v>
      </c>
      <c r="O48" s="18"/>
      <c r="P48" s="18"/>
      <c r="Q48" s="15"/>
      <c r="R48" s="16"/>
      <c r="S48" s="18"/>
      <c r="T48" s="18"/>
      <c r="U48" s="18"/>
      <c r="V48" s="17"/>
      <c r="W48" s="17"/>
      <c r="Z48" s="16"/>
      <c r="AA48" s="16"/>
    </row>
    <row r="49" spans="1:27" ht="25.95" customHeight="1">
      <c r="A49">
        <v>8303</v>
      </c>
      <c r="B49" s="4" t="str" cm="1">
        <f t="array" ref="B49">IF($A49="","",IFERROR(_xll.RssMarket($A49,"銘柄名称"),""))</f>
        <v>ＳＢＩ新生銀行</v>
      </c>
      <c r="O49" s="18"/>
      <c r="P49" s="18"/>
      <c r="Q49" s="15"/>
      <c r="R49" s="16"/>
      <c r="S49" s="18"/>
      <c r="T49" s="18"/>
      <c r="U49" s="18"/>
      <c r="V49" s="17"/>
      <c r="W49" s="17"/>
      <c r="Z49" s="16"/>
      <c r="AA49" s="16"/>
    </row>
    <row r="50" spans="1:27" ht="25.95" customHeight="1">
      <c r="A50">
        <v>3407</v>
      </c>
      <c r="B50" s="4" t="str" cm="1">
        <f t="array" ref="B50">IF($A50="","",IFERROR(_xll.RssMarket($A50,"銘柄名称"),""))</f>
        <v>旭化成</v>
      </c>
      <c r="O50" s="18"/>
      <c r="P50" s="18"/>
      <c r="Q50" s="15"/>
      <c r="R50" s="16"/>
      <c r="S50" s="18"/>
      <c r="T50" s="18"/>
      <c r="U50" s="18"/>
      <c r="V50" s="17"/>
      <c r="W50" s="17"/>
      <c r="Z50" s="16"/>
      <c r="AA50" s="16"/>
    </row>
    <row r="51" spans="1:27" ht="25.95" customHeight="1">
      <c r="A51">
        <v>8308</v>
      </c>
      <c r="B51" s="4" t="str" cm="1">
        <f t="array" ref="B51">IF($A51="","",IFERROR(_xll.RssMarket($A51,"銘柄名称"),""))</f>
        <v>りそなホールディングス</v>
      </c>
      <c r="O51" s="18"/>
      <c r="P51" s="18"/>
      <c r="Q51" s="15"/>
      <c r="R51" s="16"/>
      <c r="S51" s="18"/>
      <c r="T51" s="18"/>
      <c r="U51" s="18"/>
      <c r="V51" s="17"/>
      <c r="W51" s="17"/>
      <c r="Z51" s="16"/>
      <c r="AA51" s="16"/>
    </row>
    <row r="52" spans="1:27" ht="25.95" customHeight="1">
      <c r="A52">
        <v>2914</v>
      </c>
      <c r="B52" s="4" t="str" cm="1">
        <f t="array" ref="B52">IF($A52="","",IFERROR(_xll.RssMarket($A52,"銘柄名称"),""))</f>
        <v>日本たばこ産業</v>
      </c>
      <c r="O52" s="18"/>
      <c r="P52" s="18"/>
      <c r="Q52" s="15"/>
      <c r="R52" s="16"/>
      <c r="S52" s="18"/>
      <c r="T52" s="18"/>
      <c r="U52" s="18"/>
      <c r="V52" s="17"/>
      <c r="W52" s="17"/>
      <c r="Z52" s="16"/>
      <c r="AA52" s="16"/>
    </row>
    <row r="53" spans="1:27" ht="25.95" customHeight="1">
      <c r="A53">
        <v>8473</v>
      </c>
      <c r="B53" s="4" t="str" cm="1">
        <f t="array" ref="B53">IF($A53="","",IFERROR(_xll.RssMarket($A53,"銘柄名称"),""))</f>
        <v>ＳＢＩホールディングス</v>
      </c>
      <c r="O53" s="18"/>
      <c r="P53" s="18"/>
      <c r="Q53" s="15"/>
      <c r="R53" s="16"/>
      <c r="S53" s="18"/>
      <c r="T53" s="18"/>
      <c r="U53" s="18"/>
      <c r="V53" s="17"/>
      <c r="W53" s="17"/>
      <c r="Z53" s="16"/>
      <c r="AA53" s="16"/>
    </row>
    <row r="54" spans="1:27" ht="25.95" customHeight="1">
      <c r="A54">
        <v>3231</v>
      </c>
      <c r="B54" s="4" t="str" cm="1">
        <f t="array" ref="B54">IF($A54="","",IFERROR(_xll.RssMarket($A54,"銘柄名称"),""))</f>
        <v>野村不動産ＨＬＤＧＳ</v>
      </c>
      <c r="O54" s="18"/>
      <c r="P54" s="18"/>
      <c r="Q54" s="15"/>
      <c r="R54" s="16"/>
      <c r="S54" s="18"/>
      <c r="T54" s="18"/>
      <c r="U54" s="18"/>
      <c r="V54" s="17"/>
      <c r="W54" s="17"/>
      <c r="Z54" s="16"/>
      <c r="AA54" s="16"/>
    </row>
    <row r="55" spans="1:27" ht="25.95" customHeight="1">
      <c r="A55">
        <v>4902</v>
      </c>
      <c r="B55" s="4" t="str" cm="1">
        <f t="array" ref="B55">IF($A55="","",IFERROR(_xll.RssMarket($A55,"銘柄名称"),""))</f>
        <v>コニカミノルタ</v>
      </c>
      <c r="Q55" s="15"/>
      <c r="R55" s="16"/>
      <c r="S55" s="16"/>
      <c r="V55" s="17"/>
      <c r="W55" s="17"/>
      <c r="Z55" s="16"/>
      <c r="AA55" s="16"/>
    </row>
    <row r="56" spans="1:27" ht="25.95" customHeight="1">
      <c r="A56">
        <v>6701</v>
      </c>
      <c r="B56" s="4" t="str" cm="1">
        <f t="array" ref="B56">IF($A56="","",IFERROR(_xll.RssMarket($A56,"銘柄名称"),""))</f>
        <v>日本電気</v>
      </c>
      <c r="Q56" s="15"/>
      <c r="R56" s="16"/>
      <c r="S56" s="16"/>
      <c r="V56" s="17"/>
      <c r="W56" s="17"/>
      <c r="Z56" s="16"/>
      <c r="AA56" s="16"/>
    </row>
    <row r="57" spans="1:27" ht="25.95" customHeight="1">
      <c r="A57">
        <v>7182</v>
      </c>
      <c r="B57" s="4" t="str" cm="1">
        <f t="array" ref="B57">IF($A57="","",IFERROR(_xll.RssMarket($A57,"銘柄名称"),""))</f>
        <v>ゆうちょ銀行</v>
      </c>
      <c r="O57" s="18"/>
      <c r="P57" s="18"/>
      <c r="Q57" s="15"/>
      <c r="R57" s="16"/>
      <c r="S57" s="18"/>
      <c r="T57" s="18"/>
      <c r="U57" s="18"/>
      <c r="V57" s="17"/>
      <c r="W57" s="17"/>
      <c r="Z57" s="16"/>
      <c r="AA57" s="16"/>
    </row>
    <row r="58" spans="1:27" ht="25.95" customHeight="1">
      <c r="A58">
        <v>7211</v>
      </c>
      <c r="B58" s="4" t="str" cm="1">
        <f t="array" ref="B58">IF($A58="","",IFERROR(_xll.RssMarket($A58,"銘柄名称"),""))</f>
        <v>三菱自動車工業</v>
      </c>
      <c r="O58" s="18"/>
      <c r="P58" s="18"/>
      <c r="Q58" s="15"/>
      <c r="R58" s="16"/>
      <c r="S58" s="18"/>
      <c r="T58" s="18"/>
      <c r="U58" s="18"/>
      <c r="V58" s="17"/>
      <c r="W58" s="17"/>
      <c r="Z58" s="16"/>
      <c r="AA58" s="16"/>
    </row>
    <row r="59" spans="1:27" ht="25.95" customHeight="1">
      <c r="A59">
        <v>8801</v>
      </c>
      <c r="B59" s="4" t="str" cm="1">
        <f t="array" ref="B59">IF($A59="","",IFERROR(_xll.RssMarket($A59,"銘柄名称"),""))</f>
        <v>三井不動産</v>
      </c>
      <c r="Q59" s="15"/>
      <c r="R59" s="16"/>
      <c r="S59" s="16"/>
      <c r="V59" s="17"/>
      <c r="W59" s="17"/>
    </row>
    <row r="60" spans="1:27" ht="25.95" customHeight="1">
      <c r="A60">
        <v>6971</v>
      </c>
      <c r="B60" s="4" t="str" cm="1">
        <f t="array" ref="B60">IF($A60="","",IFERROR(_xll.RssMarket($A60,"銘柄名称"),""))</f>
        <v>京セラ</v>
      </c>
      <c r="O60" s="18"/>
      <c r="P60" s="18"/>
      <c r="Q60" s="15"/>
      <c r="R60" s="16"/>
      <c r="S60" s="18"/>
      <c r="T60" s="18"/>
      <c r="U60" s="18"/>
      <c r="V60" s="17"/>
      <c r="W60" s="17"/>
      <c r="Z60" s="16"/>
      <c r="AA60" s="16"/>
    </row>
    <row r="61" spans="1:27" ht="25.95" customHeight="1">
      <c r="A61">
        <v>6503</v>
      </c>
      <c r="B61" s="4" t="str" cm="1">
        <f t="array" ref="B61">IF($A61="","",IFERROR(_xll.RssMarket($A61,"銘柄名称"),""))</f>
        <v>三菱電機</v>
      </c>
      <c r="O61" s="18"/>
      <c r="P61" s="18"/>
      <c r="Q61" s="15"/>
      <c r="R61" s="16"/>
      <c r="S61" s="18"/>
      <c r="T61" s="18"/>
      <c r="U61" s="18"/>
      <c r="V61" s="17"/>
      <c r="W61" s="17"/>
    </row>
    <row r="62" spans="1:27" ht="25.95" customHeight="1">
      <c r="A62">
        <v>8410</v>
      </c>
      <c r="B62" s="4" t="str" cm="1">
        <f t="array" ref="B62">IF($A62="","",IFERROR(_xll.RssMarket($A62,"銘柄名称"),""))</f>
        <v>セブン銀行</v>
      </c>
      <c r="O62" s="18"/>
      <c r="P62" s="18"/>
      <c r="Q62" s="15"/>
      <c r="R62" s="16"/>
      <c r="S62" s="18"/>
      <c r="T62" s="18"/>
      <c r="U62" s="18"/>
      <c r="V62" s="17"/>
      <c r="W62" s="17"/>
      <c r="Z62" s="16"/>
      <c r="AA62" s="16"/>
    </row>
    <row r="63" spans="1:27" ht="25.95" customHeight="1">
      <c r="A63">
        <v>2181</v>
      </c>
      <c r="B63" s="4" t="str" cm="1">
        <f t="array" ref="B63">IF($A63="","",IFERROR(_xll.RssMarket($A63,"銘柄名称"),""))</f>
        <v>パーソルホールディングス</v>
      </c>
      <c r="Q63" s="15"/>
      <c r="R63" s="16"/>
      <c r="S63" s="16"/>
      <c r="V63" s="17"/>
      <c r="W63" s="17"/>
      <c r="Z63" s="16"/>
      <c r="AA63" s="16"/>
    </row>
    <row r="64" spans="1:27" ht="25.95" customHeight="1">
      <c r="A64">
        <v>5020</v>
      </c>
      <c r="B64" s="4" t="str" cm="1">
        <f t="array" ref="B64">IF($A64="","",IFERROR(_xll.RssMarket($A64,"銘柄名称"),""))</f>
        <v>ＥＮＥＯＳホールディングス</v>
      </c>
      <c r="Q64" s="15"/>
      <c r="R64" s="16"/>
      <c r="S64" s="16"/>
      <c r="V64" s="17"/>
      <c r="W64" s="17"/>
      <c r="Z64" s="16"/>
      <c r="AA64" s="16"/>
    </row>
    <row r="65" spans="1:27" ht="25.95" customHeight="1">
      <c r="A65">
        <v>2502</v>
      </c>
      <c r="B65" s="4" t="str" cm="1">
        <f t="array" ref="B65">IF($A65="","",IFERROR(_xll.RssMarket($A65,"銘柄名称"),""))</f>
        <v>アサヒグループホールディン</v>
      </c>
      <c r="O65" s="18"/>
      <c r="P65" s="18"/>
      <c r="Q65" s="15"/>
      <c r="R65" s="16"/>
      <c r="S65" s="18"/>
      <c r="T65" s="18"/>
      <c r="U65" s="18"/>
      <c r="V65" s="17"/>
      <c r="W65" s="17"/>
      <c r="Z65" s="16"/>
      <c r="AA65" s="16"/>
    </row>
    <row r="66" spans="1:27" ht="25.95" customHeight="1">
      <c r="A66">
        <v>6954</v>
      </c>
      <c r="B66" s="4" t="str" cm="1">
        <f t="array" ref="B66">IF($A66="","",IFERROR(_xll.RssMarket($A66,"銘柄名称"),""))</f>
        <v>ファナック</v>
      </c>
      <c r="O66" s="18"/>
      <c r="P66" s="18"/>
      <c r="Q66" s="15"/>
      <c r="R66" s="16"/>
      <c r="S66" s="18"/>
      <c r="T66" s="18"/>
      <c r="U66" s="18"/>
      <c r="V66" s="17"/>
      <c r="W66" s="17"/>
      <c r="Z66" s="16"/>
      <c r="AA66" s="16"/>
    </row>
    <row r="67" spans="1:27" ht="25.95" customHeight="1">
      <c r="A67">
        <v>2127</v>
      </c>
      <c r="B67" s="4" t="str" cm="1">
        <f t="array" ref="B67">IF($A67="","",IFERROR(_xll.RssMarket($A67,"銘柄名称"),""))</f>
        <v>日本Ｍ＆Ａセンターホールデ</v>
      </c>
      <c r="O67" s="18"/>
      <c r="P67" s="18"/>
      <c r="Q67" s="15"/>
      <c r="R67" s="16"/>
      <c r="S67" s="18"/>
      <c r="T67" s="18"/>
      <c r="U67" s="18"/>
      <c r="V67" s="17"/>
      <c r="W67" s="17"/>
      <c r="Z67" s="16"/>
      <c r="AA67" s="16"/>
    </row>
    <row r="68" spans="1:27" ht="25.95" customHeight="1">
      <c r="A68">
        <v>8058</v>
      </c>
      <c r="B68" s="4" t="str" cm="1">
        <f t="array" ref="B68">IF($A68="","",IFERROR(_xll.RssMarket($A68,"銘柄名称"),""))</f>
        <v>三菱商事</v>
      </c>
      <c r="Q68" s="15"/>
      <c r="R68" s="16"/>
      <c r="S68" s="16"/>
      <c r="V68" s="17"/>
      <c r="W68" s="17"/>
      <c r="Z68" s="16"/>
      <c r="AA68" s="16"/>
    </row>
    <row r="69" spans="1:27" ht="25.95" customHeight="1">
      <c r="A69">
        <v>3382</v>
      </c>
      <c r="B69" s="4" t="str" cm="1">
        <f t="array" ref="B69">IF($A69="","",IFERROR(_xll.RssMarket($A69,"銘柄名称"),""))</f>
        <v>セブン＆アイ・ＨＬＤＧＳ</v>
      </c>
      <c r="O69" s="18"/>
      <c r="P69" s="18"/>
      <c r="Q69" s="15"/>
      <c r="R69" s="16"/>
      <c r="S69" s="18"/>
      <c r="T69" s="18"/>
      <c r="U69" s="18"/>
      <c r="V69" s="17"/>
      <c r="W69" s="17"/>
      <c r="Z69" s="16"/>
      <c r="AA69" s="16"/>
    </row>
    <row r="70" spans="1:27" ht="25.95" customHeight="1">
      <c r="A70">
        <v>8750</v>
      </c>
      <c r="B70" s="4" t="str" cm="1">
        <f t="array" ref="B70">IF($A70="","",IFERROR(_xll.RssMarket($A70,"銘柄名称"),""))</f>
        <v>第一ライフグループ</v>
      </c>
      <c r="O70" s="18"/>
      <c r="P70" s="18"/>
      <c r="Q70" s="15"/>
      <c r="R70" s="16"/>
      <c r="S70" s="18"/>
      <c r="T70" s="18"/>
      <c r="U70" s="18"/>
      <c r="V70" s="17"/>
      <c r="W70" s="17"/>
      <c r="Z70" s="16"/>
      <c r="AA70" s="16"/>
    </row>
    <row r="71" spans="1:27" ht="25.95" customHeight="1">
      <c r="A71">
        <v>7269</v>
      </c>
      <c r="B71" s="4" t="str" cm="1">
        <f t="array" ref="B71">IF($A71="","",IFERROR(_xll.RssMarket($A71,"銘柄名称"),""))</f>
        <v>スズキ</v>
      </c>
      <c r="O71" s="18"/>
      <c r="P71" s="18"/>
      <c r="Q71" s="15"/>
      <c r="R71" s="16"/>
      <c r="S71" s="18"/>
      <c r="T71" s="18"/>
      <c r="U71" s="18"/>
      <c r="V71" s="17"/>
      <c r="W71" s="17"/>
      <c r="Z71" s="16"/>
      <c r="AA71" s="16"/>
    </row>
    <row r="72" spans="1:27" ht="25.95" customHeight="1">
      <c r="A72">
        <v>7751</v>
      </c>
      <c r="B72" s="4" t="str" cm="1">
        <f t="array" ref="B72">IF($A72="","",IFERROR(_xll.RssMarket($A72,"銘柄名称"),""))</f>
        <v>キヤノン</v>
      </c>
      <c r="O72" s="18"/>
      <c r="P72" s="18"/>
      <c r="Q72" s="15"/>
      <c r="R72" s="16"/>
      <c r="S72" s="18"/>
      <c r="T72" s="18"/>
      <c r="U72" s="18"/>
      <c r="V72" s="17"/>
      <c r="W72" s="17"/>
      <c r="Z72" s="16"/>
      <c r="AA72" s="16"/>
    </row>
    <row r="73" spans="1:27" ht="25.95" customHeight="1">
      <c r="A73">
        <v>8113</v>
      </c>
      <c r="B73" s="4" t="str" cm="1">
        <f t="array" ref="B73">IF($A73="","",IFERROR(_xll.RssMarket($A73,"銘柄名称"),""))</f>
        <v>ユニ・チヤ－ム</v>
      </c>
      <c r="O73" s="18"/>
      <c r="P73" s="18"/>
      <c r="Q73" s="15"/>
      <c r="R73" s="16"/>
      <c r="S73" s="18"/>
      <c r="T73" s="18"/>
      <c r="U73" s="18"/>
      <c r="V73" s="17"/>
      <c r="W73" s="17"/>
      <c r="Z73" s="16"/>
      <c r="AA73" s="16"/>
    </row>
    <row r="74" spans="1:27" ht="25.95" customHeight="1">
      <c r="A74">
        <v>7735</v>
      </c>
      <c r="B74" s="4" t="str" cm="1">
        <f t="array" ref="B74">IF($A74="","",IFERROR(_xll.RssMarket($A74,"銘柄名称"),""))</f>
        <v>ＳＣＲＥＥＮホールディングス</v>
      </c>
      <c r="O74" s="18"/>
      <c r="P74" s="18"/>
      <c r="Q74" s="15"/>
      <c r="R74" s="16"/>
      <c r="S74" s="16"/>
      <c r="T74" s="18"/>
      <c r="U74" s="18"/>
      <c r="V74" s="17"/>
      <c r="W74" s="17"/>
      <c r="Z74" s="16"/>
      <c r="AA74" s="16"/>
    </row>
    <row r="75" spans="1:27" ht="25.95" customHeight="1">
      <c r="A75">
        <v>6506</v>
      </c>
      <c r="B75" s="4" t="str" cm="1">
        <f t="array" ref="B75">IF($A75="","",IFERROR(_xll.RssMarket($A75,"銘柄名称"),""))</f>
        <v>安川電機</v>
      </c>
      <c r="O75" s="18"/>
      <c r="P75" s="18"/>
      <c r="Q75" s="15"/>
      <c r="R75" s="16"/>
      <c r="S75" s="18"/>
      <c r="T75" s="18"/>
      <c r="U75" s="18"/>
      <c r="V75" s="17"/>
      <c r="W75" s="17"/>
      <c r="Z75" s="16"/>
      <c r="AA75" s="16"/>
    </row>
    <row r="76" spans="1:27" ht="25.95" customHeight="1">
      <c r="A76">
        <v>6963</v>
      </c>
      <c r="B76" s="4" t="str" cm="1">
        <f t="array" ref="B76">IF($A76="","",IFERROR(_xll.RssMarket($A76,"銘柄名称"),""))</f>
        <v>ローム</v>
      </c>
      <c r="O76" s="18"/>
      <c r="P76" s="18"/>
      <c r="Q76" s="15"/>
      <c r="R76" s="16"/>
      <c r="S76" s="18"/>
      <c r="T76" s="18"/>
      <c r="U76" s="18"/>
      <c r="V76" s="17"/>
      <c r="W76" s="17"/>
      <c r="Z76" s="16"/>
      <c r="AA76" s="16"/>
    </row>
    <row r="77" spans="1:27" ht="25.95" customHeight="1">
      <c r="A77">
        <v>3697</v>
      </c>
      <c r="B77" s="4" t="str" cm="1">
        <f t="array" ref="B77">IF($A77="","",IFERROR(_xll.RssMarket($A77,"銘柄名称"),""))</f>
        <v>ＳＨＩＦＴ</v>
      </c>
      <c r="O77" s="18"/>
      <c r="P77" s="18"/>
      <c r="Q77" s="15"/>
      <c r="R77" s="16"/>
      <c r="S77" s="18"/>
      <c r="T77" s="18"/>
      <c r="U77" s="18"/>
      <c r="V77" s="17"/>
      <c r="W77" s="17"/>
      <c r="Z77" s="16"/>
      <c r="AA77" s="16"/>
    </row>
    <row r="78" spans="1:27" ht="25.95" customHeight="1">
      <c r="A78">
        <v>6315</v>
      </c>
      <c r="B78" s="4" t="str" cm="1">
        <f t="array" ref="B78">IF($A78="","",IFERROR(_xll.RssMarket($A78,"銘柄名称"),""))</f>
        <v>ＴＯＷＡ</v>
      </c>
      <c r="Q78" s="15"/>
      <c r="R78" s="16"/>
      <c r="S78" s="16"/>
      <c r="V78" s="17"/>
      <c r="W78" s="17"/>
    </row>
    <row r="79" spans="1:27" ht="25.95" customHeight="1">
      <c r="A79">
        <v>4503</v>
      </c>
      <c r="B79" s="4" t="str" cm="1">
        <f t="array" ref="B79">IF($A79="","",IFERROR(_xll.RssMarket($A79,"銘柄名称"),""))</f>
        <v>アステラス製薬</v>
      </c>
      <c r="O79" s="18"/>
      <c r="P79" s="18"/>
      <c r="Q79" s="15"/>
      <c r="R79" s="16"/>
      <c r="S79" s="18"/>
      <c r="T79" s="18"/>
      <c r="U79" s="18"/>
      <c r="V79" s="17"/>
      <c r="W79" s="17"/>
      <c r="Z79" s="16"/>
      <c r="AA79" s="16"/>
    </row>
    <row r="80" spans="1:27" ht="25.95" customHeight="1">
      <c r="A80">
        <v>2146</v>
      </c>
      <c r="B80" s="4" t="str" cm="1">
        <f t="array" ref="B80">IF($A80="","",IFERROR(_xll.RssMarket($A80,"銘柄名称"),""))</f>
        <v>ＵＴグループ</v>
      </c>
      <c r="O80" s="18"/>
      <c r="P80" s="18"/>
      <c r="Q80" s="15"/>
      <c r="R80" s="16"/>
      <c r="S80" s="18"/>
      <c r="T80" s="18"/>
      <c r="U80" s="18"/>
      <c r="V80" s="17"/>
      <c r="W80" s="17"/>
      <c r="Z80" s="16"/>
      <c r="AA80" s="16"/>
    </row>
    <row r="81" spans="1:27" ht="25.95" customHeight="1">
      <c r="A81">
        <v>3861</v>
      </c>
      <c r="B81" s="4" t="str" cm="1">
        <f t="array" ref="B81">IF($A81="","",IFERROR(_xll.RssMarket($A81,"銘柄名称"),""))</f>
        <v>王子ホールディングス</v>
      </c>
      <c r="Q81" s="15"/>
      <c r="R81" s="16"/>
      <c r="S81" s="16"/>
      <c r="V81" s="17"/>
      <c r="W81" s="17"/>
      <c r="Z81" s="16"/>
      <c r="AA81" s="16"/>
    </row>
    <row r="82" spans="1:27" ht="25.95" customHeight="1">
      <c r="A82">
        <v>5411</v>
      </c>
      <c r="B82" s="4" t="str" cm="1">
        <f t="array" ref="B82">IF($A82="","",IFERROR(_xll.RssMarket($A82,"銘柄名称"),""))</f>
        <v>ＪＦＥホールディングス</v>
      </c>
      <c r="Q82" s="15"/>
      <c r="R82" s="16"/>
      <c r="S82" s="16"/>
      <c r="V82" s="17"/>
      <c r="W82" s="17"/>
      <c r="Z82" s="16"/>
      <c r="AA82" s="16"/>
    </row>
    <row r="83" spans="1:27" ht="25.95" customHeight="1">
      <c r="A83">
        <v>7261</v>
      </c>
      <c r="B83" s="4" t="str" cm="1">
        <f t="array" ref="B83">IF($A83="","",IFERROR(_xll.RssMarket($A83,"銘柄名称"),""))</f>
        <v>マツダ</v>
      </c>
      <c r="O83" s="18"/>
      <c r="P83" s="18"/>
      <c r="Q83" s="15"/>
      <c r="R83" s="16"/>
      <c r="S83" s="18"/>
      <c r="T83" s="18"/>
      <c r="U83" s="18"/>
      <c r="V83" s="17"/>
      <c r="W83" s="17"/>
      <c r="Z83" s="16"/>
      <c r="AA83" s="16"/>
    </row>
    <row r="84" spans="1:27" ht="25.95" customHeight="1">
      <c r="A84">
        <v>8601</v>
      </c>
      <c r="B84" s="4" t="str" cm="1">
        <f t="array" ref="B84">IF($A84="","",IFERROR(_xll.RssMarket($A84,"銘柄名称"),""))</f>
        <v>大和証券Ｇ本社</v>
      </c>
      <c r="O84" s="18"/>
      <c r="P84" s="18"/>
      <c r="Q84" s="15"/>
      <c r="R84" s="16"/>
      <c r="S84" s="18"/>
      <c r="T84" s="18"/>
      <c r="U84" s="18"/>
      <c r="V84" s="17"/>
      <c r="W84" s="17"/>
      <c r="Z84" s="16"/>
      <c r="AA84" s="16"/>
    </row>
    <row r="85" spans="1:27" ht="25.95" customHeight="1">
      <c r="A85">
        <v>6471</v>
      </c>
      <c r="B85" s="4" t="str" cm="1">
        <f t="array" ref="B85">IF($A85="","",IFERROR(_xll.RssMarket($A85,"銘柄名称"),""))</f>
        <v>日本精工</v>
      </c>
      <c r="O85" s="18"/>
      <c r="P85" s="18"/>
      <c r="Q85" s="15"/>
      <c r="R85" s="16"/>
      <c r="S85" s="18"/>
      <c r="T85" s="18"/>
      <c r="U85" s="18"/>
      <c r="V85" s="17"/>
      <c r="W85" s="17"/>
      <c r="Z85" s="16"/>
      <c r="AA85" s="16"/>
    </row>
    <row r="86" spans="1:27" ht="25.95" customHeight="1">
      <c r="A86">
        <v>2413</v>
      </c>
      <c r="B86" s="4" t="str" cm="1">
        <f t="array" ref="B86">IF($A86="","",IFERROR(_xll.RssMarket($A86,"銘柄名称"),""))</f>
        <v>エムスリー</v>
      </c>
      <c r="O86" s="18"/>
      <c r="P86" s="18"/>
      <c r="Q86" s="15"/>
      <c r="R86" s="16"/>
      <c r="S86" s="18"/>
      <c r="T86" s="18"/>
      <c r="U86" s="18"/>
      <c r="V86" s="17"/>
      <c r="W86" s="17"/>
      <c r="Z86" s="16"/>
      <c r="AA86" s="16"/>
    </row>
    <row r="87" spans="1:27" ht="25.95" customHeight="1">
      <c r="A87">
        <v>4502</v>
      </c>
      <c r="B87" s="4" t="str" cm="1">
        <f t="array" ref="B87">IF($A87="","",IFERROR(_xll.RssMarket($A87,"銘柄名称"),""))</f>
        <v>武田薬品</v>
      </c>
      <c r="O87" s="18"/>
      <c r="P87" s="18"/>
      <c r="Q87" s="15"/>
      <c r="R87" s="16"/>
      <c r="S87" s="18"/>
      <c r="T87" s="18"/>
      <c r="U87" s="18"/>
      <c r="V87" s="17"/>
      <c r="W87" s="17"/>
      <c r="Z87" s="16"/>
      <c r="AA87" s="16"/>
    </row>
    <row r="88" spans="1:27" ht="25.95" customHeight="1">
      <c r="A88">
        <v>4307</v>
      </c>
      <c r="B88" s="4" t="str" cm="1">
        <f t="array" ref="B88">IF($A88="","",IFERROR(_xll.RssMarket($A88,"銘柄名称"),""))</f>
        <v>野村総合研究所</v>
      </c>
      <c r="O88" s="18"/>
      <c r="P88" s="18"/>
      <c r="Q88" s="15"/>
      <c r="R88" s="16"/>
      <c r="S88" s="18"/>
      <c r="T88" s="18"/>
      <c r="U88" s="18"/>
      <c r="V88" s="17"/>
      <c r="W88" s="17"/>
      <c r="Z88" s="16"/>
      <c r="AA88" s="16"/>
    </row>
    <row r="89" spans="1:27" ht="25.95" customHeight="1">
      <c r="A89">
        <v>3110</v>
      </c>
      <c r="B89" s="4" t="str" cm="1">
        <f t="array" ref="B89">IF($A89="","",IFERROR(_xll.RssMarket($A89,"銘柄名称"),""))</f>
        <v>日東紡績</v>
      </c>
      <c r="O89" s="18"/>
      <c r="P89" s="18"/>
      <c r="Q89" s="15"/>
      <c r="R89" s="16"/>
      <c r="S89" s="18"/>
      <c r="T89" s="18"/>
      <c r="U89" s="18"/>
      <c r="V89" s="17"/>
      <c r="W89" s="17"/>
      <c r="Z89" s="16"/>
      <c r="AA89" s="16"/>
    </row>
    <row r="90" spans="1:27" ht="25.95" customHeight="1">
      <c r="A90">
        <v>8593</v>
      </c>
      <c r="B90" s="4" t="str" cm="1">
        <f t="array" ref="B90">IF($A90="","",IFERROR(_xll.RssMarket($A90,"銘柄名称"),""))</f>
        <v>三菱ＨＣキャピタル</v>
      </c>
      <c r="O90" s="18"/>
      <c r="P90" s="18"/>
      <c r="Q90" s="15"/>
      <c r="R90" s="16"/>
      <c r="S90" s="18"/>
      <c r="T90" s="18"/>
      <c r="U90" s="18"/>
      <c r="V90" s="17"/>
      <c r="W90" s="17"/>
      <c r="Z90" s="16"/>
      <c r="AA90" s="16"/>
    </row>
    <row r="91" spans="1:27" ht="25.95" customHeight="1">
      <c r="A91">
        <v>1942</v>
      </c>
      <c r="B91" s="4" t="str" cm="1">
        <f t="array" ref="B91">IF($A91="","",IFERROR(_xll.RssMarket($A91,"銘柄名称"),""))</f>
        <v>関電工</v>
      </c>
      <c r="O91" s="18"/>
      <c r="P91" s="18"/>
      <c r="Q91" s="15"/>
      <c r="R91" s="16"/>
      <c r="S91" s="18"/>
      <c r="T91" s="18"/>
      <c r="U91" s="18"/>
      <c r="V91" s="17"/>
      <c r="W91" s="17"/>
      <c r="Z91" s="16"/>
      <c r="AA91" s="16"/>
    </row>
    <row r="92" spans="1:27" ht="25.95" customHeight="1">
      <c r="A92">
        <v>2802</v>
      </c>
      <c r="B92" s="4" t="str" cm="1">
        <f t="array" ref="B92">IF($A92="","",IFERROR(_xll.RssMarket($A92,"銘柄名称"),""))</f>
        <v>味の素</v>
      </c>
      <c r="O92" s="18"/>
      <c r="P92" s="18"/>
      <c r="Q92" s="15"/>
      <c r="R92" s="16"/>
      <c r="S92" s="18"/>
      <c r="T92" s="18"/>
      <c r="U92" s="18"/>
      <c r="V92" s="17"/>
      <c r="W92" s="17"/>
      <c r="Z92" s="16"/>
      <c r="AA92" s="16"/>
    </row>
    <row r="93" spans="1:27" ht="25.95" customHeight="1">
      <c r="A93">
        <v>7259</v>
      </c>
      <c r="B93" s="4" t="str" cm="1">
        <f t="array" ref="B93">IF($A93="","",IFERROR(_xll.RssMarket($A93,"銘柄名称"),""))</f>
        <v>アイシン</v>
      </c>
      <c r="O93" s="18"/>
      <c r="P93" s="18"/>
      <c r="Q93" s="15"/>
      <c r="R93" s="16"/>
      <c r="S93" s="18"/>
      <c r="T93" s="18"/>
      <c r="U93" s="18"/>
      <c r="V93" s="17"/>
      <c r="W93" s="17"/>
      <c r="Z93" s="16"/>
      <c r="AA93" s="16"/>
    </row>
    <row r="94" spans="1:27" ht="25.95" customHeight="1">
      <c r="A94">
        <v>6178</v>
      </c>
      <c r="B94" s="4" t="str" cm="1">
        <f t="array" ref="B94">IF($A94="","",IFERROR(_xll.RssMarket($A94,"銘柄名称"),""))</f>
        <v>日本郵政</v>
      </c>
      <c r="O94" s="18"/>
      <c r="P94" s="18"/>
      <c r="Q94" s="15"/>
      <c r="R94" s="16"/>
      <c r="S94" s="18"/>
      <c r="T94" s="18"/>
      <c r="U94" s="18"/>
      <c r="V94" s="17"/>
      <c r="W94" s="17"/>
      <c r="Z94" s="16"/>
      <c r="AA94" s="16"/>
    </row>
    <row r="95" spans="1:27" ht="25.95" customHeight="1">
      <c r="A95">
        <v>7272</v>
      </c>
      <c r="B95" s="4" t="str" cm="1">
        <f t="array" ref="B95">IF($A95="","",IFERROR(_xll.RssMarket($A95,"銘柄名称"),""))</f>
        <v>ヤマハ発動機</v>
      </c>
      <c r="O95" s="18"/>
      <c r="P95" s="18"/>
      <c r="Q95" s="15"/>
      <c r="R95" s="16"/>
      <c r="S95" s="18"/>
      <c r="T95" s="18"/>
      <c r="U95" s="18"/>
      <c r="V95" s="17"/>
      <c r="W95" s="17"/>
      <c r="Z95" s="16"/>
      <c r="AA95" s="16"/>
    </row>
    <row r="96" spans="1:27" ht="25.95" customHeight="1">
      <c r="A96">
        <v>8697</v>
      </c>
      <c r="B96" s="4" t="str" cm="1">
        <f t="array" ref="B96">IF($A96="","",IFERROR(_xll.RssMarket($A96,"銘柄名称"),""))</f>
        <v>日本取引所グループ</v>
      </c>
      <c r="O96" s="18"/>
      <c r="P96" s="18"/>
      <c r="Q96" s="15"/>
      <c r="R96" s="16"/>
      <c r="S96" s="18"/>
      <c r="T96" s="18"/>
      <c r="U96" s="18"/>
      <c r="V96" s="17"/>
      <c r="W96" s="17"/>
      <c r="Z96" s="16"/>
      <c r="AA96" s="16"/>
    </row>
    <row r="97" spans="1:27" ht="25.95" customHeight="1">
      <c r="A97">
        <v>6920</v>
      </c>
      <c r="B97" s="4" t="str" cm="1">
        <f t="array" ref="B97">IF($A97="","",IFERROR(_xll.RssMarket($A97,"銘柄名称"),""))</f>
        <v>レーザーテック</v>
      </c>
      <c r="O97" s="18"/>
      <c r="P97" s="18"/>
      <c r="Q97" s="15"/>
      <c r="R97" s="16"/>
      <c r="S97" s="18"/>
      <c r="T97" s="18"/>
      <c r="U97" s="18"/>
      <c r="V97" s="17"/>
      <c r="W97" s="17"/>
      <c r="Z97" s="16"/>
      <c r="AA97" s="16"/>
    </row>
    <row r="98" spans="1:27" ht="25.95" customHeight="1">
      <c r="A98">
        <v>1803</v>
      </c>
      <c r="B98" s="4" t="str" cm="1">
        <f t="array" ref="B98">IF($A98="","",IFERROR(_xll.RssMarket($A98,"銘柄名称"),""))</f>
        <v>清水建設</v>
      </c>
      <c r="O98" s="18"/>
      <c r="P98" s="18"/>
      <c r="Q98" s="15"/>
      <c r="R98" s="16"/>
      <c r="S98" s="18"/>
      <c r="T98" s="18"/>
      <c r="U98" s="18"/>
      <c r="V98" s="17"/>
      <c r="W98" s="17"/>
      <c r="Z98" s="16"/>
      <c r="AA98" s="16"/>
    </row>
    <row r="99" spans="1:27" ht="25.95" customHeight="1">
      <c r="A99">
        <v>8031</v>
      </c>
      <c r="B99" s="4" t="str" cm="1">
        <f t="array" ref="B99">IF($A99="","",IFERROR(_xll.RssMarket($A99,"銘柄名称"),""))</f>
        <v>三井物産</v>
      </c>
      <c r="O99" s="18"/>
      <c r="P99" s="18"/>
      <c r="Q99" s="15"/>
      <c r="R99" s="16"/>
      <c r="S99" s="18"/>
      <c r="T99" s="18"/>
      <c r="U99" s="18"/>
      <c r="V99" s="17"/>
      <c r="W99" s="17"/>
      <c r="Z99" s="16"/>
      <c r="AA99" s="16"/>
    </row>
    <row r="100" spans="1:27" ht="25.95" customHeight="1">
      <c r="A100">
        <v>6472</v>
      </c>
      <c r="B100" s="4" t="str" cm="1">
        <f t="array" ref="B100">IF($A100="","",IFERROR(_xll.RssMarket($A100,"銘柄名称"),""))</f>
        <v>ＮＴＮ</v>
      </c>
      <c r="O100" s="18"/>
      <c r="P100" s="18"/>
      <c r="Q100" s="15"/>
      <c r="R100" s="16"/>
      <c r="S100" s="18"/>
      <c r="T100" s="18"/>
      <c r="U100" s="18"/>
      <c r="V100" s="17"/>
      <c r="W100" s="17"/>
      <c r="Z100" s="16"/>
      <c r="AA100" s="16"/>
    </row>
    <row r="101" spans="1:27" ht="25.95" customHeight="1">
      <c r="A101">
        <v>5938</v>
      </c>
      <c r="B101" s="4" t="str" cm="1">
        <f t="array" ref="B101">IF($A101="","",IFERROR(_xll.RssMarket($A101,"銘柄名称"),""))</f>
        <v>ＬＩＸＩＬ</v>
      </c>
      <c r="Q101" s="15"/>
      <c r="R101" s="16"/>
      <c r="S101" s="16"/>
      <c r="V101" s="17"/>
      <c r="W101" s="17"/>
      <c r="Z101" s="16"/>
      <c r="AA101" s="16"/>
    </row>
    <row r="102" spans="1:27" ht="25.95" customHeight="1">
      <c r="B102" s="4"/>
      <c r="O102" s="18"/>
      <c r="P102" s="18"/>
      <c r="Q102" s="15"/>
      <c r="R102" s="16"/>
      <c r="S102" s="18"/>
      <c r="T102" s="18"/>
      <c r="U102" s="18"/>
      <c r="V102" s="17"/>
      <c r="W102" s="17"/>
      <c r="Z102" s="16"/>
      <c r="AA102" s="16"/>
    </row>
    <row r="103" spans="1:27" ht="25.95" customHeight="1">
      <c r="B103" s="4"/>
    </row>
    <row r="104" spans="1:27" ht="25.95" customHeight="1">
      <c r="B104" s="4"/>
    </row>
    <row r="105" spans="1:27" ht="25.95" customHeight="1">
      <c r="B105" s="4"/>
    </row>
    <row r="106" spans="1:27" ht="25.95" customHeight="1">
      <c r="B106" s="4"/>
    </row>
    <row r="107" spans="1:27" ht="25.95" customHeight="1">
      <c r="B107" s="4"/>
    </row>
    <row r="108" spans="1:27" ht="25.95" customHeight="1">
      <c r="B108" s="4"/>
    </row>
    <row r="109" spans="1:27" ht="25.95" customHeight="1">
      <c r="B109" s="4"/>
    </row>
    <row r="110" spans="1:27" ht="25.95" customHeight="1">
      <c r="B110" s="4"/>
    </row>
    <row r="111" spans="1:27" ht="25.95" customHeight="1">
      <c r="B111" s="4"/>
    </row>
    <row r="112" spans="1:27" ht="25.95" customHeight="1">
      <c r="B112" s="4"/>
    </row>
    <row r="113" spans="2:2" ht="25.95" customHeight="1">
      <c r="B113" s="4"/>
    </row>
    <row r="114" spans="2:2" ht="25.95" customHeight="1">
      <c r="B114" s="4"/>
    </row>
    <row r="115" spans="2:2" ht="25.95" customHeight="1">
      <c r="B115" s="4"/>
    </row>
    <row r="116" spans="2:2" ht="25.95" customHeight="1">
      <c r="B116" s="4"/>
    </row>
    <row r="117" spans="2:2" ht="25.95" customHeight="1">
      <c r="B117" s="4"/>
    </row>
    <row r="118" spans="2:2" ht="25.95" customHeight="1">
      <c r="B118" s="4"/>
    </row>
    <row r="119" spans="2:2" ht="25.95" customHeight="1">
      <c r="B119" s="4"/>
    </row>
    <row r="120" spans="2:2" ht="25.95" customHeight="1">
      <c r="B120" s="4"/>
    </row>
    <row r="121" spans="2:2" ht="25.95" customHeight="1">
      <c r="B121" s="4"/>
    </row>
    <row r="122" spans="2:2" ht="25.95" customHeight="1">
      <c r="B122" s="4"/>
    </row>
    <row r="123" spans="2:2" ht="25.95" customHeight="1">
      <c r="B123" s="4"/>
    </row>
    <row r="124" spans="2:2" ht="25.95" customHeight="1">
      <c r="B124" s="4"/>
    </row>
    <row r="125" spans="2:2" ht="25.95" customHeight="1">
      <c r="B125" s="4"/>
    </row>
    <row r="126" spans="2:2" ht="25.95" customHeight="1">
      <c r="B126" s="4"/>
    </row>
    <row r="127" spans="2:2" ht="25.95" customHeight="1">
      <c r="B127" s="4"/>
    </row>
    <row r="128" spans="2:2" ht="25.95" customHeight="1">
      <c r="B128" s="4"/>
    </row>
    <row r="129" spans="2:2" ht="25.95" customHeight="1">
      <c r="B129" s="4"/>
    </row>
    <row r="130" spans="2:2" ht="25.95" customHeight="1">
      <c r="B130" s="4"/>
    </row>
    <row r="131" spans="2:2" ht="25.95" customHeight="1">
      <c r="B131" s="4"/>
    </row>
    <row r="132" spans="2:2" ht="25.95" customHeight="1">
      <c r="B132" s="4"/>
    </row>
    <row r="133" spans="2:2" ht="25.95" customHeight="1">
      <c r="B133" s="4"/>
    </row>
    <row r="134" spans="2:2" ht="25.95" customHeight="1">
      <c r="B134" s="4"/>
    </row>
    <row r="135" spans="2:2" ht="25.95" customHeight="1">
      <c r="B135" s="4"/>
    </row>
    <row r="136" spans="2:2" ht="25.95" customHeight="1">
      <c r="B136" s="4"/>
    </row>
    <row r="137" spans="2:2" ht="25.95" customHeight="1">
      <c r="B137" s="4"/>
    </row>
    <row r="138" spans="2:2" ht="25.95" customHeight="1">
      <c r="B138" s="4"/>
    </row>
    <row r="139" spans="2:2" ht="25.95" customHeight="1">
      <c r="B139" s="4"/>
    </row>
    <row r="140" spans="2:2" ht="25.95" customHeight="1">
      <c r="B140" s="4"/>
    </row>
    <row r="141" spans="2:2" ht="25.95" customHeight="1">
      <c r="B141" s="4"/>
    </row>
    <row r="142" spans="2:2" ht="25.95" customHeight="1">
      <c r="B142" s="4"/>
    </row>
    <row r="143" spans="2:2" ht="25.95" customHeight="1">
      <c r="B143" s="4"/>
    </row>
    <row r="144" spans="2:2" ht="25.95" customHeight="1">
      <c r="B144" s="4"/>
    </row>
    <row r="145" spans="2:2" ht="25.95" customHeight="1">
      <c r="B145" s="4"/>
    </row>
    <row r="146" spans="2:2" ht="25.95" customHeight="1">
      <c r="B146" s="4"/>
    </row>
    <row r="147" spans="2:2" ht="25.95" customHeight="1">
      <c r="B147" s="4"/>
    </row>
    <row r="148" spans="2:2" ht="25.95" customHeight="1">
      <c r="B148" s="4"/>
    </row>
    <row r="149" spans="2:2" ht="25.95" customHeight="1">
      <c r="B149" s="4"/>
    </row>
    <row r="150" spans="2:2" ht="25.95" customHeight="1">
      <c r="B150" s="4"/>
    </row>
    <row r="151" spans="2:2" ht="25.95" customHeight="1">
      <c r="B151" s="4"/>
    </row>
    <row r="152" spans="2:2" ht="25.95" customHeight="1">
      <c r="B152" s="4"/>
    </row>
    <row r="153" spans="2:2" ht="25.95" customHeight="1">
      <c r="B153" s="4"/>
    </row>
    <row r="154" spans="2:2" ht="25.95" customHeight="1">
      <c r="B154" s="4"/>
    </row>
    <row r="155" spans="2:2" ht="25.95" customHeight="1">
      <c r="B155" s="4"/>
    </row>
    <row r="156" spans="2:2" ht="25.95" customHeight="1">
      <c r="B156" s="4"/>
    </row>
    <row r="157" spans="2:2" ht="25.95" customHeight="1">
      <c r="B157" s="4"/>
    </row>
    <row r="158" spans="2:2" ht="25.95" customHeight="1">
      <c r="B158" s="4"/>
    </row>
    <row r="159" spans="2:2" ht="25.95" customHeight="1">
      <c r="B159" s="4"/>
    </row>
    <row r="160" spans="2:2" ht="25.95" customHeight="1">
      <c r="B160" s="4"/>
    </row>
    <row r="161" spans="2:2" ht="25.95" customHeight="1">
      <c r="B161" s="4"/>
    </row>
    <row r="162" spans="2:2" ht="25.95" customHeight="1">
      <c r="B162" s="4"/>
    </row>
    <row r="163" spans="2:2" ht="25.95" customHeight="1">
      <c r="B163" s="4"/>
    </row>
    <row r="164" spans="2:2" ht="25.95" customHeight="1">
      <c r="B164" s="4"/>
    </row>
    <row r="165" spans="2:2" ht="25.95" customHeight="1">
      <c r="B165" s="4"/>
    </row>
    <row r="166" spans="2:2" ht="25.95" customHeight="1">
      <c r="B166" s="4"/>
    </row>
    <row r="167" spans="2:2" ht="25.95" customHeight="1">
      <c r="B167" s="4"/>
    </row>
    <row r="168" spans="2:2" ht="25.95" customHeight="1">
      <c r="B168" s="4"/>
    </row>
    <row r="169" spans="2:2" ht="25.95" customHeight="1">
      <c r="B169" s="4"/>
    </row>
    <row r="170" spans="2:2" ht="25.95" customHeight="1">
      <c r="B170" s="4"/>
    </row>
    <row r="171" spans="2:2" ht="25.95" customHeight="1">
      <c r="B171" s="4"/>
    </row>
    <row r="172" spans="2:2" ht="25.95" customHeight="1">
      <c r="B172" s="4"/>
    </row>
    <row r="173" spans="2:2" ht="25.95" customHeight="1">
      <c r="B173" s="4"/>
    </row>
    <row r="174" spans="2:2" ht="25.95" customHeight="1">
      <c r="B174" s="4"/>
    </row>
    <row r="175" spans="2:2" ht="25.95" customHeight="1">
      <c r="B175" s="4"/>
    </row>
    <row r="176" spans="2:2" ht="25.95" customHeight="1">
      <c r="B176" s="4"/>
    </row>
    <row r="177" spans="1:2" ht="25.95" customHeight="1">
      <c r="B177" s="4"/>
    </row>
    <row r="178" spans="1:2" ht="25.95" customHeight="1">
      <c r="B178" s="4"/>
    </row>
    <row r="179" spans="1:2" ht="25.95" customHeight="1">
      <c r="B179" s="4"/>
    </row>
    <row r="180" spans="1:2" ht="25.95" customHeight="1">
      <c r="A180" s="4"/>
      <c r="B180" s="4"/>
    </row>
    <row r="181" spans="1:2" ht="25.95" customHeight="1">
      <c r="A181" s="4"/>
      <c r="B181" s="4"/>
    </row>
    <row r="182" spans="1:2" ht="25.95" customHeight="1">
      <c r="A182" s="4"/>
      <c r="B182" s="4"/>
    </row>
    <row r="183" spans="1:2" ht="25.95" customHeight="1">
      <c r="A183" s="4"/>
      <c r="B183" s="4"/>
    </row>
    <row r="184" spans="1:2" ht="25.95" customHeight="1">
      <c r="A184" s="4"/>
      <c r="B184" s="4"/>
    </row>
    <row r="185" spans="1:2" ht="25.95" customHeight="1">
      <c r="A185" s="4"/>
      <c r="B185" s="4"/>
    </row>
    <row r="186" spans="1:2" ht="25.95" customHeight="1">
      <c r="A186" s="4"/>
      <c r="B186" s="4"/>
    </row>
    <row r="187" spans="1:2" ht="25.95" customHeight="1">
      <c r="A187" s="4"/>
      <c r="B187" s="4"/>
    </row>
    <row r="188" spans="1:2" ht="25.95" customHeight="1">
      <c r="A188" s="4"/>
      <c r="B188" s="4"/>
    </row>
    <row r="189" spans="1:2" ht="25.95" customHeight="1">
      <c r="A189" s="4"/>
      <c r="B189" s="4"/>
    </row>
    <row r="190" spans="1:2" ht="25.95" customHeight="1">
      <c r="A190" s="4"/>
      <c r="B190" s="4"/>
    </row>
    <row r="191" spans="1:2" ht="25.95" customHeight="1">
      <c r="A191" s="4"/>
      <c r="B191" s="4"/>
    </row>
    <row r="192" spans="1:2" ht="25.95" customHeight="1">
      <c r="A192" s="4"/>
      <c r="B192" s="4"/>
    </row>
    <row r="193" spans="1:2" ht="25.95" customHeight="1">
      <c r="A193" s="4"/>
      <c r="B193" s="4"/>
    </row>
    <row r="194" spans="1:2" ht="25.95" customHeight="1">
      <c r="A194" s="4"/>
      <c r="B194" s="4"/>
    </row>
    <row r="195" spans="1:2" ht="25.95" customHeight="1">
      <c r="A195" s="4"/>
      <c r="B195" s="4"/>
    </row>
    <row r="196" spans="1:2" ht="25.95" customHeight="1">
      <c r="A196" s="4"/>
      <c r="B196" s="4"/>
    </row>
    <row r="197" spans="1:2" ht="25.95" customHeight="1">
      <c r="A197" s="4"/>
      <c r="B197" s="4"/>
    </row>
    <row r="198" spans="1:2" ht="25.95" customHeight="1">
      <c r="A198" s="4"/>
      <c r="B198" s="4"/>
    </row>
    <row r="199" spans="1:2" ht="25.95" customHeight="1">
      <c r="A199" s="4"/>
      <c r="B199" s="4"/>
    </row>
    <row r="200" spans="1:2" ht="25.95" customHeight="1">
      <c r="A200" s="4"/>
      <c r="B200" s="4"/>
    </row>
    <row r="201" spans="1:2" ht="25.95" customHeight="1">
      <c r="A201" s="4"/>
      <c r="B201" s="4"/>
    </row>
    <row r="202" spans="1:2" ht="25.95" customHeight="1">
      <c r="A202" s="4"/>
      <c r="B202" s="4"/>
    </row>
    <row r="203" spans="1:2" ht="25.95" customHeight="1">
      <c r="A203" s="4"/>
      <c r="B203" s="4"/>
    </row>
    <row r="204" spans="1:2" ht="25.95" customHeight="1">
      <c r="A204" s="4"/>
      <c r="B204" s="4"/>
    </row>
    <row r="205" spans="1:2" ht="25.95" customHeight="1">
      <c r="A205" s="4"/>
      <c r="B205" s="4"/>
    </row>
    <row r="206" spans="1:2" ht="25.95" customHeight="1">
      <c r="A206" s="4"/>
      <c r="B206" s="4"/>
    </row>
    <row r="207" spans="1:2" ht="25.95" customHeight="1">
      <c r="A207" s="4"/>
      <c r="B207" s="4"/>
    </row>
    <row r="208" spans="1:2" ht="25.95" customHeight="1">
      <c r="A208" s="4"/>
      <c r="B208" s="4"/>
    </row>
    <row r="209" spans="1:2" ht="25.95" customHeight="1">
      <c r="A209" s="4"/>
      <c r="B209" s="4"/>
    </row>
    <row r="210" spans="1:2" ht="25.95" customHeight="1">
      <c r="A210" s="4"/>
      <c r="B210" s="4"/>
    </row>
    <row r="211" spans="1:2" ht="25.95" customHeight="1">
      <c r="A211" s="4"/>
      <c r="B211" s="4"/>
    </row>
    <row r="212" spans="1:2" ht="25.95" customHeight="1">
      <c r="A212" s="4"/>
      <c r="B212" s="4"/>
    </row>
    <row r="213" spans="1:2" ht="25.95" customHeight="1">
      <c r="A213" s="4"/>
      <c r="B213" s="4"/>
    </row>
    <row r="214" spans="1:2" ht="25.95" customHeight="1">
      <c r="A214" s="4"/>
      <c r="B214" s="4"/>
    </row>
    <row r="215" spans="1:2" ht="25.95" customHeight="1">
      <c r="A215" s="4"/>
      <c r="B215" s="4"/>
    </row>
    <row r="216" spans="1:2" ht="25.95" customHeight="1">
      <c r="A216" s="4"/>
      <c r="B216" s="4"/>
    </row>
    <row r="217" spans="1:2" ht="25.95" customHeight="1">
      <c r="A217" s="4"/>
      <c r="B217" s="4"/>
    </row>
    <row r="218" spans="1:2" ht="25.95" customHeight="1">
      <c r="A218" s="4"/>
      <c r="B218" s="4"/>
    </row>
    <row r="219" spans="1:2" ht="25.95" customHeight="1">
      <c r="A219" s="4"/>
      <c r="B219" s="4"/>
    </row>
    <row r="220" spans="1:2" ht="25.95" customHeight="1">
      <c r="A220" s="4"/>
      <c r="B220" s="4"/>
    </row>
    <row r="221" spans="1:2" ht="25.95" customHeight="1">
      <c r="A221" s="4"/>
      <c r="B221" s="4"/>
    </row>
    <row r="222" spans="1:2" ht="25.95" customHeight="1">
      <c r="A222" s="4"/>
      <c r="B222" s="4"/>
    </row>
    <row r="223" spans="1:2" ht="25.95" customHeight="1">
      <c r="A223" s="4"/>
      <c r="B223" s="4"/>
    </row>
    <row r="224" spans="1:2" ht="25.95" customHeight="1">
      <c r="A224" s="4"/>
      <c r="B224" s="4"/>
    </row>
    <row r="225" spans="1:2" ht="25.95" customHeight="1">
      <c r="A225" s="4"/>
      <c r="B225" s="4"/>
    </row>
    <row r="226" spans="1:2" ht="25.95" customHeight="1">
      <c r="A226" s="4"/>
      <c r="B226" s="4"/>
    </row>
    <row r="227" spans="1:2" ht="25.95" customHeight="1">
      <c r="A227" s="4"/>
      <c r="B227" s="4"/>
    </row>
    <row r="228" spans="1:2" ht="25.95" customHeight="1">
      <c r="A228" s="4"/>
      <c r="B228" s="4"/>
    </row>
    <row r="229" spans="1:2" ht="25.95" customHeight="1">
      <c r="A229" s="4"/>
      <c r="B229" s="4"/>
    </row>
    <row r="230" spans="1:2" ht="25.95" customHeight="1">
      <c r="A230" s="4"/>
      <c r="B230" s="4"/>
    </row>
    <row r="231" spans="1:2" ht="25.95" customHeight="1">
      <c r="A231" s="4"/>
      <c r="B231" s="4"/>
    </row>
    <row r="232" spans="1:2" ht="25.95" customHeight="1">
      <c r="A232" s="4"/>
      <c r="B232" s="4"/>
    </row>
    <row r="233" spans="1:2" ht="25.95" customHeight="1">
      <c r="A233" s="4"/>
      <c r="B233" s="4"/>
    </row>
    <row r="234" spans="1:2" ht="25.95" customHeight="1">
      <c r="A234" s="4"/>
      <c r="B234" s="4"/>
    </row>
    <row r="235" spans="1:2" ht="25.95" customHeight="1">
      <c r="A235" s="4"/>
      <c r="B235" s="4"/>
    </row>
    <row r="236" spans="1:2" ht="25.95" customHeight="1">
      <c r="A236" s="4"/>
      <c r="B236" s="4"/>
    </row>
    <row r="237" spans="1:2" ht="25.95" customHeight="1">
      <c r="A237" s="4"/>
      <c r="B237" s="4"/>
    </row>
    <row r="238" spans="1:2" ht="25.95" customHeight="1">
      <c r="A238" s="4"/>
      <c r="B238" s="4"/>
    </row>
    <row r="239" spans="1:2" ht="25.95" customHeight="1">
      <c r="A239" s="4"/>
      <c r="B239" s="4"/>
    </row>
    <row r="240" spans="1:2" ht="25.95" customHeight="1">
      <c r="A240" s="4"/>
      <c r="B240" s="4"/>
    </row>
    <row r="241" spans="1:2" ht="25.95" customHeight="1">
      <c r="A241" s="4"/>
      <c r="B241" s="4"/>
    </row>
    <row r="242" spans="1:2" ht="25.95" customHeight="1">
      <c r="A242" s="4"/>
      <c r="B242" s="4"/>
    </row>
    <row r="243" spans="1:2" ht="25.95" customHeight="1">
      <c r="A243" s="4"/>
      <c r="B243" s="4"/>
    </row>
    <row r="244" spans="1:2" ht="25.95" customHeight="1">
      <c r="A244" s="4"/>
      <c r="B244" s="4"/>
    </row>
    <row r="245" spans="1:2" ht="25.95" customHeight="1">
      <c r="A245" s="4"/>
      <c r="B245" s="4"/>
    </row>
    <row r="246" spans="1:2" ht="25.95" customHeight="1">
      <c r="A246" s="4"/>
      <c r="B246" s="4"/>
    </row>
    <row r="247" spans="1:2" ht="25.95" customHeight="1">
      <c r="A247" s="4"/>
      <c r="B247" s="4"/>
    </row>
    <row r="248" spans="1:2" ht="25.95" customHeight="1">
      <c r="A248" s="4"/>
      <c r="B248" s="4"/>
    </row>
    <row r="249" spans="1:2" ht="25.95" customHeight="1">
      <c r="A249" s="4"/>
      <c r="B249" s="4"/>
    </row>
    <row r="250" spans="1:2" ht="25.95" customHeight="1">
      <c r="A250" s="4"/>
      <c r="B250" s="4"/>
    </row>
    <row r="251" spans="1:2" ht="25.95" customHeight="1">
      <c r="A251" s="4"/>
      <c r="B251" s="4"/>
    </row>
    <row r="252" spans="1:2" ht="25.95" customHeight="1">
      <c r="A252" s="4"/>
      <c r="B252" s="4"/>
    </row>
    <row r="253" spans="1:2" ht="25.95" customHeight="1">
      <c r="A253" s="4"/>
      <c r="B253" s="4"/>
    </row>
    <row r="254" spans="1:2" ht="25.95" customHeight="1">
      <c r="A254" s="4"/>
      <c r="B254" s="4"/>
    </row>
    <row r="255" spans="1:2" ht="25.95" customHeight="1">
      <c r="A255" s="4"/>
      <c r="B255" s="4"/>
    </row>
    <row r="256" spans="1:2" ht="25.95" customHeight="1">
      <c r="A256" s="4"/>
      <c r="B256" s="4"/>
    </row>
    <row r="257" spans="1:2" ht="25.95" customHeight="1">
      <c r="A257" s="4"/>
      <c r="B257" s="4"/>
    </row>
    <row r="258" spans="1:2" ht="25.95" customHeight="1">
      <c r="A258" s="4"/>
      <c r="B258" s="4"/>
    </row>
    <row r="259" spans="1:2" ht="25.95" customHeight="1">
      <c r="A259" s="4"/>
      <c r="B259" s="4"/>
    </row>
    <row r="260" spans="1:2" ht="25.95" customHeight="1">
      <c r="A260" s="4"/>
      <c r="B260" s="4"/>
    </row>
    <row r="261" spans="1:2" ht="25.95" customHeight="1">
      <c r="A261" s="4"/>
      <c r="B261" s="4"/>
    </row>
    <row r="262" spans="1:2" ht="25.95" customHeight="1">
      <c r="A262" s="4"/>
      <c r="B262" s="4"/>
    </row>
    <row r="263" spans="1:2" ht="25.95" customHeight="1">
      <c r="A263" s="4"/>
      <c r="B263" s="4"/>
    </row>
    <row r="264" spans="1:2" ht="25.95" customHeight="1">
      <c r="A264" s="4"/>
      <c r="B264" s="4"/>
    </row>
    <row r="265" spans="1:2" ht="25.95" customHeight="1">
      <c r="A265" s="4"/>
      <c r="B265" s="4"/>
    </row>
    <row r="266" spans="1:2" ht="25.95" customHeight="1">
      <c r="A266" s="4"/>
      <c r="B266" s="4"/>
    </row>
    <row r="267" spans="1:2" ht="25.95" customHeight="1">
      <c r="A267" s="4"/>
      <c r="B267" s="4"/>
    </row>
    <row r="268" spans="1:2" ht="25.95" customHeight="1">
      <c r="A268" s="4"/>
      <c r="B268" s="4"/>
    </row>
    <row r="269" spans="1:2" ht="25.95" customHeight="1">
      <c r="A269" s="4"/>
      <c r="B269" s="4"/>
    </row>
    <row r="270" spans="1:2" ht="25.95" customHeight="1">
      <c r="A270" s="4"/>
      <c r="B270" s="4"/>
    </row>
    <row r="271" spans="1:2" ht="25.95" customHeight="1">
      <c r="A271" s="4"/>
      <c r="B271" s="4"/>
    </row>
    <row r="272" spans="1:2" ht="25.95" customHeight="1">
      <c r="A272" s="4"/>
      <c r="B272" s="4"/>
    </row>
    <row r="273" spans="1:2" ht="25.95" customHeight="1">
      <c r="A273" s="4"/>
      <c r="B273" s="4"/>
    </row>
    <row r="274" spans="1:2" ht="25.95" customHeight="1">
      <c r="A274" s="4"/>
      <c r="B274" s="4"/>
    </row>
    <row r="275" spans="1:2" ht="25.95" customHeight="1">
      <c r="A275" s="4"/>
      <c r="B275" s="4"/>
    </row>
    <row r="276" spans="1:2" ht="25.95" customHeight="1">
      <c r="A276" s="4"/>
      <c r="B276" s="4"/>
    </row>
    <row r="277" spans="1:2" ht="25.95" customHeight="1">
      <c r="A277" s="4"/>
      <c r="B277" s="4"/>
    </row>
    <row r="278" spans="1:2" ht="25.95" customHeight="1">
      <c r="A278" s="4"/>
      <c r="B278" s="4"/>
    </row>
    <row r="279" spans="1:2" ht="25.95" customHeight="1">
      <c r="A279" s="4"/>
      <c r="B279" s="4"/>
    </row>
    <row r="280" spans="1:2" ht="25.95" customHeight="1">
      <c r="A280" s="4"/>
      <c r="B280" s="4"/>
    </row>
    <row r="281" spans="1:2" ht="25.95" customHeight="1">
      <c r="A281" s="4"/>
      <c r="B281" s="4"/>
    </row>
    <row r="282" spans="1:2" ht="25.95" customHeight="1">
      <c r="A282" s="4"/>
      <c r="B282" s="4"/>
    </row>
    <row r="283" spans="1:2" ht="25.95" customHeight="1">
      <c r="A283" s="4"/>
      <c r="B283" s="4"/>
    </row>
    <row r="284" spans="1:2" ht="25.95" customHeight="1">
      <c r="A284" s="4"/>
      <c r="B284" s="4"/>
    </row>
    <row r="285" spans="1:2" ht="25.95" customHeight="1">
      <c r="A285" s="4"/>
      <c r="B285" s="4"/>
    </row>
    <row r="286" spans="1:2" ht="25.95" customHeight="1">
      <c r="A286" s="4"/>
      <c r="B286" s="4"/>
    </row>
    <row r="287" spans="1:2" ht="25.95" customHeight="1">
      <c r="A287" s="4"/>
      <c r="B287" s="4"/>
    </row>
    <row r="288" spans="1:2" ht="25.95" customHeight="1">
      <c r="A288" s="4"/>
      <c r="B288" s="4"/>
    </row>
    <row r="289" spans="1:2" ht="25.95" customHeight="1">
      <c r="A289" s="4"/>
      <c r="B289" s="4"/>
    </row>
    <row r="290" spans="1:2" ht="25.95" customHeight="1">
      <c r="A290" s="4"/>
      <c r="B290" s="4"/>
    </row>
    <row r="291" spans="1:2" ht="25.95" customHeight="1">
      <c r="A291" s="4"/>
      <c r="B291" s="4"/>
    </row>
    <row r="292" spans="1:2" ht="25.95" customHeight="1">
      <c r="A292" s="4"/>
      <c r="B292" s="4"/>
    </row>
    <row r="293" spans="1:2" ht="25.95" customHeight="1">
      <c r="A293" s="4"/>
      <c r="B293" s="4"/>
    </row>
    <row r="294" spans="1:2" ht="25.95" customHeight="1">
      <c r="A294" s="4"/>
      <c r="B294" s="4"/>
    </row>
    <row r="295" spans="1:2" ht="25.95" customHeight="1">
      <c r="A295" s="4"/>
      <c r="B295" s="4"/>
    </row>
    <row r="296" spans="1:2" ht="25.95" customHeight="1">
      <c r="A296" s="4"/>
      <c r="B296" s="4"/>
    </row>
    <row r="297" spans="1:2" ht="25.95" customHeight="1">
      <c r="A297" s="4"/>
      <c r="B297" s="4"/>
    </row>
    <row r="298" spans="1:2" ht="25.95" customHeight="1">
      <c r="A298" s="4"/>
      <c r="B298" s="4"/>
    </row>
    <row r="299" spans="1:2" ht="25.95" customHeight="1">
      <c r="A299" s="4"/>
      <c r="B299" s="4"/>
    </row>
    <row r="300" spans="1:2" ht="25.95" customHeight="1">
      <c r="A300" s="4"/>
      <c r="B300" s="4"/>
    </row>
    <row r="301" spans="1:2" ht="25.95" customHeight="1">
      <c r="A301" s="4"/>
      <c r="B301" s="4"/>
    </row>
    <row r="302" spans="1:2" ht="25.95" customHeight="1">
      <c r="A302" s="4"/>
      <c r="B302" s="4"/>
    </row>
    <row r="303" spans="1:2" ht="25.95" customHeight="1">
      <c r="A303" s="4"/>
      <c r="B303" s="4"/>
    </row>
    <row r="304" spans="1:2" ht="25.95" customHeight="1">
      <c r="A304" s="4"/>
      <c r="B304" s="4"/>
    </row>
    <row r="305" spans="1:2" ht="25.95" customHeight="1">
      <c r="A305" s="4"/>
      <c r="B305" s="4"/>
    </row>
    <row r="306" spans="1:2" ht="25.95" customHeight="1">
      <c r="A306" s="4"/>
      <c r="B306" s="4"/>
    </row>
    <row r="307" spans="1:2" ht="25.95" customHeight="1">
      <c r="A307" s="4"/>
      <c r="B307" s="4"/>
    </row>
    <row r="308" spans="1:2" ht="25.95" customHeight="1">
      <c r="A308" s="4"/>
      <c r="B308" s="4"/>
    </row>
    <row r="309" spans="1:2" ht="25.95" customHeight="1">
      <c r="A309" s="4"/>
      <c r="B309" s="4"/>
    </row>
    <row r="310" spans="1:2" ht="25.95" customHeight="1">
      <c r="A310" s="4"/>
      <c r="B310" s="4"/>
    </row>
    <row r="311" spans="1:2" ht="25.95" customHeight="1">
      <c r="A311" s="4"/>
      <c r="B311" s="4"/>
    </row>
    <row r="312" spans="1:2" ht="25.95" customHeight="1">
      <c r="A312" s="4"/>
      <c r="B312" s="4"/>
    </row>
    <row r="313" spans="1:2" ht="25.95" customHeight="1">
      <c r="A313" s="4"/>
      <c r="B313" s="4"/>
    </row>
    <row r="314" spans="1:2" ht="25.95" customHeight="1">
      <c r="A314" s="4"/>
      <c r="B314" s="4"/>
    </row>
    <row r="315" spans="1:2" ht="25.95" customHeight="1">
      <c r="A315" s="4"/>
      <c r="B315" s="4"/>
    </row>
    <row r="316" spans="1:2" ht="25.95" customHeight="1">
      <c r="A316" s="4"/>
      <c r="B316" s="4"/>
    </row>
    <row r="317" spans="1:2" ht="25.95" customHeight="1">
      <c r="A317" s="4"/>
      <c r="B317" s="4"/>
    </row>
    <row r="318" spans="1:2" ht="25.95" customHeight="1">
      <c r="A318" s="4"/>
      <c r="B318" s="4"/>
    </row>
    <row r="319" spans="1:2" ht="25.95" customHeight="1">
      <c r="A319" s="4"/>
      <c r="B319" s="4"/>
    </row>
    <row r="320" spans="1:2" ht="25.95" customHeight="1">
      <c r="A320" s="4"/>
      <c r="B320" s="4"/>
    </row>
    <row r="321" spans="1:2" ht="25.95" customHeight="1">
      <c r="A321" s="4"/>
      <c r="B321" s="4"/>
    </row>
    <row r="322" spans="1:2" ht="25.95" customHeight="1">
      <c r="A322" s="4"/>
      <c r="B322" s="4"/>
    </row>
    <row r="323" spans="1:2" ht="25.95" customHeight="1">
      <c r="A323" s="4"/>
      <c r="B323" s="4"/>
    </row>
    <row r="324" spans="1:2" ht="25.95" customHeight="1">
      <c r="A324" s="4"/>
      <c r="B324" s="4"/>
    </row>
    <row r="325" spans="1:2" ht="25.95" customHeight="1">
      <c r="A325" s="4"/>
      <c r="B325" s="4"/>
    </row>
    <row r="326" spans="1:2" ht="25.95" customHeight="1">
      <c r="A326" s="4"/>
      <c r="B326" s="4"/>
    </row>
    <row r="327" spans="1:2" ht="25.95" customHeight="1">
      <c r="A327" s="4"/>
      <c r="B327" s="4"/>
    </row>
    <row r="328" spans="1:2" ht="25.95" customHeight="1">
      <c r="A328" s="4"/>
      <c r="B328" s="4"/>
    </row>
    <row r="329" spans="1:2" ht="25.95" customHeight="1">
      <c r="A329" s="4"/>
      <c r="B329" s="4"/>
    </row>
    <row r="330" spans="1:2" ht="25.95" customHeight="1">
      <c r="A330" s="4"/>
      <c r="B330" s="4"/>
    </row>
    <row r="331" spans="1:2" ht="25.95" customHeight="1">
      <c r="A331" s="4"/>
      <c r="B331" s="4"/>
    </row>
    <row r="332" spans="1:2" ht="25.95" customHeight="1">
      <c r="A332" s="4"/>
      <c r="B332" s="4"/>
    </row>
    <row r="333" spans="1:2" ht="25.95" customHeight="1">
      <c r="A333" s="4"/>
      <c r="B333" s="4"/>
    </row>
    <row r="334" spans="1:2" ht="25.95" customHeight="1">
      <c r="A334" s="4"/>
      <c r="B334" s="4"/>
    </row>
    <row r="335" spans="1:2" ht="25.95" customHeight="1">
      <c r="A335" s="4"/>
      <c r="B335" s="4"/>
    </row>
    <row r="336" spans="1:2" ht="25.95" customHeight="1">
      <c r="A336" s="4"/>
      <c r="B336" s="4"/>
    </row>
    <row r="337" spans="1:2" ht="25.95" customHeight="1">
      <c r="A337" s="4"/>
      <c r="B337" s="4"/>
    </row>
    <row r="338" spans="1:2" ht="25.95" customHeight="1">
      <c r="A338" s="4"/>
      <c r="B338" s="4"/>
    </row>
    <row r="339" spans="1:2" ht="25.95" customHeight="1">
      <c r="A339" s="4"/>
      <c r="B339" s="4"/>
    </row>
    <row r="340" spans="1:2" ht="25.95" customHeight="1">
      <c r="A340" s="4"/>
      <c r="B340" s="4"/>
    </row>
    <row r="341" spans="1:2" ht="25.95" customHeight="1">
      <c r="A341" s="4"/>
      <c r="B341" s="4"/>
    </row>
    <row r="342" spans="1:2" ht="25.95" customHeight="1">
      <c r="A342" s="4"/>
      <c r="B342" s="4"/>
    </row>
    <row r="343" spans="1:2" ht="25.95" customHeight="1">
      <c r="A343" s="4"/>
      <c r="B343" s="4"/>
    </row>
    <row r="344" spans="1:2" ht="25.95" customHeight="1">
      <c r="A344" s="4"/>
      <c r="B344" s="4"/>
    </row>
    <row r="345" spans="1:2" ht="25.95" customHeight="1">
      <c r="A345" s="4"/>
      <c r="B345" s="4"/>
    </row>
    <row r="346" spans="1:2" ht="25.95" customHeight="1">
      <c r="A346" s="4"/>
      <c r="B346" s="4"/>
    </row>
    <row r="347" spans="1:2" ht="25.95" customHeight="1">
      <c r="A347" s="4"/>
      <c r="B347" s="4"/>
    </row>
    <row r="348" spans="1:2" ht="25.95" customHeight="1">
      <c r="A348" s="4"/>
      <c r="B348" s="4"/>
    </row>
    <row r="349" spans="1:2" ht="25.95" customHeight="1">
      <c r="A349" s="4"/>
      <c r="B349" s="4"/>
    </row>
    <row r="350" spans="1:2" ht="25.95" customHeight="1">
      <c r="A350" s="4"/>
      <c r="B350" s="4"/>
    </row>
    <row r="351" spans="1:2" ht="25.95" customHeight="1">
      <c r="A351" s="4"/>
      <c r="B351" s="4"/>
    </row>
    <row r="353" spans="1:1" ht="28.8">
      <c r="A353" s="2" t="s">
        <v>2</v>
      </c>
    </row>
  </sheetData>
  <autoFilter ref="A1:B1" xr:uid="{00000000-0009-0000-0000-000001000000}"/>
  <phoneticPr fontId="1"/>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22C78-72FC-4D04-81BC-DA101BAA88DF}">
  <sheetPr codeName="Sheet7"/>
  <dimension ref="A1:I101"/>
  <sheetViews>
    <sheetView workbookViewId="0"/>
  </sheetViews>
  <sheetFormatPr defaultRowHeight="22.2"/>
  <sheetData>
    <row r="1" spans="1:9">
      <c r="A1" t="s">
        <v>0</v>
      </c>
      <c r="B1" t="s">
        <v>79</v>
      </c>
      <c r="C1" t="s">
        <v>80</v>
      </c>
      <c r="D1" t="s">
        <v>81</v>
      </c>
      <c r="E1" t="s">
        <v>82</v>
      </c>
      <c r="F1" t="s">
        <v>83</v>
      </c>
      <c r="G1" t="s">
        <v>18</v>
      </c>
      <c r="H1" t="s">
        <v>19</v>
      </c>
      <c r="I1" t="s">
        <v>84</v>
      </c>
    </row>
    <row r="2" spans="1:9">
      <c r="A2">
        <v>9432</v>
      </c>
      <c r="B2">
        <v>169.9</v>
      </c>
      <c r="C2">
        <v>169.8</v>
      </c>
      <c r="D2">
        <v>169.8</v>
      </c>
      <c r="E2">
        <v>169.8</v>
      </c>
      <c r="F2">
        <v>14</v>
      </c>
      <c r="G2">
        <v>2.9999999999999716</v>
      </c>
      <c r="H2">
        <v>0.2297788305517226</v>
      </c>
      <c r="I2" s="23">
        <v>46260.623854166668</v>
      </c>
    </row>
    <row r="3" spans="1:9">
      <c r="A3">
        <v>9434</v>
      </c>
      <c r="B3">
        <v>239.8</v>
      </c>
      <c r="C3">
        <v>239.6</v>
      </c>
      <c r="D3">
        <v>239.6</v>
      </c>
      <c r="E3">
        <v>239.7</v>
      </c>
      <c r="F3">
        <v>14</v>
      </c>
      <c r="G3">
        <v>3.9000000000000057</v>
      </c>
      <c r="H3">
        <v>0.31896714767640966</v>
      </c>
      <c r="I3" s="23">
        <v>46260.623854166668</v>
      </c>
    </row>
    <row r="4" spans="1:9">
      <c r="A4">
        <v>5803</v>
      </c>
      <c r="B4">
        <v>5290</v>
      </c>
      <c r="C4">
        <v>5282</v>
      </c>
      <c r="D4">
        <v>5288</v>
      </c>
      <c r="E4">
        <v>5288</v>
      </c>
      <c r="F4">
        <v>14</v>
      </c>
      <c r="G4">
        <v>413</v>
      </c>
      <c r="H4">
        <v>15.6396956853494</v>
      </c>
      <c r="I4" s="23">
        <v>46260.623854166668</v>
      </c>
    </row>
    <row r="5" spans="1:9">
      <c r="A5">
        <v>5802</v>
      </c>
      <c r="B5">
        <v>2216.5</v>
      </c>
      <c r="C5">
        <v>2213.5</v>
      </c>
      <c r="D5">
        <v>2216</v>
      </c>
      <c r="E5">
        <v>2214.5</v>
      </c>
      <c r="F5">
        <v>14</v>
      </c>
      <c r="G5">
        <v>92.5</v>
      </c>
      <c r="H5">
        <v>4.6740768666879253</v>
      </c>
      <c r="I5" s="23">
        <v>46260.623854166668</v>
      </c>
    </row>
    <row r="6" spans="1:9">
      <c r="A6">
        <v>8729</v>
      </c>
      <c r="B6">
        <v>162.69999999999999</v>
      </c>
      <c r="C6">
        <v>162.5</v>
      </c>
      <c r="D6">
        <v>162.6</v>
      </c>
      <c r="E6">
        <v>162.5</v>
      </c>
      <c r="F6">
        <v>14</v>
      </c>
      <c r="G6">
        <v>11.700000000000045</v>
      </c>
      <c r="H6">
        <v>0.24575779560313873</v>
      </c>
      <c r="I6" s="23">
        <v>46260.623854166668</v>
      </c>
    </row>
    <row r="7" spans="1:9">
      <c r="A7">
        <v>7201</v>
      </c>
      <c r="B7">
        <v>319.39999999999998</v>
      </c>
      <c r="C7">
        <v>319.2</v>
      </c>
      <c r="D7">
        <v>319.2</v>
      </c>
      <c r="E7">
        <v>319.3</v>
      </c>
      <c r="F7">
        <v>14</v>
      </c>
      <c r="G7">
        <v>6.4999999999999432</v>
      </c>
      <c r="H7">
        <v>0.67928426042186463</v>
      </c>
      <c r="I7" s="23">
        <v>46260.623854166668</v>
      </c>
    </row>
    <row r="8" spans="1:9">
      <c r="A8">
        <v>9984</v>
      </c>
      <c r="B8">
        <v>5182</v>
      </c>
      <c r="C8">
        <v>5175</v>
      </c>
      <c r="D8">
        <v>5181</v>
      </c>
      <c r="E8">
        <v>5181</v>
      </c>
      <c r="F8">
        <v>14</v>
      </c>
      <c r="G8">
        <v>186</v>
      </c>
      <c r="H8">
        <v>16.355656729889922</v>
      </c>
      <c r="I8" s="23">
        <v>46260.623854166668</v>
      </c>
    </row>
    <row r="9" spans="1:9">
      <c r="A9">
        <v>8306</v>
      </c>
      <c r="B9">
        <v>3571</v>
      </c>
      <c r="C9">
        <v>3568</v>
      </c>
      <c r="D9">
        <v>3570</v>
      </c>
      <c r="E9">
        <v>3570</v>
      </c>
      <c r="F9">
        <v>14</v>
      </c>
      <c r="G9">
        <v>72</v>
      </c>
      <c r="H9">
        <v>3.8759117149101021</v>
      </c>
      <c r="I9" s="23">
        <v>46260.623854166668</v>
      </c>
    </row>
    <row r="10" spans="1:9">
      <c r="A10">
        <v>9501</v>
      </c>
      <c r="B10">
        <v>541.4</v>
      </c>
      <c r="C10">
        <v>540.4</v>
      </c>
      <c r="D10">
        <v>540.4</v>
      </c>
      <c r="E10">
        <v>541.4</v>
      </c>
      <c r="F10">
        <v>14</v>
      </c>
      <c r="G10">
        <v>14.900000000000318</v>
      </c>
      <c r="H10">
        <v>1.6472240787649284</v>
      </c>
      <c r="I10" s="23">
        <v>46260.623854166668</v>
      </c>
    </row>
    <row r="11" spans="1:9">
      <c r="A11">
        <v>5401</v>
      </c>
      <c r="B11">
        <v>677.4</v>
      </c>
      <c r="C11">
        <v>676.8</v>
      </c>
      <c r="D11">
        <v>677.3</v>
      </c>
      <c r="E11">
        <v>676.9</v>
      </c>
      <c r="F11">
        <v>14</v>
      </c>
      <c r="G11">
        <v>15.600000000000136</v>
      </c>
      <c r="H11">
        <v>0.88193039352741065</v>
      </c>
      <c r="I11" s="23">
        <v>46260.623854166668</v>
      </c>
    </row>
    <row r="12" spans="1:9">
      <c r="A12">
        <v>5801</v>
      </c>
      <c r="B12">
        <v>3877</v>
      </c>
      <c r="C12">
        <v>3868</v>
      </c>
      <c r="D12">
        <v>3872</v>
      </c>
      <c r="E12">
        <v>3869</v>
      </c>
      <c r="F12">
        <v>14</v>
      </c>
      <c r="G12">
        <v>303</v>
      </c>
      <c r="H12">
        <v>13.107246685379932</v>
      </c>
      <c r="I12" s="23">
        <v>46260.623854166668</v>
      </c>
    </row>
    <row r="13" spans="1:9">
      <c r="A13">
        <v>6758</v>
      </c>
      <c r="B13">
        <v>3903</v>
      </c>
      <c r="C13">
        <v>3899</v>
      </c>
      <c r="D13">
        <v>3899</v>
      </c>
      <c r="E13">
        <v>3903</v>
      </c>
      <c r="F13">
        <v>14</v>
      </c>
      <c r="G13">
        <v>91</v>
      </c>
      <c r="H13">
        <v>5.9117421407317829</v>
      </c>
      <c r="I13" s="23">
        <v>46260.623854166668</v>
      </c>
    </row>
    <row r="14" spans="1:9">
      <c r="A14">
        <v>7203</v>
      </c>
      <c r="B14">
        <v>3077</v>
      </c>
      <c r="C14">
        <v>3075</v>
      </c>
      <c r="D14">
        <v>3075</v>
      </c>
      <c r="E14">
        <v>3077</v>
      </c>
      <c r="F14">
        <v>14</v>
      </c>
      <c r="G14">
        <v>38.5</v>
      </c>
      <c r="H14">
        <v>3.3868947735072044</v>
      </c>
      <c r="I14" s="23">
        <v>46260.623854166668</v>
      </c>
    </row>
    <row r="15" spans="1:9">
      <c r="A15">
        <v>5016</v>
      </c>
      <c r="B15">
        <v>3814</v>
      </c>
      <c r="C15">
        <v>3809</v>
      </c>
      <c r="D15">
        <v>3809</v>
      </c>
      <c r="E15">
        <v>3812</v>
      </c>
      <c r="F15">
        <v>14</v>
      </c>
      <c r="G15">
        <v>148</v>
      </c>
      <c r="H15">
        <v>10.924901004692924</v>
      </c>
      <c r="I15" s="23">
        <v>46260.623854166668</v>
      </c>
    </row>
    <row r="16" spans="1:9">
      <c r="A16">
        <v>8053</v>
      </c>
      <c r="B16">
        <v>1760.5</v>
      </c>
      <c r="C16">
        <v>1759</v>
      </c>
      <c r="D16">
        <v>1760</v>
      </c>
      <c r="E16">
        <v>1759.5</v>
      </c>
      <c r="F16">
        <v>14</v>
      </c>
      <c r="G16">
        <v>59</v>
      </c>
      <c r="H16">
        <v>2.4379581968528656</v>
      </c>
      <c r="I16" s="23">
        <v>46260.623854166668</v>
      </c>
    </row>
    <row r="17" spans="1:9">
      <c r="A17" t="s">
        <v>17</v>
      </c>
      <c r="B17">
        <v>274</v>
      </c>
      <c r="C17">
        <v>273</v>
      </c>
      <c r="D17">
        <v>273</v>
      </c>
      <c r="E17">
        <v>273</v>
      </c>
      <c r="F17">
        <v>14</v>
      </c>
      <c r="G17">
        <v>14</v>
      </c>
      <c r="H17">
        <v>1.1140950240273835</v>
      </c>
      <c r="I17" s="23">
        <v>46260.623854166668</v>
      </c>
    </row>
    <row r="18" spans="1:9">
      <c r="A18">
        <v>3350</v>
      </c>
      <c r="B18">
        <v>307</v>
      </c>
      <c r="C18">
        <v>305</v>
      </c>
      <c r="D18">
        <v>307</v>
      </c>
      <c r="E18">
        <v>306</v>
      </c>
      <c r="F18">
        <v>14</v>
      </c>
      <c r="G18">
        <v>11</v>
      </c>
      <c r="H18">
        <v>1.6421264790870169</v>
      </c>
      <c r="I18" s="23">
        <v>46260.623854166668</v>
      </c>
    </row>
    <row r="19" spans="1:9">
      <c r="A19">
        <v>6723</v>
      </c>
      <c r="B19">
        <v>3380</v>
      </c>
      <c r="C19">
        <v>3376</v>
      </c>
      <c r="D19">
        <v>3377</v>
      </c>
      <c r="E19">
        <v>3376</v>
      </c>
      <c r="F19">
        <v>14</v>
      </c>
      <c r="G19">
        <v>118</v>
      </c>
      <c r="H19">
        <v>6.7970259465118605</v>
      </c>
      <c r="I19" s="23">
        <v>46260.623854166668</v>
      </c>
    </row>
    <row r="20" spans="1:9">
      <c r="A20">
        <v>4689</v>
      </c>
      <c r="B20">
        <v>557.9</v>
      </c>
      <c r="C20">
        <v>557</v>
      </c>
      <c r="D20">
        <v>557.9</v>
      </c>
      <c r="E20">
        <v>557.6</v>
      </c>
      <c r="F20">
        <v>14</v>
      </c>
      <c r="G20">
        <v>15.199999999999989</v>
      </c>
      <c r="H20">
        <v>1.639417873610763</v>
      </c>
      <c r="I20" s="23">
        <v>46260.623854166668</v>
      </c>
    </row>
    <row r="21" spans="1:9">
      <c r="A21">
        <v>8136</v>
      </c>
      <c r="B21">
        <v>1211</v>
      </c>
      <c r="C21">
        <v>1210</v>
      </c>
      <c r="D21">
        <v>1210</v>
      </c>
      <c r="E21">
        <v>1211.5</v>
      </c>
      <c r="F21">
        <v>14</v>
      </c>
      <c r="G21">
        <v>66.5</v>
      </c>
      <c r="H21">
        <v>2.6424602666694024</v>
      </c>
      <c r="I21" s="23">
        <v>46260.623854166668</v>
      </c>
    </row>
    <row r="22" spans="1:9">
      <c r="A22">
        <v>6902</v>
      </c>
      <c r="B22">
        <v>1925</v>
      </c>
      <c r="C22">
        <v>1924</v>
      </c>
      <c r="D22">
        <v>1924.5</v>
      </c>
      <c r="E22">
        <v>1924.5</v>
      </c>
      <c r="F22">
        <v>14</v>
      </c>
      <c r="G22">
        <v>27.5</v>
      </c>
      <c r="H22">
        <v>1.7675131183774966</v>
      </c>
      <c r="I22" s="23">
        <v>46260.623854166668</v>
      </c>
    </row>
    <row r="23" spans="1:9">
      <c r="A23">
        <v>7267</v>
      </c>
      <c r="B23">
        <v>1678</v>
      </c>
      <c r="C23">
        <v>1676.5</v>
      </c>
      <c r="D23">
        <v>1677.5</v>
      </c>
      <c r="E23">
        <v>1676.5</v>
      </c>
      <c r="F23">
        <v>14</v>
      </c>
      <c r="G23">
        <v>33</v>
      </c>
      <c r="H23">
        <v>3.0675969810568295</v>
      </c>
      <c r="I23" s="23">
        <v>46260.623854166668</v>
      </c>
    </row>
    <row r="24" spans="1:9">
      <c r="A24">
        <v>7011</v>
      </c>
      <c r="B24">
        <v>3952</v>
      </c>
      <c r="C24">
        <v>3949</v>
      </c>
      <c r="D24">
        <v>3949</v>
      </c>
      <c r="E24">
        <v>3948</v>
      </c>
      <c r="F24">
        <v>14</v>
      </c>
      <c r="G24">
        <v>108</v>
      </c>
      <c r="H24">
        <v>5.5742739344926369</v>
      </c>
      <c r="I24" s="23">
        <v>46260.623854166668</v>
      </c>
    </row>
    <row r="25" spans="1:9">
      <c r="A25">
        <v>4661</v>
      </c>
      <c r="B25">
        <v>3030</v>
      </c>
      <c r="C25">
        <v>3026</v>
      </c>
      <c r="D25">
        <v>3026</v>
      </c>
      <c r="E25">
        <v>3030</v>
      </c>
      <c r="F25">
        <v>14</v>
      </c>
      <c r="G25">
        <v>73</v>
      </c>
      <c r="H25">
        <v>3.1313497674919972</v>
      </c>
      <c r="I25" s="23">
        <v>46260.623854166668</v>
      </c>
    </row>
    <row r="26" spans="1:9">
      <c r="A26">
        <v>8604</v>
      </c>
      <c r="B26">
        <v>1613.5</v>
      </c>
      <c r="C26">
        <v>1610</v>
      </c>
      <c r="D26">
        <v>1613</v>
      </c>
      <c r="E26">
        <v>1608.5</v>
      </c>
      <c r="F26">
        <v>14</v>
      </c>
      <c r="G26">
        <v>31.5</v>
      </c>
      <c r="H26">
        <v>3.435914555027261</v>
      </c>
      <c r="I26" s="23">
        <v>46260.623854166668</v>
      </c>
    </row>
    <row r="27" spans="1:9">
      <c r="A27">
        <v>6762</v>
      </c>
      <c r="B27">
        <v>3052</v>
      </c>
      <c r="C27">
        <v>3045</v>
      </c>
      <c r="D27">
        <v>3050</v>
      </c>
      <c r="E27">
        <v>3046</v>
      </c>
      <c r="F27">
        <v>14</v>
      </c>
      <c r="G27">
        <v>92</v>
      </c>
      <c r="H27">
        <v>5.746949454143425</v>
      </c>
      <c r="I27" s="23">
        <v>46260.623854166668</v>
      </c>
    </row>
    <row r="28" spans="1:9">
      <c r="A28">
        <v>6501</v>
      </c>
      <c r="B28">
        <v>5348</v>
      </c>
      <c r="C28">
        <v>5342</v>
      </c>
      <c r="D28">
        <v>5344</v>
      </c>
      <c r="E28">
        <v>5348</v>
      </c>
      <c r="F28">
        <v>14</v>
      </c>
      <c r="G28">
        <v>129</v>
      </c>
      <c r="H28">
        <v>7.5018346641130265</v>
      </c>
      <c r="I28" s="23">
        <v>46260.623854166668</v>
      </c>
    </row>
    <row r="29" spans="1:9">
      <c r="A29">
        <v>4063</v>
      </c>
      <c r="B29">
        <v>5982</v>
      </c>
      <c r="C29">
        <v>5980</v>
      </c>
      <c r="D29">
        <v>5980</v>
      </c>
      <c r="E29">
        <v>5980</v>
      </c>
      <c r="F29">
        <v>14</v>
      </c>
      <c r="G29">
        <v>156</v>
      </c>
      <c r="H29">
        <v>6.8319698493077352</v>
      </c>
      <c r="I29" s="23">
        <v>46260.623854166668</v>
      </c>
    </row>
    <row r="30" spans="1:9">
      <c r="A30">
        <v>4568</v>
      </c>
      <c r="B30">
        <v>2910.5</v>
      </c>
      <c r="C30">
        <v>2906</v>
      </c>
      <c r="D30">
        <v>2906</v>
      </c>
      <c r="E30">
        <v>2911.5</v>
      </c>
      <c r="F30">
        <v>14</v>
      </c>
      <c r="G30">
        <v>70.5</v>
      </c>
      <c r="H30">
        <v>4.9253433764061558</v>
      </c>
      <c r="I30" s="23">
        <v>46260.623854166668</v>
      </c>
    </row>
    <row r="31" spans="1:9">
      <c r="A31">
        <v>8001</v>
      </c>
      <c r="B31">
        <v>2141.5</v>
      </c>
      <c r="C31">
        <v>2140.5</v>
      </c>
      <c r="D31">
        <v>2140.5</v>
      </c>
      <c r="E31">
        <v>2141.5</v>
      </c>
      <c r="F31">
        <v>14</v>
      </c>
      <c r="G31">
        <v>57</v>
      </c>
      <c r="H31">
        <v>3.4939316120353578</v>
      </c>
      <c r="I31" s="23">
        <v>46260.623854166668</v>
      </c>
    </row>
    <row r="32" spans="1:9">
      <c r="A32">
        <v>6857</v>
      </c>
      <c r="B32">
        <v>35710</v>
      </c>
      <c r="C32">
        <v>35650</v>
      </c>
      <c r="D32">
        <v>35680</v>
      </c>
      <c r="E32">
        <v>35660</v>
      </c>
      <c r="F32">
        <v>14</v>
      </c>
      <c r="G32">
        <v>1210</v>
      </c>
      <c r="H32">
        <v>85.638781090184253</v>
      </c>
      <c r="I32" s="23">
        <v>46260.623854166668</v>
      </c>
    </row>
    <row r="33" spans="1:9">
      <c r="A33">
        <v>7974</v>
      </c>
      <c r="B33">
        <v>8906</v>
      </c>
      <c r="C33">
        <v>8896</v>
      </c>
      <c r="D33">
        <v>8896</v>
      </c>
      <c r="E33">
        <v>8905</v>
      </c>
      <c r="F33">
        <v>14</v>
      </c>
      <c r="G33">
        <v>286</v>
      </c>
      <c r="H33">
        <v>16.193419390355547</v>
      </c>
      <c r="I33" s="23">
        <v>46260.623854166668</v>
      </c>
    </row>
    <row r="34" spans="1:9">
      <c r="A34">
        <v>8309</v>
      </c>
      <c r="B34">
        <v>1746.5</v>
      </c>
      <c r="C34">
        <v>1745.5</v>
      </c>
      <c r="D34">
        <v>1746</v>
      </c>
      <c r="E34">
        <v>1746</v>
      </c>
      <c r="F34">
        <v>14</v>
      </c>
      <c r="G34">
        <v>42</v>
      </c>
      <c r="H34">
        <v>2.5120179071754314</v>
      </c>
      <c r="I34" s="23">
        <v>46260.623854166668</v>
      </c>
    </row>
    <row r="35" spans="1:9">
      <c r="A35">
        <v>4755</v>
      </c>
      <c r="B35">
        <v>776.2</v>
      </c>
      <c r="C35">
        <v>775.9</v>
      </c>
      <c r="D35">
        <v>776</v>
      </c>
      <c r="E35">
        <v>776.2</v>
      </c>
      <c r="F35">
        <v>14</v>
      </c>
      <c r="G35">
        <v>31.100000000000136</v>
      </c>
      <c r="H35">
        <v>0.83405404487738355</v>
      </c>
      <c r="I35" s="23">
        <v>46260.623854166668</v>
      </c>
    </row>
    <row r="36" spans="1:9">
      <c r="A36">
        <v>6702</v>
      </c>
      <c r="B36">
        <v>3720</v>
      </c>
      <c r="C36">
        <v>3714</v>
      </c>
      <c r="D36">
        <v>3714</v>
      </c>
      <c r="E36">
        <v>3720</v>
      </c>
      <c r="F36">
        <v>14</v>
      </c>
      <c r="G36">
        <v>99</v>
      </c>
      <c r="H36">
        <v>5.0229864514215103</v>
      </c>
      <c r="I36" s="23">
        <v>46260.623854166668</v>
      </c>
    </row>
    <row r="37" spans="1:9">
      <c r="A37">
        <v>8316</v>
      </c>
      <c r="B37">
        <v>6711</v>
      </c>
      <c r="C37">
        <v>6705</v>
      </c>
      <c r="D37">
        <v>6707</v>
      </c>
      <c r="E37">
        <v>6705</v>
      </c>
      <c r="F37">
        <v>14</v>
      </c>
      <c r="G37">
        <v>142</v>
      </c>
      <c r="H37">
        <v>8.0756303715043742</v>
      </c>
      <c r="I37" s="23">
        <v>46260.623854166668</v>
      </c>
    </row>
    <row r="38" spans="1:9">
      <c r="A38">
        <v>6526</v>
      </c>
      <c r="B38">
        <v>1988</v>
      </c>
      <c r="C38">
        <v>1985.5</v>
      </c>
      <c r="D38">
        <v>1987</v>
      </c>
      <c r="E38">
        <v>1986</v>
      </c>
      <c r="F38">
        <v>14</v>
      </c>
      <c r="G38">
        <v>57.5</v>
      </c>
      <c r="H38">
        <v>5.9222151573190285</v>
      </c>
      <c r="I38" s="23">
        <v>46260.623854166668</v>
      </c>
    </row>
    <row r="39" spans="1:9">
      <c r="A39">
        <v>7013</v>
      </c>
      <c r="B39">
        <v>2651.5</v>
      </c>
      <c r="C39">
        <v>2648</v>
      </c>
      <c r="D39">
        <v>2648</v>
      </c>
      <c r="E39">
        <v>2649</v>
      </c>
      <c r="F39">
        <v>14</v>
      </c>
      <c r="G39">
        <v>101.5</v>
      </c>
      <c r="H39">
        <v>3.753622610356758</v>
      </c>
      <c r="I39" s="23">
        <v>46260.623854166668</v>
      </c>
    </row>
    <row r="40" spans="1:9">
      <c r="A40">
        <v>4005</v>
      </c>
      <c r="B40">
        <v>556.29999999999995</v>
      </c>
      <c r="C40">
        <v>555.9</v>
      </c>
      <c r="D40">
        <v>556.20000000000005</v>
      </c>
      <c r="E40">
        <v>556</v>
      </c>
      <c r="F40">
        <v>14</v>
      </c>
      <c r="G40">
        <v>9.7999999999998408</v>
      </c>
      <c r="H40">
        <v>0.76477247031615114</v>
      </c>
      <c r="I40" s="23">
        <v>46260.623854166668</v>
      </c>
    </row>
    <row r="41" spans="1:9">
      <c r="A41">
        <v>4188</v>
      </c>
      <c r="B41">
        <v>1133.5</v>
      </c>
      <c r="C41">
        <v>1133</v>
      </c>
      <c r="D41">
        <v>1133.5</v>
      </c>
      <c r="E41">
        <v>1133</v>
      </c>
      <c r="F41">
        <v>14</v>
      </c>
      <c r="G41">
        <v>41</v>
      </c>
      <c r="H41">
        <v>1.5962630870204231</v>
      </c>
      <c r="I41" s="23">
        <v>46260.623854166668</v>
      </c>
    </row>
    <row r="42" spans="1:9">
      <c r="A42">
        <v>8035</v>
      </c>
      <c r="B42">
        <v>55360</v>
      </c>
      <c r="C42">
        <v>55310</v>
      </c>
      <c r="D42">
        <v>55330</v>
      </c>
      <c r="E42">
        <v>55360</v>
      </c>
      <c r="F42">
        <v>14</v>
      </c>
      <c r="G42">
        <v>1460</v>
      </c>
      <c r="H42">
        <v>102.68661256916997</v>
      </c>
      <c r="I42" s="23">
        <v>46260.623854166668</v>
      </c>
    </row>
    <row r="43" spans="1:9">
      <c r="A43">
        <v>8411</v>
      </c>
      <c r="B43">
        <v>8282</v>
      </c>
      <c r="C43">
        <v>8274</v>
      </c>
      <c r="D43">
        <v>8280</v>
      </c>
      <c r="E43">
        <v>8276</v>
      </c>
      <c r="F43">
        <v>14</v>
      </c>
      <c r="G43">
        <v>245</v>
      </c>
      <c r="H43">
        <v>11.660459252229007</v>
      </c>
      <c r="I43" s="23">
        <v>46260.623854166668</v>
      </c>
    </row>
    <row r="44" spans="1:9">
      <c r="A44">
        <v>3436</v>
      </c>
      <c r="B44">
        <v>3414</v>
      </c>
      <c r="C44">
        <v>3412</v>
      </c>
      <c r="D44">
        <v>3412</v>
      </c>
      <c r="E44">
        <v>3412</v>
      </c>
      <c r="F44">
        <v>14</v>
      </c>
      <c r="G44">
        <v>196</v>
      </c>
      <c r="H44">
        <v>10.387759002039809</v>
      </c>
      <c r="I44" s="23">
        <v>46260.623854166668</v>
      </c>
    </row>
    <row r="45" spans="1:9">
      <c r="A45">
        <v>9433</v>
      </c>
      <c r="B45">
        <v>2900</v>
      </c>
      <c r="C45">
        <v>2897.5</v>
      </c>
      <c r="D45">
        <v>2897.5</v>
      </c>
      <c r="E45">
        <v>2897.5</v>
      </c>
      <c r="F45">
        <v>14</v>
      </c>
      <c r="G45">
        <v>82</v>
      </c>
      <c r="H45">
        <v>2.6552545371637319</v>
      </c>
      <c r="I45" s="23">
        <v>46260.623854166668</v>
      </c>
    </row>
    <row r="46" spans="1:9">
      <c r="A46">
        <v>7532</v>
      </c>
      <c r="B46">
        <v>823.6</v>
      </c>
      <c r="C46">
        <v>823.2</v>
      </c>
      <c r="D46">
        <v>823.3</v>
      </c>
      <c r="E46">
        <v>823</v>
      </c>
      <c r="F46">
        <v>14</v>
      </c>
      <c r="G46">
        <v>23.899999999999864</v>
      </c>
      <c r="H46">
        <v>1.0898822278169706</v>
      </c>
      <c r="I46" s="23">
        <v>46260.623854166668</v>
      </c>
    </row>
    <row r="47" spans="1:9">
      <c r="A47">
        <v>8267</v>
      </c>
      <c r="B47">
        <v>1384</v>
      </c>
      <c r="C47">
        <v>1383</v>
      </c>
      <c r="D47">
        <v>1383</v>
      </c>
      <c r="E47">
        <v>1384</v>
      </c>
      <c r="F47">
        <v>14</v>
      </c>
      <c r="G47">
        <v>25.5</v>
      </c>
      <c r="H47">
        <v>1.2814011917783223</v>
      </c>
      <c r="I47" s="23">
        <v>46260.623854166668</v>
      </c>
    </row>
    <row r="48" spans="1:9">
      <c r="A48">
        <v>7012</v>
      </c>
      <c r="B48">
        <v>2589</v>
      </c>
      <c r="C48">
        <v>2587.5</v>
      </c>
      <c r="D48">
        <v>2587.5</v>
      </c>
      <c r="E48">
        <v>2586.5</v>
      </c>
      <c r="F48">
        <v>14</v>
      </c>
      <c r="G48">
        <v>81</v>
      </c>
      <c r="H48">
        <v>2.8425841622728218</v>
      </c>
      <c r="I48" s="23">
        <v>46260.623854166668</v>
      </c>
    </row>
    <row r="49" spans="1:9">
      <c r="A49">
        <v>8303</v>
      </c>
      <c r="B49">
        <v>1547</v>
      </c>
      <c r="C49">
        <v>1545.5</v>
      </c>
      <c r="D49">
        <v>1546</v>
      </c>
      <c r="E49">
        <v>1545.5</v>
      </c>
      <c r="F49">
        <v>14</v>
      </c>
      <c r="G49">
        <v>26.5</v>
      </c>
      <c r="H49">
        <v>1.9159023739297074</v>
      </c>
      <c r="I49" s="23">
        <v>46260.623854166668</v>
      </c>
    </row>
    <row r="50" spans="1:9">
      <c r="A50">
        <v>3407</v>
      </c>
      <c r="B50">
        <v>1621.5</v>
      </c>
      <c r="C50">
        <v>1620.5</v>
      </c>
      <c r="D50">
        <v>1621</v>
      </c>
      <c r="E50">
        <v>1621</v>
      </c>
      <c r="F50">
        <v>14</v>
      </c>
      <c r="G50">
        <v>31.5</v>
      </c>
      <c r="H50">
        <v>1.5632850530064022</v>
      </c>
      <c r="I50" s="23">
        <v>46260.623854166668</v>
      </c>
    </row>
    <row r="51" spans="1:9">
      <c r="A51">
        <v>8308</v>
      </c>
      <c r="B51">
        <v>2437</v>
      </c>
      <c r="C51">
        <v>2435.5</v>
      </c>
      <c r="D51">
        <v>2435.5</v>
      </c>
      <c r="E51">
        <v>2436</v>
      </c>
      <c r="F51">
        <v>14</v>
      </c>
      <c r="G51">
        <v>62</v>
      </c>
      <c r="H51">
        <v>4.0651015317954506</v>
      </c>
      <c r="I51" s="23">
        <v>46260.623854166668</v>
      </c>
    </row>
    <row r="52" spans="1:9">
      <c r="A52">
        <v>2914</v>
      </c>
      <c r="B52">
        <v>6991</v>
      </c>
      <c r="C52">
        <v>6988</v>
      </c>
      <c r="D52">
        <v>6988</v>
      </c>
      <c r="E52">
        <v>6991</v>
      </c>
      <c r="F52">
        <v>14</v>
      </c>
      <c r="G52">
        <v>92</v>
      </c>
      <c r="H52">
        <v>4.5741755084502032</v>
      </c>
      <c r="I52" s="23">
        <v>46260.623854166668</v>
      </c>
    </row>
    <row r="53" spans="1:9">
      <c r="A53">
        <v>8473</v>
      </c>
      <c r="B53">
        <v>3407</v>
      </c>
      <c r="C53">
        <v>3404</v>
      </c>
      <c r="D53">
        <v>3406</v>
      </c>
      <c r="E53">
        <v>3406</v>
      </c>
      <c r="F53">
        <v>14</v>
      </c>
      <c r="G53">
        <v>70.5</v>
      </c>
      <c r="H53">
        <v>9.8838047553322212</v>
      </c>
      <c r="I53" s="23">
        <v>46260.623854166668</v>
      </c>
    </row>
    <row r="54" spans="1:9">
      <c r="A54">
        <v>3231</v>
      </c>
      <c r="B54">
        <v>937.1</v>
      </c>
      <c r="C54">
        <v>936.1</v>
      </c>
      <c r="D54">
        <v>936.7</v>
      </c>
      <c r="E54">
        <v>936.4</v>
      </c>
      <c r="F54">
        <v>14</v>
      </c>
      <c r="G54">
        <v>11.60000000000025</v>
      </c>
      <c r="H54">
        <v>0.666730200201618</v>
      </c>
      <c r="I54" s="23">
        <v>46260.623854166668</v>
      </c>
    </row>
    <row r="55" spans="1:9">
      <c r="A55">
        <v>4902</v>
      </c>
      <c r="B55">
        <v>664.5</v>
      </c>
      <c r="C55">
        <v>664.3</v>
      </c>
      <c r="D55">
        <v>664.5</v>
      </c>
      <c r="E55">
        <v>664.5</v>
      </c>
      <c r="F55">
        <v>14</v>
      </c>
      <c r="G55">
        <v>18.899999999999636</v>
      </c>
      <c r="H55">
        <v>1.1990195505258299</v>
      </c>
      <c r="I55" s="23">
        <v>46260.623854166668</v>
      </c>
    </row>
    <row r="56" spans="1:9">
      <c r="A56">
        <v>6701</v>
      </c>
      <c r="B56">
        <v>4711</v>
      </c>
      <c r="C56">
        <v>4706</v>
      </c>
      <c r="D56">
        <v>4707</v>
      </c>
      <c r="E56">
        <v>4711</v>
      </c>
      <c r="F56">
        <v>14</v>
      </c>
      <c r="G56">
        <v>123</v>
      </c>
      <c r="H56">
        <v>6.753433168414829</v>
      </c>
      <c r="I56" s="23">
        <v>46260.623854166668</v>
      </c>
    </row>
    <row r="57" spans="1:9">
      <c r="A57">
        <v>7182</v>
      </c>
      <c r="B57">
        <v>3237</v>
      </c>
      <c r="C57">
        <v>3234</v>
      </c>
      <c r="D57">
        <v>3235</v>
      </c>
      <c r="E57">
        <v>3234</v>
      </c>
      <c r="F57">
        <v>14</v>
      </c>
      <c r="G57">
        <v>107</v>
      </c>
      <c r="H57">
        <v>4.9355530863707733</v>
      </c>
      <c r="I57" s="23">
        <v>46260.623854166668</v>
      </c>
    </row>
    <row r="58" spans="1:9">
      <c r="A58">
        <v>7211</v>
      </c>
      <c r="B58">
        <v>372.3</v>
      </c>
      <c r="C58">
        <v>372</v>
      </c>
      <c r="D58">
        <v>372</v>
      </c>
      <c r="E58">
        <v>371.8</v>
      </c>
      <c r="F58">
        <v>14</v>
      </c>
      <c r="G58">
        <v>4.8999999999999773</v>
      </c>
      <c r="H58">
        <v>0.72575498185153908</v>
      </c>
      <c r="I58" s="23">
        <v>46260.623854166668</v>
      </c>
    </row>
    <row r="59" spans="1:9">
      <c r="A59">
        <v>8801</v>
      </c>
      <c r="B59">
        <v>1523.5</v>
      </c>
      <c r="C59">
        <v>1522.5</v>
      </c>
      <c r="D59">
        <v>1523</v>
      </c>
      <c r="E59">
        <v>1523</v>
      </c>
      <c r="F59">
        <v>14</v>
      </c>
      <c r="G59">
        <v>54.5</v>
      </c>
      <c r="H59">
        <v>1.6365455437428822</v>
      </c>
      <c r="I59" s="23">
        <v>46260.623854166668</v>
      </c>
    </row>
    <row r="60" spans="1:9">
      <c r="A60">
        <v>6971</v>
      </c>
      <c r="B60">
        <v>3625</v>
      </c>
      <c r="C60">
        <v>3619</v>
      </c>
      <c r="D60">
        <v>3624</v>
      </c>
      <c r="E60">
        <v>3622</v>
      </c>
      <c r="F60">
        <v>14</v>
      </c>
      <c r="G60">
        <v>93</v>
      </c>
      <c r="H60">
        <v>5.9844722866711484</v>
      </c>
      <c r="I60" s="23">
        <v>46260.623854166668</v>
      </c>
    </row>
    <row r="61" spans="1:9">
      <c r="A61">
        <v>6503</v>
      </c>
      <c r="B61">
        <v>5647</v>
      </c>
      <c r="C61">
        <v>5643</v>
      </c>
      <c r="D61">
        <v>5645</v>
      </c>
      <c r="E61">
        <v>5643</v>
      </c>
      <c r="F61">
        <v>14</v>
      </c>
      <c r="G61">
        <v>193</v>
      </c>
      <c r="H61">
        <v>7.1334272579161597</v>
      </c>
      <c r="I61" s="23">
        <v>46260.623854166668</v>
      </c>
    </row>
    <row r="62" spans="1:9">
      <c r="A62">
        <v>8410</v>
      </c>
      <c r="B62">
        <v>338.4</v>
      </c>
      <c r="C62">
        <v>338.2</v>
      </c>
      <c r="D62">
        <v>338.4</v>
      </c>
      <c r="E62">
        <v>338.2</v>
      </c>
      <c r="F62">
        <v>14</v>
      </c>
      <c r="G62">
        <v>11.200000000000045</v>
      </c>
      <c r="H62">
        <v>0.35283015602610568</v>
      </c>
      <c r="I62" s="23">
        <v>46260.623854166668</v>
      </c>
    </row>
    <row r="63" spans="1:9">
      <c r="A63">
        <v>2181</v>
      </c>
      <c r="B63">
        <v>295.7</v>
      </c>
      <c r="C63">
        <v>295.5</v>
      </c>
      <c r="D63">
        <v>295.7</v>
      </c>
      <c r="E63">
        <v>295.5</v>
      </c>
      <c r="F63">
        <v>14</v>
      </c>
      <c r="G63">
        <v>11.400000000000034</v>
      </c>
      <c r="H63">
        <v>0.30692961430023474</v>
      </c>
      <c r="I63" s="23">
        <v>46260.623854166668</v>
      </c>
    </row>
    <row r="64" spans="1:9">
      <c r="A64">
        <v>5020</v>
      </c>
      <c r="B64">
        <v>1316</v>
      </c>
      <c r="C64">
        <v>1315</v>
      </c>
      <c r="D64">
        <v>1315.5</v>
      </c>
      <c r="E64">
        <v>1315</v>
      </c>
      <c r="F64">
        <v>14</v>
      </c>
      <c r="G64">
        <v>37.5</v>
      </c>
      <c r="H64">
        <v>1.5636822003815951</v>
      </c>
      <c r="I64" s="23">
        <v>46260.623854166668</v>
      </c>
    </row>
    <row r="65" spans="1:9">
      <c r="A65">
        <v>2502</v>
      </c>
      <c r="B65">
        <v>1682.5</v>
      </c>
      <c r="C65">
        <v>1681.5</v>
      </c>
      <c r="D65">
        <v>1682</v>
      </c>
      <c r="E65">
        <v>1682</v>
      </c>
      <c r="F65">
        <v>14</v>
      </c>
      <c r="G65">
        <v>29.5</v>
      </c>
      <c r="H65">
        <v>1.4486481171955166</v>
      </c>
      <c r="I65" s="23">
        <v>46260.623854166668</v>
      </c>
    </row>
    <row r="66" spans="1:9">
      <c r="A66">
        <v>6954</v>
      </c>
      <c r="B66">
        <v>6051</v>
      </c>
      <c r="C66">
        <v>6048</v>
      </c>
      <c r="D66">
        <v>6048</v>
      </c>
      <c r="E66">
        <v>6050</v>
      </c>
      <c r="F66">
        <v>14</v>
      </c>
      <c r="G66">
        <v>144</v>
      </c>
      <c r="H66">
        <v>7.1542610707959629</v>
      </c>
      <c r="I66" s="23">
        <v>46260.623854166668</v>
      </c>
    </row>
    <row r="67" spans="1:9">
      <c r="A67">
        <v>2127</v>
      </c>
      <c r="B67">
        <v>687.2</v>
      </c>
      <c r="C67">
        <v>687</v>
      </c>
      <c r="D67">
        <v>687.2</v>
      </c>
      <c r="E67">
        <v>687.2</v>
      </c>
      <c r="F67">
        <v>14</v>
      </c>
      <c r="G67">
        <v>8.2999999999999545</v>
      </c>
      <c r="H67">
        <v>0.83672899026287895</v>
      </c>
      <c r="I67" s="23">
        <v>46260.623854166668</v>
      </c>
    </row>
    <row r="68" spans="1:9">
      <c r="A68">
        <v>8058</v>
      </c>
      <c r="B68">
        <v>4750</v>
      </c>
      <c r="C68">
        <v>4749</v>
      </c>
      <c r="D68">
        <v>4749</v>
      </c>
      <c r="E68">
        <v>4749</v>
      </c>
      <c r="F68">
        <v>14</v>
      </c>
      <c r="G68">
        <v>95</v>
      </c>
      <c r="H68">
        <v>4.5755297426961192</v>
      </c>
      <c r="I68" s="23">
        <v>46260.623854166668</v>
      </c>
    </row>
    <row r="69" spans="1:9">
      <c r="A69">
        <v>3382</v>
      </c>
      <c r="B69">
        <v>2030</v>
      </c>
      <c r="C69">
        <v>2029</v>
      </c>
      <c r="D69">
        <v>2029.5</v>
      </c>
      <c r="E69">
        <v>2030</v>
      </c>
      <c r="F69">
        <v>14</v>
      </c>
      <c r="G69">
        <v>43</v>
      </c>
      <c r="H69">
        <v>1.713124158631339</v>
      </c>
      <c r="I69" s="23">
        <v>46260.623854166668</v>
      </c>
    </row>
    <row r="70" spans="1:9">
      <c r="A70">
        <v>8750</v>
      </c>
      <c r="B70">
        <v>1823</v>
      </c>
      <c r="C70">
        <v>1822.5</v>
      </c>
      <c r="D70">
        <v>1822.5</v>
      </c>
      <c r="E70">
        <v>1823</v>
      </c>
      <c r="F70">
        <v>14</v>
      </c>
      <c r="G70">
        <v>79</v>
      </c>
      <c r="H70">
        <v>2.2473457442678724</v>
      </c>
      <c r="I70" s="23">
        <v>46260.623854166668</v>
      </c>
    </row>
    <row r="71" spans="1:9">
      <c r="A71">
        <v>7269</v>
      </c>
      <c r="B71">
        <v>2147</v>
      </c>
      <c r="C71">
        <v>2146</v>
      </c>
      <c r="D71">
        <v>2146</v>
      </c>
      <c r="E71">
        <v>2146.5</v>
      </c>
      <c r="F71">
        <v>14</v>
      </c>
      <c r="G71">
        <v>35</v>
      </c>
      <c r="H71">
        <v>2.8308576528781266</v>
      </c>
      <c r="I71" s="23">
        <v>46260.623854166668</v>
      </c>
    </row>
    <row r="72" spans="1:9">
      <c r="A72">
        <v>7751</v>
      </c>
      <c r="B72">
        <v>4654</v>
      </c>
      <c r="C72">
        <v>4653</v>
      </c>
      <c r="D72">
        <v>4653</v>
      </c>
      <c r="E72">
        <v>4654</v>
      </c>
      <c r="F72">
        <v>14</v>
      </c>
      <c r="G72">
        <v>72</v>
      </c>
      <c r="H72">
        <v>5.8112368766348519</v>
      </c>
      <c r="I72" s="23">
        <v>46260.623854166668</v>
      </c>
    </row>
    <row r="73" spans="1:9">
      <c r="A73">
        <v>8113</v>
      </c>
      <c r="B73">
        <v>993.8</v>
      </c>
      <c r="C73">
        <v>993.2</v>
      </c>
      <c r="D73">
        <v>993.2</v>
      </c>
      <c r="E73">
        <v>993.7</v>
      </c>
      <c r="F73">
        <v>14</v>
      </c>
      <c r="G73">
        <v>22.5</v>
      </c>
      <c r="H73">
        <v>1.0746791769823181</v>
      </c>
      <c r="I73" s="23">
        <v>46260.623854166668</v>
      </c>
    </row>
    <row r="74" spans="1:9">
      <c r="A74">
        <v>7735</v>
      </c>
      <c r="B74">
        <v>13225</v>
      </c>
      <c r="C74">
        <v>13210</v>
      </c>
      <c r="D74">
        <v>13220</v>
      </c>
      <c r="E74">
        <v>13215</v>
      </c>
      <c r="F74">
        <v>14</v>
      </c>
      <c r="G74">
        <v>420</v>
      </c>
      <c r="H74">
        <v>29.155628315245941</v>
      </c>
      <c r="I74" s="23">
        <v>46260.623854166668</v>
      </c>
    </row>
    <row r="75" spans="1:9">
      <c r="A75">
        <v>6506</v>
      </c>
      <c r="B75">
        <v>4964</v>
      </c>
      <c r="C75">
        <v>4952</v>
      </c>
      <c r="D75">
        <v>4952</v>
      </c>
      <c r="E75">
        <v>4966</v>
      </c>
      <c r="F75">
        <v>14</v>
      </c>
      <c r="G75">
        <v>160</v>
      </c>
      <c r="H75">
        <v>8.0178596229876504</v>
      </c>
      <c r="I75" s="23">
        <v>46260.623854166668</v>
      </c>
    </row>
    <row r="76" spans="1:9">
      <c r="A76">
        <v>6963</v>
      </c>
      <c r="B76">
        <v>4723</v>
      </c>
      <c r="C76">
        <v>4715</v>
      </c>
      <c r="D76">
        <v>4715</v>
      </c>
      <c r="E76">
        <v>4718</v>
      </c>
      <c r="F76">
        <v>14</v>
      </c>
      <c r="G76">
        <v>226</v>
      </c>
      <c r="H76">
        <v>10.463763412664191</v>
      </c>
      <c r="I76" s="23">
        <v>46260.623854166668</v>
      </c>
    </row>
    <row r="77" spans="1:9">
      <c r="A77">
        <v>3697</v>
      </c>
      <c r="B77">
        <v>932</v>
      </c>
      <c r="C77">
        <v>931.3</v>
      </c>
      <c r="D77">
        <v>931.3</v>
      </c>
      <c r="E77">
        <v>932.6</v>
      </c>
      <c r="F77">
        <v>14</v>
      </c>
      <c r="G77">
        <v>35.799999999999955</v>
      </c>
      <c r="H77">
        <v>2.1966470014038877</v>
      </c>
      <c r="I77" s="23">
        <v>46260.623854166668</v>
      </c>
    </row>
    <row r="78" spans="1:9">
      <c r="A78">
        <v>6315</v>
      </c>
      <c r="B78">
        <v>2325</v>
      </c>
      <c r="C78">
        <v>2313</v>
      </c>
      <c r="D78">
        <v>2313</v>
      </c>
      <c r="E78">
        <v>2326</v>
      </c>
      <c r="F78">
        <v>14</v>
      </c>
      <c r="G78">
        <v>115</v>
      </c>
      <c r="H78">
        <v>4.738000390055114</v>
      </c>
      <c r="I78" s="23">
        <v>46260.623854166668</v>
      </c>
    </row>
    <row r="79" spans="1:9">
      <c r="A79">
        <v>4503</v>
      </c>
      <c r="B79">
        <v>2429</v>
      </c>
      <c r="C79">
        <v>2428.5</v>
      </c>
      <c r="D79">
        <v>2428.5</v>
      </c>
      <c r="E79">
        <v>2429</v>
      </c>
      <c r="F79">
        <v>14</v>
      </c>
      <c r="G79">
        <v>63.5</v>
      </c>
      <c r="H79">
        <v>3.408924962784702</v>
      </c>
      <c r="I79" s="23">
        <v>46260.623854166668</v>
      </c>
    </row>
    <row r="80" spans="1:9">
      <c r="A80">
        <v>2146</v>
      </c>
      <c r="B80">
        <v>230</v>
      </c>
      <c r="C80">
        <v>229</v>
      </c>
      <c r="D80">
        <v>230</v>
      </c>
      <c r="E80">
        <v>229</v>
      </c>
      <c r="F80">
        <v>14</v>
      </c>
      <c r="G80">
        <v>27</v>
      </c>
      <c r="H80">
        <v>0.66020121010700628</v>
      </c>
      <c r="I80" s="23">
        <v>46260.623854166668</v>
      </c>
    </row>
    <row r="81" spans="1:9">
      <c r="A81">
        <v>3861</v>
      </c>
      <c r="B81">
        <v>882.2</v>
      </c>
      <c r="C81">
        <v>882</v>
      </c>
      <c r="D81">
        <v>882</v>
      </c>
      <c r="E81">
        <v>882.3</v>
      </c>
      <c r="F81">
        <v>14</v>
      </c>
      <c r="G81">
        <v>11.499999999999773</v>
      </c>
      <c r="H81">
        <v>0.84613155599500534</v>
      </c>
      <c r="I81" s="23">
        <v>46260.623854166668</v>
      </c>
    </row>
    <row r="82" spans="1:9">
      <c r="A82">
        <v>5411</v>
      </c>
      <c r="B82">
        <v>1850</v>
      </c>
      <c r="C82">
        <v>1848.5</v>
      </c>
      <c r="D82">
        <v>1850</v>
      </c>
      <c r="E82">
        <v>1848.5</v>
      </c>
      <c r="F82">
        <v>14</v>
      </c>
      <c r="G82">
        <v>33.5</v>
      </c>
      <c r="H82">
        <v>1.7934092918806648</v>
      </c>
      <c r="I82" s="23">
        <v>46260.623854166668</v>
      </c>
    </row>
    <row r="83" spans="1:9">
      <c r="A83">
        <v>7261</v>
      </c>
      <c r="B83">
        <v>1211</v>
      </c>
      <c r="C83">
        <v>1209.5</v>
      </c>
      <c r="D83">
        <v>1210</v>
      </c>
      <c r="E83">
        <v>1209.5</v>
      </c>
      <c r="F83">
        <v>14</v>
      </c>
      <c r="G83">
        <v>23</v>
      </c>
      <c r="H83">
        <v>1.4476243442081618</v>
      </c>
      <c r="I83" s="23">
        <v>46260.623854166668</v>
      </c>
    </row>
    <row r="84" spans="1:9">
      <c r="A84">
        <v>8601</v>
      </c>
      <c r="B84">
        <v>1815</v>
      </c>
      <c r="C84">
        <v>1813.5</v>
      </c>
      <c r="D84">
        <v>1814.5</v>
      </c>
      <c r="E84">
        <v>1813.5</v>
      </c>
      <c r="F84">
        <v>14</v>
      </c>
      <c r="G84">
        <v>35</v>
      </c>
      <c r="H84">
        <v>2.4220239613656642</v>
      </c>
      <c r="I84" s="23">
        <v>46260.623854166668</v>
      </c>
    </row>
    <row r="85" spans="1:9">
      <c r="A85">
        <v>6471</v>
      </c>
      <c r="B85">
        <v>1111</v>
      </c>
      <c r="C85">
        <v>1110.5</v>
      </c>
      <c r="D85">
        <v>1111</v>
      </c>
      <c r="E85">
        <v>1111</v>
      </c>
      <c r="F85">
        <v>14</v>
      </c>
      <c r="G85">
        <v>26</v>
      </c>
      <c r="H85">
        <v>1.091916224180667</v>
      </c>
      <c r="I85" s="23">
        <v>46260.623854166668</v>
      </c>
    </row>
    <row r="86" spans="1:9">
      <c r="A86">
        <v>2413</v>
      </c>
      <c r="B86">
        <v>1761</v>
      </c>
      <c r="C86">
        <v>1760</v>
      </c>
      <c r="D86">
        <v>1761</v>
      </c>
      <c r="E86">
        <v>1760.5</v>
      </c>
      <c r="F86">
        <v>14</v>
      </c>
      <c r="G86">
        <v>48</v>
      </c>
      <c r="H86">
        <v>3.21923848676541</v>
      </c>
      <c r="I86" s="23">
        <v>46260.623854166668</v>
      </c>
    </row>
    <row r="87" spans="1:9">
      <c r="A87">
        <v>4502</v>
      </c>
      <c r="B87">
        <v>5880</v>
      </c>
      <c r="C87">
        <v>5876</v>
      </c>
      <c r="D87">
        <v>5880</v>
      </c>
      <c r="E87">
        <v>5876</v>
      </c>
      <c r="F87">
        <v>14</v>
      </c>
      <c r="G87">
        <v>79</v>
      </c>
      <c r="H87">
        <v>6.8005396669129761</v>
      </c>
      <c r="I87" s="23">
        <v>46260.623854166668</v>
      </c>
    </row>
    <row r="88" spans="1:9">
      <c r="A88">
        <v>4307</v>
      </c>
      <c r="B88">
        <v>5067</v>
      </c>
      <c r="C88">
        <v>5063</v>
      </c>
      <c r="D88">
        <v>5063</v>
      </c>
      <c r="E88">
        <v>5067</v>
      </c>
      <c r="F88">
        <v>14</v>
      </c>
      <c r="G88">
        <v>136</v>
      </c>
      <c r="H88">
        <v>7.2202588687082656</v>
      </c>
      <c r="I88" s="23">
        <v>46260.623854166668</v>
      </c>
    </row>
    <row r="89" spans="1:9">
      <c r="A89">
        <v>3110</v>
      </c>
      <c r="B89">
        <v>2904</v>
      </c>
      <c r="C89">
        <v>2901</v>
      </c>
      <c r="D89">
        <v>2903</v>
      </c>
      <c r="E89">
        <v>2906</v>
      </c>
      <c r="F89">
        <v>14</v>
      </c>
      <c r="G89">
        <v>139</v>
      </c>
      <c r="H89">
        <v>10.069746885647652</v>
      </c>
      <c r="I89" s="23">
        <v>46260.623854166668</v>
      </c>
    </row>
    <row r="90" spans="1:9">
      <c r="A90">
        <v>8593</v>
      </c>
      <c r="B90">
        <v>1409</v>
      </c>
      <c r="C90">
        <v>1408.5</v>
      </c>
      <c r="D90">
        <v>1408.5</v>
      </c>
      <c r="E90">
        <v>1409</v>
      </c>
      <c r="F90">
        <v>14</v>
      </c>
      <c r="G90">
        <v>21</v>
      </c>
      <c r="H90">
        <v>1.0607701348680953</v>
      </c>
      <c r="I90" s="23">
        <v>46260.623854166668</v>
      </c>
    </row>
    <row r="91" spans="1:9">
      <c r="A91">
        <v>1942</v>
      </c>
      <c r="B91">
        <v>5447</v>
      </c>
      <c r="C91">
        <v>5443</v>
      </c>
      <c r="D91">
        <v>5443</v>
      </c>
      <c r="E91">
        <v>5443</v>
      </c>
      <c r="F91">
        <v>14</v>
      </c>
      <c r="G91">
        <v>175</v>
      </c>
      <c r="H91">
        <v>7.1977563329822747</v>
      </c>
      <c r="I91" s="23">
        <v>46260.623854166668</v>
      </c>
    </row>
    <row r="92" spans="1:9">
      <c r="A92">
        <v>2802</v>
      </c>
      <c r="B92">
        <v>5432</v>
      </c>
      <c r="C92">
        <v>5429</v>
      </c>
      <c r="D92">
        <v>5431</v>
      </c>
      <c r="E92">
        <v>5429</v>
      </c>
      <c r="F92">
        <v>14</v>
      </c>
      <c r="G92">
        <v>151</v>
      </c>
      <c r="H92">
        <v>7.3109014935409276</v>
      </c>
      <c r="I92" s="23">
        <v>46260.623854166668</v>
      </c>
    </row>
    <row r="93" spans="1:9">
      <c r="A93">
        <v>7259</v>
      </c>
      <c r="B93">
        <v>2261</v>
      </c>
      <c r="C93">
        <v>2259</v>
      </c>
      <c r="D93">
        <v>2260</v>
      </c>
      <c r="E93">
        <v>2259.5</v>
      </c>
      <c r="F93">
        <v>14</v>
      </c>
      <c r="G93">
        <v>42.5</v>
      </c>
      <c r="H93">
        <v>1.9556905792774386</v>
      </c>
      <c r="I93" s="23">
        <v>46260.623854166668</v>
      </c>
    </row>
    <row r="94" spans="1:9">
      <c r="A94">
        <v>6178</v>
      </c>
      <c r="B94">
        <v>2399.5</v>
      </c>
      <c r="C94">
        <v>2397</v>
      </c>
      <c r="D94">
        <v>2399.5</v>
      </c>
      <c r="E94">
        <v>2397</v>
      </c>
      <c r="F94">
        <v>14</v>
      </c>
      <c r="G94">
        <v>84.5</v>
      </c>
      <c r="H94">
        <v>3.1173040135726775</v>
      </c>
      <c r="I94" s="23">
        <v>46260.623854166668</v>
      </c>
    </row>
    <row r="95" spans="1:9">
      <c r="A95">
        <v>7272</v>
      </c>
      <c r="B95">
        <v>1976.5</v>
      </c>
      <c r="C95">
        <v>1974.5</v>
      </c>
      <c r="D95">
        <v>1975</v>
      </c>
      <c r="E95">
        <v>1974.5</v>
      </c>
      <c r="F95">
        <v>14</v>
      </c>
      <c r="G95">
        <v>55.5</v>
      </c>
      <c r="H95">
        <v>2.614279564558045</v>
      </c>
      <c r="I95" s="23">
        <v>46260.623854166668</v>
      </c>
    </row>
    <row r="96" spans="1:9">
      <c r="A96">
        <v>8697</v>
      </c>
      <c r="B96">
        <v>2283</v>
      </c>
      <c r="C96">
        <v>2281.5</v>
      </c>
      <c r="D96">
        <v>2282.5</v>
      </c>
      <c r="E96">
        <v>2282</v>
      </c>
      <c r="F96">
        <v>14</v>
      </c>
      <c r="G96">
        <v>44</v>
      </c>
      <c r="H96">
        <v>3.263843043720414</v>
      </c>
      <c r="I96" s="23">
        <v>46260.623854166668</v>
      </c>
    </row>
    <row r="97" spans="1:9">
      <c r="A97">
        <v>6920</v>
      </c>
      <c r="B97">
        <v>34660</v>
      </c>
      <c r="C97">
        <v>34610</v>
      </c>
      <c r="D97">
        <v>34630</v>
      </c>
      <c r="E97">
        <v>34610</v>
      </c>
      <c r="F97">
        <v>14</v>
      </c>
      <c r="G97">
        <v>1920</v>
      </c>
      <c r="H97">
        <v>79.212659417545566</v>
      </c>
      <c r="I97" s="23">
        <v>46260.623854166668</v>
      </c>
    </row>
    <row r="98" spans="1:9">
      <c r="A98">
        <v>1803</v>
      </c>
      <c r="B98">
        <v>2403.5</v>
      </c>
      <c r="C98">
        <v>2401</v>
      </c>
      <c r="D98">
        <v>2402.5</v>
      </c>
      <c r="E98">
        <v>2400.5</v>
      </c>
      <c r="F98">
        <v>14</v>
      </c>
      <c r="G98">
        <v>47.5</v>
      </c>
      <c r="H98">
        <v>3.5272241065307903</v>
      </c>
      <c r="I98" s="23">
        <v>46260.623854166668</v>
      </c>
    </row>
    <row r="99" spans="1:9">
      <c r="A99">
        <v>8031</v>
      </c>
      <c r="B99">
        <v>4911</v>
      </c>
      <c r="C99">
        <v>4908</v>
      </c>
      <c r="D99">
        <v>4909</v>
      </c>
      <c r="E99">
        <v>4908</v>
      </c>
      <c r="F99">
        <v>14</v>
      </c>
      <c r="G99">
        <v>110</v>
      </c>
      <c r="H99">
        <v>4.2894278053017318</v>
      </c>
      <c r="I99" s="23">
        <v>46260.623854166668</v>
      </c>
    </row>
    <row r="100" spans="1:9">
      <c r="A100">
        <v>6472</v>
      </c>
      <c r="B100">
        <v>373.5</v>
      </c>
      <c r="C100">
        <v>373.2</v>
      </c>
      <c r="D100">
        <v>373.5</v>
      </c>
      <c r="E100">
        <v>373.1</v>
      </c>
      <c r="F100">
        <v>14</v>
      </c>
      <c r="G100">
        <v>10.299999999999955</v>
      </c>
      <c r="H100">
        <v>0.37840254462474754</v>
      </c>
      <c r="I100" s="23">
        <v>46260.623854166668</v>
      </c>
    </row>
    <row r="101" spans="1:9">
      <c r="A101">
        <v>5938</v>
      </c>
      <c r="B101">
        <v>1773</v>
      </c>
      <c r="C101">
        <v>1772</v>
      </c>
      <c r="D101">
        <v>1772.5</v>
      </c>
      <c r="E101">
        <v>1772.5</v>
      </c>
      <c r="F101">
        <v>14</v>
      </c>
      <c r="G101">
        <v>27</v>
      </c>
      <c r="H101">
        <v>1.4713329081263899</v>
      </c>
      <c r="I101" s="23">
        <v>46260.623854166668</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C265A-E627-46E2-BC23-56338E065796}">
  <sheetPr codeName="Sheet8"/>
  <dimension ref="A1:Z101"/>
  <sheetViews>
    <sheetView workbookViewId="0"/>
  </sheetViews>
  <sheetFormatPr defaultRowHeight="22.2"/>
  <sheetData>
    <row r="1" spans="1:26">
      <c r="A1" t="s">
        <v>0</v>
      </c>
      <c r="B1" t="s">
        <v>4</v>
      </c>
      <c r="C1" t="s">
        <v>5</v>
      </c>
      <c r="D1" t="s">
        <v>28</v>
      </c>
      <c r="Y1" t="s">
        <v>212</v>
      </c>
      <c r="Z1">
        <v>0</v>
      </c>
    </row>
    <row r="2" spans="1:26">
      <c r="A2">
        <v>9432</v>
      </c>
      <c r="B2">
        <v>169.6</v>
      </c>
      <c r="C2">
        <v>167.3</v>
      </c>
      <c r="D2" s="23">
        <v>46264.053055555552</v>
      </c>
      <c r="Y2" t="s">
        <v>213</v>
      </c>
      <c r="Z2">
        <v>46266.65625</v>
      </c>
    </row>
    <row r="3" spans="1:26">
      <c r="A3">
        <v>9434</v>
      </c>
      <c r="B3">
        <v>230.8</v>
      </c>
      <c r="C3">
        <v>227.6</v>
      </c>
      <c r="D3" s="23">
        <v>46244.656261574077</v>
      </c>
    </row>
    <row r="4" spans="1:26">
      <c r="A4">
        <v>5803</v>
      </c>
      <c r="B4">
        <v>5485</v>
      </c>
      <c r="C4">
        <v>5301</v>
      </c>
      <c r="D4" s="23">
        <v>46264.053055555552</v>
      </c>
    </row>
    <row r="5" spans="1:26">
      <c r="A5">
        <v>5802</v>
      </c>
      <c r="B5">
        <v>2232</v>
      </c>
      <c r="C5">
        <v>2165.5</v>
      </c>
      <c r="D5" s="23">
        <v>46264.053055555552</v>
      </c>
    </row>
    <row r="6" spans="1:26">
      <c r="A6">
        <v>8729</v>
      </c>
      <c r="B6">
        <v>166.3</v>
      </c>
      <c r="C6">
        <v>161.80000000000001</v>
      </c>
      <c r="D6" s="23">
        <v>46264.053055555552</v>
      </c>
    </row>
    <row r="7" spans="1:26">
      <c r="A7">
        <v>7201</v>
      </c>
      <c r="B7">
        <v>322.89999999999998</v>
      </c>
      <c r="C7">
        <v>312.8</v>
      </c>
      <c r="D7" s="23">
        <v>46264.053055555552</v>
      </c>
    </row>
    <row r="8" spans="1:26">
      <c r="A8">
        <v>9984</v>
      </c>
      <c r="B8">
        <v>5263</v>
      </c>
      <c r="C8">
        <v>5136</v>
      </c>
      <c r="D8" s="23">
        <v>46264.053055555552</v>
      </c>
    </row>
    <row r="9" spans="1:26">
      <c r="A9">
        <v>8306</v>
      </c>
      <c r="B9">
        <v>3678</v>
      </c>
      <c r="C9">
        <v>3575</v>
      </c>
      <c r="D9" s="23">
        <v>46264.053055555552</v>
      </c>
    </row>
    <row r="10" spans="1:26">
      <c r="A10">
        <v>9501</v>
      </c>
      <c r="B10">
        <v>535.4</v>
      </c>
      <c r="C10">
        <v>525.5</v>
      </c>
      <c r="D10" s="23">
        <v>46264.053055555552</v>
      </c>
    </row>
    <row r="11" spans="1:26">
      <c r="A11">
        <v>5401</v>
      </c>
      <c r="B11">
        <v>681</v>
      </c>
      <c r="C11">
        <v>668.3</v>
      </c>
      <c r="D11" s="23">
        <v>46264.053055555552</v>
      </c>
    </row>
    <row r="12" spans="1:26">
      <c r="A12">
        <v>5801</v>
      </c>
      <c r="B12">
        <v>4072</v>
      </c>
      <c r="C12">
        <v>3883</v>
      </c>
      <c r="D12" s="23">
        <v>46264.053055555552</v>
      </c>
    </row>
    <row r="13" spans="1:26">
      <c r="A13">
        <v>6758</v>
      </c>
      <c r="B13">
        <v>3968</v>
      </c>
      <c r="C13">
        <v>3875</v>
      </c>
      <c r="D13" s="23">
        <v>46264.053055555552</v>
      </c>
    </row>
    <row r="14" spans="1:26">
      <c r="A14">
        <v>7203</v>
      </c>
      <c r="B14">
        <v>3145</v>
      </c>
      <c r="C14">
        <v>3081</v>
      </c>
      <c r="D14" s="23">
        <v>46264.053055555552</v>
      </c>
    </row>
    <row r="15" spans="1:26">
      <c r="A15">
        <v>5016</v>
      </c>
      <c r="B15">
        <v>3888</v>
      </c>
      <c r="C15">
        <v>3794</v>
      </c>
      <c r="D15" s="23">
        <v>46264.053055555552</v>
      </c>
    </row>
    <row r="16" spans="1:26">
      <c r="A16">
        <v>8053</v>
      </c>
      <c r="B16">
        <v>1785.5</v>
      </c>
      <c r="C16">
        <v>1738.5</v>
      </c>
      <c r="D16" s="23">
        <v>46264.053055555552</v>
      </c>
    </row>
    <row r="17" spans="1:4">
      <c r="A17" t="s">
        <v>17</v>
      </c>
      <c r="B17">
        <v>277</v>
      </c>
      <c r="C17">
        <v>272</v>
      </c>
      <c r="D17" s="23">
        <v>46264.053055555552</v>
      </c>
    </row>
    <row r="18" spans="1:4">
      <c r="A18">
        <v>3350</v>
      </c>
      <c r="B18">
        <v>359</v>
      </c>
      <c r="C18">
        <v>318</v>
      </c>
      <c r="D18" s="23">
        <v>46264.053055555552</v>
      </c>
    </row>
    <row r="19" spans="1:4">
      <c r="A19">
        <v>6723</v>
      </c>
      <c r="B19">
        <v>3626</v>
      </c>
      <c r="C19">
        <v>3404</v>
      </c>
      <c r="D19" s="23">
        <v>46264.053055555552</v>
      </c>
    </row>
    <row r="20" spans="1:4">
      <c r="A20">
        <v>4689</v>
      </c>
      <c r="B20">
        <v>556.79999999999995</v>
      </c>
      <c r="C20">
        <v>547</v>
      </c>
      <c r="D20" s="23">
        <v>46264.053055555552</v>
      </c>
    </row>
    <row r="21" spans="1:4">
      <c r="A21">
        <v>8136</v>
      </c>
      <c r="B21">
        <v>1277</v>
      </c>
      <c r="C21">
        <v>1238.5</v>
      </c>
      <c r="D21" s="23">
        <v>46264.053055555552</v>
      </c>
    </row>
    <row r="22" spans="1:4">
      <c r="A22">
        <v>6902</v>
      </c>
      <c r="B22">
        <v>1920.5</v>
      </c>
      <c r="C22">
        <v>1897</v>
      </c>
      <c r="D22" s="23">
        <v>46264.053055555552</v>
      </c>
    </row>
    <row r="23" spans="1:4">
      <c r="A23">
        <v>7267</v>
      </c>
      <c r="B23">
        <v>1713</v>
      </c>
      <c r="C23">
        <v>1658.5</v>
      </c>
      <c r="D23" s="23">
        <v>46264.053055555552</v>
      </c>
    </row>
    <row r="24" spans="1:4">
      <c r="A24">
        <v>7011</v>
      </c>
      <c r="B24">
        <v>4071</v>
      </c>
      <c r="C24">
        <v>3973</v>
      </c>
      <c r="D24" s="23">
        <v>46264.053055555552</v>
      </c>
    </row>
    <row r="25" spans="1:4">
      <c r="A25">
        <v>4661</v>
      </c>
      <c r="B25">
        <v>3039</v>
      </c>
      <c r="C25">
        <v>2990</v>
      </c>
      <c r="D25" s="23">
        <v>46264.053055555552</v>
      </c>
    </row>
    <row r="26" spans="1:4">
      <c r="A26">
        <v>8604</v>
      </c>
      <c r="B26">
        <v>1652</v>
      </c>
      <c r="C26">
        <v>1600.5</v>
      </c>
      <c r="D26" s="23">
        <v>46264.053055555552</v>
      </c>
    </row>
    <row r="27" spans="1:4">
      <c r="A27">
        <v>6762</v>
      </c>
      <c r="B27">
        <v>3135</v>
      </c>
      <c r="C27">
        <v>3035</v>
      </c>
      <c r="D27" s="23">
        <v>46264.053055555552</v>
      </c>
    </row>
    <row r="28" spans="1:4">
      <c r="A28">
        <v>6501</v>
      </c>
      <c r="B28">
        <v>5645</v>
      </c>
      <c r="C28">
        <v>5486</v>
      </c>
      <c r="D28" s="23">
        <v>46264.053055555552</v>
      </c>
    </row>
    <row r="29" spans="1:4">
      <c r="A29">
        <v>4063</v>
      </c>
      <c r="B29">
        <v>6068</v>
      </c>
      <c r="C29">
        <v>6001</v>
      </c>
      <c r="D29" s="23">
        <v>46264.053055555552</v>
      </c>
    </row>
    <row r="30" spans="1:4">
      <c r="A30">
        <v>4568</v>
      </c>
      <c r="B30">
        <v>2958</v>
      </c>
      <c r="C30">
        <v>2887</v>
      </c>
      <c r="D30" s="23">
        <v>46264.053055555552</v>
      </c>
    </row>
    <row r="31" spans="1:4">
      <c r="A31">
        <v>8001</v>
      </c>
      <c r="B31">
        <v>2132</v>
      </c>
      <c r="C31">
        <v>2096</v>
      </c>
      <c r="D31" s="23">
        <v>46264.053055555552</v>
      </c>
    </row>
    <row r="32" spans="1:4">
      <c r="A32">
        <v>6857</v>
      </c>
      <c r="B32">
        <v>35600</v>
      </c>
      <c r="C32">
        <v>34230</v>
      </c>
      <c r="D32" s="23">
        <v>46264.053055555552</v>
      </c>
    </row>
    <row r="33" spans="1:4">
      <c r="A33">
        <v>7974</v>
      </c>
      <c r="B33">
        <v>9095</v>
      </c>
      <c r="C33">
        <v>8767</v>
      </c>
      <c r="D33" s="23">
        <v>46264.053055555552</v>
      </c>
    </row>
    <row r="34" spans="1:4">
      <c r="A34">
        <v>8309</v>
      </c>
      <c r="B34">
        <v>1798</v>
      </c>
      <c r="C34">
        <v>1747</v>
      </c>
      <c r="D34" s="23">
        <v>46264.053055555552</v>
      </c>
    </row>
    <row r="35" spans="1:4">
      <c r="A35">
        <v>4755</v>
      </c>
      <c r="B35">
        <v>794.6</v>
      </c>
      <c r="C35">
        <v>775.9</v>
      </c>
      <c r="D35" s="23">
        <v>46264.053055555552</v>
      </c>
    </row>
    <row r="36" spans="1:4">
      <c r="A36">
        <v>6702</v>
      </c>
      <c r="B36">
        <v>3953</v>
      </c>
      <c r="C36">
        <v>3844</v>
      </c>
      <c r="D36" s="23">
        <v>46264.053055555552</v>
      </c>
    </row>
    <row r="37" spans="1:4">
      <c r="A37">
        <v>8316</v>
      </c>
      <c r="B37">
        <v>6937</v>
      </c>
      <c r="C37">
        <v>6770</v>
      </c>
      <c r="D37" s="23">
        <v>46264.053055555552</v>
      </c>
    </row>
    <row r="38" spans="1:4">
      <c r="A38">
        <v>6526</v>
      </c>
      <c r="B38">
        <v>2098</v>
      </c>
      <c r="C38">
        <v>1991.5</v>
      </c>
      <c r="D38" s="23">
        <v>46264.053055555552</v>
      </c>
    </row>
    <row r="39" spans="1:4">
      <c r="A39">
        <v>7013</v>
      </c>
      <c r="B39">
        <v>2806</v>
      </c>
      <c r="C39">
        <v>2704.5</v>
      </c>
      <c r="D39" s="23">
        <v>46264.053055555552</v>
      </c>
    </row>
    <row r="40" spans="1:4">
      <c r="A40">
        <v>4005</v>
      </c>
      <c r="B40">
        <v>563.70000000000005</v>
      </c>
      <c r="C40">
        <v>553.9</v>
      </c>
      <c r="D40" s="23">
        <v>46264.053055555552</v>
      </c>
    </row>
    <row r="41" spans="1:4">
      <c r="A41">
        <v>4188</v>
      </c>
      <c r="B41">
        <v>1188.5</v>
      </c>
      <c r="C41">
        <v>1169.5</v>
      </c>
      <c r="D41" s="23">
        <v>46264.053055555552</v>
      </c>
    </row>
    <row r="42" spans="1:4">
      <c r="A42">
        <v>8035</v>
      </c>
      <c r="B42">
        <v>57520</v>
      </c>
      <c r="C42">
        <v>55900</v>
      </c>
      <c r="D42" s="23">
        <v>46264.053055555552</v>
      </c>
    </row>
    <row r="43" spans="1:4">
      <c r="A43">
        <v>8411</v>
      </c>
      <c r="B43">
        <v>8525</v>
      </c>
      <c r="C43">
        <v>8290</v>
      </c>
      <c r="D43" s="23">
        <v>46264.053055555552</v>
      </c>
    </row>
    <row r="44" spans="1:4">
      <c r="A44">
        <v>3436</v>
      </c>
      <c r="B44">
        <v>3623</v>
      </c>
      <c r="C44">
        <v>3401</v>
      </c>
      <c r="D44" s="23">
        <v>46264.053055555552</v>
      </c>
    </row>
    <row r="45" spans="1:4">
      <c r="A45">
        <v>9433</v>
      </c>
      <c r="B45">
        <v>2922</v>
      </c>
      <c r="C45">
        <v>2867</v>
      </c>
      <c r="D45" s="23">
        <v>46264.053055555552</v>
      </c>
    </row>
    <row r="46" spans="1:4">
      <c r="A46">
        <v>7532</v>
      </c>
      <c r="B46">
        <v>810.2</v>
      </c>
      <c r="C46">
        <v>798.6</v>
      </c>
      <c r="D46" s="23">
        <v>46264.053055555552</v>
      </c>
    </row>
    <row r="47" spans="1:4">
      <c r="A47">
        <v>8267</v>
      </c>
      <c r="B47">
        <v>1362</v>
      </c>
      <c r="C47">
        <v>1328</v>
      </c>
      <c r="D47" s="23">
        <v>46264.053055555552</v>
      </c>
    </row>
    <row r="48" spans="1:4">
      <c r="A48">
        <v>7012</v>
      </c>
      <c r="B48">
        <v>2647</v>
      </c>
      <c r="C48">
        <v>2601</v>
      </c>
      <c r="D48" s="23">
        <v>46264.053055555552</v>
      </c>
    </row>
    <row r="49" spans="1:4">
      <c r="A49">
        <v>8303</v>
      </c>
      <c r="B49">
        <v>1585</v>
      </c>
      <c r="C49">
        <v>1554</v>
      </c>
      <c r="D49" s="23">
        <v>46264.053055555552</v>
      </c>
    </row>
    <row r="50" spans="1:4">
      <c r="A50">
        <v>3407</v>
      </c>
      <c r="B50">
        <v>1651.5</v>
      </c>
      <c r="C50">
        <v>1610</v>
      </c>
      <c r="D50" s="23">
        <v>46264.053055555552</v>
      </c>
    </row>
    <row r="51" spans="1:4">
      <c r="A51">
        <v>8308</v>
      </c>
      <c r="B51">
        <v>2540</v>
      </c>
      <c r="C51">
        <v>2442.5</v>
      </c>
      <c r="D51" s="23">
        <v>46264.053055555552</v>
      </c>
    </row>
    <row r="52" spans="1:4">
      <c r="A52">
        <v>2914</v>
      </c>
      <c r="B52">
        <v>6996</v>
      </c>
      <c r="C52">
        <v>6926</v>
      </c>
      <c r="D52" s="23">
        <v>46264.053055555552</v>
      </c>
    </row>
    <row r="53" spans="1:4">
      <c r="A53">
        <v>8473</v>
      </c>
      <c r="B53">
        <v>3440</v>
      </c>
      <c r="C53">
        <v>3362</v>
      </c>
      <c r="D53" s="23">
        <v>46264.053055555552</v>
      </c>
    </row>
    <row r="54" spans="1:4">
      <c r="A54">
        <v>3231</v>
      </c>
      <c r="B54">
        <v>937.4</v>
      </c>
      <c r="C54">
        <v>928</v>
      </c>
      <c r="D54" s="23">
        <v>46264.053055555552</v>
      </c>
    </row>
    <row r="55" spans="1:4">
      <c r="A55">
        <v>4902</v>
      </c>
      <c r="B55">
        <v>666.4</v>
      </c>
      <c r="C55">
        <v>655.4</v>
      </c>
      <c r="D55" s="23">
        <v>46264.053055555552</v>
      </c>
    </row>
    <row r="56" spans="1:4">
      <c r="A56">
        <v>6701</v>
      </c>
      <c r="B56">
        <v>4963</v>
      </c>
      <c r="C56">
        <v>4866</v>
      </c>
      <c r="D56" s="23">
        <v>46264.053055555552</v>
      </c>
    </row>
    <row r="57" spans="1:4">
      <c r="A57">
        <v>7182</v>
      </c>
      <c r="B57">
        <v>3368</v>
      </c>
      <c r="C57">
        <v>3270</v>
      </c>
      <c r="D57" s="23">
        <v>46264.053055555552</v>
      </c>
    </row>
    <row r="58" spans="1:4">
      <c r="A58">
        <v>7211</v>
      </c>
      <c r="B58">
        <v>388.7</v>
      </c>
      <c r="C58">
        <v>371</v>
      </c>
      <c r="D58" s="23">
        <v>46264.053055555552</v>
      </c>
    </row>
    <row r="59" spans="1:4">
      <c r="A59">
        <v>8801</v>
      </c>
      <c r="B59">
        <v>1542</v>
      </c>
      <c r="C59">
        <v>1504</v>
      </c>
      <c r="D59" s="23">
        <v>46264.053055555552</v>
      </c>
    </row>
    <row r="60" spans="1:4">
      <c r="A60">
        <v>6971</v>
      </c>
      <c r="B60">
        <v>3661</v>
      </c>
      <c r="C60">
        <v>3621</v>
      </c>
      <c r="D60" s="23">
        <v>46264.053055555552</v>
      </c>
    </row>
    <row r="61" spans="1:4">
      <c r="A61">
        <v>6503</v>
      </c>
      <c r="B61">
        <v>5679</v>
      </c>
      <c r="C61">
        <v>5590</v>
      </c>
      <c r="D61" s="23">
        <v>46264.053055555552</v>
      </c>
    </row>
    <row r="62" spans="1:4">
      <c r="A62">
        <v>8410</v>
      </c>
      <c r="B62">
        <v>339.6</v>
      </c>
      <c r="C62">
        <v>334.2</v>
      </c>
      <c r="D62" s="23">
        <v>46264.053055555552</v>
      </c>
    </row>
    <row r="63" spans="1:4">
      <c r="A63">
        <v>2181</v>
      </c>
      <c r="B63">
        <v>299.89999999999998</v>
      </c>
      <c r="C63">
        <v>295</v>
      </c>
      <c r="D63" s="23">
        <v>46264.053055555552</v>
      </c>
    </row>
    <row r="64" spans="1:4">
      <c r="A64">
        <v>5020</v>
      </c>
      <c r="B64">
        <v>1345</v>
      </c>
      <c r="C64">
        <v>1321.5</v>
      </c>
      <c r="D64" s="23">
        <v>46264.053055555552</v>
      </c>
    </row>
    <row r="65" spans="1:4">
      <c r="A65">
        <v>2502</v>
      </c>
      <c r="B65">
        <v>1670.5</v>
      </c>
      <c r="C65">
        <v>1637</v>
      </c>
      <c r="D65" s="23">
        <v>46264.053055555552</v>
      </c>
    </row>
    <row r="66" spans="1:4">
      <c r="A66">
        <v>6954</v>
      </c>
      <c r="B66">
        <v>6147</v>
      </c>
      <c r="C66">
        <v>6031</v>
      </c>
      <c r="D66" s="23">
        <v>46264.053055555552</v>
      </c>
    </row>
    <row r="67" spans="1:4">
      <c r="A67">
        <v>2127</v>
      </c>
      <c r="B67">
        <v>691.6</v>
      </c>
      <c r="C67">
        <v>679.2</v>
      </c>
      <c r="D67" s="23">
        <v>46264.053055555552</v>
      </c>
    </row>
    <row r="68" spans="1:4">
      <c r="A68">
        <v>8058</v>
      </c>
      <c r="B68">
        <v>4810</v>
      </c>
      <c r="C68">
        <v>4708</v>
      </c>
      <c r="D68" s="23">
        <v>46264.053055555552</v>
      </c>
    </row>
    <row r="69" spans="1:4">
      <c r="A69">
        <v>3382</v>
      </c>
      <c r="B69">
        <v>2001.5</v>
      </c>
      <c r="C69">
        <v>1957.5</v>
      </c>
      <c r="D69" s="23">
        <v>46264.053055555552</v>
      </c>
    </row>
    <row r="70" spans="1:4">
      <c r="A70">
        <v>8750</v>
      </c>
      <c r="B70">
        <v>1857</v>
      </c>
      <c r="C70">
        <v>1810.5</v>
      </c>
      <c r="D70" s="23">
        <v>46264.053055555552</v>
      </c>
    </row>
    <row r="71" spans="1:4">
      <c r="A71">
        <v>7269</v>
      </c>
      <c r="B71">
        <v>2173</v>
      </c>
      <c r="C71">
        <v>2142</v>
      </c>
      <c r="D71" s="23">
        <v>46264.053055555552</v>
      </c>
    </row>
    <row r="72" spans="1:4">
      <c r="A72">
        <v>7751</v>
      </c>
      <c r="B72">
        <v>4721</v>
      </c>
      <c r="C72">
        <v>4671</v>
      </c>
      <c r="D72" s="23">
        <v>46264.053055555552</v>
      </c>
    </row>
    <row r="73" spans="1:4">
      <c r="A73">
        <v>8113</v>
      </c>
      <c r="B73">
        <v>987.6</v>
      </c>
      <c r="C73">
        <v>974.2</v>
      </c>
      <c r="D73" s="23">
        <v>46264.053055555552</v>
      </c>
    </row>
    <row r="74" spans="1:4">
      <c r="A74">
        <v>7735</v>
      </c>
      <c r="B74">
        <v>14025</v>
      </c>
      <c r="C74">
        <v>13525</v>
      </c>
      <c r="D74" s="23">
        <v>46264.053055555552</v>
      </c>
    </row>
    <row r="75" spans="1:4">
      <c r="A75">
        <v>6506</v>
      </c>
      <c r="B75">
        <v>4889</v>
      </c>
      <c r="C75">
        <v>4773</v>
      </c>
      <c r="D75" s="23">
        <v>46264.053055555552</v>
      </c>
    </row>
    <row r="76" spans="1:4">
      <c r="A76">
        <v>6963</v>
      </c>
      <c r="B76">
        <v>4975</v>
      </c>
      <c r="C76">
        <v>4788</v>
      </c>
      <c r="D76" s="23">
        <v>46264.053055555552</v>
      </c>
    </row>
    <row r="77" spans="1:4">
      <c r="A77">
        <v>3697</v>
      </c>
      <c r="B77">
        <v>1021</v>
      </c>
      <c r="C77">
        <v>960.1</v>
      </c>
      <c r="D77" s="23">
        <v>46264.053055555552</v>
      </c>
    </row>
    <row r="78" spans="1:4">
      <c r="A78">
        <v>6315</v>
      </c>
      <c r="B78">
        <v>2361</v>
      </c>
      <c r="C78">
        <v>2300</v>
      </c>
      <c r="D78" s="23">
        <v>46264.053055555552</v>
      </c>
    </row>
    <row r="79" spans="1:4">
      <c r="A79">
        <v>4503</v>
      </c>
      <c r="B79">
        <v>2404</v>
      </c>
      <c r="C79">
        <v>2364</v>
      </c>
      <c r="D79" s="23">
        <v>46264.053055555552</v>
      </c>
    </row>
    <row r="80" spans="1:4">
      <c r="A80">
        <v>2146</v>
      </c>
      <c r="B80">
        <v>236</v>
      </c>
      <c r="C80">
        <v>230</v>
      </c>
      <c r="D80" s="23">
        <v>46264.053055555552</v>
      </c>
    </row>
    <row r="81" spans="1:4">
      <c r="A81">
        <v>3861</v>
      </c>
      <c r="B81">
        <v>881.5</v>
      </c>
      <c r="C81">
        <v>873.5</v>
      </c>
      <c r="D81" s="23">
        <v>46264.053055555552</v>
      </c>
    </row>
    <row r="82" spans="1:4">
      <c r="A82">
        <v>5411</v>
      </c>
      <c r="B82">
        <v>1862.5</v>
      </c>
      <c r="C82">
        <v>1836.5</v>
      </c>
      <c r="D82" s="23">
        <v>46264.053055555552</v>
      </c>
    </row>
    <row r="83" spans="1:4">
      <c r="A83">
        <v>7261</v>
      </c>
      <c r="B83">
        <v>1224</v>
      </c>
      <c r="C83">
        <v>1201</v>
      </c>
      <c r="D83" s="23">
        <v>46264.053055555552</v>
      </c>
    </row>
    <row r="84" spans="1:4">
      <c r="A84">
        <v>8601</v>
      </c>
      <c r="B84">
        <v>1874</v>
      </c>
      <c r="C84">
        <v>1823.5</v>
      </c>
      <c r="D84" s="23">
        <v>46264.053055555552</v>
      </c>
    </row>
    <row r="85" spans="1:4">
      <c r="A85">
        <v>6471</v>
      </c>
      <c r="B85">
        <v>1119</v>
      </c>
      <c r="C85">
        <v>1096.5</v>
      </c>
      <c r="D85" s="23">
        <v>46264.053055555552</v>
      </c>
    </row>
    <row r="86" spans="1:4">
      <c r="A86">
        <v>2413</v>
      </c>
      <c r="B86">
        <v>1870</v>
      </c>
      <c r="C86">
        <v>1780</v>
      </c>
      <c r="D86" s="23">
        <v>46264.053055555552</v>
      </c>
    </row>
    <row r="87" spans="1:4">
      <c r="A87">
        <v>4502</v>
      </c>
      <c r="B87">
        <v>5849</v>
      </c>
      <c r="C87">
        <v>5781</v>
      </c>
      <c r="D87" s="23">
        <v>46264.053055555552</v>
      </c>
    </row>
    <row r="88" spans="1:4">
      <c r="A88">
        <v>4307</v>
      </c>
      <c r="B88">
        <v>5315</v>
      </c>
      <c r="C88">
        <v>5076</v>
      </c>
      <c r="D88" s="23">
        <v>46264.053055555552</v>
      </c>
    </row>
    <row r="89" spans="1:4">
      <c r="A89">
        <v>3110</v>
      </c>
      <c r="B89">
        <v>3085</v>
      </c>
      <c r="C89">
        <v>2981</v>
      </c>
      <c r="D89" s="23">
        <v>46264.053055555552</v>
      </c>
    </row>
    <row r="90" spans="1:4">
      <c r="A90">
        <v>8593</v>
      </c>
      <c r="B90">
        <v>1404.5</v>
      </c>
      <c r="C90">
        <v>1390</v>
      </c>
      <c r="D90" s="23">
        <v>46264.053055555552</v>
      </c>
    </row>
    <row r="91" spans="1:4">
      <c r="A91">
        <v>1942</v>
      </c>
      <c r="B91">
        <v>5484</v>
      </c>
      <c r="C91">
        <v>5396</v>
      </c>
      <c r="D91" s="23">
        <v>46264.053055555552</v>
      </c>
    </row>
    <row r="92" spans="1:4">
      <c r="A92">
        <v>2802</v>
      </c>
      <c r="B92">
        <v>5509</v>
      </c>
      <c r="C92">
        <v>5401</v>
      </c>
      <c r="D92" s="23">
        <v>46264.053055555552</v>
      </c>
    </row>
    <row r="93" spans="1:4">
      <c r="A93">
        <v>7259</v>
      </c>
      <c r="B93">
        <v>2249.5</v>
      </c>
      <c r="C93">
        <v>2224.5</v>
      </c>
      <c r="D93" s="23">
        <v>46264.053055555552</v>
      </c>
    </row>
    <row r="94" spans="1:4">
      <c r="A94">
        <v>6178</v>
      </c>
      <c r="B94">
        <v>2442</v>
      </c>
      <c r="C94">
        <v>2370.5</v>
      </c>
      <c r="D94" s="23">
        <v>46264.053055555552</v>
      </c>
    </row>
    <row r="95" spans="1:4">
      <c r="A95">
        <v>7272</v>
      </c>
      <c r="B95">
        <v>1945.5</v>
      </c>
      <c r="C95">
        <v>1889</v>
      </c>
      <c r="D95" s="23">
        <v>46264.053055555552</v>
      </c>
    </row>
    <row r="96" spans="1:4">
      <c r="A96">
        <v>8697</v>
      </c>
      <c r="B96">
        <v>2313</v>
      </c>
      <c r="C96">
        <v>2280</v>
      </c>
      <c r="D96" s="23">
        <v>46264.053055555552</v>
      </c>
    </row>
    <row r="97" spans="1:4">
      <c r="A97">
        <v>6920</v>
      </c>
      <c r="B97">
        <v>35430</v>
      </c>
      <c r="C97">
        <v>34500</v>
      </c>
      <c r="D97" s="23">
        <v>46264.053055555552</v>
      </c>
    </row>
    <row r="98" spans="1:4">
      <c r="A98">
        <v>1803</v>
      </c>
      <c r="B98">
        <v>2408</v>
      </c>
      <c r="C98">
        <v>2375.5</v>
      </c>
      <c r="D98" s="23">
        <v>46264.053055555552</v>
      </c>
    </row>
    <row r="99" spans="1:4">
      <c r="A99">
        <v>8031</v>
      </c>
      <c r="B99">
        <v>4988</v>
      </c>
      <c r="C99">
        <v>4888</v>
      </c>
      <c r="D99" s="23">
        <v>46264.053055555552</v>
      </c>
    </row>
    <row r="100" spans="1:4">
      <c r="A100">
        <v>6472</v>
      </c>
      <c r="B100">
        <v>376.4</v>
      </c>
      <c r="C100">
        <v>371.6</v>
      </c>
      <c r="D100" s="23">
        <v>46264.053055555552</v>
      </c>
    </row>
    <row r="101" spans="1:4">
      <c r="A101">
        <v>5938</v>
      </c>
      <c r="B101">
        <v>1778.5</v>
      </c>
      <c r="C101">
        <v>1758.5</v>
      </c>
      <c r="D101" s="23">
        <v>46264.053055555552</v>
      </c>
    </row>
  </sheetData>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操作パネル_MS2</vt:lpstr>
      <vt:lpstr>使い方</vt:lpstr>
      <vt:lpstr>DATA_MS2</vt:lpstr>
      <vt:lpstr>TRADE_MS2</vt:lpstr>
      <vt:lpstr>RANK_MS2</vt:lpstr>
      <vt:lpstr>StockList_MS2</vt:lpstr>
      <vt:lpstr>ATRHIST_MS2</vt:lpstr>
      <vt:lpstr>PREVDAY_MS2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英明 阿部</dc:creator>
  <cp:lastModifiedBy>英明 阿部</cp:lastModifiedBy>
  <dcterms:created xsi:type="dcterms:W3CDTF">2026-08-01T12:40:50Z</dcterms:created>
  <dcterms:modified xsi:type="dcterms:W3CDTF">2026-08-31T10:52:00Z</dcterms:modified>
</cp:coreProperties>
</file>