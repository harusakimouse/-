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 Hideaki\Desktop\"/>
    </mc:Choice>
  </mc:AlternateContent>
  <xr:revisionPtr revIDLastSave="0" documentId="13_ncr:1_{05FB36B1-E363-4F7B-8491-5C18B8A8E85D}" xr6:coauthVersionLast="47" xr6:coauthVersionMax="47" xr10:uidLastSave="{00000000-0000-0000-0000-000000000000}"/>
  <bookViews>
    <workbookView xWindow="-108" yWindow="492" windowWidth="46296" windowHeight="24816" tabRatio="500" activeTab="1" xr2:uid="{00000000-000D-0000-FFFF-FFFF00000000}"/>
  </bookViews>
  <sheets>
    <sheet name="使い方" sheetId="1" r:id="rId1"/>
    <sheet name="RSS取得" sheetId="2" r:id="rId2"/>
    <sheet name="本日ログ" sheetId="3" r:id="rId3"/>
    <sheet name="最新" sheetId="4" r:id="rId4"/>
    <sheet name="履歴10日" sheetId="5" r:id="rId5"/>
    <sheet name="比較" sheetId="6" r:id="rId6"/>
  </sheets>
  <functionGroups builtInGroupCount="19"/>
  <definedNames>
    <definedName name="_xlnm._FilterDatabase" localSheetId="1" hidden="1">RSS取得!$A$1:$F$401</definedName>
    <definedName name="_xlnm._FilterDatabase" localSheetId="5" hidden="1">比較!$A$1:$I$401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<sst xmlns="http://schemas.openxmlformats.org/spreadsheetml/2006/main" count="1483" uniqueCount="437">
  <si>
    <t>使い方（はじめに必ずお読みください）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</si>
  <si>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>「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取得」シートの</t>
    </r>
    <r>
      <rPr>
        <sz val="10"/>
        <rFont val="Arial"/>
        <family val="2"/>
      </rPr>
      <t>C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F</t>
    </r>
    <r>
      <rPr>
        <sz val="10"/>
        <rFont val="Noto Sans CJK SC"/>
        <family val="2"/>
      </rPr>
      <t>列に、楽天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の関数を入力してください。</t>
    </r>
  </si>
  <si>
    <r>
      <rPr>
        <sz val="10"/>
        <rFont val="Noto Sans CJK SC"/>
        <family val="2"/>
      </rPr>
      <t xml:space="preserve">   入力例（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行目に記載）：全角の＝で書いてあります。半角の</t>
    </r>
    <r>
      <rPr>
        <sz val="10"/>
        <rFont val="Arial"/>
        <family val="2"/>
      </rPr>
      <t>=</t>
    </r>
    <r>
      <rPr>
        <sz val="10"/>
        <rFont val="Noto Sans CJK SC"/>
        <family val="2"/>
      </rPr>
      <t>に直して使ってください。</t>
    </r>
  </si>
  <si>
    <r>
      <rPr>
        <sz val="10"/>
        <rFont val="Arial"/>
        <family val="2"/>
      </rPr>
      <t xml:space="preserve">   RssMarketPrice(A2,"</t>
    </r>
    <r>
      <rPr>
        <sz val="10"/>
        <rFont val="Noto Sans CJK SC"/>
        <family val="2"/>
      </rPr>
      <t>現在値</t>
    </r>
    <r>
      <rPr>
        <sz val="10"/>
        <rFont val="Arial"/>
        <family val="2"/>
      </rPr>
      <t xml:space="preserve">") </t>
    </r>
    <r>
      <rPr>
        <sz val="10"/>
        <rFont val="Noto Sans CJK SC"/>
        <family val="2"/>
      </rPr>
      <t>のような形です。</t>
    </r>
  </si>
  <si>
    <r>
      <rPr>
        <sz val="10"/>
        <rFont val="Noto Sans CJK SC"/>
        <family val="2"/>
      </rPr>
      <t xml:space="preserve">   関数名や引数は楽天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のバージョンによって違うことがあるので、事前に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関数一覧で確認してください。</t>
    </r>
  </si>
  <si>
    <r>
      <rPr>
        <sz val="10"/>
        <rFont val="Arial"/>
        <family val="2"/>
      </rPr>
      <t>2. VBA</t>
    </r>
    <r>
      <rPr>
        <sz val="10"/>
        <rFont val="Noto Sans CJK SC"/>
        <family val="2"/>
      </rPr>
      <t>エディタ（</t>
    </r>
    <r>
      <rPr>
        <sz val="10"/>
        <rFont val="Arial"/>
        <family val="2"/>
      </rPr>
      <t>Alt+F11</t>
    </r>
    <r>
      <rPr>
        <sz val="10"/>
        <rFont val="Noto Sans CJK SC"/>
        <family val="2"/>
      </rPr>
      <t>）を開き、標準モジュールを追加して、同封の「マクロコード</t>
    </r>
    <r>
      <rPr>
        <sz val="10"/>
        <rFont val="Arial"/>
        <family val="2"/>
      </rPr>
      <t>.txt</t>
    </r>
    <r>
      <rPr>
        <sz val="10"/>
        <rFont val="Noto Sans CJK SC"/>
        <family val="2"/>
      </rPr>
      <t>」の中身を貼り付けてください。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</si>
  <si>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>このファイルを「</t>
    </r>
    <r>
      <rPr>
        <sz val="10"/>
        <rFont val="Arial"/>
        <family val="2"/>
      </rPr>
      <t>Excel</t>
    </r>
    <r>
      <rPr>
        <sz val="10"/>
        <rFont val="Noto Sans CJK SC"/>
        <family val="2"/>
      </rPr>
      <t>マクロ有効ブック（</t>
    </r>
    <r>
      <rPr>
        <sz val="10"/>
        <rFont val="Arial"/>
        <family val="2"/>
      </rPr>
      <t>.xlsm</t>
    </r>
    <r>
      <rPr>
        <sz val="10"/>
        <rFont val="Noto Sans CJK SC"/>
        <family val="2"/>
      </rPr>
      <t>）」として保存し直してください。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</si>
  <si>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>取引開始前に、マクロ「記録開始」を実行してください。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分ごとに時刻を確認し、</t>
    </r>
    <r>
      <rPr>
        <sz val="10"/>
        <rFont val="Arial"/>
        <family val="2"/>
      </rPr>
      <t>9:00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15:30</t>
    </r>
    <r>
      <rPr>
        <sz val="10"/>
        <rFont val="Noto Sans CJK SC"/>
        <family val="2"/>
      </rPr>
      <t>の間、自動で出来高を記録します。</t>
    </r>
  </si>
  <si>
    <r>
      <rPr>
        <sz val="10"/>
        <rFont val="Arial"/>
        <family val="2"/>
      </rPr>
      <t>5. 15:31</t>
    </r>
    <r>
      <rPr>
        <sz val="10"/>
        <rFont val="Noto Sans CJK SC"/>
        <family val="2"/>
      </rPr>
      <t>以降、自動的に「記録終了</t>
    </r>
    <r>
      <rPr>
        <sz val="10"/>
        <rFont val="Arial"/>
        <family val="2"/>
      </rPr>
      <t>_</t>
    </r>
    <r>
      <rPr>
        <sz val="10"/>
        <rFont val="Noto Sans CJK SC"/>
        <family val="2"/>
      </rPr>
      <t>履歴保存」が実行され、本日分が「履歴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日」シートに保存されます。</t>
    </r>
  </si>
  <si>
    <r>
      <rPr>
        <sz val="10"/>
        <rFont val="Arial"/>
        <family val="2"/>
      </rPr>
      <t xml:space="preserve">   11</t>
    </r>
    <r>
      <rPr>
        <sz val="10"/>
        <rFont val="Noto Sans CJK SC"/>
        <family val="2"/>
      </rPr>
      <t>日目以降は自動的に一番古い日が削除され、常に直近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日分だけが残ります。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</si>
  <si>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「比較」シートで、銘柄ごとの「本日の区間出来高 </t>
    </r>
    <r>
      <rPr>
        <sz val="10"/>
        <rFont val="Arial"/>
        <family val="2"/>
      </rPr>
      <t xml:space="preserve">÷ </t>
    </r>
    <r>
      <rPr>
        <sz val="10"/>
        <rFont val="Noto Sans CJK SC"/>
        <family val="2"/>
      </rPr>
      <t>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日平均」の倍率を確認できます。倍率が大きいほど、今日は出来高が多い（強い）ことを示します。</t>
    </r>
  </si>
  <si>
    <t>【シート構成】</t>
  </si>
  <si>
    <r>
      <rPr>
        <sz val="10"/>
        <rFont val="Noto Sans CJK SC"/>
        <family val="2"/>
      </rPr>
      <t>・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取得　… 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の関数を置く場所（</t>
    </r>
    <r>
      <rPr>
        <sz val="10"/>
        <rFont val="Arial"/>
        <family val="2"/>
      </rPr>
      <t>400</t>
    </r>
    <r>
      <rPr>
        <sz val="10"/>
        <rFont val="Noto Sans CJK SC"/>
        <family val="2"/>
      </rPr>
      <t>銘柄分）</t>
    </r>
  </si>
  <si>
    <t>・本日ログ　… 記録した時刻ごとの生データ（マクロが自動追記）</t>
  </si>
  <si>
    <r>
      <rPr>
        <sz val="10"/>
        <rFont val="Noto Sans CJK SC"/>
        <family val="2"/>
      </rPr>
      <t>・最新　　　… 銘柄ごとの「直近の記録」だけを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行にまとめた表（マクロが自動更新、比較シートが参照）</t>
    </r>
  </si>
  <si>
    <r>
      <rPr>
        <sz val="10"/>
        <rFont val="Noto Sans CJK SC"/>
        <family val="2"/>
      </rPr>
      <t>・履歴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　… 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日分の記録（マクロが自動追記、</t>
    </r>
    <r>
      <rPr>
        <sz val="10"/>
        <rFont val="Arial"/>
        <family val="2"/>
      </rPr>
      <t>11</t>
    </r>
    <r>
      <rPr>
        <sz val="10"/>
        <rFont val="Noto Sans CJK SC"/>
        <family val="2"/>
      </rPr>
      <t>日目で一番古い日を自動削除）</t>
    </r>
  </si>
  <si>
    <r>
      <rPr>
        <sz val="10"/>
        <rFont val="Noto Sans CJK SC"/>
        <family val="2"/>
      </rPr>
      <t>・比較　　　… 本日の出来高が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日平均の何倍か、をランキングできる画面</t>
    </r>
  </si>
  <si>
    <t>【注意点】</t>
  </si>
  <si>
    <r>
      <rPr>
        <sz val="10"/>
        <rFont val="Noto Sans CJK SC"/>
        <family val="2"/>
      </rPr>
      <t>・</t>
    </r>
    <r>
      <rPr>
        <sz val="10"/>
        <rFont val="Arial"/>
        <family val="2"/>
      </rPr>
      <t>400</t>
    </r>
    <r>
      <rPr>
        <sz val="10"/>
        <rFont val="Noto Sans CJK SC"/>
        <family val="2"/>
      </rPr>
      <t>銘柄を一度に取得すると、楽天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の同時取得数の上限や動作の重さの影響を受ける場合があります。まず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20</t>
    </r>
    <r>
      <rPr>
        <sz val="10"/>
        <rFont val="Noto Sans CJK SC"/>
        <family val="2"/>
      </rPr>
      <t>銘柄でテストしてから広げることをおすすめします。</t>
    </r>
  </si>
  <si>
    <r>
      <rPr>
        <sz val="10"/>
        <rFont val="Noto Sans CJK SC"/>
        <family val="2"/>
      </rPr>
      <t>・取引時間中は</t>
    </r>
    <r>
      <rPr>
        <sz val="10"/>
        <rFont val="Arial"/>
        <family val="2"/>
      </rPr>
      <t>PC</t>
    </r>
    <r>
      <rPr>
        <sz val="10"/>
        <rFont val="Noto Sans CJK SC"/>
        <family val="2"/>
      </rPr>
      <t>と</t>
    </r>
    <r>
      <rPr>
        <sz val="10"/>
        <rFont val="Arial"/>
        <family val="2"/>
      </rPr>
      <t>Excel</t>
    </r>
    <r>
      <rPr>
        <sz val="10"/>
        <rFont val="Noto Sans CJK SC"/>
        <family val="2"/>
      </rPr>
      <t>を起動したままにしてください（閉じている間は記録されません）。</t>
    </r>
  </si>
  <si>
    <t>・「区間出来高」＝その時刻までの累積出来高－ひとつ前の記録時点の累積出来高、です。</t>
  </si>
  <si>
    <r>
      <rPr>
        <sz val="10"/>
        <rFont val="Noto Sans CJK SC"/>
        <family val="2"/>
      </rPr>
      <t xml:space="preserve">・「出来高倍率」＝本日の区間出来高 </t>
    </r>
    <r>
      <rPr>
        <sz val="10"/>
        <rFont val="Arial"/>
        <family val="2"/>
      </rPr>
      <t xml:space="preserve">÷ </t>
    </r>
    <r>
      <rPr>
        <sz val="10"/>
        <rFont val="Noto Sans CJK SC"/>
        <family val="2"/>
      </rPr>
      <t>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日平均区間出来高、です。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倍が「普段どおり」、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倍なら「普段の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倍の出来高」という意味です。</t>
    </r>
  </si>
  <si>
    <t>コード</t>
  </si>
  <si>
    <t>銘柄名</t>
  </si>
  <si>
    <t>現在値</t>
  </si>
  <si>
    <t>始値</t>
  </si>
  <si>
    <t>前日終値</t>
  </si>
  <si>
    <r>
      <rPr>
        <b/>
        <sz val="10"/>
        <color rgb="FFFFFFFF"/>
        <rFont val="Noto Sans CJK SC"/>
        <family val="2"/>
      </rPr>
      <t>出来高</t>
    </r>
    <r>
      <rPr>
        <b/>
        <sz val="10"/>
        <color rgb="FFFFFFFF"/>
        <rFont val="Arial"/>
        <family val="2"/>
      </rPr>
      <t>(</t>
    </r>
    <r>
      <rPr>
        <b/>
        <sz val="10"/>
        <color rgb="FFFFFFFF"/>
        <rFont val="Noto Sans CJK SC"/>
        <family val="2"/>
      </rPr>
      <t>累積</t>
    </r>
    <r>
      <rPr>
        <b/>
        <sz val="10"/>
        <color rgb="FFFFFFFF"/>
        <rFont val="Arial"/>
        <family val="2"/>
      </rPr>
      <t>)</t>
    </r>
  </si>
  <si>
    <t>時刻</t>
  </si>
  <si>
    <t>銘柄コード</t>
  </si>
  <si>
    <t>累積出来高</t>
  </si>
  <si>
    <t>区間出来高</t>
  </si>
  <si>
    <t>始値比</t>
  </si>
  <si>
    <r>
      <rPr>
        <b/>
        <sz val="10"/>
        <color rgb="FFFFFFFF"/>
        <rFont val="Noto Sans CJK SC"/>
        <family val="2"/>
      </rPr>
      <t>前日比</t>
    </r>
    <r>
      <rPr>
        <b/>
        <sz val="10"/>
        <color rgb="FFFFFFFF"/>
        <rFont val="Arial"/>
        <family val="2"/>
      </rPr>
      <t>(</t>
    </r>
    <r>
      <rPr>
        <b/>
        <sz val="10"/>
        <color rgb="FFFFFFFF"/>
        <rFont val="Noto Sans CJK SC"/>
        <family val="2"/>
      </rPr>
      <t>価格</t>
    </r>
    <r>
      <rPr>
        <b/>
        <sz val="10"/>
        <color rgb="FFFFFFFF"/>
        <rFont val="Arial"/>
        <family val="2"/>
      </rPr>
      <t>)</t>
    </r>
  </si>
  <si>
    <t>このシートはマクロが自動で書き込みます。手入力は不要です。</t>
  </si>
  <si>
    <t>直近記録時刻</t>
  </si>
  <si>
    <r>
      <rPr>
        <i/>
        <sz val="9"/>
        <color rgb="FF808080"/>
        <rFont val="Noto Sans CJK SC"/>
        <family val="2"/>
      </rPr>
      <t>このシートはマクロが自動で書き込みます（銘柄ごとに</t>
    </r>
    <r>
      <rPr>
        <i/>
        <sz val="9"/>
        <color rgb="FF808080"/>
        <rFont val="Arial"/>
        <family val="2"/>
      </rPr>
      <t>1</t>
    </r>
    <r>
      <rPr>
        <i/>
        <sz val="9"/>
        <color rgb="FF808080"/>
        <rFont val="Noto Sans CJK SC"/>
        <family val="2"/>
      </rPr>
      <t>行だけ、毎回上書き）。手入力は不要です。</t>
    </r>
  </si>
  <si>
    <t>日付</t>
  </si>
  <si>
    <t>本日区間出来高</t>
  </si>
  <si>
    <r>
      <rPr>
        <b/>
        <sz val="10"/>
        <color rgb="FFFFFFFF"/>
        <rFont val="Arial"/>
        <family val="2"/>
      </rPr>
      <t>10</t>
    </r>
    <r>
      <rPr>
        <b/>
        <sz val="10"/>
        <color rgb="FFFFFFFF"/>
        <rFont val="Noto Sans CJK SC"/>
        <family val="2"/>
      </rPr>
      <t>日平均区間出来高</t>
    </r>
  </si>
  <si>
    <t>出来高倍率</t>
  </si>
  <si>
    <t>4568</t>
  </si>
  <si>
    <t>9064</t>
  </si>
  <si>
    <t>7181</t>
  </si>
  <si>
    <t>6485</t>
  </si>
  <si>
    <t>6861</t>
  </si>
  <si>
    <t>285A</t>
  </si>
  <si>
    <t>141A</t>
  </si>
  <si>
    <t>464A</t>
  </si>
  <si>
    <t>485A</t>
  </si>
  <si>
    <t>1570</t>
  </si>
  <si>
    <t>6135</t>
  </si>
  <si>
    <t>6055</t>
  </si>
  <si>
    <t>6862</t>
  </si>
  <si>
    <t>2267</t>
  </si>
  <si>
    <t>1618</t>
  </si>
  <si>
    <t>3696</t>
  </si>
  <si>
    <t>4222</t>
  </si>
  <si>
    <t>3563</t>
  </si>
  <si>
    <t>7013</t>
  </si>
  <si>
    <t>8793</t>
  </si>
  <si>
    <t>9962</t>
  </si>
  <si>
    <t>6762</t>
  </si>
  <si>
    <t>4392</t>
  </si>
  <si>
    <t>8005</t>
  </si>
  <si>
    <t>2326</t>
  </si>
  <si>
    <t>6809</t>
  </si>
  <si>
    <t>3984</t>
  </si>
  <si>
    <t>7609</t>
  </si>
  <si>
    <t>7972</t>
  </si>
  <si>
    <t>6521</t>
  </si>
  <si>
    <t>9165</t>
  </si>
  <si>
    <t>6902</t>
  </si>
  <si>
    <t>3936</t>
  </si>
  <si>
    <t>6928</t>
  </si>
  <si>
    <t>5632</t>
  </si>
  <si>
    <t>6098</t>
  </si>
  <si>
    <t>6361</t>
  </si>
  <si>
    <t>155A</t>
  </si>
  <si>
    <t>278A</t>
  </si>
  <si>
    <t>300A</t>
  </si>
  <si>
    <t>4776</t>
  </si>
  <si>
    <t>4704</t>
  </si>
  <si>
    <t>6370</t>
  </si>
  <si>
    <t>7014</t>
  </si>
  <si>
    <t>9880</t>
  </si>
  <si>
    <t>5253</t>
  </si>
  <si>
    <t>9104</t>
  </si>
  <si>
    <t>6366</t>
  </si>
  <si>
    <t>6140</t>
  </si>
  <si>
    <t>1514</t>
  </si>
  <si>
    <t>5631</t>
  </si>
  <si>
    <t>6674</t>
  </si>
  <si>
    <t>6955</t>
  </si>
  <si>
    <t>281A</t>
  </si>
  <si>
    <t>6356</t>
  </si>
  <si>
    <t>7711</t>
  </si>
  <si>
    <t>6376</t>
  </si>
  <si>
    <t>9115</t>
  </si>
  <si>
    <t>3864</t>
  </si>
  <si>
    <t>6997</t>
  </si>
  <si>
    <t>4544</t>
  </si>
  <si>
    <t>6848</t>
  </si>
  <si>
    <t>5702</t>
  </si>
  <si>
    <t>7952</t>
  </si>
  <si>
    <t>3002</t>
  </si>
  <si>
    <t>8871</t>
  </si>
  <si>
    <t>6918</t>
  </si>
  <si>
    <t>6488</t>
  </si>
  <si>
    <t>8007</t>
  </si>
  <si>
    <t>4218</t>
  </si>
  <si>
    <t>7735</t>
  </si>
  <si>
    <t>3905</t>
  </si>
  <si>
    <t>3397</t>
  </si>
  <si>
    <t>7270</t>
  </si>
  <si>
    <t>6736</t>
  </si>
  <si>
    <t>2933</t>
  </si>
  <si>
    <t>4047</t>
  </si>
  <si>
    <t>6482</t>
  </si>
  <si>
    <t>6706</t>
  </si>
  <si>
    <t>8141</t>
  </si>
  <si>
    <t>8344</t>
  </si>
  <si>
    <t>7414</t>
  </si>
  <si>
    <t>6407</t>
  </si>
  <si>
    <t>7048</t>
  </si>
  <si>
    <t>1808</t>
  </si>
  <si>
    <t>4208</t>
  </si>
  <si>
    <t>186A</t>
  </si>
  <si>
    <t>6965</t>
  </si>
  <si>
    <t>6331</t>
  </si>
  <si>
    <t>7741</t>
  </si>
  <si>
    <t>1321</t>
  </si>
  <si>
    <t>1944</t>
  </si>
  <si>
    <t>7532</t>
  </si>
  <si>
    <t>三井金属</t>
  </si>
  <si>
    <t>東京製鐵</t>
  </si>
  <si>
    <t>住友鉱山</t>
  </si>
  <si>
    <t>三菱マテリアル</t>
  </si>
  <si>
    <t>ＤＯＷＡホールディングス</t>
  </si>
  <si>
    <t>日本電気</t>
  </si>
  <si>
    <t>ＩＮＰＥＸ</t>
  </si>
  <si>
    <t>日本軽金属ＨＤ</t>
  </si>
  <si>
    <t>丸紅</t>
  </si>
  <si>
    <t>コスモエネルギーＨＬＤＧＳ</t>
  </si>
  <si>
    <t>三菱商事</t>
  </si>
  <si>
    <t>ＮＧＫ</t>
  </si>
  <si>
    <t>石油資源開発</t>
  </si>
  <si>
    <t>みずほフィナンシャルＧ</t>
  </si>
  <si>
    <t>大平洋金属</t>
  </si>
  <si>
    <t>ＴＯＴＯ</t>
  </si>
  <si>
    <t>ＭＳ＆ＡＤ</t>
  </si>
  <si>
    <t>Ｔ＆Ｄホールディングス</t>
  </si>
  <si>
    <t>出光興産</t>
  </si>
  <si>
    <t>住友商事</t>
  </si>
  <si>
    <t>オリックス</t>
  </si>
  <si>
    <t>帝人</t>
  </si>
  <si>
    <t>ＳＵＭＣＯ</t>
  </si>
  <si>
    <t>ＥＮＥＯＳホールディングス</t>
  </si>
  <si>
    <t>野村マイクロ・サイエンス</t>
  </si>
  <si>
    <t>三井住友トラストグルー</t>
  </si>
  <si>
    <t>日本製紙</t>
  </si>
  <si>
    <t>大和証券Ｇ本社</t>
  </si>
  <si>
    <t>太平洋セメント</t>
  </si>
  <si>
    <t>りそなホールディングス</t>
  </si>
  <si>
    <t>ＬＩＸＩＬ</t>
  </si>
  <si>
    <t>イオンフィナンシャルサービス</t>
  </si>
  <si>
    <t>神戸製鋼所</t>
  </si>
  <si>
    <t>三菱ＨＣキャピタル</t>
  </si>
  <si>
    <t>野村ホールディングス</t>
  </si>
  <si>
    <t>王子ホールディングス</t>
  </si>
  <si>
    <t>リンナイ</t>
  </si>
  <si>
    <t>第一ライフグループ</t>
  </si>
  <si>
    <t>東レ</t>
  </si>
  <si>
    <t>三菱ＵＦＪフィナンシャルＧ</t>
  </si>
  <si>
    <t>日本製鉄</t>
  </si>
  <si>
    <t>アコム</t>
  </si>
  <si>
    <t>レンゴー</t>
  </si>
  <si>
    <t>三和ホールディングス</t>
  </si>
  <si>
    <t>三井住友フィナンシャルＧ</t>
  </si>
  <si>
    <t>大阪製鐵</t>
  </si>
  <si>
    <t>東京海上ＨＤ</t>
  </si>
  <si>
    <t>ＡＧＣ</t>
  </si>
  <si>
    <t>ＳＯＭＰＯホールディングス</t>
  </si>
  <si>
    <t>東洋製罐グループＨＤ</t>
  </si>
  <si>
    <t>スカパーＪＳＡＴ</t>
  </si>
  <si>
    <t>豊和工業</t>
  </si>
  <si>
    <t>フジ・メディア・ＨＤ</t>
  </si>
  <si>
    <t>三機工業</t>
  </si>
  <si>
    <t>ダイワボウＨＤ</t>
  </si>
  <si>
    <t>東亞合成</t>
  </si>
  <si>
    <t>ＡＲＥホールディングス</t>
  </si>
  <si>
    <t>ゼビオホールディングス</t>
  </si>
  <si>
    <t>ツムラ</t>
  </si>
  <si>
    <t>ソフトバンクグループ</t>
  </si>
  <si>
    <t>信越化学</t>
  </si>
  <si>
    <t>参天製薬</t>
  </si>
  <si>
    <t>三菱電機</t>
  </si>
  <si>
    <t>デクセリアルズ</t>
  </si>
  <si>
    <t>日本通信</t>
  </si>
  <si>
    <t>アイル</t>
  </si>
  <si>
    <t>弁護士ドットコム</t>
  </si>
  <si>
    <t>ＭＴＧ</t>
  </si>
  <si>
    <t>ＡＮＡホールディングス</t>
  </si>
  <si>
    <t>パイロットコーポレーション</t>
  </si>
  <si>
    <t>味の素</t>
  </si>
  <si>
    <t>トヨタ自動車</t>
  </si>
  <si>
    <t>ファナック</t>
  </si>
  <si>
    <t>ミネベアミツミ</t>
  </si>
  <si>
    <t>奥村組</t>
  </si>
  <si>
    <t>横河電機</t>
  </si>
  <si>
    <t>めぶきフィナンシャルＧ</t>
  </si>
  <si>
    <t>大和ハウス</t>
  </si>
  <si>
    <t>ＪＦＥホールディングス</t>
  </si>
  <si>
    <t>ゆうちょ銀行</t>
  </si>
  <si>
    <t>日揮ホールディングス</t>
  </si>
  <si>
    <t>日本たばこ産業</t>
  </si>
  <si>
    <t>ヒューリック</t>
  </si>
  <si>
    <t>ＹＵＴＯＲＩ</t>
  </si>
  <si>
    <t>ローツェ</t>
  </si>
  <si>
    <t>日立</t>
  </si>
  <si>
    <t>ＦＵＪＩ</t>
  </si>
  <si>
    <t>岡本硝子</t>
  </si>
  <si>
    <t>旭化成</t>
  </si>
  <si>
    <t>住友精化</t>
  </si>
  <si>
    <t>イビデン</t>
  </si>
  <si>
    <t>三菱瓦斯化学</t>
  </si>
  <si>
    <t>三菱ケミカルグループ</t>
  </si>
  <si>
    <t>エーザイ</t>
  </si>
  <si>
    <t>小野薬品</t>
  </si>
  <si>
    <t>オリエンタルランド</t>
  </si>
  <si>
    <t>住友電工</t>
  </si>
  <si>
    <t>フジクラ</t>
  </si>
  <si>
    <t>日本郵政</t>
  </si>
  <si>
    <t>ウシオ電機</t>
  </si>
  <si>
    <t>ニッチツ</t>
  </si>
  <si>
    <t>東京精密</t>
  </si>
  <si>
    <t>芙蓉総合リース</t>
  </si>
  <si>
    <t>東日本旅客鉄道</t>
  </si>
  <si>
    <t>センコーグループＨＬＤＧＳ</t>
  </si>
  <si>
    <t>マイクロ波化学</t>
  </si>
  <si>
    <t>ｉｓｐａｃｅ</t>
  </si>
  <si>
    <t>ＧＭＯインターネットグループ</t>
  </si>
  <si>
    <t>東京電力ＨＤ</t>
  </si>
  <si>
    <t>東京瓦斯</t>
  </si>
  <si>
    <t>イエローハット</t>
  </si>
  <si>
    <t>楽天銀行</t>
  </si>
  <si>
    <t>京都フィナンシャルＧ</t>
  </si>
  <si>
    <t>日本テレビＨＬＤＳ</t>
  </si>
  <si>
    <t>能美防災</t>
  </si>
  <si>
    <t>ＢＵＹＳＥＬＬＴＥＣＨ</t>
  </si>
  <si>
    <t>群馬銀行</t>
  </si>
  <si>
    <t>八十二長野銀行</t>
  </si>
  <si>
    <t>三井不動産</t>
  </si>
  <si>
    <t>サンフロンティア不動産</t>
  </si>
  <si>
    <t>ビジョン</t>
  </si>
  <si>
    <t>大阪瓦斯</t>
  </si>
  <si>
    <t>東洋エンジニア</t>
  </si>
  <si>
    <t>第一稀元素化学工</t>
  </si>
  <si>
    <t>中外製薬</t>
  </si>
  <si>
    <t>ジーエヌアイグループ</t>
  </si>
  <si>
    <t>ＡＩメカテック</t>
  </si>
  <si>
    <t>北川精機</t>
  </si>
  <si>
    <t>日東紡績</t>
  </si>
  <si>
    <t>ＡＣＳＬ</t>
  </si>
  <si>
    <t>イーディーピー</t>
  </si>
  <si>
    <t>アーキテクツＳＪ</t>
  </si>
  <si>
    <t>ユニチカ</t>
  </si>
  <si>
    <t>ＶＡＬＵＥＮＥＸ</t>
  </si>
  <si>
    <t>ジャパンディスプレイ</t>
  </si>
  <si>
    <t>ＱＤレーザ</t>
  </si>
  <si>
    <t>第一三共</t>
  </si>
  <si>
    <t>アスタリスク</t>
  </si>
  <si>
    <t>ＳＡＮＴＥＣＨＯＬＤＩＮＧＳ</t>
  </si>
  <si>
    <t>メイコー</t>
  </si>
  <si>
    <t>ステラファーマ</t>
  </si>
  <si>
    <t>サムコ</t>
  </si>
  <si>
    <t>多摩川ホールディングス</t>
  </si>
  <si>
    <t>リファインバースグループ</t>
  </si>
  <si>
    <t>野村総合研究所</t>
  </si>
  <si>
    <t>山洋電気</t>
  </si>
  <si>
    <t>ＣＣＩグループ</t>
  </si>
  <si>
    <t>グローバルセキュ</t>
  </si>
  <si>
    <t>村田製作所</t>
  </si>
  <si>
    <t>アンリツ</t>
  </si>
  <si>
    <t>エア・ウォーター</t>
  </si>
  <si>
    <t>日本酸素ＨＬＤＧＳ</t>
  </si>
  <si>
    <t>アドバンテスト</t>
  </si>
  <si>
    <t>ニッポン高度紙工業</t>
  </si>
  <si>
    <t>シンプレクスＨＤ</t>
  </si>
  <si>
    <t>エスコン</t>
  </si>
  <si>
    <t>ＫＳＫ</t>
  </si>
  <si>
    <t>北陸電気工事</t>
  </si>
  <si>
    <t>トレイダーズＨＬＤＧＳ</t>
  </si>
  <si>
    <t>オービックビジネスＣ</t>
  </si>
  <si>
    <t>ナガセ</t>
  </si>
  <si>
    <t>メタウォーター</t>
  </si>
  <si>
    <t>コア</t>
  </si>
  <si>
    <t>明和産業</t>
  </si>
  <si>
    <t>ＩＤホールディングス</t>
  </si>
  <si>
    <t>タカラスタンダ－ド</t>
  </si>
  <si>
    <t>ＳＢＩ新生銀行</t>
  </si>
  <si>
    <t>ＨＥＲＯＺ</t>
  </si>
  <si>
    <t>日鉄ソリューションズ</t>
  </si>
  <si>
    <t>関電工</t>
  </si>
  <si>
    <t>日本リーテック</t>
  </si>
  <si>
    <t>ティラド</t>
  </si>
  <si>
    <t>アマノ</t>
  </si>
  <si>
    <t>合同製鐵</t>
  </si>
  <si>
    <t>共英製鋼</t>
  </si>
  <si>
    <t>北陸電力</t>
  </si>
  <si>
    <t>ニチモウ</t>
  </si>
  <si>
    <t>シンフォニアテクノロジー</t>
  </si>
  <si>
    <t>東海旅客鉄道</t>
  </si>
  <si>
    <t>西部ガスＨＬＤＧＳ</t>
  </si>
  <si>
    <t>東北電力</t>
  </si>
  <si>
    <t>日本Ｍ＆Ａセンターホールデ</t>
  </si>
  <si>
    <t>シャープ</t>
  </si>
  <si>
    <t>ヤマトホールディングス</t>
  </si>
  <si>
    <t>かんぽ生命保険</t>
  </si>
  <si>
    <t>前澤給装工業</t>
  </si>
  <si>
    <t>サワイグループＨＤ</t>
  </si>
  <si>
    <t>ＮＯＴＥ</t>
  </si>
  <si>
    <t>日本マクドナルドＨＬＤＧ</t>
  </si>
  <si>
    <t>フェローテック</t>
  </si>
  <si>
    <t>上村工業</t>
  </si>
  <si>
    <t>ディスコ</t>
  </si>
  <si>
    <t>東京エレクトロン</t>
  </si>
  <si>
    <t>レーザーテック</t>
  </si>
  <si>
    <t>古河電工</t>
  </si>
  <si>
    <t>安川電機</t>
  </si>
  <si>
    <t>双日</t>
  </si>
  <si>
    <t>日立建機</t>
  </si>
  <si>
    <t>豊田通商</t>
  </si>
  <si>
    <t>ソニーグループ</t>
  </si>
  <si>
    <t>日本郵船</t>
  </si>
  <si>
    <t>三菱重工業</t>
  </si>
  <si>
    <t>鹿島建設</t>
  </si>
  <si>
    <t>キーエンス</t>
  </si>
  <si>
    <t>ハーモニック・ドライブ・シス</t>
  </si>
  <si>
    <t>ＳＭＣ</t>
  </si>
  <si>
    <t>武田薬品</t>
  </si>
  <si>
    <t>レゾナック・ホールディング</t>
  </si>
  <si>
    <t>レノバ</t>
  </si>
  <si>
    <t>パナソニックホールディンク</t>
  </si>
  <si>
    <t>ダイヘン</t>
  </si>
  <si>
    <t>ウエストホールディングス</t>
  </si>
  <si>
    <t>キオクシアホールディングス</t>
  </si>
  <si>
    <t>トライアルホールディングス</t>
  </si>
  <si>
    <t>ＱＰＳホールディングス</t>
  </si>
  <si>
    <t>パワーエックス</t>
  </si>
  <si>
    <t>ＮＦ日経レバ</t>
  </si>
  <si>
    <t>牧野フライス</t>
  </si>
  <si>
    <t>ジャパンマテリアル</t>
  </si>
  <si>
    <t>ミナトホールディングス</t>
  </si>
  <si>
    <t>ヤクルト</t>
  </si>
  <si>
    <t>ＮＦエネ資源Ｔ１７</t>
  </si>
  <si>
    <t>セレス</t>
  </si>
  <si>
    <t>児玉化学</t>
  </si>
  <si>
    <t>ＦＯＯＤ＆ＬＩＦＥＣＯＭＰＡＮ</t>
  </si>
  <si>
    <t>ＩＨＩ</t>
  </si>
  <si>
    <t>ＮＥＣキャピタルソリューション</t>
  </si>
  <si>
    <t>ミスミグループ本社</t>
  </si>
  <si>
    <t>ＴＤＫ</t>
  </si>
  <si>
    <t>ＦＩＧ</t>
  </si>
  <si>
    <t>スクロール</t>
  </si>
  <si>
    <t>デジタルアーツ</t>
  </si>
  <si>
    <t>ＴＯＡ</t>
  </si>
  <si>
    <t>ユーザーローカル</t>
  </si>
  <si>
    <t>ダイトロン</t>
  </si>
  <si>
    <t>イトーキ</t>
  </si>
  <si>
    <t>オキサイド</t>
  </si>
  <si>
    <t>クオルテック</t>
  </si>
  <si>
    <t>デンソー</t>
  </si>
  <si>
    <t>グローバルウェイ</t>
  </si>
  <si>
    <t>エノモト</t>
  </si>
  <si>
    <t>三菱製鋼</t>
  </si>
  <si>
    <t>リクルートホールディングス</t>
  </si>
  <si>
    <t>荏原製作所</t>
  </si>
  <si>
    <t>情報戦略テクノロジー</t>
  </si>
  <si>
    <t>ＴＥＲＲＡＤＲＯＮＥ</t>
  </si>
  <si>
    <t>ＭＩＣ</t>
  </si>
  <si>
    <t>サイボウズ</t>
  </si>
  <si>
    <t>トレンドマイクロ</t>
  </si>
  <si>
    <t>栗田工業</t>
  </si>
  <si>
    <t>名村造船所</t>
  </si>
  <si>
    <t>イノテック</t>
  </si>
  <si>
    <t>カバー</t>
  </si>
  <si>
    <t>商船三井</t>
  </si>
  <si>
    <t>千代田化工建</t>
  </si>
  <si>
    <t>旭ダイヤモンド</t>
  </si>
  <si>
    <t>住石ホールディングス</t>
  </si>
  <si>
    <t>日本製鋼所</t>
  </si>
  <si>
    <t>ジーエス・ユアサコーポ</t>
  </si>
  <si>
    <t>ＦＤＫ</t>
  </si>
  <si>
    <t>インフォメティス</t>
  </si>
  <si>
    <t>日本ギア工業</t>
  </si>
  <si>
    <t>助川電気工業</t>
  </si>
  <si>
    <t>日機装</t>
  </si>
  <si>
    <t>明海グループ</t>
  </si>
  <si>
    <t>三菱製紙</t>
  </si>
  <si>
    <t>日本ケミコン</t>
  </si>
  <si>
    <t>ＨＵグループＨＤ</t>
  </si>
  <si>
    <t>東亜ディーケーケー</t>
  </si>
  <si>
    <t>大紀アルミニウム</t>
  </si>
  <si>
    <t>河合楽器</t>
  </si>
  <si>
    <t>グンゼ</t>
  </si>
  <si>
    <t>ゴールドクレスト</t>
  </si>
  <si>
    <t>アバールデータ</t>
  </si>
  <si>
    <t>ヨシタケ</t>
  </si>
  <si>
    <t>高島</t>
  </si>
  <si>
    <t>ニチバン</t>
  </si>
  <si>
    <t>ＳＣＲＥＥＮホールディングス</t>
  </si>
  <si>
    <t>データセクション</t>
  </si>
  <si>
    <t>トリドールホールディングス</t>
  </si>
  <si>
    <t>ＳＵＢＡＲＵ</t>
  </si>
  <si>
    <t>サン電子</t>
  </si>
  <si>
    <t>紀文食品</t>
  </si>
  <si>
    <t>関東電化</t>
  </si>
  <si>
    <t>ＹＵＳＨＩＮ</t>
  </si>
  <si>
    <t>電気興業</t>
  </si>
  <si>
    <t>新光商事</t>
  </si>
  <si>
    <t>山形銀行</t>
  </si>
  <si>
    <t>小野建</t>
  </si>
  <si>
    <t>ＣＫＤ</t>
  </si>
  <si>
    <t>ベルトラ</t>
  </si>
  <si>
    <t>長谷工コーポレーシヨン</t>
  </si>
  <si>
    <t>ＵＢＥ</t>
  </si>
  <si>
    <t>アストロスケールホールディンク</t>
  </si>
  <si>
    <t>浜松ホトニクス</t>
  </si>
  <si>
    <t>三菱化工機</t>
  </si>
  <si>
    <t>ＨＯＹＡ</t>
  </si>
  <si>
    <t>ＮＦ日経２２５</t>
  </si>
  <si>
    <t>きんでん</t>
  </si>
  <si>
    <t>パンパシフィックＨＤ</t>
  </si>
  <si>
    <r>
      <rPr>
        <sz val="18"/>
        <color theme="1"/>
        <rFont val="Calibri"/>
        <family val="2"/>
        <charset val="1"/>
      </rPr>
      <t>前日比</t>
    </r>
    <r>
      <rPr>
        <sz val="18"/>
        <color theme="1"/>
        <rFont val="Calibri"/>
        <family val="2"/>
      </rPr>
      <t>(</t>
    </r>
    <r>
      <rPr>
        <sz val="18"/>
        <color theme="1"/>
        <rFont val="Calibri"/>
        <family val="2"/>
        <charset val="1"/>
      </rPr>
      <t>出来高</t>
    </r>
    <r>
      <rPr>
        <sz val="18"/>
        <color theme="1"/>
        <rFont val="Calibri"/>
        <family val="2"/>
      </rPr>
      <t>)</t>
    </r>
  </si>
  <si>
    <t>=IF(A2="","",IFERROR(D2/SUMIFS(履歴10日!A2="","",IFERROR(D2/SUMIFS(履歴10日! A2="","",IFERROR(D2/SUMIFS(履歴10日!F2:2: 2:F62000,履歴10日!62000,履歴10日! 62000,履歴10日!C2:2: 2:C62000,62000, 62000,A2,履歴10日!B$2: B62000,C2,履歴10日!62000,C2,履歴10日! 62000,C2,履歴10日!A2:2: 2:A62000,62000, 62000,N$1),""))</t>
  </si>
  <si>
    <r>
      <t>10</t>
    </r>
    <r>
      <rPr>
        <sz val="18"/>
        <color theme="1"/>
        <rFont val="Calibri"/>
        <family val="2"/>
        <charset val="1"/>
      </rPr>
      <t>日平均差</t>
    </r>
    <r>
      <rPr>
        <sz val="18"/>
        <color theme="1"/>
        <rFont val="Calibri"/>
        <family val="2"/>
      </rPr>
      <t>(</t>
    </r>
    <r>
      <rPr>
        <sz val="18"/>
        <color theme="1"/>
        <rFont val="Calibri"/>
        <family val="2"/>
        <charset val="1"/>
      </rPr>
      <t>率</t>
    </r>
    <r>
      <rPr>
        <sz val="18"/>
        <color theme="1"/>
        <rFont val="Calibri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</si>
</sst>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hh:mm"/>
    <numFmt numFmtId="177" formatCode="0.00&quot;倍&quot;"/>
    <numFmt numFmtId="178" formatCode="0.0%"/>
    <numFmt numFmtId="179" formatCode="0.0_ "/>
    <numFmt numFmtId="180" formatCode="yyyy/mm/dd"/>
  </numFmts>
  <fonts count="16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4"/>
      <name val="Noto Sans CJK SC"/>
      <family val="2"/>
    </font>
    <font>
      <sz val="10"/>
      <name val="Arial"/>
      <family val="2"/>
    </font>
    <font>
      <sz val="10"/>
      <name val="Noto Sans CJK SC"/>
      <family val="2"/>
    </font>
    <font>
      <b/>
      <sz val="11"/>
      <name val="Noto Sans CJK SC"/>
      <family val="2"/>
    </font>
    <font>
      <b/>
      <sz val="10"/>
      <color rgb="FFFFFFFF"/>
      <name val="Noto Sans CJK SC"/>
      <family val="2"/>
    </font>
    <font>
      <b/>
      <sz val="10"/>
      <color rgb="FFFFFFFF"/>
      <name val="Arial"/>
      <family val="2"/>
    </font>
    <font>
      <i/>
      <sz val="10"/>
      <color rgb="FF0000FF"/>
      <name val="Arial"/>
      <family val="2"/>
    </font>
    <font>
      <i/>
      <sz val="10"/>
      <color rgb="FF0000FF"/>
      <name val="Noto Sans CJK SC"/>
      <family val="2"/>
    </font>
    <font>
      <i/>
      <sz val="9"/>
      <color rgb="FF808080"/>
      <name val="Noto Sans CJK SC"/>
      <family val="2"/>
    </font>
    <font>
      <i/>
      <sz val="9"/>
      <color rgb="FF808080"/>
      <name val="Arial"/>
      <family val="2"/>
    </font>
    <font>
      <sz val="6"/>
      <name val="ＭＳ Ｐゴシック"/>
      <family val="3"/>
      <charset val="128"/>
    </font>
    <font>
      <sz val="18"/>
      <color theme="1"/>
      <name val="Calibri"/>
      <family val="2"/>
    </font>
    <font>
      <sz val="18"/>
      <color theme="1"/>
      <name val="Calibri"/>
      <family val="2"/>
      <charset val="1"/>
    </font>
    <font>
      <sz val="20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F99"/>
        <bgColor rgb="FFFFEB8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2" borderId="1" xfId="0" applyFont="1" applyFill="1" applyBorder="1" applyAlignment="1">
      <alignment horizontal="center" vertical="center"/>
    </xf>
    <xf numFmtId="0" fontId="9" fillId="3" borderId="1" xfId="0" applyFont="1" applyFill="1" applyBorder="1"/>
    <xf numFmtId="0" fontId="0" fillId="0" borderId="1" xfId="0" applyBorder="1"/>
    <xf numFmtId="0" fontId="0" fillId="3" borderId="1" xfId="0" applyFill="1" applyBorder="1"/>
    <xf numFmtId="0" fontId="10" fillId="0" borderId="0" xfId="0" applyFont="1"/>
    <xf numFmtId="176" fontId="0" fillId="0" borderId="0" xfId="0" applyNumberFormat="1"/>
    <xf numFmtId="0" fontId="7" fillId="2" borderId="1" xfId="0" applyFont="1" applyFill="1" applyBorder="1" applyAlignment="1">
      <alignment horizontal="center" vertical="center"/>
    </xf>
    <xf numFmtId="176" fontId="0" fillId="0" borderId="1" xfId="0" applyNumberFormat="1" applyBorder="1"/>
    <xf numFmtId="177" fontId="0" fillId="0" borderId="1" xfId="0" applyNumberFormat="1" applyBorder="1"/>
    <xf numFmtId="178" fontId="0" fillId="0" borderId="1" xfId="0" applyNumberFormat="1" applyBorder="1"/>
    <xf numFmtId="179" fontId="6" fillId="2" borderId="1" xfId="0" applyNumberFormat="1" applyFont="1" applyFill="1" applyBorder="1" applyAlignment="1">
      <alignment horizontal="center" vertical="center"/>
    </xf>
    <xf numFmtId="179" fontId="0" fillId="0" borderId="0" xfId="0" applyNumberFormat="1"/>
    <xf numFmtId="178" fontId="6" fillId="2" borderId="1" xfId="0" applyNumberFormat="1" applyFont="1" applyFill="1" applyBorder="1" applyAlignment="1">
      <alignment horizontal="center" vertical="center"/>
    </xf>
    <xf numFmtId="178" fontId="0" fillId="0" borderId="0" xfId="0" applyNumberFormat="1"/>
    <xf numFmtId="0" fontId="8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80" fontId="0" fillId="0" borderId="0" xfId="0" applyNumberFormat="1"/>
    <xf numFmtId="0" fontId="13" fillId="0" borderId="0" xfId="0" applyFont="1"/>
    <xf numFmtId="9" fontId="13" fillId="0" borderId="0" xfId="0" applyNumberFormat="1" applyFont="1"/>
    <xf numFmtId="9" fontId="0" fillId="0" borderId="0" xfId="0" applyNumberFormat="1"/>
    <xf numFmtId="14" fontId="15" fillId="0" borderId="0" xfId="0" applyNumberFormat="1" applyFont="1"/>
  </cellXfs>
  <cellStyles count="1">
    <cellStyle name="標準" xfId="0" builtinId="0"/>
  </cellStyles>
  <dxfs count="2">
    <dxf>
      <fill>
        <patternFill>
          <bgColor rgb="FFFFEB84"/>
        </patternFill>
      </fill>
    </dxf>
    <dxf>
      <fill>
        <patternFill>
          <bgColor rgb="FFF8696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8696B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EB8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a62150a635042219654be00b1467f2f">
      <tp>
        <v>3638</v>
        <stp/>
        <stp>Market</stp>
        <stp>STOCK</stp>
        <stp>90200.T</stp>
        <stp>始値</stp>
        <tr r="D105" s="2"/>
      </tp>
      <tp>
        <v>3330</v>
        <stp/>
        <stp>Market</stp>
        <stp>STOCK</stp>
        <stp>98800.T</stp>
        <stp>始値</stp>
        <tr r="D253" s="2"/>
      </tp>
      <tp>
        <v>6624</v>
        <stp/>
        <stp>Market</stp>
        <stp>STOCK</stp>
        <stp>86300.T</stp>
        <stp>始値</stp>
        <tr r="D50" s="2"/>
      </tp>
      <tp>
        <v>1836</v>
        <stp/>
        <stp>Market</stp>
        <stp>STOCK</stp>
        <stp>87500.T</stp>
        <stp>始値</stp>
        <tr r="D39" s="2"/>
      </tp>
      <tp>
        <v>1530</v>
        <stp/>
        <stp>Market</stp>
        <stp>STOCK</stp>
        <stp>85700.T</stp>
        <stp>始値</stp>
        <tr r="D33" s="2"/>
      </tp>
      <tp>
        <v>2688</v>
        <stp/>
        <stp>Market</stp>
        <stp>STOCK</stp>
        <stp>54100.T</stp>
        <stp>始値</stp>
        <tr r="D175" s="2"/>
      </tp>
      <tp>
        <v>1837</v>
        <stp/>
        <stp>Market</stp>
        <stp>STOCK</stp>
        <stp>54400.T</stp>
        <stp>始値</stp>
        <tr r="D176" s="2"/>
      </tp>
      <tp>
        <v>1264</v>
        <stp/>
        <stp>Market</stp>
        <stp>STOCK</stp>
        <stp>50200.T</stp>
        <stp>始値</stp>
        <tr r="D25" s="2"/>
      </tp>
      <tp>
        <v>3861</v>
        <stp/>
        <stp>Market</stp>
        <stp>STOCK</stp>
        <stp>45400.T</stp>
        <stp>始値</stp>
        <tr r="D60" s="2"/>
      </tp>
      <tp>
        <v>3700</v>
        <stp/>
        <stp>Market</stp>
        <stp>STOCK</stp>
        <stp>49800.T</stp>
        <stp>始値</stp>
        <tr r="D65" s="2"/>
      </tp>
      <tp>
        <v>2530</v>
        <stp/>
        <stp>Market</stp>
        <stp>STOCK</stp>
        <stp>72700.T</stp>
        <stp>始値</stp>
        <tr r="D282" s="2"/>
      </tp>
      <tp>
        <v>48</v>
        <stp/>
        <stp>Market</stp>
        <stp>STOCK</stp>
        <stp>67400.T</stp>
        <stp>始値</stp>
        <tr r="D136" s="2"/>
      </tp>
      <tp>
        <v>1845</v>
        <stp/>
        <stp>Market</stp>
        <stp>STOCK</stp>
        <stp>63300.T</stp>
        <stp>始値</stp>
        <tr r="D124" s="2"/>
      </tp>
      <tp>
        <v>8781</v>
        <stp/>
        <stp>Market</stp>
        <stp>STOCK</stp>
        <stp>63700.T</stp>
        <stp>始値</stp>
        <tr r="D251" s="2"/>
      </tp>
      <tp>
        <v>1173</v>
        <stp/>
        <stp>Market</stp>
        <stp>STOCK</stp>
        <stp>61400.T</stp>
        <stp>始値</stp>
        <tr r="D257" s="2"/>
      </tp>
      <tp>
        <v>7350</v>
        <stp/>
        <stp>Market</stp>
        <stp>STOCK</stp>
        <stp>68900.T</stp>
        <stp>始値</stp>
        <tr r="D191" s="2"/>
      </tp>
      <tp>
        <v>43000</v>
        <stp/>
        <stp>Market</stp>
        <stp>STOCK</stp>
        <stp>69200.T</stp>
        <stp>始値</stp>
        <tr r="D195" s="2"/>
      </tp>
      <tp>
        <v>69190</v>
        <stp/>
        <stp>Market</stp>
        <stp>STOCK</stp>
        <stp>15700.T</stp>
        <stp>始値</stp>
        <tr r="D218" s="2"/>
      </tp>
      <tp>
        <v>1598</v>
        <stp/>
        <stp>Market</stp>
        <stp>STOCK</stp>
        <stp>19300.T</stp>
        <stp>始値</stp>
        <tr r="D159" s="2"/>
      </tp>
      <tp>
        <v>3150</v>
        <stp/>
        <stp>Market</stp>
        <stp>STOCK</stp>
        <stp>31100.T</stp>
        <stp>始値</stp>
        <tr r="D130" s="2"/>
      </tp>
      <tp>
        <v>2500</v>
        <stp/>
        <stp>Market</stp>
        <stp>STOCK</stp>
        <stp>21600.T</stp>
        <stp>始値</stp>
        <tr r="D127" s="2"/>
      </tp>
      <tp>
        <v>497</v>
        <stp/>
        <stp>Market</stp>
        <stp>STOCK</stp>
        <stp>95010.T</stp>
        <stp>始値</stp>
        <tr r="D110" s="2"/>
      </tp>
      <tp>
        <v>6105</v>
        <stp/>
        <stp>Market</stp>
        <stp>STOCK</stp>
        <stp>95310.T</stp>
        <stp>始値</stp>
        <tr r="D111" s="2"/>
      </tp>
      <tp>
        <v>3150</v>
        <stp/>
        <stp>Market</stp>
        <stp>STOCK</stp>
        <stp>95510.T</stp>
        <stp>始値</stp>
        <tr r="D163" s="2"/>
      </tp>
      <tp>
        <v>5610</v>
        <stp/>
        <stp>Market</stp>
        <stp>STOCK</stp>
        <stp>91010.T</stp>
        <stp>始値</stp>
        <tr r="D202" s="2"/>
      </tp>
      <tp>
        <v>1850</v>
        <stp/>
        <stp>Market</stp>
        <stp>STOCK</stp>
        <stp>86010.T</stp>
        <stp>始値</stp>
        <tr r="D29" s="2"/>
      </tp>
      <tp>
        <v>8342</v>
        <stp/>
        <stp>Market</stp>
        <stp>STOCK</stp>
        <stp>84110.T</stp>
        <stp>始値</stp>
        <tr r="D15" s="2"/>
      </tp>
      <tp>
        <v>6423</v>
        <stp/>
        <stp>Market</stp>
        <stp>STOCK</stp>
        <stp>85910.T</stp>
        <stp>始値</stp>
        <tr r="D22" s="2"/>
      </tp>
      <tp>
        <v>1104</v>
        <stp/>
        <stp>Market</stp>
        <stp>STOCK</stp>
        <stp>82810.T</stp>
        <stp>始値</stp>
        <tr r="D59" s="2"/>
      </tp>
      <tp>
        <v>2308</v>
        <stp/>
        <stp>Market</stp>
        <stp>STOCK</stp>
        <stp>80910.T</stp>
        <stp>始値</stp>
        <tr r="D178" s="2"/>
      </tp>
      <tp>
        <v>1601</v>
        <stp/>
        <stp>Market</stp>
        <stp>STOCK</stp>
        <stp>81410.T</stp>
        <stp>始値</stp>
        <tr r="D288" s="2"/>
      </tp>
      <tp>
        <v>1549</v>
        <stp/>
        <stp>Market</stp>
        <stp>STOCK</stp>
        <stp>88010.T</stp>
        <stp>始値</stp>
        <tr r="D120" s="2"/>
      </tp>
      <tp>
        <v>3390</v>
        <stp/>
        <stp>Market</stp>
        <stp>STOCK</stp>
        <stp>88710.T</stp>
        <stp>始値</stp>
        <tr r="D274" s="2"/>
      </tp>
      <tp>
        <v>7759</v>
        <stp/>
        <stp>Market</stp>
        <stp>STOCK</stp>
        <stp>56310.T</stp>
        <stp>始値</stp>
        <tr r="D259" s="2"/>
      </tp>
      <tp>
        <v>4088</v>
        <stp/>
        <stp>Market</stp>
        <stp>STOCK</stp>
        <stp>57110.T</stp>
        <stp>始値</stp>
        <tr r="D5" s="2"/>
      </tp>
      <tp>
        <v>580.20000000000005</v>
        <stp/>
        <stp>Market</stp>
        <stp>STOCK</stp>
        <stp>54010.T</stp>
        <stp>始値</stp>
        <tr r="D42" s="2"/>
      </tp>
      <tp>
        <v>1689</v>
        <stp/>
        <stp>Market</stp>
        <stp>STOCK</stp>
        <stp>54110.T</stp>
        <stp>始値</stp>
        <tr r="D80" s="2"/>
      </tp>
      <tp>
        <v>2283</v>
        <stp/>
        <stp>Market</stp>
        <stp>STOCK</stp>
        <stp>55410.T</stp>
        <stp>始値</stp>
        <tr r="D16" s="2"/>
      </tp>
      <tp>
        <v>6388</v>
        <stp/>
        <stp>Market</stp>
        <stp>STOCK</stp>
        <stp>52010.T</stp>
        <stp>始値</stp>
        <tr r="D49" s="2"/>
      </tp>
      <tp>
        <v>3804</v>
        <stp/>
        <stp>Market</stp>
        <stp>STOCK</stp>
        <stp>50210.T</stp>
        <stp>始値</stp>
        <tr r="D11" s="2"/>
      </tp>
      <tp>
        <v>3301</v>
        <stp/>
        <stp>Market</stp>
        <stp>STOCK</stp>
        <stp>58010.T</stp>
        <stp>始値</stp>
        <tr r="D196" s="2"/>
      </tp>
      <tp>
        <v>4069</v>
        <stp/>
        <stp>Market</stp>
        <stp>STOCK</stp>
        <stp>59010.T</stp>
        <stp>始値</stp>
        <tr r="D51" s="2"/>
      </tp>
      <tp>
        <v>2730</v>
        <stp/>
        <stp>Market</stp>
        <stp>STOCK</stp>
        <stp>46610.T</stp>
        <stp>始値</stp>
        <tr r="D97" s="2"/>
      </tp>
      <tp>
        <v>6115</v>
        <stp/>
        <stp>Market</stp>
        <stp>STOCK</stp>
        <stp>40910.T</stp>
        <stp>始値</stp>
        <tr r="D153" s="2"/>
      </tp>
      <tp>
        <v>4860</v>
        <stp/>
        <stp>Market</stp>
        <stp>STOCK</stp>
        <stp>77110.T</stp>
        <stp>始値</stp>
        <tr r="D264" s="2"/>
      </tp>
      <tp>
        <v>24900</v>
        <stp/>
        <stp>Market</stp>
        <stp>STOCK</stp>
        <stp>77410.T</stp>
        <stp>始値</stp>
        <tr r="D298" s="2"/>
      </tp>
      <tp>
        <v>1146</v>
        <stp/>
        <stp>Market</stp>
        <stp>STOCK</stp>
        <stp>73810.T</stp>
        <stp>始値</stp>
        <tr r="D148" s="2"/>
      </tp>
      <tp>
        <v>3750</v>
        <stp/>
        <stp>Market</stp>
        <stp>STOCK</stp>
        <stp>70110.T</stp>
        <stp>始値</stp>
        <tr r="D203" s="2"/>
      </tp>
      <tp>
        <v>1876</v>
        <stp/>
        <stp>Market</stp>
        <stp>STOCK</stp>
        <stp>70210.T</stp>
        <stp>始値</stp>
        <tr r="D102" s="2"/>
      </tp>
      <tp>
        <v>1645</v>
        <stp/>
        <stp>Market</stp>
        <stp>STOCK</stp>
        <stp>71810.T</stp>
        <stp>始値</stp>
        <tr r="D186" s="2"/>
      </tp>
      <tp>
        <v>3090</v>
        <stp/>
        <stp>Market</stp>
        <stp>STOCK</stp>
        <stp>79810.T</stp>
        <stp>始値</stp>
        <tr r="D167" s="2"/>
      </tp>
      <tp>
        <v>4371</v>
        <stp/>
        <stp>Market</stp>
        <stp>STOCK</stp>
        <stp>67010.T</stp>
        <stp>始値</stp>
        <tr r="D7" s="2"/>
      </tp>
      <tp>
        <v>4688</v>
        <stp/>
        <stp>Market</stp>
        <stp>STOCK</stp>
        <stp>65010.T</stp>
        <stp>始値</stp>
        <tr r="D87" s="2"/>
      </tp>
      <tp>
        <v>3550</v>
        <stp/>
        <stp>Market</stp>
        <stp>STOCK</stp>
        <stp>65210.T</stp>
        <stp>始値</stp>
        <tr r="D238" s="2"/>
      </tp>
      <tp>
        <v>3275</v>
        <stp/>
        <stp>Market</stp>
        <stp>STOCK</stp>
        <stp>63310.T</stp>
        <stp>始値</stp>
        <tr r="D297" s="2"/>
      </tp>
      <tp>
        <v>5650</v>
        <stp/>
        <stp>Market</stp>
        <stp>STOCK</stp>
        <stp>63610.T</stp>
        <stp>始値</stp>
        <tr r="D245" s="2"/>
      </tp>
      <tp>
        <v>5331</v>
        <stp/>
        <stp>Market</stp>
        <stp>STOCK</stp>
        <stp>68410.T</stp>
        <stp>始値</stp>
        <tr r="D77" s="2"/>
      </tp>
      <tp>
        <v>71850</v>
        <stp/>
        <stp>Market</stp>
        <stp>STOCK</stp>
        <stp>68610.T</stp>
        <stp>始値</stp>
        <tr r="D205" s="2"/>
      </tp>
      <tp>
        <v>7812</v>
        <stp/>
        <stp>Market</stp>
        <stp>STOCK</stp>
        <stp>69810.T</stp>
        <stp>始値</stp>
        <tr r="D150" s="2"/>
      </tp>
      <tp>
        <v>67960</v>
        <stp/>
        <stp>Market</stp>
        <stp>STOCK</stp>
        <stp>13210.T</stp>
        <stp>始値</stp>
        <tr r="D299" s="2"/>
      </tp>
      <tp>
        <v>2545</v>
        <stp/>
        <stp>Market</stp>
        <stp>STOCK</stp>
        <stp>19610.T</stp>
        <stp>始値</stp>
        <tr r="D55" s="2"/>
      </tp>
      <tp>
        <v>1741</v>
        <stp/>
        <stp>Market</stp>
        <stp>STOCK</stp>
        <stp>34010.T</stp>
        <stp>始値</stp>
        <tr r="D23" s="2"/>
      </tp>
      <tp>
        <v>842.3</v>
        <stp/>
        <stp>Market</stp>
        <stp>STOCK</stp>
        <stp>38610.T</stp>
        <stp>始値</stp>
        <tr r="D37" s="2"/>
      </tp>
      <tp>
        <v>7120</v>
        <stp/>
        <stp>Market</stp>
        <stp>STOCK</stp>
        <stp>38910.T</stp>
        <stp>始値</stp>
        <tr r="D155" s="2"/>
      </tp>
      <tp>
        <v>1451.5</v>
        <stp/>
        <stp>Market</stp>
        <stp>STOCK</stp>
        <stp>39410.T</stp>
        <stp>始値</stp>
        <tr r="D44" s="2"/>
      </tp>
      <tp>
        <v>2298</v>
        <stp/>
        <stp>Market</stp>
        <stp>STOCK</stp>
        <stp>94120.T</stp>
        <stp>始値</stp>
        <tr r="D52" s="2"/>
      </tp>
      <tp>
        <v>5376</v>
        <stp/>
        <stp>Market</stp>
        <stp>STOCK</stp>
        <stp>95320.T</stp>
        <stp>始値</stp>
        <tr r="D123" s="2"/>
      </tp>
      <tp>
        <v>2997</v>
        <stp/>
        <stp>Market</stp>
        <stp>STOCK</stp>
        <stp>92020.T</stp>
        <stp>始値</stp>
        <tr r="D70" s="2"/>
      </tp>
      <tp>
        <v>3746</v>
        <stp/>
        <stp>Market</stp>
        <stp>STOCK</stp>
        <stp>90220.T</stp>
        <stp>始値</stp>
        <tr r="D180" s="2"/>
      </tp>
      <tp>
        <v>1831</v>
        <stp/>
        <stp>Market</stp>
        <stp>STOCK</stp>
        <stp>98820.T</stp>
        <stp>始値</stp>
        <tr r="D112" s="2"/>
      </tp>
      <tp>
        <v>3702</v>
        <stp/>
        <stp>Market</stp>
        <stp>STOCK</stp>
        <stp>99620.T</stp>
        <stp>始値</stp>
        <tr r="D229" s="2"/>
      </tp>
      <tp>
        <v>488</v>
        <stp/>
        <stp>Market</stp>
        <stp>STOCK</stp>
        <stp>85720.T</stp>
        <stp>始値</stp>
        <tr r="D43" s="2"/>
      </tp>
      <tp>
        <v>5080</v>
        <stp/>
        <stp>Market</stp>
        <stp>STOCK</stp>
        <stp>80020.T</stp>
        <stp>始値</stp>
        <tr r="D10" s="2"/>
      </tp>
      <tp>
        <v>1114</v>
        <stp/>
        <stp>Market</stp>
        <stp>STOCK</stp>
        <stp>88920.T</stp>
        <stp>始値</stp>
        <tr r="D157" s="2"/>
      </tp>
      <tp>
        <v>2145</v>
        <stp/>
        <stp>Market</stp>
        <stp>STOCK</stp>
        <stp>56320.T</stp>
        <stp>始値</stp>
        <tr r="D243" s="2"/>
      </tp>
      <tp>
        <v>1491</v>
        <stp/>
        <stp>Market</stp>
        <stp>STOCK</stp>
        <stp>57020.T</stp>
        <stp>始値</stp>
        <tr r="D271" s="2"/>
      </tp>
      <tp>
        <v>7686</v>
        <stp/>
        <stp>Market</stp>
        <stp>STOCK</stp>
        <stp>53320.T</stp>
        <stp>始値</stp>
        <tr r="D17" s="2"/>
      </tp>
      <tp>
        <v>2300</v>
        <stp/>
        <stp>Market</stp>
        <stp>STOCK</stp>
        <stp>58020.T</stp>
        <stp>始値</stp>
        <tr r="D98" s="2"/>
      </tp>
      <tp>
        <v>2060</v>
        <stp/>
        <stp>Market</stp>
        <stp>STOCK</stp>
        <stp>58920.T</stp>
        <stp>始値</stp>
        <tr r="D85" s="2"/>
      </tp>
      <tp>
        <v>551</v>
        <stp/>
        <stp>Market</stp>
        <stp>STOCK</stp>
        <stp>44220.T</stp>
        <stp>始値</stp>
        <tr r="D135" s="2"/>
      </tp>
      <tp>
        <v>5445</v>
        <stp/>
        <stp>Market</stp>
        <stp>STOCK</stp>
        <stp>45020.T</stp>
        <stp>始値</stp>
        <tr r="D208" s="2"/>
      </tp>
      <tp>
        <v>617</v>
        <stp/>
        <stp>Market</stp>
        <stp>STOCK</stp>
        <stp>42220.T</stp>
        <stp>始値</stp>
        <tr r="D225" s="2"/>
      </tp>
      <tp>
        <v>726</v>
        <stp/>
        <stp>Market</stp>
        <stp>STOCK</stp>
        <stp>43820.T</stp>
        <stp>始値</stp>
        <tr r="D169" s="2"/>
      </tp>
      <tp>
        <v>1080</v>
        <stp/>
        <stp>Market</stp>
        <stp>STOCK</stp>
        <stp>43920.T</stp>
        <stp>始値</stp>
        <tr r="D231" s="2"/>
      </tp>
      <tp>
        <v>16605</v>
        <stp/>
        <stp>Market</stp>
        <stp>STOCK</stp>
        <stp>40620.T</stp>
        <stp>始値</stp>
        <tr r="D92" s="2"/>
      </tp>
      <tp>
        <v>1847</v>
        <stp/>
        <stp>Market</stp>
        <stp>STOCK</stp>
        <stp>40820.T</stp>
        <stp>始値</stp>
        <tr r="D125" s="2"/>
      </tp>
      <tp>
        <v>4460</v>
        <stp/>
        <stp>Market</stp>
        <stp>STOCK</stp>
        <stp>41820.T</stp>
        <stp>始値</stp>
        <tr r="D93" s="2"/>
      </tp>
      <tp>
        <v>884</v>
        <stp/>
        <stp>Market</stp>
        <stp>STOCK</stp>
        <stp>75320.T</stp>
        <stp>始値</stp>
        <tr r="D301" s="2"/>
      </tp>
      <tp>
        <v>3230</v>
        <stp/>
        <stp>Market</stp>
        <stp>STOCK</stp>
        <stp>71820.T</stp>
        <stp>始値</stp>
        <tr r="D81" s="2"/>
      </tp>
      <tp>
        <v>3300</v>
        <stp/>
        <stp>Market</stp>
        <stp>STOCK</stp>
        <stp>79520.T</stp>
        <stp>始値</stp>
        <tr r="D272" s="2"/>
      </tp>
      <tp>
        <v>2810</v>
        <stp/>
        <stp>Market</stp>
        <stp>STOCK</stp>
        <stp>79720.T</stp>
        <stp>始値</stp>
        <tr r="D237" s="2"/>
      </tp>
      <tp>
        <v>14450</v>
        <stp/>
        <stp>Market</stp>
        <stp>STOCK</stp>
        <stp>66220.T</stp>
        <stp>始値</stp>
        <tr r="D212" s="2"/>
      </tp>
      <tp>
        <v>3993</v>
        <stp/>
        <stp>Market</stp>
        <stp>STOCK</stp>
        <stp>67520.T</stp>
        <stp>始値</stp>
        <tr r="D211" s="2"/>
      </tp>
      <tp>
        <v>3000</v>
        <stp/>
        <stp>Market</stp>
        <stp>STOCK</stp>
        <stp>67620.T</stp>
        <stp>始値</stp>
        <tr r="D230" s="2"/>
      </tp>
      <tp>
        <v>671</v>
        <stp/>
        <stp>Market</stp>
        <stp>STOCK</stp>
        <stp>64820.T</stp>
        <stp>始値</stp>
        <tr r="D286" s="2"/>
      </tp>
      <tp>
        <v>1409</v>
        <stp/>
        <stp>Market</stp>
        <stp>STOCK</stp>
        <stp>65220.T</stp>
        <stp>始値</stp>
        <tr r="D139" s="2"/>
      </tp>
      <tp>
        <v>1723</v>
        <stp/>
        <stp>Market</stp>
        <stp>STOCK</stp>
        <stp>62320.T</stp>
        <stp>始値</stp>
        <tr r="D131" s="2"/>
      </tp>
      <tp>
        <v>1925</v>
        <stp/>
        <stp>Market</stp>
        <stp>STOCK</stp>
        <stp>68620.T</stp>
        <stp>始値</stp>
        <tr r="D221" s="2"/>
      </tp>
      <tp>
        <v>1971</v>
        <stp/>
        <stp>Market</stp>
        <stp>STOCK</stp>
        <stp>69020.T</stp>
        <stp>始値</stp>
        <tr r="D240" s="2"/>
      </tp>
      <tp>
        <v>1680</v>
        <stp/>
        <stp>Market</stp>
        <stp>STOCK</stp>
        <stp>16620.T</stp>
        <stp>始値</stp>
        <tr r="D14" s="2"/>
      </tp>
      <tp>
        <v>5594</v>
        <stp/>
        <stp>Market</stp>
        <stp>STOCK</stp>
        <stp>18120.T</stp>
        <stp>始値</stp>
        <tr r="D204" s="2"/>
      </tp>
      <tp>
        <v>6000</v>
        <stp/>
        <stp>Market</stp>
        <stp>STOCK</stp>
        <stp>19420.T</stp>
        <stp>始値</stp>
        <tr r="D171" s="2"/>
      </tp>
      <tp>
        <v>1160</v>
        <stp/>
        <stp>Market</stp>
        <stp>STOCK</stp>
        <stp>34020.T</stp>
        <stp>始値</stp>
        <tr r="D40" s="2"/>
      </tp>
      <tp>
        <v>3985</v>
        <stp/>
        <stp>Market</stp>
        <stp>STOCK</stp>
        <stp>30020.T</stp>
        <stp>始値</stp>
        <tr r="D273" s="2"/>
      </tp>
      <tp>
        <v>7530</v>
        <stp/>
        <stp>Market</stp>
        <stp>STOCK</stp>
        <stp>27020.T</stp>
        <stp>始値</stp>
        <tr r="D190" s="2"/>
      </tp>
      <tp>
        <v>5215</v>
        <stp/>
        <stp>Market</stp>
        <stp>STOCK</stp>
        <stp>28020.T</stp>
        <stp>始値</stp>
        <tr r="D72" s="2"/>
      </tp>
      <tp>
        <v>2343</v>
        <stp/>
        <stp>Market</stp>
        <stp>STOCK</stp>
        <stp>97330.T</stp>
        <stp>始値</stp>
        <tr r="D162" s="2"/>
      </tp>
      <tp>
        <v>4100</v>
        <stp/>
        <stp>Market</stp>
        <stp>STOCK</stp>
        <stp>87930.T</stp>
        <stp>始値</stp>
        <tr r="D228" s="2"/>
      </tp>
      <tp>
        <v>1412.5</v>
        <stp/>
        <stp>Market</stp>
        <stp>STOCK</stp>
        <stp>85930.T</stp>
        <stp>始値</stp>
        <tr r="D35" s="2"/>
      </tp>
      <tp>
        <v>1451</v>
        <stp/>
        <stp>Market</stp>
        <stp>STOCK</stp>
        <stp>83030.T</stp>
        <stp>始値</stp>
        <tr r="D168" s="2"/>
      </tp>
      <tp>
        <v>1565</v>
        <stp/>
        <stp>Market</stp>
        <stp>STOCK</stp>
        <stp>80530.T</stp>
        <stp>始値</stp>
        <tr r="D21" s="2"/>
      </tp>
      <tp>
        <v>904</v>
        <stp/>
        <stp>Market</stp>
        <stp>STOCK</stp>
        <stp>81030.T</stp>
        <stp>始値</stp>
        <tr r="D165" s="2"/>
      </tp>
      <tp>
        <v>2690</v>
        <stp/>
        <stp>Market</stp>
        <stp>STOCK</stp>
        <stp>57030.T</stp>
        <stp>始値</stp>
        <tr r="D9" s="2"/>
      </tp>
      <tp>
        <v>6984</v>
        <stp/>
        <stp>Market</stp>
        <stp>STOCK</stp>
        <stp>57130.T</stp>
        <stp>始値</stp>
        <tr r="D4" s="2"/>
      </tp>
      <tp>
        <v>1737</v>
        <stp/>
        <stp>Market</stp>
        <stp>STOCK</stp>
        <stp>54230.T</stp>
        <stp>始値</stp>
        <tr r="D3" s="2"/>
      </tp>
      <tp>
        <v>3957</v>
        <stp/>
        <stp>Market</stp>
        <stp>STOCK</stp>
        <stp>52330.T</stp>
        <stp>始値</stp>
        <tr r="D30" s="2"/>
      </tp>
      <tp>
        <v>2123</v>
        <stp/>
        <stp>Market</stp>
        <stp>STOCK</stp>
        <stp>52430.T</stp>
        <stp>始値</stp>
        <tr r="D189" s="2"/>
      </tp>
      <tp>
        <v>1668</v>
        <stp/>
        <stp>Market</stp>
        <stp>STOCK</stp>
        <stp>52530.T</stp>
        <stp>始値</stp>
        <tr r="D254" s="2"/>
      </tp>
      <tp>
        <v>6313</v>
        <stp/>
        <stp>Market</stp>
        <stp>STOCK</stp>
        <stp>53330.T</stp>
        <stp>始値</stp>
        <tr r="D13" s="2"/>
      </tp>
      <tp>
        <v>4561</v>
        <stp/>
        <stp>Market</stp>
        <stp>STOCK</stp>
        <stp>58030.T</stp>
        <stp>始値</stp>
        <tr r="D99" s="2"/>
      </tp>
      <tp>
        <v>6570</v>
        <stp/>
        <stp>Market</stp>
        <stp>STOCK</stp>
        <stp>47330.T</stp>
        <stp>始値</stp>
        <tr r="D161" s="2"/>
      </tp>
      <tp>
        <v>4400</v>
        <stp/>
        <stp>Market</stp>
        <stp>STOCK</stp>
        <stp>45230.T</stp>
        <stp>始値</stp>
        <tr r="D95" s="2"/>
      </tp>
      <tp>
        <v>1058</v>
        <stp/>
        <stp>Market</stp>
        <stp>STOCK</stp>
        <stp>43730.T</stp>
        <stp>始値</stp>
        <tr r="D156" s="2"/>
      </tp>
      <tp>
        <v>7210</v>
        <stp/>
        <stp>Market</stp>
        <stp>STOCK</stp>
        <stp>40630.T</stp>
        <stp>始値</stp>
        <tr r="D62" s="2"/>
      </tp>
      <tp>
        <v>2865.5</v>
        <stp/>
        <stp>Market</stp>
        <stp>STOCK</stp>
        <stp>72030.T</stp>
        <stp>始値</stp>
        <tr r="D73" s="2"/>
      </tp>
      <tp>
        <v>2807</v>
        <stp/>
        <stp>Market</stp>
        <stp>STOCK</stp>
        <stp>70130.T</stp>
        <stp>始値</stp>
        <tr r="D227" s="2"/>
      </tp>
      <tp>
        <v>1620</v>
        <stp/>
        <stp>Market</stp>
        <stp>STOCK</stp>
        <stp>66130.T</stp>
        <stp>始値</stp>
        <tr r="D137" s="2"/>
      </tp>
      <tp>
        <v>640</v>
        <stp/>
        <stp>Market</stp>
        <stp>STOCK</stp>
        <stp>67530.T</stp>
        <stp>始値</stp>
        <tr r="D184" s="2"/>
      </tp>
      <tp>
        <v>5566</v>
        <stp/>
        <stp>Market</stp>
        <stp>STOCK</stp>
        <stp>65030.T</stp>
        <stp>始値</stp>
        <tr r="D64" s="2"/>
      </tp>
      <tp>
        <v>1449</v>
        <stp/>
        <stp>Market</stp>
        <stp>STOCK</stp>
        <stp>62030.T</stp>
        <stp>始値</stp>
        <tr r="D53" s="2"/>
      </tp>
      <tp>
        <v>71930</v>
        <stp/>
        <stp>Market</stp>
        <stp>STOCK</stp>
        <stp>62730.T</stp>
        <stp>始値</stp>
        <tr r="D207" s="2"/>
      </tp>
      <tp>
        <v>4340</v>
        <stp/>
        <stp>Market</stp>
        <stp>STOCK</stp>
        <stp>63230.T</stp>
        <stp>始値</stp>
        <tr r="D86" s="2"/>
      </tp>
      <tp>
        <v>5630</v>
        <stp/>
        <stp>Market</stp>
        <stp>STOCK</stp>
        <stp>18330.T</stp>
        <stp>始値</stp>
        <tr r="D76" s="2"/>
      </tp>
      <tp>
        <v>2220</v>
        <stp/>
        <stp>Market</stp>
        <stp>STOCK</stp>
        <stp>19630.T</stp>
        <stp>始値</stp>
        <tr r="D82" s="2"/>
      </tp>
      <tp>
        <v>5362</v>
        <stp/>
        <stp>Market</stp>
        <stp>STOCK</stp>
        <stp>35630.T</stp>
        <stp>始値</stp>
        <tr r="D226" s="2"/>
      </tp>
      <tp>
        <v>1808</v>
        <stp/>
        <stp>Market</stp>
        <stp>STOCK</stp>
        <stp>30030.T</stp>
        <stp>始値</stp>
        <tr r="D84" s="2"/>
      </tp>
      <tp>
        <v>930</v>
        <stp/>
        <stp>Market</stp>
        <stp>STOCK</stp>
        <stp>31030.T</stp>
        <stp>始値</stp>
        <tr r="D134" s="2"/>
      </tp>
      <tp>
        <v>1454</v>
        <stp/>
        <stp>Market</stp>
        <stp>STOCK</stp>
        <stp>38630.T</stp>
        <stp>始値</stp>
        <tr r="D28" s="2"/>
      </tp>
      <tp>
        <v>1081</v>
        <stp/>
        <stp>Market</stp>
        <stp>STOCK</stp>
        <stp>29330.T</stp>
        <stp>始値</stp>
        <tr r="D284" s="2"/>
      </tp>
      <tp>
        <v>2876</v>
        <stp/>
        <stp>Market</stp>
        <stp>STOCK</stp>
        <stp>94040.T</stp>
        <stp>始値</stp>
        <tr r="D115" s="2"/>
      </tp>
      <tp>
        <v>117</v>
        <stp/>
        <stp>Market</stp>
        <stp>STOCK</stp>
        <stp>94240.T</stp>
        <stp>始値</stp>
        <tr r="D66" s="2"/>
      </tp>
      <tp>
        <v>1990</v>
        <stp/>
        <stp>Market</stp>
        <stp>STOCK</stp>
        <stp>90640.T</stp>
        <stp>始値</stp>
        <tr r="D185" s="2"/>
      </tp>
      <tp>
        <v>5550</v>
        <stp/>
        <stp>Market</stp>
        <stp>STOCK</stp>
        <stp>91040.T</stp>
        <stp>始値</stp>
        <tr r="D255" s="2"/>
      </tp>
      <tp>
        <v>5663</v>
        <stp/>
        <stp>Market</stp>
        <stp>STOCK</stp>
        <stp>99840.T</stp>
        <stp>始値</stp>
        <tr r="D61" s="2"/>
      </tp>
      <tp>
        <v>1580</v>
        <stp/>
        <stp>Market</stp>
        <stp>STOCK</stp>
        <stp>86040.T</stp>
        <stp>始値</stp>
        <tr r="D36" s="2"/>
      </tp>
      <tp>
        <v>1276</v>
        <stp/>
        <stp>Market</stp>
        <stp>STOCK</stp>
        <stp>87040.T</stp>
        <stp>始値</stp>
        <tr r="D160" s="2"/>
      </tp>
      <tp>
        <v>4352</v>
        <stp/>
        <stp>Market</stp>
        <stp>STOCK</stp>
        <stp>84240.T</stp>
        <stp>始値</stp>
        <tr r="D104" s="2"/>
      </tp>
      <tp>
        <v>2610</v>
        <stp/>
        <stp>Market</stp>
        <stp>STOCK</stp>
        <stp>83340.T</stp>
        <stp>始値</stp>
        <tr r="D118" s="2"/>
      </tp>
      <tp>
        <v>3870</v>
        <stp/>
        <stp>Market</stp>
        <stp>STOCK</stp>
        <stp>83440.T</stp>
        <stp>始値</stp>
        <tr r="D289" s="2"/>
      </tp>
      <tp>
        <v>2546</v>
        <stp/>
        <stp>Market</stp>
        <stp>STOCK</stp>
        <stp>89340.T</stp>
        <stp>始値</stp>
        <tr r="D121" s="2"/>
      </tp>
      <tp>
        <v>8165</v>
        <stp/>
        <stp>Market</stp>
        <stp>STOCK</stp>
        <stp>57140.T</stp>
        <stp>始値</stp>
        <tr r="D6" s="2"/>
      </tp>
      <tp>
        <v>4590</v>
        <stp/>
        <stp>Market</stp>
        <stp>STOCK</stp>
        <stp>58440.T</stp>
        <stp>始値</stp>
        <tr r="D114" s="2"/>
      </tp>
      <tp>
        <v>6429</v>
        <stp/>
        <stp>Market</stp>
        <stp>STOCK</stp>
        <stp>47040.T</stp>
        <stp>始値</stp>
        <tr r="D250" s="2"/>
      </tp>
      <tp>
        <v>3366</v>
        <stp/>
        <stp>Market</stp>
        <stp>STOCK</stp>
        <stp>45440.T</stp>
        <stp>始値</stp>
        <tr r="D269" s="2"/>
      </tp>
      <tp>
        <v>14310</v>
        <stp/>
        <stp>Market</stp>
        <stp>STOCK</stp>
        <stp>40040.T</stp>
        <stp>始値</stp>
        <tr r="D209" s="2"/>
      </tp>
      <tp>
        <v>930</v>
        <stp/>
        <stp>Market</stp>
        <stp>STOCK</stp>
        <stp>77940.T</stp>
        <stp>始値</stp>
        <tr r="D132" s="2"/>
      </tp>
      <tp>
        <v>1418</v>
        <stp/>
        <stp>Market</stp>
        <stp>STOCK</stp>
        <stp>74140.T</stp>
        <stp>始値</stp>
        <tr r="D290" s="2"/>
      </tp>
      <tp>
        <v>3755</v>
        <stp/>
        <stp>Market</stp>
        <stp>STOCK</stp>
        <stp>70140.T</stp>
        <stp>始値</stp>
        <tr r="D252" s="2"/>
      </tp>
      <tp>
        <v>5800</v>
        <stp/>
        <stp>Market</stp>
        <stp>STOCK</stp>
        <stp>66740.T</stp>
        <stp>始値</stp>
        <tr r="D260" s="2"/>
      </tp>
      <tp>
        <v>4240</v>
        <stp/>
        <stp>Market</stp>
        <stp>STOCK</stp>
        <stp>67440.T</stp>
        <stp>始値</stp>
        <tr r="D116" s="2"/>
      </tp>
      <tp>
        <v>3798</v>
        <stp/>
        <stp>Market</stp>
        <stp>STOCK</stp>
        <stp>67540.T</stp>
        <stp>始値</stp>
        <tr r="D151" s="2"/>
      </tp>
      <tp>
        <v>4110</v>
        <stp/>
        <stp>Market</stp>
        <stp>STOCK</stp>
        <stp>62540.T</stp>
        <stp>始値</stp>
        <tr r="D26" s="2"/>
      </tp>
      <tp>
        <v>6900</v>
        <stp/>
        <stp>Market</stp>
        <stp>STOCK</stp>
        <stp>63240.T</stp>
        <stp>始値</stp>
        <tr r="D206" s="2"/>
      </tp>
      <tp>
        <v>7400</v>
        <stp/>
        <stp>Market</stp>
        <stp>STOCK</stp>
        <stp>61340.T</stp>
        <stp>始値</stp>
        <tr r="D88" s="2"/>
      </tp>
      <tp>
        <v>6690</v>
        <stp/>
        <stp>Market</stp>
        <stp>STOCK</stp>
        <stp>69540.T</stp>
        <stp>始値</stp>
        <tr r="D74" s="2"/>
      </tp>
      <tp>
        <v>579</v>
        <stp/>
        <stp>Market</stp>
        <stp>STOCK</stp>
        <stp>15140.T</stp>
        <stp>始値</stp>
        <tr r="D258" s="2"/>
      </tp>
      <tp>
        <v>7244</v>
        <stp/>
        <stp>Market</stp>
        <stp>STOCK</stp>
        <stp>19440.T</stp>
        <stp>始値</stp>
        <tr r="D300" s="2"/>
      </tp>
      <tp>
        <v>2404</v>
        <stp/>
        <stp>Market</stp>
        <stp>STOCK</stp>
        <stp>38540.T</stp>
        <stp>始値</stp>
        <tr r="D67" s="2"/>
      </tp>
      <tp>
        <v>1095</v>
        <stp/>
        <stp>Market</stp>
        <stp>STOCK</stp>
        <stp>38640.T</stp>
        <stp>始値</stp>
        <tr r="D267" s="2"/>
      </tp>
      <tp>
        <v>1804</v>
        <stp/>
        <stp>Market</stp>
        <stp>STOCK</stp>
        <stp>39840.T</stp>
        <stp>始値</stp>
        <tr r="D235" s="2"/>
      </tp>
      <tp>
        <v>6249</v>
        <stp/>
        <stp>Market</stp>
        <stp>STOCK</stp>
        <stp>29140.T</stp>
        <stp>始値</stp>
        <tr r="D83" s="2"/>
      </tp>
      <tp>
        <v>906.3</v>
        <stp/>
        <stp>Market</stp>
        <stp>STOCK</stp>
        <stp>95050.T</stp>
        <stp>始値</stp>
        <tr r="D177" s="2"/>
      </tp>
      <tp>
        <v>823</v>
        <stp/>
        <stp>Market</stp>
        <stp>STOCK</stp>
        <stp>91150.T</stp>
        <stp>始値</stp>
        <tr r="D266" s="2"/>
      </tp>
      <tp>
        <v>1700</v>
        <stp/>
        <stp>Market</stp>
        <stp>STOCK</stp>
        <stp>91650.T</stp>
        <stp>始値</stp>
        <tr r="D239" s="2"/>
      </tp>
      <tp>
        <v>4570</v>
        <stp/>
        <stp>Market</stp>
        <stp>STOCK</stp>
        <stp>87250.T</stp>
        <stp>始値</stp>
        <tr r="D18" s="2"/>
      </tp>
      <tp>
        <v>4918</v>
        <stp/>
        <stp>Market</stp>
        <stp>STOCK</stp>
        <stp>87950.T</stp>
        <stp>始値</stp>
        <tr r="D19" s="2"/>
      </tp>
      <tp>
        <v>1730</v>
        <stp/>
        <stp>Market</stp>
        <stp>STOCK</stp>
        <stp>80050.T</stp>
        <stp>始値</stp>
        <tr r="D232" s="2"/>
      </tp>
      <tp>
        <v>6109</v>
        <stp/>
        <stp>Market</stp>
        <stp>STOCK</stp>
        <stp>80150.T</stp>
        <stp>始値</stp>
        <tr r="D200" s="2"/>
      </tp>
      <tp>
        <v>67000</v>
        <stp/>
        <stp>Market</stp>
        <stp>STOCK</stp>
        <stp>80350.T</stp>
        <stp>始値</stp>
        <tr r="D194" s="2"/>
      </tp>
      <tp>
        <v>1733</v>
        <stp/>
        <stp>Market</stp>
        <stp>STOCK</stp>
        <stp>40450.T</stp>
        <stp>始値</stp>
        <tr r="D57" s="2"/>
      </tp>
      <tp>
        <v>3485</v>
        <stp/>
        <stp>Market</stp>
        <stp>STOCK</stp>
        <stp>76850.T</stp>
        <stp>始値</stp>
        <tr r="D117" s="2"/>
      </tp>
      <tp>
        <v>17270</v>
        <stp/>
        <stp>Market</stp>
        <stp>STOCK</stp>
        <stp>77350.T</stp>
        <stp>始値</stp>
        <tr r="D279" s="2"/>
      </tp>
      <tp>
        <v>1263</v>
        <stp/>
        <stp>Market</stp>
        <stp>STOCK</stp>
        <stp>73750.T</stp>
        <stp>始値</stp>
        <tr r="D145" s="2"/>
      </tp>
      <tp>
        <v>1550</v>
        <stp/>
        <stp>Market</stp>
        <stp>STOCK</stp>
        <stp>64850.T</stp>
        <stp>始値</stp>
        <tr r="D187" s="2"/>
      </tp>
      <tp>
        <v>5250</v>
        <stp/>
        <stp>Market</stp>
        <stp>STOCK</stp>
        <stp>63050.T</stp>
        <stp>始値</stp>
        <tr r="D199" s="2"/>
      </tp>
      <tp>
        <v>2341</v>
        <stp/>
        <stp>Market</stp>
        <stp>STOCK</stp>
        <stp>60550.T</stp>
        <stp>始値</stp>
        <tr r="D220" s="2"/>
      </tp>
      <tp>
        <v>167</v>
        <stp/>
        <stp>Market</stp>
        <stp>STOCK</stp>
        <stp>60850.T</stp>
        <stp>始値</stp>
        <tr r="D133" s="2"/>
      </tp>
      <tp>
        <v>14360</v>
        <stp/>
        <stp>Market</stp>
        <stp>STOCK</stp>
        <stp>61350.T</stp>
        <stp>始値</stp>
        <tr r="D219" s="2"/>
      </tp>
      <tp>
        <v>3931</v>
        <stp/>
        <stp>Market</stp>
        <stp>STOCK</stp>
        <stp>69250.T</stp>
        <stp>始値</stp>
        <tr r="D101" s="2"/>
      </tp>
      <tp>
        <v>409</v>
        <stp/>
        <stp>Market</stp>
        <stp>STOCK</stp>
        <stp>69550.T</stp>
        <stp>始値</stp>
        <tr r="D261" s="2"/>
      </tp>
      <tp>
        <v>2345</v>
        <stp/>
        <stp>Market</stp>
        <stp>STOCK</stp>
        <stp>69650.T</stp>
        <stp>始値</stp>
        <tr r="D296" s="2"/>
      </tp>
      <tp>
        <v>3440</v>
        <stp/>
        <stp>Market</stp>
        <stp>STOCK</stp>
        <stp>16050.T</stp>
        <stp>始値</stp>
        <tr r="D8" s="2"/>
      </tp>
      <tp>
        <v>4637</v>
        <stp/>
        <stp>Market</stp>
        <stp>STOCK</stp>
        <stp>19250.T</stp>
        <stp>始値</stp>
        <tr r="D79" s="2"/>
      </tp>
      <tp>
        <v>2592</v>
        <stp/>
        <stp>Market</stp>
        <stp>STOCK</stp>
        <stp>39050.T</stp>
        <stp>始値</stp>
        <tr r="D280" s="2"/>
      </tp>
      <tp>
        <v>1008</v>
        <stp/>
        <stp>Market</stp>
        <stp>STOCK</stp>
        <stp>94160.T</stp>
        <stp>始値</stp>
        <tr r="D122" s="2"/>
      </tp>
      <tp>
        <v>1134.5</v>
        <stp/>
        <stp>Market</stp>
        <stp>STOCK</stp>
        <stp>95060.T</stp>
        <stp>始値</stp>
        <tr r="D182" s="2"/>
      </tp>
      <tp>
        <v>2329</v>
        <stp/>
        <stp>Market</stp>
        <stp>STOCK</stp>
        <stp>95360.T</stp>
        <stp>始値</stp>
        <tr r="D181" s="2"/>
      </tp>
      <tp>
        <v>7614</v>
        <stp/>
        <stp>Market</stp>
        <stp>STOCK</stp>
        <stp>87660.T</stp>
        <stp>始値</stp>
        <tr r="D48" s="2"/>
      </tp>
      <tp>
        <v>3614</v>
        <stp/>
        <stp>Market</stp>
        <stp>STOCK</stp>
        <stp>83060.T</stp>
        <stp>始値</stp>
        <tr r="D41" s="2"/>
      </tp>
      <tp>
        <v>7030</v>
        <stp/>
        <stp>Market</stp>
        <stp>STOCK</stp>
        <stp>83160.T</stp>
        <stp>始値</stp>
        <tr r="D46" s="2"/>
      </tp>
      <tp>
        <v>30590</v>
        <stp/>
        <stp>Market</stp>
        <stp>STOCK</stp>
        <stp>57060.T</stp>
        <stp>始値</stp>
        <tr r="D2" s="2"/>
      </tp>
      <tp>
        <v>1940</v>
        <stp/>
        <stp>Market</stp>
        <stp>STOCK</stp>
        <stp>54060.T</stp>
        <stp>始値</stp>
        <tr r="D34" s="2"/>
      </tp>
      <tp>
        <v>4135</v>
        <stp/>
        <stp>Market</stp>
        <stp>STOCK</stp>
        <stp>46760.T</stp>
        <stp>始値</stp>
        <tr r="D54" s="2"/>
      </tp>
      <tp>
        <v>2610</v>
        <stp/>
        <stp>Market</stp>
        <stp>STOCK</stp>
        <stp>47760.T</stp>
        <stp>始値</stp>
        <tr r="D249" s="2"/>
      </tp>
      <tp>
        <v>2043</v>
        <stp/>
        <stp>Market</stp>
        <stp>STOCK</stp>
        <stp>45360.T</stp>
        <stp>始値</stp>
        <tr r="D63" s="2"/>
      </tp>
      <tp>
        <v>23800</v>
        <stp/>
        <stp>Market</stp>
        <stp>STOCK</stp>
        <stp>49660.T</stp>
        <stp>始値</stp>
        <tr r="D192" s="2"/>
      </tp>
      <tp>
        <v>772</v>
        <stp/>
        <stp>Market</stp>
        <stp>STOCK</stp>
        <stp>77460.T</stp>
        <stp>始値</stp>
        <tr r="D89" s="2"/>
      </tp>
      <tp>
        <v>1492</v>
        <stp/>
        <stp>Market</stp>
        <stp>STOCK</stp>
        <stp>72360.T</stp>
        <stp>始値</stp>
        <tr r="D173" s="2"/>
      </tp>
      <tp>
        <v>7980</v>
        <stp/>
        <stp>Market</stp>
        <stp>STOCK</stp>
        <stp>78060.T</stp>
        <stp>始値</stp>
        <tr r="D69" s="2"/>
      </tp>
      <tp>
        <v>1812.5</v>
        <stp/>
        <stp>Market</stp>
        <stp>STOCK</stp>
        <stp>78460.T</stp>
        <stp>始値</stp>
        <tr r="D71" s="2"/>
      </tp>
      <tp>
        <v>2950</v>
        <stp/>
        <stp>Market</stp>
        <stp>STOCK</stp>
        <stp>67060.T</stp>
        <stp>始値</stp>
        <tr r="D287" s="2"/>
      </tp>
      <tp>
        <v>9090</v>
        <stp/>
        <stp>Market</stp>
        <stp>STOCK</stp>
        <stp>67360.T</stp>
        <stp>始値</stp>
        <tr r="D283" s="2"/>
      </tp>
      <tp>
        <v>3803</v>
        <stp/>
        <stp>Market</stp>
        <stp>STOCK</stp>
        <stp>64360.T</stp>
        <stp>始値</stp>
        <tr r="D174" s="2"/>
      </tp>
      <tp>
        <v>5273</v>
        <stp/>
        <stp>Market</stp>
        <stp>STOCK</stp>
        <stp>65060.T</stp>
        <stp>始値</stp>
        <tr r="D197" s="2"/>
      </tp>
      <tp>
        <v>5580</v>
        <stp/>
        <stp>Market</stp>
        <stp>STOCK</stp>
        <stp>65160.T</stp>
        <stp>始値</stp>
        <tr r="D147" s="2"/>
      </tp>
      <tp>
        <v>1505</v>
        <stp/>
        <stp>Market</stp>
        <stp>STOCK</stp>
        <stp>63560.T</stp>
        <stp>始値</stp>
        <tr r="D263" s="2"/>
      </tp>
      <tp>
        <v>661</v>
        <stp/>
        <stp>Market</stp>
        <stp>STOCK</stp>
        <stp>63660.T</stp>
        <stp>始値</stp>
        <tr r="D256" s="2"/>
      </tp>
      <tp>
        <v>3800</v>
        <stp/>
        <stp>Market</stp>
        <stp>STOCK</stp>
        <stp>63760.T</stp>
        <stp>始値</stp>
        <tr r="D265" s="2"/>
      </tp>
      <tp>
        <v>65680</v>
        <stp/>
        <stp>Market</stp>
        <stp>STOCK</stp>
        <stp>61460.T</stp>
        <stp>始値</stp>
        <tr r="D193" s="2"/>
      </tp>
      <tp>
        <v>2129</v>
        <stp/>
        <stp>Market</stp>
        <stp>STOCK</stp>
        <stp>36960.T</stp>
        <stp>始値</stp>
        <tr r="D224" s="2"/>
      </tp>
      <tp>
        <v>4544</v>
        <stp/>
        <stp>Market</stp>
        <stp>STOCK</stp>
        <stp>34360.T</stp>
        <stp>始値</stp>
        <tr r="D24" s="2"/>
      </tp>
      <tp>
        <v>162</v>
        <stp/>
        <stp>Market</stp>
        <stp>STOCK</stp>
        <stp>39360.T</stp>
        <stp>始値</stp>
        <tr r="D241" s="2"/>
      </tp>
      <tp>
        <v>3980</v>
        <stp/>
        <stp>Market</stp>
        <stp>STOCK</stp>
        <stp>23260.T</stp>
        <stp>始値</stp>
        <tr r="D233" s="2"/>
      </tp>
      <tp>
        <v>4400</v>
        <stp/>
        <stp>Market</stp>
        <stp>STOCK</stp>
        <stp>96870.T</stp>
        <stp>始値</stp>
        <tr r="D158" s="2"/>
      </tp>
      <tp>
        <v>805</v>
        <stp/>
        <stp>Market</stp>
        <stp>STOCK</stp>
        <stp>92270.T</stp>
        <stp>始値</stp>
        <tr r="D107" s="2"/>
      </tp>
      <tp>
        <v>784</v>
        <stp/>
        <stp>Market</stp>
        <stp>STOCK</stp>
        <stp>80070.T</stp>
        <stp>始値</stp>
        <tr r="D277" s="2"/>
      </tp>
      <tp>
        <v>3000</v>
        <stp/>
        <stp>Market</stp>
        <stp>STOCK</stp>
        <stp>58570.T</stp>
        <stp>始値</stp>
        <tr r="D58" s="2"/>
      </tp>
      <tp>
        <v>3647</v>
        <stp/>
        <stp>Market</stp>
        <stp>STOCK</stp>
        <stp>59470.T</stp>
        <stp>始値</stp>
        <tr r="D38" s="2"/>
      </tp>
      <tp>
        <v>4490</v>
        <stp/>
        <stp>Market</stp>
        <stp>STOCK</stp>
        <stp>44170.T</stp>
        <stp>始値</stp>
        <tr r="D149" s="2"/>
      </tp>
      <tp>
        <v>5140</v>
        <stp/>
        <stp>Market</stp>
        <stp>STOCK</stp>
        <stp>43070.T</stp>
        <stp>始値</stp>
        <tr r="D146" s="2"/>
      </tp>
      <tp>
        <v>2802</v>
        <stp/>
        <stp>Market</stp>
        <stp>STOCK</stp>
        <stp>40470.T</stp>
        <stp>始値</stp>
        <tr r="D285" s="2"/>
      </tp>
      <tp>
        <v>1675</v>
        <stp/>
        <stp>Market</stp>
        <stp>STOCK</stp>
        <stp>48870.T</stp>
        <stp>始値</stp>
        <tr r="D188" s="2"/>
      </tp>
      <tp>
        <v>1500</v>
        <stp/>
        <stp>Market</stp>
        <stp>STOCK</stp>
        <stp>71670.T</stp>
        <stp>始値</stp>
        <tr r="D78" s="2"/>
      </tp>
      <tp>
        <v>19620</v>
        <stp/>
        <stp>Market</stp>
        <stp>STOCK</stp>
        <stp>67770.T</stp>
        <stp>始値</stp>
        <tr r="D140" s="2"/>
      </tp>
      <tp>
        <v>23810</v>
        <stp/>
        <stp>Market</stp>
        <stp>STOCK</stp>
        <stp>67870.T</stp>
        <stp>始値</stp>
        <tr r="D141" s="2"/>
      </tp>
      <tp>
        <v>6410</v>
        <stp/>
        <stp>Market</stp>
        <stp>STOCK</stp>
        <stp>64070.T</stp>
        <stp>始値</stp>
        <tr r="D291" s="2"/>
      </tp>
      <tp>
        <v>14000</v>
        <stp/>
        <stp>Market</stp>
        <stp>STOCK</stp>
        <stp>65070.T</stp>
        <stp>始値</stp>
        <tr r="D179" s="2"/>
      </tp>
      <tp>
        <v>6880</v>
        <stp/>
        <stp>Market</stp>
        <stp>STOCK</stp>
        <stp>62270.T</stp>
        <stp>始値</stp>
        <tr r="D128" s="2"/>
      </tp>
      <tp>
        <v>4080</v>
        <stp/>
        <stp>Market</stp>
        <stp>STOCK</stp>
        <stp>63270.T</stp>
        <stp>始値</stp>
        <tr r="D129" s="2"/>
      </tp>
      <tp>
        <v>10560</v>
        <stp/>
        <stp>Market</stp>
        <stp>STOCK</stp>
        <stp>63870.T</stp>
        <stp>始値</stp>
        <tr r="D143" s="2"/>
      </tp>
      <tp>
        <v>2360</v>
        <stp/>
        <stp>Market</stp>
        <stp>STOCK</stp>
        <stp>60270.T</stp>
        <stp>始値</stp>
        <tr r="D68" s="2"/>
      </tp>
      <tp>
        <v>28140</v>
        <stp/>
        <stp>Market</stp>
        <stp>STOCK</stp>
        <stp>68570.T</stp>
        <stp>始値</stp>
        <tr r="D154" s="2"/>
      </tp>
      <tp>
        <v>3350</v>
        <stp/>
        <stp>Market</stp>
        <stp>STOCK</stp>
        <stp>69970.T</stp>
        <stp>始値</stp>
        <tr r="D268" s="2"/>
      </tp>
      <tp>
        <v>2683</v>
        <stp/>
        <stp>Market</stp>
        <stp>STOCK</stp>
        <stp>14070.T</stp>
        <stp>始値</stp>
        <tr r="D213" s="2"/>
      </tp>
      <tp>
        <v>1855.5</v>
        <stp/>
        <stp>Market</stp>
        <stp>STOCK</stp>
        <stp>34070.T</stp>
        <stp>始値</stp>
        <tr r="D90" s="2"/>
      </tp>
      <tp>
        <v>4186</v>
        <stp/>
        <stp>Market</stp>
        <stp>STOCK</stp>
        <stp>33970.T</stp>
        <stp>始値</stp>
        <tr r="D281" s="2"/>
      </tp>
      <tp>
        <v>3430</v>
        <stp/>
        <stp>Market</stp>
        <stp>STOCK</stp>
        <stp>31070.T</stp>
        <stp>始値</stp>
        <tr r="D56" s="2"/>
      </tp>
      <tp>
        <v>2804.5</v>
        <stp/>
        <stp>Market</stp>
        <stp>STOCK</stp>
        <stp>22670.T</stp>
        <stp>始値</stp>
        <tr r="D222" s="2"/>
      </tp>
      <tp>
        <v>3834</v>
        <stp/>
        <stp>Market</stp>
        <stp>STOCK</stp>
        <stp>23270.T</stp>
        <stp>始値</stp>
        <tr r="D170" s="2"/>
      </tp>
      <tp>
        <v>678</v>
        <stp/>
        <stp>Market</stp>
        <stp>STOCK</stp>
        <stp>21270.T</stp>
        <stp>始値</stp>
        <tr r="D183" s="2"/>
      </tp>
      <tp>
        <v>416</v>
        <stp/>
        <stp>Market</stp>
        <stp>STOCK</stp>
        <stp>93480.T</stp>
        <stp>始値</stp>
        <tr r="D108" s="2"/>
      </tp>
      <tp>
        <v>2350</v>
        <stp/>
        <stp>Market</stp>
        <stp>STOCK</stp>
        <stp>83080.T</stp>
        <stp>始値</stp>
        <tr r="D31" s="2"/>
      </tp>
      <tp>
        <v>4524</v>
        <stp/>
        <stp>Market</stp>
        <stp>STOCK</stp>
        <stp>80580.T</stp>
        <stp>始値</stp>
        <tr r="D12" s="2"/>
      </tp>
      <tp>
        <v>5400</v>
        <stp/>
        <stp>Market</stp>
        <stp>STOCK</stp>
        <stp>58380.T</stp>
        <stp>始値</stp>
        <tr r="D113" s="2"/>
      </tp>
      <tp>
        <v>1897</v>
        <stp/>
        <stp>Market</stp>
        <stp>STOCK</stp>
        <stp>59380.T</stp>
        <stp>始値</stp>
        <tr r="D32" s="2"/>
      </tp>
      <tp>
        <v>2375.5</v>
        <stp/>
        <stp>Market</stp>
        <stp>STOCK</stp>
        <stp>45280.T</stp>
        <stp>始値</stp>
        <tr r="D96" s="2"/>
      </tp>
      <tp>
        <v>2755</v>
        <stp/>
        <stp>Market</stp>
        <stp>STOCK</stp>
        <stp>45680.T</stp>
        <stp>始値</stp>
        <tr r="D138" s="2"/>
      </tp>
      <tp>
        <v>3243</v>
        <stp/>
        <stp>Market</stp>
        <stp>STOCK</stp>
        <stp>42080.T</stp>
        <stp>始値</stp>
        <tr r="D294" s="2"/>
      </tp>
      <tp>
        <v>1929</v>
        <stp/>
        <stp>Market</stp>
        <stp>STOCK</stp>
        <stp>42180.T</stp>
        <stp>始値</stp>
        <tr r="D278" s="2"/>
      </tp>
      <tp>
        <v>1265</v>
        <stp/>
        <stp>Market</stp>
        <stp>STOCK</stp>
        <stp>40080.T</stp>
        <stp>始値</stp>
        <tr r="D91" s="2"/>
      </tp>
      <tp>
        <v>2525</v>
        <stp/>
        <stp>Market</stp>
        <stp>STOCK</stp>
        <stp>40880.T</stp>
        <stp>始値</stp>
        <tr r="D152" s="2"/>
      </tp>
      <tp>
        <v>1189.5</v>
        <stp/>
        <stp>Market</stp>
        <stp>STOCK</stp>
        <stp>41880.T</stp>
        <stp>始値</stp>
        <tr r="D94" s="2"/>
      </tp>
      <tp>
        <v>312</v>
        <stp/>
        <stp>Market</stp>
        <stp>STOCK</stp>
        <stp>48880.T</stp>
        <stp>始値</stp>
        <tr r="D142" s="2"/>
      </tp>
      <tp>
        <v>180</v>
        <stp/>
        <stp>Market</stp>
        <stp>STOCK</stp>
        <stp>70480.T</stp>
        <stp>始値</stp>
        <tr r="D292" s="2"/>
      </tp>
      <tp>
        <v>3438</v>
        <stp/>
        <stp>Market</stp>
        <stp>STOCK</stp>
        <stp>67580.T</stp>
        <stp>始値</stp>
        <tr r="D201" s="2"/>
      </tp>
      <tp>
        <v>976</v>
        <stp/>
        <stp>Market</stp>
        <stp>STOCK</stp>
        <stp>64880.T</stp>
        <stp>始値</stp>
        <tr r="D276" s="2"/>
      </tp>
      <tp>
        <v>12715</v>
        <stp/>
        <stp>Market</stp>
        <stp>STOCK</stp>
        <stp>60980.T</stp>
        <stp>始値</stp>
        <tr r="D244" s="2"/>
      </tp>
      <tp>
        <v>2379</v>
        <stp/>
        <stp>Market</stp>
        <stp>STOCK</stp>
        <stp>61780.T</stp>
        <stp>始値</stp>
        <tr r="D100" s="2"/>
      </tp>
      <tp>
        <v>1431</v>
        <stp/>
        <stp>Market</stp>
        <stp>STOCK</stp>
        <stp>68380.T</stp>
        <stp>始値</stp>
        <tr r="D144" s="2"/>
      </tp>
      <tp>
        <v>856</v>
        <stp/>
        <stp>Market</stp>
        <stp>STOCK</stp>
        <stp>68480.T</stp>
        <stp>始値</stp>
        <tr r="D270" s="2"/>
      </tp>
      <tp>
        <v>3200</v>
        <stp/>
        <stp>Market</stp>
        <stp>STOCK</stp>
        <stp>69180.T</stp>
        <stp>始値</stp>
        <tr r="D275" s="2"/>
      </tp>
      <tp>
        <v>2735</v>
        <stp/>
        <stp>Market</stp>
        <stp>STOCK</stp>
        <stp>69280.T</stp>
        <stp>始値</stp>
        <tr r="D242" s="2"/>
      </tp>
      <tp>
        <v>32000</v>
        <stp/>
        <stp>Market</stp>
        <stp>STOCK</stp>
        <stp>16180.T</stp>
        <stp>始値</stp>
        <tr r="D223" s="2"/>
      </tp>
      <tp>
        <v>2840</v>
        <stp/>
        <stp>Market</stp>
        <stp>STOCK</stp>
        <stp>18080.T</stp>
        <stp>始値</stp>
        <tr r="D293" s="2"/>
      </tp>
      <tp>
        <v>2550</v>
        <stp/>
        <stp>Market</stp>
        <stp>STOCK</stp>
        <stp>19380.T</stp>
        <stp>始値</stp>
        <tr r="D172" s="2"/>
      </tp>
      <tp>
        <v>5194</v>
        <stp/>
        <stp>Market</stp>
        <stp>STOCK</stp>
        <stp>27680.T</stp>
        <stp>始値</stp>
        <tr r="D198" s="2"/>
      </tp>
      <tp>
        <v>4035</v>
        <stp/>
        <stp>Market</stp>
        <stp>STOCK</stp>
        <stp>94490.T</stp>
        <stp>始値</stp>
        <tr r="D109" s="2"/>
      </tp>
      <tp>
        <v>1021</v>
        <stp/>
        <stp>Market</stp>
        <stp>STOCK</stp>
        <stp>95190.T</stp>
        <stp>始値</stp>
        <tr r="D210" s="2"/>
      </tp>
      <tp>
        <v>2146</v>
        <stp/>
        <stp>Market</stp>
        <stp>STOCK</stp>
        <stp>90690.T</stp>
        <stp>始値</stp>
        <tr r="D106" s="2"/>
      </tp>
      <tp>
        <v>6680</v>
        <stp/>
        <stp>Market</stp>
        <stp>STOCK</stp>
        <stp>83090.T</stp>
        <stp>始値</stp>
        <tr r="D27" s="2"/>
      </tp>
      <tp>
        <v>2607</v>
        <stp/>
        <stp>Market</stp>
        <stp>STOCK</stp>
        <stp>83590.T</stp>
        <stp>始値</stp>
        <tr r="D119" s="2"/>
      </tp>
      <tp>
        <v>2550</v>
        <stp/>
        <stp>Market</stp>
        <stp>STOCK</stp>
        <stp>54490.T</stp>
        <stp>始値</stp>
        <tr r="D47" s="2"/>
      </tp>
      <tp>
        <v>1255</v>
        <stp/>
        <stp>Market</stp>
        <stp>STOCK</stp>
        <stp>50190.T</stp>
        <stp>始値</stp>
        <tr r="D20" s="2"/>
      </tp>
      <tp>
        <v>3712</v>
        <stp/>
        <stp>Market</stp>
        <stp>STOCK</stp>
        <stp>59290.T</stp>
        <stp>始値</stp>
        <tr r="D45" s="2"/>
      </tp>
      <tp>
        <v>1115</v>
        <stp/>
        <stp>Market</stp>
        <stp>STOCK</stp>
        <stp>47090.T</stp>
        <stp>始値</stp>
        <tr r="D166" s="2"/>
      </tp>
      <tp>
        <v>7243</v>
        <stp/>
        <stp>Market</stp>
        <stp>STOCK</stp>
        <stp>45190.T</stp>
        <stp>始値</stp>
        <tr r="D126" s="2"/>
      </tp>
      <tp>
        <v>3345</v>
        <stp/>
        <stp>Market</stp>
        <stp>STOCK</stp>
        <stp>76090.T</stp>
        <stp>始値</stp>
        <tr r="D236" s="2"/>
      </tp>
      <tp>
        <v>17910</v>
        <stp/>
        <stp>Market</stp>
        <stp>STOCK</stp>
        <stp>77290.T</stp>
        <stp>始値</stp>
        <tr r="D103" s="2"/>
      </tp>
      <tp>
        <v>3970</v>
        <stp/>
        <stp>Market</stp>
        <stp>STOCK</stp>
        <stp>64790.T</stp>
        <stp>始値</stp>
        <tr r="D75" s="2"/>
      </tp>
      <tp>
        <v>1590</v>
        <stp/>
        <stp>Market</stp>
        <stp>STOCK</stp>
        <stp>68090.T</stp>
        <stp>始値</stp>
        <tr r="D234" s="2"/>
      </tp>
      <tp>
        <v>1996</v>
        <stp/>
        <stp>Market</stp>
        <stp>STOCK</stp>
        <stp>23590.T</stp>
        <stp>始値</stp>
        <tr r="D164" s="2"/>
      </tp>
    </main>
    <main first="rtdsrv.aa62150a635042219654be00b1467f2f">
      <tp>
        <v>1664</v>
        <stp/>
        <stp>Market</stp>
        <stp>STOCK</stp>
        <stp>464A0.T</stp>
        <stp>始値</stp>
        <tr r="D216" s="2"/>
      </tp>
      <tp>
        <v>1900</v>
        <stp/>
        <stp>Market</stp>
        <stp>STOCK</stp>
        <stp>485A0.T</stp>
        <stp>始値</stp>
        <tr r="D217" s="2"/>
      </tp>
      <tp>
        <v>3055</v>
        <stp/>
        <stp>Market</stp>
        <stp>STOCK</stp>
        <stp>141A0.T</stp>
        <stp>始値</stp>
        <tr r="D215" s="2"/>
      </tp>
      <tp>
        <v>879</v>
        <stp/>
        <stp>Market</stp>
        <stp>STOCK</stp>
        <stp>155A0.T</stp>
        <stp>始値</stp>
        <tr r="D246" s="2"/>
      </tp>
      <tp>
        <v>1000</v>
        <stp/>
        <stp>Market</stp>
        <stp>STOCK</stp>
        <stp>186A0.T</stp>
        <stp>始値</stp>
        <tr r="D295" s="2"/>
      </tp>
      <tp>
        <v>2870</v>
        <stp/>
        <stp>Market</stp>
        <stp>STOCK</stp>
        <stp>300A0.T</stp>
        <stp>始値</stp>
        <tr r="D248" s="2"/>
      </tp>
      <tp>
        <v>12420</v>
        <stp/>
        <stp>Market</stp>
        <stp>STOCK</stp>
        <stp>278A0.T</stp>
        <stp>始値</stp>
        <tr r="D247" s="2"/>
      </tp>
      <tp>
        <v>463</v>
        <stp/>
        <stp>Market</stp>
        <stp>STOCK</stp>
        <stp>281A0.T</stp>
        <stp>始値</stp>
        <tr r="D262" s="2"/>
      </tp>
      <tp>
        <v>55900</v>
        <stp/>
        <stp>Market</stp>
        <stp>STOCK</stp>
        <stp>285A0.T</stp>
        <stp>始値</stp>
        <tr r="D214" s="2"/>
      </tp>
      <tp>
        <v>70204200</v>
        <stp/>
        <stp>Market</stp>
        <stp>STOCK</stp>
        <stp>99840.T</stp>
        <stp>出来高</stp>
        <tr r="F61" s="2"/>
      </tp>
      <tp>
        <v>1413000</v>
        <stp/>
        <stp>Market</stp>
        <stp>STOCK</stp>
        <stp>99620.T</stp>
        <stp>出来高</stp>
        <tr r="F229" s="2"/>
      </tp>
      <tp>
        <v>221500</v>
        <stp/>
        <stp>Market</stp>
        <stp>STOCK</stp>
        <stp>98800.T</stp>
        <stp>出来高</stp>
        <tr r="F253" s="2"/>
      </tp>
      <tp>
        <v>185200</v>
        <stp/>
        <stp>Market</stp>
        <stp>STOCK</stp>
        <stp>98820.T</stp>
        <stp>出来高</stp>
        <tr r="F112" s="2"/>
      </tp>
      <tp>
        <v>42140900</v>
        <stp/>
        <stp>Market</stp>
        <stp>STOCK</stp>
        <stp>95010.T</stp>
        <stp>出来高</stp>
        <tr r="F110" s="2"/>
      </tp>
      <tp>
        <v>1173800</v>
        <stp/>
        <stp>Market</stp>
        <stp>STOCK</stp>
        <stp>95050.T</stp>
        <stp>出来高</stp>
        <tr r="F177" s="2"/>
      </tp>
      <tp>
        <v>3457000</v>
        <stp/>
        <stp>Market</stp>
        <stp>STOCK</stp>
        <stp>95060.T</stp>
        <stp>出来高</stp>
        <tr r="F182" s="2"/>
      </tp>
      <tp>
        <v>1404900</v>
        <stp/>
        <stp>Market</stp>
        <stp>STOCK</stp>
        <stp>95190.T</stp>
        <stp>出来高</stp>
        <tr r="F210" s="2"/>
      </tp>
      <tp>
        <v>1436000</v>
        <stp/>
        <stp>Market</stp>
        <stp>STOCK</stp>
        <stp>95310.T</stp>
        <stp>出来高</stp>
        <tr r="F111" s="2"/>
      </tp>
      <tp>
        <v>869200</v>
        <stp/>
        <stp>Market</stp>
        <stp>STOCK</stp>
        <stp>95320.T</stp>
        <stp>出来高</stp>
        <tr r="F123" s="2"/>
      </tp>
      <tp>
        <v>67700</v>
        <stp/>
        <stp>Market</stp>
        <stp>STOCK</stp>
        <stp>95360.T</stp>
        <stp>出来高</stp>
        <tr r="F181" s="2"/>
      </tp>
      <tp>
        <v>158900</v>
        <stp/>
        <stp>Market</stp>
        <stp>STOCK</stp>
        <stp>95510.T</stp>
        <stp>出来高</stp>
        <tr r="F163" s="2"/>
      </tp>
      <tp>
        <v>868700</v>
        <stp/>
        <stp>Market</stp>
        <stp>STOCK</stp>
        <stp>94040.T</stp>
        <stp>出来高</stp>
        <tr r="F115" s="2"/>
      </tp>
      <tp>
        <v>2579000</v>
        <stp/>
        <stp>Market</stp>
        <stp>STOCK</stp>
        <stp>94120.T</stp>
        <stp>出来高</stp>
        <tr r="F52" s="2"/>
      </tp>
      <tp>
        <v>281100</v>
        <stp/>
        <stp>Market</stp>
        <stp>STOCK</stp>
        <stp>94160.T</stp>
        <stp>出来高</stp>
        <tr r="F122" s="2"/>
      </tp>
      <tp>
        <v>1312900</v>
        <stp/>
        <stp>Market</stp>
        <stp>STOCK</stp>
        <stp>94240.T</stp>
        <stp>出来高</stp>
        <tr r="F66" s="2"/>
      </tp>
      <tp>
        <v>409400</v>
        <stp/>
        <stp>Market</stp>
        <stp>STOCK</stp>
        <stp>94490.T</stp>
        <stp>出来高</stp>
        <tr r="F109" s="2"/>
      </tp>
      <tp>
        <v>20700</v>
        <stp/>
        <stp>Market</stp>
        <stp>STOCK</stp>
        <stp>97330.T</stp>
        <stp>出来高</stp>
        <tr r="F162" s="2"/>
      </tp>
      <tp>
        <v>3400</v>
        <stp/>
        <stp>Market</stp>
        <stp>STOCK</stp>
        <stp>96870.T</stp>
        <stp>出来高</stp>
        <tr r="F158" s="2"/>
      </tp>
      <tp>
        <v>4456700</v>
        <stp/>
        <stp>Market</stp>
        <stp>STOCK</stp>
        <stp>91010.T</stp>
        <stp>出来高</stp>
        <tr r="F202" s="2"/>
      </tp>
      <tp>
        <v>2570000</v>
        <stp/>
        <stp>Market</stp>
        <stp>STOCK</stp>
        <stp>91040.T</stp>
        <stp>出来高</stp>
        <tr r="F255" s="2"/>
      </tp>
      <tp>
        <v>68700</v>
        <stp/>
        <stp>Market</stp>
        <stp>STOCK</stp>
        <stp>91150.T</stp>
        <stp>出来高</stp>
        <tr r="F266" s="2"/>
      </tp>
      <tp>
        <v>18100</v>
        <stp/>
        <stp>Market</stp>
        <stp>STOCK</stp>
        <stp>91650.T</stp>
        <stp>出来高</stp>
        <tr r="F239" s="2"/>
      </tp>
      <tp>
        <v>3173800</v>
        <stp/>
        <stp>Market</stp>
        <stp>STOCK</stp>
        <stp>90200.T</stp>
        <stp>出来高</stp>
        <tr r="F105" s="2"/>
      </tp>
      <tp>
        <v>3012200</v>
        <stp/>
        <stp>Market</stp>
        <stp>STOCK</stp>
        <stp>90220.T</stp>
        <stp>出来高</stp>
        <tr r="F180" s="2"/>
      </tp>
      <tp>
        <v>512900</v>
        <stp/>
        <stp>Market</stp>
        <stp>STOCK</stp>
        <stp>90690.T</stp>
        <stp>出来高</stp>
        <tr r="F106" s="2"/>
      </tp>
      <tp>
        <v>1636700</v>
        <stp/>
        <stp>Market</stp>
        <stp>STOCK</stp>
        <stp>90640.T</stp>
        <stp>出来高</stp>
        <tr r="F185" s="2"/>
      </tp>
      <tp>
        <v>2870000</v>
        <stp/>
        <stp>Market</stp>
        <stp>STOCK</stp>
        <stp>93480.T</stp>
        <stp>出来高</stp>
        <tr r="F108" s="2"/>
      </tp>
      <tp>
        <v>2452800</v>
        <stp/>
        <stp>Market</stp>
        <stp>STOCK</stp>
        <stp>92020.T</stp>
        <stp>出来高</stp>
        <tr r="F70" s="2"/>
      </tp>
      <tp>
        <v>361300</v>
        <stp/>
        <stp>Market</stp>
        <stp>STOCK</stp>
        <stp>92270.T</stp>
        <stp>出来高</stp>
        <tr r="F107" s="2"/>
      </tp>
      <tp>
        <v>135800</v>
        <stp/>
        <stp>Market</stp>
        <stp>STOCK</stp>
        <stp>89340.T</stp>
        <stp>出来高</stp>
        <tr r="F121" s="2"/>
      </tp>
      <tp>
        <v>151400</v>
        <stp/>
        <stp>Market</stp>
        <stp>STOCK</stp>
        <stp>88920.T</stp>
        <stp>出来高</stp>
        <tr r="F157" s="2"/>
      </tp>
      <tp>
        <v>9356300</v>
        <stp/>
        <stp>Market</stp>
        <stp>STOCK</stp>
        <stp>88010.T</stp>
        <stp>出来高</stp>
        <tr r="F120" s="2"/>
      </tp>
      <tp>
        <v>123800</v>
        <stp/>
        <stp>Market</stp>
        <stp>STOCK</stp>
        <stp>88710.T</stp>
        <stp>出来高</stp>
        <tr r="F274" s="2"/>
      </tp>
      <tp>
        <v>4639700</v>
        <stp/>
        <stp>Market</stp>
        <stp>STOCK</stp>
        <stp>85910.T</stp>
        <stp>出来高</stp>
        <tr r="F22" s="2"/>
      </tp>
      <tp>
        <v>5151200</v>
        <stp/>
        <stp>Market</stp>
        <stp>STOCK</stp>
        <stp>85930.T</stp>
        <stp>出来高</stp>
        <tr r="F35" s="2"/>
      </tp>
      <tp>
        <v>486400</v>
        <stp/>
        <stp>Market</stp>
        <stp>STOCK</stp>
        <stp>85700.T</stp>
        <stp>出来高</stp>
        <tr r="F33" s="2"/>
      </tp>
      <tp>
        <v>1362200</v>
        <stp/>
        <stp>Market</stp>
        <stp>STOCK</stp>
        <stp>85720.T</stp>
        <stp>出来高</stp>
        <tr r="F43" s="2"/>
      </tp>
      <tp>
        <v>14432200</v>
        <stp/>
        <stp>Market</stp>
        <stp>STOCK</stp>
        <stp>84110.T</stp>
        <stp>出来高</stp>
        <tr r="F15" s="2"/>
      </tp>
      <tp>
        <v>157200</v>
        <stp/>
        <stp>Market</stp>
        <stp>STOCK</stp>
        <stp>84240.T</stp>
        <stp>出来高</stp>
        <tr r="F104" s="2"/>
      </tp>
      <tp>
        <v>22400</v>
        <stp/>
        <stp>Market</stp>
        <stp>STOCK</stp>
        <stp>87930.T</stp>
        <stp>出来高</stp>
        <tr r="F228" s="2"/>
      </tp>
      <tp>
        <v>1693200</v>
        <stp/>
        <stp>Market</stp>
        <stp>STOCK</stp>
        <stp>87950.T</stp>
        <stp>出来高</stp>
        <tr r="F19" s="2"/>
      </tp>
      <tp>
        <v>151900</v>
        <stp/>
        <stp>Market</stp>
        <stp>STOCK</stp>
        <stp>87040.T</stp>
        <stp>出来高</stp>
        <tr r="F160" s="2"/>
      </tp>
      <tp>
        <v>4616300</v>
        <stp/>
        <stp>Market</stp>
        <stp>STOCK</stp>
        <stp>87250.T</stp>
        <stp>出来高</stp>
        <tr r="F18" s="2"/>
      </tp>
      <tp>
        <v>13386100</v>
        <stp/>
        <stp>Market</stp>
        <stp>STOCK</stp>
        <stp>87500.T</stp>
        <stp>出来高</stp>
        <tr r="F39" s="2"/>
      </tp>
      <tp>
        <v>4881300</v>
        <stp/>
        <stp>Market</stp>
        <stp>STOCK</stp>
        <stp>87660.T</stp>
        <stp>出来高</stp>
        <tr r="F48" s="2"/>
      </tp>
      <tp>
        <v>5969800</v>
        <stp/>
        <stp>Market</stp>
        <stp>STOCK</stp>
        <stp>86010.T</stp>
        <stp>出来高</stp>
        <tr r="F29" s="2"/>
      </tp>
      <tp>
        <v>15093000</v>
        <stp/>
        <stp>Market</stp>
        <stp>STOCK</stp>
        <stp>86040.T</stp>
        <stp>出来高</stp>
        <tr r="F36" s="2"/>
      </tp>
      <tp>
        <v>3770500</v>
        <stp/>
        <stp>Market</stp>
        <stp>STOCK</stp>
        <stp>86300.T</stp>
        <stp>出来高</stp>
        <tr r="F50" s="2"/>
      </tp>
      <tp>
        <v>212100</v>
        <stp/>
        <stp>Market</stp>
        <stp>STOCK</stp>
        <stp>81030.T</stp>
        <stp>出来高</stp>
        <tr r="F165" s="2"/>
      </tp>
      <tp>
        <v>139400</v>
        <stp/>
        <stp>Market</stp>
        <stp>STOCK</stp>
        <stp>81410.T</stp>
        <stp>出来高</stp>
        <tr r="F288" s="2"/>
      </tp>
      <tp>
        <v>18000</v>
        <stp/>
        <stp>Market</stp>
        <stp>STOCK</stp>
        <stp>80910.T</stp>
        <stp>出来高</stp>
        <tr r="F178" s="2"/>
      </tp>
      <tp>
        <v>5592300</v>
        <stp/>
        <stp>Market</stp>
        <stp>STOCK</stp>
        <stp>80020.T</stp>
        <stp>出来高</stp>
        <tr r="F10" s="2"/>
      </tp>
      <tp>
        <v>166400</v>
        <stp/>
        <stp>Market</stp>
        <stp>STOCK</stp>
        <stp>80050.T</stp>
        <stp>出来高</stp>
        <tr r="F232" s="2"/>
      </tp>
      <tp>
        <v>123200</v>
        <stp/>
        <stp>Market</stp>
        <stp>STOCK</stp>
        <stp>80070.T</stp>
        <stp>出来高</stp>
        <tr r="F277" s="2"/>
      </tp>
      <tp>
        <v>3073500</v>
        <stp/>
        <stp>Market</stp>
        <stp>STOCK</stp>
        <stp>80150.T</stp>
        <stp>出来高</stp>
        <tr r="F200" s="2"/>
      </tp>
      <tp>
        <v>6335500</v>
        <stp/>
        <stp>Market</stp>
        <stp>STOCK</stp>
        <stp>80350.T</stp>
        <stp>出来高</stp>
        <tr r="F194" s="2"/>
      </tp>
      <tp>
        <v>8314500</v>
        <stp/>
        <stp>Market</stp>
        <stp>STOCK</stp>
        <stp>80580.T</stp>
        <stp>出来高</stp>
        <tr r="F12" s="2"/>
      </tp>
      <tp>
        <v>15185600</v>
        <stp/>
        <stp>Market</stp>
        <stp>STOCK</stp>
        <stp>80530.T</stp>
        <stp>出来高</stp>
        <tr r="F21" s="2"/>
      </tp>
      <tp>
        <v>2737800</v>
        <stp/>
        <stp>Market</stp>
        <stp>STOCK</stp>
        <stp>83090.T</stp>
        <stp>出来高</stp>
        <tr r="F27" s="2"/>
      </tp>
      <tp>
        <v>9857100</v>
        <stp/>
        <stp>Market</stp>
        <stp>STOCK</stp>
        <stp>83080.T</stp>
        <stp>出来高</stp>
        <tr r="F31" s="2"/>
      </tp>
      <tp>
        <v>5049300</v>
        <stp/>
        <stp>Market</stp>
        <stp>STOCK</stp>
        <stp>83030.T</stp>
        <stp>出来高</stp>
        <tr r="F168" s="2"/>
      </tp>
      <tp>
        <v>59061500</v>
        <stp/>
        <stp>Market</stp>
        <stp>STOCK</stp>
        <stp>83060.T</stp>
        <stp>出来高</stp>
        <tr r="F41" s="2"/>
      </tp>
      <tp>
        <v>17726200</v>
        <stp/>
        <stp>Market</stp>
        <stp>STOCK</stp>
        <stp>83160.T</stp>
        <stp>出来高</stp>
        <tr r="F46" s="2"/>
      </tp>
      <tp>
        <v>1141600</v>
        <stp/>
        <stp>Market</stp>
        <stp>STOCK</stp>
        <stp>83340.T</stp>
        <stp>出来高</stp>
        <tr r="F118" s="2"/>
      </tp>
      <tp>
        <v>173100</v>
        <stp/>
        <stp>Market</stp>
        <stp>STOCK</stp>
        <stp>83440.T</stp>
        <stp>出来高</stp>
        <tr r="F289" s="2"/>
      </tp>
      <tp>
        <v>1622800</v>
        <stp/>
        <stp>Market</stp>
        <stp>STOCK</stp>
        <stp>83590.T</stp>
        <stp>出来高</stp>
        <tr r="F119" s="2"/>
      </tp>
      <tp>
        <v>131500</v>
        <stp/>
        <stp>Market</stp>
        <stp>STOCK</stp>
        <stp>82810.T</stp>
        <stp>出来高</stp>
        <tr r="F59" s="2"/>
      </tp>
      <tp>
        <v>58600</v>
        <stp/>
        <stp>Market</stp>
        <stp>STOCK</stp>
        <stp>39840.T</stp>
        <stp>出来高</stp>
        <tr r="F235" s="2"/>
      </tp>
      <tp>
        <v>2018100</v>
        <stp/>
        <stp>Market</stp>
        <stp>STOCK</stp>
        <stp>39050.T</stp>
        <stp>出来高</stp>
        <tr r="F280" s="2"/>
      </tp>
      <tp>
        <v>825700</v>
        <stp/>
        <stp>Market</stp>
        <stp>STOCK</stp>
        <stp>39360.T</stp>
        <stp>出来高</stp>
        <tr r="F241" s="2"/>
      </tp>
      <tp>
        <v>1096400</v>
        <stp/>
        <stp>Market</stp>
        <stp>STOCK</stp>
        <stp>39410.T</stp>
        <stp>出来高</stp>
        <tr r="F44" s="2"/>
      </tp>
      <tp>
        <v>187300</v>
        <stp/>
        <stp>Market</stp>
        <stp>STOCK</stp>
        <stp>38910.T</stp>
        <stp>出来高</stp>
        <tr r="F155" s="2"/>
      </tp>
      <tp>
        <v>76900</v>
        <stp/>
        <stp>Market</stp>
        <stp>STOCK</stp>
        <stp>38540.T</stp>
        <stp>出来高</stp>
        <tr r="F67" s="2"/>
      </tp>
      <tp>
        <v>3567400</v>
        <stp/>
        <stp>Market</stp>
        <stp>STOCK</stp>
        <stp>38610.T</stp>
        <stp>出来高</stp>
        <tr r="F37" s="2"/>
      </tp>
      <tp>
        <v>946500</v>
        <stp/>
        <stp>Market</stp>
        <stp>STOCK</stp>
        <stp>38630.T</stp>
        <stp>出来高</stp>
        <tr r="F28" s="2"/>
      </tp>
      <tp>
        <v>144200</v>
        <stp/>
        <stp>Market</stp>
        <stp>STOCK</stp>
        <stp>38640.T</stp>
        <stp>出来高</stp>
        <tr r="F267" s="2"/>
      </tp>
      <tp>
        <v>2094100</v>
        <stp/>
        <stp>Market</stp>
        <stp>STOCK</stp>
        <stp>35630.T</stp>
        <stp>出来高</stp>
        <tr r="F226" s="2"/>
      </tp>
      <tp>
        <v>861200</v>
        <stp/>
        <stp>Market</stp>
        <stp>STOCK</stp>
        <stp>34010.T</stp>
        <stp>出来高</stp>
        <tr r="F23" s="2"/>
      </tp>
      <tp>
        <v>3667700</v>
        <stp/>
        <stp>Market</stp>
        <stp>STOCK</stp>
        <stp>34020.T</stp>
        <stp>出来高</stp>
        <tr r="F40" s="2"/>
      </tp>
      <tp>
        <v>4536900</v>
        <stp/>
        <stp>Market</stp>
        <stp>STOCK</stp>
        <stp>34070.T</stp>
        <stp>出来高</stp>
        <tr r="F90" s="2"/>
      </tp>
      <tp>
        <v>21303500</v>
        <stp/>
        <stp>Market</stp>
        <stp>STOCK</stp>
        <stp>34360.T</stp>
        <stp>出来高</stp>
        <tr r="F24" s="2"/>
      </tp>
      <tp>
        <v>112900</v>
        <stp/>
        <stp>Market</stp>
        <stp>STOCK</stp>
        <stp>36960.T</stp>
        <stp>出来高</stp>
        <tr r="F224" s="2"/>
      </tp>
      <tp>
        <v>3636800</v>
        <stp/>
        <stp>Market</stp>
        <stp>STOCK</stp>
        <stp>31030.T</stp>
        <stp>出来高</stp>
        <tr r="F134" s="2"/>
      </tp>
      <tp>
        <v>267400</v>
        <stp/>
        <stp>Market</stp>
        <stp>STOCK</stp>
        <stp>31070.T</stp>
        <stp>出来高</stp>
        <tr r="F56" s="2"/>
      </tp>
      <tp>
        <v>7456500</v>
        <stp/>
        <stp>Market</stp>
        <stp>STOCK</stp>
        <stp>31100.T</stp>
        <stp>出来高</stp>
        <tr r="F130" s="2"/>
      </tp>
      <tp>
        <v>2721500</v>
        <stp/>
        <stp>Market</stp>
        <stp>STOCK</stp>
        <stp>30030.T</stp>
        <stp>出来高</stp>
        <tr r="F84" s="2"/>
      </tp>
      <tp>
        <v>128300</v>
        <stp/>
        <stp>Market</stp>
        <stp>STOCK</stp>
        <stp>30020.T</stp>
        <stp>出来高</stp>
        <tr r="F273" s="2"/>
      </tp>
      <tp>
        <v>12800</v>
        <stp/>
        <stp>Market</stp>
        <stp>STOCK</stp>
        <stp>300A0.T</stp>
        <stp>出来高</stp>
        <tr r="F248" s="2"/>
      </tp>
      <tp>
        <v>364100</v>
        <stp/>
        <stp>Market</stp>
        <stp>STOCK</stp>
        <stp>33970.T</stp>
        <stp>出来高</stp>
        <tr r="F281" s="2"/>
      </tp>
      <tp>
        <v>6986400</v>
        <stp/>
        <stp>Market</stp>
        <stp>STOCK</stp>
        <stp>29140.T</stp>
        <stp>出来高</stp>
        <tr r="F83" s="2"/>
      </tp>
      <tp>
        <v>38800</v>
        <stp/>
        <stp>Market</stp>
        <stp>STOCK</stp>
        <stp>29330.T</stp>
        <stp>出来高</stp>
        <tr r="F284" s="2"/>
      </tp>
      <tp>
        <v>4971500</v>
        <stp/>
        <stp>Market</stp>
        <stp>STOCK</stp>
        <stp>28020.T</stp>
        <stp>出来高</stp>
        <tr r="F72" s="2"/>
      </tp>
      <tp>
        <v>287400</v>
        <stp/>
        <stp>Market</stp>
        <stp>STOCK</stp>
        <stp>281A0.T</stp>
        <stp>出来高</stp>
        <tr r="F262" s="2"/>
      </tp>
      <tp>
        <v>41502000</v>
        <stp/>
        <stp>Market</stp>
        <stp>STOCK</stp>
        <stp>285A0.T</stp>
        <stp>出来高</stp>
        <tr r="F214" s="2"/>
      </tp>
      <tp>
        <v>4024700</v>
        <stp/>
        <stp>Market</stp>
        <stp>STOCK</stp>
        <stp>278A0.T</stp>
        <stp>出来高</stp>
        <tr r="F247" s="2"/>
      </tp>
      <tp>
        <v>509600</v>
        <stp/>
        <stp>Market</stp>
        <stp>STOCK</stp>
        <stp>27020.T</stp>
        <stp>出来高</stp>
        <tr r="F190" s="2"/>
      </tp>
      <tp>
        <v>1396700</v>
        <stp/>
        <stp>Market</stp>
        <stp>STOCK</stp>
        <stp>27680.T</stp>
        <stp>出来高</stp>
        <tr r="F198" s="2"/>
      </tp>
      <tp>
        <v>1308600</v>
        <stp/>
        <stp>Market</stp>
        <stp>STOCK</stp>
        <stp>21270.T</stp>
        <stp>出来高</stp>
        <tr r="F183" s="2"/>
      </tp>
      <tp>
        <v>1307000</v>
        <stp/>
        <stp>Market</stp>
        <stp>STOCK</stp>
        <stp>21600.T</stp>
        <stp>出来高</stp>
        <tr r="F127" s="2"/>
      </tp>
      <tp>
        <v>276700</v>
        <stp/>
        <stp>Market</stp>
        <stp>STOCK</stp>
        <stp>23270.T</stp>
        <stp>出来高</stp>
        <tr r="F170" s="2"/>
      </tp>
      <tp>
        <v>957900</v>
        <stp/>
        <stp>Market</stp>
        <stp>STOCK</stp>
        <stp>23260.T</stp>
        <stp>出来高</stp>
        <tr r="F233" s="2"/>
      </tp>
      <tp>
        <v>14300</v>
        <stp/>
        <stp>Market</stp>
        <stp>STOCK</stp>
        <stp>23590.T</stp>
        <stp>出来高</stp>
        <tr r="F164" s="2"/>
      </tp>
      <tp>
        <v>1429400</v>
        <stp/>
        <stp>Market</stp>
        <stp>STOCK</stp>
        <stp>22670.T</stp>
        <stp>出来高</stp>
        <tr r="F222" s="2"/>
      </tp>
      <tp>
        <v>2201200</v>
        <stp/>
        <stp>Market</stp>
        <stp>STOCK</stp>
        <stp>19250.T</stp>
        <stp>出来高</stp>
        <tr r="F79" s="2"/>
      </tp>
      <tp>
        <v>130500</v>
        <stp/>
        <stp>Market</stp>
        <stp>STOCK</stp>
        <stp>19380.T</stp>
        <stp>出来高</stp>
        <tr r="F172" s="2"/>
      </tp>
      <tp>
        <v>86700</v>
        <stp/>
        <stp>Market</stp>
        <stp>STOCK</stp>
        <stp>19300.T</stp>
        <stp>出来高</stp>
        <tr r="F159" s="2"/>
      </tp>
      <tp>
        <v>1519900</v>
        <stp/>
        <stp>Market</stp>
        <stp>STOCK</stp>
        <stp>19420.T</stp>
        <stp>出来高</stp>
        <tr r="F171" s="2"/>
      </tp>
      <tp>
        <v>750600</v>
        <stp/>
        <stp>Market</stp>
        <stp>STOCK</stp>
        <stp>19440.T</stp>
        <stp>出来高</stp>
        <tr r="F300" s="2"/>
      </tp>
      <tp>
        <v>685100</v>
        <stp/>
        <stp>Market</stp>
        <stp>STOCK</stp>
        <stp>19610.T</stp>
        <stp>出来高</stp>
        <tr r="F55" s="2"/>
      </tp>
      <tp>
        <v>2120800</v>
        <stp/>
        <stp>Market</stp>
        <stp>STOCK</stp>
        <stp>19630.T</stp>
        <stp>出来高</stp>
        <tr r="F82" s="2"/>
      </tp>
      <tp>
        <v>829700</v>
        <stp/>
        <stp>Market</stp>
        <stp>STOCK</stp>
        <stp>18080.T</stp>
        <stp>出来高</stp>
        <tr r="F293" s="2"/>
      </tp>
      <tp>
        <v>1701600</v>
        <stp/>
        <stp>Market</stp>
        <stp>STOCK</stp>
        <stp>18120.T</stp>
        <stp>出来高</stp>
        <tr r="F204" s="2"/>
      </tp>
      <tp>
        <v>135800</v>
        <stp/>
        <stp>Market</stp>
        <stp>STOCK</stp>
        <stp>18330.T</stp>
        <stp>出来高</stp>
        <tr r="F76" s="2"/>
      </tp>
      <tp>
        <v>5846900</v>
        <stp/>
        <stp>Market</stp>
        <stp>STOCK</stp>
        <stp>186A0.T</stp>
        <stp>出来高</stp>
        <tr r="F295" s="2"/>
      </tp>
      <tp>
        <v>416400</v>
        <stp/>
        <stp>Market</stp>
        <stp>STOCK</stp>
        <stp>15140.T</stp>
        <stp>出来高</stp>
        <tr r="F258" s="2"/>
      </tp>
      <tp>
        <v>97600</v>
        <stp/>
        <stp>Market</stp>
        <stp>STOCK</stp>
        <stp>155A0.T</stp>
        <stp>出来高</stp>
        <tr r="F246" s="2"/>
      </tp>
      <tp>
        <v>5785171</v>
        <stp/>
        <stp>Market</stp>
        <stp>STOCK</stp>
        <stp>15700.T</stp>
        <stp>出来高</stp>
        <tr r="F218" s="2"/>
      </tp>
      <tp>
        <v>1063300</v>
        <stp/>
        <stp>Market</stp>
        <stp>STOCK</stp>
        <stp>14070.T</stp>
        <stp>出来高</stp>
        <tr r="F213" s="2"/>
      </tp>
      <tp>
        <v>731500</v>
        <stp/>
        <stp>Market</stp>
        <stp>STOCK</stp>
        <stp>141A0.T</stp>
        <stp>出来高</stp>
        <tr r="F215" s="2"/>
      </tp>
      <tp>
        <v>3813400</v>
        <stp/>
        <stp>Market</stp>
        <stp>STOCK</stp>
        <stp>16050.T</stp>
        <stp>出来高</stp>
        <tr r="F8" s="2"/>
      </tp>
      <tp>
        <v>1478</v>
        <stp/>
        <stp>Market</stp>
        <stp>STOCK</stp>
        <stp>16180.T</stp>
        <stp>出来高</stp>
        <tr r="F223" s="2"/>
      </tp>
      <tp>
        <v>1217100</v>
        <stp/>
        <stp>Market</stp>
        <stp>STOCK</stp>
        <stp>16620.T</stp>
        <stp>出来高</stp>
        <tr r="F14" s="2"/>
      </tp>
      <tp>
        <v>833236</v>
        <stp/>
        <stp>Market</stp>
        <stp>STOCK</stp>
        <stp>13210.T</stp>
        <stp>出来高</stp>
        <tr r="F299" s="2"/>
      </tp>
      <tp>
        <v>115800</v>
        <stp/>
        <stp>Market</stp>
        <stp>STOCK</stp>
        <stp>79810.T</stp>
        <stp>出来高</stp>
        <tr r="F167" s="2"/>
      </tp>
      <tp>
        <v>62100</v>
        <stp/>
        <stp>Market</stp>
        <stp>STOCK</stp>
        <stp>79520.T</stp>
        <stp>出来高</stp>
        <tr r="F272" s="2"/>
      </tp>
      <tp>
        <v>215400</v>
        <stp/>
        <stp>Market</stp>
        <stp>STOCK</stp>
        <stp>79720.T</stp>
        <stp>出来高</stp>
        <tr r="F237" s="2"/>
      </tp>
      <tp>
        <v>183900</v>
        <stp/>
        <stp>Market</stp>
        <stp>STOCK</stp>
        <stp>78060.T</stp>
        <stp>出来高</stp>
        <tr r="F69" s="2"/>
      </tp>
      <tp>
        <v>161600</v>
        <stp/>
        <stp>Market</stp>
        <stp>STOCK</stp>
        <stp>78460.T</stp>
        <stp>出来高</stp>
        <tr r="F71" s="2"/>
      </tp>
      <tp>
        <v>13238300</v>
        <stp/>
        <stp>Market</stp>
        <stp>STOCK</stp>
        <stp>75320.T</stp>
        <stp>出来高</stp>
        <tr r="F301" s="2"/>
      </tp>
      <tp>
        <v>65100</v>
        <stp/>
        <stp>Market</stp>
        <stp>STOCK</stp>
        <stp>74140.T</stp>
        <stp>出来高</stp>
        <tr r="F290" s="2"/>
      </tp>
      <tp>
        <v>472900</v>
        <stp/>
        <stp>Market</stp>
        <stp>STOCK</stp>
        <stp>77940.T</stp>
        <stp>出来高</stp>
        <tr r="F132" s="2"/>
      </tp>
      <tp>
        <v>162200</v>
        <stp/>
        <stp>Market</stp>
        <stp>STOCK</stp>
        <stp>77110.T</stp>
        <stp>出来高</stp>
        <tr r="F264" s="2"/>
      </tp>
      <tp>
        <v>660000</v>
        <stp/>
        <stp>Market</stp>
        <stp>STOCK</stp>
        <stp>77290.T</stp>
        <stp>出来高</stp>
        <tr r="F103" s="2"/>
      </tp>
      <tp>
        <v>5140900</v>
        <stp/>
        <stp>Market</stp>
        <stp>STOCK</stp>
        <stp>77350.T</stp>
        <stp>出来高</stp>
        <tr r="F279" s="2"/>
      </tp>
      <tp>
        <v>1065900</v>
        <stp/>
        <stp>Market</stp>
        <stp>STOCK</stp>
        <stp>77410.T</stp>
        <stp>出来高</stp>
        <tr r="F298" s="2"/>
      </tp>
      <tp>
        <v>1000100</v>
        <stp/>
        <stp>Market</stp>
        <stp>STOCK</stp>
        <stp>77460.T</stp>
        <stp>出来高</stp>
        <tr r="F89" s="2"/>
      </tp>
      <tp>
        <v>284600</v>
        <stp/>
        <stp>Market</stp>
        <stp>STOCK</stp>
        <stp>76850.T</stp>
        <stp>出来高</stp>
        <tr r="F117" s="2"/>
      </tp>
      <tp>
        <v>118100</v>
        <stp/>
        <stp>Market</stp>
        <stp>STOCK</stp>
        <stp>76090.T</stp>
        <stp>出来高</stp>
        <tr r="F236" s="2"/>
      </tp>
      <tp>
        <v>2082200</v>
        <stp/>
        <stp>Market</stp>
        <stp>STOCK</stp>
        <stp>71810.T</stp>
        <stp>出来高</stp>
        <tr r="F186" s="2"/>
      </tp>
      <tp>
        <v>6727800</v>
        <stp/>
        <stp>Market</stp>
        <stp>STOCK</stp>
        <stp>71820.T</stp>
        <stp>出来高</stp>
        <tr r="F81" s="2"/>
      </tp>
      <tp>
        <v>3591800</v>
        <stp/>
        <stp>Market</stp>
        <stp>STOCK</stp>
        <stp>71670.T</stp>
        <stp>出来高</stp>
        <tr r="F78" s="2"/>
      </tp>
      <tp>
        <v>21441300</v>
        <stp/>
        <stp>Market</stp>
        <stp>STOCK</stp>
        <stp>70110.T</stp>
        <stp>出来高</stp>
        <tr r="F203" s="2"/>
      </tp>
      <tp>
        <v>14372100</v>
        <stp/>
        <stp>Market</stp>
        <stp>STOCK</stp>
        <stp>70130.T</stp>
        <stp>出来高</stp>
        <tr r="F227" s="2"/>
      </tp>
      <tp>
        <v>1395500</v>
        <stp/>
        <stp>Market</stp>
        <stp>STOCK</stp>
        <stp>70140.T</stp>
        <stp>出来高</stp>
        <tr r="F252" s="2"/>
      </tp>
      <tp>
        <v>2800</v>
        <stp/>
        <stp>Market</stp>
        <stp>STOCK</stp>
        <stp>70210.T</stp>
        <stp>出来高</stp>
        <tr r="F102" s="2"/>
      </tp>
      <tp>
        <v>208800</v>
        <stp/>
        <stp>Market</stp>
        <stp>STOCK</stp>
        <stp>70480.T</stp>
        <stp>出来高</stp>
        <tr r="F292" s="2"/>
      </tp>
      <tp>
        <v>932600</v>
        <stp/>
        <stp>Market</stp>
        <stp>STOCK</stp>
        <stp>73810.T</stp>
        <stp>出来高</stp>
        <tr r="F148" s="2"/>
      </tp>
      <tp>
        <v>73600</v>
        <stp/>
        <stp>Market</stp>
        <stp>STOCK</stp>
        <stp>73750.T</stp>
        <stp>出来高</stp>
        <tr r="F145" s="2"/>
      </tp>
      <tp>
        <v>35779500</v>
        <stp/>
        <stp>Market</stp>
        <stp>STOCK</stp>
        <stp>72030.T</stp>
        <stp>出来高</stp>
        <tr r="F73" s="2"/>
      </tp>
      <tp>
        <v>580100</v>
        <stp/>
        <stp>Market</stp>
        <stp>STOCK</stp>
        <stp>72360.T</stp>
        <stp>出来高</stp>
        <tr r="F173" s="2"/>
      </tp>
      <tp>
        <v>3810700</v>
        <stp/>
        <stp>Market</stp>
        <stp>STOCK</stp>
        <stp>72700.T</stp>
        <stp>出来高</stp>
        <tr r="F282" s="2"/>
      </tp>
      <tp>
        <v>43867400</v>
        <stp/>
        <stp>Market</stp>
        <stp>STOCK</stp>
        <stp>69810.T</stp>
        <stp>出来高</stp>
        <tr r="F150" s="2"/>
      </tp>
      <tp>
        <v>1454800</v>
        <stp/>
        <stp>Market</stp>
        <stp>STOCK</stp>
        <stp>69970.T</stp>
        <stp>出来高</stp>
        <tr r="F268" s="2"/>
      </tp>
      <tp>
        <v>6893300</v>
        <stp/>
        <stp>Market</stp>
        <stp>STOCK</stp>
        <stp>69020.T</stp>
        <stp>出来高</stp>
        <tr r="F240" s="2"/>
      </tp>
      <tp>
        <v>69700</v>
        <stp/>
        <stp>Market</stp>
        <stp>STOCK</stp>
        <stp>69180.T</stp>
        <stp>出来高</stp>
        <tr r="F275" s="2"/>
      </tp>
      <tp>
        <v>51400</v>
        <stp/>
        <stp>Market</stp>
        <stp>STOCK</stp>
        <stp>69280.T</stp>
        <stp>出来高</stp>
        <tr r="F242" s="2"/>
      </tp>
      <tp>
        <v>5093900</v>
        <stp/>
        <stp>Market</stp>
        <stp>STOCK</stp>
        <stp>69200.T</stp>
        <stp>出来高</stp>
        <tr r="F195" s="2"/>
      </tp>
      <tp>
        <v>416100</v>
        <stp/>
        <stp>Market</stp>
        <stp>STOCK</stp>
        <stp>69250.T</stp>
        <stp>出来高</stp>
        <tr r="F101" s="2"/>
      </tp>
      <tp>
        <v>274900</v>
        <stp/>
        <stp>Market</stp>
        <stp>STOCK</stp>
        <stp>69550.T</stp>
        <stp>出来高</stp>
        <tr r="F261" s="2"/>
      </tp>
      <tp>
        <v>7839600</v>
        <stp/>
        <stp>Market</stp>
        <stp>STOCK</stp>
        <stp>69540.T</stp>
        <stp>出来高</stp>
        <tr r="F74" s="2"/>
      </tp>
      <tp>
        <v>4718700</v>
        <stp/>
        <stp>Market</stp>
        <stp>STOCK</stp>
        <stp>69650.T</stp>
        <stp>出来高</stp>
        <tr r="F296" s="2"/>
      </tp>
      <tp>
        <v>2565400</v>
        <stp/>
        <stp>Market</stp>
        <stp>STOCK</stp>
        <stp>68900.T</stp>
        <stp>出来高</stp>
        <tr r="F191" s="2"/>
      </tp>
      <tp>
        <v>77100</v>
        <stp/>
        <stp>Market</stp>
        <stp>STOCK</stp>
        <stp>68090.T</stp>
        <stp>出来高</stp>
        <tr r="F234" s="2"/>
      </tp>
      <tp>
        <v>446100</v>
        <stp/>
        <stp>Market</stp>
        <stp>STOCK</stp>
        <stp>68380.T</stp>
        <stp>出来高</stp>
        <tr r="F144" s="2"/>
      </tp>
      <tp>
        <v>5100</v>
        <stp/>
        <stp>Market</stp>
        <stp>STOCK</stp>
        <stp>68480.T</stp>
        <stp>出来高</stp>
        <tr r="F270" s="2"/>
      </tp>
      <tp>
        <v>1176200</v>
        <stp/>
        <stp>Market</stp>
        <stp>STOCK</stp>
        <stp>68410.T</stp>
        <stp>出来高</stp>
        <tr r="F77" s="2"/>
      </tp>
      <tp>
        <v>13442000</v>
        <stp/>
        <stp>Market</stp>
        <stp>STOCK</stp>
        <stp>68570.T</stp>
        <stp>出来高</stp>
        <tr r="F154" s="2"/>
      </tp>
      <tp>
        <v>905400</v>
        <stp/>
        <stp>Market</stp>
        <stp>STOCK</stp>
        <stp>68610.T</stp>
        <stp>出来高</stp>
        <tr r="F205" s="2"/>
      </tp>
      <tp>
        <v>465600</v>
        <stp/>
        <stp>Market</stp>
        <stp>STOCK</stp>
        <stp>68620.T</stp>
        <stp>出来高</stp>
        <tr r="F221" s="2"/>
      </tp>
      <tp>
        <v>12028800</v>
        <stp/>
        <stp>Market</stp>
        <stp>STOCK</stp>
        <stp>65010.T</stp>
        <stp>出来高</stp>
        <tr r="F87" s="2"/>
      </tp>
      <tp>
        <v>7417200</v>
        <stp/>
        <stp>Market</stp>
        <stp>STOCK</stp>
        <stp>65030.T</stp>
        <stp>出来高</stp>
        <tr r="F64" s="2"/>
      </tp>
      <tp>
        <v>224500</v>
        <stp/>
        <stp>Market</stp>
        <stp>STOCK</stp>
        <stp>65070.T</stp>
        <stp>出来高</stp>
        <tr r="F179" s="2"/>
      </tp>
      <tp>
        <v>12549600</v>
        <stp/>
        <stp>Market</stp>
        <stp>STOCK</stp>
        <stp>65060.T</stp>
        <stp>出来高</stp>
        <tr r="F197" s="2"/>
      </tp>
      <tp>
        <v>159100</v>
        <stp/>
        <stp>Market</stp>
        <stp>STOCK</stp>
        <stp>65160.T</stp>
        <stp>出来高</stp>
        <tr r="F147" s="2"/>
      </tp>
      <tp>
        <v>426300</v>
        <stp/>
        <stp>Market</stp>
        <stp>STOCK</stp>
        <stp>65210.T</stp>
        <stp>出来高</stp>
        <tr r="F238" s="2"/>
      </tp>
      <tp>
        <v>1174100</v>
        <stp/>
        <stp>Market</stp>
        <stp>STOCK</stp>
        <stp>65220.T</stp>
        <stp>出来高</stp>
        <tr r="F139" s="2"/>
      </tp>
      <tp>
        <v>7800</v>
        <stp/>
        <stp>Market</stp>
        <stp>STOCK</stp>
        <stp>64880.T</stp>
        <stp>出来高</stp>
        <tr r="F276" s="2"/>
      </tp>
      <tp>
        <v>98600</v>
        <stp/>
        <stp>Market</stp>
        <stp>STOCK</stp>
        <stp>64820.T</stp>
        <stp>出来高</stp>
        <tr r="F286" s="2"/>
      </tp>
      <tp>
        <v>27700</v>
        <stp/>
        <stp>Market</stp>
        <stp>STOCK</stp>
        <stp>64850.T</stp>
        <stp>出来高</stp>
        <tr r="F187" s="2"/>
      </tp>
      <tp>
        <v>809700</v>
        <stp/>
        <stp>Market</stp>
        <stp>STOCK</stp>
        <stp>64070.T</stp>
        <stp>出来高</stp>
        <tr r="F291" s="2"/>
      </tp>
      <tp>
        <v>284600</v>
        <stp/>
        <stp>Market</stp>
        <stp>STOCK</stp>
        <stp>64360.T</stp>
        <stp>出来高</stp>
        <tr r="F174" s="2"/>
      </tp>
      <tp>
        <v>4373500</v>
        <stp/>
        <stp>Market</stp>
        <stp>STOCK</stp>
        <stp>64790.T</stp>
        <stp>出来高</stp>
        <tr r="F75" s="2"/>
      </tp>
      <tp>
        <v>588700</v>
        <stp/>
        <stp>Market</stp>
        <stp>STOCK</stp>
        <stp>67870.T</stp>
        <stp>出来高</stp>
        <tr r="F141" s="2"/>
      </tp>
      <tp>
        <v>9935600</v>
        <stp/>
        <stp>Market</stp>
        <stp>STOCK</stp>
        <stp>67010.T</stp>
        <stp>出来高</stp>
        <tr r="F7" s="2"/>
      </tp>
      <tp>
        <v>36100</v>
        <stp/>
        <stp>Market</stp>
        <stp>STOCK</stp>
        <stp>67060.T</stp>
        <stp>出来高</stp>
        <tr r="F287" s="2"/>
      </tp>
      <tp>
        <v>11600</v>
        <stp/>
        <stp>Market</stp>
        <stp>STOCK</stp>
        <stp>67360.T</stp>
        <stp>出来高</stp>
        <tr r="F283" s="2"/>
      </tp>
      <tp>
        <v>33377400</v>
        <stp/>
        <stp>Market</stp>
        <stp>STOCK</stp>
        <stp>67400.T</stp>
        <stp>出来高</stp>
        <tr r="F136" s="2"/>
      </tp>
      <tp>
        <v>89400</v>
        <stp/>
        <stp>Market</stp>
        <stp>STOCK</stp>
        <stp>67440.T</stp>
        <stp>出来高</stp>
        <tr r="F116" s="2"/>
      </tp>
      <tp>
        <v>22560200</v>
        <stp/>
        <stp>Market</stp>
        <stp>STOCK</stp>
        <stp>67580.T</stp>
        <stp>出来高</stp>
        <tr r="F201" s="2"/>
      </tp>
      <tp>
        <v>3247500</v>
        <stp/>
        <stp>Market</stp>
        <stp>STOCK</stp>
        <stp>67530.T</stp>
        <stp>出来高</stp>
        <tr r="F184" s="2"/>
      </tp>
      <tp>
        <v>11689200</v>
        <stp/>
        <stp>Market</stp>
        <stp>STOCK</stp>
        <stp>67520.T</stp>
        <stp>出来高</stp>
        <tr r="F211" s="2"/>
      </tp>
      <tp>
        <v>1832400</v>
        <stp/>
        <stp>Market</stp>
        <stp>STOCK</stp>
        <stp>67540.T</stp>
        <stp>出来高</stp>
        <tr r="F151" s="2"/>
      </tp>
      <tp>
        <v>17751500</v>
        <stp/>
        <stp>Market</stp>
        <stp>STOCK</stp>
        <stp>67620.T</stp>
        <stp>出来高</stp>
        <tr r="F230" s="2"/>
      </tp>
      <tp>
        <v>175500</v>
        <stp/>
        <stp>Market</stp>
        <stp>STOCK</stp>
        <stp>67770.T</stp>
        <stp>出来高</stp>
        <tr r="F140" s="2"/>
      </tp>
      <tp>
        <v>6741400</v>
        <stp/>
        <stp>Market</stp>
        <stp>STOCK</stp>
        <stp>66130.T</stp>
        <stp>出来高</stp>
        <tr r="F137" s="2"/>
      </tp>
      <tp>
        <v>475800</v>
        <stp/>
        <stp>Market</stp>
        <stp>STOCK</stp>
        <stp>66220.T</stp>
        <stp>出来高</stp>
        <tr r="F212" s="2"/>
      </tp>
      <tp>
        <v>923800</v>
        <stp/>
        <stp>Market</stp>
        <stp>STOCK</stp>
        <stp>66740.T</stp>
        <stp>出来高</stp>
        <tr r="F260" s="2"/>
      </tp>
      <tp>
        <v>334200</v>
        <stp/>
        <stp>Market</stp>
        <stp>STOCK</stp>
        <stp>61350.T</stp>
        <stp>出来高</stp>
        <tr r="F219" s="2"/>
      </tp>
      <tp>
        <v>1268300</v>
        <stp/>
        <stp>Market</stp>
        <stp>STOCK</stp>
        <stp>61340.T</stp>
        <stp>出来高</stp>
        <tr r="F88" s="2"/>
      </tp>
      <tp>
        <v>891600</v>
        <stp/>
        <stp>Market</stp>
        <stp>STOCK</stp>
        <stp>61400.T</stp>
        <stp>出来高</stp>
        <tr r="F257" s="2"/>
      </tp>
      <tp>
        <v>1766400</v>
        <stp/>
        <stp>Market</stp>
        <stp>STOCK</stp>
        <stp>61460.T</stp>
        <stp>出来高</stp>
        <tr r="F193" s="2"/>
      </tp>
      <tp>
        <v>6553400</v>
        <stp/>
        <stp>Market</stp>
        <stp>STOCK</stp>
        <stp>61780.T</stp>
        <stp>出来高</stp>
        <tr r="F100" s="2"/>
      </tp>
      <tp>
        <v>3927800</v>
        <stp/>
        <stp>Market</stp>
        <stp>STOCK</stp>
        <stp>60850.T</stp>
        <stp>出来高</stp>
        <tr r="F133" s="2"/>
      </tp>
      <tp>
        <v>3748400</v>
        <stp/>
        <stp>Market</stp>
        <stp>STOCK</stp>
        <stp>60980.T</stp>
        <stp>出来高</stp>
        <tr r="F244" s="2"/>
      </tp>
      <tp>
        <v>118800</v>
        <stp/>
        <stp>Market</stp>
        <stp>STOCK</stp>
        <stp>60270.T</stp>
        <stp>出来高</stp>
        <tr r="F68" s="2"/>
      </tp>
      <tp>
        <v>1072100</v>
        <stp/>
        <stp>Market</stp>
        <stp>STOCK</stp>
        <stp>60550.T</stp>
        <stp>出来高</stp>
        <tr r="F220" s="2"/>
      </tp>
      <tp>
        <v>133200</v>
        <stp/>
        <stp>Market</stp>
        <stp>STOCK</stp>
        <stp>63870.T</stp>
        <stp>出来高</stp>
        <tr r="F143" s="2"/>
      </tp>
      <tp>
        <v>845400</v>
        <stp/>
        <stp>Market</stp>
        <stp>STOCK</stp>
        <stp>63050.T</stp>
        <stp>出来高</stp>
        <tr r="F199" s="2"/>
      </tp>
      <tp>
        <v>3780800</v>
        <stp/>
        <stp>Market</stp>
        <stp>STOCK</stp>
        <stp>63230.T</stp>
        <stp>出来高</stp>
        <tr r="F86" s="2"/>
      </tp>
      <tp>
        <v>2014400</v>
        <stp/>
        <stp>Market</stp>
        <stp>STOCK</stp>
        <stp>63240.T</stp>
        <stp>出来高</stp>
        <tr r="F206" s="2"/>
      </tp>
      <tp>
        <v>1170600</v>
        <stp/>
        <stp>Market</stp>
        <stp>STOCK</stp>
        <stp>63270.T</stp>
        <stp>出来高</stp>
        <tr r="F129" s="2"/>
      </tp>
      <tp>
        <v>313500</v>
        <stp/>
        <stp>Market</stp>
        <stp>STOCK</stp>
        <stp>63310.T</stp>
        <stp>出来高</stp>
        <tr r="F297" s="2"/>
      </tp>
      <tp>
        <v>2867300</v>
        <stp/>
        <stp>Market</stp>
        <stp>STOCK</stp>
        <stp>63300.T</stp>
        <stp>出来高</stp>
        <tr r="F124" s="2"/>
      </tp>
      <tp>
        <v>360300</v>
        <stp/>
        <stp>Market</stp>
        <stp>STOCK</stp>
        <stp>63560.T</stp>
        <stp>出来高</stp>
        <tr r="F263" s="2"/>
      </tp>
      <tp>
        <v>4306500</v>
        <stp/>
        <stp>Market</stp>
        <stp>STOCK</stp>
        <stp>63610.T</stp>
        <stp>出来高</stp>
        <tr r="F245" s="2"/>
      </tp>
      <tp>
        <v>4687200</v>
        <stp/>
        <stp>Market</stp>
        <stp>STOCK</stp>
        <stp>63660.T</stp>
        <stp>出来高</stp>
        <tr r="F256" s="2"/>
      </tp>
      <tp>
        <v>712200</v>
        <stp/>
        <stp>Market</stp>
        <stp>STOCK</stp>
        <stp>63700.T</stp>
        <stp>出来高</stp>
        <tr r="F251" s="2"/>
      </tp>
      <tp>
        <v>783300</v>
        <stp/>
        <stp>Market</stp>
        <stp>STOCK</stp>
        <stp>63760.T</stp>
        <stp>出来高</stp>
        <tr r="F265" s="2"/>
      </tp>
      <tp>
        <v>537000</v>
        <stp/>
        <stp>Market</stp>
        <stp>STOCK</stp>
        <stp>62030.T</stp>
        <stp>出来高</stp>
        <tr r="F53" s="2"/>
      </tp>
      <tp>
        <v>1843000</v>
        <stp/>
        <stp>Market</stp>
        <stp>STOCK</stp>
        <stp>62270.T</stp>
        <stp>出来高</stp>
        <tr r="F128" s="2"/>
      </tp>
      <tp>
        <v>673100</v>
        <stp/>
        <stp>Market</stp>
        <stp>STOCK</stp>
        <stp>62320.T</stp>
        <stp>出来高</stp>
        <tr r="F131" s="2"/>
      </tp>
      <tp>
        <v>1288100</v>
        <stp/>
        <stp>Market</stp>
        <stp>STOCK</stp>
        <stp>62540.T</stp>
        <stp>出来高</stp>
        <tr r="F26" s="2"/>
      </tp>
      <tp>
        <v>427200</v>
        <stp/>
        <stp>Market</stp>
        <stp>STOCK</stp>
        <stp>62730.T</stp>
        <stp>出来高</stp>
        <tr r="F207" s="2"/>
      </tp>
      <tp>
        <v>278600</v>
        <stp/>
        <stp>Market</stp>
        <stp>STOCK</stp>
        <stp>59010.T</stp>
        <stp>出来高</stp>
        <tr r="F51" s="2"/>
      </tp>
      <tp>
        <v>725700</v>
        <stp/>
        <stp>Market</stp>
        <stp>STOCK</stp>
        <stp>59290.T</stp>
        <stp>出来高</stp>
        <tr r="F45" s="2"/>
      </tp>
      <tp>
        <v>1601600</v>
        <stp/>
        <stp>Market</stp>
        <stp>STOCK</stp>
        <stp>59380.T</stp>
        <stp>出来高</stp>
        <tr r="F32" s="2"/>
      </tp>
      <tp>
        <v>350000</v>
        <stp/>
        <stp>Market</stp>
        <stp>STOCK</stp>
        <stp>59470.T</stp>
        <stp>出来高</stp>
        <tr r="F38" s="2"/>
      </tp>
      <tp>
        <v>106400</v>
        <stp/>
        <stp>Market</stp>
        <stp>STOCK</stp>
        <stp>58920.T</stp>
        <stp>出来高</stp>
        <tr r="F85" s="2"/>
      </tp>
      <tp>
        <v>23584700</v>
        <stp/>
        <stp>Market</stp>
        <stp>STOCK</stp>
        <stp>58010.T</stp>
        <stp>出来高</stp>
        <tr r="F196" s="2"/>
      </tp>
      <tp>
        <v>47075400</v>
        <stp/>
        <stp>Market</stp>
        <stp>STOCK</stp>
        <stp>58030.T</stp>
        <stp>出来高</stp>
        <tr r="F99" s="2"/>
      </tp>
      <tp>
        <v>23416500</v>
        <stp/>
        <stp>Market</stp>
        <stp>STOCK</stp>
        <stp>58020.T</stp>
        <stp>出来高</stp>
        <tr r="F98" s="2"/>
      </tp>
      <tp>
        <v>1095800</v>
        <stp/>
        <stp>Market</stp>
        <stp>STOCK</stp>
        <stp>58380.T</stp>
        <stp>出来高</stp>
        <tr r="F113" s="2"/>
      </tp>
      <tp>
        <v>1299400</v>
        <stp/>
        <stp>Market</stp>
        <stp>STOCK</stp>
        <stp>58440.T</stp>
        <stp>出来高</stp>
        <tr r="F114" s="2"/>
      </tp>
      <tp>
        <v>955100</v>
        <stp/>
        <stp>Market</stp>
        <stp>STOCK</stp>
        <stp>58570.T</stp>
        <stp>出来高</stp>
        <tr r="F58" s="2"/>
      </tp>
      <tp>
        <v>231900</v>
        <stp/>
        <stp>Market</stp>
        <stp>STOCK</stp>
        <stp>55410.T</stp>
        <stp>出来高</stp>
        <tr r="F16" s="2"/>
      </tp>
      <tp>
        <v>42824000</v>
        <stp/>
        <stp>Market</stp>
        <stp>STOCK</stp>
        <stp>54010.T</stp>
        <stp>出来高</stp>
        <tr r="F42" s="2"/>
      </tp>
      <tp>
        <v>2209000</v>
        <stp/>
        <stp>Market</stp>
        <stp>STOCK</stp>
        <stp>54060.T</stp>
        <stp>出来高</stp>
        <tr r="F34" s="2"/>
      </tp>
      <tp>
        <v>5284100</v>
        <stp/>
        <stp>Market</stp>
        <stp>STOCK</stp>
        <stp>54110.T</stp>
        <stp>出来高</stp>
        <tr r="F80" s="2"/>
      </tp>
      <tp>
        <v>98300</v>
        <stp/>
        <stp>Market</stp>
        <stp>STOCK</stp>
        <stp>54100.T</stp>
        <stp>出来高</stp>
        <tr r="F175" s="2"/>
      </tp>
      <tp>
        <v>1407800</v>
        <stp/>
        <stp>Market</stp>
        <stp>STOCK</stp>
        <stp>54230.T</stp>
        <stp>出来高</stp>
        <tr r="F3" s="2"/>
      </tp>
      <tp>
        <v>19100</v>
        <stp/>
        <stp>Market</stp>
        <stp>STOCK</stp>
        <stp>54490.T</stp>
        <stp>出来高</stp>
        <tr r="F47" s="2"/>
      </tp>
      <tp>
        <v>112300</v>
        <stp/>
        <stp>Market</stp>
        <stp>STOCK</stp>
        <stp>54400.T</stp>
        <stp>出来高</stp>
        <tr r="F176" s="2"/>
      </tp>
      <tp>
        <v>373000</v>
        <stp/>
        <stp>Market</stp>
        <stp>STOCK</stp>
        <stp>57030.T</stp>
        <stp>出来高</stp>
        <tr r="F9" s="2"/>
      </tp>
      <tp>
        <v>474800</v>
        <stp/>
        <stp>Market</stp>
        <stp>STOCK</stp>
        <stp>57020.T</stp>
        <stp>出来高</stp>
        <tr r="F271" s="2"/>
      </tp>
      <tp>
        <v>1534300</v>
        <stp/>
        <stp>Market</stp>
        <stp>STOCK</stp>
        <stp>57060.T</stp>
        <stp>出来高</stp>
        <tr r="F2" s="2"/>
      </tp>
      <tp>
        <v>1757500</v>
        <stp/>
        <stp>Market</stp>
        <stp>STOCK</stp>
        <stp>57110.T</stp>
        <stp>出来高</stp>
        <tr r="F5" s="2"/>
      </tp>
      <tp>
        <v>4694300</v>
        <stp/>
        <stp>Market</stp>
        <stp>STOCK</stp>
        <stp>57130.T</stp>
        <stp>出来高</stp>
        <tr r="F4" s="2"/>
      </tp>
      <tp>
        <v>540300</v>
        <stp/>
        <stp>Market</stp>
        <stp>STOCK</stp>
        <stp>57140.T</stp>
        <stp>出来高</stp>
        <tr r="F6" s="2"/>
      </tp>
      <tp>
        <v>1305400</v>
        <stp/>
        <stp>Market</stp>
        <stp>STOCK</stp>
        <stp>56310.T</stp>
        <stp>出来高</stp>
        <tr r="F259" s="2"/>
      </tp>
      <tp>
        <v>98300</v>
        <stp/>
        <stp>Market</stp>
        <stp>STOCK</stp>
        <stp>56320.T</stp>
        <stp>出来高</stp>
        <tr r="F243" s="2"/>
      </tp>
      <tp>
        <v>3461200</v>
        <stp/>
        <stp>Market</stp>
        <stp>STOCK</stp>
        <stp>50190.T</stp>
        <stp>出来高</stp>
        <tr r="F20" s="2"/>
      </tp>
      <tp>
        <v>989600</v>
        <stp/>
        <stp>Market</stp>
        <stp>STOCK</stp>
        <stp>50210.T</stp>
        <stp>出来高</stp>
        <tr r="F11" s="2"/>
      </tp>
      <tp>
        <v>8254100</v>
        <stp/>
        <stp>Market</stp>
        <stp>STOCK</stp>
        <stp>50200.T</stp>
        <stp>出来高</stp>
        <tr r="F25" s="2"/>
      </tp>
      <tp>
        <v>2453700</v>
        <stp/>
        <stp>Market</stp>
        <stp>STOCK</stp>
        <stp>53330.T</stp>
        <stp>出来高</stp>
        <tr r="F13" s="2"/>
      </tp>
      <tp>
        <v>1479300</v>
        <stp/>
        <stp>Market</stp>
        <stp>STOCK</stp>
        <stp>53320.T</stp>
        <stp>出来高</stp>
        <tr r="F17" s="2"/>
      </tp>
      <tp>
        <v>1310900</v>
        <stp/>
        <stp>Market</stp>
        <stp>STOCK</stp>
        <stp>52010.T</stp>
        <stp>出来高</stp>
        <tr r="F49" s="2"/>
      </tp>
      <tp>
        <v>646000</v>
        <stp/>
        <stp>Market</stp>
        <stp>STOCK</stp>
        <stp>52330.T</stp>
        <stp>出来高</stp>
        <tr r="F30" s="2"/>
      </tp>
      <tp>
        <v>672300</v>
        <stp/>
        <stp>Market</stp>
        <stp>STOCK</stp>
        <stp>52430.T</stp>
        <stp>出来高</stp>
        <tr r="F189" s="2"/>
      </tp>
      <tp>
        <v>1180600</v>
        <stp/>
        <stp>Market</stp>
        <stp>STOCK</stp>
        <stp>52530.T</stp>
        <stp>出来高</stp>
        <tr r="F254" s="2"/>
      </tp>
      <tp>
        <v>2530900</v>
        <stp/>
        <stp>Market</stp>
        <stp>STOCK</stp>
        <stp>49800.T</stp>
        <stp>出来高</stp>
        <tr r="F65" s="2"/>
      </tp>
      <tp>
        <v>113100</v>
        <stp/>
        <stp>Market</stp>
        <stp>STOCK</stp>
        <stp>49660.T</stp>
        <stp>出来高</stp>
        <tr r="F192" s="2"/>
      </tp>
      <tp>
        <v>566600</v>
        <stp/>
        <stp>Market</stp>
        <stp>STOCK</stp>
        <stp>48880.T</stp>
        <stp>出来高</stp>
        <tr r="F142" s="2"/>
      </tp>
      <tp>
        <v>523600</v>
        <stp/>
        <stp>Market</stp>
        <stp>STOCK</stp>
        <stp>48870.T</stp>
        <stp>出来高</stp>
        <tr r="F188" s="2"/>
      </tp>
      <tp>
        <v>6510900</v>
        <stp/>
        <stp>Market</stp>
        <stp>STOCK</stp>
        <stp>485A0.T</stp>
        <stp>出来高</stp>
        <tr r="F217" s="2"/>
      </tp>
      <tp>
        <v>5074900</v>
        <stp/>
        <stp>Market</stp>
        <stp>STOCK</stp>
        <stp>45020.T</stp>
        <stp>出来高</stp>
        <tr r="F208" s="2"/>
      </tp>
      <tp>
        <v>2964200</v>
        <stp/>
        <stp>Market</stp>
        <stp>STOCK</stp>
        <stp>45190.T</stp>
        <stp>出来高</stp>
        <tr r="F126" s="2"/>
      </tp>
      <tp>
        <v>2057200</v>
        <stp/>
        <stp>Market</stp>
        <stp>STOCK</stp>
        <stp>45280.T</stp>
        <stp>出来高</stp>
        <tr r="F96" s="2"/>
      </tp>
      <tp>
        <v>1934700</v>
        <stp/>
        <stp>Market</stp>
        <stp>STOCK</stp>
        <stp>45230.T</stp>
        <stp>出来高</stp>
        <tr r="F95" s="2"/>
      </tp>
      <tp>
        <v>1340700</v>
        <stp/>
        <stp>Market</stp>
        <stp>STOCK</stp>
        <stp>45360.T</stp>
        <stp>出来高</stp>
        <tr r="F63" s="2"/>
      </tp>
      <tp>
        <v>342800</v>
        <stp/>
        <stp>Market</stp>
        <stp>STOCK</stp>
        <stp>45400.T</stp>
        <stp>出来高</stp>
        <tr r="F60" s="2"/>
      </tp>
      <tp>
        <v>167900</v>
        <stp/>
        <stp>Market</stp>
        <stp>STOCK</stp>
        <stp>45440.T</stp>
        <stp>出来高</stp>
        <tr r="F269" s="2"/>
      </tp>
      <tp>
        <v>7631200</v>
        <stp/>
        <stp>Market</stp>
        <stp>STOCK</stp>
        <stp>45680.T</stp>
        <stp>出来高</stp>
        <tr r="F138" s="2"/>
      </tp>
      <tp>
        <v>117500</v>
        <stp/>
        <stp>Market</stp>
        <stp>STOCK</stp>
        <stp>44170.T</stp>
        <stp>出来高</stp>
        <tr r="F149" s="2"/>
      </tp>
      <tp>
        <v>105900</v>
        <stp/>
        <stp>Market</stp>
        <stp>STOCK</stp>
        <stp>44220.T</stp>
        <stp>出来高</stp>
        <tr r="F135" s="2"/>
      </tp>
      <tp>
        <v>54000</v>
        <stp/>
        <stp>Market</stp>
        <stp>STOCK</stp>
        <stp>47090.T</stp>
        <stp>出来高</stp>
        <tr r="F166" s="2"/>
      </tp>
      <tp>
        <v>2450000</v>
        <stp/>
        <stp>Market</stp>
        <stp>STOCK</stp>
        <stp>47040.T</stp>
        <stp>出来高</stp>
        <tr r="F250" s="2"/>
      </tp>
      <tp>
        <v>160500</v>
        <stp/>
        <stp>Market</stp>
        <stp>STOCK</stp>
        <stp>47330.T</stp>
        <stp>出来高</stp>
        <tr r="F161" s="2"/>
      </tp>
      <tp>
        <v>211700</v>
        <stp/>
        <stp>Market</stp>
        <stp>STOCK</stp>
        <stp>47760.T</stp>
        <stp>出来高</stp>
        <tr r="F249" s="2"/>
      </tp>
      <tp>
        <v>2776400</v>
        <stp/>
        <stp>Market</stp>
        <stp>STOCK</stp>
        <stp>464A0.T</stp>
        <stp>出来高</stp>
        <tr r="F216" s="2"/>
      </tp>
      <tp>
        <v>6591600</v>
        <stp/>
        <stp>Market</stp>
        <stp>STOCK</stp>
        <stp>46610.T</stp>
        <stp>出来高</stp>
        <tr r="F97" s="2"/>
      </tp>
      <tp>
        <v>721100</v>
        <stp/>
        <stp>Market</stp>
        <stp>STOCK</stp>
        <stp>46760.T</stp>
        <stp>出来高</stp>
        <tr r="F54" s="2"/>
      </tp>
      <tp>
        <v>6704900</v>
        <stp/>
        <stp>Market</stp>
        <stp>STOCK</stp>
        <stp>41880.T</stp>
        <stp>出来高</stp>
        <tr r="F94" s="2"/>
      </tp>
      <tp>
        <v>1216800</v>
        <stp/>
        <stp>Market</stp>
        <stp>STOCK</stp>
        <stp>41820.T</stp>
        <stp>出来高</stp>
        <tr r="F93" s="2"/>
      </tp>
      <tp>
        <v>896400</v>
        <stp/>
        <stp>Market</stp>
        <stp>STOCK</stp>
        <stp>40880.T</stp>
        <stp>出来高</stp>
        <tr r="F152" s="2"/>
      </tp>
      <tp>
        <v>381600</v>
        <stp/>
        <stp>Market</stp>
        <stp>STOCK</stp>
        <stp>40820.T</stp>
        <stp>出来高</stp>
        <tr r="F125" s="2"/>
      </tp>
      <tp>
        <v>518700</v>
        <stp/>
        <stp>Market</stp>
        <stp>STOCK</stp>
        <stp>40910.T</stp>
        <stp>出来高</stp>
        <tr r="F153" s="2"/>
      </tp>
      <tp>
        <v>227200</v>
        <stp/>
        <stp>Market</stp>
        <stp>STOCK</stp>
        <stp>40080.T</stp>
        <stp>出来高</stp>
        <tr r="F91" s="2"/>
      </tp>
      <tp>
        <v>3120500</v>
        <stp/>
        <stp>Market</stp>
        <stp>STOCK</stp>
        <stp>40040.T</stp>
        <stp>出来高</stp>
        <tr r="F209" s="2"/>
      </tp>
      <tp>
        <v>234500</v>
        <stp/>
        <stp>Market</stp>
        <stp>STOCK</stp>
        <stp>40450.T</stp>
        <stp>出来高</stp>
        <tr r="F57" s="2"/>
      </tp>
      <tp>
        <v>989300</v>
        <stp/>
        <stp>Market</stp>
        <stp>STOCK</stp>
        <stp>40470.T</stp>
        <stp>出来高</stp>
        <tr r="F285" s="2"/>
      </tp>
      <tp>
        <v>7502200</v>
        <stp/>
        <stp>Market</stp>
        <stp>STOCK</stp>
        <stp>40630.T</stp>
        <stp>出来高</stp>
        <tr r="F62" s="2"/>
      </tp>
      <tp>
        <v>12103300</v>
        <stp/>
        <stp>Market</stp>
        <stp>STOCK</stp>
        <stp>40620.T</stp>
        <stp>出来高</stp>
        <tr r="F92" s="2"/>
      </tp>
      <tp>
        <v>68700</v>
        <stp/>
        <stp>Market</stp>
        <stp>STOCK</stp>
        <stp>43820.T</stp>
        <stp>出来高</stp>
        <tr r="F169" s="2"/>
      </tp>
      <tp>
        <v>1624400</v>
        <stp/>
        <stp>Market</stp>
        <stp>STOCK</stp>
        <stp>43920.T</stp>
        <stp>出来高</stp>
        <tr r="F231" s="2"/>
      </tp>
      <tp>
        <v>3134600</v>
        <stp/>
        <stp>Market</stp>
        <stp>STOCK</stp>
        <stp>43070.T</stp>
        <stp>出来高</stp>
        <tr r="F146" s="2"/>
      </tp>
      <tp>
        <v>1410100</v>
        <stp/>
        <stp>Market</stp>
        <stp>STOCK</stp>
        <stp>43730.T</stp>
        <stp>出来高</stp>
        <tr r="F156" s="2"/>
      </tp>
      <tp>
        <v>1039100</v>
        <stp/>
        <stp>Market</stp>
        <stp>STOCK</stp>
        <stp>42080.T</stp>
        <stp>出来高</stp>
        <tr r="F294" s="2"/>
      </tp>
      <tp>
        <v>18100</v>
        <stp/>
        <stp>Market</stp>
        <stp>STOCK</stp>
        <stp>42180.T</stp>
        <stp>出来高</stp>
        <tr r="F278" s="2"/>
      </tp>
      <tp>
        <v>383500</v>
        <stp/>
        <stp>Market</stp>
        <stp>STOCK</stp>
        <stp>42220.T</stp>
        <stp>出来高</stp>
        <tr r="F225" s="2"/>
      </tp>
      <tp t="s">
        <v>ＮＯＴＥ</v>
        <stp/>
        <stp>Market</stp>
        <stp>STOCK</stp>
        <stp>52430.T</stp>
        <stp>銘柄名称</stp>
        <tr r="B189" s="2"/>
      </tp>
      <tp t="s">
        <v>野村マイクロ・サイエンス</v>
        <stp/>
        <stp>Market</stp>
        <stp>STOCK</stp>
        <stp>62540.T</stp>
        <stp>銘柄名称</stp>
        <tr r="B26" s="2"/>
      </tp>
      <tp t="s">
        <v>カバー</v>
        <stp/>
        <stp>Market</stp>
        <stp>STOCK</stp>
        <stp>52530.T</stp>
        <stp>銘柄名称</stp>
        <tr r="B254" s="2"/>
      </tp>
      <tp t="s">
        <v>ヤクルト</v>
        <stp/>
        <stp>Market</stp>
        <stp>STOCK</stp>
        <stp>22670.T</stp>
        <stp>銘柄名称</stp>
        <tr r="B222" s="2"/>
      </tp>
      <tp t="s">
        <v>ＳＵＢＡＲＵ</v>
        <stp/>
        <stp>Market</stp>
        <stp>STOCK</stp>
        <stp>72700.T</stp>
        <stp>銘柄名称</stp>
        <tr r="B282" s="2"/>
      </tp>
      <tp t="s">
        <v>ＳＭＣ</v>
        <stp/>
        <stp>Market</stp>
        <stp>STOCK</stp>
        <stp>62730.T</stp>
        <stp>銘柄名称</stp>
        <tr r="B207" s="2"/>
      </tp>
    </main>
    <main first="rtdsrv.aa62150a635042219654be00b1467f2f">
      <tp t="s">
        <v>ＵＢＥ</v>
        <stp/>
        <stp>Market</stp>
        <stp>STOCK</stp>
        <stp>42080.T</stp>
        <stp>銘柄名称</stp>
        <tr r="B294" s="2"/>
      </tp>
      <tp t="s">
        <v>ＡＧＣ</v>
        <stp/>
        <stp>Market</stp>
        <stp>STOCK</stp>
        <stp>52010.T</stp>
        <stp>銘柄名称</stp>
        <tr r="B49" s="2"/>
      </tp>
      <tp t="s">
        <v>トヨタ自動車</v>
        <stp/>
        <stp>Market</stp>
        <stp>STOCK</stp>
        <stp>72030.T</stp>
        <stp>銘柄名称</stp>
        <tr r="B73" s="2"/>
      </tp>
      <tp t="s">
        <v>豊和工業</v>
        <stp/>
        <stp>Market</stp>
        <stp>STOCK</stp>
        <stp>62030.T</stp>
        <stp>銘柄名称</stp>
        <tr r="B53" s="2"/>
      </tp>
      <tp t="s">
        <v>ＡＮＡホールディングス</v>
        <stp/>
        <stp>Market</stp>
        <stp>STOCK</stp>
        <stp>92020.T</stp>
        <stp>銘柄名称</stp>
        <tr r="B70" s="2"/>
      </tp>
    </main>
    <main first="rtdsrv.aa62150a635042219654be00b1467f2f">
      <tp t="s">
        <v>ニチバン</v>
        <stp/>
        <stp>Market</stp>
        <stp>STOCK</stp>
        <stp>42180.T</stp>
        <stp>銘柄名称</stp>
        <tr r="B278" s="2"/>
      </tp>
    </main>
    <main first="rtdsrv.aa62150a635042219654be00b1467f2f">
      <tp t="s">
        <v>マイクロ波化学</v>
        <stp/>
        <stp>Market</stp>
        <stp>STOCK</stp>
        <stp>92270.T</stp>
        <stp>銘柄名称</stp>
        <tr r="B107" s="2"/>
      </tp>
      <tp t="s">
        <v>ＡＩメカテック</v>
        <stp/>
        <stp>Market</stp>
        <stp>STOCK</stp>
        <stp>62270.T</stp>
        <stp>銘柄名称</stp>
        <tr r="B128" s="2"/>
      </tp>
      <tp t="s">
        <v>児玉化学</v>
        <stp/>
        <stp>Market</stp>
        <stp>STOCK</stp>
        <stp>42220.T</stp>
        <stp>銘柄名称</stp>
        <tr r="B225" s="2"/>
      </tp>
      <tp t="s">
        <v>ティラド</v>
        <stp/>
        <stp>Market</stp>
        <stp>STOCK</stp>
        <stp>72360.T</stp>
        <stp>銘柄名称</stp>
        <tr r="B173" s="2"/>
      </tp>
      <tp t="s">
        <v>太平洋セメント</v>
        <stp/>
        <stp>Market</stp>
        <stp>STOCK</stp>
        <stp>52330.T</stp>
        <stp>銘柄名称</stp>
        <tr r="B30" s="2"/>
      </tp>
      <tp t="s">
        <v>ＡＣＳＬ</v>
        <stp/>
        <stp>Market</stp>
        <stp>STOCK</stp>
        <stp>62320.T</stp>
        <stp>銘柄名称</stp>
        <tr r="B131" s="2"/>
      </tp>
    </main>
    <main first="rtdsrv.aa62150a635042219654be00b1467f2f">
      <tp t="s">
        <v>ゼビオホールディングス</v>
        <stp/>
        <stp>Market</stp>
        <stp>STOCK</stp>
        <stp>82810.T</stp>
        <stp>銘柄名称</stp>
        <tr r="B59" s="2"/>
      </tp>
    </main>
    <main first="rtdsrv.aa62150a635042219654be00b1467f2f">
      <tp t="s">
        <v>ｉｓｐａｃｅ</v>
        <stp/>
        <stp>Market</stp>
        <stp>STOCK</stp>
        <stp>93480.T</stp>
        <stp>銘柄名称</stp>
        <tr r="B108" s="2"/>
      </tp>
      <tp t="s">
        <v>山形銀行</v>
        <stp/>
        <stp>Market</stp>
        <stp>STOCK</stp>
        <stp>83440.T</stp>
        <stp>銘柄名称</stp>
        <tr r="B289" s="2"/>
      </tp>
      <tp t="s">
        <v>八十二長野銀行</v>
        <stp/>
        <stp>Market</stp>
        <stp>STOCK</stp>
        <stp>83590.T</stp>
        <stp>銘柄名称</stp>
        <tr r="B119" s="2"/>
      </tp>
      <tp t="s">
        <v>コア</v>
        <stp/>
        <stp>Market</stp>
        <stp>STOCK</stp>
        <stp>23590.T</stp>
        <stp>銘柄名称</stp>
        <tr r="B164" s="2"/>
      </tp>
      <tp t="s">
        <v>日本ギア工業</v>
        <stp/>
        <stp>Market</stp>
        <stp>STOCK</stp>
        <stp>63560.T</stp>
        <stp>銘柄名称</stp>
        <tr r="B263" s="2"/>
      </tp>
      <tp t="s">
        <v>千代田化工建</v>
        <stp/>
        <stp>Market</stp>
        <stp>STOCK</stp>
        <stp>63660.T</stp>
        <stp>銘柄名称</stp>
        <tr r="B256" s="2"/>
      </tp>
      <tp t="s">
        <v>荏原製作所</v>
        <stp/>
        <stp>Market</stp>
        <stp>STOCK</stp>
        <stp>63610.T</stp>
        <stp>銘柄名称</stp>
        <tr r="B245" s="2"/>
      </tp>
      <tp t="s">
        <v>リファインバースグループ</v>
        <stp/>
        <stp>Market</stp>
        <stp>STOCK</stp>
        <stp>73750.T</stp>
        <stp>銘柄名称</stp>
        <tr r="B145" s="2"/>
      </tp>
      <tp t="s">
        <v>日機装</v>
        <stp/>
        <stp>Market</stp>
        <stp>STOCK</stp>
        <stp>63760.T</stp>
        <stp>銘柄名称</stp>
        <tr r="B265" s="2"/>
      </tp>
      <tp t="s">
        <v>栗田工業</v>
        <stp/>
        <stp>Market</stp>
        <stp>STOCK</stp>
        <stp>63700.T</stp>
        <stp>銘柄名称</stp>
        <tr r="B251" s="2"/>
      </tp>
      <tp t="s">
        <v>シンプレクスＨＤ</v>
        <stp/>
        <stp>Market</stp>
        <stp>STOCK</stp>
        <stp>43730.T</stp>
        <stp>銘柄名称</stp>
        <tr r="B156" s="2"/>
      </tp>
      <tp t="s">
        <v>三井住友トラストグルー</v>
        <stp/>
        <stp>Market</stp>
        <stp>STOCK</stp>
        <stp>83090.T</stp>
        <stp>銘柄名称</stp>
        <tr r="B27" s="2"/>
      </tp>
      <tp t="s">
        <v>りそなホールディングス</v>
        <stp/>
        <stp>Market</stp>
        <stp>STOCK</stp>
        <stp>83080.T</stp>
        <stp>銘柄名称</stp>
        <tr r="B31" s="2"/>
      </tp>
      <tp t="s">
        <v>日立建機</v>
        <stp/>
        <stp>Market</stp>
        <stp>STOCK</stp>
        <stp>63050.T</stp>
        <stp>銘柄名称</stp>
        <tr r="B199" s="2"/>
      </tp>
      <tp t="s">
        <v>野村総合研究所</v>
        <stp/>
        <stp>Market</stp>
        <stp>STOCK</stp>
        <stp>43070.T</stp>
        <stp>銘柄名称</stp>
        <tr r="B146" s="2"/>
      </tp>
      <tp t="s">
        <v>三菱ＵＦＪフィナンシャルＧ</v>
        <stp/>
        <stp>Market</stp>
        <stp>STOCK</stp>
        <stp>83060.T</stp>
        <stp>銘柄名称</stp>
        <tr r="B41" s="2"/>
      </tp>
      <tp t="s">
        <v>ＳＢＩ新生銀行</v>
        <stp/>
        <stp>Market</stp>
        <stp>STOCK</stp>
        <stp>83030.T</stp>
        <stp>銘柄名称</stp>
        <tr r="B168" s="2"/>
      </tp>
    </main>
    <main first="rtdsrv.aa62150a635042219654be00b1467f2f">
      <tp t="s">
        <v>三井住友フィナンシャルＧ</v>
        <stp/>
        <stp>Market</stp>
        <stp>STOCK</stp>
        <stp>83160.T</stp>
        <stp>銘柄名称</stp>
        <tr r="B46" s="2"/>
      </tp>
    </main>
    <main first="rtdsrv.aa62150a635042219654be00b1467f2f">
      <tp t="s">
        <v>ハーモニック・ドライブ・シス</v>
        <stp/>
        <stp>Market</stp>
        <stp>STOCK</stp>
        <stp>63240.T</stp>
        <stp>銘柄名称</stp>
        <tr r="B206" s="2"/>
      </tp>
      <tp t="s">
        <v>日鉄ソリューションズ</v>
        <stp/>
        <stp>Market</stp>
        <stp>STOCK</stp>
        <stp>23270.T</stp>
        <stp>銘柄名称</stp>
        <tr r="B170" s="2"/>
      </tp>
      <tp t="s">
        <v>北川精機</v>
        <stp/>
        <stp>Market</stp>
        <stp>STOCK</stp>
        <stp>63270.T</stp>
        <stp>銘柄名称</stp>
        <tr r="B129" s="2"/>
      </tp>
      <tp t="s">
        <v>デジタルアーツ</v>
        <stp/>
        <stp>Market</stp>
        <stp>STOCK</stp>
        <stp>23260.T</stp>
        <stp>銘柄名称</stp>
        <tr r="B233" s="2"/>
      </tp>
      <tp t="s">
        <v>ＮＦ日経２２５</v>
        <stp/>
        <stp>Market</stp>
        <stp>STOCK</stp>
        <stp>13210.T</stp>
        <stp>銘柄名称</stp>
        <tr r="B299" s="2"/>
      </tp>
      <tp t="s">
        <v>ローツェ</v>
        <stp/>
        <stp>Market</stp>
        <stp>STOCK</stp>
        <stp>63230.T</stp>
        <stp>銘柄名称</stp>
        <tr r="B86" s="2"/>
      </tp>
      <tp t="s">
        <v>群馬銀行</v>
        <stp/>
        <stp>Market</stp>
        <stp>STOCK</stp>
        <stp>83340.T</stp>
        <stp>銘柄名称</stp>
        <tr r="B118" s="2"/>
      </tp>
      <tp t="s">
        <v>三菱化工機</v>
        <stp/>
        <stp>Market</stp>
        <stp>STOCK</stp>
        <stp>63310.T</stp>
        <stp>銘柄名称</stp>
        <tr r="B297" s="2"/>
      </tp>
      <tp t="s">
        <v>東洋エンジニア</v>
        <stp/>
        <stp>Market</stp>
        <stp>STOCK</stp>
        <stp>63300.T</stp>
        <stp>銘柄名称</stp>
        <tr r="B124" s="2"/>
      </tp>
      <tp t="s">
        <v>ＮＧＫ</v>
        <stp/>
        <stp>Market</stp>
        <stp>STOCK</stp>
        <stp>53330.T</stp>
        <stp>銘柄名称</stp>
        <tr r="B13" s="2"/>
      </tp>
      <tp t="s">
        <v>ＴＯＴＯ</v>
        <stp/>
        <stp>Market</stp>
        <stp>STOCK</stp>
        <stp>53320.T</stp>
        <stp>銘柄名称</stp>
        <tr r="B17" s="2"/>
      </tp>
    </main>
    <main first="rtdsrv.aa62150a635042219654be00b1467f2f">
      <tp t="s">
        <v>サムコ</v>
        <stp/>
        <stp>Market</stp>
        <stp>STOCK</stp>
        <stp>63870.T</stp>
        <stp>銘柄名称</stp>
        <tr r="B143" s="2"/>
      </tp>
      <tp t="s">
        <v>ＣＣＩグループ</v>
        <stp/>
        <stp>Market</stp>
        <stp>STOCK</stp>
        <stp>73810.T</stp>
        <stp>銘柄名称</stp>
        <tr r="B148" s="2"/>
      </tp>
      <tp t="s">
        <v>ＨＥＲＯＺ</v>
        <stp/>
        <stp>Market</stp>
        <stp>STOCK</stp>
        <stp>43820.T</stp>
        <stp>銘柄名称</stp>
        <tr r="B169" s="2"/>
      </tp>
    </main>
    <main first="rtdsrv.aa62150a635042219654be00b1467f2f">
      <tp t="s">
        <v>トリドールホールディングス</v>
        <stp/>
        <stp>Market</stp>
        <stp>STOCK</stp>
        <stp>33970.T</stp>
        <stp>銘柄名称</stp>
        <tr r="B281" s="2"/>
      </tp>
      <tp t="s">
        <v>ＦＩＧ</v>
        <stp/>
        <stp>Market</stp>
        <stp>STOCK</stp>
        <stp>43920.T</stp>
        <stp>銘柄名称</stp>
        <tr r="B231" s="2"/>
      </tp>
    </main>
    <main first="rtdsrv.aa62150a635042219654be00b1467f2f">
      <tp t="s">
        <v>ベルトラ</v>
        <stp/>
        <stp>Market</stp>
        <stp>STOCK</stp>
        <stp>70480.T</stp>
        <stp>銘柄名称</stp>
        <tr r="B292" s="2"/>
      </tp>
      <tp t="s">
        <v>東亞合成</v>
        <stp/>
        <stp>Market</stp>
        <stp>STOCK</stp>
        <stp>40450.T</stp>
        <stp>銘柄名称</stp>
        <tr r="B57" s="2"/>
      </tp>
      <tp t="s">
        <v>関東電化</v>
        <stp/>
        <stp>Market</stp>
        <stp>STOCK</stp>
        <stp>40470.T</stp>
        <stp>銘柄名称</stp>
        <tr r="B285" s="2"/>
      </tp>
      <tp t="s">
        <v>三菱商事</v>
        <stp/>
        <stp>Market</stp>
        <stp>STOCK</stp>
        <stp>80580.T</stp>
        <stp>銘柄名称</stp>
        <tr r="B12" s="2"/>
      </tp>
      <tp t="s">
        <v>ジャパンマテリアル</v>
        <stp/>
        <stp>Market</stp>
        <stp>STOCK</stp>
        <stp>60550.T</stp>
        <stp>銘柄名称</stp>
        <tr r="B220" s="2"/>
      </tp>
      <tp t="s">
        <v>住友商事</v>
        <stp/>
        <stp>Market</stp>
        <stp>STOCK</stp>
        <stp>80530.T</stp>
        <stp>銘柄名称</stp>
        <tr r="B21" s="2"/>
      </tp>
      <tp t="s">
        <v>センコーグループＨＬＤＧＳ</v>
        <stp/>
        <stp>Market</stp>
        <stp>STOCK</stp>
        <stp>90690.T</stp>
        <stp>銘柄名称</stp>
        <tr r="B106" s="2"/>
      </tp>
      <tp t="s">
        <v>ヤマトホールディングス</v>
        <stp/>
        <stp>Market</stp>
        <stp>STOCK</stp>
        <stp>90640.T</stp>
        <stp>銘柄名称</stp>
        <tr r="B185" s="2"/>
      </tp>
      <tp t="s">
        <v>信越化学</v>
        <stp/>
        <stp>Market</stp>
        <stp>STOCK</stp>
        <stp>40630.T</stp>
        <stp>銘柄名称</stp>
        <tr r="B62" s="2"/>
      </tp>
      <tp t="s">
        <v>イビデン</v>
        <stp/>
        <stp>Market</stp>
        <stp>STOCK</stp>
        <stp>40620.T</stp>
        <stp>銘柄名称</stp>
        <tr r="B92" s="2"/>
      </tp>
      <tp t="s">
        <v>住友精化</v>
        <stp/>
        <stp>Market</stp>
        <stp>STOCK</stp>
        <stp>40080.T</stp>
        <stp>銘柄名称</stp>
        <tr r="B91" s="2"/>
      </tp>
      <tp t="s">
        <v>スクロール</v>
        <stp/>
        <stp>Market</stp>
        <stp>STOCK</stp>
        <stp>80050.T</stp>
        <stp>銘柄名称</stp>
        <tr r="B232" s="2"/>
      </tp>
      <tp t="s">
        <v>レゾナック・ホールディング</v>
        <stp/>
        <stp>Market</stp>
        <stp>STOCK</stp>
        <stp>40040.T</stp>
        <stp>銘柄名称</stp>
        <tr r="B209" s="2"/>
      </tp>
      <tp t="s">
        <v>高島</v>
        <stp/>
        <stp>Market</stp>
        <stp>STOCK</stp>
        <stp>80070.T</stp>
        <stp>銘柄名称</stp>
        <tr r="B277" s="2"/>
      </tp>
      <tp t="s">
        <v>ヒューリック</v>
        <stp/>
        <stp>Market</stp>
        <stp>STOCK</stp>
        <stp>30030.T</stp>
        <stp>銘柄名称</stp>
        <tr r="B84" s="2"/>
      </tp>
      <tp t="s">
        <v>丸紅</v>
        <stp/>
        <stp>Market</stp>
        <stp>STOCK</stp>
        <stp>80020.T</stp>
        <stp>銘柄名称</stp>
        <tr r="B10" s="2"/>
      </tp>
      <tp t="s">
        <v>グンゼ</v>
        <stp/>
        <stp>Market</stp>
        <stp>STOCK</stp>
        <stp>30020.T</stp>
        <stp>銘柄名称</stp>
        <tr r="B273" s="2"/>
      </tp>
      <tp t="s">
        <v>ＭＩＣ</v>
        <stp/>
        <stp>Market</stp>
        <stp>STOCK</stp>
        <stp>300A0.T</stp>
        <stp>銘柄名称</stp>
        <tr r="B248" s="2"/>
      </tp>
      <tp t="s">
        <v>出光興産</v>
        <stp/>
        <stp>Market</stp>
        <stp>STOCK</stp>
        <stp>50190.T</stp>
        <stp>銘柄名称</stp>
        <tr r="B20" s="2"/>
      </tp>
      <tp t="s">
        <v>豊田通商</v>
        <stp/>
        <stp>Market</stp>
        <stp>STOCK</stp>
        <stp>80150.T</stp>
        <stp>銘柄名称</stp>
        <tr r="B200" s="2"/>
      </tp>
      <tp t="s">
        <v>名村造船所</v>
        <stp/>
        <stp>Market</stp>
        <stp>STOCK</stp>
        <stp>70140.T</stp>
        <stp>銘柄名称</stp>
        <tr r="B252" s="2"/>
      </tp>
      <tp t="s">
        <v>三菱重工業</v>
        <stp/>
        <stp>Market</stp>
        <stp>STOCK</stp>
        <stp>70110.T</stp>
        <stp>銘柄名称</stp>
        <tr r="B203" s="2"/>
      </tp>
      <tp t="s">
        <v>ＩＨＩ</v>
        <stp/>
        <stp>Market</stp>
        <stp>STOCK</stp>
        <stp>70130.T</stp>
        <stp>銘柄名称</stp>
        <tr r="B227" s="2"/>
      </tp>
    </main>
    <main first="rtdsrv.aa62150a635042219654be00b1467f2f">
      <tp t="s">
        <v>弁護士ドットコム</v>
        <stp/>
        <stp>Market</stp>
        <stp>STOCK</stp>
        <stp>60270.T</stp>
        <stp>銘柄名称</stp>
        <tr r="B68" s="2"/>
      </tp>
      <tp t="s">
        <v>コスモエネルギーＨＬＤＧＳ</v>
        <stp/>
        <stp>Market</stp>
        <stp>STOCK</stp>
        <stp>50210.T</stp>
        <stp>銘柄名称</stp>
        <tr r="B11" s="2"/>
      </tp>
      <tp t="s">
        <v>ニッチツ</v>
        <stp/>
        <stp>Market</stp>
        <stp>STOCK</stp>
        <stp>70210.T</stp>
        <stp>銘柄名称</stp>
        <tr r="B102" s="2"/>
      </tp>
      <tp t="s">
        <v>東日本旅客鉄道</v>
        <stp/>
        <stp>Market</stp>
        <stp>STOCK</stp>
        <stp>90200.T</stp>
        <stp>銘柄名称</stp>
        <tr r="B105" s="2"/>
      </tp>
      <tp t="s">
        <v>ＥＮＥＯＳホールディングス</v>
        <stp/>
        <stp>Market</stp>
        <stp>STOCK</stp>
        <stp>50200.T</stp>
        <stp>銘柄名称</stp>
        <tr r="B25" s="2"/>
      </tp>
      <tp t="s">
        <v>東海旅客鉄道</v>
        <stp/>
        <stp>Market</stp>
        <stp>STOCK</stp>
        <stp>90220.T</stp>
        <stp>銘柄名称</stp>
        <tr r="B180" s="2"/>
      </tp>
      <tp t="s">
        <v>東京エレクトロン</v>
        <stp/>
        <stp>Market</stp>
        <stp>STOCK</stp>
        <stp>80350.T</stp>
        <stp>銘柄名称</stp>
        <tr r="B194" s="2"/>
      </tp>
    </main>
    <main first="rtdsrv.aa62150a635042219654be00b1467f2f">
      <tp t="s">
        <v>エア・ウォーター</v>
        <stp/>
        <stp>Market</stp>
        <stp>STOCK</stp>
        <stp>40880.T</stp>
        <stp>銘柄名称</stp>
        <tr r="B152" s="2"/>
      </tp>
      <tp t="s">
        <v>アーキテクツＳＪ</v>
        <stp/>
        <stp>Market</stp>
        <stp>STOCK</stp>
        <stp>60850.T</stp>
        <stp>銘柄名称</stp>
        <tr r="B133" s="2"/>
      </tp>
      <tp t="s">
        <v>第一稀元素化学工</v>
        <stp/>
        <stp>Market</stp>
        <stp>STOCK</stp>
        <stp>40820.T</stp>
        <stp>銘柄名称</stp>
        <tr r="B125" s="2"/>
      </tp>
    </main>
    <main first="rtdsrv.aa62150a635042219654be00b1467f2f">
      <tp t="s">
        <v>リクルートホールディングス</v>
        <stp/>
        <stp>Market</stp>
        <stp>STOCK</stp>
        <stp>60980.T</stp>
        <stp>銘柄名称</stp>
        <tr r="B244" s="2"/>
      </tp>
      <tp t="s">
        <v>ニチモウ</v>
        <stp/>
        <stp>Market</stp>
        <stp>STOCK</stp>
        <stp>80910.T</stp>
        <stp>銘柄名称</stp>
        <tr r="B178" s="2"/>
      </tp>
      <tp t="s">
        <v>日本酸素ＨＬＤＧＳ</v>
        <stp/>
        <stp>Market</stp>
        <stp>STOCK</stp>
        <stp>40910.T</stp>
        <stp>銘柄名称</stp>
        <tr r="B153" s="2"/>
      </tp>
    </main>
    <main first="rtdsrv.aa62150a635042219654be00b1467f2f">
      <tp>
        <v>1437</v>
        <stp/>
        <stp>Market</stp>
        <stp>STOCK</stp>
        <stp>68380.T</stp>
        <stp>前日終値</stp>
        <tr r="E144" s="2"/>
      </tp>
      <tp>
        <v>5553</v>
        <stp/>
        <stp>Market</stp>
        <stp>STOCK</stp>
        <stp>58380.T</stp>
        <stp>前日終値</stp>
        <tr r="E113" s="2"/>
      </tp>
      <tp>
        <v>5680</v>
        <stp/>
        <stp>Market</stp>
        <stp>STOCK</stp>
        <stp>18330.T</stp>
        <stp>前日終値</stp>
        <tr r="E76" s="2"/>
      </tp>
      <tp>
        <v>1585</v>
        <stp/>
        <stp>Market</stp>
        <stp>STOCK</stp>
        <stp>68090.T</stp>
        <stp>前日終値</stp>
        <tr r="E234" s="2"/>
      </tp>
      <tp>
        <v>2809</v>
        <stp/>
        <stp>Market</stp>
        <stp>STOCK</stp>
        <stp>18080.T</stp>
        <stp>前日終値</stp>
        <tr r="E293" s="2"/>
      </tp>
      <tp>
        <v>1549</v>
        <stp/>
        <stp>Market</stp>
        <stp>STOCK</stp>
        <stp>88010.T</stp>
        <stp>前日終値</stp>
        <tr r="E120" s="2"/>
      </tp>
      <tp>
        <v>3474</v>
        <stp/>
        <stp>Market</stp>
        <stp>STOCK</stp>
        <stp>58010.T</stp>
        <stp>前日終値</stp>
        <tr r="E196" s="2"/>
      </tp>
      <tp>
        <v>4761</v>
        <stp/>
        <stp>Market</stp>
        <stp>STOCK</stp>
        <stp>58030.T</stp>
        <stp>前日終値</stp>
        <tr r="E99" s="2"/>
      </tp>
      <tp>
        <v>2397.5</v>
        <stp/>
        <stp>Market</stp>
        <stp>STOCK</stp>
        <stp>58020.T</stp>
        <stp>前日終値</stp>
        <tr r="E98" s="2"/>
      </tp>
      <tp>
        <v>5361</v>
        <stp/>
        <stp>Market</stp>
        <stp>STOCK</stp>
        <stp>28020.T</stp>
        <stp>前日終値</stp>
        <tr r="E72" s="2"/>
      </tp>
      <tp>
        <v>8130</v>
        <stp/>
        <stp>Market</stp>
        <stp>STOCK</stp>
        <stp>78060.T</stp>
        <stp>前日終値</stp>
        <tr r="E69" s="2"/>
      </tp>
      <tp>
        <v>5681</v>
        <stp/>
        <stp>Market</stp>
        <stp>STOCK</stp>
        <stp>18120.T</stp>
        <stp>前日終値</stp>
        <tr r="E204" s="2"/>
      </tp>
      <tp>
        <v>479</v>
        <stp/>
        <stp>Market</stp>
        <stp>STOCK</stp>
        <stp>281A0.T</stp>
        <stp>前日終値</stp>
        <tr r="E262" s="2"/>
      </tp>
      <tp>
        <v>74050</v>
        <stp/>
        <stp>Market</stp>
        <stp>STOCK</stp>
        <stp>68610.T</stp>
        <stp>前日終値</stp>
        <tr r="E205" s="2"/>
      </tp>
      <tp>
        <v>838.7</v>
        <stp/>
        <stp>Market</stp>
        <stp>STOCK</stp>
        <stp>38610.T</stp>
        <stp>前日終値</stp>
        <tr r="E37" s="2"/>
      </tp>
      <tp>
        <v>1455</v>
        <stp/>
        <stp>Market</stp>
        <stp>STOCK</stp>
        <stp>38630.T</stp>
        <stp>前日終値</stp>
        <tr r="E28" s="2"/>
      </tp>
      <tp>
        <v>1954</v>
        <stp/>
        <stp>Market</stp>
        <stp>STOCK</stp>
        <stp>68620.T</stp>
        <stp>前日終値</stp>
        <tr r="E221" s="2"/>
      </tp>
      <tp>
        <v>1095</v>
        <stp/>
        <stp>Market</stp>
        <stp>STOCK</stp>
        <stp>38640.T</stp>
        <stp>前日終値</stp>
        <tr r="E267" s="2"/>
      </tp>
      <tp>
        <v>1022</v>
        <stp/>
        <stp>Market</stp>
        <stp>STOCK</stp>
        <stp>186A0.T</stp>
        <stp>前日終値</stp>
        <tr r="E295" s="2"/>
      </tp>
      <tp>
        <v>3385</v>
        <stp/>
        <stp>Market</stp>
        <stp>STOCK</stp>
        <stp>88710.T</stp>
        <stp>前日終値</stp>
        <tr r="E274" s="2"/>
      </tp>
      <tp>
        <v>856</v>
        <stp/>
        <stp>Market</stp>
        <stp>STOCK</stp>
        <stp>68480.T</stp>
        <stp>前日終値</stp>
        <tr r="E270" s="2"/>
      </tp>
      <tp>
        <v>5495</v>
        <stp/>
        <stp>Market</stp>
        <stp>STOCK</stp>
        <stp>68410.T</stp>
        <stp>前日終値</stp>
        <tr r="E77" s="2"/>
      </tp>
      <tp>
        <v>4649</v>
        <stp/>
        <stp>Market</stp>
        <stp>STOCK</stp>
        <stp>58440.T</stp>
        <stp>前日終値</stp>
        <tr r="E114" s="2"/>
      </tp>
      <tp>
        <v>1807.5</v>
        <stp/>
        <stp>Market</stp>
        <stp>STOCK</stp>
        <stp>78460.T</stp>
        <stp>前日終値</stp>
        <tr r="E71" s="2"/>
      </tp>
      <tp>
        <v>2380</v>
        <stp/>
        <stp>Market</stp>
        <stp>STOCK</stp>
        <stp>38540.T</stp>
        <stp>前日終値</stp>
        <tr r="E67" s="2"/>
      </tp>
      <tp>
        <v>29640</v>
        <stp/>
        <stp>Market</stp>
        <stp>STOCK</stp>
        <stp>68570.T</stp>
        <stp>前日終値</stp>
        <tr r="E154" s="2"/>
      </tp>
      <tp>
        <v>3065</v>
        <stp/>
        <stp>Market</stp>
        <stp>STOCK</stp>
        <stp>58570.T</stp>
        <stp>前日終値</stp>
        <tr r="E58" s="2"/>
      </tp>
      <tp>
        <v>1975</v>
        <stp/>
        <stp>Market</stp>
        <stp>STOCK</stp>
        <stp>485A0.T</stp>
        <stp>前日終値</stp>
        <tr r="E217" s="2"/>
      </tp>
      <tp>
        <v>62110</v>
        <stp/>
        <stp>Market</stp>
        <stp>STOCK</stp>
        <stp>285A0.T</stp>
        <stp>前日終値</stp>
        <tr r="E214" s="2"/>
      </tp>
      <tp>
        <v>319</v>
        <stp/>
        <stp>Market</stp>
        <stp>STOCK</stp>
        <stp>48880.T</stp>
        <stp>前日終値</stp>
        <tr r="E142" s="2"/>
      </tp>
      <tp>
        <v>3425</v>
        <stp/>
        <stp>Market</stp>
        <stp>STOCK</stp>
        <stp>98800.T</stp>
        <stp>前日終値</stp>
        <tr r="E253" s="2"/>
      </tp>
      <tp>
        <v>1827</v>
        <stp/>
        <stp>Market</stp>
        <stp>STOCK</stp>
        <stp>98820.T</stp>
        <stp>前日終値</stp>
        <tr r="E112" s="2"/>
      </tp>
      <tp>
        <v>1677.5</v>
        <stp/>
        <stp>Market</stp>
        <stp>STOCK</stp>
        <stp>48870.T</stp>
        <stp>前日終値</stp>
        <tr r="E188" s="2"/>
      </tp>
      <tp>
        <v>7560</v>
        <stp/>
        <stp>Market</stp>
        <stp>STOCK</stp>
        <stp>38910.T</stp>
        <stp>前日終値</stp>
        <tr r="E155" s="2"/>
      </tp>
      <tp>
        <v>8000</v>
        <stp/>
        <stp>Market</stp>
        <stp>STOCK</stp>
        <stp>68900.T</stp>
        <stp>前日終値</stp>
        <tr r="E191" s="2"/>
      </tp>
      <tp>
        <v>1109</v>
        <stp/>
        <stp>Market</stp>
        <stp>STOCK</stp>
        <stp>88920.T</stp>
        <stp>前日終値</stp>
        <tr r="E157" s="2"/>
      </tp>
      <tp>
        <v>2060</v>
        <stp/>
        <stp>Market</stp>
        <stp>STOCK</stp>
        <stp>58920.T</stp>
        <stp>前日終値</stp>
        <tr r="E85" s="2"/>
      </tp>
      <tp t="s">
        <v>ディスコ</v>
        <stp/>
        <stp>Market</stp>
        <stp>STOCK</stp>
        <stp>61460.T</stp>
        <stp>銘柄名称</stp>
        <tr r="B193" s="2"/>
      </tp>
      <tp t="s">
        <v>新光商事</v>
        <stp/>
        <stp>Market</stp>
        <stp>STOCK</stp>
        <stp>81410.T</stp>
        <stp>銘柄名称</stp>
        <tr r="B288" s="2"/>
      </tp>
      <tp t="s">
        <v>旭ダイヤモンド</v>
        <stp/>
        <stp>Market</stp>
        <stp>STOCK</stp>
        <stp>61400.T</stp>
        <stp>銘柄名称</stp>
        <tr r="B257" s="2"/>
      </tp>
      <tp t="s">
        <v>クオルテック</v>
        <stp/>
        <stp>Market</stp>
        <stp>STOCK</stp>
        <stp>91650.T</stp>
        <stp>銘柄名称</stp>
        <tr r="B239" s="2"/>
      </tp>
      <tp t="s">
        <v>めぶきフィナンシャルＧ</v>
        <stp/>
        <stp>Market</stp>
        <stp>STOCK</stp>
        <stp>71670.T</stp>
        <stp>銘柄名称</stp>
        <tr r="B78" s="2"/>
      </tp>
      <tp t="s">
        <v>ジーエヌアイグループ</v>
        <stp/>
        <stp>Market</stp>
        <stp>STOCK</stp>
        <stp>21600.T</stp>
        <stp>銘柄名称</stp>
        <tr r="B127" s="2"/>
      </tp>
      <tp t="s">
        <v>日本郵政</v>
        <stp/>
        <stp>Market</stp>
        <stp>STOCK</stp>
        <stp>61780.T</stp>
        <stp>銘柄名称</stp>
        <tr r="B100" s="2"/>
      </tp>
      <tp t="s">
        <v>商船三井</v>
        <stp/>
        <stp>Market</stp>
        <stp>STOCK</stp>
        <stp>91040.T</stp>
        <stp>銘柄名称</stp>
        <tr r="B255" s="2"/>
      </tp>
      <tp t="s">
        <v>ダイワボウＨＤ</v>
        <stp/>
        <stp>Market</stp>
        <stp>STOCK</stp>
        <stp>31070.T</stp>
        <stp>銘柄名称</stp>
        <tr r="B56" s="2"/>
      </tp>
      <tp t="s">
        <v>日本郵船</v>
        <stp/>
        <stp>Market</stp>
        <stp>STOCK</stp>
        <stp>91010.T</stp>
        <stp>銘柄名称</stp>
        <tr r="B202" s="2"/>
      </tp>
      <tp t="s">
        <v>明和産業</v>
        <stp/>
        <stp>Market</stp>
        <stp>STOCK</stp>
        <stp>81030.T</stp>
        <stp>銘柄名称</stp>
        <tr r="B165" s="2"/>
      </tp>
      <tp t="s">
        <v>ユニチカ</v>
        <stp/>
        <stp>Market</stp>
        <stp>STOCK</stp>
        <stp>31030.T</stp>
        <stp>銘柄名称</stp>
        <tr r="B134" s="2"/>
      </tp>
    </main>
    <main first="rtdsrv.aa62150a635042219654be00b1467f2f">
      <tp t="s">
        <v>明海グループ</v>
        <stp/>
        <stp>Market</stp>
        <stp>STOCK</stp>
        <stp>91150.T</stp>
        <stp>銘柄名称</stp>
        <tr r="B266" s="2"/>
      </tp>
      <tp t="s">
        <v>日東紡績</v>
        <stp/>
        <stp>Market</stp>
        <stp>STOCK</stp>
        <stp>31100.T</stp>
        <stp>銘柄名称</stp>
        <tr r="B130" s="2"/>
      </tp>
      <tp t="s">
        <v>日本Ｍ＆Ａセンターホールデ</v>
        <stp/>
        <stp>Market</stp>
        <stp>STOCK</stp>
        <stp>21270.T</stp>
        <stp>銘柄名称</stp>
        <tr r="B183" s="2"/>
      </tp>
      <tp t="s">
        <v>牧野フライス</v>
        <stp/>
        <stp>Market</stp>
        <stp>STOCK</stp>
        <stp>61350.T</stp>
        <stp>銘柄名称</stp>
        <tr r="B219" s="2"/>
      </tp>
      <tp t="s">
        <v>ＦＵＪＩ</v>
        <stp/>
        <stp>Market</stp>
        <stp>STOCK</stp>
        <stp>61340.T</stp>
        <stp>銘柄名称</stp>
        <tr r="B88" s="2"/>
      </tp>
    </main>
    <main first="rtdsrv.aa62150a635042219654be00b1467f2f">
      <tp t="s">
        <v>三菱ケミカルグループ</v>
        <stp/>
        <stp>Market</stp>
        <stp>STOCK</stp>
        <stp>41880.T</stp>
        <stp>銘柄名称</stp>
        <tr r="B94" s="2"/>
      </tp>
      <tp t="s">
        <v>かんぽ生命保険</v>
        <stp/>
        <stp>Market</stp>
        <stp>STOCK</stp>
        <stp>71810.T</stp>
        <stp>銘柄名称</stp>
        <tr r="B186" s="2"/>
      </tp>
      <tp t="s">
        <v>三菱瓦斯化学</v>
        <stp/>
        <stp>Market</stp>
        <stp>STOCK</stp>
        <stp>41820.T</stp>
        <stp>銘柄名称</stp>
        <tr r="B93" s="2"/>
      </tp>
      <tp t="s">
        <v>ゆうちょ銀行</v>
        <stp/>
        <stp>Market</stp>
        <stp>STOCK</stp>
        <stp>71820.T</stp>
        <stp>銘柄名称</stp>
        <tr r="B81" s="2"/>
      </tp>
    </main>
    <main first="rtdsrv.aa62150a635042219654be00b1467f2f">
      <tp>
        <v>3721</v>
        <stp/>
        <stp>Market</stp>
        <stp>STOCK</stp>
        <stp>59290.T</stp>
        <stp>前日終値</stp>
        <tr r="E45" s="2"/>
      </tp>
      <tp>
        <v>2785</v>
        <stp/>
        <stp>Market</stp>
        <stp>STOCK</stp>
        <stp>69280.T</stp>
        <stp>前日終値</stp>
        <tr r="E242" s="2"/>
      </tp>
      <tp>
        <v>46370</v>
        <stp/>
        <stp>Market</stp>
        <stp>STOCK</stp>
        <stp>69200.T</stp>
        <stp>前日終値</stp>
        <tr r="E195" s="2"/>
      </tp>
      <tp>
        <v>4076</v>
        <stp/>
        <stp>Market</stp>
        <stp>STOCK</stp>
        <stp>69250.T</stp>
        <stp>前日終値</stp>
        <tr r="E101" s="2"/>
      </tp>
      <tp>
        <v>4599</v>
        <stp/>
        <stp>Market</stp>
        <stp>STOCK</stp>
        <stp>19250.T</stp>
        <stp>前日終値</stp>
        <tr r="E79" s="2"/>
      </tp>
      <tp>
        <v>1887</v>
        <stp/>
        <stp>Market</stp>
        <stp>STOCK</stp>
        <stp>59380.T</stp>
        <stp>前日終値</stp>
        <tr r="E32" s="2"/>
      </tp>
      <tp>
        <v>2581</v>
        <stp/>
        <stp>Market</stp>
        <stp>STOCK</stp>
        <stp>19380.T</stp>
        <stp>前日終値</stp>
        <tr r="E172" s="2"/>
      </tp>
      <tp>
        <v>1616</v>
        <stp/>
        <stp>Market</stp>
        <stp>STOCK</stp>
        <stp>19300.T</stp>
        <stp>前日終値</stp>
        <tr r="E159" s="2"/>
      </tp>
      <tp>
        <v>1081</v>
        <stp/>
        <stp>Market</stp>
        <stp>STOCK</stp>
        <stp>29330.T</stp>
        <stp>前日終値</stp>
        <tr r="E284" s="2"/>
      </tp>
      <tp>
        <v>2534</v>
        <stp/>
        <stp>Market</stp>
        <stp>STOCK</stp>
        <stp>89340.T</stp>
        <stp>前日終値</stp>
        <tr r="E121" s="2"/>
      </tp>
      <tp>
        <v>163</v>
        <stp/>
        <stp>Market</stp>
        <stp>STOCK</stp>
        <stp>39360.T</stp>
        <stp>前日終値</stp>
        <tr r="E241" s="2"/>
      </tp>
      <tp>
        <v>4055</v>
        <stp/>
        <stp>Market</stp>
        <stp>STOCK</stp>
        <stp>59010.T</stp>
        <stp>前日終値</stp>
        <tr r="E51" s="2"/>
      </tp>
      <tp>
        <v>1975.5</v>
        <stp/>
        <stp>Market</stp>
        <stp>STOCK</stp>
        <stp>69020.T</stp>
        <stp>前日終値</stp>
        <tr r="E240" s="2"/>
      </tp>
      <tp>
        <v>2689</v>
        <stp/>
        <stp>Market</stp>
        <stp>STOCK</stp>
        <stp>39050.T</stp>
        <stp>前日終値</stp>
        <tr r="E280" s="2"/>
      </tp>
      <tp>
        <v>3215</v>
        <stp/>
        <stp>Market</stp>
        <stp>STOCK</stp>
        <stp>69180.T</stp>
        <stp>前日終値</stp>
        <tr r="E275" s="2"/>
      </tp>
      <tp>
        <v>6195</v>
        <stp/>
        <stp>Market</stp>
        <stp>STOCK</stp>
        <stp>29140.T</stp>
        <stp>前日終値</stp>
        <tr r="E83" s="2"/>
      </tp>
      <tp>
        <v>2595</v>
        <stp/>
        <stp>Market</stp>
        <stp>STOCK</stp>
        <stp>19610.T</stp>
        <stp>前日終値</stp>
        <tr r="E55" s="2"/>
      </tp>
      <tp>
        <v>2270</v>
        <stp/>
        <stp>Market</stp>
        <stp>STOCK</stp>
        <stp>19630.T</stp>
        <stp>前日終値</stp>
        <tr r="E82" s="2"/>
      </tp>
      <tp>
        <v>3772</v>
        <stp/>
        <stp>Market</stp>
        <stp>STOCK</stp>
        <stp>99620.T</stp>
        <stp>前日終値</stp>
        <tr r="E229" s="2"/>
      </tp>
      <tp>
        <v>2398</v>
        <stp/>
        <stp>Market</stp>
        <stp>STOCK</stp>
        <stp>69650.T</stp>
        <stp>前日終値</stp>
        <tr r="E296" s="2"/>
      </tp>
      <tp>
        <v>24110</v>
        <stp/>
        <stp>Market</stp>
        <stp>STOCK</stp>
        <stp>49660.T</stp>
        <stp>前日終値</stp>
        <tr r="E192" s="2"/>
      </tp>
      <tp>
        <v>2801</v>
        <stp/>
        <stp>Market</stp>
        <stp>STOCK</stp>
        <stp>79720.T</stp>
        <stp>前日終値</stp>
        <tr r="E237" s="2"/>
      </tp>
      <tp>
        <v>1448.5</v>
        <stp/>
        <stp>Market</stp>
        <stp>STOCK</stp>
        <stp>39410.T</stp>
        <stp>前日終値</stp>
        <tr r="E44" s="2"/>
      </tp>
      <tp>
        <v>6114</v>
        <stp/>
        <stp>Market</stp>
        <stp>STOCK</stp>
        <stp>19420.T</stp>
        <stp>前日終値</stp>
        <tr r="E171" s="2"/>
      </tp>
      <tp>
        <v>7391</v>
        <stp/>
        <stp>Market</stp>
        <stp>STOCK</stp>
        <stp>19440.T</stp>
        <stp>前日終値</stp>
        <tr r="E300" s="2"/>
      </tp>
      <tp>
        <v>3618</v>
        <stp/>
        <stp>Market</stp>
        <stp>STOCK</stp>
        <stp>59470.T</stp>
        <stp>前日終値</stp>
        <tr r="E38" s="2"/>
      </tp>
      <tp>
        <v>3275</v>
        <stp/>
        <stp>Market</stp>
        <stp>STOCK</stp>
        <stp>79520.T</stp>
        <stp>前日終値</stp>
        <tr r="E272" s="2"/>
      </tp>
      <tp>
        <v>412</v>
        <stp/>
        <stp>Market</stp>
        <stp>STOCK</stp>
        <stp>69550.T</stp>
        <stp>前日終値</stp>
        <tr r="E261" s="2"/>
      </tp>
      <tp>
        <v>7020</v>
        <stp/>
        <stp>Market</stp>
        <stp>STOCK</stp>
        <stp>69540.T</stp>
        <stp>前日終値</stp>
        <tr r="E74" s="2"/>
      </tp>
      <tp>
        <v>8400</v>
        <stp/>
        <stp>Market</stp>
        <stp>STOCK</stp>
        <stp>69810.T</stp>
        <stp>前日終値</stp>
        <tr r="E150" s="2"/>
      </tp>
      <tp>
        <v>3115</v>
        <stp/>
        <stp>Market</stp>
        <stp>STOCK</stp>
        <stp>79810.T</stp>
        <stp>前日終値</stp>
        <tr r="E167" s="2"/>
      </tp>
      <tp>
        <v>3777</v>
        <stp/>
        <stp>Market</stp>
        <stp>STOCK</stp>
        <stp>49800.T</stp>
        <stp>前日終値</stp>
        <tr r="E65" s="2"/>
      </tp>
      <tp>
        <v>5961</v>
        <stp/>
        <stp>Market</stp>
        <stp>STOCK</stp>
        <stp>99840.T</stp>
        <stp>前日終値</stp>
        <tr r="E61" s="2"/>
      </tp>
      <tp>
        <v>1829</v>
        <stp/>
        <stp>Market</stp>
        <stp>STOCK</stp>
        <stp>39840.T</stp>
        <stp>前日終値</stp>
        <tr r="E235" s="2"/>
      </tp>
      <tp>
        <v>3630</v>
        <stp/>
        <stp>Market</stp>
        <stp>STOCK</stp>
        <stp>69970.T</stp>
        <stp>前日終値</stp>
        <tr r="E268" s="2"/>
      </tp>
      <tp t="s">
        <v>ＱＰＳホールディングス</v>
        <stp/>
        <stp>Market</stp>
        <stp>STOCK</stp>
        <stp>464A0.T</stp>
        <stp>銘柄名称</stp>
        <tr r="B216" s="2"/>
      </tp>
      <tp t="s">
        <v>オリエンタルランド</v>
        <stp/>
        <stp>Market</stp>
        <stp>STOCK</stp>
        <stp>46610.T</stp>
        <stp>銘柄名称</stp>
        <tr r="B97" s="2"/>
      </tp>
      <tp t="s">
        <v>石油資源開発</v>
        <stp/>
        <stp>Market</stp>
        <stp>STOCK</stp>
        <stp>16620.T</stp>
        <stp>銘柄名称</stp>
        <tr r="B14" s="2"/>
      </tp>
      <tp t="s">
        <v>ジーエス・ユアサコーポ</v>
        <stp/>
        <stp>Market</stp>
        <stp>STOCK</stp>
        <stp>66740.T</stp>
        <stp>銘柄名称</stp>
        <tr r="B260" s="2"/>
      </tp>
      <tp t="s">
        <v>フジ・メディア・ＨＤ</v>
        <stp/>
        <stp>Market</stp>
        <stp>STOCK</stp>
        <stp>46760.T</stp>
        <stp>銘柄名称</stp>
        <tr r="B54" s="2"/>
      </tp>
      <tp t="s">
        <v>ダイトロン</v>
        <stp/>
        <stp>Market</stp>
        <stp>STOCK</stp>
        <stp>76090.T</stp>
        <stp>銘柄名称</stp>
        <tr r="B236" s="2"/>
      </tp>
      <tp t="s">
        <v>ＩＮＰＥＸ</v>
        <stp/>
        <stp>Market</stp>
        <stp>STOCK</stp>
        <stp>16050.T</stp>
        <stp>銘柄名称</stp>
        <tr r="B8" s="2"/>
      </tp>
      <tp t="s">
        <v>野村ホールディングス</v>
        <stp/>
        <stp>Market</stp>
        <stp>STOCK</stp>
        <stp>86040.T</stp>
        <stp>銘柄名称</stp>
        <tr r="B36" s="2"/>
      </tp>
      <tp t="s">
        <v>大和証券Ｇ本社</v>
        <stp/>
        <stp>Market</stp>
        <stp>STOCK</stp>
        <stp>86010.T</stp>
        <stp>銘柄名称</stp>
        <tr r="B29" s="2"/>
      </tp>
    </main>
    <main first="rtdsrv.aa62150a635042219654be00b1467f2f">
      <tp t="s">
        <v>ＮＦエネ資源Ｔ１７</v>
        <stp/>
        <stp>Market</stp>
        <stp>STOCK</stp>
        <stp>16180.T</stp>
        <stp>銘柄名称</stp>
        <tr r="B223" s="2"/>
      </tp>
      <tp t="s">
        <v>ＱＤレーザ</v>
        <stp/>
        <stp>Market</stp>
        <stp>STOCK</stp>
        <stp>66130.T</stp>
        <stp>銘柄名称</stp>
        <tr r="B137" s="2"/>
      </tp>
    </main>
    <main first="rtdsrv.aa62150a635042219654be00b1467f2f">
      <tp t="s">
        <v>ダイヘン</v>
        <stp/>
        <stp>Market</stp>
        <stp>STOCK</stp>
        <stp>66220.T</stp>
        <stp>銘柄名称</stp>
        <tr r="B212" s="2"/>
      </tp>
      <tp t="s">
        <v>日本製鋼所</v>
        <stp/>
        <stp>Market</stp>
        <stp>STOCK</stp>
        <stp>56310.T</stp>
        <stp>銘柄名称</stp>
        <tr r="B259" s="2"/>
      </tp>
      <tp t="s">
        <v>ＳＯＭＰＯホールディングス</v>
        <stp/>
        <stp>Market</stp>
        <stp>STOCK</stp>
        <stp>86300.T</stp>
        <stp>銘柄名称</stp>
        <tr r="B50" s="2"/>
      </tp>
      <tp t="s">
        <v>三菱製鋼</v>
        <stp/>
        <stp>Market</stp>
        <stp>STOCK</stp>
        <stp>56320.T</stp>
        <stp>銘柄名称</stp>
        <tr r="B243" s="2"/>
      </tp>
    </main>
    <main first="rtdsrv.aa62150a635042219654be00b1467f2f">
      <tp t="s">
        <v>ＢＵＹＳＥＬＬＴＥＣＨ</v>
        <stp/>
        <stp>Market</stp>
        <stp>STOCK</stp>
        <stp>76850.T</stp>
        <stp>銘柄名称</stp>
        <tr r="B117" s="2"/>
      </tp>
      <tp t="s">
        <v>ＫＳＫ</v>
        <stp/>
        <stp>Market</stp>
        <stp>STOCK</stp>
        <stp>96870.T</stp>
        <stp>銘柄名称</stp>
        <tr r="B158" s="2"/>
      </tp>
    </main>
    <main first="rtdsrv.aa62150a635042219654be00b1467f2f">
      <tp t="s">
        <v>セレス</v>
        <stp/>
        <stp>Market</stp>
        <stp>STOCK</stp>
        <stp>36960.T</stp>
        <stp>銘柄名称</stp>
        <tr r="B224" s="2"/>
      </tp>
    </main>
    <main first="rtdsrv.aa62150a635042219654be00b1467f2f">
      <tp t="s">
        <v>能美防災</v>
        <stp/>
        <stp>Market</stp>
        <stp>STOCK</stp>
        <stp>67440.T</stp>
        <stp>銘柄名称</stp>
        <tr r="B116" s="2"/>
      </tp>
      <tp t="s">
        <v>岡本硝子</v>
        <stp/>
        <stp>Market</stp>
        <stp>STOCK</stp>
        <stp>77460.T</stp>
        <stp>銘柄名称</stp>
        <tr r="B89" s="2"/>
      </tp>
      <tp t="s">
        <v>ＨＯＹＡ</v>
        <stp/>
        <stp>Market</stp>
        <stp>STOCK</stp>
        <stp>77410.T</stp>
        <stp>銘柄名称</stp>
        <tr r="B298" s="2"/>
      </tp>
      <tp t="s">
        <v>ジャパンディスプレイ</v>
        <stp/>
        <stp>Market</stp>
        <stp>STOCK</stp>
        <stp>67400.T</stp>
        <stp>銘柄名称</stp>
        <tr r="B136" s="2"/>
      </tp>
      <tp t="s">
        <v>ソニーグループ</v>
        <stp/>
        <stp>Market</stp>
        <stp>STOCK</stp>
        <stp>67580.T</stp>
        <stp>銘柄名称</stp>
        <tr r="B201" s="2"/>
      </tp>
      <tp t="s">
        <v>アンリツ</v>
        <stp/>
        <stp>Market</stp>
        <stp>STOCK</stp>
        <stp>67540.T</stp>
        <stp>銘柄名称</stp>
        <tr r="B151" s="2"/>
      </tp>
      <tp t="s">
        <v>第一ライフグループ</v>
        <stp/>
        <stp>Market</stp>
        <stp>STOCK</stp>
        <stp>87500.T</stp>
        <stp>銘柄名称</stp>
        <tr r="B39" s="2"/>
      </tp>
      <tp t="s">
        <v>シャープ</v>
        <stp/>
        <stp>Market</stp>
        <stp>STOCK</stp>
        <stp>67530.T</stp>
        <stp>銘柄名称</stp>
        <tr r="B184" s="2"/>
      </tp>
      <tp t="s">
        <v>パナソニックホールディンク</v>
        <stp/>
        <stp>Market</stp>
        <stp>STOCK</stp>
        <stp>67520.T</stp>
        <stp>銘柄名称</stp>
        <tr r="B211" s="2"/>
      </tp>
      <tp t="s">
        <v>双日</v>
        <stp/>
        <stp>Market</stp>
        <stp>STOCK</stp>
        <stp>27680.T</stp>
        <stp>銘柄名称</stp>
        <tr r="B198" s="2"/>
      </tp>
      <tp t="s">
        <v>東京海上ＨＤ</v>
        <stp/>
        <stp>Market</stp>
        <stp>STOCK</stp>
        <stp>87660.T</stp>
        <stp>銘柄名称</stp>
        <tr r="B48" s="2"/>
      </tp>
      <tp t="s">
        <v>ＴＤＫ</v>
        <stp/>
        <stp>Market</stp>
        <stp>STOCK</stp>
        <stp>67620.T</stp>
        <stp>銘柄名称</stp>
        <tr r="B230" s="2"/>
      </tp>
      <tp t="s">
        <v>ＳＡＮＴＥＣＨＯＬＤＩＮＧＳ</v>
        <stp/>
        <stp>Market</stp>
        <stp>STOCK</stp>
        <stp>67770.T</stp>
        <stp>銘柄名称</stp>
        <tr r="B140" s="2"/>
      </tp>
      <tp t="s">
        <v>サイボウズ</v>
        <stp/>
        <stp>Market</stp>
        <stp>STOCK</stp>
        <stp>47760.T</stp>
        <stp>銘柄名称</stp>
        <tr r="B249" s="2"/>
      </tp>
      <tp t="s">
        <v>ＩＤホールディングス</v>
        <stp/>
        <stp>Market</stp>
        <stp>STOCK</stp>
        <stp>47090.T</stp>
        <stp>銘柄名称</stp>
        <tr r="B166" s="2"/>
      </tp>
      <tp t="s">
        <v>トレイダーズＨＬＤＧＳ</v>
        <stp/>
        <stp>Market</stp>
        <stp>STOCK</stp>
        <stp>87040.T</stp>
        <stp>銘柄名称</stp>
        <tr r="B160" s="2"/>
      </tp>
      <tp t="s">
        <v>トレンドマイクロ</v>
        <stp/>
        <stp>Market</stp>
        <stp>STOCK</stp>
        <stp>47040.T</stp>
        <stp>銘柄名称</stp>
        <tr r="B250" s="2"/>
      </tp>
      <tp t="s">
        <v>三井金属</v>
        <stp/>
        <stp>Market</stp>
        <stp>STOCK</stp>
        <stp>57060.T</stp>
        <stp>銘柄名称</stp>
        <tr r="B2" s="2"/>
      </tp>
      <tp t="s">
        <v>電気興業</v>
        <stp/>
        <stp>Market</stp>
        <stp>STOCK</stp>
        <stp>67060.T</stp>
        <stp>銘柄名称</stp>
        <tr r="B287" s="2"/>
      </tp>
      <tp t="s">
        <v>日本電気</v>
        <stp/>
        <stp>Market</stp>
        <stp>STOCK</stp>
        <stp>67010.T</stp>
        <stp>銘柄名称</stp>
        <tr r="B7" s="2"/>
      </tp>
      <tp t="s">
        <v>日本軽金属ＨＤ</v>
        <stp/>
        <stp>Market</stp>
        <stp>STOCK</stp>
        <stp>57030.T</stp>
        <stp>銘柄名称</stp>
        <tr r="B9" s="2"/>
      </tp>
      <tp t="s">
        <v>日本マクドナルドＨＬＤＧ</v>
        <stp/>
        <stp>Market</stp>
        <stp>STOCK</stp>
        <stp>27020.T</stp>
        <stp>銘柄名称</stp>
        <tr r="B190" s="2"/>
      </tp>
      <tp t="s">
        <v>大紀アルミニウム</v>
        <stp/>
        <stp>Market</stp>
        <stp>STOCK</stp>
        <stp>57020.T</stp>
        <stp>銘柄名称</stp>
        <tr r="B271" s="2"/>
      </tp>
    </main>
    <main first="rtdsrv.aa62150a635042219654be00b1467f2f">
      <tp t="s">
        <v>ＤＯＷＡホールディングス</v>
        <stp/>
        <stp>Market</stp>
        <stp>STOCK</stp>
        <stp>57140.T</stp>
        <stp>銘柄名称</stp>
        <tr r="B6" s="2"/>
      </tp>
      <tp t="s">
        <v>三菱マテリアル</v>
        <stp/>
        <stp>Market</stp>
        <stp>STOCK</stp>
        <stp>57110.T</stp>
        <stp>銘柄名称</stp>
        <tr r="B5" s="2"/>
      </tp>
      <tp t="s">
        <v>助川電気工業</v>
        <stp/>
        <stp>Market</stp>
        <stp>STOCK</stp>
        <stp>77110.T</stp>
        <stp>銘柄名称</stp>
        <tr r="B264" s="2"/>
      </tp>
      <tp t="s">
        <v>住友鉱山</v>
        <stp/>
        <stp>Market</stp>
        <stp>STOCK</stp>
        <stp>57130.T</stp>
        <stp>銘柄名称</stp>
        <tr r="B4" s="2"/>
      </tp>
      <tp t="s">
        <v>東京精密</v>
        <stp/>
        <stp>Market</stp>
        <stp>STOCK</stp>
        <stp>77290.T</stp>
        <stp>銘柄名称</stp>
        <tr r="B103" s="2"/>
      </tp>
      <tp t="s">
        <v>ＭＳ＆ＡＤ</v>
        <stp/>
        <stp>Market</stp>
        <stp>STOCK</stp>
        <stp>87250.T</stp>
        <stp>銘柄名称</stp>
        <tr r="B18" s="2"/>
      </tp>
      <tp t="s">
        <v>ＳＣＲＥＥＮホールディングス</v>
        <stp/>
        <stp>Market</stp>
        <stp>STOCK</stp>
        <stp>77350.T</stp>
        <stp>銘柄名称</stp>
        <tr r="B279" s="2"/>
      </tp>
      <tp t="s">
        <v>サン電子</v>
        <stp/>
        <stp>Market</stp>
        <stp>STOCK</stp>
        <stp>67360.T</stp>
        <stp>銘柄名称</stp>
        <tr r="B283" s="2"/>
      </tp>
      <tp t="s">
        <v>ナガセ</v>
        <stp/>
        <stp>Market</stp>
        <stp>STOCK</stp>
        <stp>97330.T</stp>
        <stp>銘柄名称</stp>
        <tr r="B162" s="2"/>
      </tp>
      <tp t="s">
        <v>オービックビジネスＣ</v>
        <stp/>
        <stp>Market</stp>
        <stp>STOCK</stp>
        <stp>47330.T</stp>
        <stp>銘柄名称</stp>
        <tr r="B161" s="2"/>
      </tp>
    </main>
    <main first="rtdsrv.aa62150a635042219654be00b1467f2f">
      <tp t="s">
        <v>メイコー</v>
        <stp/>
        <stp>Market</stp>
        <stp>STOCK</stp>
        <stp>67870.T</stp>
        <stp>銘柄名称</stp>
        <tr r="B141" s="2"/>
      </tp>
      <tp t="s">
        <v>ＴＥＲＲＡＤＲＯＮＥ</v>
        <stp/>
        <stp>Market</stp>
        <stp>STOCK</stp>
        <stp>278A0.T</stp>
        <stp>銘柄名称</stp>
        <tr r="B247" s="2"/>
      </tp>
    </main>
    <main first="rtdsrv.aa62150a635042219654be00b1467f2f">
      <tp t="s">
        <v>Ｔ＆Ｄホールディングス</v>
        <stp/>
        <stp>Market</stp>
        <stp>STOCK</stp>
        <stp>87950.T</stp>
        <stp>銘柄名称</stp>
        <tr r="B19" s="2"/>
      </tp>
      <tp t="s">
        <v>イーディーピー</v>
        <stp/>
        <stp>Market</stp>
        <stp>STOCK</stp>
        <stp>77940.T</stp>
        <stp>銘柄名称</stp>
        <tr r="B132" s="2"/>
      </tp>
      <tp t="s">
        <v>ＮＥＣキャピタルソリューション</v>
        <stp/>
        <stp>Market</stp>
        <stp>STOCK</stp>
        <stp>87930.T</stp>
        <stp>銘柄名称</stp>
        <tr r="B228" s="2"/>
      </tp>
    </main>
    <main first="rtdsrv.aa62150a635042219654be00b1467f2f">
      <tp t="s">
        <v>ＧＭＯインターネットグループ</v>
        <stp/>
        <stp>Market</stp>
        <stp>STOCK</stp>
        <stp>94490.T</stp>
        <stp>銘柄名称</stp>
        <tr r="B109" s="2"/>
      </tp>
      <tp t="s">
        <v>大阪製鐵</v>
        <stp/>
        <stp>Market</stp>
        <stp>STOCK</stp>
        <stp>54490.T</stp>
        <stp>銘柄名称</stp>
        <tr r="B47" s="2"/>
      </tp>
      <tp t="s">
        <v>共英製鋼</v>
        <stp/>
        <stp>Market</stp>
        <stp>STOCK</stp>
        <stp>54400.T</stp>
        <stp>銘柄名称</stp>
        <tr r="B176" s="2"/>
      </tp>
      <tp t="s">
        <v>ミネベアミツミ</v>
        <stp/>
        <stp>Market</stp>
        <stp>STOCK</stp>
        <stp>64790.T</stp>
        <stp>銘柄名称</stp>
        <tr r="B75" s="2"/>
      </tp>
      <tp t="s">
        <v>日本テレビＨＬＤＳ</v>
        <stp/>
        <stp>Market</stp>
        <stp>STOCK</stp>
        <stp>94040.T</stp>
        <stp>銘柄名称</stp>
        <tr r="B115" s="2"/>
      </tp>
      <tp t="s">
        <v>ウエストホールディングス</v>
        <stp/>
        <stp>Market</stp>
        <stp>STOCK</stp>
        <stp>14070.T</stp>
        <stp>銘柄名称</stp>
        <tr r="B213" s="2"/>
      </tp>
      <tp t="s">
        <v>旭化成</v>
        <stp/>
        <stp>Market</stp>
        <stp>STOCK</stp>
        <stp>34070.T</stp>
        <stp>銘柄名称</stp>
        <tr r="B90" s="2"/>
      </tp>
      <tp t="s">
        <v>ＣＫＤ</v>
        <stp/>
        <stp>Market</stp>
        <stp>STOCK</stp>
        <stp>64070.T</stp>
        <stp>銘柄名称</stp>
        <tr r="B291" s="2"/>
      </tp>
      <tp t="s">
        <v>神戸製鋼所</v>
        <stp/>
        <stp>Market</stp>
        <stp>STOCK</stp>
        <stp>54060.T</stp>
        <stp>銘柄名称</stp>
        <tr r="B34" s="2"/>
      </tp>
      <tp t="s">
        <v>帝人</v>
        <stp/>
        <stp>Market</stp>
        <stp>STOCK</stp>
        <stp>34010.T</stp>
        <stp>銘柄名称</stp>
        <tr r="B23" s="2"/>
      </tp>
      <tp t="s">
        <v>日本製鉄</v>
        <stp/>
        <stp>Market</stp>
        <stp>STOCK</stp>
        <stp>54010.T</stp>
        <stp>銘柄名称</stp>
        <tr r="B42" s="2"/>
      </tp>
      <tp t="s">
        <v>東レ</v>
        <stp/>
        <stp>Market</stp>
        <stp>STOCK</stp>
        <stp>34020.T</stp>
        <stp>銘柄名称</stp>
        <tr r="B40" s="2"/>
      </tp>
    </main>
    <main first="rtdsrv.aa62150a635042219654be00b1467f2f">
      <tp t="s">
        <v>小野建</v>
        <stp/>
        <stp>Market</stp>
        <stp>STOCK</stp>
        <stp>74140.T</stp>
        <stp>銘柄名称</stp>
        <tr r="B290" s="2"/>
      </tp>
      <tp t="s">
        <v>グローバルセキュ</v>
        <stp/>
        <stp>Market</stp>
        <stp>STOCK</stp>
        <stp>44170.T</stp>
        <stp>銘柄名称</stp>
        <tr r="B149" s="2"/>
      </tp>
      <tp t="s">
        <v>ビジョン</v>
        <stp/>
        <stp>Market</stp>
        <stp>STOCK</stp>
        <stp>94160.T</stp>
        <stp>銘柄名称</stp>
        <tr r="B122" s="2"/>
      </tp>
      <tp t="s">
        <v>みずほフィナンシャルＧ</v>
        <stp/>
        <stp>Market</stp>
        <stp>STOCK</stp>
        <stp>84110.T</stp>
        <stp>銘柄名称</stp>
        <tr r="B15" s="2"/>
      </tp>
      <tp t="s">
        <v>ＪＦＥホールディングス</v>
        <stp/>
        <stp>Market</stp>
        <stp>STOCK</stp>
        <stp>54110.T</stp>
        <stp>銘柄名称</stp>
        <tr r="B80" s="2"/>
      </tp>
      <tp t="s">
        <v>合同製鐵</v>
        <stp/>
        <stp>Market</stp>
        <stp>STOCK</stp>
        <stp>54100.T</stp>
        <stp>銘柄名称</stp>
        <tr r="B175" s="2"/>
      </tp>
      <tp t="s">
        <v>スカパーＪＳＡＴ</v>
        <stp/>
        <stp>Market</stp>
        <stp>STOCK</stp>
        <stp>94120.T</stp>
        <stp>銘柄名称</stp>
        <tr r="B52" s="2"/>
      </tp>
      <tp t="s">
        <v>トライアルホールディングス</v>
        <stp/>
        <stp>Market</stp>
        <stp>STOCK</stp>
        <stp>141A0.T</stp>
        <stp>銘柄名称</stp>
        <tr r="B215" s="2"/>
      </tp>
      <tp t="s">
        <v>日本通信</v>
        <stp/>
        <stp>Market</stp>
        <stp>STOCK</stp>
        <stp>94240.T</stp>
        <stp>銘柄名称</stp>
        <tr r="B66" s="2"/>
      </tp>
      <tp t="s">
        <v>芙蓉総合リース</v>
        <stp/>
        <stp>Market</stp>
        <stp>STOCK</stp>
        <stp>84240.T</stp>
        <stp>銘柄名称</stp>
        <tr r="B104" s="2"/>
      </tp>
      <tp t="s">
        <v>東京製鐵</v>
        <stp/>
        <stp>Market</stp>
        <stp>STOCK</stp>
        <stp>54230.T</stp>
        <stp>銘柄名称</stp>
        <tr r="B3" s="2"/>
      </tp>
      <tp t="s">
        <v>ＶＡＬＵＥＮＥＸ</v>
        <stp/>
        <stp>Market</stp>
        <stp>STOCK</stp>
        <stp>44220.T</stp>
        <stp>銘柄名称</stp>
        <tr r="B135" s="2"/>
      </tp>
      <tp t="s">
        <v>ＳＵＭＣＯ</v>
        <stp/>
        <stp>Market</stp>
        <stp>STOCK</stp>
        <stp>34360.T</stp>
        <stp>銘柄名称</stp>
        <tr r="B24" s="2"/>
      </tp>
      <tp t="s">
        <v>アマノ</v>
        <stp/>
        <stp>Market</stp>
        <stp>STOCK</stp>
        <stp>64360.T</stp>
        <stp>銘柄名称</stp>
        <tr r="B174" s="2"/>
      </tp>
    </main>
    <main first="rtdsrv.aa62150a635042219654be00b1467f2f">
      <tp t="s">
        <v>ヨシタケ</v>
        <stp/>
        <stp>Market</stp>
        <stp>STOCK</stp>
        <stp>64880.T</stp>
        <stp>銘柄名称</stp>
        <tr r="B276" s="2"/>
      </tp>
      <tp t="s">
        <v>前澤給装工業</v>
        <stp/>
        <stp>Market</stp>
        <stp>STOCK</stp>
        <stp>64850.T</stp>
        <stp>銘柄名称</stp>
        <tr r="B187" s="2"/>
      </tp>
      <tp t="s">
        <v>ＹＵＳＨＩＮ</v>
        <stp/>
        <stp>Market</stp>
        <stp>STOCK</stp>
        <stp>64820.T</stp>
        <stp>銘柄名称</stp>
        <tr r="B286" s="2"/>
      </tp>
    </main>
    <main first="rtdsrv.aa62150a635042219654be00b1467f2f">
      <tp>
        <v>1821</v>
        <stp/>
        <stp>Market</stp>
        <stp>STOCK</stp>
        <stp>98820.T</stp>
        <stp>現在値</stp>
        <tr r="C112" s="2"/>
      </tp>
      <tp>
        <v>3230</v>
        <stp/>
        <stp>Market</stp>
        <stp>STOCK</stp>
        <stp>98800.T</stp>
        <stp>現在値</stp>
        <tr r="C253" s="2"/>
      </tp>
    </main>
    <main first="rtdsrv.aa62150a635042219654be00b1467f2f">
      <tp>
        <v>3632</v>
        <stp/>
        <stp>Market</stp>
        <stp>STOCK</stp>
        <stp>99620.T</stp>
        <stp>現在値</stp>
        <tr r="C229" s="2"/>
      </tp>
    </main>
    <main first="rtdsrv.aa62150a635042219654be00b1467f2f">
      <tp>
        <v>5424</v>
        <stp/>
        <stp>Market</stp>
        <stp>STOCK</stp>
        <stp>99840.T</stp>
        <stp>現在値</stp>
        <tr r="C61" s="2"/>
      </tp>
      <tp>
        <v>3027</v>
        <stp/>
        <stp>Market</stp>
        <stp>STOCK</stp>
        <stp>92020.T</stp>
        <stp>現在値</stp>
        <tr r="C70" s="2"/>
      </tp>
    </main>
    <main first="rtdsrv.aa62150a635042219654be00b1467f2f">
      <tp>
        <v>769</v>
        <stp/>
        <stp>Market</stp>
        <stp>STOCK</stp>
        <stp>92270.T</stp>
        <stp>現在値</stp>
        <tr r="C107" s="2"/>
      </tp>
    </main>
    <main first="rtdsrv.aa62150a635042219654be00b1467f2f">
      <tp>
        <v>411</v>
        <stp/>
        <stp>Market</stp>
        <stp>STOCK</stp>
        <stp>93480.T</stp>
        <stp>現在値</stp>
        <tr r="C108" s="2"/>
      </tp>
    </main>
    <main first="rtdsrv.aa62150a635042219654be00b1467f2f">
      <tp>
        <v>2195</v>
        <stp/>
        <stp>Market</stp>
        <stp>STOCK</stp>
        <stp>90690.T</stp>
        <stp>現在値</stp>
        <tr r="C106" s="2"/>
      </tp>
      <tp>
        <v>2003</v>
        <stp/>
        <stp>Market</stp>
        <stp>STOCK</stp>
        <stp>90640.T</stp>
        <stp>現在値</stp>
        <tr r="C185" s="2"/>
      </tp>
      <tp>
        <v>3766</v>
        <stp/>
        <stp>Market</stp>
        <stp>STOCK</stp>
        <stp>90220.T</stp>
        <stp>現在値</stp>
        <tr r="C180" s="2"/>
      </tp>
      <tp>
        <v>3624</v>
        <stp/>
        <stp>Market</stp>
        <stp>STOCK</stp>
        <stp>90200.T</stp>
        <stp>現在値</stp>
        <tr r="C105" s="2"/>
      </tp>
    </main>
    <main first="rtdsrv.aa62150a635042219654be00b1467f2f">
      <tp>
        <v>1702</v>
        <stp/>
        <stp>Market</stp>
        <stp>STOCK</stp>
        <stp>91650.T</stp>
        <stp>現在値</stp>
        <tr r="C239" s="2"/>
      </tp>
      <tp>
        <v>5706</v>
        <stp/>
        <stp>Market</stp>
        <stp>STOCK</stp>
        <stp>91010.T</stp>
        <stp>現在値</stp>
        <tr r="C202" s="2"/>
      </tp>
      <tp>
        <v>5609</v>
        <stp/>
        <stp>Market</stp>
        <stp>STOCK</stp>
        <stp>91040.T</stp>
        <stp>現在値</stp>
        <tr r="C255" s="2"/>
      </tp>
    </main>
    <main first="rtdsrv.aa62150a635042219654be00b1467f2f">
      <tp>
        <v>821</v>
        <stp/>
        <stp>Market</stp>
        <stp>STOCK</stp>
        <stp>91150.T</stp>
        <stp>現在値</stp>
        <tr r="C266" s="2"/>
      </tp>
    </main>
    <main first="rtdsrv.aa62150a635042219654be00b1467f2f">
      <tp>
        <v>4355</v>
        <stp/>
        <stp>Market</stp>
        <stp>STOCK</stp>
        <stp>96870.T</stp>
        <stp>現在値</stp>
        <tr r="C158" s="2"/>
      </tp>
    </main>
    <main first="rtdsrv.aa62150a635042219654be00b1467f2f">
      <tp>
        <v>2329</v>
        <stp/>
        <stp>Market</stp>
        <stp>STOCK</stp>
        <stp>97330.T</stp>
        <stp>現在値</stp>
        <tr r="C162" s="2"/>
      </tp>
    </main>
    <main first="rtdsrv.aa62150a635042219654be00b1467f2f">
      <tp>
        <v>4056</v>
        <stp/>
        <stp>Market</stp>
        <stp>STOCK</stp>
        <stp>94490.T</stp>
        <stp>現在値</stp>
        <tr r="C109" s="2"/>
      </tp>
      <tp>
        <v>2933.5</v>
        <stp/>
        <stp>Market</stp>
        <stp>STOCK</stp>
        <stp>94040.T</stp>
        <stp>現在値</stp>
        <tr r="C115" s="2"/>
      </tp>
      <tp>
        <v>2277</v>
        <stp/>
        <stp>Market</stp>
        <stp>STOCK</stp>
        <stp>94120.T</stp>
        <stp>現在値</stp>
        <tr r="C52" s="2"/>
      </tp>
      <tp>
        <v>998</v>
        <stp/>
        <stp>Market</stp>
        <stp>STOCK</stp>
        <stp>94160.T</stp>
        <stp>現在値</stp>
        <tr r="C122" s="2"/>
      </tp>
      <tp>
        <v>113</v>
        <stp/>
        <stp>Market</stp>
        <stp>STOCK</stp>
        <stp>94240.T</stp>
        <stp>現在値</stp>
        <tr r="C66" s="2"/>
      </tp>
    </main>
    <main first="rtdsrv.aa62150a635042219654be00b1467f2f">
      <tp>
        <v>3120</v>
        <stp/>
        <stp>Market</stp>
        <stp>STOCK</stp>
        <stp>95510.T</stp>
        <stp>現在値</stp>
        <tr r="C163" s="2"/>
      </tp>
      <tp>
        <v>506.6</v>
        <stp/>
        <stp>Market</stp>
        <stp>STOCK</stp>
        <stp>95010.T</stp>
        <stp>現在値</stp>
        <tr r="C110" s="2"/>
      </tp>
      <tp>
        <v>1127</v>
        <stp/>
        <stp>Market</stp>
        <stp>STOCK</stp>
        <stp>95060.T</stp>
        <stp>現在値</stp>
        <tr r="C182" s="2"/>
      </tp>
      <tp>
        <v>909.4</v>
        <stp/>
        <stp>Market</stp>
        <stp>STOCK</stp>
        <stp>95050.T</stp>
        <stp>現在値</stp>
        <tr r="C177" s="2"/>
      </tp>
      <tp>
        <v>981</v>
        <stp/>
        <stp>Market</stp>
        <stp>STOCK</stp>
        <stp>95190.T</stp>
        <stp>現在値</stp>
        <tr r="C210" s="2"/>
      </tp>
      <tp>
        <v>5367</v>
        <stp/>
        <stp>Market</stp>
        <stp>STOCK</stp>
        <stp>95320.T</stp>
        <stp>現在値</stp>
        <tr r="C123" s="2"/>
      </tp>
      <tp>
        <v>6087</v>
        <stp/>
        <stp>Market</stp>
        <stp>STOCK</stp>
        <stp>95310.T</stp>
        <stp>現在値</stp>
        <tr r="C111" s="2"/>
      </tp>
      <tp>
        <v>2318</v>
        <stp/>
        <stp>Market</stp>
        <stp>STOCK</stp>
        <stp>95360.T</stp>
        <stp>現在値</stp>
        <tr r="C181" s="2"/>
      </tp>
    </main>
    <main first="rtdsrv.aa62150a635042219654be00b1467f2f">
      <tp t="s">
        <v>ＨＵグループＨＤ</v>
        <stp/>
        <stp>Market</stp>
        <stp>STOCK</stp>
        <stp>45440.T</stp>
        <stp>銘柄名称</stp>
        <tr r="B269" s="2"/>
      </tp>
      <tp t="s">
        <v>大平洋金属</v>
        <stp/>
        <stp>Market</stp>
        <stp>STOCK</stp>
        <stp>55410.T</stp>
        <stp>銘柄名称</stp>
        <tr r="B16" s="2"/>
      </tp>
      <tp t="s">
        <v>ツムラ</v>
        <stp/>
        <stp>Market</stp>
        <stp>STOCK</stp>
        <stp>45400.T</stp>
        <stp>銘柄名称</stp>
        <tr r="B60" s="2"/>
      </tp>
      <tp t="s">
        <v>メタウォーター</v>
        <stp/>
        <stp>Market</stp>
        <stp>STOCK</stp>
        <stp>95510.T</stp>
        <stp>銘柄名称</stp>
        <tr r="B163" s="2"/>
      </tp>
      <tp t="s">
        <v>情報戦略テクノロジー</v>
        <stp/>
        <stp>Market</stp>
        <stp>STOCK</stp>
        <stp>155A0.T</stp>
        <stp>銘柄名称</stp>
        <tr r="B246" s="2"/>
      </tp>
      <tp t="s">
        <v>第一三共</v>
        <stp/>
        <stp>Market</stp>
        <stp>STOCK</stp>
        <stp>45680.T</stp>
        <stp>銘柄名称</stp>
        <tr r="B138" s="2"/>
      </tp>
      <tp t="s">
        <v>ＦＯＯＤ＆ＬＩＦＥＣＯＭＰＡＮ</v>
        <stp/>
        <stp>Market</stp>
        <stp>STOCK</stp>
        <stp>35630.T</stp>
        <stp>銘柄名称</stp>
        <tr r="B226" s="2"/>
      </tp>
      <tp t="s">
        <v>イオンフィナンシャルサービス</v>
        <stp/>
        <stp>Market</stp>
        <stp>STOCK</stp>
        <stp>85700.T</stp>
        <stp>銘柄名称</stp>
        <tr r="B33" s="2"/>
      </tp>
      <tp t="s">
        <v>ＮＦ日経レバ</v>
        <stp/>
        <stp>Market</stp>
        <stp>STOCK</stp>
        <stp>15700.T</stp>
        <stp>銘柄名称</stp>
        <tr r="B218" s="2"/>
      </tp>
      <tp t="s">
        <v>アコム</v>
        <stp/>
        <stp>Market</stp>
        <stp>STOCK</stp>
        <stp>85720.T</stp>
        <stp>銘柄名称</stp>
        <tr r="B43" s="2"/>
      </tp>
      <tp t="s">
        <v>北陸電力</v>
        <stp/>
        <stp>Market</stp>
        <stp>STOCK</stp>
        <stp>95050.T</stp>
        <stp>銘柄名称</stp>
        <tr r="B177" s="2"/>
      </tp>
      <tp t="s">
        <v>シンフォニアテクノロジー</v>
        <stp/>
        <stp>Market</stp>
        <stp>STOCK</stp>
        <stp>65070.T</stp>
        <stp>銘柄名称</stp>
        <tr r="B179" s="2"/>
      </tp>
      <tp t="s">
        <v>東北電力</v>
        <stp/>
        <stp>Market</stp>
        <stp>STOCK</stp>
        <stp>95060.T</stp>
        <stp>銘柄名称</stp>
        <tr r="B182" s="2"/>
      </tp>
      <tp t="s">
        <v>安川電機</v>
        <stp/>
        <stp>Market</stp>
        <stp>STOCK</stp>
        <stp>65060.T</stp>
        <stp>銘柄名称</stp>
        <tr r="B197" s="2"/>
      </tp>
      <tp t="s">
        <v>東京電力ＨＤ</v>
        <stp/>
        <stp>Market</stp>
        <stp>STOCK</stp>
        <stp>95010.T</stp>
        <stp>銘柄名称</stp>
        <tr r="B110" s="2"/>
      </tp>
      <tp t="s">
        <v>日立</v>
        <stp/>
        <stp>Market</stp>
        <stp>STOCK</stp>
        <stp>65010.T</stp>
        <stp>銘柄名称</stp>
        <tr r="B87" s="2"/>
      </tp>
      <tp t="s">
        <v>三菱電機</v>
        <stp/>
        <stp>Market</stp>
        <stp>STOCK</stp>
        <stp>65030.T</stp>
        <stp>銘柄名称</stp>
        <tr r="B64" s="2"/>
      </tp>
      <tp t="s">
        <v>武田薬品</v>
        <stp/>
        <stp>Market</stp>
        <stp>STOCK</stp>
        <stp>45020.T</stp>
        <stp>銘柄名称</stp>
        <tr r="B208" s="2"/>
      </tp>
    </main>
    <main first="rtdsrv.aa62150a635042219654be00b1467f2f">
      <tp t="s">
        <v>レノバ</v>
        <stp/>
        <stp>Market</stp>
        <stp>STOCK</stp>
        <stp>95190.T</stp>
        <stp>銘柄名称</stp>
        <tr r="B210" s="2"/>
      </tp>
      <tp t="s">
        <v>中外製薬</v>
        <stp/>
        <stp>Market</stp>
        <stp>STOCK</stp>
        <stp>45190.T</stp>
        <stp>銘柄名称</stp>
        <tr r="B126" s="2"/>
      </tp>
      <tp t="s">
        <v>住石ホールディングス</v>
        <stp/>
        <stp>Market</stp>
        <stp>STOCK</stp>
        <stp>15140.T</stp>
        <stp>銘柄名称</stp>
        <tr r="B258" s="2"/>
      </tp>
      <tp t="s">
        <v>山洋電気</v>
        <stp/>
        <stp>Market</stp>
        <stp>STOCK</stp>
        <stp>65160.T</stp>
        <stp>銘柄名称</stp>
        <tr r="B147" s="2"/>
      </tp>
    </main>
    <main first="rtdsrv.aa62150a635042219654be00b1467f2f">
      <tp t="s">
        <v>小野薬品</v>
        <stp/>
        <stp>Market</stp>
        <stp>STOCK</stp>
        <stp>45280.T</stp>
        <stp>銘柄名称</stp>
        <tr r="B96" s="2"/>
      </tp>
      <tp t="s">
        <v>オキサイド</v>
        <stp/>
        <stp>Market</stp>
        <stp>STOCK</stp>
        <stp>65210.T</stp>
        <stp>銘柄名称</stp>
        <tr r="B238" s="2"/>
      </tp>
      <tp t="s">
        <v>エーザイ</v>
        <stp/>
        <stp>Market</stp>
        <stp>STOCK</stp>
        <stp>45230.T</stp>
        <stp>銘柄名称</stp>
        <tr r="B95" s="2"/>
      </tp>
      <tp t="s">
        <v>アスタリスク</v>
        <stp/>
        <stp>Market</stp>
        <stp>STOCK</stp>
        <stp>65220.T</stp>
        <stp>銘柄名称</stp>
        <tr r="B139" s="2"/>
      </tp>
      <tp t="s">
        <v>西部ガスＨＬＤＧＳ</v>
        <stp/>
        <stp>Market</stp>
        <stp>STOCK</stp>
        <stp>95360.T</stp>
        <stp>銘柄名称</stp>
        <tr r="B181" s="2"/>
      </tp>
      <tp t="s">
        <v>参天製薬</v>
        <stp/>
        <stp>Market</stp>
        <stp>STOCK</stp>
        <stp>45360.T</stp>
        <stp>銘柄名称</stp>
        <tr r="B63" s="2"/>
      </tp>
      <tp t="s">
        <v>東京瓦斯</v>
        <stp/>
        <stp>Market</stp>
        <stp>STOCK</stp>
        <stp>95310.T</stp>
        <stp>銘柄名称</stp>
        <tr r="B111" s="2"/>
      </tp>
      <tp t="s">
        <v>大阪瓦斯</v>
        <stp/>
        <stp>Market</stp>
        <stp>STOCK</stp>
        <stp>95320.T</stp>
        <stp>銘柄名称</stp>
        <tr r="B123" s="2"/>
      </tp>
      <tp t="s">
        <v>パンパシフィックＨＤ</v>
        <stp/>
        <stp>Market</stp>
        <stp>STOCK</stp>
        <stp>75320.T</stp>
        <stp>銘柄名称</stp>
        <tr r="B301" s="2"/>
      </tp>
    </main>
    <main first="rtdsrv.aa62150a635042219654be00b1467f2f">
      <tp t="s">
        <v>オリックス</v>
        <stp/>
        <stp>Market</stp>
        <stp>STOCK</stp>
        <stp>85910.T</stp>
        <stp>銘柄名称</stp>
        <tr r="B22" s="2"/>
      </tp>
      <tp t="s">
        <v>三菱ＨＣキャピタル</v>
        <stp/>
        <stp>Market</stp>
        <stp>STOCK</stp>
        <stp>85930.T</stp>
        <stp>銘柄名称</stp>
        <tr r="B35" s="2"/>
      </tp>
    </main>
    <main first="rtdsrv.aa62150a635042219654be00b1467f2f">
      <tp>
        <v>3300</v>
        <stp/>
        <stp>Market</stp>
        <stp>STOCK</stp>
        <stp>88710.T</stp>
        <stp>現在値</stp>
        <tr r="C274" s="2"/>
      </tp>
      <tp>
        <v>1537</v>
        <stp/>
        <stp>Market</stp>
        <stp>STOCK</stp>
        <stp>88010.T</stp>
        <stp>現在値</stp>
        <tr r="C120" s="2"/>
      </tp>
    </main>
    <main first="rtdsrv.aa62150a635042219654be00b1467f2f">
      <tp>
        <v>1099</v>
        <stp/>
        <stp>Market</stp>
        <stp>STOCK</stp>
        <stp>88920.T</stp>
        <stp>現在値</stp>
        <tr r="C157" s="2"/>
      </tp>
    </main>
    <main first="rtdsrv.aa62150a635042219654be00b1467f2f">
      <tp>
        <v>2501</v>
        <stp/>
        <stp>Market</stp>
        <stp>STOCK</stp>
        <stp>89340.T</stp>
        <stp>現在値</stp>
        <tr r="C121" s="2"/>
      </tp>
    </main>
    <main first="rtdsrv.aa62150a635042219654be00b1467f2f">
      <tp>
        <v>1116</v>
        <stp/>
        <stp>Market</stp>
        <stp>STOCK</stp>
        <stp>82810.T</stp>
        <stp>現在値</stp>
        <tr r="C59" s="2"/>
      </tp>
      <tp>
        <v>3615</v>
        <stp/>
        <stp>Market</stp>
        <stp>STOCK</stp>
        <stp>83440.T</stp>
        <stp>現在値</stp>
        <tr r="C289" s="2"/>
      </tp>
      <tp>
        <v>2456.5</v>
        <stp/>
        <stp>Market</stp>
        <stp>STOCK</stp>
        <stp>83590.T</stp>
        <stp>現在値</stp>
        <tr r="C119" s="2"/>
      </tp>
      <tp>
        <v>6450</v>
        <stp/>
        <stp>Market</stp>
        <stp>STOCK</stp>
        <stp>83090.T</stp>
        <stp>現在値</stp>
        <tr r="C27" s="2"/>
      </tp>
      <tp>
        <v>2224.5</v>
        <stp/>
        <stp>Market</stp>
        <stp>STOCK</stp>
        <stp>83080.T</stp>
        <stp>現在値</stp>
        <tr r="C31" s="2"/>
      </tp>
      <tp>
        <v>1408.5</v>
        <stp/>
        <stp>Market</stp>
        <stp>STOCK</stp>
        <stp>83030.T</stp>
        <stp>現在値</stp>
        <tr r="C168" s="2"/>
      </tp>
      <tp>
        <v>3473</v>
        <stp/>
        <stp>Market</stp>
        <stp>STOCK</stp>
        <stp>83060.T</stp>
        <stp>現在値</stp>
        <tr r="C41" s="2"/>
      </tp>
    </main>
    <main first="rtdsrv.aa62150a635042219654be00b1467f2f">
      <tp>
        <v>6721</v>
        <stp/>
        <stp>Market</stp>
        <stp>STOCK</stp>
        <stp>83160.T</stp>
        <stp>現在値</stp>
        <tr r="C46" s="2"/>
      </tp>
      <tp>
        <v>2436.5</v>
        <stp/>
        <stp>Market</stp>
        <stp>STOCK</stp>
        <stp>83340.T</stp>
        <stp>現在値</stp>
        <tr r="C118" s="2"/>
      </tp>
    </main>
    <main first="rtdsrv.aa62150a635042219654be00b1467f2f">
      <tp>
        <v>4447</v>
        <stp/>
        <stp>Market</stp>
        <stp>STOCK</stp>
        <stp>80580.T</stp>
        <stp>現在値</stp>
        <tr r="C12" s="2"/>
      </tp>
      <tp>
        <v>1514</v>
        <stp/>
        <stp>Market</stp>
        <stp>STOCK</stp>
        <stp>80530.T</stp>
        <stp>現在値</stp>
        <tr r="C21" s="2"/>
      </tp>
      <tp>
        <v>4988</v>
        <stp/>
        <stp>Market</stp>
        <stp>STOCK</stp>
        <stp>80020.T</stp>
        <stp>現在値</stp>
        <tr r="C10" s="2"/>
      </tp>
      <tp>
        <v>778</v>
        <stp/>
        <stp>Market</stp>
        <stp>STOCK</stp>
        <stp>80070.T</stp>
        <stp>現在値</stp>
        <tr r="C277" s="2"/>
      </tp>
      <tp>
        <v>1713</v>
        <stp/>
        <stp>Market</stp>
        <stp>STOCK</stp>
        <stp>80050.T</stp>
        <stp>現在値</stp>
        <tr r="C232" s="2"/>
      </tp>
    </main>
    <main first="rtdsrv.aa62150a635042219654be00b1467f2f">
      <tp>
        <v>6076</v>
        <stp/>
        <stp>Market</stp>
        <stp>STOCK</stp>
        <stp>80150.T</stp>
        <stp>現在値</stp>
        <tr r="C200" s="2"/>
      </tp>
    </main>
    <main first="rtdsrv.aa62150a635042219654be00b1467f2f">
      <tp>
        <v>65100</v>
        <stp/>
        <stp>Market</stp>
        <stp>STOCK</stp>
        <stp>80350.T</stp>
        <stp>現在値</stp>
        <tr r="C194" s="2"/>
      </tp>
    </main>
    <main first="rtdsrv.aa62150a635042219654be00b1467f2f">
      <tp>
        <v>2316</v>
        <stp/>
        <stp>Market</stp>
        <stp>STOCK</stp>
        <stp>80910.T</stp>
        <stp>現在値</stp>
        <tr r="C178" s="2"/>
      </tp>
    </main>
    <main first="rtdsrv.aa62150a635042219654be00b1467f2f">
      <tp>
        <v>1605</v>
        <stp/>
        <stp>Market</stp>
        <stp>STOCK</stp>
        <stp>81410.T</stp>
        <stp>現在値</stp>
        <tr r="C288" s="2"/>
      </tp>
      <tp>
        <v>895</v>
        <stp/>
        <stp>Market</stp>
        <stp>STOCK</stp>
        <stp>81030.T</stp>
        <stp>現在値</stp>
        <tr r="C165" s="2"/>
      </tp>
    </main>
    <main first="rtdsrv.aa62150a635042219654be00b1467f2f">
      <tp>
        <v>1779.5</v>
        <stp/>
        <stp>Market</stp>
        <stp>STOCK</stp>
        <stp>86010.T</stp>
        <stp>現在値</stp>
        <tr r="C29" s="2"/>
      </tp>
      <tp>
        <v>1520</v>
        <stp/>
        <stp>Market</stp>
        <stp>STOCK</stp>
        <stp>86040.T</stp>
        <stp>現在値</stp>
        <tr r="C36" s="2"/>
      </tp>
      <tp>
        <v>6630</v>
        <stp/>
        <stp>Market</stp>
        <stp>STOCK</stp>
        <stp>86300.T</stp>
        <stp>現在値</stp>
        <tr r="C50" s="2"/>
      </tp>
    </main>
    <main first="rtdsrv.aa62150a635042219654be00b1467f2f">
      <tp>
        <v>1799</v>
        <stp/>
        <stp>Market</stp>
        <stp>STOCK</stp>
        <stp>87500.T</stp>
        <stp>現在値</stp>
        <tr r="C39" s="2"/>
      </tp>
      <tp>
        <v>7526</v>
        <stp/>
        <stp>Market</stp>
        <stp>STOCK</stp>
        <stp>87660.T</stp>
        <stp>現在値</stp>
        <tr r="C48" s="2"/>
      </tp>
      <tp>
        <v>1242</v>
        <stp/>
        <stp>Market</stp>
        <stp>STOCK</stp>
        <stp>87040.T</stp>
        <stp>現在値</stp>
        <tr r="C160" s="2"/>
      </tp>
      <tp>
        <v>4483</v>
        <stp/>
        <stp>Market</stp>
        <stp>STOCK</stp>
        <stp>87250.T</stp>
        <stp>現在値</stp>
        <tr r="C18" s="2"/>
      </tp>
      <tp>
        <v>4015</v>
        <stp/>
        <stp>Market</stp>
        <stp>STOCK</stp>
        <stp>87930.T</stp>
        <stp>現在値</stp>
        <tr r="C228" s="2"/>
      </tp>
      <tp>
        <v>4793</v>
        <stp/>
        <stp>Market</stp>
        <stp>STOCK</stp>
        <stp>87950.T</stp>
        <stp>現在値</stp>
        <tr r="C19" s="2"/>
      </tp>
    </main>
    <main first="rtdsrv.aa62150a635042219654be00b1467f2f">
      <tp>
        <v>7930</v>
        <stp/>
        <stp>Market</stp>
        <stp>STOCK</stp>
        <stp>84110.T</stp>
        <stp>現在値</stp>
        <tr r="C15" s="2"/>
      </tp>
      <tp>
        <v>4345</v>
        <stp/>
        <stp>Market</stp>
        <stp>STOCK</stp>
        <stp>84240.T</stp>
        <stp>現在値</stp>
        <tr r="C104" s="2"/>
      </tp>
    </main>
    <main first="rtdsrv.aa62150a635042219654be00b1467f2f">
      <tp>
        <v>484.1</v>
        <stp/>
        <stp>Market</stp>
        <stp>STOCK</stp>
        <stp>85720.T</stp>
        <stp>現在値</stp>
        <tr r="C43" s="2"/>
      </tp>
      <tp>
        <v>1527</v>
        <stp/>
        <stp>Market</stp>
        <stp>STOCK</stp>
        <stp>85700.T</stp>
        <stp>現在値</stp>
        <tr r="C33" s="2"/>
      </tp>
    </main>
    <main first="rtdsrv.aa62150a635042219654be00b1467f2f">
      <tp>
        <v>1390</v>
        <stp/>
        <stp>Market</stp>
        <stp>STOCK</stp>
        <stp>85930.T</stp>
        <stp>現在値</stp>
        <tr r="C35" s="2"/>
      </tp>
      <tp>
        <v>6203</v>
        <stp/>
        <stp>Market</stp>
        <stp>STOCK</stp>
        <stp>85910.T</stp>
        <stp>現在値</stp>
        <tr r="C22" s="2"/>
      </tp>
      <tp>
        <v>627</v>
        <stp/>
        <stp>Market</stp>
        <stp>STOCK</stp>
        <stp>42220.T</stp>
        <stp>前日終値</stp>
        <tr r="E225" s="2"/>
      </tp>
      <tp>
        <v>820</v>
        <stp/>
        <stp>Market</stp>
        <stp>STOCK</stp>
        <stp>92270.T</stp>
        <stp>前日終値</stp>
        <tr r="E107" s="2"/>
      </tp>
      <tp>
        <v>7030</v>
        <stp/>
        <stp>Market</stp>
        <stp>STOCK</stp>
        <stp>62270.T</stp>
        <stp>前日終値</stp>
        <tr r="E128" s="2"/>
      </tp>
      <tp>
        <v>3960</v>
        <stp/>
        <stp>Market</stp>
        <stp>STOCK</stp>
        <stp>52330.T</stp>
        <stp>前日終値</stp>
        <tr r="E30" s="2"/>
      </tp>
      <tp>
        <v>1756</v>
        <stp/>
        <stp>Market</stp>
        <stp>STOCK</stp>
        <stp>62320.T</stp>
        <stp>前日終値</stp>
        <tr r="E131" s="2"/>
      </tp>
      <tp>
        <v>1527</v>
        <stp/>
        <stp>Market</stp>
        <stp>STOCK</stp>
        <stp>72360.T</stp>
        <stp>前日終値</stp>
        <tr r="E173" s="2"/>
      </tp>
    </main>
    <main first="rtdsrv.aa62150a635042219654be00b1467f2f">
      <tp>
        <v>3287</v>
        <stp/>
        <stp>Market</stp>
        <stp>STOCK</stp>
        <stp>42080.T</stp>
        <stp>前日終値</stp>
        <tr r="E294" s="2"/>
      </tp>
      <tp>
        <v>6422</v>
        <stp/>
        <stp>Market</stp>
        <stp>STOCK</stp>
        <stp>52010.T</stp>
        <stp>前日終値</stp>
        <tr r="E49" s="2"/>
      </tp>
      <tp>
        <v>1457</v>
        <stp/>
        <stp>Market</stp>
        <stp>STOCK</stp>
        <stp>62030.T</stp>
        <stp>前日終値</stp>
        <tr r="E53" s="2"/>
      </tp>
      <tp>
        <v>2909</v>
        <stp/>
        <stp>Market</stp>
        <stp>STOCK</stp>
        <stp>72030.T</stp>
        <stp>前日終値</stp>
        <tr r="E73" s="2"/>
      </tp>
      <tp>
        <v>2998.5</v>
        <stp/>
        <stp>Market</stp>
        <stp>STOCK</stp>
        <stp>92020.T</stp>
        <stp>前日終値</stp>
        <tr r="E70" s="2"/>
      </tp>
      <tp>
        <v>1803</v>
        <stp/>
        <stp>Market</stp>
        <stp>STOCK</stp>
        <stp>78460.T</stp>
        <stp>現在値</stp>
        <tr r="C71" s="2"/>
      </tp>
      <tp>
        <v>7460</v>
        <stp/>
        <stp>Market</stp>
        <stp>STOCK</stp>
        <stp>78060.T</stp>
        <stp>現在値</stp>
        <tr r="C69" s="2"/>
      </tp>
    </main>
    <main first="rtdsrv.aa62150a635042219654be00b1467f2f">
      <tp>
        <v>1916</v>
        <stp/>
        <stp>Market</stp>
        <stp>STOCK</stp>
        <stp>42180.T</stp>
        <stp>前日終値</stp>
        <tr r="E278" s="2"/>
      </tp>
      <tp>
        <v>3205</v>
        <stp/>
        <stp>Market</stp>
        <stp>STOCK</stp>
        <stp>79520.T</stp>
        <stp>現在値</stp>
        <tr r="C272" s="2"/>
      </tp>
      <tp>
        <v>2720</v>
        <stp/>
        <stp>Market</stp>
        <stp>STOCK</stp>
        <stp>79720.T</stp>
        <stp>現在値</stp>
        <tr r="C237" s="2"/>
      </tp>
    </main>
    <main first="rtdsrv.aa62150a635042219654be00b1467f2f">
      <tp>
        <v>3055</v>
        <stp/>
        <stp>Market</stp>
        <stp>STOCK</stp>
        <stp>79810.T</stp>
        <stp>現在値</stp>
        <tr r="C167" s="2"/>
      </tp>
    </main>
    <main first="rtdsrv.aa62150a635042219654be00b1467f2f">
      <tp>
        <v>2789</v>
        <stp/>
        <stp>Market</stp>
        <stp>STOCK</stp>
        <stp>22670.T</stp>
        <stp>前日終値</stp>
        <tr r="E222" s="2"/>
      </tp>
      <tp>
        <v>2518.5</v>
        <stp/>
        <stp>Market</stp>
        <stp>STOCK</stp>
        <stp>72700.T</stp>
        <stp>前日終値</stp>
        <tr r="E282" s="2"/>
      </tp>
      <tp>
        <v>73430</v>
        <stp/>
        <stp>Market</stp>
        <stp>STOCK</stp>
        <stp>62730.T</stp>
        <stp>前日終値</stp>
        <tr r="E207" s="2"/>
      </tp>
      <tp>
        <v>2195</v>
        <stp/>
        <stp>Market</stp>
        <stp>STOCK</stp>
        <stp>52430.T</stp>
        <stp>前日終値</stp>
        <tr r="E189" s="2"/>
      </tp>
      <tp>
        <v>1677</v>
        <stp/>
        <stp>Market</stp>
        <stp>STOCK</stp>
        <stp>52530.T</stp>
        <stp>前日終値</stp>
        <tr r="E254" s="2"/>
      </tp>
      <tp>
        <v>4250</v>
        <stp/>
        <stp>Market</stp>
        <stp>STOCK</stp>
        <stp>62540.T</stp>
        <stp>前日終値</stp>
        <tr r="E26" s="2"/>
      </tp>
      <tp>
        <v>2534</v>
        <stp/>
        <stp>Market</stp>
        <stp>STOCK</stp>
        <stp>72700.T</stp>
        <stp>現在値</stp>
        <tr r="C282" s="2"/>
      </tp>
      <tp>
        <v>2899.5</v>
        <stp/>
        <stp>Market</stp>
        <stp>STOCK</stp>
        <stp>72030.T</stp>
        <stp>現在値</stp>
        <tr r="C73" s="2"/>
      </tp>
    </main>
    <main first="rtdsrv.aa62150a635042219654be00b1467f2f">
      <tp>
        <v>1482</v>
        <stp/>
        <stp>Market</stp>
        <stp>STOCK</stp>
        <stp>72360.T</stp>
        <stp>現在値</stp>
        <tr r="C173" s="2"/>
      </tp>
    </main>
    <main first="rtdsrv.aa62150a635042219654be00b1467f2f">
      <tp>
        <v>1186</v>
        <stp/>
        <stp>Market</stp>
        <stp>STOCK</stp>
        <stp>73750.T</stp>
        <stp>現在値</stp>
        <tr r="C145" s="2"/>
      </tp>
    </main>
    <main first="rtdsrv.aa62150a635042219654be00b1467f2f">
      <tp>
        <v>1072</v>
        <stp/>
        <stp>Market</stp>
        <stp>STOCK</stp>
        <stp>73810.T</stp>
        <stp>現在値</stp>
        <tr r="C148" s="2"/>
      </tp>
    </main>
    <main first="rtdsrv.aa62150a635042219654be00b1467f2f">
      <tp>
        <v>1097</v>
        <stp/>
        <stp>Market</stp>
        <stp>STOCK</stp>
        <stp>82810.T</stp>
        <stp>前日終値</stp>
        <tr r="E59" s="2"/>
      </tp>
      <tp>
        <v>178</v>
        <stp/>
        <stp>Market</stp>
        <stp>STOCK</stp>
        <stp>70480.T</stp>
        <stp>現在値</stp>
        <tr r="C292" s="2"/>
      </tp>
      <tp>
        <v>2666.5</v>
        <stp/>
        <stp>Market</stp>
        <stp>STOCK</stp>
        <stp>70130.T</stp>
        <stp>現在値</stp>
        <tr r="C227" s="2"/>
      </tp>
      <tp>
        <v>3681</v>
        <stp/>
        <stp>Market</stp>
        <stp>STOCK</stp>
        <stp>70110.T</stp>
        <stp>現在値</stp>
        <tr r="C203" s="2"/>
      </tp>
      <tp>
        <v>3785</v>
        <stp/>
        <stp>Market</stp>
        <stp>STOCK</stp>
        <stp>70140.T</stp>
        <stp>現在値</stp>
        <tr r="C252" s="2"/>
      </tp>
    </main>
    <main first="rtdsrv.aa62150a635042219654be00b1467f2f">
      <tp>
        <v>1868</v>
        <stp/>
        <stp>Market</stp>
        <stp>STOCK</stp>
        <stp>70210.T</stp>
        <stp>現在値</stp>
        <tr r="C102" s="2"/>
      </tp>
    </main>
    <main first="rtdsrv.aa62150a635042219654be00b1467f2f">
      <tp>
        <v>1427</v>
        <stp/>
        <stp>Market</stp>
        <stp>STOCK</stp>
        <stp>71670.T</stp>
        <stp>現在値</stp>
        <tr r="C78" s="2"/>
      </tp>
    </main>
    <main first="rtdsrv.aa62150a635042219654be00b1467f2f">
      <tp>
        <v>3141</v>
        <stp/>
        <stp>Market</stp>
        <stp>STOCK</stp>
        <stp>71820.T</stp>
        <stp>現在値</stp>
        <tr r="C81" s="2"/>
      </tp>
      <tp>
        <v>1610.5</v>
        <stp/>
        <stp>Market</stp>
        <stp>STOCK</stp>
        <stp>71810.T</stp>
        <stp>現在値</stp>
        <tr r="C186" s="2"/>
      </tp>
    </main>
    <main first="rtdsrv.aa62150a635042219654be00b1467f2f">
      <tp>
        <v>3300</v>
        <stp/>
        <stp>Market</stp>
        <stp>STOCK</stp>
        <stp>76090.T</stp>
        <stp>現在値</stp>
        <tr r="C236" s="2"/>
      </tp>
    </main>
    <main first="rtdsrv.aa62150a635042219654be00b1467f2f">
      <tp>
        <v>3400</v>
        <stp/>
        <stp>Market</stp>
        <stp>STOCK</stp>
        <stp>76850.T</stp>
        <stp>現在値</stp>
        <tr r="C117" s="2"/>
      </tp>
    </main>
    <main first="rtdsrv.aa62150a635042219654be00b1467f2f">
      <tp>
        <v>25215</v>
        <stp/>
        <stp>Market</stp>
        <stp>STOCK</stp>
        <stp>77410.T</stp>
        <stp>現在値</stp>
        <tr r="C298" s="2"/>
      </tp>
      <tp>
        <v>736</v>
        <stp/>
        <stp>Market</stp>
        <stp>STOCK</stp>
        <stp>77460.T</stp>
        <stp>現在値</stp>
        <tr r="C89" s="2"/>
      </tp>
      <tp>
        <v>4455</v>
        <stp/>
        <stp>Market</stp>
        <stp>STOCK</stp>
        <stp>77110.T</stp>
        <stp>現在値</stp>
        <tr r="C264" s="2"/>
      </tp>
      <tp>
        <v>17055</v>
        <stp/>
        <stp>Market</stp>
        <stp>STOCK</stp>
        <stp>77290.T</stp>
        <stp>現在値</stp>
        <tr r="C103" s="2"/>
      </tp>
      <tp>
        <v>16510</v>
        <stp/>
        <stp>Market</stp>
        <stp>STOCK</stp>
        <stp>77350.T</stp>
        <stp>現在値</stp>
        <tr r="C279" s="2"/>
      </tp>
    </main>
    <main first="rtdsrv.aa62150a635042219654be00b1467f2f">
      <tp>
        <v>913</v>
        <stp/>
        <stp>Market</stp>
        <stp>STOCK</stp>
        <stp>77940.T</stp>
        <stp>現在値</stp>
        <tr r="C132" s="2"/>
      </tp>
      <tp>
        <v>1405</v>
        <stp/>
        <stp>Market</stp>
        <stp>STOCK</stp>
        <stp>74140.T</stp>
        <stp>現在値</stp>
        <tr r="C290" s="2"/>
      </tp>
    </main>
    <main first="rtdsrv.aa62150a635042219654be00b1467f2f">
      <tp>
        <v>889</v>
        <stp/>
        <stp>Market</stp>
        <stp>STOCK</stp>
        <stp>75320.T</stp>
        <stp>現在値</stp>
        <tr r="C301" s="2"/>
      </tp>
    </main>
    <main first="rtdsrv.aa62150a635042219654be00b1467f2f">
      <tp>
        <v>69230</v>
        <stp/>
        <stp>Market</stp>
        <stp>STOCK</stp>
        <stp>13210.T</stp>
        <stp>前日終値</stp>
        <tr r="E299" s="2"/>
      </tp>
      <tp>
        <v>4676</v>
        <stp/>
        <stp>Market</stp>
        <stp>STOCK</stp>
        <stp>63230.T</stp>
        <stp>前日終値</stp>
        <tr r="E86" s="2"/>
      </tp>
      <tp>
        <v>7200</v>
        <stp/>
        <stp>Market</stp>
        <stp>STOCK</stp>
        <stp>63240.T</stp>
        <stp>前日終値</stp>
        <tr r="E206" s="2"/>
      </tp>
      <tp>
        <v>4570</v>
        <stp/>
        <stp>Market</stp>
        <stp>STOCK</stp>
        <stp>63270.T</stp>
        <stp>前日終値</stp>
        <tr r="E129" s="2"/>
      </tp>
      <tp>
        <v>3816</v>
        <stp/>
        <stp>Market</stp>
        <stp>STOCK</stp>
        <stp>23270.T</stp>
        <stp>前日終値</stp>
        <tr r="E170" s="2"/>
      </tp>
      <tp>
        <v>4015</v>
        <stp/>
        <stp>Market</stp>
        <stp>STOCK</stp>
        <stp>23260.T</stp>
        <stp>前日終値</stp>
        <tr r="E233" s="2"/>
      </tp>
      <tp>
        <v>3345</v>
        <stp/>
        <stp>Market</stp>
        <stp>STOCK</stp>
        <stp>63310.T</stp>
        <stp>前日終値</stp>
        <tr r="E297" s="2"/>
      </tp>
      <tp>
        <v>1895</v>
        <stp/>
        <stp>Market</stp>
        <stp>STOCK</stp>
        <stp>63300.T</stp>
        <stp>前日終値</stp>
        <tr r="E124" s="2"/>
      </tp>
      <tp>
        <v>6465</v>
        <stp/>
        <stp>Market</stp>
        <stp>STOCK</stp>
        <stp>53330.T</stp>
        <stp>前日終値</stp>
        <tr r="E13" s="2"/>
      </tp>
      <tp>
        <v>7809</v>
        <stp/>
        <stp>Market</stp>
        <stp>STOCK</stp>
        <stp>53320.T</stp>
        <stp>前日終値</stp>
        <tr r="E17" s="2"/>
      </tp>
      <tp>
        <v>2582.5</v>
        <stp/>
        <stp>Market</stp>
        <stp>STOCK</stp>
        <stp>83340.T</stp>
        <stp>前日終値</stp>
        <tr r="E118" s="2"/>
      </tp>
      <tp>
        <v>6700</v>
        <stp/>
        <stp>Market</stp>
        <stp>STOCK</stp>
        <stp>83090.T</stp>
        <stp>前日終値</stp>
        <tr r="E27" s="2"/>
      </tp>
      <tp>
        <v>2354</v>
        <stp/>
        <stp>Market</stp>
        <stp>STOCK</stp>
        <stp>83080.T</stp>
        <stp>前日終値</stp>
        <tr r="E31" s="2"/>
      </tp>
      <tp>
        <v>1458</v>
        <stp/>
        <stp>Market</stp>
        <stp>STOCK</stp>
        <stp>83030.T</stp>
        <stp>前日終値</stp>
        <tr r="E168" s="2"/>
      </tp>
      <tp>
        <v>5287</v>
        <stp/>
        <stp>Market</stp>
        <stp>STOCK</stp>
        <stp>63050.T</stp>
        <stp>前日終値</stp>
        <tr r="E199" s="2"/>
      </tp>
      <tp>
        <v>5100</v>
        <stp/>
        <stp>Market</stp>
        <stp>STOCK</stp>
        <stp>43070.T</stp>
        <stp>前日終値</stp>
        <tr r="E146" s="2"/>
      </tp>
      <tp>
        <v>3629</v>
        <stp/>
        <stp>Market</stp>
        <stp>STOCK</stp>
        <stp>83060.T</stp>
        <stp>前日終値</stp>
        <tr r="E41" s="2"/>
      </tp>
      <tp>
        <v>851</v>
        <stp/>
        <stp>Market</stp>
        <stp>STOCK</stp>
        <stp>68480.T</stp>
        <stp>現在値</stp>
        <tr r="C270" s="2"/>
      </tp>
      <tp>
        <v>5468</v>
        <stp/>
        <stp>Market</stp>
        <stp>STOCK</stp>
        <stp>68410.T</stp>
        <stp>現在値</stp>
        <tr r="C77" s="2"/>
      </tp>
      <tp>
        <v>27505</v>
        <stp/>
        <stp>Market</stp>
        <stp>STOCK</stp>
        <stp>68570.T</stp>
        <stp>現在値</stp>
        <tr r="C154" s="2"/>
      </tp>
      <tp>
        <v>1765</v>
        <stp/>
        <stp>Market</stp>
        <stp>STOCK</stp>
        <stp>68620.T</stp>
        <stp>現在値</stp>
        <tr r="C221" s="2"/>
      </tp>
      <tp>
        <v>70880</v>
        <stp/>
        <stp>Market</stp>
        <stp>STOCK</stp>
        <stp>68610.T</stp>
        <stp>現在値</stp>
        <tr r="C205" s="2"/>
      </tp>
      <tp>
        <v>1569</v>
        <stp/>
        <stp>Market</stp>
        <stp>STOCK</stp>
        <stp>68090.T</stp>
        <stp>現在値</stp>
        <tr r="C234" s="2"/>
      </tp>
      <tp>
        <v>1344</v>
        <stp/>
        <stp>Market</stp>
        <stp>STOCK</stp>
        <stp>68380.T</stp>
        <stp>現在値</stp>
        <tr r="C144" s="2"/>
      </tp>
    </main>
    <main first="rtdsrv.aa62150a635042219654be00b1467f2f">
      <tp>
        <v>7010</v>
        <stp/>
        <stp>Market</stp>
        <stp>STOCK</stp>
        <stp>68900.T</stp>
        <stp>現在値</stp>
        <tr r="C191" s="2"/>
      </tp>
      <tp>
        <v>7030</v>
        <stp/>
        <stp>Market</stp>
        <stp>STOCK</stp>
        <stp>83160.T</stp>
        <stp>前日終値</stp>
        <tr r="E46" s="2"/>
      </tp>
      <tp>
        <v>404</v>
        <stp/>
        <stp>Market</stp>
        <stp>STOCK</stp>
        <stp>69550.T</stp>
        <stp>現在値</stp>
        <tr r="C261" s="2"/>
      </tp>
      <tp>
        <v>6637</v>
        <stp/>
        <stp>Market</stp>
        <stp>STOCK</stp>
        <stp>69540.T</stp>
        <stp>現在値</stp>
        <tr r="C74" s="2"/>
      </tp>
      <tp>
        <v>2302</v>
        <stp/>
        <stp>Market</stp>
        <stp>STOCK</stp>
        <stp>69650.T</stp>
        <stp>現在値</stp>
        <tr r="C296" s="2"/>
      </tp>
      <tp>
        <v>1964</v>
        <stp/>
        <stp>Market</stp>
        <stp>STOCK</stp>
        <stp>69020.T</stp>
        <stp>現在値</stp>
        <tr r="C240" s="2"/>
      </tp>
      <tp>
        <v>3025</v>
        <stp/>
        <stp>Market</stp>
        <stp>STOCK</stp>
        <stp>69180.T</stp>
        <stp>現在値</stp>
        <tr r="C275" s="2"/>
      </tp>
      <tp>
        <v>2530</v>
        <stp/>
        <stp>Market</stp>
        <stp>STOCK</stp>
        <stp>69280.T</stp>
        <stp>現在値</stp>
        <tr r="C242" s="2"/>
      </tp>
      <tp>
        <v>41890</v>
        <stp/>
        <stp>Market</stp>
        <stp>STOCK</stp>
        <stp>69200.T</stp>
        <stp>現在値</stp>
        <tr r="C195" s="2"/>
      </tp>
      <tp>
        <v>3824</v>
        <stp/>
        <stp>Market</stp>
        <stp>STOCK</stp>
        <stp>69250.T</stp>
        <stp>現在値</stp>
        <tr r="C101" s="2"/>
      </tp>
    </main>
    <main first="rtdsrv.aa62150a635042219654be00b1467f2f">
      <tp>
        <v>7632</v>
        <stp/>
        <stp>Market</stp>
        <stp>STOCK</stp>
        <stp>69810.T</stp>
        <stp>現在値</stp>
        <tr r="C150" s="2"/>
      </tp>
      <tp>
        <v>3160</v>
        <stp/>
        <stp>Market</stp>
        <stp>STOCK</stp>
        <stp>69970.T</stp>
        <stp>現在値</stp>
        <tr r="C268" s="2"/>
      </tp>
      <tp>
        <v>5830</v>
        <stp/>
        <stp>Market</stp>
        <stp>STOCK</stp>
        <stp>63610.T</stp>
        <stp>前日終値</stp>
        <tr r="E245" s="2"/>
      </tp>
      <tp>
        <v>671</v>
        <stp/>
        <stp>Market</stp>
        <stp>STOCK</stp>
        <stp>63660.T</stp>
        <stp>前日終値</stp>
        <tr r="E256" s="2"/>
      </tp>
      <tp>
        <v>8973</v>
        <stp/>
        <stp>Market</stp>
        <stp>STOCK</stp>
        <stp>63700.T</stp>
        <stp>前日終値</stp>
        <tr r="E251" s="2"/>
      </tp>
      <tp>
        <v>1065</v>
        <stp/>
        <stp>Market</stp>
        <stp>STOCK</stp>
        <stp>43730.T</stp>
        <stp>前日終値</stp>
        <tr r="E156" s="2"/>
      </tp>
      <tp>
        <v>1271</v>
        <stp/>
        <stp>Market</stp>
        <stp>STOCK</stp>
        <stp>73750.T</stp>
        <stp>前日終値</stp>
        <tr r="E145" s="2"/>
      </tp>
      <tp>
        <v>3860</v>
        <stp/>
        <stp>Market</stp>
        <stp>STOCK</stp>
        <stp>63760.T</stp>
        <stp>前日終値</stp>
        <tr r="E265" s="2"/>
      </tp>
      <tp>
        <v>421</v>
        <stp/>
        <stp>Market</stp>
        <stp>STOCK</stp>
        <stp>93480.T</stp>
        <stp>前日終値</stp>
        <tr r="E108" s="2"/>
      </tp>
      <tp>
        <v>3910</v>
        <stp/>
        <stp>Market</stp>
        <stp>STOCK</stp>
        <stp>83440.T</stp>
        <stp>前日終値</stp>
        <tr r="E289" s="2"/>
      </tp>
      <tp>
        <v>2601.5</v>
        <stp/>
        <stp>Market</stp>
        <stp>STOCK</stp>
        <stp>83590.T</stp>
        <stp>前日終値</stp>
        <tr r="E119" s="2"/>
      </tp>
      <tp>
        <v>1990</v>
        <stp/>
        <stp>Market</stp>
        <stp>STOCK</stp>
        <stp>23590.T</stp>
        <stp>前日終値</stp>
        <tr r="E164" s="2"/>
      </tp>
      <tp>
        <v>1527</v>
        <stp/>
        <stp>Market</stp>
        <stp>STOCK</stp>
        <stp>63560.T</stp>
        <stp>前日終値</stp>
        <tr r="E263" s="2"/>
      </tp>
      <tp>
        <v>3850</v>
        <stp/>
        <stp>Market</stp>
        <stp>STOCK</stp>
        <stp>62540.T</stp>
        <stp>現在値</stp>
        <tr r="C26" s="2"/>
      </tp>
      <tp>
        <v>69230</v>
        <stp/>
        <stp>Market</stp>
        <stp>STOCK</stp>
        <stp>62730.T</stp>
        <stp>現在値</stp>
        <tr r="C207" s="2"/>
      </tp>
      <tp>
        <v>1426</v>
        <stp/>
        <stp>Market</stp>
        <stp>STOCK</stp>
        <stp>62030.T</stp>
        <stp>現在値</stp>
        <tr r="C53" s="2"/>
      </tp>
      <tp>
        <v>6960</v>
        <stp/>
        <stp>Market</stp>
        <stp>STOCK</stp>
        <stp>62270.T</stp>
        <stp>現在値</stp>
        <tr r="C128" s="2"/>
      </tp>
      <tp>
        <v>1662</v>
        <stp/>
        <stp>Market</stp>
        <stp>STOCK</stp>
        <stp>62320.T</stp>
        <stp>現在値</stp>
        <tr r="C131" s="2"/>
      </tp>
    </main>
    <main first="rtdsrv.aa62150a635042219654be00b1467f2f">
      <tp>
        <v>1410</v>
        <stp/>
        <stp>Market</stp>
        <stp>STOCK</stp>
        <stp>63560.T</stp>
        <stp>現在値</stp>
        <tr r="C263" s="2"/>
      </tp>
      <tp>
        <v>5384</v>
        <stp/>
        <stp>Market</stp>
        <stp>STOCK</stp>
        <stp>63610.T</stp>
        <stp>現在値</stp>
        <tr r="C245" s="2"/>
      </tp>
      <tp>
        <v>636</v>
        <stp/>
        <stp>Market</stp>
        <stp>STOCK</stp>
        <stp>63660.T</stp>
        <stp>現在値</stp>
        <tr r="C256" s="2"/>
      </tp>
      <tp>
        <v>8575</v>
        <stp/>
        <stp>Market</stp>
        <stp>STOCK</stp>
        <stp>63700.T</stp>
        <stp>現在値</stp>
        <tr r="C251" s="2"/>
      </tp>
      <tp>
        <v>3820</v>
        <stp/>
        <stp>Market</stp>
        <stp>STOCK</stp>
        <stp>63760.T</stp>
        <stp>現在値</stp>
        <tr r="C265" s="2"/>
      </tp>
      <tp>
        <v>5114</v>
        <stp/>
        <stp>Market</stp>
        <stp>STOCK</stp>
        <stp>63050.T</stp>
        <stp>現在値</stp>
        <tr r="C199" s="2"/>
      </tp>
      <tp>
        <v>4403</v>
        <stp/>
        <stp>Market</stp>
        <stp>STOCK</stp>
        <stp>63230.T</stp>
        <stp>現在値</stp>
        <tr r="C86" s="2"/>
      </tp>
      <tp>
        <v>3910</v>
        <stp/>
        <stp>Market</stp>
        <stp>STOCK</stp>
        <stp>63270.T</stp>
        <stp>現在値</stp>
        <tr r="C129" s="2"/>
      </tp>
      <tp>
        <v>6470</v>
        <stp/>
        <stp>Market</stp>
        <stp>STOCK</stp>
        <stp>63240.T</stp>
        <stp>現在値</stp>
        <tr r="C206" s="2"/>
      </tp>
      <tp>
        <v>3175</v>
        <stp/>
        <stp>Market</stp>
        <stp>STOCK</stp>
        <stp>63310.T</stp>
        <stp>現在値</stp>
        <tr r="C297" s="2"/>
      </tp>
      <tp>
        <v>1751</v>
        <stp/>
        <stp>Market</stp>
        <stp>STOCK</stp>
        <stp>63300.T</stp>
        <stp>現在値</stp>
        <tr r="C124" s="2"/>
      </tp>
      <tp>
        <v>9990</v>
        <stp/>
        <stp>Market</stp>
        <stp>STOCK</stp>
        <stp>63870.T</stp>
        <stp>現在値</stp>
        <tr r="C143" s="2"/>
      </tp>
    </main>
    <main first="rtdsrv.aa62150a635042219654be00b1467f2f">
      <tp>
        <v>1145</v>
        <stp/>
        <stp>Market</stp>
        <stp>STOCK</stp>
        <stp>73810.T</stp>
        <stp>前日終値</stp>
        <tr r="E148" s="2"/>
      </tp>
      <tp>
        <v>724</v>
        <stp/>
        <stp>Market</stp>
        <stp>STOCK</stp>
        <stp>43820.T</stp>
        <stp>前日終値</stp>
        <tr r="E169" s="2"/>
      </tp>
      <tp>
        <v>11380</v>
        <stp/>
        <stp>Market</stp>
        <stp>STOCK</stp>
        <stp>63870.T</stp>
        <stp>前日終値</stp>
        <tr r="E143" s="2"/>
      </tp>
      <tp>
        <v>2253</v>
        <stp/>
        <stp>Market</stp>
        <stp>STOCK</stp>
        <stp>60550.T</stp>
        <stp>現在値</stp>
        <tr r="C220" s="2"/>
      </tp>
    </main>
    <main first="rtdsrv.aa62150a635042219654be00b1467f2f">
      <tp>
        <v>2390</v>
        <stp/>
        <stp>Market</stp>
        <stp>STOCK</stp>
        <stp>60270.T</stp>
        <stp>現在値</stp>
        <tr r="C68" s="2"/>
      </tp>
    </main>
    <main first="rtdsrv.aa62150a635042219654be00b1467f2f">
      <tp>
        <v>156</v>
        <stp/>
        <stp>Market</stp>
        <stp>STOCK</stp>
        <stp>60850.T</stp>
        <stp>現在値</stp>
        <tr r="C133" s="2"/>
      </tp>
      <tp>
        <v>12820</v>
        <stp/>
        <stp>Market</stp>
        <stp>STOCK</stp>
        <stp>60980.T</stp>
        <stp>現在値</stp>
        <tr r="C244" s="2"/>
      </tp>
    </main>
    <main first="rtdsrv.aa62150a635042219654be00b1467f2f">
      <tp>
        <v>1115</v>
        <stp/>
        <stp>Market</stp>
        <stp>STOCK</stp>
        <stp>43920.T</stp>
        <stp>前日終値</stp>
        <tr r="E231" s="2"/>
      </tp>
      <tp>
        <v>4096</v>
        <stp/>
        <stp>Market</stp>
        <stp>STOCK</stp>
        <stp>33970.T</stp>
        <stp>前日終値</stp>
        <tr r="E281" s="2"/>
      </tp>
      <tp>
        <v>1153</v>
        <stp/>
        <stp>Market</stp>
        <stp>STOCK</stp>
        <stp>61400.T</stp>
        <stp>現在値</stp>
        <tr r="C257" s="2"/>
      </tp>
      <tp>
        <v>64780</v>
        <stp/>
        <stp>Market</stp>
        <stp>STOCK</stp>
        <stp>61460.T</stp>
        <stp>現在値</stp>
        <tr r="C193" s="2"/>
      </tp>
      <tp>
        <v>2329</v>
        <stp/>
        <stp>Market</stp>
        <stp>STOCK</stp>
        <stp>61780.T</stp>
        <stp>現在値</stp>
        <tr r="C100" s="2"/>
      </tp>
    </main>
    <main first="rtdsrv.aa62150a635042219654be00b1467f2f">
      <tp>
        <v>14420</v>
        <stp/>
        <stp>Market</stp>
        <stp>STOCK</stp>
        <stp>61350.T</stp>
        <stp>現在値</stp>
        <tr r="C219" s="2"/>
      </tp>
      <tp>
        <v>7275</v>
        <stp/>
        <stp>Market</stp>
        <stp>STOCK</stp>
        <stp>61340.T</stp>
        <stp>現在値</stp>
        <tr r="C88" s="2"/>
      </tp>
    </main>
    <main first="rtdsrv.aa62150a635042219654be00b1467f2f">
      <tp>
        <v>5572</v>
        <stp/>
        <stp>Market</stp>
        <stp>STOCK</stp>
        <stp>66740.T</stp>
        <stp>現在値</stp>
        <tr r="C260" s="2"/>
      </tp>
      <tp>
        <v>1766</v>
        <stp/>
        <stp>Market</stp>
        <stp>STOCK</stp>
        <stp>66130.T</stp>
        <stp>現在値</stp>
        <tr r="C137" s="2"/>
      </tp>
      <tp>
        <v>14040</v>
        <stp/>
        <stp>Market</stp>
        <stp>STOCK</stp>
        <stp>66220.T</stp>
        <stp>現在値</stp>
        <tr r="C212" s="2"/>
      </tp>
    </main>
    <main first="rtdsrv.aa62150a635042219654be00b1467f2f">
      <tp>
        <v>46</v>
        <stp/>
        <stp>Market</stp>
        <stp>STOCK</stp>
        <stp>67400.T</stp>
        <stp>現在値</stp>
        <tr r="C136" s="2"/>
      </tp>
      <tp>
        <v>4190</v>
        <stp/>
        <stp>Market</stp>
        <stp>STOCK</stp>
        <stp>67440.T</stp>
        <stp>現在値</stp>
        <tr r="C116" s="2"/>
      </tp>
      <tp>
        <v>3470</v>
        <stp/>
        <stp>Market</stp>
        <stp>STOCK</stp>
        <stp>67580.T</stp>
        <stp>現在値</stp>
        <tr r="C201" s="2"/>
      </tp>
      <tp>
        <v>627.29999999999995</v>
        <stp/>
        <stp>Market</stp>
        <stp>STOCK</stp>
        <stp>67530.T</stp>
        <stp>現在値</stp>
        <tr r="C184" s="2"/>
      </tp>
      <tp>
        <v>3993</v>
        <stp/>
        <stp>Market</stp>
        <stp>STOCK</stp>
        <stp>67520.T</stp>
        <stp>現在値</stp>
        <tr r="C211" s="2"/>
      </tp>
      <tp>
        <v>3654</v>
        <stp/>
        <stp>Market</stp>
        <stp>STOCK</stp>
        <stp>67540.T</stp>
        <stp>現在値</stp>
        <tr r="C151" s="2"/>
      </tp>
      <tp>
        <v>2968</v>
        <stp/>
        <stp>Market</stp>
        <stp>STOCK</stp>
        <stp>67620.T</stp>
        <stp>現在値</stp>
        <tr r="C230" s="2"/>
      </tp>
      <tp>
        <v>18630</v>
        <stp/>
        <stp>Market</stp>
        <stp>STOCK</stp>
        <stp>67770.T</stp>
        <stp>現在値</stp>
        <tr r="C140" s="2"/>
      </tp>
      <tp>
        <v>4354</v>
        <stp/>
        <stp>Market</stp>
        <stp>STOCK</stp>
        <stp>67010.T</stp>
        <stp>現在値</stp>
        <tr r="C7" s="2"/>
      </tp>
      <tp>
        <v>2875</v>
        <stp/>
        <stp>Market</stp>
        <stp>STOCK</stp>
        <stp>67060.T</stp>
        <stp>現在値</stp>
        <tr r="C287" s="2"/>
      </tp>
      <tp>
        <v>8870</v>
        <stp/>
        <stp>Market</stp>
        <stp>STOCK</stp>
        <stp>67360.T</stp>
        <stp>現在値</stp>
        <tr r="C283" s="2"/>
      </tp>
    </main>
    <main first="rtdsrv.aa62150a635042219654be00b1467f2f">
      <tp>
        <v>22630</v>
        <stp/>
        <stp>Market</stp>
        <stp>STOCK</stp>
        <stp>67870.T</stp>
        <stp>現在値</stp>
        <tr r="C141" s="2"/>
      </tp>
    </main>
    <main first="rtdsrv.aa62150a635042219654be00b1467f2f">
      <tp>
        <v>3821</v>
        <stp/>
        <stp>Market</stp>
        <stp>STOCK</stp>
        <stp>64790.T</stp>
        <stp>現在値</stp>
        <tr r="C75" s="2"/>
      </tp>
      <tp>
        <v>6280</v>
        <stp/>
        <stp>Market</stp>
        <stp>STOCK</stp>
        <stp>64070.T</stp>
        <stp>現在値</stp>
        <tr r="C291" s="2"/>
      </tp>
      <tp>
        <v>3788</v>
        <stp/>
        <stp>Market</stp>
        <stp>STOCK</stp>
        <stp>64360.T</stp>
        <stp>現在値</stp>
        <tr r="C174" s="2"/>
      </tp>
      <tp>
        <v>971</v>
        <stp/>
        <stp>Market</stp>
        <stp>STOCK</stp>
        <stp>64880.T</stp>
        <stp>現在値</stp>
        <tr r="C276" s="2"/>
      </tp>
      <tp>
        <v>676</v>
        <stp/>
        <stp>Market</stp>
        <stp>STOCK</stp>
        <stp>64820.T</stp>
        <stp>現在値</stp>
        <tr r="C286" s="2"/>
      </tp>
      <tp>
        <v>1526</v>
        <stp/>
        <stp>Market</stp>
        <stp>STOCK</stp>
        <stp>64850.T</stp>
        <stp>現在値</stp>
        <tr r="C187" s="2"/>
      </tp>
      <tp>
        <v>5370</v>
        <stp/>
        <stp>Market</stp>
        <stp>STOCK</stp>
        <stp>65030.T</stp>
        <stp>現在値</stp>
        <tr r="C64" s="2"/>
      </tp>
      <tp>
        <v>4717</v>
        <stp/>
        <stp>Market</stp>
        <stp>STOCK</stp>
        <stp>65010.T</stp>
        <stp>現在値</stp>
        <tr r="C87" s="2"/>
      </tp>
      <tp>
        <v>13540</v>
        <stp/>
        <stp>Market</stp>
        <stp>STOCK</stp>
        <stp>65070.T</stp>
        <stp>現在値</stp>
        <tr r="C179" s="2"/>
      </tp>
      <tp>
        <v>5116</v>
        <stp/>
        <stp>Market</stp>
        <stp>STOCK</stp>
        <stp>65060.T</stp>
        <stp>現在値</stp>
        <tr r="C197" s="2"/>
      </tp>
      <tp>
        <v>5450</v>
        <stp/>
        <stp>Market</stp>
        <stp>STOCK</stp>
        <stp>65160.T</stp>
        <stp>現在値</stp>
        <tr r="C147" s="2"/>
      </tp>
      <tp>
        <v>1308</v>
        <stp/>
        <stp>Market</stp>
        <stp>STOCK</stp>
        <stp>65220.T</stp>
        <stp>現在値</stp>
        <tr r="C139" s="2"/>
      </tp>
      <tp>
        <v>3385</v>
        <stp/>
        <stp>Market</stp>
        <stp>STOCK</stp>
        <stp>65210.T</stp>
        <stp>現在値</stp>
        <tr r="C238" s="2"/>
      </tp>
      <tp t="s">
        <v>東亜ディーケーケー</v>
        <stp/>
        <stp>Market</stp>
        <stp>STOCK</stp>
        <stp>68480.T</stp>
        <stp>銘柄名称</stp>
        <tr r="B270" s="2"/>
      </tp>
      <tp t="s">
        <v>京都フィナンシャルＧ</v>
        <stp/>
        <stp>Market</stp>
        <stp>STOCK</stp>
        <stp>58440.T</stp>
        <stp>銘柄名称</stp>
        <tr r="B114" s="2"/>
      </tp>
      <tp t="s">
        <v>パイロットコーポレーション</v>
        <stp/>
        <stp>Market</stp>
        <stp>STOCK</stp>
        <stp>78460.T</stp>
        <stp>銘柄名称</stp>
        <tr r="B71" s="2"/>
      </tp>
      <tp t="s">
        <v>横河電機</v>
        <stp/>
        <stp>Market</stp>
        <stp>STOCK</stp>
        <stp>68410.T</stp>
        <stp>銘柄名称</stp>
        <tr r="B77" s="2"/>
      </tp>
      <tp t="s">
        <v>アイル</v>
        <stp/>
        <stp>Market</stp>
        <stp>STOCK</stp>
        <stp>38540.T</stp>
        <stp>銘柄名称</stp>
        <tr r="B67" s="2"/>
      </tp>
      <tp t="s">
        <v>ＡＲＥホールディングス</v>
        <stp/>
        <stp>Market</stp>
        <stp>STOCK</stp>
        <stp>58570.T</stp>
        <stp>銘柄名称</stp>
        <tr r="B58" s="2"/>
      </tp>
      <tp t="s">
        <v>アドバンテスト</v>
        <stp/>
        <stp>Market</stp>
        <stp>STOCK</stp>
        <stp>68570.T</stp>
        <stp>銘柄名称</stp>
        <tr r="B154" s="2"/>
      </tp>
      <tp t="s">
        <v>キオクシアホールディングス</v>
        <stp/>
        <stp>Market</stp>
        <stp>STOCK</stp>
        <stp>285A0.T</stp>
        <stp>銘柄名称</stp>
        <tr r="B214" s="2"/>
      </tp>
      <tp t="s">
        <v>パワーエックス</v>
        <stp/>
        <stp>Market</stp>
        <stp>STOCK</stp>
        <stp>485A0.T</stp>
        <stp>銘柄名称</stp>
        <tr r="B217" s="2"/>
      </tp>
      <tp t="s">
        <v>三菱製紙</v>
        <stp/>
        <stp>Market</stp>
        <stp>STOCK</stp>
        <stp>38640.T</stp>
        <stp>銘柄名称</stp>
        <tr r="B267" s="2"/>
      </tp>
      <tp t="s">
        <v>王子ホールディングス</v>
        <stp/>
        <stp>Market</stp>
        <stp>STOCK</stp>
        <stp>38610.T</stp>
        <stp>銘柄名称</stp>
        <tr r="B37" s="2"/>
      </tp>
      <tp t="s">
        <v>キーエンス</v>
        <stp/>
        <stp>Market</stp>
        <stp>STOCK</stp>
        <stp>68610.T</stp>
        <stp>銘柄名称</stp>
        <tr r="B205" s="2"/>
      </tp>
      <tp t="s">
        <v>日本製紙</v>
        <stp/>
        <stp>Market</stp>
        <stp>STOCK</stp>
        <stp>38630.T</stp>
        <stp>銘柄名称</stp>
        <tr r="B28" s="2"/>
      </tp>
      <tp t="s">
        <v>ミナトホールディングス</v>
        <stp/>
        <stp>Market</stp>
        <stp>STOCK</stp>
        <stp>68620.T</stp>
        <stp>銘柄名称</stp>
        <tr r="B221" s="2"/>
      </tp>
      <tp t="s">
        <v>アストロスケールホールディンク</v>
        <stp/>
        <stp>Market</stp>
        <stp>STOCK</stp>
        <stp>186A0.T</stp>
        <stp>銘柄名称</stp>
        <tr r="B295" s="2"/>
      </tp>
      <tp t="s">
        <v>ゴールドクレスト</v>
        <stp/>
        <stp>Market</stp>
        <stp>STOCK</stp>
        <stp>88710.T</stp>
        <stp>銘柄名称</stp>
        <tr r="B274" s="2"/>
      </tp>
      <tp t="s">
        <v>ＴＯＡ</v>
        <stp/>
        <stp>Market</stp>
        <stp>STOCK</stp>
        <stp>68090.T</stp>
        <stp>銘柄名称</stp>
        <tr r="B234" s="2"/>
      </tp>
      <tp t="s">
        <v>長谷工コーポレーシヨン</v>
        <stp/>
        <stp>Market</stp>
        <stp>STOCK</stp>
        <stp>18080.T</stp>
        <stp>銘柄名称</stp>
        <tr r="B293" s="2"/>
      </tp>
      <tp t="s">
        <v>ＭＴＧ</v>
        <stp/>
        <stp>Market</stp>
        <stp>STOCK</stp>
        <stp>78060.T</stp>
        <stp>銘柄名称</stp>
        <tr r="B69" s="2"/>
      </tp>
      <tp t="s">
        <v>三井不動産</v>
        <stp/>
        <stp>Market</stp>
        <stp>STOCK</stp>
        <stp>88010.T</stp>
        <stp>銘柄名称</stp>
        <tr r="B120" s="2"/>
      </tp>
      <tp t="s">
        <v>古河電工</v>
        <stp/>
        <stp>Market</stp>
        <stp>STOCK</stp>
        <stp>58010.T</stp>
        <stp>銘柄名称</stp>
        <tr r="B196" s="2"/>
      </tp>
      <tp t="s">
        <v>フジクラ</v>
        <stp/>
        <stp>Market</stp>
        <stp>STOCK</stp>
        <stp>58030.T</stp>
        <stp>銘柄名称</stp>
        <tr r="B99" s="2"/>
      </tp>
      <tp t="s">
        <v>味の素</v>
        <stp/>
        <stp>Market</stp>
        <stp>STOCK</stp>
        <stp>28020.T</stp>
        <stp>銘柄名称</stp>
        <tr r="B72" s="2"/>
      </tp>
      <tp t="s">
        <v>住友電工</v>
        <stp/>
        <stp>Market</stp>
        <stp>STOCK</stp>
        <stp>58020.T</stp>
        <stp>銘柄名称</stp>
        <tr r="B98" s="2"/>
      </tp>
      <tp t="s">
        <v>鹿島建設</v>
        <stp/>
        <stp>Market</stp>
        <stp>STOCK</stp>
        <stp>18120.T</stp>
        <stp>銘柄名称</stp>
        <tr r="B204" s="2"/>
      </tp>
      <tp t="s">
        <v>インフォメティス</v>
        <stp/>
        <stp>Market</stp>
        <stp>STOCK</stp>
        <stp>281A0.T</stp>
        <stp>銘柄名称</stp>
        <tr r="B262" s="2"/>
      </tp>
      <tp t="s">
        <v>楽天銀行</v>
        <stp/>
        <stp>Market</stp>
        <stp>STOCK</stp>
        <stp>58380.T</stp>
        <stp>銘柄名称</stp>
        <tr r="B113" s="2"/>
      </tp>
      <tp t="s">
        <v>多摩川ホールディングス</v>
        <stp/>
        <stp>Market</stp>
        <stp>STOCK</stp>
        <stp>68380.T</stp>
        <stp>銘柄名称</stp>
        <tr r="B144" s="2"/>
      </tp>
      <tp t="s">
        <v>奥村組</v>
        <stp/>
        <stp>Market</stp>
        <stp>STOCK</stp>
        <stp>18330.T</stp>
        <stp>銘柄名称</stp>
        <tr r="B76" s="2"/>
      </tp>
      <tp t="s">
        <v>ステラファーマ</v>
        <stp/>
        <stp>Market</stp>
        <stp>STOCK</stp>
        <stp>48880.T</stp>
        <stp>銘柄名称</stp>
        <tr r="B142" s="2"/>
      </tp>
      <tp t="s">
        <v>サワイグループＨＤ</v>
        <stp/>
        <stp>Market</stp>
        <stp>STOCK</stp>
        <stp>48870.T</stp>
        <stp>銘柄名称</stp>
        <tr r="B188" s="2"/>
      </tp>
      <tp t="s">
        <v>イノテック</v>
        <stp/>
        <stp>Market</stp>
        <stp>STOCK</stp>
        <stp>98800.T</stp>
        <stp>銘柄名称</stp>
        <tr r="B253" s="2"/>
      </tp>
      <tp t="s">
        <v>イエローハット</v>
        <stp/>
        <stp>Market</stp>
        <stp>STOCK</stp>
        <stp>98820.T</stp>
        <stp>銘柄名称</stp>
        <tr r="B112" s="2"/>
      </tp>
      <tp t="s">
        <v>ニッポン高度紙工業</v>
        <stp/>
        <stp>Market</stp>
        <stp>STOCK</stp>
        <stp>38910.T</stp>
        <stp>銘柄名称</stp>
        <tr r="B155" s="2"/>
      </tp>
      <tp t="s">
        <v>フェローテック</v>
        <stp/>
        <stp>Market</stp>
        <stp>STOCK</stp>
        <stp>68900.T</stp>
        <stp>銘柄名称</stp>
        <tr r="B191" s="2"/>
      </tp>
      <tp t="s">
        <v>エスコン</v>
        <stp/>
        <stp>Market</stp>
        <stp>STOCK</stp>
        <stp>88920.T</stp>
        <stp>銘柄名称</stp>
        <tr r="B157" s="2"/>
      </tp>
      <tp t="s">
        <v>ＹＵＴＯＲＩ</v>
        <stp/>
        <stp>Market</stp>
        <stp>STOCK</stp>
        <stp>58920.T</stp>
        <stp>銘柄名称</stp>
        <tr r="B85" s="2"/>
      </tp>
      <tp>
        <v>1878</v>
        <stp/>
        <stp>Market</stp>
        <stp>STOCK</stp>
        <stp>70210.T</stp>
        <stp>前日終値</stp>
        <tr r="E102" s="2"/>
      </tp>
      <tp>
        <v>3810</v>
        <stp/>
        <stp>Market</stp>
        <stp>STOCK</stp>
        <stp>50210.T</stp>
        <stp>前日終値</stp>
        <tr r="E11" s="2"/>
      </tp>
      <tp>
        <v>3601</v>
        <stp/>
        <stp>Market</stp>
        <stp>STOCK</stp>
        <stp>90200.T</stp>
        <stp>前日終値</stp>
        <tr r="E105" s="2"/>
      </tp>
      <tp>
        <v>1274</v>
        <stp/>
        <stp>Market</stp>
        <stp>STOCK</stp>
        <stp>50200.T</stp>
        <stp>前日終値</stp>
        <tr r="E25" s="2"/>
      </tp>
      <tp>
        <v>3709</v>
        <stp/>
        <stp>Market</stp>
        <stp>STOCK</stp>
        <stp>90220.T</stp>
        <stp>前日終値</stp>
        <tr r="E180" s="2"/>
      </tp>
      <tp>
        <v>2388</v>
        <stp/>
        <stp>Market</stp>
        <stp>STOCK</stp>
        <stp>60270.T</stp>
        <stp>前日終値</stp>
        <tr r="E68" s="2"/>
      </tp>
      <tp>
        <v>70890</v>
        <stp/>
        <stp>Market</stp>
        <stp>STOCK</stp>
        <stp>80350.T</stp>
        <stp>前日終値</stp>
        <tr r="E194" s="2"/>
      </tp>
      <tp>
        <v>1288</v>
        <stp/>
        <stp>Market</stp>
        <stp>STOCK</stp>
        <stp>40080.T</stp>
        <stp>前日終値</stp>
        <tr r="E91" s="2"/>
      </tp>
      <tp>
        <v>1790</v>
        <stp/>
        <stp>Market</stp>
        <stp>STOCK</stp>
        <stp>30030.T</stp>
        <stp>前日終値</stp>
        <tr r="E84" s="2"/>
      </tp>
      <tp>
        <v>5084</v>
        <stp/>
        <stp>Market</stp>
        <stp>STOCK</stp>
        <stp>80020.T</stp>
        <stp>前日終値</stp>
        <tr r="E10" s="2"/>
      </tp>
      <tp>
        <v>3980</v>
        <stp/>
        <stp>Market</stp>
        <stp>STOCK</stp>
        <stp>30020.T</stp>
        <stp>前日終値</stp>
        <tr r="E273" s="2"/>
      </tp>
      <tp>
        <v>1737</v>
        <stp/>
        <stp>Market</stp>
        <stp>STOCK</stp>
        <stp>80050.T</stp>
        <stp>前日終値</stp>
        <tr r="E232" s="2"/>
      </tp>
      <tp>
        <v>14895</v>
        <stp/>
        <stp>Market</stp>
        <stp>STOCK</stp>
        <stp>40040.T</stp>
        <stp>前日終値</stp>
        <tr r="E209" s="2"/>
      </tp>
      <tp>
        <v>786</v>
        <stp/>
        <stp>Market</stp>
        <stp>STOCK</stp>
        <stp>80070.T</stp>
        <stp>前日終値</stp>
        <tr r="E277" s="2"/>
      </tp>
      <tp>
        <v>2881</v>
        <stp/>
        <stp>Market</stp>
        <stp>STOCK</stp>
        <stp>300A0.T</stp>
        <stp>前日終値</stp>
        <tr r="E248" s="2"/>
      </tp>
      <tp>
        <v>4384</v>
        <stp/>
        <stp>Market</stp>
        <stp>STOCK</stp>
        <stp>58440.T</stp>
        <stp>現在値</stp>
        <tr r="C114" s="2"/>
      </tp>
      <tp>
        <v>2935</v>
        <stp/>
        <stp>Market</stp>
        <stp>STOCK</stp>
        <stp>58570.T</stp>
        <stp>現在値</stp>
        <tr r="C58" s="2"/>
      </tp>
      <tp>
        <v>4472</v>
        <stp/>
        <stp>Market</stp>
        <stp>STOCK</stp>
        <stp>58030.T</stp>
        <stp>現在値</stp>
        <tr r="C99" s="2"/>
      </tp>
      <tp>
        <v>2249</v>
        <stp/>
        <stp>Market</stp>
        <stp>STOCK</stp>
        <stp>58020.T</stp>
        <stp>現在値</stp>
        <tr r="C98" s="2"/>
      </tp>
      <tp>
        <v>3262</v>
        <stp/>
        <stp>Market</stp>
        <stp>STOCK</stp>
        <stp>58010.T</stp>
        <stp>現在値</stp>
        <tr r="C196" s="2"/>
      </tp>
      <tp>
        <v>5221</v>
        <stp/>
        <stp>Market</stp>
        <stp>STOCK</stp>
        <stp>58380.T</stp>
        <stp>現在値</stp>
        <tr r="C113" s="2"/>
      </tp>
      <tp>
        <v>2028</v>
        <stp/>
        <stp>Market</stp>
        <stp>STOCK</stp>
        <stp>58920.T</stp>
        <stp>現在値</stp>
        <tr r="C85" s="2"/>
      </tp>
      <tp>
        <v>1262.5</v>
        <stp/>
        <stp>Market</stp>
        <stp>STOCK</stp>
        <stp>50190.T</stp>
        <stp>前日終値</stp>
        <tr r="E20" s="2"/>
      </tp>
      <tp>
        <v>3823</v>
        <stp/>
        <stp>Market</stp>
        <stp>STOCK</stp>
        <stp>70110.T</stp>
        <stp>前日終値</stp>
        <tr r="E203" s="2"/>
      </tp>
      <tp>
        <v>2809</v>
        <stp/>
        <stp>Market</stp>
        <stp>STOCK</stp>
        <stp>70130.T</stp>
        <stp>前日終値</stp>
        <tr r="E227" s="2"/>
      </tp>
      <tp>
        <v>6209</v>
        <stp/>
        <stp>Market</stp>
        <stp>STOCK</stp>
        <stp>80150.T</stp>
        <stp>前日終値</stp>
        <tr r="E200" s="2"/>
      </tp>
      <tp>
        <v>3960</v>
        <stp/>
        <stp>Market</stp>
        <stp>STOCK</stp>
        <stp>70140.T</stp>
        <stp>前日終値</stp>
        <tr r="E252" s="2"/>
      </tp>
      <tp>
        <v>3628</v>
        <stp/>
        <stp>Market</stp>
        <stp>STOCK</stp>
        <stp>59470.T</stp>
        <stp>現在値</stp>
        <tr r="C38" s="2"/>
      </tp>
      <tp>
        <v>4053</v>
        <stp/>
        <stp>Market</stp>
        <stp>STOCK</stp>
        <stp>59010.T</stp>
        <stp>現在値</stp>
        <tr r="C51" s="2"/>
      </tp>
      <tp>
        <v>3768</v>
        <stp/>
        <stp>Market</stp>
        <stp>STOCK</stp>
        <stp>59290.T</stp>
        <stp>現在値</stp>
        <tr r="C45" s="2"/>
      </tp>
      <tp>
        <v>1874.5</v>
        <stp/>
        <stp>Market</stp>
        <stp>STOCK</stp>
        <stp>59380.T</stp>
        <stp>現在値</stp>
        <tr r="C32" s="2"/>
      </tp>
    </main>
    <main first="rtdsrv.aa62150a635042219654be00b1467f2f">
      <tp>
        <v>2121</v>
        <stp/>
        <stp>Market</stp>
        <stp>STOCK</stp>
        <stp>90690.T</stp>
        <stp>前日終値</stp>
        <tr r="E106" s="2"/>
      </tp>
      <tp>
        <v>7361</v>
        <stp/>
        <stp>Market</stp>
        <stp>STOCK</stp>
        <stp>40630.T</stp>
        <stp>前日終値</stp>
        <tr r="E62" s="2"/>
      </tp>
      <tp>
        <v>17405</v>
        <stp/>
        <stp>Market</stp>
        <stp>STOCK</stp>
        <stp>40620.T</stp>
        <stp>前日終値</stp>
        <tr r="E92" s="2"/>
      </tp>
      <tp>
        <v>1968</v>
        <stp/>
        <stp>Market</stp>
        <stp>STOCK</stp>
        <stp>90640.T</stp>
        <stp>前日終値</stp>
        <tr r="E185" s="2"/>
      </tp>
      <tp>
        <v>180</v>
        <stp/>
        <stp>Market</stp>
        <stp>STOCK</stp>
        <stp>70480.T</stp>
        <stp>前日終値</stp>
        <tr r="E292" s="2"/>
      </tp>
      <tp>
        <v>1734.5</v>
        <stp/>
        <stp>Market</stp>
        <stp>STOCK</stp>
        <stp>40450.T</stp>
        <stp>前日終値</stp>
        <tr r="E57" s="2"/>
      </tp>
      <tp>
        <v>2925</v>
        <stp/>
        <stp>Market</stp>
        <stp>STOCK</stp>
        <stp>40470.T</stp>
        <stp>前日終値</stp>
        <tr r="E285" s="2"/>
      </tp>
      <tp>
        <v>4530</v>
        <stp/>
        <stp>Market</stp>
        <stp>STOCK</stp>
        <stp>80580.T</stp>
        <stp>前日終値</stp>
        <tr r="E12" s="2"/>
      </tp>
      <tp>
        <v>1583</v>
        <stp/>
        <stp>Market</stp>
        <stp>STOCK</stp>
        <stp>80530.T</stp>
        <stp>前日終値</stp>
        <tr r="E21" s="2"/>
      </tp>
      <tp>
        <v>2437</v>
        <stp/>
        <stp>Market</stp>
        <stp>STOCK</stp>
        <stp>60550.T</stp>
        <stp>前日終値</stp>
        <tr r="E220" s="2"/>
      </tp>
      <tp>
        <v>2050</v>
        <stp/>
        <stp>Market</stp>
        <stp>STOCK</stp>
        <stp>52430.T</stp>
        <stp>現在値</stp>
        <tr r="C189" s="2"/>
      </tp>
      <tp>
        <v>1640</v>
        <stp/>
        <stp>Market</stp>
        <stp>STOCK</stp>
        <stp>52530.T</stp>
        <stp>現在値</stp>
        <tr r="C254" s="2"/>
      </tp>
      <tp>
        <v>6135</v>
        <stp/>
        <stp>Market</stp>
        <stp>STOCK</stp>
        <stp>52010.T</stp>
        <stp>現在値</stp>
        <tr r="C49" s="2"/>
      </tp>
    </main>
    <main first="rtdsrv.aa62150a635042219654be00b1467f2f">
      <tp>
        <v>3921</v>
        <stp/>
        <stp>Market</stp>
        <stp>STOCK</stp>
        <stp>52330.T</stp>
        <stp>現在値</stp>
        <tr r="C30" s="2"/>
      </tp>
    </main>
    <main first="rtdsrv.aa62150a635042219654be00b1467f2f">
      <tp>
        <v>6005</v>
        <stp/>
        <stp>Market</stp>
        <stp>STOCK</stp>
        <stp>53330.T</stp>
        <stp>現在値</stp>
        <tr r="C13" s="2"/>
      </tp>
      <tp>
        <v>7451</v>
        <stp/>
        <stp>Market</stp>
        <stp>STOCK</stp>
        <stp>53320.T</stp>
        <stp>現在値</stp>
        <tr r="C17" s="2"/>
      </tp>
    </main>
    <main first="rtdsrv.aa62150a635042219654be00b1467f2f">
      <tp>
        <v>2530</v>
        <stp/>
        <stp>Market</stp>
        <stp>STOCK</stp>
        <stp>40880.T</stp>
        <stp>前日終値</stp>
        <tr r="E152" s="2"/>
      </tp>
      <tp>
        <v>1873</v>
        <stp/>
        <stp>Market</stp>
        <stp>STOCK</stp>
        <stp>40820.T</stp>
        <stp>前日終値</stp>
        <tr r="E125" s="2"/>
      </tp>
      <tp>
        <v>167</v>
        <stp/>
        <stp>Market</stp>
        <stp>STOCK</stp>
        <stp>60850.T</stp>
        <stp>前日終値</stp>
        <tr r="E133" s="2"/>
      </tp>
      <tp>
        <v>1241</v>
        <stp/>
        <stp>Market</stp>
        <stp>STOCK</stp>
        <stp>50190.T</stp>
        <stp>現在値</stp>
        <tr r="C20" s="2"/>
      </tp>
      <tp>
        <v>3776</v>
        <stp/>
        <stp>Market</stp>
        <stp>STOCK</stp>
        <stp>50210.T</stp>
        <stp>現在値</stp>
        <tr r="C11" s="2"/>
      </tp>
      <tp>
        <v>1243.5</v>
        <stp/>
        <stp>Market</stp>
        <stp>STOCK</stp>
        <stp>50200.T</stp>
        <stp>現在値</stp>
        <tr r="C25" s="2"/>
      </tp>
    </main>
    <main first="rtdsrv.aa62150a635042219654be00b1467f2f">
      <tp>
        <v>12615</v>
        <stp/>
        <stp>Market</stp>
        <stp>STOCK</stp>
        <stp>60980.T</stp>
        <stp>前日終値</stp>
        <tr r="E244" s="2"/>
      </tp>
      <tp>
        <v>2312</v>
        <stp/>
        <stp>Market</stp>
        <stp>STOCK</stp>
        <stp>80910.T</stp>
        <stp>前日終値</stp>
        <tr r="E178" s="2"/>
      </tp>
      <tp>
        <v>6031</v>
        <stp/>
        <stp>Market</stp>
        <stp>STOCK</stp>
        <stp>40910.T</stp>
        <stp>前日終値</stp>
        <tr r="E153" s="2"/>
      </tp>
    </main>
    <main first="rtdsrv.aa62150a635042219654be00b1467f2f">
      <tp>
        <v>2101</v>
        <stp/>
        <stp>Market</stp>
        <stp>STOCK</stp>
        <stp>56320.T</stp>
        <stp>現在値</stp>
        <tr r="C243" s="2"/>
      </tp>
      <tp>
        <v>7335</v>
        <stp/>
        <stp>Market</stp>
        <stp>STOCK</stp>
        <stp>56310.T</stp>
        <stp>現在値</stp>
        <tr r="C259" s="2"/>
      </tp>
    </main>
    <main first="rtdsrv.aa62150a635042219654be00b1467f2f">
      <tp>
        <v>2638</v>
        <stp/>
        <stp>Market</stp>
        <stp>STOCK</stp>
        <stp>57030.T</stp>
        <stp>現在値</stp>
        <tr r="C9" s="2"/>
      </tp>
      <tp>
        <v>1445</v>
        <stp/>
        <stp>Market</stp>
        <stp>STOCK</stp>
        <stp>57020.T</stp>
        <stp>現在値</stp>
        <tr r="C271" s="2"/>
      </tp>
      <tp>
        <v>29980</v>
        <stp/>
        <stp>Market</stp>
        <stp>STOCK</stp>
        <stp>57060.T</stp>
        <stp>現在値</stp>
        <tr r="C2" s="2"/>
      </tp>
      <tp>
        <v>6794</v>
        <stp/>
        <stp>Market</stp>
        <stp>STOCK</stp>
        <stp>57130.T</stp>
        <stp>現在値</stp>
        <tr r="C4" s="2"/>
      </tp>
      <tp>
        <v>3970</v>
        <stp/>
        <stp>Market</stp>
        <stp>STOCK</stp>
        <stp>57110.T</stp>
        <stp>現在値</stp>
        <tr r="C5" s="2"/>
      </tp>
      <tp>
        <v>7946</v>
        <stp/>
        <stp>Market</stp>
        <stp>STOCK</stp>
        <stp>57140.T</stp>
        <stp>現在値</stp>
        <tr r="C6" s="2"/>
      </tp>
    </main>
    <main first="rtdsrv.aa62150a635042219654be00b1467f2f">
      <tp>
        <v>2539</v>
        <stp/>
        <stp>Market</stp>
        <stp>STOCK</stp>
        <stp>54490.T</stp>
        <stp>現在値</stp>
        <tr r="C47" s="2"/>
      </tp>
      <tp>
        <v>1838</v>
        <stp/>
        <stp>Market</stp>
        <stp>STOCK</stp>
        <stp>54400.T</stp>
        <stp>現在値</stp>
        <tr r="C176" s="2"/>
      </tp>
      <tp>
        <v>585.6</v>
        <stp/>
        <stp>Market</stp>
        <stp>STOCK</stp>
        <stp>54010.T</stp>
        <stp>現在値</stp>
        <tr r="C42" s="2"/>
      </tp>
      <tp>
        <v>1934</v>
        <stp/>
        <stp>Market</stp>
        <stp>STOCK</stp>
        <stp>54060.T</stp>
        <stp>現在値</stp>
        <tr r="C34" s="2"/>
      </tp>
      <tp>
        <v>1697.5</v>
        <stp/>
        <stp>Market</stp>
        <stp>STOCK</stp>
        <stp>54110.T</stp>
        <stp>現在値</stp>
        <tr r="C80" s="2"/>
      </tp>
      <tp>
        <v>2673</v>
        <stp/>
        <stp>Market</stp>
        <stp>STOCK</stp>
        <stp>54100.T</stp>
        <stp>現在値</stp>
        <tr r="C175" s="2"/>
      </tp>
      <tp>
        <v>1748</v>
        <stp/>
        <stp>Market</stp>
        <stp>STOCK</stp>
        <stp>54230.T</stp>
        <stp>現在値</stp>
        <tr r="C3" s="2"/>
      </tp>
    </main>
    <main first="rtdsrv.aa62150a635042219654be00b1467f2f">
      <tp>
        <v>2271</v>
        <stp/>
        <stp>Market</stp>
        <stp>STOCK</stp>
        <stp>55410.T</stp>
        <stp>現在値</stp>
        <tr r="C16" s="2"/>
      </tp>
    </main>
    <main first="rtdsrv.aa62150a635042219654be00b1467f2f">
      <tp t="s">
        <v>きんでん</v>
        <stp/>
        <stp>Market</stp>
        <stp>STOCK</stp>
        <stp>19440.T</stp>
        <stp>銘柄名称</stp>
        <tr r="B300" s="2"/>
      </tp>
      <tp t="s">
        <v>リンナイ</v>
        <stp/>
        <stp>Market</stp>
        <stp>STOCK</stp>
        <stp>59470.T</stp>
        <stp>銘柄名称</stp>
        <tr r="B38" s="2"/>
      </tp>
      <tp t="s">
        <v>レンゴー</v>
        <stp/>
        <stp>Market</stp>
        <stp>STOCK</stp>
        <stp>39410.T</stp>
        <stp>銘柄名称</stp>
        <tr r="B44" s="2"/>
      </tp>
      <tp t="s">
        <v>関電工</v>
        <stp/>
        <stp>Market</stp>
        <stp>STOCK</stp>
        <stp>19420.T</stp>
        <stp>銘柄名称</stp>
        <tr r="B171" s="2"/>
      </tp>
      <tp t="s">
        <v>ＦＤＫ</v>
        <stp/>
        <stp>Market</stp>
        <stp>STOCK</stp>
        <stp>69550.T</stp>
        <stp>銘柄名称</stp>
        <tr r="B261" s="2"/>
      </tp>
      <tp t="s">
        <v>ファナック</v>
        <stp/>
        <stp>Market</stp>
        <stp>STOCK</stp>
        <stp>69540.T</stp>
        <stp>銘柄名称</stp>
        <tr r="B74" s="2"/>
      </tp>
      <tp t="s">
        <v>河合楽器</v>
        <stp/>
        <stp>Market</stp>
        <stp>STOCK</stp>
        <stp>79520.T</stp>
        <stp>銘柄名称</stp>
        <tr r="B272" s="2"/>
      </tp>
      <tp t="s">
        <v>浜松ホトニクス</v>
        <stp/>
        <stp>Market</stp>
        <stp>STOCK</stp>
        <stp>69650.T</stp>
        <stp>銘柄名称</stp>
        <tr r="B296" s="2"/>
      </tp>
      <tp t="s">
        <v>上村工業</v>
        <stp/>
        <stp>Market</stp>
        <stp>STOCK</stp>
        <stp>49660.T</stp>
        <stp>銘柄名称</stp>
        <tr r="B192" s="2"/>
      </tp>
      <tp t="s">
        <v>三機工業</v>
        <stp/>
        <stp>Market</stp>
        <stp>STOCK</stp>
        <stp>19610.T</stp>
        <stp>銘柄名称</stp>
        <tr r="B55" s="2"/>
      </tp>
      <tp t="s">
        <v>日揮ホールディングス</v>
        <stp/>
        <stp>Market</stp>
        <stp>STOCK</stp>
        <stp>19630.T</stp>
        <stp>銘柄名称</stp>
        <tr r="B82" s="2"/>
      </tp>
      <tp t="s">
        <v>ミスミグループ本社</v>
        <stp/>
        <stp>Market</stp>
        <stp>STOCK</stp>
        <stp>99620.T</stp>
        <stp>銘柄名称</stp>
        <tr r="B229" s="2"/>
      </tp>
      <tp t="s">
        <v>イトーキ</v>
        <stp/>
        <stp>Market</stp>
        <stp>STOCK</stp>
        <stp>79720.T</stp>
        <stp>銘柄名称</stp>
        <tr r="B237" s="2"/>
      </tp>
      <tp t="s">
        <v>データセクション</v>
        <stp/>
        <stp>Market</stp>
        <stp>STOCK</stp>
        <stp>39050.T</stp>
        <stp>銘柄名称</stp>
        <tr r="B280" s="2"/>
      </tp>
      <tp t="s">
        <v>東洋製罐グループＨＤ</v>
        <stp/>
        <stp>Market</stp>
        <stp>STOCK</stp>
        <stp>59010.T</stp>
        <stp>銘柄名称</stp>
        <tr r="B51" s="2"/>
      </tp>
      <tp t="s">
        <v>デンソー</v>
        <stp/>
        <stp>Market</stp>
        <stp>STOCK</stp>
        <stp>69020.T</stp>
        <stp>銘柄名称</stp>
        <tr r="B240" s="2"/>
      </tp>
      <tp t="s">
        <v>アバールデータ</v>
        <stp/>
        <stp>Market</stp>
        <stp>STOCK</stp>
        <stp>69180.T</stp>
        <stp>銘柄名称</stp>
        <tr r="B275" s="2"/>
      </tp>
      <tp t="s">
        <v>日本たばこ産業</v>
        <stp/>
        <stp>Market</stp>
        <stp>STOCK</stp>
        <stp>29140.T</stp>
        <stp>銘柄名称</stp>
        <tr r="B83" s="2"/>
      </tp>
      <tp t="s">
        <v>三和ホールディングス</v>
        <stp/>
        <stp>Market</stp>
        <stp>STOCK</stp>
        <stp>59290.T</stp>
        <stp>銘柄名称</stp>
        <tr r="B45" s="2"/>
      </tp>
      <tp t="s">
        <v>エノモト</v>
        <stp/>
        <stp>Market</stp>
        <stp>STOCK</stp>
        <stp>69280.T</stp>
        <stp>銘柄名称</stp>
        <tr r="B242" s="2"/>
      </tp>
      <tp t="s">
        <v>大和ハウス</v>
        <stp/>
        <stp>Market</stp>
        <stp>STOCK</stp>
        <stp>19250.T</stp>
        <stp>銘柄名称</stp>
        <tr r="B79" s="2"/>
      </tp>
      <tp t="s">
        <v>ウシオ電機</v>
        <stp/>
        <stp>Market</stp>
        <stp>STOCK</stp>
        <stp>69250.T</stp>
        <stp>銘柄名称</stp>
        <tr r="B101" s="2"/>
      </tp>
      <tp t="s">
        <v>レーザーテック</v>
        <stp/>
        <stp>Market</stp>
        <stp>STOCK</stp>
        <stp>69200.T</stp>
        <stp>銘柄名称</stp>
        <tr r="B195" s="2"/>
      </tp>
      <tp t="s">
        <v>日本リーテック</v>
        <stp/>
        <stp>Market</stp>
        <stp>STOCK</stp>
        <stp>19380.T</stp>
        <stp>銘柄名称</stp>
        <tr r="B172" s="2"/>
      </tp>
      <tp t="s">
        <v>ＬＩＸＩＬ</v>
        <stp/>
        <stp>Market</stp>
        <stp>STOCK</stp>
        <stp>59380.T</stp>
        <stp>銘柄名称</stp>
        <tr r="B32" s="2"/>
      </tp>
      <tp t="s">
        <v>サンフロンティア不動産</v>
        <stp/>
        <stp>Market</stp>
        <stp>STOCK</stp>
        <stp>89340.T</stp>
        <stp>銘柄名称</stp>
        <tr r="B121" s="2"/>
      </tp>
      <tp t="s">
        <v>グローバルウェイ</v>
        <stp/>
        <stp>Market</stp>
        <stp>STOCK</stp>
        <stp>39360.T</stp>
        <stp>銘柄名称</stp>
        <tr r="B241" s="2"/>
      </tp>
      <tp t="s">
        <v>北陸電気工事</v>
        <stp/>
        <stp>Market</stp>
        <stp>STOCK</stp>
        <stp>19300.T</stp>
        <stp>銘柄名称</stp>
        <tr r="B159" s="2"/>
      </tp>
      <tp t="s">
        <v>紀文食品</v>
        <stp/>
        <stp>Market</stp>
        <stp>STOCK</stp>
        <stp>29330.T</stp>
        <stp>銘柄名称</stp>
        <tr r="B284" s="2"/>
      </tp>
      <tp t="s">
        <v>ソフトバンクグループ</v>
        <stp/>
        <stp>Market</stp>
        <stp>STOCK</stp>
        <stp>99840.T</stp>
        <stp>銘柄名称</stp>
        <tr r="B61" s="2"/>
      </tp>
      <tp t="s">
        <v>ユーザーローカル</v>
        <stp/>
        <stp>Market</stp>
        <stp>STOCK</stp>
        <stp>39840.T</stp>
        <stp>銘柄名称</stp>
        <tr r="B235" s="2"/>
      </tp>
      <tp t="s">
        <v>タカラスタンダ－ド</v>
        <stp/>
        <stp>Market</stp>
        <stp>STOCK</stp>
        <stp>79810.T</stp>
        <stp>銘柄名称</stp>
        <tr r="B167" s="2"/>
      </tp>
      <tp t="s">
        <v>村田製作所</v>
        <stp/>
        <stp>Market</stp>
        <stp>STOCK</stp>
        <stp>69810.T</stp>
        <stp>銘柄名称</stp>
        <tr r="B150" s="2"/>
      </tp>
      <tp t="s">
        <v>デクセリアルズ</v>
        <stp/>
        <stp>Market</stp>
        <stp>STOCK</stp>
        <stp>49800.T</stp>
        <stp>銘柄名称</stp>
        <tr r="B65" s="2"/>
      </tp>
      <tp t="s">
        <v>日本ケミコン</v>
        <stp/>
        <stp>Market</stp>
        <stp>STOCK</stp>
        <stp>69970.T</stp>
        <stp>銘柄名称</stp>
        <tr r="B268" s="2"/>
      </tp>
      <tp>
        <v>673.1</v>
        <stp/>
        <stp>Market</stp>
        <stp>STOCK</stp>
        <stp>21270.T</stp>
        <stp>前日終値</stp>
        <tr r="E183" s="2"/>
      </tp>
      <tp>
        <v>14570</v>
        <stp/>
        <stp>Market</stp>
        <stp>STOCK</stp>
        <stp>61350.T</stp>
        <stp>前日終値</stp>
        <tr r="E219" s="2"/>
      </tp>
      <tp>
        <v>7639</v>
        <stp/>
        <stp>Market</stp>
        <stp>STOCK</stp>
        <stp>61340.T</stp>
        <stp>前日終値</stp>
        <tr r="E88" s="2"/>
      </tp>
      <tp>
        <v>5540</v>
        <stp/>
        <stp>Market</stp>
        <stp>STOCK</stp>
        <stp>91010.T</stp>
        <stp>前日終値</stp>
        <tr r="E202" s="2"/>
      </tp>
      <tp>
        <v>904</v>
        <stp/>
        <stp>Market</stp>
        <stp>STOCK</stp>
        <stp>81030.T</stp>
        <stp>前日終値</stp>
        <tr r="E165" s="2"/>
      </tp>
      <tp>
        <v>945</v>
        <stp/>
        <stp>Market</stp>
        <stp>STOCK</stp>
        <stp>31030.T</stp>
        <stp>前日終値</stp>
        <tr r="E134" s="2"/>
      </tp>
      <tp>
        <v>5522</v>
        <stp/>
        <stp>Market</stp>
        <stp>STOCK</stp>
        <stp>91040.T</stp>
        <stp>前日終値</stp>
        <tr r="E255" s="2"/>
      </tp>
      <tp>
        <v>3440</v>
        <stp/>
        <stp>Market</stp>
        <stp>STOCK</stp>
        <stp>31070.T</stp>
        <stp>前日終値</stp>
        <tr r="E56" s="2"/>
      </tp>
      <tp>
        <v>1942</v>
        <stp/>
        <stp>Market</stp>
        <stp>STOCK</stp>
        <stp>485A0.T</stp>
        <stp>現在値</stp>
        <tr r="C217" s="2"/>
      </tp>
    </main>
    <main first="rtdsrv.aa62150a635042219654be00b1467f2f">
      <tp>
        <v>305</v>
        <stp/>
        <stp>Market</stp>
        <stp>STOCK</stp>
        <stp>48880.T</stp>
        <stp>現在値</stp>
        <tr r="C142" s="2"/>
      </tp>
      <tp>
        <v>1681</v>
        <stp/>
        <stp>Market</stp>
        <stp>STOCK</stp>
        <stp>48870.T</stp>
        <stp>現在値</stp>
        <tr r="C188" s="2"/>
      </tp>
    </main>
    <main first="rtdsrv.aa62150a635042219654be00b1467f2f">
      <tp>
        <v>3280</v>
        <stp/>
        <stp>Market</stp>
        <stp>STOCK</stp>
        <stp>31100.T</stp>
        <stp>前日終値</stp>
        <tr r="E130" s="2"/>
      </tp>
      <tp>
        <v>825</v>
        <stp/>
        <stp>Market</stp>
        <stp>STOCK</stp>
        <stp>91150.T</stp>
        <stp>前日終値</stp>
        <tr r="E266" s="2"/>
      </tp>
      <tp>
        <v>23000</v>
        <stp/>
        <stp>Market</stp>
        <stp>STOCK</stp>
        <stp>49660.T</stp>
        <stp>現在値</stp>
        <tr r="C192" s="2"/>
      </tp>
      <tp>
        <v>3509</v>
        <stp/>
        <stp>Market</stp>
        <stp>STOCK</stp>
        <stp>49800.T</stp>
        <stp>現在値</stp>
        <tr r="C65" s="2"/>
      </tp>
      <tp>
        <v>2523</v>
        <stp/>
        <stp>Market</stp>
        <stp>STOCK</stp>
        <stp>21600.T</stp>
        <stp>前日終値</stp>
        <tr r="E127" s="2"/>
      </tp>
      <tp>
        <v>1708</v>
        <stp/>
        <stp>Market</stp>
        <stp>STOCK</stp>
        <stp>91650.T</stp>
        <stp>前日終値</stp>
        <tr r="E239" s="2"/>
      </tp>
      <tp>
        <v>1508</v>
        <stp/>
        <stp>Market</stp>
        <stp>STOCK</stp>
        <stp>71670.T</stp>
        <stp>前日終値</stp>
        <tr r="E78" s="2"/>
      </tp>
      <tp>
        <v>2388</v>
        <stp/>
        <stp>Market</stp>
        <stp>STOCK</stp>
        <stp>61780.T</stp>
        <stp>前日終値</stp>
        <tr r="E100" s="2"/>
      </tp>
      <tp>
        <v>1602</v>
        <stp/>
        <stp>Market</stp>
        <stp>STOCK</stp>
        <stp>81410.T</stp>
        <stp>前日終値</stp>
        <tr r="E288" s="2"/>
      </tp>
      <tp>
        <v>1201</v>
        <stp/>
        <stp>Market</stp>
        <stp>STOCK</stp>
        <stp>61400.T</stp>
        <stp>前日終値</stp>
        <tr r="E257" s="2"/>
      </tp>
      <tp>
        <v>70590</v>
        <stp/>
        <stp>Market</stp>
        <stp>STOCK</stp>
        <stp>61460.T</stp>
        <stp>前日終値</stp>
        <tr r="E193" s="2"/>
      </tp>
      <tp>
        <v>3208</v>
        <stp/>
        <stp>Market</stp>
        <stp>STOCK</stp>
        <stp>42080.T</stp>
        <stp>現在値</stp>
        <tr r="C294" s="2"/>
      </tp>
      <tp>
        <v>1934</v>
        <stp/>
        <stp>Market</stp>
        <stp>STOCK</stp>
        <stp>42180.T</stp>
        <stp>現在値</stp>
        <tr r="C278" s="2"/>
      </tp>
      <tp>
        <v>601</v>
        <stp/>
        <stp>Market</stp>
        <stp>STOCK</stp>
        <stp>42220.T</stp>
        <stp>現在値</stp>
        <tr r="C225" s="2"/>
      </tp>
    </main>
    <main first="rtdsrv.aa62150a635042219654be00b1467f2f">
      <tp>
        <v>1074</v>
        <stp/>
        <stp>Market</stp>
        <stp>STOCK</stp>
        <stp>43730.T</stp>
        <stp>現在値</stp>
        <tr r="C156" s="2"/>
      </tp>
      <tp>
        <v>5076</v>
        <stp/>
        <stp>Market</stp>
        <stp>STOCK</stp>
        <stp>43070.T</stp>
        <stp>現在値</stp>
        <tr r="C146" s="2"/>
      </tp>
    </main>
    <main first="rtdsrv.aa62150a635042219654be00b1467f2f">
      <tp>
        <v>705</v>
        <stp/>
        <stp>Market</stp>
        <stp>STOCK</stp>
        <stp>43820.T</stp>
        <stp>現在値</stp>
        <tr r="C169" s="2"/>
      </tp>
      <tp>
        <v>1064</v>
        <stp/>
        <stp>Market</stp>
        <stp>STOCK</stp>
        <stp>43920.T</stp>
        <stp>現在値</stp>
        <tr r="C231" s="2"/>
      </tp>
      <tp>
        <v>1202.5</v>
        <stp/>
        <stp>Market</stp>
        <stp>STOCK</stp>
        <stp>41880.T</stp>
        <stp>前日終値</stp>
        <tr r="E94" s="2"/>
      </tp>
      <tp>
        <v>1657.5</v>
        <stp/>
        <stp>Market</stp>
        <stp>STOCK</stp>
        <stp>71810.T</stp>
        <stp>前日終値</stp>
        <tr r="E186" s="2"/>
      </tp>
      <tp>
        <v>3258</v>
        <stp/>
        <stp>Market</stp>
        <stp>STOCK</stp>
        <stp>71820.T</stp>
        <stp>前日終値</stp>
        <tr r="E81" s="2"/>
      </tp>
      <tp>
        <v>4597</v>
        <stp/>
        <stp>Market</stp>
        <stp>STOCK</stp>
        <stp>41820.T</stp>
        <stp>前日終値</stp>
        <tr r="E93" s="2"/>
      </tp>
      <tp>
        <v>2701</v>
        <stp/>
        <stp>Market</stp>
        <stp>STOCK</stp>
        <stp>40470.T</stp>
        <stp>現在値</stp>
        <tr r="C285" s="2"/>
      </tp>
      <tp>
        <v>1723.5</v>
        <stp/>
        <stp>Market</stp>
        <stp>STOCK</stp>
        <stp>40450.T</stp>
        <stp>現在値</stp>
        <tr r="C57" s="2"/>
      </tp>
      <tp>
        <v>7157</v>
        <stp/>
        <stp>Market</stp>
        <stp>STOCK</stp>
        <stp>40630.T</stp>
        <stp>現在値</stp>
        <tr r="C62" s="2"/>
      </tp>
      <tp>
        <v>15685</v>
        <stp/>
        <stp>Market</stp>
        <stp>STOCK</stp>
        <stp>40620.T</stp>
        <stp>現在値</stp>
        <tr r="C92" s="2"/>
      </tp>
      <tp>
        <v>1268</v>
        <stp/>
        <stp>Market</stp>
        <stp>STOCK</stp>
        <stp>40080.T</stp>
        <stp>現在値</stp>
        <tr r="C91" s="2"/>
      </tp>
      <tp>
        <v>13910</v>
        <stp/>
        <stp>Market</stp>
        <stp>STOCK</stp>
        <stp>40040.T</stp>
        <stp>現在値</stp>
        <tr r="C209" s="2"/>
      </tp>
    </main>
    <main first="rtdsrv.aa62150a635042219654be00b1467f2f">
      <tp>
        <v>2527</v>
        <stp/>
        <stp>Market</stp>
        <stp>STOCK</stp>
        <stp>40880.T</stp>
        <stp>現在値</stp>
        <tr r="C152" s="2"/>
      </tp>
      <tp>
        <v>1730</v>
        <stp/>
        <stp>Market</stp>
        <stp>STOCK</stp>
        <stp>40820.T</stp>
        <stp>現在値</stp>
        <tr r="C125" s="2"/>
      </tp>
      <tp>
        <v>6010</v>
        <stp/>
        <stp>Market</stp>
        <stp>STOCK</stp>
        <stp>40910.T</stp>
        <stp>現在値</stp>
        <tr r="C153" s="2"/>
      </tp>
    </main>
    <main first="rtdsrv.aa62150a635042219654be00b1467f2f">
      <tp>
        <v>1168</v>
        <stp/>
        <stp>Market</stp>
        <stp>STOCK</stp>
        <stp>41880.T</stp>
        <stp>現在値</stp>
        <tr r="C94" s="2"/>
      </tp>
      <tp>
        <v>4331</v>
        <stp/>
        <stp>Market</stp>
        <stp>STOCK</stp>
        <stp>41820.T</stp>
        <stp>現在値</stp>
        <tr r="C93" s="2"/>
      </tp>
    </main>
    <main first="rtdsrv.aa62150a635042219654be00b1467f2f">
      <tp>
        <v>1597</v>
        <stp/>
        <stp>Market</stp>
        <stp>STOCK</stp>
        <stp>464A0.T</stp>
        <stp>現在値</stp>
        <tr r="C216" s="2"/>
      </tp>
      <tp>
        <v>2729.5</v>
        <stp/>
        <stp>Market</stp>
        <stp>STOCK</stp>
        <stp>46610.T</stp>
        <stp>現在値</stp>
        <tr r="C97" s="2"/>
      </tp>
      <tp>
        <v>4029</v>
        <stp/>
        <stp>Market</stp>
        <stp>STOCK</stp>
        <stp>46760.T</stp>
        <stp>現在値</stp>
        <tr r="C54" s="2"/>
      </tp>
      <tp>
        <v>2566</v>
        <stp/>
        <stp>Market</stp>
        <stp>STOCK</stp>
        <stp>47760.T</stp>
        <stp>現在値</stp>
        <tr r="C249" s="2"/>
      </tp>
      <tp>
        <v>1115</v>
        <stp/>
        <stp>Market</stp>
        <stp>STOCK</stp>
        <stp>47090.T</stp>
        <stp>現在値</stp>
        <tr r="C166" s="2"/>
      </tp>
      <tp>
        <v>6480</v>
        <stp/>
        <stp>Market</stp>
        <stp>STOCK</stp>
        <stp>47040.T</stp>
        <stp>現在値</stp>
        <tr r="C250" s="2"/>
      </tp>
    </main>
    <main first="rtdsrv.aa62150a635042219654be00b1467f2f">
      <tp>
        <v>6620</v>
        <stp/>
        <stp>Market</stp>
        <stp>STOCK</stp>
        <stp>47330.T</stp>
        <stp>現在値</stp>
        <tr r="C161" s="2"/>
      </tp>
      <tp>
        <v>4360</v>
        <stp/>
        <stp>Market</stp>
        <stp>STOCK</stp>
        <stp>44170.T</stp>
        <stp>現在値</stp>
        <tr r="C149" s="2"/>
      </tp>
    </main>
    <main first="rtdsrv.aa62150a635042219654be00b1467f2f">
      <tp>
        <v>517</v>
        <stp/>
        <stp>Market</stp>
        <stp>STOCK</stp>
        <stp>44220.T</stp>
        <stp>現在値</stp>
        <tr r="C135" s="2"/>
      </tp>
    </main>
    <main first="rtdsrv.aa62150a635042219654be00b1467f2f">
      <tp>
        <v>3850</v>
        <stp/>
        <stp>Market</stp>
        <stp>STOCK</stp>
        <stp>45400.T</stp>
        <stp>現在値</stp>
        <tr r="C60" s="2"/>
      </tp>
      <tp>
        <v>3388</v>
        <stp/>
        <stp>Market</stp>
        <stp>STOCK</stp>
        <stp>45440.T</stp>
        <stp>現在値</stp>
        <tr r="C269" s="2"/>
      </tp>
      <tp>
        <v>2791</v>
        <stp/>
        <stp>Market</stp>
        <stp>STOCK</stp>
        <stp>45680.T</stp>
        <stp>現在値</stp>
        <tr r="C138" s="2"/>
      </tp>
      <tp>
        <v>5480</v>
        <stp/>
        <stp>Market</stp>
        <stp>STOCK</stp>
        <stp>45020.T</stp>
        <stp>現在値</stp>
        <tr r="C208" s="2"/>
      </tp>
      <tp>
        <v>7325</v>
        <stp/>
        <stp>Market</stp>
        <stp>STOCK</stp>
        <stp>45190.T</stp>
        <stp>現在値</stp>
        <tr r="C126" s="2"/>
      </tp>
      <tp>
        <v>2425.5</v>
        <stp/>
        <stp>Market</stp>
        <stp>STOCK</stp>
        <stp>45280.T</stp>
        <stp>現在値</stp>
        <tr r="C96" s="2"/>
      </tp>
      <tp>
        <v>4450</v>
        <stp/>
        <stp>Market</stp>
        <stp>STOCK</stp>
        <stp>45230.T</stp>
        <stp>現在値</stp>
        <tr r="C95" s="2"/>
      </tp>
      <tp>
        <v>2042.5</v>
        <stp/>
        <stp>Market</stp>
        <stp>STOCK</stp>
        <stp>45360.T</stp>
        <stp>現在値</stp>
        <tr r="C63" s="2"/>
      </tp>
      <tp>
        <v>15040</v>
        <stp/>
        <stp>Market</stp>
        <stp>STOCK</stp>
        <stp>66220.T</stp>
        <stp>前日終値</stp>
        <tr r="E212" s="2"/>
      </tp>
      <tp>
        <v>7909</v>
        <stp/>
        <stp>Market</stp>
        <stp>STOCK</stp>
        <stp>56310.T</stp>
        <stp>前日終値</stp>
        <tr r="E259" s="2"/>
      </tp>
      <tp>
        <v>6618</v>
        <stp/>
        <stp>Market</stp>
        <stp>STOCK</stp>
        <stp>86300.T</stp>
        <stp>前日終値</stp>
        <tr r="E50" s="2"/>
      </tp>
      <tp>
        <v>2147</v>
        <stp/>
        <stp>Market</stp>
        <stp>STOCK</stp>
        <stp>56320.T</stp>
        <stp>前日終値</stp>
        <tr r="E243" s="2"/>
      </tp>
      <tp>
        <v>3455</v>
        <stp/>
        <stp>Market</stp>
        <stp>STOCK</stp>
        <stp>76090.T</stp>
        <stp>前日終値</stp>
        <tr r="E236" s="2"/>
      </tp>
      <tp>
        <v>1875.5</v>
        <stp/>
        <stp>Market</stp>
        <stp>STOCK</stp>
        <stp>86010.T</stp>
        <stp>前日終値</stp>
        <tr r="E29" s="2"/>
      </tp>
      <tp>
        <v>3429</v>
        <stp/>
        <stp>Market</stp>
        <stp>STOCK</stp>
        <stp>16050.T</stp>
        <stp>前日終値</stp>
        <tr r="E8" s="2"/>
      </tp>
      <tp>
        <v>1609</v>
        <stp/>
        <stp>Market</stp>
        <stp>STOCK</stp>
        <stp>86040.T</stp>
        <stp>前日終値</stp>
        <tr r="E36" s="2"/>
      </tp>
      <tp>
        <v>2351</v>
        <stp/>
        <stp>Market</stp>
        <stp>STOCK</stp>
        <stp>38540.T</stp>
        <stp>現在値</stp>
        <tr r="C67" s="2"/>
      </tp>
      <tp>
        <v>1460</v>
        <stp/>
        <stp>Market</stp>
        <stp>STOCK</stp>
        <stp>38630.T</stp>
        <stp>現在値</stp>
        <tr r="C28" s="2"/>
      </tp>
      <tp>
        <v>837.3</v>
        <stp/>
        <stp>Market</stp>
        <stp>STOCK</stp>
        <stp>38610.T</stp>
        <stp>現在値</stp>
        <tr r="C37" s="2"/>
      </tp>
      <tp>
        <v>1092</v>
        <stp/>
        <stp>Market</stp>
        <stp>STOCK</stp>
        <stp>38640.T</stp>
        <stp>現在値</stp>
        <tr r="C267" s="2"/>
      </tp>
    </main>
    <main first="rtdsrv.aa62150a635042219654be00b1467f2f">
      <tp>
        <v>6950</v>
        <stp/>
        <stp>Market</stp>
        <stp>STOCK</stp>
        <stp>38910.T</stp>
        <stp>現在値</stp>
        <tr r="C155" s="2"/>
      </tp>
    </main>
    <main first="rtdsrv.aa62150a635042219654be00b1467f2f">
      <tp>
        <v>32150</v>
        <stp/>
        <stp>Market</stp>
        <stp>STOCK</stp>
        <stp>16180.T</stp>
        <stp>前日終値</stp>
        <tr r="E223" s="2"/>
      </tp>
      <tp>
        <v>1940</v>
        <stp/>
        <stp>Market</stp>
        <stp>STOCK</stp>
        <stp>66130.T</stp>
        <stp>前日終値</stp>
        <tr r="E137" s="2"/>
      </tp>
      <tp>
        <v>1430.5</v>
        <stp/>
        <stp>Market</stp>
        <stp>STOCK</stp>
        <stp>39410.T</stp>
        <stp>現在値</stp>
        <tr r="C44" s="2"/>
      </tp>
      <tp>
        <v>2527</v>
        <stp/>
        <stp>Market</stp>
        <stp>STOCK</stp>
        <stp>39050.T</stp>
        <stp>現在値</stp>
        <tr r="C280" s="2"/>
      </tp>
      <tp>
        <v>156</v>
        <stp/>
        <stp>Market</stp>
        <stp>STOCK</stp>
        <stp>39360.T</stp>
        <stp>現在値</stp>
        <tr r="C241" s="2"/>
      </tp>
    </main>
    <main first="rtdsrv.aa62150a635042219654be00b1467f2f">
      <tp>
        <v>1797</v>
        <stp/>
        <stp>Market</stp>
        <stp>STOCK</stp>
        <stp>39840.T</stp>
        <stp>現在値</stp>
        <tr r="C235" s="2"/>
      </tp>
    </main>
    <main first="rtdsrv.aa62150a635042219654be00b1467f2f">
      <tp>
        <v>2695</v>
        <stp/>
        <stp>Market</stp>
        <stp>STOCK</stp>
        <stp>46610.T</stp>
        <stp>前日終値</stp>
        <tr r="E97" s="2"/>
      </tp>
      <tp>
        <v>1689</v>
        <stp/>
        <stp>Market</stp>
        <stp>STOCK</stp>
        <stp>16620.T</stp>
        <stp>前日終値</stp>
        <tr r="E14" s="2"/>
      </tp>
      <tp>
        <v>5902</v>
        <stp/>
        <stp>Market</stp>
        <stp>STOCK</stp>
        <stp>66740.T</stp>
        <stp>前日終値</stp>
        <tr r="E260" s="2"/>
      </tp>
      <tp>
        <v>4111</v>
        <stp/>
        <stp>Market</stp>
        <stp>STOCK</stp>
        <stp>46760.T</stp>
        <stp>前日終値</stp>
        <tr r="E54" s="2"/>
      </tp>
      <tp>
        <v>1737</v>
        <stp/>
        <stp>Market</stp>
        <stp>STOCK</stp>
        <stp>464A0.T</stp>
        <stp>前日終値</stp>
        <tr r="E216" s="2"/>
      </tp>
    </main>
    <main first="rtdsrv.aa62150a635042219654be00b1467f2f">
      <tp>
        <v>4150</v>
        <stp/>
        <stp>Market</stp>
        <stp>STOCK</stp>
        <stp>33970.T</stp>
        <stp>現在値</stp>
        <tr r="C281" s="2"/>
      </tp>
    </main>
    <main first="rtdsrv.aa62150a635042219654be00b1467f2f">
      <tp>
        <v>3515</v>
        <stp/>
        <stp>Market</stp>
        <stp>STOCK</stp>
        <stp>76850.T</stp>
        <stp>前日終値</stp>
        <tr r="E117" s="2"/>
      </tp>
      <tp>
        <v>4380</v>
        <stp/>
        <stp>Market</stp>
        <stp>STOCK</stp>
        <stp>96870.T</stp>
        <stp>前日終値</stp>
        <tr r="E158" s="2"/>
      </tp>
      <tp>
        <v>1789</v>
        <stp/>
        <stp>Market</stp>
        <stp>STOCK</stp>
        <stp>30030.T</stp>
        <stp>現在値</stp>
        <tr r="C84" s="2"/>
      </tp>
      <tp>
        <v>3935</v>
        <stp/>
        <stp>Market</stp>
        <stp>STOCK</stp>
        <stp>30020.T</stp>
        <stp>現在値</stp>
        <tr r="C273" s="2"/>
      </tp>
      <tp>
        <v>2874</v>
        <stp/>
        <stp>Market</stp>
        <stp>STOCK</stp>
        <stp>300A0.T</stp>
        <stp>現在値</stp>
        <tr r="C248" s="2"/>
      </tp>
    </main>
    <main first="rtdsrv.aa62150a635042219654be00b1467f2f">
      <tp>
        <v>2145</v>
        <stp/>
        <stp>Market</stp>
        <stp>STOCK</stp>
        <stp>36960.T</stp>
        <stp>前日終値</stp>
        <tr r="E224" s="2"/>
      </tp>
      <tp>
        <v>850</v>
        <stp/>
        <stp>Market</stp>
        <stp>STOCK</stp>
        <stp>31030.T</stp>
        <stp>現在値</stp>
        <tr r="C134" s="2"/>
      </tp>
      <tp>
        <v>3392</v>
        <stp/>
        <stp>Market</stp>
        <stp>STOCK</stp>
        <stp>31070.T</stp>
        <stp>現在値</stp>
        <tr r="C56" s="2"/>
      </tp>
      <tp>
        <v>3035</v>
        <stp/>
        <stp>Market</stp>
        <stp>STOCK</stp>
        <stp>31100.T</stp>
        <stp>現在値</stp>
        <tr r="C130" s="2"/>
      </tp>
    </main>
    <main first="rtdsrv.aa62150a635042219654be00b1467f2f">
      <tp>
        <v>2108</v>
        <stp/>
        <stp>Market</stp>
        <stp>STOCK</stp>
        <stp>36960.T</stp>
        <stp>現在値</stp>
        <tr r="C224" s="2"/>
      </tp>
    </main>
    <main first="rtdsrv.aa62150a635042219654be00b1467f2f">
      <tp>
        <v>1148.5</v>
        <stp/>
        <stp>Market</stp>
        <stp>STOCK</stp>
        <stp>34020.T</stp>
        <stp>現在値</stp>
        <tr r="C40" s="2"/>
      </tp>
      <tp>
        <v>1688.5</v>
        <stp/>
        <stp>Market</stp>
        <stp>STOCK</stp>
        <stp>34010.T</stp>
        <stp>現在値</stp>
        <tr r="C23" s="2"/>
      </tp>
      <tp>
        <v>1829.5</v>
        <stp/>
        <stp>Market</stp>
        <stp>STOCK</stp>
        <stp>34070.T</stp>
        <stp>現在値</stp>
        <tr r="C90" s="2"/>
      </tp>
    </main>
    <main first="rtdsrv.aa62150a635042219654be00b1467f2f">
      <tp>
        <v>3914</v>
        <stp/>
        <stp>Market</stp>
        <stp>STOCK</stp>
        <stp>34360.T</stp>
        <stp>現在値</stp>
        <tr r="C24" s="2"/>
      </tp>
    </main>
    <main first="rtdsrv.aa62150a635042219654be00b1467f2f">
      <tp>
        <v>5409</v>
        <stp/>
        <stp>Market</stp>
        <stp>STOCK</stp>
        <stp>35630.T</stp>
        <stp>現在値</stp>
        <tr r="C226" s="2"/>
      </tp>
    </main>
    <main first="rtdsrv.aa62150a635042219654be00b1467f2f">
      <tp>
        <v>18850</v>
        <stp/>
        <stp>Market</stp>
        <stp>STOCK</stp>
        <stp>77290.T</stp>
        <stp>前日終値</stp>
        <tr r="E103" s="2"/>
      </tp>
      <tp>
        <v>4553</v>
        <stp/>
        <stp>Market</stp>
        <stp>STOCK</stp>
        <stp>87250.T</stp>
        <stp>前日終値</stp>
        <tr r="E18" s="2"/>
      </tp>
      <tp>
        <v>2342</v>
        <stp/>
        <stp>Market</stp>
        <stp>STOCK</stp>
        <stp>97330.T</stp>
        <stp>前日終値</stp>
        <tr r="E162" s="2"/>
      </tp>
      <tp>
        <v>6570</v>
        <stp/>
        <stp>Market</stp>
        <stp>STOCK</stp>
        <stp>47330.T</stp>
        <stp>前日終値</stp>
        <tr r="E161" s="2"/>
      </tp>
      <tp>
        <v>18770</v>
        <stp/>
        <stp>Market</stp>
        <stp>STOCK</stp>
        <stp>77350.T</stp>
        <stp>前日終値</stp>
        <tr r="E279" s="2"/>
      </tp>
      <tp>
        <v>8950</v>
        <stp/>
        <stp>Market</stp>
        <stp>STOCK</stp>
        <stp>67360.T</stp>
        <stp>前日終値</stp>
        <tr r="E283" s="2"/>
      </tp>
      <tp>
        <v>1119</v>
        <stp/>
        <stp>Market</stp>
        <stp>STOCK</stp>
        <stp>47090.T</stp>
        <stp>前日終値</stp>
        <tr r="E166" s="2"/>
      </tp>
      <tp>
        <v>4441</v>
        <stp/>
        <stp>Market</stp>
        <stp>STOCK</stp>
        <stp>67010.T</stp>
        <stp>前日終値</stp>
        <tr r="E7" s="2"/>
      </tp>
      <tp>
        <v>2734</v>
        <stp/>
        <stp>Market</stp>
        <stp>STOCK</stp>
        <stp>57030.T</stp>
        <stp>前日終値</stp>
        <tr r="E9" s="2"/>
      </tp>
      <tp>
        <v>1507</v>
        <stp/>
        <stp>Market</stp>
        <stp>STOCK</stp>
        <stp>57020.T</stp>
        <stp>前日終値</stp>
        <tr r="E271" s="2"/>
      </tp>
      <tp>
        <v>7510</v>
        <stp/>
        <stp>Market</stp>
        <stp>STOCK</stp>
        <stp>27020.T</stp>
        <stp>前日終値</stp>
        <tr r="E190" s="2"/>
      </tp>
      <tp>
        <v>1294</v>
        <stp/>
        <stp>Market</stp>
        <stp>STOCK</stp>
        <stp>87040.T</stp>
        <stp>前日終値</stp>
        <tr r="E160" s="2"/>
      </tp>
      <tp>
        <v>6470</v>
        <stp/>
        <stp>Market</stp>
        <stp>STOCK</stp>
        <stp>47040.T</stp>
        <stp>前日終値</stp>
        <tr r="E250" s="2"/>
      </tp>
      <tp>
        <v>2991</v>
        <stp/>
        <stp>Market</stp>
        <stp>STOCK</stp>
        <stp>67060.T</stp>
        <stp>前日終値</stp>
        <tr r="E287" s="2"/>
      </tp>
      <tp>
        <v>32280</v>
        <stp/>
        <stp>Market</stp>
        <stp>STOCK</stp>
        <stp>57060.T</stp>
        <stp>前日終値</stp>
        <tr r="E2" s="2"/>
      </tp>
      <tp>
        <v>52110</v>
        <stp/>
        <stp>Market</stp>
        <stp>STOCK</stp>
        <stp>285A0.T</stp>
        <stp>現在値</stp>
        <tr r="C214" s="2"/>
      </tp>
      <tp>
        <v>5194</v>
        <stp/>
        <stp>Market</stp>
        <stp>STOCK</stp>
        <stp>28020.T</stp>
        <stp>現在値</stp>
        <tr r="C72" s="2"/>
      </tp>
      <tp>
        <v>455</v>
        <stp/>
        <stp>Market</stp>
        <stp>STOCK</stp>
        <stp>281A0.T</stp>
        <stp>現在値</stp>
        <tr r="C262" s="2"/>
      </tp>
    </main>
    <main first="rtdsrv.aa62150a635042219654be00b1467f2f">
      <tp>
        <v>4960</v>
        <stp/>
        <stp>Market</stp>
        <stp>STOCK</stp>
        <stp>77110.T</stp>
        <stp>前日終値</stp>
        <tr r="E264" s="2"/>
      </tp>
      <tp>
        <v>4193</v>
        <stp/>
        <stp>Market</stp>
        <stp>STOCK</stp>
        <stp>57110.T</stp>
        <stp>前日終値</stp>
        <tr r="E5" s="2"/>
      </tp>
      <tp>
        <v>7276</v>
        <stp/>
        <stp>Market</stp>
        <stp>STOCK</stp>
        <stp>57130.T</stp>
        <stp>前日終値</stp>
        <tr r="E4" s="2"/>
      </tp>
      <tp>
        <v>8349</v>
        <stp/>
        <stp>Market</stp>
        <stp>STOCK</stp>
        <stp>57140.T</stp>
        <stp>前日終値</stp>
        <tr r="E6" s="2"/>
      </tp>
      <tp>
        <v>6347</v>
        <stp/>
        <stp>Market</stp>
        <stp>STOCK</stp>
        <stp>29140.T</stp>
        <stp>現在値</stp>
        <tr r="C83" s="2"/>
      </tp>
      <tp>
        <v>1090</v>
        <stp/>
        <stp>Market</stp>
        <stp>STOCK</stp>
        <stp>29330.T</stp>
        <stp>現在値</stp>
        <tr r="C284" s="2"/>
      </tp>
      <tp>
        <v>5215</v>
        <stp/>
        <stp>Market</stp>
        <stp>STOCK</stp>
        <stp>27680.T</stp>
        <stp>前日終値</stp>
        <tr r="E198" s="2"/>
      </tp>
      <tp>
        <v>3085</v>
        <stp/>
        <stp>Market</stp>
        <stp>STOCK</stp>
        <stp>67620.T</stp>
        <stp>前日終値</stp>
        <tr r="E230" s="2"/>
      </tp>
      <tp>
        <v>7600</v>
        <stp/>
        <stp>Market</stp>
        <stp>STOCK</stp>
        <stp>87660.T</stp>
        <stp>前日終値</stp>
        <tr r="E48" s="2"/>
      </tp>
      <tp>
        <v>20620</v>
        <stp/>
        <stp>Market</stp>
        <stp>STOCK</stp>
        <stp>67770.T</stp>
        <stp>前日終値</stp>
        <tr r="E140" s="2"/>
      </tp>
      <tp>
        <v>2610</v>
        <stp/>
        <stp>Market</stp>
        <stp>STOCK</stp>
        <stp>47760.T</stp>
        <stp>前日終値</stp>
        <tr r="E249" s="2"/>
      </tp>
      <tp>
        <v>25050</v>
        <stp/>
        <stp>Market</stp>
        <stp>STOCK</stp>
        <stp>77410.T</stp>
        <stp>前日終値</stp>
        <tr r="E298" s="2"/>
      </tp>
      <tp>
        <v>49</v>
        <stp/>
        <stp>Market</stp>
        <stp>STOCK</stp>
        <stp>67400.T</stp>
        <stp>前日終値</stp>
        <tr r="E136" s="2"/>
      </tp>
      <tp>
        <v>4265</v>
        <stp/>
        <stp>Market</stp>
        <stp>STOCK</stp>
        <stp>67440.T</stp>
        <stp>前日終値</stp>
        <tr r="E116" s="2"/>
      </tp>
      <tp>
        <v>781</v>
        <stp/>
        <stp>Market</stp>
        <stp>STOCK</stp>
        <stp>77460.T</stp>
        <stp>前日終値</stp>
        <tr r="E89" s="2"/>
      </tp>
      <tp>
        <v>3438</v>
        <stp/>
        <stp>Market</stp>
        <stp>STOCK</stp>
        <stp>67580.T</stp>
        <stp>前日終値</stp>
        <tr r="E201" s="2"/>
      </tp>
      <tp>
        <v>1836.5</v>
        <stp/>
        <stp>Market</stp>
        <stp>STOCK</stp>
        <stp>87500.T</stp>
        <stp>前日終値</stp>
        <tr r="E39" s="2"/>
      </tp>
      <tp>
        <v>634.1</v>
        <stp/>
        <stp>Market</stp>
        <stp>STOCK</stp>
        <stp>67530.T</stp>
        <stp>前日終値</stp>
        <tr r="E184" s="2"/>
      </tp>
      <tp>
        <v>4218</v>
        <stp/>
        <stp>Market</stp>
        <stp>STOCK</stp>
        <stp>67520.T</stp>
        <stp>前日終値</stp>
        <tr r="E211" s="2"/>
      </tp>
      <tp>
        <v>3922</v>
        <stp/>
        <stp>Market</stp>
        <stp>STOCK</stp>
        <stp>67540.T</stp>
        <stp>前日終値</stp>
        <tr r="E151" s="2"/>
      </tp>
      <tp>
        <v>2834.5</v>
        <stp/>
        <stp>Market</stp>
        <stp>STOCK</stp>
        <stp>22670.T</stp>
        <stp>現在値</stp>
        <tr r="C222" s="2"/>
      </tp>
    </main>
    <main first="rtdsrv.aa62150a635042219654be00b1467f2f">
      <tp>
        <v>1980</v>
        <stp/>
        <stp>Market</stp>
        <stp>STOCK</stp>
        <stp>23590.T</stp>
        <stp>現在値</stp>
        <tr r="C164" s="2"/>
      </tp>
      <tp>
        <v>3837</v>
        <stp/>
        <stp>Market</stp>
        <stp>STOCK</stp>
        <stp>23270.T</stp>
        <stp>現在値</stp>
        <tr r="C170" s="2"/>
      </tp>
      <tp>
        <v>3995</v>
        <stp/>
        <stp>Market</stp>
        <stp>STOCK</stp>
        <stp>23260.T</stp>
        <stp>現在値</stp>
        <tr r="C233" s="2"/>
      </tp>
    </main>
    <main first="rtdsrv.aa62150a635042219654be00b1467f2f">
      <tp>
        <v>24800</v>
        <stp/>
        <stp>Market</stp>
        <stp>STOCK</stp>
        <stp>67870.T</stp>
        <stp>前日終値</stp>
        <tr r="E141" s="2"/>
      </tp>
      <tp>
        <v>12120</v>
        <stp/>
        <stp>Market</stp>
        <stp>STOCK</stp>
        <stp>278A0.T</stp>
        <stp>前日終値</stp>
        <tr r="E247" s="2"/>
      </tp>
    </main>
    <main first="rtdsrv.aa62150a635042219654be00b1467f2f">
      <tp>
        <v>4085</v>
        <stp/>
        <stp>Market</stp>
        <stp>STOCK</stp>
        <stp>87930.T</stp>
        <stp>前日終値</stp>
        <tr r="E228" s="2"/>
      </tp>
      <tp>
        <v>4940</v>
        <stp/>
        <stp>Market</stp>
        <stp>STOCK</stp>
        <stp>87950.T</stp>
        <stp>前日終値</stp>
        <tr r="E19" s="2"/>
      </tp>
      <tp>
        <v>952</v>
        <stp/>
        <stp>Market</stp>
        <stp>STOCK</stp>
        <stp>77940.T</stp>
        <stp>前日終値</stp>
        <tr r="E132" s="2"/>
      </tp>
      <tp>
        <v>2440</v>
        <stp/>
        <stp>Market</stp>
        <stp>STOCK</stp>
        <stp>21600.T</stp>
        <stp>現在値</stp>
        <tr r="C127" s="2"/>
      </tp>
    </main>
    <main first="rtdsrv.aa62150a635042219654be00b1467f2f">
      <tp>
        <v>672.2</v>
        <stp/>
        <stp>Market</stp>
        <stp>STOCK</stp>
        <stp>21270.T</stp>
        <stp>現在値</stp>
        <tr r="C183" s="2"/>
      </tp>
    </main>
    <main first="rtdsrv.aa62150a635042219654be00b1467f2f">
      <tp>
        <v>5072</v>
        <stp/>
        <stp>Market</stp>
        <stp>STOCK</stp>
        <stp>27680.T</stp>
        <stp>現在値</stp>
        <tr r="C198" s="2"/>
      </tp>
      <tp>
        <v>7630</v>
        <stp/>
        <stp>Market</stp>
        <stp>STOCK</stp>
        <stp>27020.T</stp>
        <stp>現在値</stp>
        <tr r="C190" s="2"/>
      </tp>
      <tp>
        <v>13770</v>
        <stp/>
        <stp>Market</stp>
        <stp>STOCK</stp>
        <stp>278A0.T</stp>
        <stp>現在値</stp>
        <tr r="C247" s="2"/>
      </tp>
    </main>
    <main first="rtdsrv.aa62150a635042219654be00b1467f2f">
      <tp>
        <v>1770</v>
        <stp/>
        <stp>Market</stp>
        <stp>STOCK</stp>
        <stp>54230.T</stp>
        <stp>前日終値</stp>
        <tr r="E3" s="2"/>
      </tp>
      <tp>
        <v>559</v>
        <stp/>
        <stp>Market</stp>
        <stp>STOCK</stp>
        <stp>44220.T</stp>
        <stp>前日終値</stp>
        <tr r="E135" s="2"/>
      </tp>
      <tp>
        <v>4352</v>
        <stp/>
        <stp>Market</stp>
        <stp>STOCK</stp>
        <stp>84240.T</stp>
        <stp>前日終値</stp>
        <tr r="E104" s="2"/>
      </tp>
      <tp>
        <v>116</v>
        <stp/>
        <stp>Market</stp>
        <stp>STOCK</stp>
        <stp>94240.T</stp>
        <stp>前日終値</stp>
        <tr r="E66" s="2"/>
      </tp>
      <tp>
        <v>3785</v>
        <stp/>
        <stp>Market</stp>
        <stp>STOCK</stp>
        <stp>64360.T</stp>
        <stp>前日終値</stp>
        <tr r="E174" s="2"/>
      </tp>
      <tp>
        <v>4614</v>
        <stp/>
        <stp>Market</stp>
        <stp>STOCK</stp>
        <stp>34360.T</stp>
        <stp>前日終値</stp>
        <tr r="E24" s="2"/>
      </tp>
      <tp>
        <v>580.20000000000005</v>
        <stp/>
        <stp>Market</stp>
        <stp>STOCK</stp>
        <stp>54010.T</stp>
        <stp>前日終値</stp>
        <tr r="E42" s="2"/>
      </tp>
      <tp>
        <v>1732.5</v>
        <stp/>
        <stp>Market</stp>
        <stp>STOCK</stp>
        <stp>34010.T</stp>
        <stp>前日終値</stp>
        <tr r="E23" s="2"/>
      </tp>
      <tp>
        <v>1166.5</v>
        <stp/>
        <stp>Market</stp>
        <stp>STOCK</stp>
        <stp>34020.T</stp>
        <stp>前日終値</stp>
        <tr r="E40" s="2"/>
      </tp>
      <tp>
        <v>2876</v>
        <stp/>
        <stp>Market</stp>
        <stp>STOCK</stp>
        <stp>94040.T</stp>
        <stp>前日終値</stp>
        <tr r="E115" s="2"/>
      </tp>
      <tp>
        <v>6770</v>
        <stp/>
        <stp>Market</stp>
        <stp>STOCK</stp>
        <stp>64070.T</stp>
        <stp>前日終値</stp>
        <tr r="E291" s="2"/>
      </tp>
      <tp>
        <v>1876</v>
        <stp/>
        <stp>Market</stp>
        <stp>STOCK</stp>
        <stp>34070.T</stp>
        <stp>前日終値</stp>
        <tr r="E90" s="2"/>
      </tp>
      <tp>
        <v>2747</v>
        <stp/>
        <stp>Market</stp>
        <stp>STOCK</stp>
        <stp>14070.T</stp>
        <stp>前日終値</stp>
        <tr r="E213" s="2"/>
      </tp>
      <tp>
        <v>1951</v>
        <stp/>
        <stp>Market</stp>
        <stp>STOCK</stp>
        <stp>54060.T</stp>
        <stp>前日終値</stp>
        <tr r="E34" s="2"/>
      </tp>
      <tp>
        <v>981</v>
        <stp/>
        <stp>Market</stp>
        <stp>STOCK</stp>
        <stp>186A0.T</stp>
        <stp>現在値</stp>
        <tr r="C295" s="2"/>
      </tp>
      <tp>
        <v>2812.5</v>
        <stp/>
        <stp>Market</stp>
        <stp>STOCK</stp>
        <stp>18080.T</stp>
        <stp>現在値</stp>
        <tr r="C293" s="2"/>
      </tp>
    </main>
    <main first="rtdsrv.aa62150a635042219654be00b1467f2f">
      <tp>
        <v>5524</v>
        <stp/>
        <stp>Market</stp>
        <stp>STOCK</stp>
        <stp>18120.T</stp>
        <stp>現在値</stp>
        <tr r="C204" s="2"/>
      </tp>
      <tp>
        <v>5600</v>
        <stp/>
        <stp>Market</stp>
        <stp>STOCK</stp>
        <stp>18330.T</stp>
        <stp>現在値</stp>
        <tr r="C76" s="2"/>
      </tp>
    </main>
    <main first="rtdsrv.aa62150a635042219654be00b1467f2f">
      <tp>
        <v>8440</v>
        <stp/>
        <stp>Market</stp>
        <stp>STOCK</stp>
        <stp>84110.T</stp>
        <stp>前日終値</stp>
        <tr r="E15" s="2"/>
      </tp>
      <tp>
        <v>1696.5</v>
        <stp/>
        <stp>Market</stp>
        <stp>STOCK</stp>
        <stp>54110.T</stp>
        <stp>前日終値</stp>
        <tr r="E80" s="2"/>
      </tp>
      <tp>
        <v>2697</v>
        <stp/>
        <stp>Market</stp>
        <stp>STOCK</stp>
        <stp>54100.T</stp>
        <stp>前日終値</stp>
        <tr r="E175" s="2"/>
      </tp>
      <tp>
        <v>2344</v>
        <stp/>
        <stp>Market</stp>
        <stp>STOCK</stp>
        <stp>94120.T</stp>
        <stp>前日終値</stp>
        <tr r="E52" s="2"/>
      </tp>
      <tp>
        <v>1415</v>
        <stp/>
        <stp>Market</stp>
        <stp>STOCK</stp>
        <stp>74140.T</stp>
        <stp>前日終値</stp>
        <tr r="E290" s="2"/>
      </tp>
      <tp>
        <v>4425</v>
        <stp/>
        <stp>Market</stp>
        <stp>STOCK</stp>
        <stp>44170.T</stp>
        <stp>前日終値</stp>
        <tr r="E149" s="2"/>
      </tp>
      <tp>
        <v>1006</v>
        <stp/>
        <stp>Market</stp>
        <stp>STOCK</stp>
        <stp>94160.T</stp>
        <stp>前日終値</stp>
        <tr r="E122" s="2"/>
      </tp>
      <tp>
        <v>3030</v>
        <stp/>
        <stp>Market</stp>
        <stp>STOCK</stp>
        <stp>141A0.T</stp>
        <stp>前日終値</stp>
        <tr r="E215" s="2"/>
      </tp>
      <tp>
        <v>5845</v>
        <stp/>
        <stp>Market</stp>
        <stp>STOCK</stp>
        <stp>19420.T</stp>
        <stp>現在値</stp>
        <tr r="C171" s="2"/>
      </tp>
      <tp>
        <v>7084</v>
        <stp/>
        <stp>Market</stp>
        <stp>STOCK</stp>
        <stp>19440.T</stp>
        <stp>現在値</stp>
        <tr r="C300" s="2"/>
      </tp>
      <tp>
        <v>2202</v>
        <stp/>
        <stp>Market</stp>
        <stp>STOCK</stp>
        <stp>19630.T</stp>
        <stp>現在値</stp>
        <tr r="C82" s="2"/>
      </tp>
      <tp>
        <v>2470</v>
        <stp/>
        <stp>Market</stp>
        <stp>STOCK</stp>
        <stp>19610.T</stp>
        <stp>現在値</stp>
        <tr r="C55" s="2"/>
      </tp>
      <tp>
        <v>4582</v>
        <stp/>
        <stp>Market</stp>
        <stp>STOCK</stp>
        <stp>19250.T</stp>
        <stp>現在値</stp>
        <tr r="C79" s="2"/>
      </tp>
      <tp>
        <v>2460</v>
        <stp/>
        <stp>Market</stp>
        <stp>STOCK</stp>
        <stp>19380.T</stp>
        <stp>現在値</stp>
        <tr r="C172" s="2"/>
      </tp>
      <tp>
        <v>1567</v>
        <stp/>
        <stp>Market</stp>
        <stp>STOCK</stp>
        <stp>19300.T</stp>
        <stp>現在値</stp>
        <tr r="C159" s="2"/>
      </tp>
      <tp>
        <v>4077</v>
        <stp/>
        <stp>Market</stp>
        <stp>STOCK</stp>
        <stp>64790.T</stp>
        <stp>前日終値</stp>
        <tr r="E75" s="2"/>
      </tp>
      <tp>
        <v>4075</v>
        <stp/>
        <stp>Market</stp>
        <stp>STOCK</stp>
        <stp>94490.T</stp>
        <stp>前日終値</stp>
        <tr r="E109" s="2"/>
      </tp>
      <tp>
        <v>2552</v>
        <stp/>
        <stp>Market</stp>
        <stp>STOCK</stp>
        <stp>54490.T</stp>
        <stp>前日終値</stp>
        <tr r="E47" s="2"/>
      </tp>
      <tp>
        <v>1843</v>
        <stp/>
        <stp>Market</stp>
        <stp>STOCK</stp>
        <stp>54400.T</stp>
        <stp>前日終値</stp>
        <tr r="E176" s="2"/>
      </tp>
    </main>
    <main first="rtdsrv.aa62150a635042219654be00b1467f2f">
      <tp>
        <v>66960</v>
        <stp/>
        <stp>Market</stp>
        <stp>STOCK</stp>
        <stp>13210.T</stp>
        <stp>現在値</stp>
        <tr r="C299" s="2"/>
      </tp>
    </main>
    <main first="rtdsrv.aa62150a635042219654be00b1467f2f">
      <tp>
        <v>976</v>
        <stp/>
        <stp>Market</stp>
        <stp>STOCK</stp>
        <stp>64880.T</stp>
        <stp>前日終値</stp>
        <tr r="E276" s="2"/>
      </tp>
      <tp>
        <v>666</v>
        <stp/>
        <stp>Market</stp>
        <stp>STOCK</stp>
        <stp>64820.T</stp>
        <stp>前日終値</stp>
        <tr r="E286" s="2"/>
      </tp>
      <tp>
        <v>1552</v>
        <stp/>
        <stp>Market</stp>
        <stp>STOCK</stp>
        <stp>64850.T</stp>
        <stp>前日終値</stp>
        <tr r="E187" s="2"/>
      </tp>
    </main>
    <main first="rtdsrv.aa62150a635042219654be00b1467f2f">
      <tp>
        <v>1664</v>
        <stp/>
        <stp>Market</stp>
        <stp>STOCK</stp>
        <stp>16620.T</stp>
        <stp>現在値</stp>
        <tr r="C14" s="2"/>
      </tp>
      <tp>
        <v>3401</v>
        <stp/>
        <stp>Market</stp>
        <stp>STOCK</stp>
        <stp>16050.T</stp>
        <stp>現在値</stp>
        <tr r="C8" s="2"/>
      </tp>
      <tp>
        <v>31670</v>
        <stp/>
        <stp>Market</stp>
        <stp>STOCK</stp>
        <stp>16180.T</stp>
        <stp>現在値</stp>
        <tr r="C223" s="2"/>
      </tp>
    </main>
    <main first="rtdsrv.aa62150a635042219654be00b1467f2f">
      <tp>
        <v>2835</v>
        <stp/>
        <stp>Market</stp>
        <stp>STOCK</stp>
        <stp>14070.T</stp>
        <stp>現在値</stp>
        <tr r="C213" s="2"/>
      </tp>
      <tp>
        <v>2980</v>
        <stp/>
        <stp>Market</stp>
        <stp>STOCK</stp>
        <stp>141A0.T</stp>
        <stp>現在値</stp>
        <tr r="C215" s="2"/>
      </tp>
    </main>
    <main first="rtdsrv.aa62150a635042219654be00b1467f2f">
      <tp>
        <v>843</v>
        <stp/>
        <stp>Market</stp>
        <stp>STOCK</stp>
        <stp>155A0.T</stp>
        <stp>現在値</stp>
        <tr r="C246" s="2"/>
      </tp>
      <tp>
        <v>66090</v>
        <stp/>
        <stp>Market</stp>
        <stp>STOCK</stp>
        <stp>15700.T</stp>
        <stp>現在値</stp>
        <tr r="C218" s="2"/>
      </tp>
      <tp>
        <v>560</v>
        <stp/>
        <stp>Market</stp>
        <stp>STOCK</stp>
        <stp>15140.T</stp>
        <stp>現在値</stp>
        <tr r="C258" s="2"/>
      </tp>
    </main>
    <main first="rtdsrv.aa62150a635042219654be00b1467f2f">
      <tp>
        <v>2346.5</v>
        <stp/>
        <stp>Market</stp>
        <stp>STOCK</stp>
        <stp>45280.T</stp>
        <stp>前日終値</stp>
        <tr r="E96" s="2"/>
      </tp>
      <tp>
        <v>3645</v>
        <stp/>
        <stp>Market</stp>
        <stp>STOCK</stp>
        <stp>65210.T</stp>
        <stp>前日終値</stp>
        <tr r="E238" s="2"/>
      </tp>
      <tp>
        <v>4338</v>
        <stp/>
        <stp>Market</stp>
        <stp>STOCK</stp>
        <stp>45230.T</stp>
        <stp>前日終値</stp>
        <tr r="E95" s="2"/>
      </tp>
      <tp>
        <v>1499</v>
        <stp/>
        <stp>Market</stp>
        <stp>STOCK</stp>
        <stp>65220.T</stp>
        <stp>前日終値</stp>
        <tr r="E139" s="2"/>
      </tp>
      <tp>
        <v>6066</v>
        <stp/>
        <stp>Market</stp>
        <stp>STOCK</stp>
        <stp>95310.T</stp>
        <stp>前日終値</stp>
        <tr r="E111" s="2"/>
      </tp>
      <tp>
        <v>5371</v>
        <stp/>
        <stp>Market</stp>
        <stp>STOCK</stp>
        <stp>95320.T</stp>
        <stp>前日終値</stp>
        <tr r="E123" s="2"/>
      </tp>
      <tp>
        <v>869</v>
        <stp/>
        <stp>Market</stp>
        <stp>STOCK</stp>
        <stp>75320.T</stp>
        <stp>前日終値</stp>
        <tr r="E301" s="2"/>
      </tp>
      <tp>
        <v>2316</v>
        <stp/>
        <stp>Market</stp>
        <stp>STOCK</stp>
        <stp>95360.T</stp>
        <stp>前日終値</stp>
        <tr r="E181" s="2"/>
      </tp>
      <tp>
        <v>2093</v>
        <stp/>
        <stp>Market</stp>
        <stp>STOCK</stp>
        <stp>45360.T</stp>
        <stp>前日終値</stp>
        <tr r="E63" s="2"/>
      </tp>
      <tp>
        <v>501.6</v>
        <stp/>
        <stp>Market</stp>
        <stp>STOCK</stp>
        <stp>95010.T</stp>
        <stp>前日終値</stp>
        <tr r="E110" s="2"/>
      </tp>
      <tp>
        <v>4828</v>
        <stp/>
        <stp>Market</stp>
        <stp>STOCK</stp>
        <stp>65010.T</stp>
        <stp>前日終値</stp>
        <tr r="E87" s="2"/>
      </tp>
      <tp>
        <v>5666</v>
        <stp/>
        <stp>Market</stp>
        <stp>STOCK</stp>
        <stp>65030.T</stp>
        <stp>前日終値</stp>
        <tr r="E64" s="2"/>
      </tp>
      <tp>
        <v>5345</v>
        <stp/>
        <stp>Market</stp>
        <stp>STOCK</stp>
        <stp>45020.T</stp>
        <stp>前日終値</stp>
        <tr r="E208" s="2"/>
      </tp>
      <tp>
        <v>912.9</v>
        <stp/>
        <stp>Market</stp>
        <stp>STOCK</stp>
        <stp>95050.T</stp>
        <stp>前日終値</stp>
        <tr r="E177" s="2"/>
      </tp>
      <tp>
        <v>14380</v>
        <stp/>
        <stp>Market</stp>
        <stp>STOCK</stp>
        <stp>65070.T</stp>
        <stp>前日終値</stp>
        <tr r="E179" s="2"/>
      </tp>
      <tp>
        <v>1132</v>
        <stp/>
        <stp>Market</stp>
        <stp>STOCK</stp>
        <stp>95060.T</stp>
        <stp>前日終値</stp>
        <tr r="E182" s="2"/>
      </tp>
      <tp>
        <v>5494</v>
        <stp/>
        <stp>Market</stp>
        <stp>STOCK</stp>
        <stp>65060.T</stp>
        <stp>前日終値</stp>
        <tr r="E197" s="2"/>
      </tp>
    </main>
    <main first="rtdsrv.aa62150a635042219654be00b1467f2f">
      <tp>
        <v>1033</v>
        <stp/>
        <stp>Market</stp>
        <stp>STOCK</stp>
        <stp>95190.T</stp>
        <stp>前日終値</stp>
        <tr r="E210" s="2"/>
      </tp>
      <tp>
        <v>7241</v>
        <stp/>
        <stp>Market</stp>
        <stp>STOCK</stp>
        <stp>45190.T</stp>
        <stp>前日終値</stp>
        <tr r="E126" s="2"/>
      </tp>
      <tp>
        <v>584</v>
        <stp/>
        <stp>Market</stp>
        <stp>STOCK</stp>
        <stp>15140.T</stp>
        <stp>前日終値</stp>
        <tr r="E258" s="2"/>
      </tp>
      <tp>
        <v>5780</v>
        <stp/>
        <stp>Market</stp>
        <stp>STOCK</stp>
        <stp>65160.T</stp>
        <stp>前日終値</stp>
        <tr r="E147" s="2"/>
      </tp>
    </main>
    <main first="rtdsrv.aa62150a635042219654be00b1467f2f">
      <tp>
        <v>2746.5</v>
        <stp/>
        <stp>Market</stp>
        <stp>STOCK</stp>
        <stp>45680.T</stp>
        <stp>前日終値</stp>
        <tr r="E138" s="2"/>
      </tp>
      <tp>
        <v>5423</v>
        <stp/>
        <stp>Market</stp>
        <stp>STOCK</stp>
        <stp>35630.T</stp>
        <stp>前日終値</stp>
        <tr r="E226" s="2"/>
      </tp>
      <tp>
        <v>1536.5</v>
        <stp/>
        <stp>Market</stp>
        <stp>STOCK</stp>
        <stp>85700.T</stp>
        <stp>前日終値</stp>
        <tr r="E33" s="2"/>
      </tp>
      <tp>
        <v>71860</v>
        <stp/>
        <stp>Market</stp>
        <stp>STOCK</stp>
        <stp>15700.T</stp>
        <stp>前日終値</stp>
        <tr r="E218" s="2"/>
      </tp>
      <tp>
        <v>485.6</v>
        <stp/>
        <stp>Market</stp>
        <stp>STOCK</stp>
        <stp>85720.T</stp>
        <stp>前日終値</stp>
        <tr r="E43" s="2"/>
      </tp>
      <tp>
        <v>2294</v>
        <stp/>
        <stp>Market</stp>
        <stp>STOCK</stp>
        <stp>55410.T</stp>
        <stp>前日終値</stp>
        <tr r="E16" s="2"/>
      </tp>
      <tp>
        <v>3861</v>
        <stp/>
        <stp>Market</stp>
        <stp>STOCK</stp>
        <stp>45400.T</stp>
        <stp>前日終値</stp>
        <tr r="E60" s="2"/>
      </tp>
      <tp>
        <v>3366</v>
        <stp/>
        <stp>Market</stp>
        <stp>STOCK</stp>
        <stp>45440.T</stp>
        <stp>前日終値</stp>
        <tr r="E269" s="2"/>
      </tp>
      <tp>
        <v>3200</v>
        <stp/>
        <stp>Market</stp>
        <stp>STOCK</stp>
        <stp>95510.T</stp>
        <stp>前日終値</stp>
        <tr r="E163" s="2"/>
      </tp>
      <tp>
        <v>891</v>
        <stp/>
        <stp>Market</stp>
        <stp>STOCK</stp>
        <stp>155A0.T</stp>
        <stp>前日終値</stp>
        <tr r="E246" s="2"/>
      </tp>
    </main>
    <main first="rtdsrv.aa62150a635042219654be00b1467f2f">
      <tp>
        <v>6515</v>
        <stp/>
        <stp>Market</stp>
        <stp>STOCK</stp>
        <stp>85910.T</stp>
        <stp>前日終値</stp>
        <tr r="E22" s="2"/>
      </tp>
      <tp>
        <v>1411.5</v>
        <stp/>
        <stp>Market</stp>
        <stp>STOCK</stp>
        <stp>85930.T</stp>
        <stp>前日終値</stp>
        <tr r="E3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7"/>
  <sheetViews>
    <sheetView showGridLines="0" topLeftCell="A7" zoomScale="136" zoomScaleNormal="136" workbookViewId="0">
      <selection activeCell="A44" sqref="A44"/>
    </sheetView>
  </sheetViews>
  <sheetFormatPr defaultColWidth="8.6640625" defaultRowHeight="14.4"/>
  <cols>
    <col min="1" max="1" width="100" customWidth="1"/>
  </cols>
  <sheetData>
    <row r="1" spans="1:1" ht="17.399999999999999">
      <c r="A1" s="1" t="s">
        <v>0</v>
      </c>
    </row>
    <row r="2" spans="1:1">
      <c r="A2" s="2"/>
    </row>
    <row r="3" spans="1:1">
      <c r="A3" s="2" t="s">
        <v>1</v>
      </c>
    </row>
    <row r="4" spans="1:1">
      <c r="A4" s="3" t="s">
        <v>2</v>
      </c>
    </row>
    <row r="5" spans="1:1">
      <c r="A5" s="2" t="s">
        <v>3</v>
      </c>
    </row>
    <row r="6" spans="1:1" ht="26.4">
      <c r="A6" s="3" t="s">
        <v>4</v>
      </c>
    </row>
    <row r="7" spans="1:1">
      <c r="A7" s="2"/>
    </row>
    <row r="8" spans="1:1" ht="26.4">
      <c r="A8" s="2" t="s">
        <v>5</v>
      </c>
    </row>
    <row r="9" spans="1:1">
      <c r="A9" s="2" t="s">
        <v>6</v>
      </c>
    </row>
    <row r="10" spans="1:1" ht="26.4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/>
    </row>
    <row r="14" spans="1:1" ht="26.4">
      <c r="A14" s="2" t="s">
        <v>10</v>
      </c>
    </row>
    <row r="15" spans="1:1">
      <c r="A15" s="2"/>
    </row>
    <row r="16" spans="1:1">
      <c r="A16" s="4" t="s">
        <v>11</v>
      </c>
    </row>
    <row r="17" spans="1:1">
      <c r="A17" s="3" t="s">
        <v>12</v>
      </c>
    </row>
    <row r="18" spans="1:1">
      <c r="A18" s="3" t="s">
        <v>13</v>
      </c>
    </row>
    <row r="19" spans="1:1">
      <c r="A19" s="3" t="s">
        <v>14</v>
      </c>
    </row>
    <row r="20" spans="1:1">
      <c r="A20" s="3" t="s">
        <v>15</v>
      </c>
    </row>
    <row r="21" spans="1:1">
      <c r="A21" s="3" t="s">
        <v>16</v>
      </c>
    </row>
    <row r="22" spans="1:1">
      <c r="A22" s="2"/>
    </row>
    <row r="23" spans="1:1">
      <c r="A23" s="4" t="s">
        <v>17</v>
      </c>
    </row>
    <row r="24" spans="1:1" ht="26.4">
      <c r="A24" s="3" t="s">
        <v>18</v>
      </c>
    </row>
    <row r="25" spans="1:1">
      <c r="A25" s="3" t="s">
        <v>19</v>
      </c>
    </row>
    <row r="26" spans="1:1">
      <c r="A26" s="3" t="s">
        <v>20</v>
      </c>
    </row>
    <row r="27" spans="1:1" ht="26.4">
      <c r="A27" s="3" t="s">
        <v>21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01"/>
  <sheetViews>
    <sheetView tabSelected="1" zoomScale="144" zoomScaleNormal="144" workbookViewId="0">
      <pane ySplit="1" topLeftCell="A2" activePane="bottomLeft" state="frozen"/>
      <selection pane="bottomLeft" activeCell="F2" sqref="F2"/>
    </sheetView>
  </sheetViews>
  <sheetFormatPr defaultColWidth="8.6640625" defaultRowHeight="14.4"/>
  <cols>
    <col min="1" max="1" width="12" style="21" customWidth="1"/>
    <col min="2" max="2" width="20" customWidth="1"/>
    <col min="3" max="5" width="12" customWidth="1"/>
    <col min="6" max="6" width="14" customWidth="1"/>
  </cols>
  <sheetData>
    <row r="1" spans="1:6">
      <c r="A1" s="5" t="s">
        <v>22</v>
      </c>
      <c r="B1" s="5" t="s">
        <v>23</v>
      </c>
      <c r="C1" s="5" t="s">
        <v>24</v>
      </c>
      <c r="D1" s="5" t="s">
        <v>25</v>
      </c>
      <c r="E1" s="5" t="s">
        <v>26</v>
      </c>
      <c r="F1" s="5" t="s">
        <v>27</v>
      </c>
    </row>
    <row r="2" spans="1:6">
      <c r="A2" s="19">
        <v>5706</v>
      </c>
      <c r="B2" s="6" t="str" cm="1">
        <f t="array" ref="B2">_xll.RssMarket($A2, "銘柄名称")</f>
        <v>三井金属</v>
      </c>
      <c r="C2" s="6" cm="1">
        <f t="array" ref="C2">_xll.RssMarket(A2, "現在値")</f>
        <v>29980</v>
      </c>
      <c r="D2" s="6" cm="1">
        <f t="array" ref="D2">_xll.RssMarket(A2, "始値")</f>
        <v>30590</v>
      </c>
      <c r="E2" s="6" cm="1">
        <f t="array" ref="E2">_xll.RssMarket($A2, "前日終値")</f>
        <v>32280</v>
      </c>
      <c r="F2" s="6" cm="1">
        <f t="array" ref="F2">_xll.RssMarket($A2, "出来高")</f>
        <v>1534300</v>
      </c>
    </row>
    <row r="3" spans="1:6">
      <c r="A3" s="20">
        <v>5423</v>
      </c>
      <c r="B3" s="6" t="str" cm="1">
        <f t="array" ref="B3">_xll.RssMarket($A3, "銘柄名称")</f>
        <v>東京製鐵</v>
      </c>
      <c r="C3" s="6" cm="1">
        <f t="array" ref="C3">_xll.RssMarket(A3, "現在値")</f>
        <v>1748</v>
      </c>
      <c r="D3" s="6" cm="1">
        <f t="array" ref="D3">_xll.RssMarket(A3, "始値")</f>
        <v>1737</v>
      </c>
      <c r="E3" s="6" cm="1">
        <f t="array" ref="E3">_xll.RssMarket($A3, "前日終値")</f>
        <v>1770</v>
      </c>
      <c r="F3" s="6" cm="1">
        <f t="array" ref="F3">_xll.RssMarket($A3, "出来高")</f>
        <v>1407800</v>
      </c>
    </row>
    <row r="4" spans="1:6">
      <c r="A4" s="20">
        <v>5713</v>
      </c>
      <c r="B4" s="6" t="str" cm="1">
        <f t="array" ref="B4">_xll.RssMarket($A4, "銘柄名称")</f>
        <v>住友鉱山</v>
      </c>
      <c r="C4" s="6" cm="1">
        <f t="array" ref="C4">_xll.RssMarket(A4, "現在値")</f>
        <v>6794</v>
      </c>
      <c r="D4" s="6" cm="1">
        <f t="array" ref="D4">_xll.RssMarket(A4, "始値")</f>
        <v>6984</v>
      </c>
      <c r="E4" s="6" cm="1">
        <f t="array" ref="E4">_xll.RssMarket($A4, "前日終値")</f>
        <v>7276</v>
      </c>
      <c r="F4" s="6" cm="1">
        <f t="array" ref="F4">_xll.RssMarket($A4, "出来高")</f>
        <v>4694300</v>
      </c>
    </row>
    <row r="5" spans="1:6">
      <c r="A5" s="20">
        <v>5711</v>
      </c>
      <c r="B5" s="6" t="str" cm="1">
        <f t="array" ref="B5">_xll.RssMarket($A5, "銘柄名称")</f>
        <v>三菱マテリアル</v>
      </c>
      <c r="C5" s="6" cm="1">
        <f t="array" ref="C5">_xll.RssMarket(A5, "現在値")</f>
        <v>3970</v>
      </c>
      <c r="D5" s="6" cm="1">
        <f t="array" ref="D5">_xll.RssMarket(A5, "始値")</f>
        <v>4088</v>
      </c>
      <c r="E5" s="6" cm="1">
        <f t="array" ref="E5">_xll.RssMarket($A5, "前日終値")</f>
        <v>4193</v>
      </c>
      <c r="F5" s="6" cm="1">
        <f t="array" ref="F5">_xll.RssMarket($A5, "出来高")</f>
        <v>1757500</v>
      </c>
    </row>
    <row r="6" spans="1:6">
      <c r="A6" s="20">
        <v>5714</v>
      </c>
      <c r="B6" s="6" t="str" cm="1">
        <f t="array" ref="B6">_xll.RssMarket($A6, "銘柄名称")</f>
        <v>ＤＯＷＡホールディングス</v>
      </c>
      <c r="C6" s="6" cm="1">
        <f t="array" ref="C6">_xll.RssMarket(A6, "現在値")</f>
        <v>7946</v>
      </c>
      <c r="D6" s="6" cm="1">
        <f t="array" ref="D6">_xll.RssMarket(A6, "始値")</f>
        <v>8165</v>
      </c>
      <c r="E6" s="6" cm="1">
        <f t="array" ref="E6">_xll.RssMarket($A6, "前日終値")</f>
        <v>8349</v>
      </c>
      <c r="F6" s="6" cm="1">
        <f t="array" ref="F6">_xll.RssMarket($A6, "出来高")</f>
        <v>540300</v>
      </c>
    </row>
    <row r="7" spans="1:6">
      <c r="A7" s="20">
        <v>6701</v>
      </c>
      <c r="B7" s="6" t="str" cm="1">
        <f t="array" ref="B7">_xll.RssMarket($A7, "銘柄名称")</f>
        <v>日本電気</v>
      </c>
      <c r="C7" s="6" cm="1">
        <f t="array" ref="C7">_xll.RssMarket(A7, "現在値")</f>
        <v>4354</v>
      </c>
      <c r="D7" s="6" cm="1">
        <f t="array" ref="D7">_xll.RssMarket(A7, "始値")</f>
        <v>4371</v>
      </c>
      <c r="E7" s="6" cm="1">
        <f t="array" ref="E7">_xll.RssMarket($A7, "前日終値")</f>
        <v>4441</v>
      </c>
      <c r="F7" s="6" cm="1">
        <f t="array" ref="F7">_xll.RssMarket($A7, "出来高")</f>
        <v>9935600</v>
      </c>
    </row>
    <row r="8" spans="1:6">
      <c r="A8" s="20">
        <v>1605</v>
      </c>
      <c r="B8" s="6" t="str" cm="1">
        <f t="array" ref="B8">_xll.RssMarket($A8, "銘柄名称")</f>
        <v>ＩＮＰＥＸ</v>
      </c>
      <c r="C8" s="6" cm="1">
        <f t="array" ref="C8">_xll.RssMarket(A8, "現在値")</f>
        <v>3401</v>
      </c>
      <c r="D8" s="6" cm="1">
        <f t="array" ref="D8">_xll.RssMarket(A8, "始値")</f>
        <v>3440</v>
      </c>
      <c r="E8" s="6" cm="1">
        <f t="array" ref="E8">_xll.RssMarket($A8, "前日終値")</f>
        <v>3429</v>
      </c>
      <c r="F8" s="6" cm="1">
        <f t="array" ref="F8">_xll.RssMarket($A8, "出来高")</f>
        <v>3813400</v>
      </c>
    </row>
    <row r="9" spans="1:6">
      <c r="A9" s="20">
        <v>5703</v>
      </c>
      <c r="B9" s="6" t="str" cm="1">
        <f t="array" ref="B9">_xll.RssMarket($A9, "銘柄名称")</f>
        <v>日本軽金属ＨＤ</v>
      </c>
      <c r="C9" s="6" cm="1">
        <f t="array" ref="C9">_xll.RssMarket(A9, "現在値")</f>
        <v>2638</v>
      </c>
      <c r="D9" s="6" cm="1">
        <f t="array" ref="D9">_xll.RssMarket(A9, "始値")</f>
        <v>2690</v>
      </c>
      <c r="E9" s="6" cm="1">
        <f t="array" ref="E9">_xll.RssMarket($A9, "前日終値")</f>
        <v>2734</v>
      </c>
      <c r="F9" s="6" cm="1">
        <f t="array" ref="F9">_xll.RssMarket($A9, "出来高")</f>
        <v>373000</v>
      </c>
    </row>
    <row r="10" spans="1:6">
      <c r="A10" s="20">
        <v>8002</v>
      </c>
      <c r="B10" s="6" t="str" cm="1">
        <f t="array" ref="B10">_xll.RssMarket($A10, "銘柄名称")</f>
        <v>丸紅</v>
      </c>
      <c r="C10" s="6" cm="1">
        <f t="array" ref="C10">_xll.RssMarket(A10, "現在値")</f>
        <v>4988</v>
      </c>
      <c r="D10" s="6" cm="1">
        <f t="array" ref="D10">_xll.RssMarket(A10, "始値")</f>
        <v>5080</v>
      </c>
      <c r="E10" s="6" cm="1">
        <f t="array" ref="E10">_xll.RssMarket($A10, "前日終値")</f>
        <v>5084</v>
      </c>
      <c r="F10" s="6" cm="1">
        <f t="array" ref="F10">_xll.RssMarket($A10, "出来高")</f>
        <v>5592300</v>
      </c>
    </row>
    <row r="11" spans="1:6">
      <c r="A11" s="20">
        <v>5021</v>
      </c>
      <c r="B11" s="6" t="str" cm="1">
        <f t="array" ref="B11">_xll.RssMarket($A11, "銘柄名称")</f>
        <v>コスモエネルギーＨＬＤＧＳ</v>
      </c>
      <c r="C11" s="6" cm="1">
        <f t="array" ref="C11">_xll.RssMarket(A11, "現在値")</f>
        <v>3776</v>
      </c>
      <c r="D11" s="6" cm="1">
        <f t="array" ref="D11">_xll.RssMarket(A11, "始値")</f>
        <v>3804</v>
      </c>
      <c r="E11" s="6" cm="1">
        <f t="array" ref="E11">_xll.RssMarket($A11, "前日終値")</f>
        <v>3810</v>
      </c>
      <c r="F11" s="6" cm="1">
        <f t="array" ref="F11">_xll.RssMarket($A11, "出来高")</f>
        <v>989600</v>
      </c>
    </row>
    <row r="12" spans="1:6">
      <c r="A12" s="20">
        <v>8058</v>
      </c>
      <c r="B12" s="6" t="str" cm="1">
        <f t="array" ref="B12">_xll.RssMarket($A12, "銘柄名称")</f>
        <v>三菱商事</v>
      </c>
      <c r="C12" s="6" cm="1">
        <f t="array" ref="C12">_xll.RssMarket(A12, "現在値")</f>
        <v>4447</v>
      </c>
      <c r="D12" s="6" cm="1">
        <f t="array" ref="D12">_xll.RssMarket(A12, "始値")</f>
        <v>4524</v>
      </c>
      <c r="E12" s="6" cm="1">
        <f t="array" ref="E12">_xll.RssMarket($A12, "前日終値")</f>
        <v>4530</v>
      </c>
      <c r="F12" s="6" cm="1">
        <f t="array" ref="F12">_xll.RssMarket($A12, "出来高")</f>
        <v>8314500</v>
      </c>
    </row>
    <row r="13" spans="1:6">
      <c r="A13" s="20">
        <v>5333</v>
      </c>
      <c r="B13" s="6" t="str" cm="1">
        <f t="array" ref="B13">_xll.RssMarket($A13, "銘柄名称")</f>
        <v>ＮＧＫ</v>
      </c>
      <c r="C13" s="6" cm="1">
        <f t="array" ref="C13">_xll.RssMarket(A13, "現在値")</f>
        <v>6005</v>
      </c>
      <c r="D13" s="6" cm="1">
        <f t="array" ref="D13">_xll.RssMarket(A13, "始値")</f>
        <v>6313</v>
      </c>
      <c r="E13" s="6" cm="1">
        <f t="array" ref="E13">_xll.RssMarket($A13, "前日終値")</f>
        <v>6465</v>
      </c>
      <c r="F13" s="6" cm="1">
        <f t="array" ref="F13">_xll.RssMarket($A13, "出来高")</f>
        <v>2453700</v>
      </c>
    </row>
    <row r="14" spans="1:6">
      <c r="A14" s="20">
        <v>1662</v>
      </c>
      <c r="B14" s="6" t="str" cm="1">
        <f t="array" ref="B14">_xll.RssMarket($A14, "銘柄名称")</f>
        <v>石油資源開発</v>
      </c>
      <c r="C14" s="6" cm="1">
        <f t="array" ref="C14">_xll.RssMarket(A14, "現在値")</f>
        <v>1664</v>
      </c>
      <c r="D14" s="6" cm="1">
        <f t="array" ref="D14">_xll.RssMarket(A14, "始値")</f>
        <v>1680</v>
      </c>
      <c r="E14" s="6" cm="1">
        <f t="array" ref="E14">_xll.RssMarket($A14, "前日終値")</f>
        <v>1689</v>
      </c>
      <c r="F14" s="6" cm="1">
        <f t="array" ref="F14">_xll.RssMarket($A14, "出来高")</f>
        <v>1217100</v>
      </c>
    </row>
    <row r="15" spans="1:6">
      <c r="A15" s="20">
        <v>8411</v>
      </c>
      <c r="B15" s="6" t="str" cm="1">
        <f t="array" ref="B15">_xll.RssMarket($A15, "銘柄名称")</f>
        <v>みずほフィナンシャルＧ</v>
      </c>
      <c r="C15" s="6" cm="1">
        <f t="array" ref="C15">_xll.RssMarket(A15, "現在値")</f>
        <v>7930</v>
      </c>
      <c r="D15" s="6" cm="1">
        <f t="array" ref="D15">_xll.RssMarket(A15, "始値")</f>
        <v>8342</v>
      </c>
      <c r="E15" s="6" cm="1">
        <f t="array" ref="E15">_xll.RssMarket($A15, "前日終値")</f>
        <v>8440</v>
      </c>
      <c r="F15" s="6" cm="1">
        <f t="array" ref="F15">_xll.RssMarket($A15, "出来高")</f>
        <v>14432200</v>
      </c>
    </row>
    <row r="16" spans="1:6">
      <c r="A16" s="20">
        <v>5541</v>
      </c>
      <c r="B16" s="6" t="str" cm="1">
        <f t="array" ref="B16">_xll.RssMarket($A16, "銘柄名称")</f>
        <v>大平洋金属</v>
      </c>
      <c r="C16" s="6" cm="1">
        <f t="array" ref="C16">_xll.RssMarket(A16, "現在値")</f>
        <v>2271</v>
      </c>
      <c r="D16" s="6" cm="1">
        <f t="array" ref="D16">_xll.RssMarket(A16, "始値")</f>
        <v>2283</v>
      </c>
      <c r="E16" s="6" cm="1">
        <f t="array" ref="E16">_xll.RssMarket($A16, "前日終値")</f>
        <v>2294</v>
      </c>
      <c r="F16" s="6" cm="1">
        <f t="array" ref="F16">_xll.RssMarket($A16, "出来高")</f>
        <v>231900</v>
      </c>
    </row>
    <row r="17" spans="1:6">
      <c r="A17" s="20">
        <v>5332</v>
      </c>
      <c r="B17" s="6" t="str" cm="1">
        <f t="array" ref="B17">_xll.RssMarket($A17, "銘柄名称")</f>
        <v>ＴＯＴＯ</v>
      </c>
      <c r="C17" s="6" cm="1">
        <f t="array" ref="C17">_xll.RssMarket(A17, "現在値")</f>
        <v>7451</v>
      </c>
      <c r="D17" s="6" cm="1">
        <f t="array" ref="D17">_xll.RssMarket(A17, "始値")</f>
        <v>7686</v>
      </c>
      <c r="E17" s="6" cm="1">
        <f t="array" ref="E17">_xll.RssMarket($A17, "前日終値")</f>
        <v>7809</v>
      </c>
      <c r="F17" s="6" cm="1">
        <f t="array" ref="F17">_xll.RssMarket($A17, "出来高")</f>
        <v>1479300</v>
      </c>
    </row>
    <row r="18" spans="1:6">
      <c r="A18" s="20">
        <v>8725</v>
      </c>
      <c r="B18" s="6" t="str" cm="1">
        <f t="array" ref="B18">_xll.RssMarket($A18, "銘柄名称")</f>
        <v>ＭＳ＆ＡＤ</v>
      </c>
      <c r="C18" s="6" cm="1">
        <f t="array" ref="C18">_xll.RssMarket(A18, "現在値")</f>
        <v>4483</v>
      </c>
      <c r="D18" s="6" cm="1">
        <f t="array" ref="D18">_xll.RssMarket(A18, "始値")</f>
        <v>4570</v>
      </c>
      <c r="E18" s="6" cm="1">
        <f t="array" ref="E18">_xll.RssMarket($A18, "前日終値")</f>
        <v>4553</v>
      </c>
      <c r="F18" s="6" cm="1">
        <f t="array" ref="F18">_xll.RssMarket($A18, "出来高")</f>
        <v>4616300</v>
      </c>
    </row>
    <row r="19" spans="1:6">
      <c r="A19" s="20">
        <v>8795</v>
      </c>
      <c r="B19" s="6" t="str" cm="1">
        <f t="array" ref="B19">_xll.RssMarket($A19, "銘柄名称")</f>
        <v>Ｔ＆Ｄホールディングス</v>
      </c>
      <c r="C19" s="6" cm="1">
        <f t="array" ref="C19">_xll.RssMarket(A19, "現在値")</f>
        <v>4793</v>
      </c>
      <c r="D19" s="6" cm="1">
        <f t="array" ref="D19">_xll.RssMarket(A19, "始値")</f>
        <v>4918</v>
      </c>
      <c r="E19" s="6" cm="1">
        <f t="array" ref="E19">_xll.RssMarket($A19, "前日終値")</f>
        <v>4940</v>
      </c>
      <c r="F19" s="6" cm="1">
        <f t="array" ref="F19">_xll.RssMarket($A19, "出来高")</f>
        <v>1693200</v>
      </c>
    </row>
    <row r="20" spans="1:6">
      <c r="A20" s="20">
        <v>5019</v>
      </c>
      <c r="B20" s="6" t="str" cm="1">
        <f t="array" ref="B20">_xll.RssMarket($A20, "銘柄名称")</f>
        <v>出光興産</v>
      </c>
      <c r="C20" s="6" cm="1">
        <f t="array" ref="C20">_xll.RssMarket(A20, "現在値")</f>
        <v>1241</v>
      </c>
      <c r="D20" s="6" cm="1">
        <f t="array" ref="D20">_xll.RssMarket(A20, "始値")</f>
        <v>1255</v>
      </c>
      <c r="E20" s="6" cm="1">
        <f t="array" ref="E20">_xll.RssMarket($A20, "前日終値")</f>
        <v>1262.5</v>
      </c>
      <c r="F20" s="6" cm="1">
        <f t="array" ref="F20">_xll.RssMarket($A20, "出来高")</f>
        <v>3461200</v>
      </c>
    </row>
    <row r="21" spans="1:6">
      <c r="A21" s="20">
        <v>8053</v>
      </c>
      <c r="B21" s="6" t="str" cm="1">
        <f t="array" ref="B21">_xll.RssMarket($A21, "銘柄名称")</f>
        <v>住友商事</v>
      </c>
      <c r="C21" s="6" cm="1">
        <f t="array" ref="C21">_xll.RssMarket(A21, "現在値")</f>
        <v>1514</v>
      </c>
      <c r="D21" s="6" cm="1">
        <f t="array" ref="D21">_xll.RssMarket(A21, "始値")</f>
        <v>1565</v>
      </c>
      <c r="E21" s="6" cm="1">
        <f t="array" ref="E21">_xll.RssMarket($A21, "前日終値")</f>
        <v>1583</v>
      </c>
      <c r="F21" s="6" cm="1">
        <f t="array" ref="F21">_xll.RssMarket($A21, "出来高")</f>
        <v>15185600</v>
      </c>
    </row>
    <row r="22" spans="1:6">
      <c r="A22" s="20">
        <v>8591</v>
      </c>
      <c r="B22" s="6" t="str" cm="1">
        <f t="array" ref="B22">_xll.RssMarket($A22, "銘柄名称")</f>
        <v>オリックス</v>
      </c>
      <c r="C22" s="6" cm="1">
        <f t="array" ref="C22">_xll.RssMarket(A22, "現在値")</f>
        <v>6203</v>
      </c>
      <c r="D22" s="6" cm="1">
        <f t="array" ref="D22">_xll.RssMarket(A22, "始値")</f>
        <v>6423</v>
      </c>
      <c r="E22" s="6" cm="1">
        <f t="array" ref="E22">_xll.RssMarket($A22, "前日終値")</f>
        <v>6515</v>
      </c>
      <c r="F22" s="6" cm="1">
        <f t="array" ref="F22">_xll.RssMarket($A22, "出来高")</f>
        <v>4639700</v>
      </c>
    </row>
    <row r="23" spans="1:6">
      <c r="A23" s="20">
        <v>3401</v>
      </c>
      <c r="B23" s="6" t="str" cm="1">
        <f t="array" ref="B23">_xll.RssMarket($A23, "銘柄名称")</f>
        <v>帝人</v>
      </c>
      <c r="C23" s="6" cm="1">
        <f t="array" ref="C23">_xll.RssMarket(A23, "現在値")</f>
        <v>1688.5</v>
      </c>
      <c r="D23" s="6" cm="1">
        <f t="array" ref="D23">_xll.RssMarket(A23, "始値")</f>
        <v>1741</v>
      </c>
      <c r="E23" s="6" cm="1">
        <f t="array" ref="E23">_xll.RssMarket($A23, "前日終値")</f>
        <v>1732.5</v>
      </c>
      <c r="F23" s="6" cm="1">
        <f t="array" ref="F23">_xll.RssMarket($A23, "出来高")</f>
        <v>861200</v>
      </c>
    </row>
    <row r="24" spans="1:6">
      <c r="A24" s="20">
        <v>3436</v>
      </c>
      <c r="B24" s="6" t="str" cm="1">
        <f t="array" ref="B24">_xll.RssMarket($A24, "銘柄名称")</f>
        <v>ＳＵＭＣＯ</v>
      </c>
      <c r="C24" s="6" cm="1">
        <f t="array" ref="C24">_xll.RssMarket(A24, "現在値")</f>
        <v>3914</v>
      </c>
      <c r="D24" s="6" cm="1">
        <f t="array" ref="D24">_xll.RssMarket(A24, "始値")</f>
        <v>4544</v>
      </c>
      <c r="E24" s="6" cm="1">
        <f t="array" ref="E24">_xll.RssMarket($A24, "前日終値")</f>
        <v>4614</v>
      </c>
      <c r="F24" s="6" cm="1">
        <f t="array" ref="F24">_xll.RssMarket($A24, "出来高")</f>
        <v>21303500</v>
      </c>
    </row>
    <row r="25" spans="1:6">
      <c r="A25" s="20">
        <v>5020</v>
      </c>
      <c r="B25" s="6" t="str" cm="1">
        <f t="array" ref="B25">_xll.RssMarket($A25, "銘柄名称")</f>
        <v>ＥＮＥＯＳホールディングス</v>
      </c>
      <c r="C25" s="6" cm="1">
        <f t="array" ref="C25">_xll.RssMarket(A25, "現在値")</f>
        <v>1243.5</v>
      </c>
      <c r="D25" s="6" cm="1">
        <f t="array" ref="D25">_xll.RssMarket(A25, "始値")</f>
        <v>1264</v>
      </c>
      <c r="E25" s="6" cm="1">
        <f t="array" ref="E25">_xll.RssMarket($A25, "前日終値")</f>
        <v>1274</v>
      </c>
      <c r="F25" s="6" cm="1">
        <f t="array" ref="F25">_xll.RssMarket($A25, "出来高")</f>
        <v>8254100</v>
      </c>
    </row>
    <row r="26" spans="1:6">
      <c r="A26" s="20">
        <v>6254</v>
      </c>
      <c r="B26" s="6" t="str" cm="1">
        <f t="array" ref="B26">_xll.RssMarket($A26, "銘柄名称")</f>
        <v>野村マイクロ・サイエンス</v>
      </c>
      <c r="C26" s="6" cm="1">
        <f t="array" ref="C26">_xll.RssMarket(A26, "現在値")</f>
        <v>3850</v>
      </c>
      <c r="D26" s="6" cm="1">
        <f t="array" ref="D26">_xll.RssMarket(A26, "始値")</f>
        <v>4110</v>
      </c>
      <c r="E26" s="6" cm="1">
        <f t="array" ref="E26">_xll.RssMarket($A26, "前日終値")</f>
        <v>4250</v>
      </c>
      <c r="F26" s="6" cm="1">
        <f t="array" ref="F26">_xll.RssMarket($A26, "出来高")</f>
        <v>1288100</v>
      </c>
    </row>
    <row r="27" spans="1:6">
      <c r="A27" s="20">
        <v>8309</v>
      </c>
      <c r="B27" s="6" t="str" cm="1">
        <f t="array" ref="B27">_xll.RssMarket($A27, "銘柄名称")</f>
        <v>三井住友トラストグルー</v>
      </c>
      <c r="C27" s="6" cm="1">
        <f t="array" ref="C27">_xll.RssMarket(A27, "現在値")</f>
        <v>6450</v>
      </c>
      <c r="D27" s="6" cm="1">
        <f t="array" ref="D27">_xll.RssMarket(A27, "始値")</f>
        <v>6680</v>
      </c>
      <c r="E27" s="6" cm="1">
        <f t="array" ref="E27">_xll.RssMarket($A27, "前日終値")</f>
        <v>6700</v>
      </c>
      <c r="F27" s="6" cm="1">
        <f t="array" ref="F27">_xll.RssMarket($A27, "出来高")</f>
        <v>2737800</v>
      </c>
    </row>
    <row r="28" spans="1:6">
      <c r="A28" s="20">
        <v>3863</v>
      </c>
      <c r="B28" s="6" t="str" cm="1">
        <f t="array" ref="B28">_xll.RssMarket($A28, "銘柄名称")</f>
        <v>日本製紙</v>
      </c>
      <c r="C28" s="6" cm="1">
        <f t="array" ref="C28">_xll.RssMarket(A28, "現在値")</f>
        <v>1460</v>
      </c>
      <c r="D28" s="6" cm="1">
        <f t="array" ref="D28">_xll.RssMarket(A28, "始値")</f>
        <v>1454</v>
      </c>
      <c r="E28" s="6" cm="1">
        <f t="array" ref="E28">_xll.RssMarket($A28, "前日終値")</f>
        <v>1455</v>
      </c>
      <c r="F28" s="6" cm="1">
        <f t="array" ref="F28">_xll.RssMarket($A28, "出来高")</f>
        <v>946500</v>
      </c>
    </row>
    <row r="29" spans="1:6">
      <c r="A29" s="20">
        <v>8601</v>
      </c>
      <c r="B29" s="6" t="str" cm="1">
        <f t="array" ref="B29">_xll.RssMarket($A29, "銘柄名称")</f>
        <v>大和証券Ｇ本社</v>
      </c>
      <c r="C29" s="6" cm="1">
        <f t="array" ref="C29">_xll.RssMarket(A29, "現在値")</f>
        <v>1779.5</v>
      </c>
      <c r="D29" s="6" cm="1">
        <f t="array" ref="D29">_xll.RssMarket(A29, "始値")</f>
        <v>1850</v>
      </c>
      <c r="E29" s="6" cm="1">
        <f t="array" ref="E29">_xll.RssMarket($A29, "前日終値")</f>
        <v>1875.5</v>
      </c>
      <c r="F29" s="6" cm="1">
        <f t="array" ref="F29">_xll.RssMarket($A29, "出来高")</f>
        <v>5969800</v>
      </c>
    </row>
    <row r="30" spans="1:6">
      <c r="A30" s="20">
        <v>5233</v>
      </c>
      <c r="B30" s="6" t="str" cm="1">
        <f t="array" ref="B30">_xll.RssMarket($A30, "銘柄名称")</f>
        <v>太平洋セメント</v>
      </c>
      <c r="C30" s="6" cm="1">
        <f t="array" ref="C30">_xll.RssMarket(A30, "現在値")</f>
        <v>3921</v>
      </c>
      <c r="D30" s="6" cm="1">
        <f t="array" ref="D30">_xll.RssMarket(A30, "始値")</f>
        <v>3957</v>
      </c>
      <c r="E30" s="6" cm="1">
        <f t="array" ref="E30">_xll.RssMarket($A30, "前日終値")</f>
        <v>3960</v>
      </c>
      <c r="F30" s="6" cm="1">
        <f t="array" ref="F30">_xll.RssMarket($A30, "出来高")</f>
        <v>646000</v>
      </c>
    </row>
    <row r="31" spans="1:6">
      <c r="A31" s="20">
        <v>8308</v>
      </c>
      <c r="B31" s="6" t="str" cm="1">
        <f t="array" ref="B31">_xll.RssMarket($A31, "銘柄名称")</f>
        <v>りそなホールディングス</v>
      </c>
      <c r="C31" s="6" cm="1">
        <f t="array" ref="C31">_xll.RssMarket(A31, "現在値")</f>
        <v>2224.5</v>
      </c>
      <c r="D31" s="6" cm="1">
        <f t="array" ref="D31">_xll.RssMarket(A31, "始値")</f>
        <v>2350</v>
      </c>
      <c r="E31" s="6" cm="1">
        <f t="array" ref="E31">_xll.RssMarket($A31, "前日終値")</f>
        <v>2354</v>
      </c>
      <c r="F31" s="6" cm="1">
        <f t="array" ref="F31">_xll.RssMarket($A31, "出来高")</f>
        <v>9857100</v>
      </c>
    </row>
    <row r="32" spans="1:6">
      <c r="A32" s="20">
        <v>5938</v>
      </c>
      <c r="B32" s="6" t="str" cm="1">
        <f t="array" ref="B32">_xll.RssMarket($A32, "銘柄名称")</f>
        <v>ＬＩＸＩＬ</v>
      </c>
      <c r="C32" s="6" cm="1">
        <f t="array" ref="C32">_xll.RssMarket(A32, "現在値")</f>
        <v>1874.5</v>
      </c>
      <c r="D32" s="6" cm="1">
        <f t="array" ref="D32">_xll.RssMarket(A32, "始値")</f>
        <v>1897</v>
      </c>
      <c r="E32" s="6" cm="1">
        <f t="array" ref="E32">_xll.RssMarket($A32, "前日終値")</f>
        <v>1887</v>
      </c>
      <c r="F32" s="6" cm="1">
        <f t="array" ref="F32">_xll.RssMarket($A32, "出来高")</f>
        <v>1601600</v>
      </c>
    </row>
    <row r="33" spans="1:6">
      <c r="A33" s="20">
        <v>8570</v>
      </c>
      <c r="B33" s="6" t="str" cm="1">
        <f t="array" ref="B33">_xll.RssMarket($A33, "銘柄名称")</f>
        <v>イオンフィナンシャルサービス</v>
      </c>
      <c r="C33" s="6" cm="1">
        <f t="array" ref="C33">_xll.RssMarket(A33, "現在値")</f>
        <v>1527</v>
      </c>
      <c r="D33" s="6" cm="1">
        <f t="array" ref="D33">_xll.RssMarket(A33, "始値")</f>
        <v>1530</v>
      </c>
      <c r="E33" s="6" cm="1">
        <f t="array" ref="E33">_xll.RssMarket($A33, "前日終値")</f>
        <v>1536.5</v>
      </c>
      <c r="F33" s="6" cm="1">
        <f t="array" ref="F33">_xll.RssMarket($A33, "出来高")</f>
        <v>486400</v>
      </c>
    </row>
    <row r="34" spans="1:6">
      <c r="A34" s="20">
        <v>5406</v>
      </c>
      <c r="B34" s="6" t="str" cm="1">
        <f t="array" ref="B34">_xll.RssMarket($A34, "銘柄名称")</f>
        <v>神戸製鋼所</v>
      </c>
      <c r="C34" s="6" cm="1">
        <f t="array" ref="C34">_xll.RssMarket(A34, "現在値")</f>
        <v>1934</v>
      </c>
      <c r="D34" s="6" cm="1">
        <f t="array" ref="D34">_xll.RssMarket(A34, "始値")</f>
        <v>1940</v>
      </c>
      <c r="E34" s="6" cm="1">
        <f t="array" ref="E34">_xll.RssMarket($A34, "前日終値")</f>
        <v>1951</v>
      </c>
      <c r="F34" s="6" cm="1">
        <f t="array" ref="F34">_xll.RssMarket($A34, "出来高")</f>
        <v>2209000</v>
      </c>
    </row>
    <row r="35" spans="1:6">
      <c r="A35" s="20">
        <v>8593</v>
      </c>
      <c r="B35" s="6" t="str" cm="1">
        <f t="array" ref="B35">_xll.RssMarket($A35, "銘柄名称")</f>
        <v>三菱ＨＣキャピタル</v>
      </c>
      <c r="C35" s="6" cm="1">
        <f t="array" ref="C35">_xll.RssMarket(A35, "現在値")</f>
        <v>1390</v>
      </c>
      <c r="D35" s="6" cm="1">
        <f t="array" ref="D35">_xll.RssMarket(A35, "始値")</f>
        <v>1412.5</v>
      </c>
      <c r="E35" s="6" cm="1">
        <f t="array" ref="E35">_xll.RssMarket($A35, "前日終値")</f>
        <v>1411.5</v>
      </c>
      <c r="F35" s="6" cm="1">
        <f t="array" ref="F35">_xll.RssMarket($A35, "出来高")</f>
        <v>5151200</v>
      </c>
    </row>
    <row r="36" spans="1:6">
      <c r="A36" s="20">
        <v>8604</v>
      </c>
      <c r="B36" s="6" t="str" cm="1">
        <f t="array" ref="B36">_xll.RssMarket($A36, "銘柄名称")</f>
        <v>野村ホールディングス</v>
      </c>
      <c r="C36" s="6" cm="1">
        <f t="array" ref="C36">_xll.RssMarket(A36, "現在値")</f>
        <v>1520</v>
      </c>
      <c r="D36" s="6" cm="1">
        <f t="array" ref="D36">_xll.RssMarket(A36, "始値")</f>
        <v>1580</v>
      </c>
      <c r="E36" s="6" cm="1">
        <f t="array" ref="E36">_xll.RssMarket($A36, "前日終値")</f>
        <v>1609</v>
      </c>
      <c r="F36" s="6" cm="1">
        <f t="array" ref="F36">_xll.RssMarket($A36, "出来高")</f>
        <v>15093000</v>
      </c>
    </row>
    <row r="37" spans="1:6">
      <c r="A37" s="20">
        <v>3861</v>
      </c>
      <c r="B37" s="6" t="str" cm="1">
        <f t="array" ref="B37">_xll.RssMarket($A37, "銘柄名称")</f>
        <v>王子ホールディングス</v>
      </c>
      <c r="C37" s="6" cm="1">
        <f t="array" ref="C37">_xll.RssMarket(A37, "現在値")</f>
        <v>837.3</v>
      </c>
      <c r="D37" s="6" cm="1">
        <f t="array" ref="D37">_xll.RssMarket(A37, "始値")</f>
        <v>842.3</v>
      </c>
      <c r="E37" s="6" cm="1">
        <f t="array" ref="E37">_xll.RssMarket($A37, "前日終値")</f>
        <v>838.7</v>
      </c>
      <c r="F37" s="6" cm="1">
        <f t="array" ref="F37">_xll.RssMarket($A37, "出来高")</f>
        <v>3567400</v>
      </c>
    </row>
    <row r="38" spans="1:6">
      <c r="A38" s="20">
        <v>5947</v>
      </c>
      <c r="B38" s="6" t="str" cm="1">
        <f t="array" ref="B38">_xll.RssMarket($A38, "銘柄名称")</f>
        <v>リンナイ</v>
      </c>
      <c r="C38" s="6" cm="1">
        <f t="array" ref="C38">_xll.RssMarket(A38, "現在値")</f>
        <v>3628</v>
      </c>
      <c r="D38" s="6" cm="1">
        <f t="array" ref="D38">_xll.RssMarket(A38, "始値")</f>
        <v>3647</v>
      </c>
      <c r="E38" s="6" cm="1">
        <f t="array" ref="E38">_xll.RssMarket($A38, "前日終値")</f>
        <v>3618</v>
      </c>
      <c r="F38" s="6" cm="1">
        <f t="array" ref="F38">_xll.RssMarket($A38, "出来高")</f>
        <v>350000</v>
      </c>
    </row>
    <row r="39" spans="1:6">
      <c r="A39" s="20">
        <v>8750</v>
      </c>
      <c r="B39" s="6" t="str" cm="1">
        <f t="array" ref="B39">_xll.RssMarket($A39, "銘柄名称")</f>
        <v>第一ライフグループ</v>
      </c>
      <c r="C39" s="6" cm="1">
        <f t="array" ref="C39">_xll.RssMarket(A39, "現在値")</f>
        <v>1799</v>
      </c>
      <c r="D39" s="6" cm="1">
        <f t="array" ref="D39">_xll.RssMarket(A39, "始値")</f>
        <v>1836</v>
      </c>
      <c r="E39" s="6" cm="1">
        <f t="array" ref="E39">_xll.RssMarket($A39, "前日終値")</f>
        <v>1836.5</v>
      </c>
      <c r="F39" s="6" cm="1">
        <f t="array" ref="F39">_xll.RssMarket($A39, "出来高")</f>
        <v>13386100</v>
      </c>
    </row>
    <row r="40" spans="1:6">
      <c r="A40" s="20">
        <v>3402</v>
      </c>
      <c r="B40" s="6" t="str" cm="1">
        <f t="array" ref="B40">_xll.RssMarket($A40, "銘柄名称")</f>
        <v>東レ</v>
      </c>
      <c r="C40" s="6" cm="1">
        <f t="array" ref="C40">_xll.RssMarket(A40, "現在値")</f>
        <v>1148.5</v>
      </c>
      <c r="D40" s="6" cm="1">
        <f t="array" ref="D40">_xll.RssMarket(A40, "始値")</f>
        <v>1160</v>
      </c>
      <c r="E40" s="6" cm="1">
        <f t="array" ref="E40">_xll.RssMarket($A40, "前日終値")</f>
        <v>1166.5</v>
      </c>
      <c r="F40" s="6" cm="1">
        <f t="array" ref="F40">_xll.RssMarket($A40, "出来高")</f>
        <v>3667700</v>
      </c>
    </row>
    <row r="41" spans="1:6">
      <c r="A41" s="20">
        <v>8306</v>
      </c>
      <c r="B41" s="6" t="str" cm="1">
        <f t="array" ref="B41">_xll.RssMarket($A41, "銘柄名称")</f>
        <v>三菱ＵＦＪフィナンシャルＧ</v>
      </c>
      <c r="C41" s="6" cm="1">
        <f t="array" ref="C41">_xll.RssMarket(A41, "現在値")</f>
        <v>3473</v>
      </c>
      <c r="D41" s="6" cm="1">
        <f t="array" ref="D41">_xll.RssMarket(A41, "始値")</f>
        <v>3614</v>
      </c>
      <c r="E41" s="6" cm="1">
        <f t="array" ref="E41">_xll.RssMarket($A41, "前日終値")</f>
        <v>3629</v>
      </c>
      <c r="F41" s="6" cm="1">
        <f t="array" ref="F41">_xll.RssMarket($A41, "出来高")</f>
        <v>59061500</v>
      </c>
    </row>
    <row r="42" spans="1:6">
      <c r="A42" s="20">
        <v>5401</v>
      </c>
      <c r="B42" s="6" t="str" cm="1">
        <f t="array" ref="B42">_xll.RssMarket($A42, "銘柄名称")</f>
        <v>日本製鉄</v>
      </c>
      <c r="C42" s="6" cm="1">
        <f t="array" ref="C42">_xll.RssMarket(A42, "現在値")</f>
        <v>585.6</v>
      </c>
      <c r="D42" s="6" cm="1">
        <f t="array" ref="D42">_xll.RssMarket(A42, "始値")</f>
        <v>580.20000000000005</v>
      </c>
      <c r="E42" s="6" cm="1">
        <f t="array" ref="E42">_xll.RssMarket($A42, "前日終値")</f>
        <v>580.20000000000005</v>
      </c>
      <c r="F42" s="6" cm="1">
        <f t="array" ref="F42">_xll.RssMarket($A42, "出来高")</f>
        <v>42824000</v>
      </c>
    </row>
    <row r="43" spans="1:6">
      <c r="A43" s="20">
        <v>8572</v>
      </c>
      <c r="B43" s="6" t="str" cm="1">
        <f t="array" ref="B43">_xll.RssMarket($A43, "銘柄名称")</f>
        <v>アコム</v>
      </c>
      <c r="C43" s="6" cm="1">
        <f t="array" ref="C43">_xll.RssMarket(A43, "現在値")</f>
        <v>484.1</v>
      </c>
      <c r="D43" s="6" cm="1">
        <f t="array" ref="D43">_xll.RssMarket(A43, "始値")</f>
        <v>488</v>
      </c>
      <c r="E43" s="6" cm="1">
        <f t="array" ref="E43">_xll.RssMarket($A43, "前日終値")</f>
        <v>485.6</v>
      </c>
      <c r="F43" s="6" cm="1">
        <f t="array" ref="F43">_xll.RssMarket($A43, "出来高")</f>
        <v>1362200</v>
      </c>
    </row>
    <row r="44" spans="1:6">
      <c r="A44" s="20">
        <v>3941</v>
      </c>
      <c r="B44" s="6" t="str" cm="1">
        <f t="array" ref="B44">_xll.RssMarket($A44, "銘柄名称")</f>
        <v>レンゴー</v>
      </c>
      <c r="C44" s="6" cm="1">
        <f t="array" ref="C44">_xll.RssMarket(A44, "現在値")</f>
        <v>1430.5</v>
      </c>
      <c r="D44" s="6" cm="1">
        <f t="array" ref="D44">_xll.RssMarket(A44, "始値")</f>
        <v>1451.5</v>
      </c>
      <c r="E44" s="6" cm="1">
        <f t="array" ref="E44">_xll.RssMarket($A44, "前日終値")</f>
        <v>1448.5</v>
      </c>
      <c r="F44" s="6" cm="1">
        <f t="array" ref="F44">_xll.RssMarket($A44, "出来高")</f>
        <v>1096400</v>
      </c>
    </row>
    <row r="45" spans="1:6">
      <c r="A45" s="20">
        <v>5929</v>
      </c>
      <c r="B45" s="6" t="str" cm="1">
        <f t="array" ref="B45">_xll.RssMarket($A45, "銘柄名称")</f>
        <v>三和ホールディングス</v>
      </c>
      <c r="C45" s="6" cm="1">
        <f t="array" ref="C45">_xll.RssMarket(A45, "現在値")</f>
        <v>3768</v>
      </c>
      <c r="D45" s="6" cm="1">
        <f t="array" ref="D45">_xll.RssMarket(A45, "始値")</f>
        <v>3712</v>
      </c>
      <c r="E45" s="6" cm="1">
        <f t="array" ref="E45">_xll.RssMarket($A45, "前日終値")</f>
        <v>3721</v>
      </c>
      <c r="F45" s="6" cm="1">
        <f t="array" ref="F45">_xll.RssMarket($A45, "出来高")</f>
        <v>725700</v>
      </c>
    </row>
    <row r="46" spans="1:6">
      <c r="A46" s="20">
        <v>8316</v>
      </c>
      <c r="B46" s="6" t="str" cm="1">
        <f t="array" ref="B46">_xll.RssMarket($A46, "銘柄名称")</f>
        <v>三井住友フィナンシャルＧ</v>
      </c>
      <c r="C46" s="6" cm="1">
        <f t="array" ref="C46">_xll.RssMarket(A46, "現在値")</f>
        <v>6721</v>
      </c>
      <c r="D46" s="6" cm="1">
        <f t="array" ref="D46">_xll.RssMarket(A46, "始値")</f>
        <v>7030</v>
      </c>
      <c r="E46" s="6" cm="1">
        <f t="array" ref="E46">_xll.RssMarket($A46, "前日終値")</f>
        <v>7030</v>
      </c>
      <c r="F46" s="6" cm="1">
        <f t="array" ref="F46">_xll.RssMarket($A46, "出来高")</f>
        <v>17726200</v>
      </c>
    </row>
    <row r="47" spans="1:6">
      <c r="A47" s="20">
        <v>5449</v>
      </c>
      <c r="B47" s="6" t="str" cm="1">
        <f t="array" ref="B47">_xll.RssMarket($A47, "銘柄名称")</f>
        <v>大阪製鐵</v>
      </c>
      <c r="C47" s="6" cm="1">
        <f t="array" ref="C47">_xll.RssMarket(A47, "現在値")</f>
        <v>2539</v>
      </c>
      <c r="D47" s="6" cm="1">
        <f t="array" ref="D47">_xll.RssMarket(A47, "始値")</f>
        <v>2550</v>
      </c>
      <c r="E47" s="6" cm="1">
        <f t="array" ref="E47">_xll.RssMarket($A47, "前日終値")</f>
        <v>2552</v>
      </c>
      <c r="F47" s="6" cm="1">
        <f t="array" ref="F47">_xll.RssMarket($A47, "出来高")</f>
        <v>19100</v>
      </c>
    </row>
    <row r="48" spans="1:6">
      <c r="A48" s="20">
        <v>8766</v>
      </c>
      <c r="B48" s="6" t="str" cm="1">
        <f t="array" ref="B48">_xll.RssMarket($A48, "銘柄名称")</f>
        <v>東京海上ＨＤ</v>
      </c>
      <c r="C48" s="6" cm="1">
        <f t="array" ref="C48">_xll.RssMarket(A48, "現在値")</f>
        <v>7526</v>
      </c>
      <c r="D48" s="6" cm="1">
        <f t="array" ref="D48">_xll.RssMarket(A48, "始値")</f>
        <v>7614</v>
      </c>
      <c r="E48" s="6" cm="1">
        <f t="array" ref="E48">_xll.RssMarket($A48, "前日終値")</f>
        <v>7600</v>
      </c>
      <c r="F48" s="6" cm="1">
        <f t="array" ref="F48">_xll.RssMarket($A48, "出来高")</f>
        <v>4881300</v>
      </c>
    </row>
    <row r="49" spans="1:6">
      <c r="A49" s="20">
        <v>5201</v>
      </c>
      <c r="B49" s="6" t="str" cm="1">
        <f t="array" ref="B49">_xll.RssMarket($A49, "銘柄名称")</f>
        <v>ＡＧＣ</v>
      </c>
      <c r="C49" s="6" cm="1">
        <f t="array" ref="C49">_xll.RssMarket(A49, "現在値")</f>
        <v>6135</v>
      </c>
      <c r="D49" s="6" cm="1">
        <f t="array" ref="D49">_xll.RssMarket(A49, "始値")</f>
        <v>6388</v>
      </c>
      <c r="E49" s="6" cm="1">
        <f t="array" ref="E49">_xll.RssMarket($A49, "前日終値")</f>
        <v>6422</v>
      </c>
      <c r="F49" s="6" cm="1">
        <f t="array" ref="F49">_xll.RssMarket($A49, "出来高")</f>
        <v>1310900</v>
      </c>
    </row>
    <row r="50" spans="1:6">
      <c r="A50" s="20">
        <v>8630</v>
      </c>
      <c r="B50" s="6" t="str" cm="1">
        <f t="array" ref="B50">_xll.RssMarket($A50, "銘柄名称")</f>
        <v>ＳＯＭＰＯホールディングス</v>
      </c>
      <c r="C50" s="6" cm="1">
        <f t="array" ref="C50">_xll.RssMarket(A50, "現在値")</f>
        <v>6630</v>
      </c>
      <c r="D50" s="6" cm="1">
        <f t="array" ref="D50">_xll.RssMarket(A50, "始値")</f>
        <v>6624</v>
      </c>
      <c r="E50" s="6" cm="1">
        <f t="array" ref="E50">_xll.RssMarket($A50, "前日終値")</f>
        <v>6618</v>
      </c>
      <c r="F50" s="6" cm="1">
        <f t="array" ref="F50">_xll.RssMarket($A50, "出来高")</f>
        <v>3770500</v>
      </c>
    </row>
    <row r="51" spans="1:6">
      <c r="A51" s="20">
        <v>5901</v>
      </c>
      <c r="B51" s="6" t="str" cm="1">
        <f t="array" ref="B51">_xll.RssMarket($A51, "銘柄名称")</f>
        <v>東洋製罐グループＨＤ</v>
      </c>
      <c r="C51" s="6" cm="1">
        <f t="array" ref="C51">_xll.RssMarket(A51, "現在値")</f>
        <v>4053</v>
      </c>
      <c r="D51" s="6" cm="1">
        <f t="array" ref="D51">_xll.RssMarket(A51, "始値")</f>
        <v>4069</v>
      </c>
      <c r="E51" s="6" cm="1">
        <f t="array" ref="E51">_xll.RssMarket($A51, "前日終値")</f>
        <v>4055</v>
      </c>
      <c r="F51" s="6" cm="1">
        <f t="array" ref="F51">_xll.RssMarket($A51, "出来高")</f>
        <v>278600</v>
      </c>
    </row>
    <row r="52" spans="1:6">
      <c r="A52" s="20">
        <v>9412</v>
      </c>
      <c r="B52" s="6" t="str" cm="1">
        <f t="array" ref="B52">_xll.RssMarket($A52, "銘柄名称")</f>
        <v>スカパーＪＳＡＴ</v>
      </c>
      <c r="C52" s="6" cm="1">
        <f t="array" ref="C52">_xll.RssMarket(A52, "現在値")</f>
        <v>2277</v>
      </c>
      <c r="D52" s="6" cm="1">
        <f t="array" ref="D52">_xll.RssMarket(A52, "始値")</f>
        <v>2298</v>
      </c>
      <c r="E52" s="6" cm="1">
        <f t="array" ref="E52">_xll.RssMarket($A52, "前日終値")</f>
        <v>2344</v>
      </c>
      <c r="F52" s="6" cm="1">
        <f t="array" ref="F52">_xll.RssMarket($A52, "出来高")</f>
        <v>2579000</v>
      </c>
    </row>
    <row r="53" spans="1:6">
      <c r="A53" s="20">
        <v>6203</v>
      </c>
      <c r="B53" s="6" t="str" cm="1">
        <f t="array" ref="B53">_xll.RssMarket($A53, "銘柄名称")</f>
        <v>豊和工業</v>
      </c>
      <c r="C53" s="6" cm="1">
        <f t="array" ref="C53">_xll.RssMarket(A53, "現在値")</f>
        <v>1426</v>
      </c>
      <c r="D53" s="6" cm="1">
        <f t="array" ref="D53">_xll.RssMarket(A53, "始値")</f>
        <v>1449</v>
      </c>
      <c r="E53" s="6" cm="1">
        <f t="array" ref="E53">_xll.RssMarket($A53, "前日終値")</f>
        <v>1457</v>
      </c>
      <c r="F53" s="6" cm="1">
        <f t="array" ref="F53">_xll.RssMarket($A53, "出来高")</f>
        <v>537000</v>
      </c>
    </row>
    <row r="54" spans="1:6">
      <c r="A54" s="20">
        <v>4676</v>
      </c>
      <c r="B54" s="6" t="str" cm="1">
        <f t="array" ref="B54">_xll.RssMarket($A54, "銘柄名称")</f>
        <v>フジ・メディア・ＨＤ</v>
      </c>
      <c r="C54" s="6" cm="1">
        <f t="array" ref="C54">_xll.RssMarket(A54, "現在値")</f>
        <v>4029</v>
      </c>
      <c r="D54" s="6" cm="1">
        <f t="array" ref="D54">_xll.RssMarket(A54, "始値")</f>
        <v>4135</v>
      </c>
      <c r="E54" s="6" cm="1">
        <f t="array" ref="E54">_xll.RssMarket($A54, "前日終値")</f>
        <v>4111</v>
      </c>
      <c r="F54" s="6" cm="1">
        <f t="array" ref="F54">_xll.RssMarket($A54, "出来高")</f>
        <v>721100</v>
      </c>
    </row>
    <row r="55" spans="1:6">
      <c r="A55" s="20">
        <v>1961</v>
      </c>
      <c r="B55" s="6" t="str" cm="1">
        <f t="array" ref="B55">_xll.RssMarket($A55, "銘柄名称")</f>
        <v>三機工業</v>
      </c>
      <c r="C55" s="6" cm="1">
        <f t="array" ref="C55">_xll.RssMarket(A55, "現在値")</f>
        <v>2470</v>
      </c>
      <c r="D55" s="6" cm="1">
        <f t="array" ref="D55">_xll.RssMarket(A55, "始値")</f>
        <v>2545</v>
      </c>
      <c r="E55" s="6" cm="1">
        <f t="array" ref="E55">_xll.RssMarket($A55, "前日終値")</f>
        <v>2595</v>
      </c>
      <c r="F55" s="6" cm="1">
        <f t="array" ref="F55">_xll.RssMarket($A55, "出来高")</f>
        <v>685100</v>
      </c>
    </row>
    <row r="56" spans="1:6">
      <c r="A56" s="20">
        <v>3107</v>
      </c>
      <c r="B56" s="6" t="str" cm="1">
        <f t="array" ref="B56">_xll.RssMarket($A56, "銘柄名称")</f>
        <v>ダイワボウＨＤ</v>
      </c>
      <c r="C56" s="6" cm="1">
        <f t="array" ref="C56">_xll.RssMarket(A56, "現在値")</f>
        <v>3392</v>
      </c>
      <c r="D56" s="6" cm="1">
        <f t="array" ref="D56">_xll.RssMarket(A56, "始値")</f>
        <v>3430</v>
      </c>
      <c r="E56" s="6" cm="1">
        <f t="array" ref="E56">_xll.RssMarket($A56, "前日終値")</f>
        <v>3440</v>
      </c>
      <c r="F56" s="6" cm="1">
        <f t="array" ref="F56">_xll.RssMarket($A56, "出来高")</f>
        <v>267400</v>
      </c>
    </row>
    <row r="57" spans="1:6">
      <c r="A57" s="20">
        <v>4045</v>
      </c>
      <c r="B57" s="6" t="str" cm="1">
        <f t="array" ref="B57">_xll.RssMarket($A57, "銘柄名称")</f>
        <v>東亞合成</v>
      </c>
      <c r="C57" s="6" cm="1">
        <f t="array" ref="C57">_xll.RssMarket(A57, "現在値")</f>
        <v>1723.5</v>
      </c>
      <c r="D57" s="6" cm="1">
        <f t="array" ref="D57">_xll.RssMarket(A57, "始値")</f>
        <v>1733</v>
      </c>
      <c r="E57" s="6" cm="1">
        <f t="array" ref="E57">_xll.RssMarket($A57, "前日終値")</f>
        <v>1734.5</v>
      </c>
      <c r="F57" s="6" cm="1">
        <f t="array" ref="F57">_xll.RssMarket($A57, "出来高")</f>
        <v>234500</v>
      </c>
    </row>
    <row r="58" spans="1:6">
      <c r="A58" s="20">
        <v>5857</v>
      </c>
      <c r="B58" s="6" t="str" cm="1">
        <f t="array" ref="B58">_xll.RssMarket($A58, "銘柄名称")</f>
        <v>ＡＲＥホールディングス</v>
      </c>
      <c r="C58" s="6" cm="1">
        <f t="array" ref="C58">_xll.RssMarket(A58, "現在値")</f>
        <v>2935</v>
      </c>
      <c r="D58" s="6" cm="1">
        <f t="array" ref="D58">_xll.RssMarket(A58, "始値")</f>
        <v>3000</v>
      </c>
      <c r="E58" s="6" cm="1">
        <f t="array" ref="E58">_xll.RssMarket($A58, "前日終値")</f>
        <v>3065</v>
      </c>
      <c r="F58" s="6" cm="1">
        <f t="array" ref="F58">_xll.RssMarket($A58, "出来高")</f>
        <v>955100</v>
      </c>
    </row>
    <row r="59" spans="1:6">
      <c r="A59" s="20">
        <v>8281</v>
      </c>
      <c r="B59" s="6" t="str" cm="1">
        <f t="array" ref="B59">_xll.RssMarket($A59, "銘柄名称")</f>
        <v>ゼビオホールディングス</v>
      </c>
      <c r="C59" s="6" cm="1">
        <f t="array" ref="C59">_xll.RssMarket(A59, "現在値")</f>
        <v>1116</v>
      </c>
      <c r="D59" s="6" cm="1">
        <f t="array" ref="D59">_xll.RssMarket(A59, "始値")</f>
        <v>1104</v>
      </c>
      <c r="E59" s="6" cm="1">
        <f t="array" ref="E59">_xll.RssMarket($A59, "前日終値")</f>
        <v>1097</v>
      </c>
      <c r="F59" s="6" cm="1">
        <f t="array" ref="F59">_xll.RssMarket($A59, "出来高")</f>
        <v>131500</v>
      </c>
    </row>
    <row r="60" spans="1:6">
      <c r="A60" s="20">
        <v>4540</v>
      </c>
      <c r="B60" s="6" t="str" cm="1">
        <f t="array" ref="B60">_xll.RssMarket($A60, "銘柄名称")</f>
        <v>ツムラ</v>
      </c>
      <c r="C60" s="6" cm="1">
        <f t="array" ref="C60">_xll.RssMarket(A60, "現在値")</f>
        <v>3850</v>
      </c>
      <c r="D60" s="6" cm="1">
        <f t="array" ref="D60">_xll.RssMarket(A60, "始値")</f>
        <v>3861</v>
      </c>
      <c r="E60" s="6" cm="1">
        <f t="array" ref="E60">_xll.RssMarket($A60, "前日終値")</f>
        <v>3861</v>
      </c>
      <c r="F60" s="6" cm="1">
        <f t="array" ref="F60">_xll.RssMarket($A60, "出来高")</f>
        <v>342800</v>
      </c>
    </row>
    <row r="61" spans="1:6">
      <c r="A61" s="20">
        <v>9984</v>
      </c>
      <c r="B61" s="6" t="str" cm="1">
        <f t="array" ref="B61">_xll.RssMarket($A61, "銘柄名称")</f>
        <v>ソフトバンクグループ</v>
      </c>
      <c r="C61" s="6" cm="1">
        <f t="array" ref="C61">_xll.RssMarket(A61, "現在値")</f>
        <v>5424</v>
      </c>
      <c r="D61" s="6" cm="1">
        <f t="array" ref="D61">_xll.RssMarket(A61, "始値")</f>
        <v>5663</v>
      </c>
      <c r="E61" s="6" cm="1">
        <f t="array" ref="E61">_xll.RssMarket($A61, "前日終値")</f>
        <v>5961</v>
      </c>
      <c r="F61" s="6" cm="1">
        <f t="array" ref="F61">_xll.RssMarket($A61, "出来高")</f>
        <v>70204200</v>
      </c>
    </row>
    <row r="62" spans="1:6">
      <c r="A62" s="20">
        <v>4063</v>
      </c>
      <c r="B62" s="6" t="str" cm="1">
        <f t="array" ref="B62">_xll.RssMarket($A62, "銘柄名称")</f>
        <v>信越化学</v>
      </c>
      <c r="C62" s="6" cm="1">
        <f t="array" ref="C62">_xll.RssMarket(A62, "現在値")</f>
        <v>7157</v>
      </c>
      <c r="D62" s="6" cm="1">
        <f t="array" ref="D62">_xll.RssMarket(A62, "始値")</f>
        <v>7210</v>
      </c>
      <c r="E62" s="6" cm="1">
        <f t="array" ref="E62">_xll.RssMarket($A62, "前日終値")</f>
        <v>7361</v>
      </c>
      <c r="F62" s="6" cm="1">
        <f t="array" ref="F62">_xll.RssMarket($A62, "出来高")</f>
        <v>7502200</v>
      </c>
    </row>
    <row r="63" spans="1:6">
      <c r="A63" s="20">
        <v>4536</v>
      </c>
      <c r="B63" s="6" t="str" cm="1">
        <f t="array" ref="B63">_xll.RssMarket($A63, "銘柄名称")</f>
        <v>参天製薬</v>
      </c>
      <c r="C63" s="6" cm="1">
        <f t="array" ref="C63">_xll.RssMarket(A63, "現在値")</f>
        <v>2042.5</v>
      </c>
      <c r="D63" s="6" cm="1">
        <f t="array" ref="D63">_xll.RssMarket(A63, "始値")</f>
        <v>2043</v>
      </c>
      <c r="E63" s="6" cm="1">
        <f t="array" ref="E63">_xll.RssMarket($A63, "前日終値")</f>
        <v>2093</v>
      </c>
      <c r="F63" s="6" cm="1">
        <f t="array" ref="F63">_xll.RssMarket($A63, "出来高")</f>
        <v>1340700</v>
      </c>
    </row>
    <row r="64" spans="1:6">
      <c r="A64" s="20">
        <v>6503</v>
      </c>
      <c r="B64" s="6" t="str" cm="1">
        <f t="array" ref="B64">_xll.RssMarket($A64, "銘柄名称")</f>
        <v>三菱電機</v>
      </c>
      <c r="C64" s="6" cm="1">
        <f t="array" ref="C64">_xll.RssMarket(A64, "現在値")</f>
        <v>5370</v>
      </c>
      <c r="D64" s="6" cm="1">
        <f t="array" ref="D64">_xll.RssMarket(A64, "始値")</f>
        <v>5566</v>
      </c>
      <c r="E64" s="6" cm="1">
        <f t="array" ref="E64">_xll.RssMarket($A64, "前日終値")</f>
        <v>5666</v>
      </c>
      <c r="F64" s="6" cm="1">
        <f t="array" ref="F64">_xll.RssMarket($A64, "出来高")</f>
        <v>7417200</v>
      </c>
    </row>
    <row r="65" spans="1:6">
      <c r="A65" s="20">
        <v>4980</v>
      </c>
      <c r="B65" s="6" t="str" cm="1">
        <f t="array" ref="B65">_xll.RssMarket($A65, "銘柄名称")</f>
        <v>デクセリアルズ</v>
      </c>
      <c r="C65" s="6" cm="1">
        <f t="array" ref="C65">_xll.RssMarket(A65, "現在値")</f>
        <v>3509</v>
      </c>
      <c r="D65" s="6" cm="1">
        <f t="array" ref="D65">_xll.RssMarket(A65, "始値")</f>
        <v>3700</v>
      </c>
      <c r="E65" s="6" cm="1">
        <f t="array" ref="E65">_xll.RssMarket($A65, "前日終値")</f>
        <v>3777</v>
      </c>
      <c r="F65" s="6" cm="1">
        <f t="array" ref="F65">_xll.RssMarket($A65, "出来高")</f>
        <v>2530900</v>
      </c>
    </row>
    <row r="66" spans="1:6">
      <c r="A66" s="20">
        <v>9424</v>
      </c>
      <c r="B66" s="6" t="str" cm="1">
        <f t="array" ref="B66">_xll.RssMarket($A66, "銘柄名称")</f>
        <v>日本通信</v>
      </c>
      <c r="C66" s="6" cm="1">
        <f t="array" ref="C66">_xll.RssMarket(A66, "現在値")</f>
        <v>113</v>
      </c>
      <c r="D66" s="6" cm="1">
        <f t="array" ref="D66">_xll.RssMarket(A66, "始値")</f>
        <v>117</v>
      </c>
      <c r="E66" s="6" cm="1">
        <f t="array" ref="E66">_xll.RssMarket($A66, "前日終値")</f>
        <v>116</v>
      </c>
      <c r="F66" s="6" cm="1">
        <f t="array" ref="F66">_xll.RssMarket($A66, "出来高")</f>
        <v>1312900</v>
      </c>
    </row>
    <row r="67" spans="1:6">
      <c r="A67" s="20">
        <v>3854</v>
      </c>
      <c r="B67" s="6" t="str" cm="1">
        <f t="array" ref="B67">_xll.RssMarket($A67, "銘柄名称")</f>
        <v>アイル</v>
      </c>
      <c r="C67" s="6" cm="1">
        <f t="array" ref="C67">_xll.RssMarket(A67, "現在値")</f>
        <v>2351</v>
      </c>
      <c r="D67" s="6" cm="1">
        <f t="array" ref="D67">_xll.RssMarket(A67, "始値")</f>
        <v>2404</v>
      </c>
      <c r="E67" s="6" cm="1">
        <f t="array" ref="E67">_xll.RssMarket($A67, "前日終値")</f>
        <v>2380</v>
      </c>
      <c r="F67" s="6" cm="1">
        <f t="array" ref="F67">_xll.RssMarket($A67, "出来高")</f>
        <v>76900</v>
      </c>
    </row>
    <row r="68" spans="1:6">
      <c r="A68" s="20">
        <v>6027</v>
      </c>
      <c r="B68" s="6" t="str" cm="1">
        <f t="array" ref="B68">_xll.RssMarket($A68, "銘柄名称")</f>
        <v>弁護士ドットコム</v>
      </c>
      <c r="C68" s="6" cm="1">
        <f t="array" ref="C68">_xll.RssMarket(A68, "現在値")</f>
        <v>2390</v>
      </c>
      <c r="D68" s="6" cm="1">
        <f t="array" ref="D68">_xll.RssMarket(A68, "始値")</f>
        <v>2360</v>
      </c>
      <c r="E68" s="6" cm="1">
        <f t="array" ref="E68">_xll.RssMarket($A68, "前日終値")</f>
        <v>2388</v>
      </c>
      <c r="F68" s="6" cm="1">
        <f t="array" ref="F68">_xll.RssMarket($A68, "出来高")</f>
        <v>118800</v>
      </c>
    </row>
    <row r="69" spans="1:6">
      <c r="A69" s="20">
        <v>7806</v>
      </c>
      <c r="B69" s="6" t="str" cm="1">
        <f t="array" ref="B69">_xll.RssMarket($A69, "銘柄名称")</f>
        <v>ＭＴＧ</v>
      </c>
      <c r="C69" s="6" cm="1">
        <f t="array" ref="C69">_xll.RssMarket(A69, "現在値")</f>
        <v>7460</v>
      </c>
      <c r="D69" s="6" cm="1">
        <f t="array" ref="D69">_xll.RssMarket(A69, "始値")</f>
        <v>7980</v>
      </c>
      <c r="E69" s="6" cm="1">
        <f t="array" ref="E69">_xll.RssMarket($A69, "前日終値")</f>
        <v>8130</v>
      </c>
      <c r="F69" s="6" cm="1">
        <f t="array" ref="F69">_xll.RssMarket($A69, "出来高")</f>
        <v>183900</v>
      </c>
    </row>
    <row r="70" spans="1:6">
      <c r="A70" s="20">
        <v>9202</v>
      </c>
      <c r="B70" s="6" t="str" cm="1">
        <f t="array" ref="B70">_xll.RssMarket($A70, "銘柄名称")</f>
        <v>ＡＮＡホールディングス</v>
      </c>
      <c r="C70" s="6" cm="1">
        <f t="array" ref="C70">_xll.RssMarket(A70, "現在値")</f>
        <v>3027</v>
      </c>
      <c r="D70" s="6" cm="1">
        <f t="array" ref="D70">_xll.RssMarket(A70, "始値")</f>
        <v>2997</v>
      </c>
      <c r="E70" s="6" cm="1">
        <f t="array" ref="E70">_xll.RssMarket($A70, "前日終値")</f>
        <v>2998.5</v>
      </c>
      <c r="F70" s="6" cm="1">
        <f t="array" ref="F70">_xll.RssMarket($A70, "出来高")</f>
        <v>2452800</v>
      </c>
    </row>
    <row r="71" spans="1:6">
      <c r="A71" s="20">
        <v>7846</v>
      </c>
      <c r="B71" s="6" t="str" cm="1">
        <f t="array" ref="B71">_xll.RssMarket($A71, "銘柄名称")</f>
        <v>パイロットコーポレーション</v>
      </c>
      <c r="C71" s="6" cm="1">
        <f t="array" ref="C71">_xll.RssMarket(A71, "現在値")</f>
        <v>1803</v>
      </c>
      <c r="D71" s="6" cm="1">
        <f t="array" ref="D71">_xll.RssMarket(A71, "始値")</f>
        <v>1812.5</v>
      </c>
      <c r="E71" s="6" cm="1">
        <f t="array" ref="E71">_xll.RssMarket($A71, "前日終値")</f>
        <v>1807.5</v>
      </c>
      <c r="F71" s="6" cm="1">
        <f t="array" ref="F71">_xll.RssMarket($A71, "出来高")</f>
        <v>161600</v>
      </c>
    </row>
    <row r="72" spans="1:6">
      <c r="A72" s="20">
        <v>2802</v>
      </c>
      <c r="B72" s="6" t="str" cm="1">
        <f t="array" ref="B72">_xll.RssMarket($A72, "銘柄名称")</f>
        <v>味の素</v>
      </c>
      <c r="C72" s="6" cm="1">
        <f t="array" ref="C72">_xll.RssMarket(A72, "現在値")</f>
        <v>5194</v>
      </c>
      <c r="D72" s="6" cm="1">
        <f t="array" ref="D72">_xll.RssMarket(A72, "始値")</f>
        <v>5215</v>
      </c>
      <c r="E72" s="6" cm="1">
        <f t="array" ref="E72">_xll.RssMarket($A72, "前日終値")</f>
        <v>5361</v>
      </c>
      <c r="F72" s="6" cm="1">
        <f t="array" ref="F72">_xll.RssMarket($A72, "出来高")</f>
        <v>4971500</v>
      </c>
    </row>
    <row r="73" spans="1:6">
      <c r="A73" s="20">
        <v>7203</v>
      </c>
      <c r="B73" s="6" t="str" cm="1">
        <f t="array" ref="B73">_xll.RssMarket($A73, "銘柄名称")</f>
        <v>トヨタ自動車</v>
      </c>
      <c r="C73" s="6" cm="1">
        <f t="array" ref="C73">_xll.RssMarket(A73, "現在値")</f>
        <v>2899.5</v>
      </c>
      <c r="D73" s="6" cm="1">
        <f t="array" ref="D73">_xll.RssMarket(A73, "始値")</f>
        <v>2865.5</v>
      </c>
      <c r="E73" s="6" cm="1">
        <f t="array" ref="E73">_xll.RssMarket($A73, "前日終値")</f>
        <v>2909</v>
      </c>
      <c r="F73" s="6" cm="1">
        <f t="array" ref="F73">_xll.RssMarket($A73, "出来高")</f>
        <v>35779500</v>
      </c>
    </row>
    <row r="74" spans="1:6">
      <c r="A74" s="20">
        <v>6954</v>
      </c>
      <c r="B74" s="6" t="str" cm="1">
        <f t="array" ref="B74">_xll.RssMarket($A74, "銘柄名称")</f>
        <v>ファナック</v>
      </c>
      <c r="C74" s="6" cm="1">
        <f t="array" ref="C74">_xll.RssMarket(A74, "現在値")</f>
        <v>6637</v>
      </c>
      <c r="D74" s="6" cm="1">
        <f t="array" ref="D74">_xll.RssMarket(A74, "始値")</f>
        <v>6690</v>
      </c>
      <c r="E74" s="6" cm="1">
        <f t="array" ref="E74">_xll.RssMarket($A74, "前日終値")</f>
        <v>7020</v>
      </c>
      <c r="F74" s="6" cm="1">
        <f t="array" ref="F74">_xll.RssMarket($A74, "出来高")</f>
        <v>7839600</v>
      </c>
    </row>
    <row r="75" spans="1:6">
      <c r="A75" s="20">
        <v>6479</v>
      </c>
      <c r="B75" s="6" t="str" cm="1">
        <f t="array" ref="B75">_xll.RssMarket($A75, "銘柄名称")</f>
        <v>ミネベアミツミ</v>
      </c>
      <c r="C75" s="6" cm="1">
        <f t="array" ref="C75">_xll.RssMarket(A75, "現在値")</f>
        <v>3821</v>
      </c>
      <c r="D75" s="6" cm="1">
        <f t="array" ref="D75">_xll.RssMarket(A75, "始値")</f>
        <v>3970</v>
      </c>
      <c r="E75" s="6" cm="1">
        <f t="array" ref="E75">_xll.RssMarket($A75, "前日終値")</f>
        <v>4077</v>
      </c>
      <c r="F75" s="6" cm="1">
        <f t="array" ref="F75">_xll.RssMarket($A75, "出来高")</f>
        <v>4373500</v>
      </c>
    </row>
    <row r="76" spans="1:6">
      <c r="A76" s="20">
        <v>1833</v>
      </c>
      <c r="B76" s="6" t="str" cm="1">
        <f t="array" ref="B76">_xll.RssMarket($A76, "銘柄名称")</f>
        <v>奥村組</v>
      </c>
      <c r="C76" s="6" cm="1">
        <f t="array" ref="C76">_xll.RssMarket(A76, "現在値")</f>
        <v>5600</v>
      </c>
      <c r="D76" s="6" cm="1">
        <f t="array" ref="D76">_xll.RssMarket(A76, "始値")</f>
        <v>5630</v>
      </c>
      <c r="E76" s="6" cm="1">
        <f t="array" ref="E76">_xll.RssMarket($A76, "前日終値")</f>
        <v>5680</v>
      </c>
      <c r="F76" s="6" cm="1">
        <f t="array" ref="F76">_xll.RssMarket($A76, "出来高")</f>
        <v>135800</v>
      </c>
    </row>
    <row r="77" spans="1:6">
      <c r="A77" s="20">
        <v>6841</v>
      </c>
      <c r="B77" s="6" t="str" cm="1">
        <f t="array" ref="B77">_xll.RssMarket($A77, "銘柄名称")</f>
        <v>横河電機</v>
      </c>
      <c r="C77" s="6" cm="1">
        <f t="array" ref="C77">_xll.RssMarket(A77, "現在値")</f>
        <v>5468</v>
      </c>
      <c r="D77" s="6" cm="1">
        <f t="array" ref="D77">_xll.RssMarket(A77, "始値")</f>
        <v>5331</v>
      </c>
      <c r="E77" s="6" cm="1">
        <f t="array" ref="E77">_xll.RssMarket($A77, "前日終値")</f>
        <v>5495</v>
      </c>
      <c r="F77" s="6" cm="1">
        <f t="array" ref="F77">_xll.RssMarket($A77, "出来高")</f>
        <v>1176200</v>
      </c>
    </row>
    <row r="78" spans="1:6">
      <c r="A78" s="20">
        <v>7167</v>
      </c>
      <c r="B78" s="6" t="str" cm="1">
        <f t="array" ref="B78">_xll.RssMarket($A78, "銘柄名称")</f>
        <v>めぶきフィナンシャルＧ</v>
      </c>
      <c r="C78" s="6" cm="1">
        <f t="array" ref="C78">_xll.RssMarket(A78, "現在値")</f>
        <v>1427</v>
      </c>
      <c r="D78" s="6" cm="1">
        <f t="array" ref="D78">_xll.RssMarket(A78, "始値")</f>
        <v>1500</v>
      </c>
      <c r="E78" s="6" cm="1">
        <f t="array" ref="E78">_xll.RssMarket($A78, "前日終値")</f>
        <v>1508</v>
      </c>
      <c r="F78" s="6" cm="1">
        <f t="array" ref="F78">_xll.RssMarket($A78, "出来高")</f>
        <v>3591800</v>
      </c>
    </row>
    <row r="79" spans="1:6">
      <c r="A79" s="20">
        <v>1925</v>
      </c>
      <c r="B79" s="6" t="str" cm="1">
        <f t="array" ref="B79">_xll.RssMarket($A79, "銘柄名称")</f>
        <v>大和ハウス</v>
      </c>
      <c r="C79" s="6" cm="1">
        <f t="array" ref="C79">_xll.RssMarket(A79, "現在値")</f>
        <v>4582</v>
      </c>
      <c r="D79" s="6" cm="1">
        <f t="array" ref="D79">_xll.RssMarket(A79, "始値")</f>
        <v>4637</v>
      </c>
      <c r="E79" s="6" cm="1">
        <f t="array" ref="E79">_xll.RssMarket($A79, "前日終値")</f>
        <v>4599</v>
      </c>
      <c r="F79" s="6" cm="1">
        <f t="array" ref="F79">_xll.RssMarket($A79, "出来高")</f>
        <v>2201200</v>
      </c>
    </row>
    <row r="80" spans="1:6">
      <c r="A80" s="20">
        <v>5411</v>
      </c>
      <c r="B80" s="6" t="str" cm="1">
        <f t="array" ref="B80">_xll.RssMarket($A80, "銘柄名称")</f>
        <v>ＪＦＥホールディングス</v>
      </c>
      <c r="C80" s="6" cm="1">
        <f t="array" ref="C80">_xll.RssMarket(A80, "現在値")</f>
        <v>1697.5</v>
      </c>
      <c r="D80" s="6" cm="1">
        <f t="array" ref="D80">_xll.RssMarket(A80, "始値")</f>
        <v>1689</v>
      </c>
      <c r="E80" s="6" cm="1">
        <f t="array" ref="E80">_xll.RssMarket($A80, "前日終値")</f>
        <v>1696.5</v>
      </c>
      <c r="F80" s="6" cm="1">
        <f t="array" ref="F80">_xll.RssMarket($A80, "出来高")</f>
        <v>5284100</v>
      </c>
    </row>
    <row r="81" spans="1:6">
      <c r="A81" s="20">
        <v>7182</v>
      </c>
      <c r="B81" s="6" t="str" cm="1">
        <f t="array" ref="B81">_xll.RssMarket($A81, "銘柄名称")</f>
        <v>ゆうちょ銀行</v>
      </c>
      <c r="C81" s="6" cm="1">
        <f t="array" ref="C81">_xll.RssMarket(A81, "現在値")</f>
        <v>3141</v>
      </c>
      <c r="D81" s="6" cm="1">
        <f t="array" ref="D81">_xll.RssMarket(A81, "始値")</f>
        <v>3230</v>
      </c>
      <c r="E81" s="6" cm="1">
        <f t="array" ref="E81">_xll.RssMarket($A81, "前日終値")</f>
        <v>3258</v>
      </c>
      <c r="F81" s="6" cm="1">
        <f t="array" ref="F81">_xll.RssMarket($A81, "出来高")</f>
        <v>6727800</v>
      </c>
    </row>
    <row r="82" spans="1:6">
      <c r="A82" s="20">
        <v>1963</v>
      </c>
      <c r="B82" s="6" t="str" cm="1">
        <f t="array" ref="B82">_xll.RssMarket($A82, "銘柄名称")</f>
        <v>日揮ホールディングス</v>
      </c>
      <c r="C82" s="6" cm="1">
        <f t="array" ref="C82">_xll.RssMarket(A82, "現在値")</f>
        <v>2202</v>
      </c>
      <c r="D82" s="6" cm="1">
        <f t="array" ref="D82">_xll.RssMarket(A82, "始値")</f>
        <v>2220</v>
      </c>
      <c r="E82" s="6" cm="1">
        <f t="array" ref="E82">_xll.RssMarket($A82, "前日終値")</f>
        <v>2270</v>
      </c>
      <c r="F82" s="6" cm="1">
        <f t="array" ref="F82">_xll.RssMarket($A82, "出来高")</f>
        <v>2120800</v>
      </c>
    </row>
    <row r="83" spans="1:6">
      <c r="A83" s="20">
        <v>2914</v>
      </c>
      <c r="B83" s="6" t="str" cm="1">
        <f t="array" ref="B83">_xll.RssMarket($A83, "銘柄名称")</f>
        <v>日本たばこ産業</v>
      </c>
      <c r="C83" s="6" cm="1">
        <f t="array" ref="C83">_xll.RssMarket(A83, "現在値")</f>
        <v>6347</v>
      </c>
      <c r="D83" s="6" cm="1">
        <f t="array" ref="D83">_xll.RssMarket(A83, "始値")</f>
        <v>6249</v>
      </c>
      <c r="E83" s="6" cm="1">
        <f t="array" ref="E83">_xll.RssMarket($A83, "前日終値")</f>
        <v>6195</v>
      </c>
      <c r="F83" s="6" cm="1">
        <f t="array" ref="F83">_xll.RssMarket($A83, "出来高")</f>
        <v>6986400</v>
      </c>
    </row>
    <row r="84" spans="1:6">
      <c r="A84" s="20">
        <v>3003</v>
      </c>
      <c r="B84" s="6" t="str" cm="1">
        <f t="array" ref="B84">_xll.RssMarket($A84, "銘柄名称")</f>
        <v>ヒューリック</v>
      </c>
      <c r="C84" s="6" cm="1">
        <f t="array" ref="C84">_xll.RssMarket(A84, "現在値")</f>
        <v>1789</v>
      </c>
      <c r="D84" s="6" cm="1">
        <f t="array" ref="D84">_xll.RssMarket(A84, "始値")</f>
        <v>1808</v>
      </c>
      <c r="E84" s="6" cm="1">
        <f t="array" ref="E84">_xll.RssMarket($A84, "前日終値")</f>
        <v>1790</v>
      </c>
      <c r="F84" s="6" cm="1">
        <f t="array" ref="F84">_xll.RssMarket($A84, "出来高")</f>
        <v>2721500</v>
      </c>
    </row>
    <row r="85" spans="1:6">
      <c r="A85" s="20">
        <v>5892</v>
      </c>
      <c r="B85" s="6" t="str" cm="1">
        <f t="array" ref="B85">_xll.RssMarket($A85, "銘柄名称")</f>
        <v>ＹＵＴＯＲＩ</v>
      </c>
      <c r="C85" s="6" cm="1">
        <f t="array" ref="C85">_xll.RssMarket(A85, "現在値")</f>
        <v>2028</v>
      </c>
      <c r="D85" s="6" cm="1">
        <f t="array" ref="D85">_xll.RssMarket(A85, "始値")</f>
        <v>2060</v>
      </c>
      <c r="E85" s="6" cm="1">
        <f t="array" ref="E85">_xll.RssMarket($A85, "前日終値")</f>
        <v>2060</v>
      </c>
      <c r="F85" s="6" cm="1">
        <f t="array" ref="F85">_xll.RssMarket($A85, "出来高")</f>
        <v>106400</v>
      </c>
    </row>
    <row r="86" spans="1:6">
      <c r="A86" s="20">
        <v>6323</v>
      </c>
      <c r="B86" s="6" t="str" cm="1">
        <f t="array" ref="B86">_xll.RssMarket($A86, "銘柄名称")</f>
        <v>ローツェ</v>
      </c>
      <c r="C86" s="6" cm="1">
        <f t="array" ref="C86">_xll.RssMarket(A86, "現在値")</f>
        <v>4403</v>
      </c>
      <c r="D86" s="6" cm="1">
        <f t="array" ref="D86">_xll.RssMarket(A86, "始値")</f>
        <v>4340</v>
      </c>
      <c r="E86" s="6" cm="1">
        <f t="array" ref="E86">_xll.RssMarket($A86, "前日終値")</f>
        <v>4676</v>
      </c>
      <c r="F86" s="6" cm="1">
        <f t="array" ref="F86">_xll.RssMarket($A86, "出来高")</f>
        <v>3780800</v>
      </c>
    </row>
    <row r="87" spans="1:6">
      <c r="A87" s="20">
        <v>6501</v>
      </c>
      <c r="B87" s="6" t="str" cm="1">
        <f t="array" ref="B87">_xll.RssMarket($A87, "銘柄名称")</f>
        <v>日立</v>
      </c>
      <c r="C87" s="6" cm="1">
        <f t="array" ref="C87">_xll.RssMarket(A87, "現在値")</f>
        <v>4717</v>
      </c>
      <c r="D87" s="6" cm="1">
        <f t="array" ref="D87">_xll.RssMarket(A87, "始値")</f>
        <v>4688</v>
      </c>
      <c r="E87" s="6" cm="1">
        <f t="array" ref="E87">_xll.RssMarket($A87, "前日終値")</f>
        <v>4828</v>
      </c>
      <c r="F87" s="6" cm="1">
        <f t="array" ref="F87">_xll.RssMarket($A87, "出来高")</f>
        <v>12028800</v>
      </c>
    </row>
    <row r="88" spans="1:6">
      <c r="A88" s="20">
        <v>6134</v>
      </c>
      <c r="B88" s="6" t="str" cm="1">
        <f t="array" ref="B88">_xll.RssMarket($A88, "銘柄名称")</f>
        <v>ＦＵＪＩ</v>
      </c>
      <c r="C88" s="6" cm="1">
        <f t="array" ref="C88">_xll.RssMarket(A88, "現在値")</f>
        <v>7275</v>
      </c>
      <c r="D88" s="6" cm="1">
        <f t="array" ref="D88">_xll.RssMarket(A88, "始値")</f>
        <v>7400</v>
      </c>
      <c r="E88" s="6" cm="1">
        <f t="array" ref="E88">_xll.RssMarket($A88, "前日終値")</f>
        <v>7639</v>
      </c>
      <c r="F88" s="6" cm="1">
        <f t="array" ref="F88">_xll.RssMarket($A88, "出来高")</f>
        <v>1268300</v>
      </c>
    </row>
    <row r="89" spans="1:6">
      <c r="A89" s="20">
        <v>7746</v>
      </c>
      <c r="B89" s="6" t="str" cm="1">
        <f t="array" ref="B89">_xll.RssMarket($A89, "銘柄名称")</f>
        <v>岡本硝子</v>
      </c>
      <c r="C89" s="6" cm="1">
        <f t="array" ref="C89">_xll.RssMarket(A89, "現在値")</f>
        <v>736</v>
      </c>
      <c r="D89" s="6" cm="1">
        <f t="array" ref="D89">_xll.RssMarket(A89, "始値")</f>
        <v>772</v>
      </c>
      <c r="E89" s="6" cm="1">
        <f t="array" ref="E89">_xll.RssMarket($A89, "前日終値")</f>
        <v>781</v>
      </c>
      <c r="F89" s="6" cm="1">
        <f t="array" ref="F89">_xll.RssMarket($A89, "出来高")</f>
        <v>1000100</v>
      </c>
    </row>
    <row r="90" spans="1:6">
      <c r="A90" s="20">
        <v>3407</v>
      </c>
      <c r="B90" s="6" t="str" cm="1">
        <f t="array" ref="B90">_xll.RssMarket($A90, "銘柄名称")</f>
        <v>旭化成</v>
      </c>
      <c r="C90" s="6" cm="1">
        <f t="array" ref="C90">_xll.RssMarket(A90, "現在値")</f>
        <v>1829.5</v>
      </c>
      <c r="D90" s="6" cm="1">
        <f t="array" ref="D90">_xll.RssMarket(A90, "始値")</f>
        <v>1855.5</v>
      </c>
      <c r="E90" s="6" cm="1">
        <f t="array" ref="E90">_xll.RssMarket($A90, "前日終値")</f>
        <v>1876</v>
      </c>
      <c r="F90" s="6" cm="1">
        <f t="array" ref="F90">_xll.RssMarket($A90, "出来高")</f>
        <v>4536900</v>
      </c>
    </row>
    <row r="91" spans="1:6">
      <c r="A91" s="20">
        <v>4008</v>
      </c>
      <c r="B91" s="6" t="str" cm="1">
        <f t="array" ref="B91">_xll.RssMarket($A91, "銘柄名称")</f>
        <v>住友精化</v>
      </c>
      <c r="C91" s="6" cm="1">
        <f t="array" ref="C91">_xll.RssMarket(A91, "現在値")</f>
        <v>1268</v>
      </c>
      <c r="D91" s="6" cm="1">
        <f t="array" ref="D91">_xll.RssMarket(A91, "始値")</f>
        <v>1265</v>
      </c>
      <c r="E91" s="6" cm="1">
        <f t="array" ref="E91">_xll.RssMarket($A91, "前日終値")</f>
        <v>1288</v>
      </c>
      <c r="F91" s="6" cm="1">
        <f t="array" ref="F91">_xll.RssMarket($A91, "出来高")</f>
        <v>227200</v>
      </c>
    </row>
    <row r="92" spans="1:6">
      <c r="A92" s="20">
        <v>4062</v>
      </c>
      <c r="B92" s="6" t="str" cm="1">
        <f t="array" ref="B92">_xll.RssMarket($A92, "銘柄名称")</f>
        <v>イビデン</v>
      </c>
      <c r="C92" s="6" cm="1">
        <f t="array" ref="C92">_xll.RssMarket(A92, "現在値")</f>
        <v>15685</v>
      </c>
      <c r="D92" s="6" cm="1">
        <f t="array" ref="D92">_xll.RssMarket(A92, "始値")</f>
        <v>16605</v>
      </c>
      <c r="E92" s="6" cm="1">
        <f t="array" ref="E92">_xll.RssMarket($A92, "前日終値")</f>
        <v>17405</v>
      </c>
      <c r="F92" s="6" cm="1">
        <f t="array" ref="F92">_xll.RssMarket($A92, "出来高")</f>
        <v>12103300</v>
      </c>
    </row>
    <row r="93" spans="1:6">
      <c r="A93" s="20">
        <v>4182</v>
      </c>
      <c r="B93" s="6" t="str" cm="1">
        <f t="array" ref="B93">_xll.RssMarket($A93, "銘柄名称")</f>
        <v>三菱瓦斯化学</v>
      </c>
      <c r="C93" s="6" cm="1">
        <f t="array" ref="C93">_xll.RssMarket(A93, "現在値")</f>
        <v>4331</v>
      </c>
      <c r="D93" s="6" cm="1">
        <f t="array" ref="D93">_xll.RssMarket(A93, "始値")</f>
        <v>4460</v>
      </c>
      <c r="E93" s="6" cm="1">
        <f t="array" ref="E93">_xll.RssMarket($A93, "前日終値")</f>
        <v>4597</v>
      </c>
      <c r="F93" s="6" cm="1">
        <f t="array" ref="F93">_xll.RssMarket($A93, "出来高")</f>
        <v>1216800</v>
      </c>
    </row>
    <row r="94" spans="1:6">
      <c r="A94" s="20">
        <v>4188</v>
      </c>
      <c r="B94" s="6" t="str" cm="1">
        <f t="array" ref="B94">_xll.RssMarket($A94, "銘柄名称")</f>
        <v>三菱ケミカルグループ</v>
      </c>
      <c r="C94" s="6" cm="1">
        <f t="array" ref="C94">_xll.RssMarket(A94, "現在値")</f>
        <v>1168</v>
      </c>
      <c r="D94" s="6" cm="1">
        <f t="array" ref="D94">_xll.RssMarket(A94, "始値")</f>
        <v>1189.5</v>
      </c>
      <c r="E94" s="6" cm="1">
        <f t="array" ref="E94">_xll.RssMarket($A94, "前日終値")</f>
        <v>1202.5</v>
      </c>
      <c r="F94" s="6" cm="1">
        <f t="array" ref="F94">_xll.RssMarket($A94, "出来高")</f>
        <v>6704900</v>
      </c>
    </row>
    <row r="95" spans="1:6">
      <c r="A95" s="20">
        <v>4523</v>
      </c>
      <c r="B95" s="6" t="str" cm="1">
        <f t="array" ref="B95">_xll.RssMarket($A95, "銘柄名称")</f>
        <v>エーザイ</v>
      </c>
      <c r="C95" s="6" cm="1">
        <f t="array" ref="C95">_xll.RssMarket(A95, "現在値")</f>
        <v>4450</v>
      </c>
      <c r="D95" s="6" cm="1">
        <f t="array" ref="D95">_xll.RssMarket(A95, "始値")</f>
        <v>4400</v>
      </c>
      <c r="E95" s="6" cm="1">
        <f t="array" ref="E95">_xll.RssMarket($A95, "前日終値")</f>
        <v>4338</v>
      </c>
      <c r="F95" s="6" cm="1">
        <f t="array" ref="F95">_xll.RssMarket($A95, "出来高")</f>
        <v>1934700</v>
      </c>
    </row>
    <row r="96" spans="1:6">
      <c r="A96" s="20">
        <v>4528</v>
      </c>
      <c r="B96" s="6" t="str" cm="1">
        <f t="array" ref="B96">_xll.RssMarket($A96, "銘柄名称")</f>
        <v>小野薬品</v>
      </c>
      <c r="C96" s="6" cm="1">
        <f t="array" ref="C96">_xll.RssMarket(A96, "現在値")</f>
        <v>2425.5</v>
      </c>
      <c r="D96" s="6" cm="1">
        <f t="array" ref="D96">_xll.RssMarket(A96, "始値")</f>
        <v>2375.5</v>
      </c>
      <c r="E96" s="6" cm="1">
        <f t="array" ref="E96">_xll.RssMarket($A96, "前日終値")</f>
        <v>2346.5</v>
      </c>
      <c r="F96" s="6" cm="1">
        <f t="array" ref="F96">_xll.RssMarket($A96, "出来高")</f>
        <v>2057200</v>
      </c>
    </row>
    <row r="97" spans="1:6">
      <c r="A97" s="20">
        <v>4661</v>
      </c>
      <c r="B97" s="6" t="str" cm="1">
        <f t="array" ref="B97">_xll.RssMarket($A97, "銘柄名称")</f>
        <v>オリエンタルランド</v>
      </c>
      <c r="C97" s="6" cm="1">
        <f t="array" ref="C97">_xll.RssMarket(A97, "現在値")</f>
        <v>2729.5</v>
      </c>
      <c r="D97" s="6" cm="1">
        <f t="array" ref="D97">_xll.RssMarket(A97, "始値")</f>
        <v>2730</v>
      </c>
      <c r="E97" s="6" cm="1">
        <f t="array" ref="E97">_xll.RssMarket($A97, "前日終値")</f>
        <v>2695</v>
      </c>
      <c r="F97" s="6" cm="1">
        <f t="array" ref="F97">_xll.RssMarket($A97, "出来高")</f>
        <v>6591600</v>
      </c>
    </row>
    <row r="98" spans="1:6">
      <c r="A98" s="20">
        <v>5802</v>
      </c>
      <c r="B98" s="6" t="str" cm="1">
        <f t="array" ref="B98">_xll.RssMarket($A98, "銘柄名称")</f>
        <v>住友電工</v>
      </c>
      <c r="C98" s="6" cm="1">
        <f t="array" ref="C98">_xll.RssMarket(A98, "現在値")</f>
        <v>2249</v>
      </c>
      <c r="D98" s="6" cm="1">
        <f t="array" ref="D98">_xll.RssMarket(A98, "始値")</f>
        <v>2300</v>
      </c>
      <c r="E98" s="6" cm="1">
        <f t="array" ref="E98">_xll.RssMarket($A98, "前日終値")</f>
        <v>2397.5</v>
      </c>
      <c r="F98" s="6" cm="1">
        <f t="array" ref="F98">_xll.RssMarket($A98, "出来高")</f>
        <v>23416500</v>
      </c>
    </row>
    <row r="99" spans="1:6">
      <c r="A99" s="20">
        <v>5803</v>
      </c>
      <c r="B99" s="6" t="str" cm="1">
        <f t="array" ref="B99">_xll.RssMarket($A99, "銘柄名称")</f>
        <v>フジクラ</v>
      </c>
      <c r="C99" s="6" cm="1">
        <f t="array" ref="C99">_xll.RssMarket(A99, "現在値")</f>
        <v>4472</v>
      </c>
      <c r="D99" s="6" cm="1">
        <f t="array" ref="D99">_xll.RssMarket(A99, "始値")</f>
        <v>4561</v>
      </c>
      <c r="E99" s="6" cm="1">
        <f t="array" ref="E99">_xll.RssMarket($A99, "前日終値")</f>
        <v>4761</v>
      </c>
      <c r="F99" s="6" cm="1">
        <f t="array" ref="F99">_xll.RssMarket($A99, "出来高")</f>
        <v>47075400</v>
      </c>
    </row>
    <row r="100" spans="1:6">
      <c r="A100" s="20">
        <v>6178</v>
      </c>
      <c r="B100" s="6" t="str" cm="1">
        <f t="array" ref="B100">_xll.RssMarket($A100, "銘柄名称")</f>
        <v>日本郵政</v>
      </c>
      <c r="C100" s="6" cm="1">
        <f t="array" ref="C100">_xll.RssMarket(A100, "現在値")</f>
        <v>2329</v>
      </c>
      <c r="D100" s="6" cm="1">
        <f t="array" ref="D100">_xll.RssMarket(A100, "始値")</f>
        <v>2379</v>
      </c>
      <c r="E100" s="6" cm="1">
        <f t="array" ref="E100">_xll.RssMarket($A100, "前日終値")</f>
        <v>2388</v>
      </c>
      <c r="F100" s="6" cm="1">
        <f t="array" ref="F100">_xll.RssMarket($A100, "出来高")</f>
        <v>6553400</v>
      </c>
    </row>
    <row r="101" spans="1:6">
      <c r="A101" s="20">
        <v>6925</v>
      </c>
      <c r="B101" s="6" t="str" cm="1">
        <f t="array" ref="B101">_xll.RssMarket($A101, "銘柄名称")</f>
        <v>ウシオ電機</v>
      </c>
      <c r="C101" s="6" cm="1">
        <f t="array" ref="C101">_xll.RssMarket(A101, "現在値")</f>
        <v>3824</v>
      </c>
      <c r="D101" s="6" cm="1">
        <f t="array" ref="D101">_xll.RssMarket(A101, "始値")</f>
        <v>3931</v>
      </c>
      <c r="E101" s="6" cm="1">
        <f t="array" ref="E101">_xll.RssMarket($A101, "前日終値")</f>
        <v>4076</v>
      </c>
      <c r="F101" s="6" cm="1">
        <f t="array" ref="F101">_xll.RssMarket($A101, "出来高")</f>
        <v>416100</v>
      </c>
    </row>
    <row r="102" spans="1:6">
      <c r="A102" s="20">
        <v>7021</v>
      </c>
      <c r="B102" s="6" t="str" cm="1">
        <f t="array" ref="B102">_xll.RssMarket($A102, "銘柄名称")</f>
        <v>ニッチツ</v>
      </c>
      <c r="C102" s="6" cm="1">
        <f t="array" ref="C102">_xll.RssMarket(A102, "現在値")</f>
        <v>1868</v>
      </c>
      <c r="D102" s="6" cm="1">
        <f t="array" ref="D102">_xll.RssMarket(A102, "始値")</f>
        <v>1876</v>
      </c>
      <c r="E102" s="6" cm="1">
        <f t="array" ref="E102">_xll.RssMarket($A102, "前日終値")</f>
        <v>1878</v>
      </c>
      <c r="F102" s="6" cm="1">
        <f t="array" ref="F102">_xll.RssMarket($A102, "出来高")</f>
        <v>2800</v>
      </c>
    </row>
    <row r="103" spans="1:6">
      <c r="A103" s="20">
        <v>7729</v>
      </c>
      <c r="B103" s="6" t="str" cm="1">
        <f t="array" ref="B103">_xll.RssMarket($A103, "銘柄名称")</f>
        <v>東京精密</v>
      </c>
      <c r="C103" s="6" cm="1">
        <f t="array" ref="C103">_xll.RssMarket(A103, "現在値")</f>
        <v>17055</v>
      </c>
      <c r="D103" s="6" cm="1">
        <f t="array" ref="D103">_xll.RssMarket(A103, "始値")</f>
        <v>17910</v>
      </c>
      <c r="E103" s="6" cm="1">
        <f t="array" ref="E103">_xll.RssMarket($A103, "前日終値")</f>
        <v>18850</v>
      </c>
      <c r="F103" s="6" cm="1">
        <f t="array" ref="F103">_xll.RssMarket($A103, "出来高")</f>
        <v>660000</v>
      </c>
    </row>
    <row r="104" spans="1:6">
      <c r="A104" s="20">
        <v>8424</v>
      </c>
      <c r="B104" s="6" t="str" cm="1">
        <f t="array" ref="B104">_xll.RssMarket($A104, "銘柄名称")</f>
        <v>芙蓉総合リース</v>
      </c>
      <c r="C104" s="6" cm="1">
        <f t="array" ref="C104">_xll.RssMarket(A104, "現在値")</f>
        <v>4345</v>
      </c>
      <c r="D104" s="6" cm="1">
        <f t="array" ref="D104">_xll.RssMarket(A104, "始値")</f>
        <v>4352</v>
      </c>
      <c r="E104" s="6" cm="1">
        <f t="array" ref="E104">_xll.RssMarket($A104, "前日終値")</f>
        <v>4352</v>
      </c>
      <c r="F104" s="6" cm="1">
        <f t="array" ref="F104">_xll.RssMarket($A104, "出来高")</f>
        <v>157200</v>
      </c>
    </row>
    <row r="105" spans="1:6">
      <c r="A105" s="20">
        <v>9020</v>
      </c>
      <c r="B105" s="6" t="str" cm="1">
        <f t="array" ref="B105">_xll.RssMarket($A105, "銘柄名称")</f>
        <v>東日本旅客鉄道</v>
      </c>
      <c r="C105" s="6" cm="1">
        <f t="array" ref="C105">_xll.RssMarket(A105, "現在値")</f>
        <v>3624</v>
      </c>
      <c r="D105" s="6" cm="1">
        <f t="array" ref="D105">_xll.RssMarket(A105, "始値")</f>
        <v>3638</v>
      </c>
      <c r="E105" s="6" cm="1">
        <f t="array" ref="E105">_xll.RssMarket($A105, "前日終値")</f>
        <v>3601</v>
      </c>
      <c r="F105" s="6" cm="1">
        <f t="array" ref="F105">_xll.RssMarket($A105, "出来高")</f>
        <v>3173800</v>
      </c>
    </row>
    <row r="106" spans="1:6">
      <c r="A106" s="20">
        <v>9069</v>
      </c>
      <c r="B106" s="6" t="str" cm="1">
        <f t="array" ref="B106">_xll.RssMarket($A106, "銘柄名称")</f>
        <v>センコーグループＨＬＤＧＳ</v>
      </c>
      <c r="C106" s="6" cm="1">
        <f t="array" ref="C106">_xll.RssMarket(A106, "現在値")</f>
        <v>2195</v>
      </c>
      <c r="D106" s="6" cm="1">
        <f t="array" ref="D106">_xll.RssMarket(A106, "始値")</f>
        <v>2146</v>
      </c>
      <c r="E106" s="6" cm="1">
        <f t="array" ref="E106">_xll.RssMarket($A106, "前日終値")</f>
        <v>2121</v>
      </c>
      <c r="F106" s="6" cm="1">
        <f t="array" ref="F106">_xll.RssMarket($A106, "出来高")</f>
        <v>512900</v>
      </c>
    </row>
    <row r="107" spans="1:6">
      <c r="A107" s="20">
        <v>9227</v>
      </c>
      <c r="B107" s="6" t="str" cm="1">
        <f t="array" ref="B107">_xll.RssMarket($A107, "銘柄名称")</f>
        <v>マイクロ波化学</v>
      </c>
      <c r="C107" s="6" cm="1">
        <f t="array" ref="C107">_xll.RssMarket(A107, "現在値")</f>
        <v>769</v>
      </c>
      <c r="D107" s="6" cm="1">
        <f t="array" ref="D107">_xll.RssMarket(A107, "始値")</f>
        <v>805</v>
      </c>
      <c r="E107" s="6" cm="1">
        <f t="array" ref="E107">_xll.RssMarket($A107, "前日終値")</f>
        <v>820</v>
      </c>
      <c r="F107" s="6" cm="1">
        <f t="array" ref="F107">_xll.RssMarket($A107, "出来高")</f>
        <v>361300</v>
      </c>
    </row>
    <row r="108" spans="1:6">
      <c r="A108" s="20">
        <v>9348</v>
      </c>
      <c r="B108" s="6" t="str" cm="1">
        <f t="array" ref="B108">_xll.RssMarket($A108, "銘柄名称")</f>
        <v>ｉｓｐａｃｅ</v>
      </c>
      <c r="C108" s="6" cm="1">
        <f t="array" ref="C108">_xll.RssMarket(A108, "現在値")</f>
        <v>411</v>
      </c>
      <c r="D108" s="6" cm="1">
        <f t="array" ref="D108">_xll.RssMarket(A108, "始値")</f>
        <v>416</v>
      </c>
      <c r="E108" s="6" cm="1">
        <f t="array" ref="E108">_xll.RssMarket($A108, "前日終値")</f>
        <v>421</v>
      </c>
      <c r="F108" s="6" cm="1">
        <f t="array" ref="F108">_xll.RssMarket($A108, "出来高")</f>
        <v>2870000</v>
      </c>
    </row>
    <row r="109" spans="1:6">
      <c r="A109" s="20">
        <v>9449</v>
      </c>
      <c r="B109" s="6" t="str" cm="1">
        <f t="array" ref="B109">_xll.RssMarket($A109, "銘柄名称")</f>
        <v>ＧＭＯインターネットグループ</v>
      </c>
      <c r="C109" s="6" cm="1">
        <f t="array" ref="C109">_xll.RssMarket(A109, "現在値")</f>
        <v>4056</v>
      </c>
      <c r="D109" s="6" cm="1">
        <f t="array" ref="D109">_xll.RssMarket(A109, "始値")</f>
        <v>4035</v>
      </c>
      <c r="E109" s="6" cm="1">
        <f t="array" ref="E109">_xll.RssMarket($A109, "前日終値")</f>
        <v>4075</v>
      </c>
      <c r="F109" s="6" cm="1">
        <f t="array" ref="F109">_xll.RssMarket($A109, "出来高")</f>
        <v>409400</v>
      </c>
    </row>
    <row r="110" spans="1:6">
      <c r="A110" s="20">
        <v>9501</v>
      </c>
      <c r="B110" s="6" t="str" cm="1">
        <f t="array" ref="B110">_xll.RssMarket($A110, "銘柄名称")</f>
        <v>東京電力ＨＤ</v>
      </c>
      <c r="C110" s="6" cm="1">
        <f t="array" ref="C110">_xll.RssMarket(A110, "現在値")</f>
        <v>506.6</v>
      </c>
      <c r="D110" s="6" cm="1">
        <f t="array" ref="D110">_xll.RssMarket(A110, "始値")</f>
        <v>497</v>
      </c>
      <c r="E110" s="6" cm="1">
        <f t="array" ref="E110">_xll.RssMarket($A110, "前日終値")</f>
        <v>501.6</v>
      </c>
      <c r="F110" s="6" cm="1">
        <f t="array" ref="F110">_xll.RssMarket($A110, "出来高")</f>
        <v>42140900</v>
      </c>
    </row>
    <row r="111" spans="1:6">
      <c r="A111" s="20">
        <v>9531</v>
      </c>
      <c r="B111" s="6" t="str" cm="1">
        <f t="array" ref="B111">_xll.RssMarket($A111, "銘柄名称")</f>
        <v>東京瓦斯</v>
      </c>
      <c r="C111" s="6" cm="1">
        <f t="array" ref="C111">_xll.RssMarket(A111, "現在値")</f>
        <v>6087</v>
      </c>
      <c r="D111" s="6" cm="1">
        <f t="array" ref="D111">_xll.RssMarket(A111, "始値")</f>
        <v>6105</v>
      </c>
      <c r="E111" s="6" cm="1">
        <f t="array" ref="E111">_xll.RssMarket($A111, "前日終値")</f>
        <v>6066</v>
      </c>
      <c r="F111" s="6" cm="1">
        <f t="array" ref="F111">_xll.RssMarket($A111, "出来高")</f>
        <v>1436000</v>
      </c>
    </row>
    <row r="112" spans="1:6">
      <c r="A112" s="20">
        <v>9882</v>
      </c>
      <c r="B112" s="6" t="str" cm="1">
        <f t="array" ref="B112">_xll.RssMarket($A112, "銘柄名称")</f>
        <v>イエローハット</v>
      </c>
      <c r="C112" s="6" cm="1">
        <f t="array" ref="C112">_xll.RssMarket(A112, "現在値")</f>
        <v>1821</v>
      </c>
      <c r="D112" s="6" cm="1">
        <f t="array" ref="D112">_xll.RssMarket(A112, "始値")</f>
        <v>1831</v>
      </c>
      <c r="E112" s="6" cm="1">
        <f t="array" ref="E112">_xll.RssMarket($A112, "前日終値")</f>
        <v>1827</v>
      </c>
      <c r="F112" s="6" cm="1">
        <f t="array" ref="F112">_xll.RssMarket($A112, "出来高")</f>
        <v>185200</v>
      </c>
    </row>
    <row r="113" spans="1:6">
      <c r="A113" s="20">
        <v>5838</v>
      </c>
      <c r="B113" s="6" t="str" cm="1">
        <f t="array" ref="B113">_xll.RssMarket($A113, "銘柄名称")</f>
        <v>楽天銀行</v>
      </c>
      <c r="C113" s="6" cm="1">
        <f t="array" ref="C113">_xll.RssMarket(A113, "現在値")</f>
        <v>5221</v>
      </c>
      <c r="D113" s="6" cm="1">
        <f t="array" ref="D113">_xll.RssMarket(A113, "始値")</f>
        <v>5400</v>
      </c>
      <c r="E113" s="6" cm="1">
        <f t="array" ref="E113">_xll.RssMarket($A113, "前日終値")</f>
        <v>5553</v>
      </c>
      <c r="F113" s="6" cm="1">
        <f t="array" ref="F113">_xll.RssMarket($A113, "出来高")</f>
        <v>1095800</v>
      </c>
    </row>
    <row r="114" spans="1:6">
      <c r="A114" s="20">
        <v>5844</v>
      </c>
      <c r="B114" s="6" t="str" cm="1">
        <f t="array" ref="B114">_xll.RssMarket($A114, "銘柄名称")</f>
        <v>京都フィナンシャルＧ</v>
      </c>
      <c r="C114" s="6" cm="1">
        <f t="array" ref="C114">_xll.RssMarket(A114, "現在値")</f>
        <v>4384</v>
      </c>
      <c r="D114" s="6" cm="1">
        <f t="array" ref="D114">_xll.RssMarket(A114, "始値")</f>
        <v>4590</v>
      </c>
      <c r="E114" s="6" cm="1">
        <f t="array" ref="E114">_xll.RssMarket($A114, "前日終値")</f>
        <v>4649</v>
      </c>
      <c r="F114" s="6" cm="1">
        <f t="array" ref="F114">_xll.RssMarket($A114, "出来高")</f>
        <v>1299400</v>
      </c>
    </row>
    <row r="115" spans="1:6">
      <c r="A115" s="20">
        <v>9404</v>
      </c>
      <c r="B115" s="6" t="str" cm="1">
        <f t="array" ref="B115">_xll.RssMarket($A115, "銘柄名称")</f>
        <v>日本テレビＨＬＤＳ</v>
      </c>
      <c r="C115" s="6" cm="1">
        <f t="array" ref="C115">_xll.RssMarket(A115, "現在値")</f>
        <v>2933.5</v>
      </c>
      <c r="D115" s="6" cm="1">
        <f t="array" ref="D115">_xll.RssMarket(A115, "始値")</f>
        <v>2876</v>
      </c>
      <c r="E115" s="6" cm="1">
        <f t="array" ref="E115">_xll.RssMarket($A115, "前日終値")</f>
        <v>2876</v>
      </c>
      <c r="F115" s="6" cm="1">
        <f t="array" ref="F115">_xll.RssMarket($A115, "出来高")</f>
        <v>868700</v>
      </c>
    </row>
    <row r="116" spans="1:6">
      <c r="A116" s="20">
        <v>6744</v>
      </c>
      <c r="B116" s="6" t="str" cm="1">
        <f t="array" ref="B116">_xll.RssMarket($A116, "銘柄名称")</f>
        <v>能美防災</v>
      </c>
      <c r="C116" s="6" cm="1">
        <f t="array" ref="C116">_xll.RssMarket(A116, "現在値")</f>
        <v>4190</v>
      </c>
      <c r="D116" s="6" cm="1">
        <f t="array" ref="D116">_xll.RssMarket(A116, "始値")</f>
        <v>4240</v>
      </c>
      <c r="E116" s="6" cm="1">
        <f t="array" ref="E116">_xll.RssMarket($A116, "前日終値")</f>
        <v>4265</v>
      </c>
      <c r="F116" s="6" cm="1">
        <f t="array" ref="F116">_xll.RssMarket($A116, "出来高")</f>
        <v>89400</v>
      </c>
    </row>
    <row r="117" spans="1:6">
      <c r="A117" s="20">
        <v>7685</v>
      </c>
      <c r="B117" s="6" t="str" cm="1">
        <f t="array" ref="B117">_xll.RssMarket($A117, "銘柄名称")</f>
        <v>ＢＵＹＳＥＬＬＴＥＣＨ</v>
      </c>
      <c r="C117" s="6" cm="1">
        <f t="array" ref="C117">_xll.RssMarket(A117, "現在値")</f>
        <v>3400</v>
      </c>
      <c r="D117" s="6" cm="1">
        <f t="array" ref="D117">_xll.RssMarket(A117, "始値")</f>
        <v>3485</v>
      </c>
      <c r="E117" s="6" cm="1">
        <f t="array" ref="E117">_xll.RssMarket($A117, "前日終値")</f>
        <v>3515</v>
      </c>
      <c r="F117" s="6" cm="1">
        <f t="array" ref="F117">_xll.RssMarket($A117, "出来高")</f>
        <v>284600</v>
      </c>
    </row>
    <row r="118" spans="1:6">
      <c r="A118" s="20">
        <v>8334</v>
      </c>
      <c r="B118" s="6" t="str" cm="1">
        <f t="array" ref="B118">_xll.RssMarket($A118, "銘柄名称")</f>
        <v>群馬銀行</v>
      </c>
      <c r="C118" s="6" cm="1">
        <f t="array" ref="C118">_xll.RssMarket(A118, "現在値")</f>
        <v>2436.5</v>
      </c>
      <c r="D118" s="6" cm="1">
        <f t="array" ref="D118">_xll.RssMarket(A118, "始値")</f>
        <v>2610</v>
      </c>
      <c r="E118" s="6" cm="1">
        <f t="array" ref="E118">_xll.RssMarket($A118, "前日終値")</f>
        <v>2582.5</v>
      </c>
      <c r="F118" s="6" cm="1">
        <f t="array" ref="F118">_xll.RssMarket($A118, "出来高")</f>
        <v>1141600</v>
      </c>
    </row>
    <row r="119" spans="1:6">
      <c r="A119" s="20">
        <v>8359</v>
      </c>
      <c r="B119" s="6" t="str" cm="1">
        <f t="array" ref="B119">_xll.RssMarket($A119, "銘柄名称")</f>
        <v>八十二長野銀行</v>
      </c>
      <c r="C119" s="6" cm="1">
        <f t="array" ref="C119">_xll.RssMarket(A119, "現在値")</f>
        <v>2456.5</v>
      </c>
      <c r="D119" s="6" cm="1">
        <f t="array" ref="D119">_xll.RssMarket(A119, "始値")</f>
        <v>2607</v>
      </c>
      <c r="E119" s="6" cm="1">
        <f t="array" ref="E119">_xll.RssMarket($A119, "前日終値")</f>
        <v>2601.5</v>
      </c>
      <c r="F119" s="6" cm="1">
        <f t="array" ref="F119">_xll.RssMarket($A119, "出来高")</f>
        <v>1622800</v>
      </c>
    </row>
    <row r="120" spans="1:6">
      <c r="A120" s="20">
        <v>8801</v>
      </c>
      <c r="B120" s="6" t="str" cm="1">
        <f t="array" ref="B120">_xll.RssMarket($A120, "銘柄名称")</f>
        <v>三井不動産</v>
      </c>
      <c r="C120" s="6" cm="1">
        <f t="array" ref="C120">_xll.RssMarket(A120, "現在値")</f>
        <v>1537</v>
      </c>
      <c r="D120" s="6" cm="1">
        <f t="array" ref="D120">_xll.RssMarket(A120, "始値")</f>
        <v>1549</v>
      </c>
      <c r="E120" s="6" cm="1">
        <f t="array" ref="E120">_xll.RssMarket($A120, "前日終値")</f>
        <v>1549</v>
      </c>
      <c r="F120" s="6" cm="1">
        <f t="array" ref="F120">_xll.RssMarket($A120, "出来高")</f>
        <v>9356300</v>
      </c>
    </row>
    <row r="121" spans="1:6">
      <c r="A121" s="20">
        <v>8934</v>
      </c>
      <c r="B121" s="6" t="str" cm="1">
        <f t="array" ref="B121">_xll.RssMarket($A121, "銘柄名称")</f>
        <v>サンフロンティア不動産</v>
      </c>
      <c r="C121" s="6" cm="1">
        <f t="array" ref="C121">_xll.RssMarket(A121, "現在値")</f>
        <v>2501</v>
      </c>
      <c r="D121" s="6" cm="1">
        <f t="array" ref="D121">_xll.RssMarket(A121, "始値")</f>
        <v>2546</v>
      </c>
      <c r="E121" s="6" cm="1">
        <f t="array" ref="E121">_xll.RssMarket($A121, "前日終値")</f>
        <v>2534</v>
      </c>
      <c r="F121" s="6" cm="1">
        <f t="array" ref="F121">_xll.RssMarket($A121, "出来高")</f>
        <v>135800</v>
      </c>
    </row>
    <row r="122" spans="1:6">
      <c r="A122" s="20">
        <v>9416</v>
      </c>
      <c r="B122" s="6" t="str" cm="1">
        <f t="array" ref="B122">_xll.RssMarket($A122, "銘柄名称")</f>
        <v>ビジョン</v>
      </c>
      <c r="C122" s="6" cm="1">
        <f t="array" ref="C122">_xll.RssMarket(A122, "現在値")</f>
        <v>998</v>
      </c>
      <c r="D122" s="6" cm="1">
        <f t="array" ref="D122">_xll.RssMarket(A122, "始値")</f>
        <v>1008</v>
      </c>
      <c r="E122" s="6" cm="1">
        <f t="array" ref="E122">_xll.RssMarket($A122, "前日終値")</f>
        <v>1006</v>
      </c>
      <c r="F122" s="6" cm="1">
        <f t="array" ref="F122">_xll.RssMarket($A122, "出来高")</f>
        <v>281100</v>
      </c>
    </row>
    <row r="123" spans="1:6">
      <c r="A123" s="20">
        <v>9532</v>
      </c>
      <c r="B123" s="6" t="str" cm="1">
        <f t="array" ref="B123">_xll.RssMarket($A123, "銘柄名称")</f>
        <v>大阪瓦斯</v>
      </c>
      <c r="C123" s="6" cm="1">
        <f t="array" ref="C123">_xll.RssMarket(A123, "現在値")</f>
        <v>5367</v>
      </c>
      <c r="D123" s="6" cm="1">
        <f t="array" ref="D123">_xll.RssMarket(A123, "始値")</f>
        <v>5376</v>
      </c>
      <c r="E123" s="6" cm="1">
        <f t="array" ref="E123">_xll.RssMarket($A123, "前日終値")</f>
        <v>5371</v>
      </c>
      <c r="F123" s="6" cm="1">
        <f t="array" ref="F123">_xll.RssMarket($A123, "出来高")</f>
        <v>869200</v>
      </c>
    </row>
    <row r="124" spans="1:6">
      <c r="A124" s="20">
        <v>6330</v>
      </c>
      <c r="B124" s="6" t="str" cm="1">
        <f t="array" ref="B124">_xll.RssMarket($A124, "銘柄名称")</f>
        <v>東洋エンジニア</v>
      </c>
      <c r="C124" s="6" cm="1">
        <f t="array" ref="C124">_xll.RssMarket(A124, "現在値")</f>
        <v>1751</v>
      </c>
      <c r="D124" s="6" cm="1">
        <f t="array" ref="D124">_xll.RssMarket(A124, "始値")</f>
        <v>1845</v>
      </c>
      <c r="E124" s="6" cm="1">
        <f t="array" ref="E124">_xll.RssMarket($A124, "前日終値")</f>
        <v>1895</v>
      </c>
      <c r="F124" s="6" cm="1">
        <f t="array" ref="F124">_xll.RssMarket($A124, "出来高")</f>
        <v>2867300</v>
      </c>
    </row>
    <row r="125" spans="1:6">
      <c r="A125" s="20">
        <v>4082</v>
      </c>
      <c r="B125" s="6" t="str" cm="1">
        <f t="array" ref="B125">_xll.RssMarket($A125, "銘柄名称")</f>
        <v>第一稀元素化学工</v>
      </c>
      <c r="C125" s="6" cm="1">
        <f t="array" ref="C125">_xll.RssMarket(A125, "現在値")</f>
        <v>1730</v>
      </c>
      <c r="D125" s="6" cm="1">
        <f t="array" ref="D125">_xll.RssMarket(A125, "始値")</f>
        <v>1847</v>
      </c>
      <c r="E125" s="6" cm="1">
        <f t="array" ref="E125">_xll.RssMarket($A125, "前日終値")</f>
        <v>1873</v>
      </c>
      <c r="F125" s="6" cm="1">
        <f t="array" ref="F125">_xll.RssMarket($A125, "出来高")</f>
        <v>381600</v>
      </c>
    </row>
    <row r="126" spans="1:6">
      <c r="A126" s="20">
        <v>4519</v>
      </c>
      <c r="B126" s="6" t="str" cm="1">
        <f t="array" ref="B126">_xll.RssMarket($A126, "銘柄名称")</f>
        <v>中外製薬</v>
      </c>
      <c r="C126" s="6" cm="1">
        <f t="array" ref="C126">_xll.RssMarket(A126, "現在値")</f>
        <v>7325</v>
      </c>
      <c r="D126" s="6" cm="1">
        <f t="array" ref="D126">_xll.RssMarket(A126, "始値")</f>
        <v>7243</v>
      </c>
      <c r="E126" s="6" cm="1">
        <f t="array" ref="E126">_xll.RssMarket($A126, "前日終値")</f>
        <v>7241</v>
      </c>
      <c r="F126" s="6" cm="1">
        <f t="array" ref="F126">_xll.RssMarket($A126, "出来高")</f>
        <v>2964200</v>
      </c>
    </row>
    <row r="127" spans="1:6">
      <c r="A127" s="20">
        <v>2160</v>
      </c>
      <c r="B127" s="6" t="str" cm="1">
        <f t="array" ref="B127">_xll.RssMarket($A127, "銘柄名称")</f>
        <v>ジーエヌアイグループ</v>
      </c>
      <c r="C127" s="6" cm="1">
        <f t="array" ref="C127">_xll.RssMarket(A127, "現在値")</f>
        <v>2440</v>
      </c>
      <c r="D127" s="6" cm="1">
        <f t="array" ref="D127">_xll.RssMarket(A127, "始値")</f>
        <v>2500</v>
      </c>
      <c r="E127" s="6" cm="1">
        <f t="array" ref="E127">_xll.RssMarket($A127, "前日終値")</f>
        <v>2523</v>
      </c>
      <c r="F127" s="6" cm="1">
        <f t="array" ref="F127">_xll.RssMarket($A127, "出来高")</f>
        <v>1307000</v>
      </c>
    </row>
    <row r="128" spans="1:6">
      <c r="A128" s="20">
        <v>6227</v>
      </c>
      <c r="B128" s="6" t="str" cm="1">
        <f t="array" ref="B128">_xll.RssMarket($A128, "銘柄名称")</f>
        <v>ＡＩメカテック</v>
      </c>
      <c r="C128" s="6" cm="1">
        <f t="array" ref="C128">_xll.RssMarket(A128, "現在値")</f>
        <v>6960</v>
      </c>
      <c r="D128" s="6" cm="1">
        <f t="array" ref="D128">_xll.RssMarket(A128, "始値")</f>
        <v>6880</v>
      </c>
      <c r="E128" s="6" cm="1">
        <f t="array" ref="E128">_xll.RssMarket($A128, "前日終値")</f>
        <v>7030</v>
      </c>
      <c r="F128" s="6" cm="1">
        <f t="array" ref="F128">_xll.RssMarket($A128, "出来高")</f>
        <v>1843000</v>
      </c>
    </row>
    <row r="129" spans="1:6">
      <c r="A129" s="20">
        <v>6327</v>
      </c>
      <c r="B129" s="6" t="str" cm="1">
        <f t="array" ref="B129">_xll.RssMarket($A129, "銘柄名称")</f>
        <v>北川精機</v>
      </c>
      <c r="C129" s="6" cm="1">
        <f t="array" ref="C129">_xll.RssMarket(A129, "現在値")</f>
        <v>3910</v>
      </c>
      <c r="D129" s="6" cm="1">
        <f t="array" ref="D129">_xll.RssMarket(A129, "始値")</f>
        <v>4080</v>
      </c>
      <c r="E129" s="6" cm="1">
        <f t="array" ref="E129">_xll.RssMarket($A129, "前日終値")</f>
        <v>4570</v>
      </c>
      <c r="F129" s="6" cm="1">
        <f t="array" ref="F129">_xll.RssMarket($A129, "出来高")</f>
        <v>1170600</v>
      </c>
    </row>
    <row r="130" spans="1:6">
      <c r="A130" s="20">
        <v>3110</v>
      </c>
      <c r="B130" s="6" t="str" cm="1">
        <f t="array" ref="B130">_xll.RssMarket($A130, "銘柄名称")</f>
        <v>日東紡績</v>
      </c>
      <c r="C130" s="6" cm="1">
        <f t="array" ref="C130">_xll.RssMarket(A130, "現在値")</f>
        <v>3035</v>
      </c>
      <c r="D130" s="6" cm="1">
        <f t="array" ref="D130">_xll.RssMarket(A130, "始値")</f>
        <v>3150</v>
      </c>
      <c r="E130" s="6" cm="1">
        <f t="array" ref="E130">_xll.RssMarket($A130, "前日終値")</f>
        <v>3280</v>
      </c>
      <c r="F130" s="6" cm="1">
        <f t="array" ref="F130">_xll.RssMarket($A130, "出来高")</f>
        <v>7456500</v>
      </c>
    </row>
    <row r="131" spans="1:6">
      <c r="A131" s="20">
        <v>6232</v>
      </c>
      <c r="B131" s="6" t="str" cm="1">
        <f t="array" ref="B131">_xll.RssMarket($A131, "銘柄名称")</f>
        <v>ＡＣＳＬ</v>
      </c>
      <c r="C131" s="6" cm="1">
        <f t="array" ref="C131">_xll.RssMarket(A131, "現在値")</f>
        <v>1662</v>
      </c>
      <c r="D131" s="6" cm="1">
        <f t="array" ref="D131">_xll.RssMarket(A131, "始値")</f>
        <v>1723</v>
      </c>
      <c r="E131" s="6" cm="1">
        <f t="array" ref="E131">_xll.RssMarket($A131, "前日終値")</f>
        <v>1756</v>
      </c>
      <c r="F131" s="6" cm="1">
        <f t="array" ref="F131">_xll.RssMarket($A131, "出来高")</f>
        <v>673100</v>
      </c>
    </row>
    <row r="132" spans="1:6">
      <c r="A132" s="20">
        <v>7794</v>
      </c>
      <c r="B132" s="6" t="str" cm="1">
        <f t="array" ref="B132">_xll.RssMarket($A132, "銘柄名称")</f>
        <v>イーディーピー</v>
      </c>
      <c r="C132" s="6" cm="1">
        <f t="array" ref="C132">_xll.RssMarket(A132, "現在値")</f>
        <v>913</v>
      </c>
      <c r="D132" s="6" cm="1">
        <f t="array" ref="D132">_xll.RssMarket(A132, "始値")</f>
        <v>930</v>
      </c>
      <c r="E132" s="6" cm="1">
        <f t="array" ref="E132">_xll.RssMarket($A132, "前日終値")</f>
        <v>952</v>
      </c>
      <c r="F132" s="6" cm="1">
        <f t="array" ref="F132">_xll.RssMarket($A132, "出来高")</f>
        <v>472900</v>
      </c>
    </row>
    <row r="133" spans="1:6">
      <c r="A133" s="20">
        <v>6085</v>
      </c>
      <c r="B133" s="6" t="str" cm="1">
        <f t="array" ref="B133">_xll.RssMarket($A133, "銘柄名称")</f>
        <v>アーキテクツＳＪ</v>
      </c>
      <c r="C133" s="6" cm="1">
        <f t="array" ref="C133">_xll.RssMarket(A133, "現在値")</f>
        <v>156</v>
      </c>
      <c r="D133" s="6" cm="1">
        <f t="array" ref="D133">_xll.RssMarket(A133, "始値")</f>
        <v>167</v>
      </c>
      <c r="E133" s="6" cm="1">
        <f t="array" ref="E133">_xll.RssMarket($A133, "前日終値")</f>
        <v>167</v>
      </c>
      <c r="F133" s="6" cm="1">
        <f t="array" ref="F133">_xll.RssMarket($A133, "出来高")</f>
        <v>3927800</v>
      </c>
    </row>
    <row r="134" spans="1:6">
      <c r="A134" s="20">
        <v>3103</v>
      </c>
      <c r="B134" s="6" t="str" cm="1">
        <f t="array" ref="B134">_xll.RssMarket($A134, "銘柄名称")</f>
        <v>ユニチカ</v>
      </c>
      <c r="C134" s="6" cm="1">
        <f t="array" ref="C134">_xll.RssMarket(A134, "現在値")</f>
        <v>850</v>
      </c>
      <c r="D134" s="6" cm="1">
        <f t="array" ref="D134">_xll.RssMarket(A134, "始値")</f>
        <v>930</v>
      </c>
      <c r="E134" s="6" cm="1">
        <f t="array" ref="E134">_xll.RssMarket($A134, "前日終値")</f>
        <v>945</v>
      </c>
      <c r="F134" s="6" cm="1">
        <f t="array" ref="F134">_xll.RssMarket($A134, "出来高")</f>
        <v>3636800</v>
      </c>
    </row>
    <row r="135" spans="1:6">
      <c r="A135" s="20">
        <v>4422</v>
      </c>
      <c r="B135" s="6" t="str" cm="1">
        <f t="array" ref="B135">_xll.RssMarket($A135, "銘柄名称")</f>
        <v>ＶＡＬＵＥＮＥＸ</v>
      </c>
      <c r="C135" s="6" cm="1">
        <f t="array" ref="C135">_xll.RssMarket(A135, "現在値")</f>
        <v>517</v>
      </c>
      <c r="D135" s="6" cm="1">
        <f t="array" ref="D135">_xll.RssMarket(A135, "始値")</f>
        <v>551</v>
      </c>
      <c r="E135" s="6" cm="1">
        <f t="array" ref="E135">_xll.RssMarket($A135, "前日終値")</f>
        <v>559</v>
      </c>
      <c r="F135" s="6" cm="1">
        <f t="array" ref="F135">_xll.RssMarket($A135, "出来高")</f>
        <v>105900</v>
      </c>
    </row>
    <row r="136" spans="1:6">
      <c r="A136" s="20">
        <v>6740</v>
      </c>
      <c r="B136" s="6" t="str" cm="1">
        <f t="array" ref="B136">_xll.RssMarket($A136, "銘柄名称")</f>
        <v>ジャパンディスプレイ</v>
      </c>
      <c r="C136" s="6" cm="1">
        <f t="array" ref="C136">_xll.RssMarket(A136, "現在値")</f>
        <v>46</v>
      </c>
      <c r="D136" s="6" cm="1">
        <f t="array" ref="D136">_xll.RssMarket(A136, "始値")</f>
        <v>48</v>
      </c>
      <c r="E136" s="6" cm="1">
        <f t="array" ref="E136">_xll.RssMarket($A136, "前日終値")</f>
        <v>49</v>
      </c>
      <c r="F136" s="6" cm="1">
        <f t="array" ref="F136">_xll.RssMarket($A136, "出来高")</f>
        <v>33377400</v>
      </c>
    </row>
    <row r="137" spans="1:6">
      <c r="A137" s="20">
        <v>6613</v>
      </c>
      <c r="B137" s="6" t="str" cm="1">
        <f t="array" ref="B137">_xll.RssMarket($A137, "銘柄名称")</f>
        <v>ＱＤレーザ</v>
      </c>
      <c r="C137" s="6" cm="1">
        <f t="array" ref="C137">_xll.RssMarket(A137, "現在値")</f>
        <v>1766</v>
      </c>
      <c r="D137" s="6" cm="1">
        <f t="array" ref="D137">_xll.RssMarket(A137, "始値")</f>
        <v>1620</v>
      </c>
      <c r="E137" s="6" cm="1">
        <f t="array" ref="E137">_xll.RssMarket($A137, "前日終値")</f>
        <v>1940</v>
      </c>
      <c r="F137" s="6" cm="1">
        <f t="array" ref="F137">_xll.RssMarket($A137, "出来高")</f>
        <v>6741400</v>
      </c>
    </row>
    <row r="138" spans="1:6">
      <c r="A138" s="20" t="s">
        <v>41</v>
      </c>
      <c r="B138" s="6" t="str" cm="1">
        <f t="array" ref="B138">_xll.RssMarket($A138, "銘柄名称")</f>
        <v>第一三共</v>
      </c>
      <c r="C138" s="6" cm="1">
        <f t="array" ref="C138">_xll.RssMarket(A138, "現在値")</f>
        <v>2791</v>
      </c>
      <c r="D138" s="6" cm="1">
        <f t="array" ref="D138">_xll.RssMarket(A138, "始値")</f>
        <v>2755</v>
      </c>
      <c r="E138" s="6" cm="1">
        <f t="array" ref="E138">_xll.RssMarket($A138, "前日終値")</f>
        <v>2746.5</v>
      </c>
      <c r="F138" s="6" cm="1">
        <f t="array" ref="F138">_xll.RssMarket($A138, "出来高")</f>
        <v>7631200</v>
      </c>
    </row>
    <row r="139" spans="1:6">
      <c r="A139" s="20">
        <v>6522</v>
      </c>
      <c r="B139" s="6" t="str" cm="1">
        <f t="array" ref="B139">_xll.RssMarket($A139, "銘柄名称")</f>
        <v>アスタリスク</v>
      </c>
      <c r="C139" s="6" cm="1">
        <f t="array" ref="C139">_xll.RssMarket(A139, "現在値")</f>
        <v>1308</v>
      </c>
      <c r="D139" s="6" cm="1">
        <f t="array" ref="D139">_xll.RssMarket(A139, "始値")</f>
        <v>1409</v>
      </c>
      <c r="E139" s="6" cm="1">
        <f t="array" ref="E139">_xll.RssMarket($A139, "前日終値")</f>
        <v>1499</v>
      </c>
      <c r="F139" s="6" cm="1">
        <f t="array" ref="F139">_xll.RssMarket($A139, "出来高")</f>
        <v>1174100</v>
      </c>
    </row>
    <row r="140" spans="1:6">
      <c r="A140" s="20">
        <v>6777</v>
      </c>
      <c r="B140" s="6" t="str" cm="1">
        <f t="array" ref="B140">_xll.RssMarket($A140, "銘柄名称")</f>
        <v>ＳＡＮＴＥＣＨＯＬＤＩＮＧＳ</v>
      </c>
      <c r="C140" s="6" cm="1">
        <f t="array" ref="C140">_xll.RssMarket(A140, "現在値")</f>
        <v>18630</v>
      </c>
      <c r="D140" s="6" cm="1">
        <f t="array" ref="D140">_xll.RssMarket(A140, "始値")</f>
        <v>19620</v>
      </c>
      <c r="E140" s="6" cm="1">
        <f t="array" ref="E140">_xll.RssMarket($A140, "前日終値")</f>
        <v>20620</v>
      </c>
      <c r="F140" s="6" cm="1">
        <f t="array" ref="F140">_xll.RssMarket($A140, "出来高")</f>
        <v>175500</v>
      </c>
    </row>
    <row r="141" spans="1:6">
      <c r="A141" s="20">
        <v>6787</v>
      </c>
      <c r="B141" s="6" t="str" cm="1">
        <f t="array" ref="B141">_xll.RssMarket($A141, "銘柄名称")</f>
        <v>メイコー</v>
      </c>
      <c r="C141" s="6" cm="1">
        <f t="array" ref="C141">_xll.RssMarket(A141, "現在値")</f>
        <v>22630</v>
      </c>
      <c r="D141" s="6" cm="1">
        <f t="array" ref="D141">_xll.RssMarket(A141, "始値")</f>
        <v>23810</v>
      </c>
      <c r="E141" s="6" cm="1">
        <f t="array" ref="E141">_xll.RssMarket($A141, "前日終値")</f>
        <v>24800</v>
      </c>
      <c r="F141" s="6" cm="1">
        <f t="array" ref="F141">_xll.RssMarket($A141, "出来高")</f>
        <v>588700</v>
      </c>
    </row>
    <row r="142" spans="1:6">
      <c r="A142" s="20">
        <v>4888</v>
      </c>
      <c r="B142" s="6" t="str" cm="1">
        <f t="array" ref="B142">_xll.RssMarket($A142, "銘柄名称")</f>
        <v>ステラファーマ</v>
      </c>
      <c r="C142" s="6" cm="1">
        <f t="array" ref="C142">_xll.RssMarket(A142, "現在値")</f>
        <v>305</v>
      </c>
      <c r="D142" s="6" cm="1">
        <f t="array" ref="D142">_xll.RssMarket(A142, "始値")</f>
        <v>312</v>
      </c>
      <c r="E142" s="6" cm="1">
        <f t="array" ref="E142">_xll.RssMarket($A142, "前日終値")</f>
        <v>319</v>
      </c>
      <c r="F142" s="6" cm="1">
        <f t="array" ref="F142">_xll.RssMarket($A142, "出来高")</f>
        <v>566600</v>
      </c>
    </row>
    <row r="143" spans="1:6">
      <c r="A143" s="20">
        <v>6387</v>
      </c>
      <c r="B143" s="6" t="str" cm="1">
        <f t="array" ref="B143">_xll.RssMarket($A143, "銘柄名称")</f>
        <v>サムコ</v>
      </c>
      <c r="C143" s="6" cm="1">
        <f t="array" ref="C143">_xll.RssMarket(A143, "現在値")</f>
        <v>9990</v>
      </c>
      <c r="D143" s="6" cm="1">
        <f t="array" ref="D143">_xll.RssMarket(A143, "始値")</f>
        <v>10560</v>
      </c>
      <c r="E143" s="6" cm="1">
        <f t="array" ref="E143">_xll.RssMarket($A143, "前日終値")</f>
        <v>11380</v>
      </c>
      <c r="F143" s="6" cm="1">
        <f t="array" ref="F143">_xll.RssMarket($A143, "出来高")</f>
        <v>133200</v>
      </c>
    </row>
    <row r="144" spans="1:6">
      <c r="A144" s="20">
        <v>6838</v>
      </c>
      <c r="B144" s="6" t="str" cm="1">
        <f t="array" ref="B144">_xll.RssMarket($A144, "銘柄名称")</f>
        <v>多摩川ホールディングス</v>
      </c>
      <c r="C144" s="6" cm="1">
        <f t="array" ref="C144">_xll.RssMarket(A144, "現在値")</f>
        <v>1344</v>
      </c>
      <c r="D144" s="6" cm="1">
        <f t="array" ref="D144">_xll.RssMarket(A144, "始値")</f>
        <v>1431</v>
      </c>
      <c r="E144" s="6" cm="1">
        <f t="array" ref="E144">_xll.RssMarket($A144, "前日終値")</f>
        <v>1437</v>
      </c>
      <c r="F144" s="6" cm="1">
        <f t="array" ref="F144">_xll.RssMarket($A144, "出来高")</f>
        <v>446100</v>
      </c>
    </row>
    <row r="145" spans="1:6">
      <c r="A145" s="20">
        <v>7375</v>
      </c>
      <c r="B145" s="6" t="str" cm="1">
        <f t="array" ref="B145">_xll.RssMarket($A145, "銘柄名称")</f>
        <v>リファインバースグループ</v>
      </c>
      <c r="C145" s="6" cm="1">
        <f t="array" ref="C145">_xll.RssMarket(A145, "現在値")</f>
        <v>1186</v>
      </c>
      <c r="D145" s="6" cm="1">
        <f t="array" ref="D145">_xll.RssMarket(A145, "始値")</f>
        <v>1263</v>
      </c>
      <c r="E145" s="6" cm="1">
        <f t="array" ref="E145">_xll.RssMarket($A145, "前日終値")</f>
        <v>1271</v>
      </c>
      <c r="F145" s="6" cm="1">
        <f t="array" ref="F145">_xll.RssMarket($A145, "出来高")</f>
        <v>73600</v>
      </c>
    </row>
    <row r="146" spans="1:6">
      <c r="A146" s="20">
        <v>4307</v>
      </c>
      <c r="B146" s="6" t="str" cm="1">
        <f t="array" ref="B146">_xll.RssMarket($A146, "銘柄名称")</f>
        <v>野村総合研究所</v>
      </c>
      <c r="C146" s="6" cm="1">
        <f t="array" ref="C146">_xll.RssMarket(A146, "現在値")</f>
        <v>5076</v>
      </c>
      <c r="D146" s="6" cm="1">
        <f t="array" ref="D146">_xll.RssMarket(A146, "始値")</f>
        <v>5140</v>
      </c>
      <c r="E146" s="6" cm="1">
        <f t="array" ref="E146">_xll.RssMarket($A146, "前日終値")</f>
        <v>5100</v>
      </c>
      <c r="F146" s="6" cm="1">
        <f t="array" ref="F146">_xll.RssMarket($A146, "出来高")</f>
        <v>3134600</v>
      </c>
    </row>
    <row r="147" spans="1:6">
      <c r="A147" s="20">
        <v>6516</v>
      </c>
      <c r="B147" s="6" t="str" cm="1">
        <f t="array" ref="B147">_xll.RssMarket($A147, "銘柄名称")</f>
        <v>山洋電気</v>
      </c>
      <c r="C147" s="6" cm="1">
        <f t="array" ref="C147">_xll.RssMarket(A147, "現在値")</f>
        <v>5450</v>
      </c>
      <c r="D147" s="6" cm="1">
        <f t="array" ref="D147">_xll.RssMarket(A147, "始値")</f>
        <v>5580</v>
      </c>
      <c r="E147" s="6" cm="1">
        <f t="array" ref="E147">_xll.RssMarket($A147, "前日終値")</f>
        <v>5780</v>
      </c>
      <c r="F147" s="6" cm="1">
        <f t="array" ref="F147">_xll.RssMarket($A147, "出来高")</f>
        <v>159100</v>
      </c>
    </row>
    <row r="148" spans="1:6">
      <c r="A148" s="20">
        <v>7381</v>
      </c>
      <c r="B148" s="6" t="str" cm="1">
        <f t="array" ref="B148">_xll.RssMarket($A148, "銘柄名称")</f>
        <v>ＣＣＩグループ</v>
      </c>
      <c r="C148" s="6" cm="1">
        <f t="array" ref="C148">_xll.RssMarket(A148, "現在値")</f>
        <v>1072</v>
      </c>
      <c r="D148" s="6" cm="1">
        <f t="array" ref="D148">_xll.RssMarket(A148, "始値")</f>
        <v>1146</v>
      </c>
      <c r="E148" s="6" cm="1">
        <f t="array" ref="E148">_xll.RssMarket($A148, "前日終値")</f>
        <v>1145</v>
      </c>
      <c r="F148" s="6" cm="1">
        <f t="array" ref="F148">_xll.RssMarket($A148, "出来高")</f>
        <v>932600</v>
      </c>
    </row>
    <row r="149" spans="1:6">
      <c r="A149" s="20">
        <v>4417</v>
      </c>
      <c r="B149" s="6" t="str" cm="1">
        <f t="array" ref="B149">_xll.RssMarket($A149, "銘柄名称")</f>
        <v>グローバルセキュ</v>
      </c>
      <c r="C149" s="6" cm="1">
        <f t="array" ref="C149">_xll.RssMarket(A149, "現在値")</f>
        <v>4360</v>
      </c>
      <c r="D149" s="6" cm="1">
        <f t="array" ref="D149">_xll.RssMarket(A149, "始値")</f>
        <v>4490</v>
      </c>
      <c r="E149" s="6" cm="1">
        <f t="array" ref="E149">_xll.RssMarket($A149, "前日終値")</f>
        <v>4425</v>
      </c>
      <c r="F149" s="6" cm="1">
        <f t="array" ref="F149">_xll.RssMarket($A149, "出来高")</f>
        <v>117500</v>
      </c>
    </row>
    <row r="150" spans="1:6">
      <c r="A150" s="20">
        <v>6981</v>
      </c>
      <c r="B150" s="6" t="str" cm="1">
        <f t="array" ref="B150">_xll.RssMarket($A150, "銘柄名称")</f>
        <v>村田製作所</v>
      </c>
      <c r="C150" s="6" cm="1">
        <f t="array" ref="C150">_xll.RssMarket(A150, "現在値")</f>
        <v>7632</v>
      </c>
      <c r="D150" s="6" cm="1">
        <f t="array" ref="D150">_xll.RssMarket(A150, "始値")</f>
        <v>7812</v>
      </c>
      <c r="E150" s="6" cm="1">
        <f t="array" ref="E150">_xll.RssMarket($A150, "前日終値")</f>
        <v>8400</v>
      </c>
      <c r="F150" s="6" cm="1">
        <f t="array" ref="F150">_xll.RssMarket($A150, "出来高")</f>
        <v>43867400</v>
      </c>
    </row>
    <row r="151" spans="1:6">
      <c r="A151" s="20">
        <v>6754</v>
      </c>
      <c r="B151" s="6" t="str" cm="1">
        <f t="array" ref="B151">_xll.RssMarket($A151, "銘柄名称")</f>
        <v>アンリツ</v>
      </c>
      <c r="C151" s="6" cm="1">
        <f t="array" ref="C151">_xll.RssMarket(A151, "現在値")</f>
        <v>3654</v>
      </c>
      <c r="D151" s="6" cm="1">
        <f t="array" ref="D151">_xll.RssMarket(A151, "始値")</f>
        <v>3798</v>
      </c>
      <c r="E151" s="6" cm="1">
        <f t="array" ref="E151">_xll.RssMarket($A151, "前日終値")</f>
        <v>3922</v>
      </c>
      <c r="F151" s="6" cm="1">
        <f t="array" ref="F151">_xll.RssMarket($A151, "出来高")</f>
        <v>1832400</v>
      </c>
    </row>
    <row r="152" spans="1:6">
      <c r="A152" s="20">
        <v>4088</v>
      </c>
      <c r="B152" s="6" t="str" cm="1">
        <f t="array" ref="B152">_xll.RssMarket($A152, "銘柄名称")</f>
        <v>エア・ウォーター</v>
      </c>
      <c r="C152" s="6" cm="1">
        <f t="array" ref="C152">_xll.RssMarket(A152, "現在値")</f>
        <v>2527</v>
      </c>
      <c r="D152" s="6" cm="1">
        <f t="array" ref="D152">_xll.RssMarket(A152, "始値")</f>
        <v>2525</v>
      </c>
      <c r="E152" s="6" cm="1">
        <f t="array" ref="E152">_xll.RssMarket($A152, "前日終値")</f>
        <v>2530</v>
      </c>
      <c r="F152" s="6" cm="1">
        <f t="array" ref="F152">_xll.RssMarket($A152, "出来高")</f>
        <v>896400</v>
      </c>
    </row>
    <row r="153" spans="1:6">
      <c r="A153" s="20">
        <v>4091</v>
      </c>
      <c r="B153" s="6" t="str" cm="1">
        <f t="array" ref="B153">_xll.RssMarket($A153, "銘柄名称")</f>
        <v>日本酸素ＨＬＤＧＳ</v>
      </c>
      <c r="C153" s="6" cm="1">
        <f t="array" ref="C153">_xll.RssMarket(A153, "現在値")</f>
        <v>6010</v>
      </c>
      <c r="D153" s="6" cm="1">
        <f t="array" ref="D153">_xll.RssMarket(A153, "始値")</f>
        <v>6115</v>
      </c>
      <c r="E153" s="6" cm="1">
        <f t="array" ref="E153">_xll.RssMarket($A153, "前日終値")</f>
        <v>6031</v>
      </c>
      <c r="F153" s="6" cm="1">
        <f t="array" ref="F153">_xll.RssMarket($A153, "出来高")</f>
        <v>518700</v>
      </c>
    </row>
    <row r="154" spans="1:6">
      <c r="A154" s="20">
        <v>6857</v>
      </c>
      <c r="B154" s="6" t="str" cm="1">
        <f t="array" ref="B154">_xll.RssMarket($A154, "銘柄名称")</f>
        <v>アドバンテスト</v>
      </c>
      <c r="C154" s="6" cm="1">
        <f t="array" ref="C154">_xll.RssMarket(A154, "現在値")</f>
        <v>27505</v>
      </c>
      <c r="D154" s="6" cm="1">
        <f t="array" ref="D154">_xll.RssMarket(A154, "始値")</f>
        <v>28140</v>
      </c>
      <c r="E154" s="6" cm="1">
        <f t="array" ref="E154">_xll.RssMarket($A154, "前日終値")</f>
        <v>29640</v>
      </c>
      <c r="F154" s="6" cm="1">
        <f t="array" ref="F154">_xll.RssMarket($A154, "出来高")</f>
        <v>13442000</v>
      </c>
    </row>
    <row r="155" spans="1:6">
      <c r="A155" s="20">
        <v>3891</v>
      </c>
      <c r="B155" s="6" t="str" cm="1">
        <f t="array" ref="B155">_xll.RssMarket($A155, "銘柄名称")</f>
        <v>ニッポン高度紙工業</v>
      </c>
      <c r="C155" s="6" cm="1">
        <f t="array" ref="C155">_xll.RssMarket(A155, "現在値")</f>
        <v>6950</v>
      </c>
      <c r="D155" s="6" cm="1">
        <f t="array" ref="D155">_xll.RssMarket(A155, "始値")</f>
        <v>7120</v>
      </c>
      <c r="E155" s="6" cm="1">
        <f t="array" ref="E155">_xll.RssMarket($A155, "前日終値")</f>
        <v>7560</v>
      </c>
      <c r="F155" s="6" cm="1">
        <f t="array" ref="F155">_xll.RssMarket($A155, "出来高")</f>
        <v>187300</v>
      </c>
    </row>
    <row r="156" spans="1:6">
      <c r="A156" s="20">
        <v>4373</v>
      </c>
      <c r="B156" s="6" t="str" cm="1">
        <f t="array" ref="B156">_xll.RssMarket($A156, "銘柄名称")</f>
        <v>シンプレクスＨＤ</v>
      </c>
      <c r="C156" s="6" cm="1">
        <f t="array" ref="C156">_xll.RssMarket(A156, "現在値")</f>
        <v>1074</v>
      </c>
      <c r="D156" s="6" cm="1">
        <f t="array" ref="D156">_xll.RssMarket(A156, "始値")</f>
        <v>1058</v>
      </c>
      <c r="E156" s="6" cm="1">
        <f t="array" ref="E156">_xll.RssMarket($A156, "前日終値")</f>
        <v>1065</v>
      </c>
      <c r="F156" s="6" cm="1">
        <f t="array" ref="F156">_xll.RssMarket($A156, "出来高")</f>
        <v>1410100</v>
      </c>
    </row>
    <row r="157" spans="1:6">
      <c r="A157" s="20">
        <v>8892</v>
      </c>
      <c r="B157" s="6" t="str" cm="1">
        <f t="array" ref="B157">_xll.RssMarket($A157, "銘柄名称")</f>
        <v>エスコン</v>
      </c>
      <c r="C157" s="6" cm="1">
        <f t="array" ref="C157">_xll.RssMarket(A157, "現在値")</f>
        <v>1099</v>
      </c>
      <c r="D157" s="6" cm="1">
        <f t="array" ref="D157">_xll.RssMarket(A157, "始値")</f>
        <v>1114</v>
      </c>
      <c r="E157" s="6" cm="1">
        <f t="array" ref="E157">_xll.RssMarket($A157, "前日終値")</f>
        <v>1109</v>
      </c>
      <c r="F157" s="6" cm="1">
        <f t="array" ref="F157">_xll.RssMarket($A157, "出来高")</f>
        <v>151400</v>
      </c>
    </row>
    <row r="158" spans="1:6">
      <c r="A158" s="20">
        <v>9687</v>
      </c>
      <c r="B158" s="6" t="str" cm="1">
        <f t="array" ref="B158">_xll.RssMarket($A158, "銘柄名称")</f>
        <v>ＫＳＫ</v>
      </c>
      <c r="C158" s="6" cm="1">
        <f t="array" ref="C158">_xll.RssMarket(A158, "現在値")</f>
        <v>4355</v>
      </c>
      <c r="D158" s="6" cm="1">
        <f t="array" ref="D158">_xll.RssMarket(A158, "始値")</f>
        <v>4400</v>
      </c>
      <c r="E158" s="6" cm="1">
        <f t="array" ref="E158">_xll.RssMarket($A158, "前日終値")</f>
        <v>4380</v>
      </c>
      <c r="F158" s="6" cm="1">
        <f t="array" ref="F158">_xll.RssMarket($A158, "出来高")</f>
        <v>3400</v>
      </c>
    </row>
    <row r="159" spans="1:6">
      <c r="A159" s="20">
        <v>1930</v>
      </c>
      <c r="B159" s="6" t="str" cm="1">
        <f t="array" ref="B159">_xll.RssMarket($A159, "銘柄名称")</f>
        <v>北陸電気工事</v>
      </c>
      <c r="C159" s="6" cm="1">
        <f t="array" ref="C159">_xll.RssMarket(A159, "現在値")</f>
        <v>1567</v>
      </c>
      <c r="D159" s="6" cm="1">
        <f t="array" ref="D159">_xll.RssMarket(A159, "始値")</f>
        <v>1598</v>
      </c>
      <c r="E159" s="6" cm="1">
        <f t="array" ref="E159">_xll.RssMarket($A159, "前日終値")</f>
        <v>1616</v>
      </c>
      <c r="F159" s="6" cm="1">
        <f t="array" ref="F159">_xll.RssMarket($A159, "出来高")</f>
        <v>86700</v>
      </c>
    </row>
    <row r="160" spans="1:6">
      <c r="A160" s="20">
        <v>8704</v>
      </c>
      <c r="B160" s="6" t="str" cm="1">
        <f t="array" ref="B160">_xll.RssMarket($A160, "銘柄名称")</f>
        <v>トレイダーズＨＬＤＧＳ</v>
      </c>
      <c r="C160" s="6" cm="1">
        <f t="array" ref="C160">_xll.RssMarket(A160, "現在値")</f>
        <v>1242</v>
      </c>
      <c r="D160" s="6" cm="1">
        <f t="array" ref="D160">_xll.RssMarket(A160, "始値")</f>
        <v>1276</v>
      </c>
      <c r="E160" s="6" cm="1">
        <f t="array" ref="E160">_xll.RssMarket($A160, "前日終値")</f>
        <v>1294</v>
      </c>
      <c r="F160" s="6" cm="1">
        <f t="array" ref="F160">_xll.RssMarket($A160, "出来高")</f>
        <v>151900</v>
      </c>
    </row>
    <row r="161" spans="1:6">
      <c r="A161" s="20">
        <v>4733</v>
      </c>
      <c r="B161" s="6" t="str" cm="1">
        <f t="array" ref="B161">_xll.RssMarket($A161, "銘柄名称")</f>
        <v>オービックビジネスＣ</v>
      </c>
      <c r="C161" s="6" cm="1">
        <f t="array" ref="C161">_xll.RssMarket(A161, "現在値")</f>
        <v>6620</v>
      </c>
      <c r="D161" s="6" cm="1">
        <f t="array" ref="D161">_xll.RssMarket(A161, "始値")</f>
        <v>6570</v>
      </c>
      <c r="E161" s="6" cm="1">
        <f t="array" ref="E161">_xll.RssMarket($A161, "前日終値")</f>
        <v>6570</v>
      </c>
      <c r="F161" s="6" cm="1">
        <f t="array" ref="F161">_xll.RssMarket($A161, "出来高")</f>
        <v>160500</v>
      </c>
    </row>
    <row r="162" spans="1:6">
      <c r="A162" s="20">
        <v>9733</v>
      </c>
      <c r="B162" s="6" t="str" cm="1">
        <f t="array" ref="B162">_xll.RssMarket($A162, "銘柄名称")</f>
        <v>ナガセ</v>
      </c>
      <c r="C162" s="6" cm="1">
        <f t="array" ref="C162">_xll.RssMarket(A162, "現在値")</f>
        <v>2329</v>
      </c>
      <c r="D162" s="6" cm="1">
        <f t="array" ref="D162">_xll.RssMarket(A162, "始値")</f>
        <v>2343</v>
      </c>
      <c r="E162" s="6" cm="1">
        <f t="array" ref="E162">_xll.RssMarket($A162, "前日終値")</f>
        <v>2342</v>
      </c>
      <c r="F162" s="6" cm="1">
        <f t="array" ref="F162">_xll.RssMarket($A162, "出来高")</f>
        <v>20700</v>
      </c>
    </row>
    <row r="163" spans="1:6">
      <c r="A163" s="20">
        <v>9551</v>
      </c>
      <c r="B163" s="6" t="str" cm="1">
        <f t="array" ref="B163">_xll.RssMarket($A163, "銘柄名称")</f>
        <v>メタウォーター</v>
      </c>
      <c r="C163" s="6" cm="1">
        <f t="array" ref="C163">_xll.RssMarket(A163, "現在値")</f>
        <v>3120</v>
      </c>
      <c r="D163" s="6" cm="1">
        <f t="array" ref="D163">_xll.RssMarket(A163, "始値")</f>
        <v>3150</v>
      </c>
      <c r="E163" s="6" cm="1">
        <f t="array" ref="E163">_xll.RssMarket($A163, "前日終値")</f>
        <v>3200</v>
      </c>
      <c r="F163" s="6" cm="1">
        <f t="array" ref="F163">_xll.RssMarket($A163, "出来高")</f>
        <v>158900</v>
      </c>
    </row>
    <row r="164" spans="1:6">
      <c r="A164" s="20">
        <v>2359</v>
      </c>
      <c r="B164" s="6" t="str" cm="1">
        <f t="array" ref="B164">_xll.RssMarket($A164, "銘柄名称")</f>
        <v>コア</v>
      </c>
      <c r="C164" s="6" cm="1">
        <f t="array" ref="C164">_xll.RssMarket(A164, "現在値")</f>
        <v>1980</v>
      </c>
      <c r="D164" s="6" cm="1">
        <f t="array" ref="D164">_xll.RssMarket(A164, "始値")</f>
        <v>1996</v>
      </c>
      <c r="E164" s="6" cm="1">
        <f t="array" ref="E164">_xll.RssMarket($A164, "前日終値")</f>
        <v>1990</v>
      </c>
      <c r="F164" s="6" cm="1">
        <f t="array" ref="F164">_xll.RssMarket($A164, "出来高")</f>
        <v>14300</v>
      </c>
    </row>
    <row r="165" spans="1:6">
      <c r="A165" s="20">
        <v>8103</v>
      </c>
      <c r="B165" s="6" t="str" cm="1">
        <f t="array" ref="B165">_xll.RssMarket($A165, "銘柄名称")</f>
        <v>明和産業</v>
      </c>
      <c r="C165" s="6" cm="1">
        <f t="array" ref="C165">_xll.RssMarket(A165, "現在値")</f>
        <v>895</v>
      </c>
      <c r="D165" s="6" cm="1">
        <f t="array" ref="D165">_xll.RssMarket(A165, "始値")</f>
        <v>904</v>
      </c>
      <c r="E165" s="6" cm="1">
        <f t="array" ref="E165">_xll.RssMarket($A165, "前日終値")</f>
        <v>904</v>
      </c>
      <c r="F165" s="6" cm="1">
        <f t="array" ref="F165">_xll.RssMarket($A165, "出来高")</f>
        <v>212100</v>
      </c>
    </row>
    <row r="166" spans="1:6">
      <c r="A166" s="20">
        <v>4709</v>
      </c>
      <c r="B166" s="6" t="str" cm="1">
        <f t="array" ref="B166">_xll.RssMarket($A166, "銘柄名称")</f>
        <v>ＩＤホールディングス</v>
      </c>
      <c r="C166" s="6" cm="1">
        <f t="array" ref="C166">_xll.RssMarket(A166, "現在値")</f>
        <v>1115</v>
      </c>
      <c r="D166" s="6" cm="1">
        <f t="array" ref="D166">_xll.RssMarket(A166, "始値")</f>
        <v>1115</v>
      </c>
      <c r="E166" s="6" cm="1">
        <f t="array" ref="E166">_xll.RssMarket($A166, "前日終値")</f>
        <v>1119</v>
      </c>
      <c r="F166" s="6" cm="1">
        <f t="array" ref="F166">_xll.RssMarket($A166, "出来高")</f>
        <v>54000</v>
      </c>
    </row>
    <row r="167" spans="1:6">
      <c r="A167" s="20">
        <v>7981</v>
      </c>
      <c r="B167" s="6" t="str" cm="1">
        <f t="array" ref="B167">_xll.RssMarket($A167, "銘柄名称")</f>
        <v>タカラスタンダ－ド</v>
      </c>
      <c r="C167" s="6" cm="1">
        <f t="array" ref="C167">_xll.RssMarket(A167, "現在値")</f>
        <v>3055</v>
      </c>
      <c r="D167" s="6" cm="1">
        <f t="array" ref="D167">_xll.RssMarket(A167, "始値")</f>
        <v>3090</v>
      </c>
      <c r="E167" s="6" cm="1">
        <f t="array" ref="E167">_xll.RssMarket($A167, "前日終値")</f>
        <v>3115</v>
      </c>
      <c r="F167" s="6" cm="1">
        <f t="array" ref="F167">_xll.RssMarket($A167, "出来高")</f>
        <v>115800</v>
      </c>
    </row>
    <row r="168" spans="1:6">
      <c r="A168" s="20">
        <v>8303</v>
      </c>
      <c r="B168" s="6" t="str" cm="1">
        <f t="array" ref="B168">_xll.RssMarket($A168, "銘柄名称")</f>
        <v>ＳＢＩ新生銀行</v>
      </c>
      <c r="C168" s="6" cm="1">
        <f t="array" ref="C168">_xll.RssMarket(A168, "現在値")</f>
        <v>1408.5</v>
      </c>
      <c r="D168" s="6" cm="1">
        <f t="array" ref="D168">_xll.RssMarket(A168, "始値")</f>
        <v>1451</v>
      </c>
      <c r="E168" s="6" cm="1">
        <f t="array" ref="E168">_xll.RssMarket($A168, "前日終値")</f>
        <v>1458</v>
      </c>
      <c r="F168" s="6" cm="1">
        <f t="array" ref="F168">_xll.RssMarket($A168, "出来高")</f>
        <v>5049300</v>
      </c>
    </row>
    <row r="169" spans="1:6">
      <c r="A169" s="20">
        <v>4382</v>
      </c>
      <c r="B169" s="6" t="str" cm="1">
        <f t="array" ref="B169">_xll.RssMarket($A169, "銘柄名称")</f>
        <v>ＨＥＲＯＺ</v>
      </c>
      <c r="C169" s="6" cm="1">
        <f t="array" ref="C169">_xll.RssMarket(A169, "現在値")</f>
        <v>705</v>
      </c>
      <c r="D169" s="6" cm="1">
        <f t="array" ref="D169">_xll.RssMarket(A169, "始値")</f>
        <v>726</v>
      </c>
      <c r="E169" s="6" cm="1">
        <f t="array" ref="E169">_xll.RssMarket($A169, "前日終値")</f>
        <v>724</v>
      </c>
      <c r="F169" s="6" cm="1">
        <f t="array" ref="F169">_xll.RssMarket($A169, "出来高")</f>
        <v>68700</v>
      </c>
    </row>
    <row r="170" spans="1:6">
      <c r="A170" s="20">
        <v>2327</v>
      </c>
      <c r="B170" s="6" t="str" cm="1">
        <f t="array" ref="B170">_xll.RssMarket($A170, "銘柄名称")</f>
        <v>日鉄ソリューションズ</v>
      </c>
      <c r="C170" s="6" cm="1">
        <f t="array" ref="C170">_xll.RssMarket(A170, "現在値")</f>
        <v>3837</v>
      </c>
      <c r="D170" s="6" cm="1">
        <f t="array" ref="D170">_xll.RssMarket(A170, "始値")</f>
        <v>3834</v>
      </c>
      <c r="E170" s="6" cm="1">
        <f t="array" ref="E170">_xll.RssMarket($A170, "前日終値")</f>
        <v>3816</v>
      </c>
      <c r="F170" s="6" cm="1">
        <f t="array" ref="F170">_xll.RssMarket($A170, "出来高")</f>
        <v>276700</v>
      </c>
    </row>
    <row r="171" spans="1:6">
      <c r="A171" s="20">
        <v>1942</v>
      </c>
      <c r="B171" s="6" t="str" cm="1">
        <f t="array" ref="B171">_xll.RssMarket($A171, "銘柄名称")</f>
        <v>関電工</v>
      </c>
      <c r="C171" s="6" cm="1">
        <f t="array" ref="C171">_xll.RssMarket(A171, "現在値")</f>
        <v>5845</v>
      </c>
      <c r="D171" s="6" cm="1">
        <f t="array" ref="D171">_xll.RssMarket(A171, "始値")</f>
        <v>6000</v>
      </c>
      <c r="E171" s="6" cm="1">
        <f t="array" ref="E171">_xll.RssMarket($A171, "前日終値")</f>
        <v>6114</v>
      </c>
      <c r="F171" s="6" cm="1">
        <f t="array" ref="F171">_xll.RssMarket($A171, "出来高")</f>
        <v>1519900</v>
      </c>
    </row>
    <row r="172" spans="1:6">
      <c r="A172" s="20">
        <v>1938</v>
      </c>
      <c r="B172" s="6" t="str" cm="1">
        <f t="array" ref="B172">_xll.RssMarket($A172, "銘柄名称")</f>
        <v>日本リーテック</v>
      </c>
      <c r="C172" s="6" cm="1">
        <f t="array" ref="C172">_xll.RssMarket(A172, "現在値")</f>
        <v>2460</v>
      </c>
      <c r="D172" s="6" cm="1">
        <f t="array" ref="D172">_xll.RssMarket(A172, "始値")</f>
        <v>2550</v>
      </c>
      <c r="E172" s="6" cm="1">
        <f t="array" ref="E172">_xll.RssMarket($A172, "前日終値")</f>
        <v>2581</v>
      </c>
      <c r="F172" s="6" cm="1">
        <f t="array" ref="F172">_xll.RssMarket($A172, "出来高")</f>
        <v>130500</v>
      </c>
    </row>
    <row r="173" spans="1:6">
      <c r="A173" s="20">
        <v>7236</v>
      </c>
      <c r="B173" s="6" t="str" cm="1">
        <f t="array" ref="B173">_xll.RssMarket($A173, "銘柄名称")</f>
        <v>ティラド</v>
      </c>
      <c r="C173" s="6" cm="1">
        <f t="array" ref="C173">_xll.RssMarket(A173, "現在値")</f>
        <v>1482</v>
      </c>
      <c r="D173" s="6" cm="1">
        <f t="array" ref="D173">_xll.RssMarket(A173, "始値")</f>
        <v>1492</v>
      </c>
      <c r="E173" s="6" cm="1">
        <f t="array" ref="E173">_xll.RssMarket($A173, "前日終値")</f>
        <v>1527</v>
      </c>
      <c r="F173" s="6" cm="1">
        <f t="array" ref="F173">_xll.RssMarket($A173, "出来高")</f>
        <v>580100</v>
      </c>
    </row>
    <row r="174" spans="1:6">
      <c r="A174" s="20">
        <v>6436</v>
      </c>
      <c r="B174" s="6" t="str" cm="1">
        <f t="array" ref="B174">_xll.RssMarket($A174, "銘柄名称")</f>
        <v>アマノ</v>
      </c>
      <c r="C174" s="6" cm="1">
        <f t="array" ref="C174">_xll.RssMarket(A174, "現在値")</f>
        <v>3788</v>
      </c>
      <c r="D174" s="6" cm="1">
        <f t="array" ref="D174">_xll.RssMarket(A174, "始値")</f>
        <v>3803</v>
      </c>
      <c r="E174" s="6" cm="1">
        <f t="array" ref="E174">_xll.RssMarket($A174, "前日終値")</f>
        <v>3785</v>
      </c>
      <c r="F174" s="6" cm="1">
        <f t="array" ref="F174">_xll.RssMarket($A174, "出来高")</f>
        <v>284600</v>
      </c>
    </row>
    <row r="175" spans="1:6">
      <c r="A175" s="20">
        <v>5410</v>
      </c>
      <c r="B175" s="6" t="str" cm="1">
        <f t="array" ref="B175">_xll.RssMarket($A175, "銘柄名称")</f>
        <v>合同製鐵</v>
      </c>
      <c r="C175" s="6" cm="1">
        <f t="array" ref="C175">_xll.RssMarket(A175, "現在値")</f>
        <v>2673</v>
      </c>
      <c r="D175" s="6" cm="1">
        <f t="array" ref="D175">_xll.RssMarket(A175, "始値")</f>
        <v>2688</v>
      </c>
      <c r="E175" s="6" cm="1">
        <f t="array" ref="E175">_xll.RssMarket($A175, "前日終値")</f>
        <v>2697</v>
      </c>
      <c r="F175" s="6" cm="1">
        <f t="array" ref="F175">_xll.RssMarket($A175, "出来高")</f>
        <v>98300</v>
      </c>
    </row>
    <row r="176" spans="1:6">
      <c r="A176" s="20">
        <v>5440</v>
      </c>
      <c r="B176" s="6" t="str" cm="1">
        <f t="array" ref="B176">_xll.RssMarket($A176, "銘柄名称")</f>
        <v>共英製鋼</v>
      </c>
      <c r="C176" s="6" cm="1">
        <f t="array" ref="C176">_xll.RssMarket(A176, "現在値")</f>
        <v>1838</v>
      </c>
      <c r="D176" s="6" cm="1">
        <f t="array" ref="D176">_xll.RssMarket(A176, "始値")</f>
        <v>1837</v>
      </c>
      <c r="E176" s="6" cm="1">
        <f t="array" ref="E176">_xll.RssMarket($A176, "前日終値")</f>
        <v>1843</v>
      </c>
      <c r="F176" s="6" cm="1">
        <f t="array" ref="F176">_xll.RssMarket($A176, "出来高")</f>
        <v>112300</v>
      </c>
    </row>
    <row r="177" spans="1:6">
      <c r="A177" s="20">
        <v>9505</v>
      </c>
      <c r="B177" s="6" t="str" cm="1">
        <f t="array" ref="B177">_xll.RssMarket($A177, "銘柄名称")</f>
        <v>北陸電力</v>
      </c>
      <c r="C177" s="6" cm="1">
        <f t="array" ref="C177">_xll.RssMarket(A177, "現在値")</f>
        <v>909.4</v>
      </c>
      <c r="D177" s="6" cm="1">
        <f t="array" ref="D177">_xll.RssMarket(A177, "始値")</f>
        <v>906.3</v>
      </c>
      <c r="E177" s="6" cm="1">
        <f t="array" ref="E177">_xll.RssMarket($A177, "前日終値")</f>
        <v>912.9</v>
      </c>
      <c r="F177" s="6" cm="1">
        <f t="array" ref="F177">_xll.RssMarket($A177, "出来高")</f>
        <v>1173800</v>
      </c>
    </row>
    <row r="178" spans="1:6">
      <c r="A178" s="20">
        <v>8091</v>
      </c>
      <c r="B178" s="6" t="str" cm="1">
        <f t="array" ref="B178">_xll.RssMarket($A178, "銘柄名称")</f>
        <v>ニチモウ</v>
      </c>
      <c r="C178" s="6" cm="1">
        <f t="array" ref="C178">_xll.RssMarket(A178, "現在値")</f>
        <v>2316</v>
      </c>
      <c r="D178" s="6" cm="1">
        <f t="array" ref="D178">_xll.RssMarket(A178, "始値")</f>
        <v>2308</v>
      </c>
      <c r="E178" s="6" cm="1">
        <f t="array" ref="E178">_xll.RssMarket($A178, "前日終値")</f>
        <v>2312</v>
      </c>
      <c r="F178" s="6" cm="1">
        <f t="array" ref="F178">_xll.RssMarket($A178, "出来高")</f>
        <v>18000</v>
      </c>
    </row>
    <row r="179" spans="1:6">
      <c r="A179" s="20">
        <v>6507</v>
      </c>
      <c r="B179" s="6" t="str" cm="1">
        <f t="array" ref="B179">_xll.RssMarket($A179, "銘柄名称")</f>
        <v>シンフォニアテクノロジー</v>
      </c>
      <c r="C179" s="6" cm="1">
        <f t="array" ref="C179">_xll.RssMarket(A179, "現在値")</f>
        <v>13540</v>
      </c>
      <c r="D179" s="6" cm="1">
        <f t="array" ref="D179">_xll.RssMarket(A179, "始値")</f>
        <v>14000</v>
      </c>
      <c r="E179" s="6" cm="1">
        <f t="array" ref="E179">_xll.RssMarket($A179, "前日終値")</f>
        <v>14380</v>
      </c>
      <c r="F179" s="6" cm="1">
        <f t="array" ref="F179">_xll.RssMarket($A179, "出来高")</f>
        <v>224500</v>
      </c>
    </row>
    <row r="180" spans="1:6">
      <c r="A180" s="20">
        <v>9022</v>
      </c>
      <c r="B180" s="6" t="str" cm="1">
        <f t="array" ref="B180">_xll.RssMarket($A180, "銘柄名称")</f>
        <v>東海旅客鉄道</v>
      </c>
      <c r="C180" s="6" cm="1">
        <f t="array" ref="C180">_xll.RssMarket(A180, "現在値")</f>
        <v>3766</v>
      </c>
      <c r="D180" s="6" cm="1">
        <f t="array" ref="D180">_xll.RssMarket(A180, "始値")</f>
        <v>3746</v>
      </c>
      <c r="E180" s="6" cm="1">
        <f t="array" ref="E180">_xll.RssMarket($A180, "前日終値")</f>
        <v>3709</v>
      </c>
      <c r="F180" s="6" cm="1">
        <f t="array" ref="F180">_xll.RssMarket($A180, "出来高")</f>
        <v>3012200</v>
      </c>
    </row>
    <row r="181" spans="1:6">
      <c r="A181" s="20">
        <v>9536</v>
      </c>
      <c r="B181" s="6" t="str" cm="1">
        <f t="array" ref="B181">_xll.RssMarket($A181, "銘柄名称")</f>
        <v>西部ガスＨＬＤＧＳ</v>
      </c>
      <c r="C181" s="6" cm="1">
        <f t="array" ref="C181">_xll.RssMarket(A181, "現在値")</f>
        <v>2318</v>
      </c>
      <c r="D181" s="6" cm="1">
        <f t="array" ref="D181">_xll.RssMarket(A181, "始値")</f>
        <v>2329</v>
      </c>
      <c r="E181" s="6" cm="1">
        <f t="array" ref="E181">_xll.RssMarket($A181, "前日終値")</f>
        <v>2316</v>
      </c>
      <c r="F181" s="6" cm="1">
        <f t="array" ref="F181">_xll.RssMarket($A181, "出来高")</f>
        <v>67700</v>
      </c>
    </row>
    <row r="182" spans="1:6">
      <c r="A182" s="20">
        <v>9506</v>
      </c>
      <c r="B182" s="6" t="str" cm="1">
        <f t="array" ref="B182">_xll.RssMarket($A182, "銘柄名称")</f>
        <v>東北電力</v>
      </c>
      <c r="C182" s="6" cm="1">
        <f t="array" ref="C182">_xll.RssMarket(A182, "現在値")</f>
        <v>1127</v>
      </c>
      <c r="D182" s="6" cm="1">
        <f t="array" ref="D182">_xll.RssMarket(A182, "始値")</f>
        <v>1134.5</v>
      </c>
      <c r="E182" s="6" cm="1">
        <f t="array" ref="E182">_xll.RssMarket($A182, "前日終値")</f>
        <v>1132</v>
      </c>
      <c r="F182" s="6" cm="1">
        <f t="array" ref="F182">_xll.RssMarket($A182, "出来高")</f>
        <v>3457000</v>
      </c>
    </row>
    <row r="183" spans="1:6">
      <c r="A183" s="20">
        <v>2127</v>
      </c>
      <c r="B183" s="6" t="str" cm="1">
        <f t="array" ref="B183">_xll.RssMarket($A183, "銘柄名称")</f>
        <v>日本Ｍ＆Ａセンターホールデ</v>
      </c>
      <c r="C183" s="6" cm="1">
        <f t="array" ref="C183">_xll.RssMarket(A183, "現在値")</f>
        <v>672.2</v>
      </c>
      <c r="D183" s="6" cm="1">
        <f t="array" ref="D183">_xll.RssMarket(A183, "始値")</f>
        <v>678</v>
      </c>
      <c r="E183" s="6" cm="1">
        <f t="array" ref="E183">_xll.RssMarket($A183, "前日終値")</f>
        <v>673.1</v>
      </c>
      <c r="F183" s="6" cm="1">
        <f t="array" ref="F183">_xll.RssMarket($A183, "出来高")</f>
        <v>1308600</v>
      </c>
    </row>
    <row r="184" spans="1:6">
      <c r="A184" s="20">
        <v>6753</v>
      </c>
      <c r="B184" s="6" t="str" cm="1">
        <f t="array" ref="B184">_xll.RssMarket($A184, "銘柄名称")</f>
        <v>シャープ</v>
      </c>
      <c r="C184" s="6" cm="1">
        <f t="array" ref="C184">_xll.RssMarket(A184, "現在値")</f>
        <v>627.29999999999995</v>
      </c>
      <c r="D184" s="6" cm="1">
        <f t="array" ref="D184">_xll.RssMarket(A184, "始値")</f>
        <v>640</v>
      </c>
      <c r="E184" s="6" cm="1">
        <f t="array" ref="E184">_xll.RssMarket($A184, "前日終値")</f>
        <v>634.1</v>
      </c>
      <c r="F184" s="6" cm="1">
        <f t="array" ref="F184">_xll.RssMarket($A184, "出来高")</f>
        <v>3247500</v>
      </c>
    </row>
    <row r="185" spans="1:6">
      <c r="A185" s="20" t="s">
        <v>42</v>
      </c>
      <c r="B185" s="6" t="str" cm="1">
        <f t="array" ref="B185">_xll.RssMarket($A185, "銘柄名称")</f>
        <v>ヤマトホールディングス</v>
      </c>
      <c r="C185" s="6" cm="1">
        <f t="array" ref="C185">_xll.RssMarket(A185, "現在値")</f>
        <v>2003</v>
      </c>
      <c r="D185" s="6" cm="1">
        <f t="array" ref="D185">_xll.RssMarket(A185, "始値")</f>
        <v>1990</v>
      </c>
      <c r="E185" s="6" cm="1">
        <f t="array" ref="E185">_xll.RssMarket($A185, "前日終値")</f>
        <v>1968</v>
      </c>
      <c r="F185" s="6" cm="1">
        <f t="array" ref="F185">_xll.RssMarket($A185, "出来高")</f>
        <v>1636700</v>
      </c>
    </row>
    <row r="186" spans="1:6">
      <c r="A186" s="20" t="s">
        <v>43</v>
      </c>
      <c r="B186" s="6" t="str" cm="1">
        <f t="array" ref="B186">_xll.RssMarket($A186, "銘柄名称")</f>
        <v>かんぽ生命保険</v>
      </c>
      <c r="C186" s="6" cm="1">
        <f t="array" ref="C186">_xll.RssMarket(A186, "現在値")</f>
        <v>1610.5</v>
      </c>
      <c r="D186" s="6" cm="1">
        <f t="array" ref="D186">_xll.RssMarket(A186, "始値")</f>
        <v>1645</v>
      </c>
      <c r="E186" s="6" cm="1">
        <f t="array" ref="E186">_xll.RssMarket($A186, "前日終値")</f>
        <v>1657.5</v>
      </c>
      <c r="F186" s="6" cm="1">
        <f t="array" ref="F186">_xll.RssMarket($A186, "出来高")</f>
        <v>2082200</v>
      </c>
    </row>
    <row r="187" spans="1:6">
      <c r="A187" s="20" t="s">
        <v>44</v>
      </c>
      <c r="B187" s="6" t="str" cm="1">
        <f t="array" ref="B187">_xll.RssMarket($A187, "銘柄名称")</f>
        <v>前澤給装工業</v>
      </c>
      <c r="C187" s="6" cm="1">
        <f t="array" ref="C187">_xll.RssMarket(A187, "現在値")</f>
        <v>1526</v>
      </c>
      <c r="D187" s="6" cm="1">
        <f t="array" ref="D187">_xll.RssMarket(A187, "始値")</f>
        <v>1550</v>
      </c>
      <c r="E187" s="6" cm="1">
        <f t="array" ref="E187">_xll.RssMarket($A187, "前日終値")</f>
        <v>1552</v>
      </c>
      <c r="F187" s="6" cm="1">
        <f t="array" ref="F187">_xll.RssMarket($A187, "出来高")</f>
        <v>27700</v>
      </c>
    </row>
    <row r="188" spans="1:6">
      <c r="A188" s="20">
        <v>4887</v>
      </c>
      <c r="B188" s="6" t="str" cm="1">
        <f t="array" ref="B188">_xll.RssMarket($A188, "銘柄名称")</f>
        <v>サワイグループＨＤ</v>
      </c>
      <c r="C188" s="6" cm="1">
        <f t="array" ref="C188">_xll.RssMarket(A188, "現在値")</f>
        <v>1681</v>
      </c>
      <c r="D188" s="6" cm="1">
        <f t="array" ref="D188">_xll.RssMarket(A188, "始値")</f>
        <v>1675</v>
      </c>
      <c r="E188" s="6" cm="1">
        <f t="array" ref="E188">_xll.RssMarket($A188, "前日終値")</f>
        <v>1677.5</v>
      </c>
      <c r="F188" s="6" cm="1">
        <f t="array" ref="F188">_xll.RssMarket($A188, "出来高")</f>
        <v>523600</v>
      </c>
    </row>
    <row r="189" spans="1:6">
      <c r="A189" s="20">
        <v>5243</v>
      </c>
      <c r="B189" s="6" t="str" cm="1">
        <f t="array" ref="B189">_xll.RssMarket($A189, "銘柄名称")</f>
        <v>ＮＯＴＥ</v>
      </c>
      <c r="C189" s="6" cm="1">
        <f t="array" ref="C189">_xll.RssMarket(A189, "現在値")</f>
        <v>2050</v>
      </c>
      <c r="D189" s="6" cm="1">
        <f t="array" ref="D189">_xll.RssMarket(A189, "始値")</f>
        <v>2123</v>
      </c>
      <c r="E189" s="6" cm="1">
        <f t="array" ref="E189">_xll.RssMarket($A189, "前日終値")</f>
        <v>2195</v>
      </c>
      <c r="F189" s="6" cm="1">
        <f t="array" ref="F189">_xll.RssMarket($A189, "出来高")</f>
        <v>672300</v>
      </c>
    </row>
    <row r="190" spans="1:6">
      <c r="A190" s="20">
        <v>2702</v>
      </c>
      <c r="B190" s="6" t="str" cm="1">
        <f t="array" ref="B190">_xll.RssMarket($A190, "銘柄名称")</f>
        <v>日本マクドナルドＨＬＤＧ</v>
      </c>
      <c r="C190" s="6" cm="1">
        <f t="array" ref="C190">_xll.RssMarket(A190, "現在値")</f>
        <v>7630</v>
      </c>
      <c r="D190" s="6" cm="1">
        <f t="array" ref="D190">_xll.RssMarket(A190, "始値")</f>
        <v>7530</v>
      </c>
      <c r="E190" s="6" cm="1">
        <f t="array" ref="E190">_xll.RssMarket($A190, "前日終値")</f>
        <v>7510</v>
      </c>
      <c r="F190" s="6" cm="1">
        <f t="array" ref="F190">_xll.RssMarket($A190, "出来高")</f>
        <v>509600</v>
      </c>
    </row>
    <row r="191" spans="1:6">
      <c r="A191" s="20">
        <v>6890</v>
      </c>
      <c r="B191" s="6" t="str" cm="1">
        <f t="array" ref="B191">_xll.RssMarket($A191, "銘柄名称")</f>
        <v>フェローテック</v>
      </c>
      <c r="C191" s="6" cm="1">
        <f t="array" ref="C191">_xll.RssMarket(A191, "現在値")</f>
        <v>7010</v>
      </c>
      <c r="D191" s="6" cm="1">
        <f t="array" ref="D191">_xll.RssMarket(A191, "始値")</f>
        <v>7350</v>
      </c>
      <c r="E191" s="6" cm="1">
        <f t="array" ref="E191">_xll.RssMarket($A191, "前日終値")</f>
        <v>8000</v>
      </c>
      <c r="F191" s="6" cm="1">
        <f t="array" ref="F191">_xll.RssMarket($A191, "出来高")</f>
        <v>2565400</v>
      </c>
    </row>
    <row r="192" spans="1:6">
      <c r="A192" s="20">
        <v>4966</v>
      </c>
      <c r="B192" s="6" t="str" cm="1">
        <f t="array" ref="B192">_xll.RssMarket($A192, "銘柄名称")</f>
        <v>上村工業</v>
      </c>
      <c r="C192" s="6" cm="1">
        <f t="array" ref="C192">_xll.RssMarket(A192, "現在値")</f>
        <v>23000</v>
      </c>
      <c r="D192" s="6" cm="1">
        <f t="array" ref="D192">_xll.RssMarket(A192, "始値")</f>
        <v>23800</v>
      </c>
      <c r="E192" s="6" cm="1">
        <f t="array" ref="E192">_xll.RssMarket($A192, "前日終値")</f>
        <v>24110</v>
      </c>
      <c r="F192" s="6" cm="1">
        <f t="array" ref="F192">_xll.RssMarket($A192, "出来高")</f>
        <v>113100</v>
      </c>
    </row>
    <row r="193" spans="1:6">
      <c r="A193" s="20">
        <v>6146</v>
      </c>
      <c r="B193" s="6" t="str" cm="1">
        <f t="array" ref="B193">_xll.RssMarket($A193, "銘柄名称")</f>
        <v>ディスコ</v>
      </c>
      <c r="C193" s="6" cm="1">
        <f t="array" ref="C193">_xll.RssMarket(A193, "現在値")</f>
        <v>64780</v>
      </c>
      <c r="D193" s="6" cm="1">
        <f t="array" ref="D193">_xll.RssMarket(A193, "始値")</f>
        <v>65680</v>
      </c>
      <c r="E193" s="6" cm="1">
        <f t="array" ref="E193">_xll.RssMarket($A193, "前日終値")</f>
        <v>70590</v>
      </c>
      <c r="F193" s="6" cm="1">
        <f t="array" ref="F193">_xll.RssMarket($A193, "出来高")</f>
        <v>1766400</v>
      </c>
    </row>
    <row r="194" spans="1:6">
      <c r="A194" s="20">
        <v>8035</v>
      </c>
      <c r="B194" s="6" t="str" cm="1">
        <f t="array" ref="B194">_xll.RssMarket($A194, "銘柄名称")</f>
        <v>東京エレクトロン</v>
      </c>
      <c r="C194" s="6" cm="1">
        <f t="array" ref="C194">_xll.RssMarket(A194, "現在値")</f>
        <v>65100</v>
      </c>
      <c r="D194" s="6" cm="1">
        <f t="array" ref="D194">_xll.RssMarket(A194, "始値")</f>
        <v>67000</v>
      </c>
      <c r="E194" s="6" cm="1">
        <f t="array" ref="E194">_xll.RssMarket($A194, "前日終値")</f>
        <v>70890</v>
      </c>
      <c r="F194" s="6" cm="1">
        <f t="array" ref="F194">_xll.RssMarket($A194, "出来高")</f>
        <v>6335500</v>
      </c>
    </row>
    <row r="195" spans="1:6">
      <c r="A195" s="20">
        <v>6920</v>
      </c>
      <c r="B195" s="6" t="str" cm="1">
        <f t="array" ref="B195">_xll.RssMarket($A195, "銘柄名称")</f>
        <v>レーザーテック</v>
      </c>
      <c r="C195" s="6" cm="1">
        <f t="array" ref="C195">_xll.RssMarket(A195, "現在値")</f>
        <v>41890</v>
      </c>
      <c r="D195" s="6" cm="1">
        <f t="array" ref="D195">_xll.RssMarket(A195, "始値")</f>
        <v>43000</v>
      </c>
      <c r="E195" s="6" cm="1">
        <f t="array" ref="E195">_xll.RssMarket($A195, "前日終値")</f>
        <v>46370</v>
      </c>
      <c r="F195" s="6" cm="1">
        <f t="array" ref="F195">_xll.RssMarket($A195, "出来高")</f>
        <v>5093900</v>
      </c>
    </row>
    <row r="196" spans="1:6">
      <c r="A196" s="20">
        <v>5801</v>
      </c>
      <c r="B196" s="6" t="str" cm="1">
        <f t="array" ref="B196">_xll.RssMarket($A196, "銘柄名称")</f>
        <v>古河電工</v>
      </c>
      <c r="C196" s="6" cm="1">
        <f t="array" ref="C196">_xll.RssMarket(A196, "現在値")</f>
        <v>3262</v>
      </c>
      <c r="D196" s="6" cm="1">
        <f t="array" ref="D196">_xll.RssMarket(A196, "始値")</f>
        <v>3301</v>
      </c>
      <c r="E196" s="6" cm="1">
        <f t="array" ref="E196">_xll.RssMarket($A196, "前日終値")</f>
        <v>3474</v>
      </c>
      <c r="F196" s="6" cm="1">
        <f t="array" ref="F196">_xll.RssMarket($A196, "出来高")</f>
        <v>23584700</v>
      </c>
    </row>
    <row r="197" spans="1:6">
      <c r="A197" s="20">
        <v>6506</v>
      </c>
      <c r="B197" s="6" t="str" cm="1">
        <f t="array" ref="B197">_xll.RssMarket($A197, "銘柄名称")</f>
        <v>安川電機</v>
      </c>
      <c r="C197" s="6" cm="1">
        <f t="array" ref="C197">_xll.RssMarket(A197, "現在値")</f>
        <v>5116</v>
      </c>
      <c r="D197" s="6" cm="1">
        <f t="array" ref="D197">_xll.RssMarket(A197, "始値")</f>
        <v>5273</v>
      </c>
      <c r="E197" s="6" cm="1">
        <f t="array" ref="E197">_xll.RssMarket($A197, "前日終値")</f>
        <v>5494</v>
      </c>
      <c r="F197" s="6" cm="1">
        <f t="array" ref="F197">_xll.RssMarket($A197, "出来高")</f>
        <v>12549600</v>
      </c>
    </row>
    <row r="198" spans="1:6">
      <c r="A198" s="20">
        <v>2768</v>
      </c>
      <c r="B198" s="6" t="str" cm="1">
        <f t="array" ref="B198">_xll.RssMarket($A198, "銘柄名称")</f>
        <v>双日</v>
      </c>
      <c r="C198" s="6" cm="1">
        <f t="array" ref="C198">_xll.RssMarket(A198, "現在値")</f>
        <v>5072</v>
      </c>
      <c r="D198" s="6" cm="1">
        <f t="array" ref="D198">_xll.RssMarket(A198, "始値")</f>
        <v>5194</v>
      </c>
      <c r="E198" s="6" cm="1">
        <f t="array" ref="E198">_xll.RssMarket($A198, "前日終値")</f>
        <v>5215</v>
      </c>
      <c r="F198" s="6" cm="1">
        <f t="array" ref="F198">_xll.RssMarket($A198, "出来高")</f>
        <v>1396700</v>
      </c>
    </row>
    <row r="199" spans="1:6">
      <c r="A199" s="20">
        <v>6305</v>
      </c>
      <c r="B199" s="6" t="str" cm="1">
        <f t="array" ref="B199">_xll.RssMarket($A199, "銘柄名称")</f>
        <v>日立建機</v>
      </c>
      <c r="C199" s="6" cm="1">
        <f t="array" ref="C199">_xll.RssMarket(A199, "現在値")</f>
        <v>5114</v>
      </c>
      <c r="D199" s="6" cm="1">
        <f t="array" ref="D199">_xll.RssMarket(A199, "始値")</f>
        <v>5250</v>
      </c>
      <c r="E199" s="6" cm="1">
        <f t="array" ref="E199">_xll.RssMarket($A199, "前日終値")</f>
        <v>5287</v>
      </c>
      <c r="F199" s="6" cm="1">
        <f t="array" ref="F199">_xll.RssMarket($A199, "出来高")</f>
        <v>845400</v>
      </c>
    </row>
    <row r="200" spans="1:6">
      <c r="A200" s="20">
        <v>8015</v>
      </c>
      <c r="B200" s="6" t="str" cm="1">
        <f t="array" ref="B200">_xll.RssMarket($A200, "銘柄名称")</f>
        <v>豊田通商</v>
      </c>
      <c r="C200" s="6" cm="1">
        <f t="array" ref="C200">_xll.RssMarket(A200, "現在値")</f>
        <v>6076</v>
      </c>
      <c r="D200" s="6" cm="1">
        <f t="array" ref="D200">_xll.RssMarket(A200, "始値")</f>
        <v>6109</v>
      </c>
      <c r="E200" s="6" cm="1">
        <f t="array" ref="E200">_xll.RssMarket($A200, "前日終値")</f>
        <v>6209</v>
      </c>
      <c r="F200" s="6" cm="1">
        <f t="array" ref="F200">_xll.RssMarket($A200, "出来高")</f>
        <v>3073500</v>
      </c>
    </row>
    <row r="201" spans="1:6">
      <c r="A201" s="20">
        <v>6758</v>
      </c>
      <c r="B201" s="6" t="str" cm="1">
        <f t="array" ref="B201">_xll.RssMarket($A201, "銘柄名称")</f>
        <v>ソニーグループ</v>
      </c>
      <c r="C201" s="6" cm="1">
        <f t="array" ref="C201">_xll.RssMarket(A201, "現在値")</f>
        <v>3470</v>
      </c>
      <c r="D201" s="6" cm="1">
        <f t="array" ref="D201">_xll.RssMarket(A201, "始値")</f>
        <v>3438</v>
      </c>
      <c r="E201" s="6" cm="1">
        <f t="array" ref="E201">_xll.RssMarket($A201, "前日終値")</f>
        <v>3438</v>
      </c>
      <c r="F201" s="6" cm="1">
        <f t="array" ref="F201">_xll.RssMarket($A201, "出来高")</f>
        <v>22560200</v>
      </c>
    </row>
    <row r="202" spans="1:6">
      <c r="A202" s="20">
        <v>9101</v>
      </c>
      <c r="B202" s="6" t="str" cm="1">
        <f t="array" ref="B202">_xll.RssMarket($A202, "銘柄名称")</f>
        <v>日本郵船</v>
      </c>
      <c r="C202" s="6" cm="1">
        <f t="array" ref="C202">_xll.RssMarket(A202, "現在値")</f>
        <v>5706</v>
      </c>
      <c r="D202" s="6" cm="1">
        <f t="array" ref="D202">_xll.RssMarket(A202, "始値")</f>
        <v>5610</v>
      </c>
      <c r="E202" s="6" cm="1">
        <f t="array" ref="E202">_xll.RssMarket($A202, "前日終値")</f>
        <v>5540</v>
      </c>
      <c r="F202" s="6" cm="1">
        <f t="array" ref="F202">_xll.RssMarket($A202, "出来高")</f>
        <v>4456700</v>
      </c>
    </row>
    <row r="203" spans="1:6">
      <c r="A203" s="20">
        <v>7011</v>
      </c>
      <c r="B203" s="6" t="str" cm="1">
        <f t="array" ref="B203">_xll.RssMarket($A203, "銘柄名称")</f>
        <v>三菱重工業</v>
      </c>
      <c r="C203" s="6" cm="1">
        <f t="array" ref="C203">_xll.RssMarket(A203, "現在値")</f>
        <v>3681</v>
      </c>
      <c r="D203" s="6" cm="1">
        <f t="array" ref="D203">_xll.RssMarket(A203, "始値")</f>
        <v>3750</v>
      </c>
      <c r="E203" s="6" cm="1">
        <f t="array" ref="E203">_xll.RssMarket($A203, "前日終値")</f>
        <v>3823</v>
      </c>
      <c r="F203" s="6" cm="1">
        <f t="array" ref="F203">_xll.RssMarket($A203, "出来高")</f>
        <v>21441300</v>
      </c>
    </row>
    <row r="204" spans="1:6">
      <c r="A204" s="20">
        <v>1812</v>
      </c>
      <c r="B204" s="6" t="str" cm="1">
        <f t="array" ref="B204">_xll.RssMarket($A204, "銘柄名称")</f>
        <v>鹿島建設</v>
      </c>
      <c r="C204" s="6" cm="1">
        <f t="array" ref="C204">_xll.RssMarket(A204, "現在値")</f>
        <v>5524</v>
      </c>
      <c r="D204" s="6" cm="1">
        <f t="array" ref="D204">_xll.RssMarket(A204, "始値")</f>
        <v>5594</v>
      </c>
      <c r="E204" s="6" cm="1">
        <f t="array" ref="E204">_xll.RssMarket($A204, "前日終値")</f>
        <v>5681</v>
      </c>
      <c r="F204" s="6" cm="1">
        <f t="array" ref="F204">_xll.RssMarket($A204, "出来高")</f>
        <v>1701600</v>
      </c>
    </row>
    <row r="205" spans="1:6">
      <c r="A205" s="20" t="s">
        <v>45</v>
      </c>
      <c r="B205" s="6" t="str" cm="1">
        <f t="array" ref="B205">_xll.RssMarket($A205, "銘柄名称")</f>
        <v>キーエンス</v>
      </c>
      <c r="C205" s="6" cm="1">
        <f t="array" ref="C205">_xll.RssMarket(A205, "現在値")</f>
        <v>70880</v>
      </c>
      <c r="D205" s="6" cm="1">
        <f t="array" ref="D205">_xll.RssMarket(A205, "始値")</f>
        <v>71850</v>
      </c>
      <c r="E205" s="6" cm="1">
        <f t="array" ref="E205">_xll.RssMarket($A205, "前日終値")</f>
        <v>74050</v>
      </c>
      <c r="F205" s="6" cm="1">
        <f t="array" ref="F205">_xll.RssMarket($A205, "出来高")</f>
        <v>905400</v>
      </c>
    </row>
    <row r="206" spans="1:6">
      <c r="A206" s="20">
        <v>6324</v>
      </c>
      <c r="B206" s="6" t="str" cm="1">
        <f t="array" ref="B206">_xll.RssMarket($A206, "銘柄名称")</f>
        <v>ハーモニック・ドライブ・シス</v>
      </c>
      <c r="C206" s="6" cm="1">
        <f t="array" ref="C206">_xll.RssMarket(A206, "現在値")</f>
        <v>6470</v>
      </c>
      <c r="D206" s="6" cm="1">
        <f t="array" ref="D206">_xll.RssMarket(A206, "始値")</f>
        <v>6900</v>
      </c>
      <c r="E206" s="6" cm="1">
        <f t="array" ref="E206">_xll.RssMarket($A206, "前日終値")</f>
        <v>7200</v>
      </c>
      <c r="F206" s="6" cm="1">
        <f t="array" ref="F206">_xll.RssMarket($A206, "出来高")</f>
        <v>2014400</v>
      </c>
    </row>
    <row r="207" spans="1:6">
      <c r="A207" s="20">
        <v>6273</v>
      </c>
      <c r="B207" s="6" t="str" cm="1">
        <f t="array" ref="B207">_xll.RssMarket($A207, "銘柄名称")</f>
        <v>ＳＭＣ</v>
      </c>
      <c r="C207" s="6" cm="1">
        <f t="array" ref="C207">_xll.RssMarket(A207, "現在値")</f>
        <v>69230</v>
      </c>
      <c r="D207" s="6" cm="1">
        <f t="array" ref="D207">_xll.RssMarket(A207, "始値")</f>
        <v>71930</v>
      </c>
      <c r="E207" s="6" cm="1">
        <f t="array" ref="E207">_xll.RssMarket($A207, "前日終値")</f>
        <v>73430</v>
      </c>
      <c r="F207" s="6" cm="1">
        <f t="array" ref="F207">_xll.RssMarket($A207, "出来高")</f>
        <v>427200</v>
      </c>
    </row>
    <row r="208" spans="1:6">
      <c r="A208" s="20">
        <v>4502</v>
      </c>
      <c r="B208" s="6" t="str" cm="1">
        <f t="array" ref="B208">_xll.RssMarket($A208, "銘柄名称")</f>
        <v>武田薬品</v>
      </c>
      <c r="C208" s="6" cm="1">
        <f t="array" ref="C208">_xll.RssMarket(A208, "現在値")</f>
        <v>5480</v>
      </c>
      <c r="D208" s="6" cm="1">
        <f t="array" ref="D208">_xll.RssMarket(A208, "始値")</f>
        <v>5445</v>
      </c>
      <c r="E208" s="6" cm="1">
        <f t="array" ref="E208">_xll.RssMarket($A208, "前日終値")</f>
        <v>5345</v>
      </c>
      <c r="F208" s="6" cm="1">
        <f t="array" ref="F208">_xll.RssMarket($A208, "出来高")</f>
        <v>5074900</v>
      </c>
    </row>
    <row r="209" spans="1:6">
      <c r="A209" s="20">
        <v>4004</v>
      </c>
      <c r="B209" s="6" t="str" cm="1">
        <f t="array" ref="B209">_xll.RssMarket($A209, "銘柄名称")</f>
        <v>レゾナック・ホールディング</v>
      </c>
      <c r="C209" s="6" cm="1">
        <f t="array" ref="C209">_xll.RssMarket(A209, "現在値")</f>
        <v>13910</v>
      </c>
      <c r="D209" s="6" cm="1">
        <f t="array" ref="D209">_xll.RssMarket(A209, "始値")</f>
        <v>14310</v>
      </c>
      <c r="E209" s="6" cm="1">
        <f t="array" ref="E209">_xll.RssMarket($A209, "前日終値")</f>
        <v>14895</v>
      </c>
      <c r="F209" s="6" cm="1">
        <f t="array" ref="F209">_xll.RssMarket($A209, "出来高")</f>
        <v>3120500</v>
      </c>
    </row>
    <row r="210" spans="1:6">
      <c r="A210" s="20">
        <v>9519</v>
      </c>
      <c r="B210" s="6" t="str" cm="1">
        <f t="array" ref="B210">_xll.RssMarket($A210, "銘柄名称")</f>
        <v>レノバ</v>
      </c>
      <c r="C210" s="6" cm="1">
        <f t="array" ref="C210">_xll.RssMarket(A210, "現在値")</f>
        <v>981</v>
      </c>
      <c r="D210" s="6" cm="1">
        <f t="array" ref="D210">_xll.RssMarket(A210, "始値")</f>
        <v>1021</v>
      </c>
      <c r="E210" s="6" cm="1">
        <f t="array" ref="E210">_xll.RssMarket($A210, "前日終値")</f>
        <v>1033</v>
      </c>
      <c r="F210" s="6" cm="1">
        <f t="array" ref="F210">_xll.RssMarket($A210, "出来高")</f>
        <v>1404900</v>
      </c>
    </row>
    <row r="211" spans="1:6">
      <c r="A211" s="20">
        <v>6752</v>
      </c>
      <c r="B211" s="6" t="str" cm="1">
        <f t="array" ref="B211">_xll.RssMarket($A211, "銘柄名称")</f>
        <v>パナソニックホールディンク</v>
      </c>
      <c r="C211" s="6" cm="1">
        <f t="array" ref="C211">_xll.RssMarket(A211, "現在値")</f>
        <v>3993</v>
      </c>
      <c r="D211" s="6" cm="1">
        <f t="array" ref="D211">_xll.RssMarket(A211, "始値")</f>
        <v>3993</v>
      </c>
      <c r="E211" s="6" cm="1">
        <f t="array" ref="E211">_xll.RssMarket($A211, "前日終値")</f>
        <v>4218</v>
      </c>
      <c r="F211" s="6" cm="1">
        <f t="array" ref="F211">_xll.RssMarket($A211, "出来高")</f>
        <v>11689200</v>
      </c>
    </row>
    <row r="212" spans="1:6">
      <c r="A212" s="20">
        <v>6622</v>
      </c>
      <c r="B212" s="6" t="str" cm="1">
        <f t="array" ref="B212">_xll.RssMarket($A212, "銘柄名称")</f>
        <v>ダイヘン</v>
      </c>
      <c r="C212" s="6" cm="1">
        <f t="array" ref="C212">_xll.RssMarket(A212, "現在値")</f>
        <v>14040</v>
      </c>
      <c r="D212" s="6" cm="1">
        <f t="array" ref="D212">_xll.RssMarket(A212, "始値")</f>
        <v>14450</v>
      </c>
      <c r="E212" s="6" cm="1">
        <f t="array" ref="E212">_xll.RssMarket($A212, "前日終値")</f>
        <v>15040</v>
      </c>
      <c r="F212" s="6" cm="1">
        <f t="array" ref="F212">_xll.RssMarket($A212, "出来高")</f>
        <v>475800</v>
      </c>
    </row>
    <row r="213" spans="1:6">
      <c r="A213" s="20">
        <v>1407</v>
      </c>
      <c r="B213" s="6" t="str" cm="1">
        <f t="array" ref="B213">_xll.RssMarket($A213, "銘柄名称")</f>
        <v>ウエストホールディングス</v>
      </c>
      <c r="C213" s="6" cm="1">
        <f t="array" ref="C213">_xll.RssMarket(A213, "現在値")</f>
        <v>2835</v>
      </c>
      <c r="D213" s="6" cm="1">
        <f t="array" ref="D213">_xll.RssMarket(A213, "始値")</f>
        <v>2683</v>
      </c>
      <c r="E213" s="6" cm="1">
        <f t="array" ref="E213">_xll.RssMarket($A213, "前日終値")</f>
        <v>2747</v>
      </c>
      <c r="F213" s="6" cm="1">
        <f t="array" ref="F213">_xll.RssMarket($A213, "出来高")</f>
        <v>1063300</v>
      </c>
    </row>
    <row r="214" spans="1:6">
      <c r="A214" s="20" t="s">
        <v>46</v>
      </c>
      <c r="B214" s="6" t="str" cm="1">
        <f t="array" ref="B214">_xll.RssMarket($A214, "銘柄名称")</f>
        <v>キオクシアホールディングス</v>
      </c>
      <c r="C214" s="6" cm="1">
        <f t="array" ref="C214">_xll.RssMarket(A214, "現在値")</f>
        <v>52110</v>
      </c>
      <c r="D214" s="6" cm="1">
        <f t="array" ref="D214">_xll.RssMarket(A214, "始値")</f>
        <v>55900</v>
      </c>
      <c r="E214" s="6" cm="1">
        <f t="array" ref="E214">_xll.RssMarket($A214, "前日終値")</f>
        <v>62110</v>
      </c>
      <c r="F214" s="6" cm="1">
        <f t="array" ref="F214">_xll.RssMarket($A214, "出来高")</f>
        <v>41502000</v>
      </c>
    </row>
    <row r="215" spans="1:6">
      <c r="A215" s="20" t="s">
        <v>47</v>
      </c>
      <c r="B215" s="6" t="str" cm="1">
        <f t="array" ref="B215">_xll.RssMarket($A215, "銘柄名称")</f>
        <v>トライアルホールディングス</v>
      </c>
      <c r="C215" s="6" cm="1">
        <f t="array" ref="C215">_xll.RssMarket(A215, "現在値")</f>
        <v>2980</v>
      </c>
      <c r="D215" s="6" cm="1">
        <f t="array" ref="D215">_xll.RssMarket(A215, "始値")</f>
        <v>3055</v>
      </c>
      <c r="E215" s="6" cm="1">
        <f t="array" ref="E215">_xll.RssMarket($A215, "前日終値")</f>
        <v>3030</v>
      </c>
      <c r="F215" s="6" cm="1">
        <f t="array" ref="F215">_xll.RssMarket($A215, "出来高")</f>
        <v>731500</v>
      </c>
    </row>
    <row r="216" spans="1:6">
      <c r="A216" s="20" t="s">
        <v>48</v>
      </c>
      <c r="B216" s="6" t="str" cm="1">
        <f t="array" ref="B216">_xll.RssMarket($A216, "銘柄名称")</f>
        <v>ＱＰＳホールディングス</v>
      </c>
      <c r="C216" s="6" cm="1">
        <f t="array" ref="C216">_xll.RssMarket(A216, "現在値")</f>
        <v>1597</v>
      </c>
      <c r="D216" s="6" cm="1">
        <f t="array" ref="D216">_xll.RssMarket(A216, "始値")</f>
        <v>1664</v>
      </c>
      <c r="E216" s="6" cm="1">
        <f t="array" ref="E216">_xll.RssMarket($A216, "前日終値")</f>
        <v>1737</v>
      </c>
      <c r="F216" s="6" cm="1">
        <f t="array" ref="F216">_xll.RssMarket($A216, "出来高")</f>
        <v>2776400</v>
      </c>
    </row>
    <row r="217" spans="1:6">
      <c r="A217" s="20" t="s">
        <v>49</v>
      </c>
      <c r="B217" s="6" t="str" cm="1">
        <f t="array" ref="B217">_xll.RssMarket($A217, "銘柄名称")</f>
        <v>パワーエックス</v>
      </c>
      <c r="C217" s="6" cm="1">
        <f t="array" ref="C217">_xll.RssMarket(A217, "現在値")</f>
        <v>1942</v>
      </c>
      <c r="D217" s="6" cm="1">
        <f t="array" ref="D217">_xll.RssMarket(A217, "始値")</f>
        <v>1900</v>
      </c>
      <c r="E217" s="6" cm="1">
        <f t="array" ref="E217">_xll.RssMarket($A217, "前日終値")</f>
        <v>1975</v>
      </c>
      <c r="F217" s="6" cm="1">
        <f t="array" ref="F217">_xll.RssMarket($A217, "出来高")</f>
        <v>6510900</v>
      </c>
    </row>
    <row r="218" spans="1:6">
      <c r="A218" s="20" t="s">
        <v>50</v>
      </c>
      <c r="B218" s="6" t="str" cm="1">
        <f t="array" ref="B218">_xll.RssMarket($A218, "銘柄名称")</f>
        <v>ＮＦ日経レバ</v>
      </c>
      <c r="C218" s="6" cm="1">
        <f t="array" ref="C218">_xll.RssMarket(A218, "現在値")</f>
        <v>66090</v>
      </c>
      <c r="D218" s="6" cm="1">
        <f t="array" ref="D218">_xll.RssMarket(A218, "始値")</f>
        <v>69190</v>
      </c>
      <c r="E218" s="6" cm="1">
        <f t="array" ref="E218">_xll.RssMarket($A218, "前日終値")</f>
        <v>71860</v>
      </c>
      <c r="F218" s="6" cm="1">
        <f t="array" ref="F218">_xll.RssMarket($A218, "出来高")</f>
        <v>5785171</v>
      </c>
    </row>
    <row r="219" spans="1:6">
      <c r="A219" s="20" t="s">
        <v>51</v>
      </c>
      <c r="B219" s="6" t="str" cm="1">
        <f t="array" ref="B219">_xll.RssMarket($A219, "銘柄名称")</f>
        <v>牧野フライス</v>
      </c>
      <c r="C219" s="6" cm="1">
        <f t="array" ref="C219">_xll.RssMarket(A219, "現在値")</f>
        <v>14420</v>
      </c>
      <c r="D219" s="6" cm="1">
        <f t="array" ref="D219">_xll.RssMarket(A219, "始値")</f>
        <v>14360</v>
      </c>
      <c r="E219" s="6" cm="1">
        <f t="array" ref="E219">_xll.RssMarket($A219, "前日終値")</f>
        <v>14570</v>
      </c>
      <c r="F219" s="6" cm="1">
        <f t="array" ref="F219">_xll.RssMarket($A219, "出来高")</f>
        <v>334200</v>
      </c>
    </row>
    <row r="220" spans="1:6">
      <c r="A220" s="20" t="s">
        <v>52</v>
      </c>
      <c r="B220" s="6" t="str" cm="1">
        <f t="array" ref="B220">_xll.RssMarket($A220, "銘柄名称")</f>
        <v>ジャパンマテリアル</v>
      </c>
      <c r="C220" s="6" cm="1">
        <f t="array" ref="C220">_xll.RssMarket(A220, "現在値")</f>
        <v>2253</v>
      </c>
      <c r="D220" s="6" cm="1">
        <f t="array" ref="D220">_xll.RssMarket(A220, "始値")</f>
        <v>2341</v>
      </c>
      <c r="E220" s="6" cm="1">
        <f t="array" ref="E220">_xll.RssMarket($A220, "前日終値")</f>
        <v>2437</v>
      </c>
      <c r="F220" s="6" cm="1">
        <f t="array" ref="F220">_xll.RssMarket($A220, "出来高")</f>
        <v>1072100</v>
      </c>
    </row>
    <row r="221" spans="1:6">
      <c r="A221" s="20" t="s">
        <v>53</v>
      </c>
      <c r="B221" s="6" t="str" cm="1">
        <f t="array" ref="B221">_xll.RssMarket($A221, "銘柄名称")</f>
        <v>ミナトホールディングス</v>
      </c>
      <c r="C221" s="6" cm="1">
        <f t="array" ref="C221">_xll.RssMarket(A221, "現在値")</f>
        <v>1765</v>
      </c>
      <c r="D221" s="6" cm="1">
        <f t="array" ref="D221">_xll.RssMarket(A221, "始値")</f>
        <v>1925</v>
      </c>
      <c r="E221" s="6" cm="1">
        <f t="array" ref="E221">_xll.RssMarket($A221, "前日終値")</f>
        <v>1954</v>
      </c>
      <c r="F221" s="6" cm="1">
        <f t="array" ref="F221">_xll.RssMarket($A221, "出来高")</f>
        <v>465600</v>
      </c>
    </row>
    <row r="222" spans="1:6">
      <c r="A222" s="20" t="s">
        <v>54</v>
      </c>
      <c r="B222" s="6" t="str" cm="1">
        <f t="array" ref="B222">_xll.RssMarket($A222, "銘柄名称")</f>
        <v>ヤクルト</v>
      </c>
      <c r="C222" s="6" cm="1">
        <f t="array" ref="C222">_xll.RssMarket(A222, "現在値")</f>
        <v>2834.5</v>
      </c>
      <c r="D222" s="6" cm="1">
        <f t="array" ref="D222">_xll.RssMarket(A222, "始値")</f>
        <v>2804.5</v>
      </c>
      <c r="E222" s="6" cm="1">
        <f t="array" ref="E222">_xll.RssMarket($A222, "前日終値")</f>
        <v>2789</v>
      </c>
      <c r="F222" s="6" cm="1">
        <f t="array" ref="F222">_xll.RssMarket($A222, "出来高")</f>
        <v>1429400</v>
      </c>
    </row>
    <row r="223" spans="1:6">
      <c r="A223" s="20" t="s">
        <v>55</v>
      </c>
      <c r="B223" s="6" t="str" cm="1">
        <f t="array" ref="B223">_xll.RssMarket($A223, "銘柄名称")</f>
        <v>ＮＦエネ資源Ｔ１７</v>
      </c>
      <c r="C223" s="6" cm="1">
        <f t="array" ref="C223">_xll.RssMarket(A223, "現在値")</f>
        <v>31670</v>
      </c>
      <c r="D223" s="6" cm="1">
        <f t="array" ref="D223">_xll.RssMarket(A223, "始値")</f>
        <v>32000</v>
      </c>
      <c r="E223" s="6" cm="1">
        <f t="array" ref="E223">_xll.RssMarket($A223, "前日終値")</f>
        <v>32150</v>
      </c>
      <c r="F223" s="6" cm="1">
        <f t="array" ref="F223">_xll.RssMarket($A223, "出来高")</f>
        <v>1478</v>
      </c>
    </row>
    <row r="224" spans="1:6">
      <c r="A224" s="20" t="s">
        <v>56</v>
      </c>
      <c r="B224" s="6" t="str" cm="1">
        <f t="array" ref="B224">_xll.RssMarket($A224, "銘柄名称")</f>
        <v>セレス</v>
      </c>
      <c r="C224" s="6" cm="1">
        <f t="array" ref="C224">_xll.RssMarket(A224, "現在値")</f>
        <v>2108</v>
      </c>
      <c r="D224" s="6" cm="1">
        <f t="array" ref="D224">_xll.RssMarket(A224, "始値")</f>
        <v>2129</v>
      </c>
      <c r="E224" s="6" cm="1">
        <f t="array" ref="E224">_xll.RssMarket($A224, "前日終値")</f>
        <v>2145</v>
      </c>
      <c r="F224" s="6" cm="1">
        <f t="array" ref="F224">_xll.RssMarket($A224, "出来高")</f>
        <v>112900</v>
      </c>
    </row>
    <row r="225" spans="1:6">
      <c r="A225" s="20" t="s">
        <v>57</v>
      </c>
      <c r="B225" s="6" t="str" cm="1">
        <f t="array" ref="B225">_xll.RssMarket($A225, "銘柄名称")</f>
        <v>児玉化学</v>
      </c>
      <c r="C225" s="6" cm="1">
        <f t="array" ref="C225">_xll.RssMarket(A225, "現在値")</f>
        <v>601</v>
      </c>
      <c r="D225" s="6" cm="1">
        <f t="array" ref="D225">_xll.RssMarket(A225, "始値")</f>
        <v>617</v>
      </c>
      <c r="E225" s="6" cm="1">
        <f t="array" ref="E225">_xll.RssMarket($A225, "前日終値")</f>
        <v>627</v>
      </c>
      <c r="F225" s="6" cm="1">
        <f t="array" ref="F225">_xll.RssMarket($A225, "出来高")</f>
        <v>383500</v>
      </c>
    </row>
    <row r="226" spans="1:6">
      <c r="A226" s="20" t="s">
        <v>58</v>
      </c>
      <c r="B226" s="6" t="str" cm="1">
        <f t="array" ref="B226">_xll.RssMarket($A226, "銘柄名称")</f>
        <v>ＦＯＯＤ＆ＬＩＦＥＣＯＭＰＡＮ</v>
      </c>
      <c r="C226" s="6" cm="1">
        <f t="array" ref="C226">_xll.RssMarket(A226, "現在値")</f>
        <v>5409</v>
      </c>
      <c r="D226" s="6" cm="1">
        <f t="array" ref="D226">_xll.RssMarket(A226, "始値")</f>
        <v>5362</v>
      </c>
      <c r="E226" s="6" cm="1">
        <f t="array" ref="E226">_xll.RssMarket($A226, "前日終値")</f>
        <v>5423</v>
      </c>
      <c r="F226" s="6" cm="1">
        <f t="array" ref="F226">_xll.RssMarket($A226, "出来高")</f>
        <v>2094100</v>
      </c>
    </row>
    <row r="227" spans="1:6">
      <c r="A227" s="20" t="s">
        <v>59</v>
      </c>
      <c r="B227" s="6" t="str" cm="1">
        <f t="array" ref="B227">_xll.RssMarket($A227, "銘柄名称")</f>
        <v>ＩＨＩ</v>
      </c>
      <c r="C227" s="6" cm="1">
        <f t="array" ref="C227">_xll.RssMarket(A227, "現在値")</f>
        <v>2666.5</v>
      </c>
      <c r="D227" s="6" cm="1">
        <f t="array" ref="D227">_xll.RssMarket(A227, "始値")</f>
        <v>2807</v>
      </c>
      <c r="E227" s="6" cm="1">
        <f t="array" ref="E227">_xll.RssMarket($A227, "前日終値")</f>
        <v>2809</v>
      </c>
      <c r="F227" s="6" cm="1">
        <f t="array" ref="F227">_xll.RssMarket($A227, "出来高")</f>
        <v>14372100</v>
      </c>
    </row>
    <row r="228" spans="1:6">
      <c r="A228" s="20" t="s">
        <v>60</v>
      </c>
      <c r="B228" s="6" t="str" cm="1">
        <f t="array" ref="B228">_xll.RssMarket($A228, "銘柄名称")</f>
        <v>ＮＥＣキャピタルソリューション</v>
      </c>
      <c r="C228" s="6" cm="1">
        <f t="array" ref="C228">_xll.RssMarket(A228, "現在値")</f>
        <v>4015</v>
      </c>
      <c r="D228" s="6" cm="1">
        <f t="array" ref="D228">_xll.RssMarket(A228, "始値")</f>
        <v>4100</v>
      </c>
      <c r="E228" s="6" cm="1">
        <f t="array" ref="E228">_xll.RssMarket($A228, "前日終値")</f>
        <v>4085</v>
      </c>
      <c r="F228" s="6" cm="1">
        <f t="array" ref="F228">_xll.RssMarket($A228, "出来高")</f>
        <v>22400</v>
      </c>
    </row>
    <row r="229" spans="1:6">
      <c r="A229" s="20" t="s">
        <v>61</v>
      </c>
      <c r="B229" s="6" t="str" cm="1">
        <f t="array" ref="B229">_xll.RssMarket($A229, "銘柄名称")</f>
        <v>ミスミグループ本社</v>
      </c>
      <c r="C229" s="6" cm="1">
        <f t="array" ref="C229">_xll.RssMarket(A229, "現在値")</f>
        <v>3632</v>
      </c>
      <c r="D229" s="6" cm="1">
        <f t="array" ref="D229">_xll.RssMarket(A229, "始値")</f>
        <v>3702</v>
      </c>
      <c r="E229" s="6" cm="1">
        <f t="array" ref="E229">_xll.RssMarket($A229, "前日終値")</f>
        <v>3772</v>
      </c>
      <c r="F229" s="6" cm="1">
        <f t="array" ref="F229">_xll.RssMarket($A229, "出来高")</f>
        <v>1413000</v>
      </c>
    </row>
    <row r="230" spans="1:6">
      <c r="A230" s="20" t="s">
        <v>62</v>
      </c>
      <c r="B230" s="6" t="str" cm="1">
        <f t="array" ref="B230">_xll.RssMarket($A230, "銘柄名称")</f>
        <v>ＴＤＫ</v>
      </c>
      <c r="C230" s="6" cm="1">
        <f t="array" ref="C230">_xll.RssMarket(A230, "現在値")</f>
        <v>2968</v>
      </c>
      <c r="D230" s="6" cm="1">
        <f t="array" ref="D230">_xll.RssMarket(A230, "始値")</f>
        <v>3000</v>
      </c>
      <c r="E230" s="6" cm="1">
        <f t="array" ref="E230">_xll.RssMarket($A230, "前日終値")</f>
        <v>3085</v>
      </c>
      <c r="F230" s="6" cm="1">
        <f t="array" ref="F230">_xll.RssMarket($A230, "出来高")</f>
        <v>17751500</v>
      </c>
    </row>
    <row r="231" spans="1:6">
      <c r="A231" s="20" t="s">
        <v>63</v>
      </c>
      <c r="B231" s="6" t="str" cm="1">
        <f t="array" ref="B231">_xll.RssMarket($A231, "銘柄名称")</f>
        <v>ＦＩＧ</v>
      </c>
      <c r="C231" s="6" cm="1">
        <f t="array" ref="C231">_xll.RssMarket(A231, "現在値")</f>
        <v>1064</v>
      </c>
      <c r="D231" s="6" cm="1">
        <f t="array" ref="D231">_xll.RssMarket(A231, "始値")</f>
        <v>1080</v>
      </c>
      <c r="E231" s="6" cm="1">
        <f t="array" ref="E231">_xll.RssMarket($A231, "前日終値")</f>
        <v>1115</v>
      </c>
      <c r="F231" s="6" cm="1">
        <f t="array" ref="F231">_xll.RssMarket($A231, "出来高")</f>
        <v>1624400</v>
      </c>
    </row>
    <row r="232" spans="1:6">
      <c r="A232" s="20" t="s">
        <v>64</v>
      </c>
      <c r="B232" s="6" t="str" cm="1">
        <f t="array" ref="B232">_xll.RssMarket($A232, "銘柄名称")</f>
        <v>スクロール</v>
      </c>
      <c r="C232" s="6" cm="1">
        <f t="array" ref="C232">_xll.RssMarket(A232, "現在値")</f>
        <v>1713</v>
      </c>
      <c r="D232" s="6" cm="1">
        <f t="array" ref="D232">_xll.RssMarket(A232, "始値")</f>
        <v>1730</v>
      </c>
      <c r="E232" s="6" cm="1">
        <f t="array" ref="E232">_xll.RssMarket($A232, "前日終値")</f>
        <v>1737</v>
      </c>
      <c r="F232" s="6" cm="1">
        <f t="array" ref="F232">_xll.RssMarket($A232, "出来高")</f>
        <v>166400</v>
      </c>
    </row>
    <row r="233" spans="1:6">
      <c r="A233" s="20" t="s">
        <v>65</v>
      </c>
      <c r="B233" s="6" t="str" cm="1">
        <f t="array" ref="B233">_xll.RssMarket($A233, "銘柄名称")</f>
        <v>デジタルアーツ</v>
      </c>
      <c r="C233" s="6" cm="1">
        <f t="array" ref="C233">_xll.RssMarket(A233, "現在値")</f>
        <v>3995</v>
      </c>
      <c r="D233" s="6" cm="1">
        <f t="array" ref="D233">_xll.RssMarket(A233, "始値")</f>
        <v>3980</v>
      </c>
      <c r="E233" s="6" cm="1">
        <f t="array" ref="E233">_xll.RssMarket($A233, "前日終値")</f>
        <v>4015</v>
      </c>
      <c r="F233" s="6" cm="1">
        <f t="array" ref="F233">_xll.RssMarket($A233, "出来高")</f>
        <v>957900</v>
      </c>
    </row>
    <row r="234" spans="1:6">
      <c r="A234" s="20" t="s">
        <v>66</v>
      </c>
      <c r="B234" s="6" t="str" cm="1">
        <f t="array" ref="B234">_xll.RssMarket($A234, "銘柄名称")</f>
        <v>ＴＯＡ</v>
      </c>
      <c r="C234" s="6" cm="1">
        <f t="array" ref="C234">_xll.RssMarket(A234, "現在値")</f>
        <v>1569</v>
      </c>
      <c r="D234" s="6" cm="1">
        <f t="array" ref="D234">_xll.RssMarket(A234, "始値")</f>
        <v>1590</v>
      </c>
      <c r="E234" s="6" cm="1">
        <f t="array" ref="E234">_xll.RssMarket($A234, "前日終値")</f>
        <v>1585</v>
      </c>
      <c r="F234" s="6" cm="1">
        <f t="array" ref="F234">_xll.RssMarket($A234, "出来高")</f>
        <v>77100</v>
      </c>
    </row>
    <row r="235" spans="1:6">
      <c r="A235" s="20" t="s">
        <v>67</v>
      </c>
      <c r="B235" s="6" t="str" cm="1">
        <f t="array" ref="B235">_xll.RssMarket($A235, "銘柄名称")</f>
        <v>ユーザーローカル</v>
      </c>
      <c r="C235" s="6" cm="1">
        <f t="array" ref="C235">_xll.RssMarket(A235, "現在値")</f>
        <v>1797</v>
      </c>
      <c r="D235" s="6" cm="1">
        <f t="array" ref="D235">_xll.RssMarket(A235, "始値")</f>
        <v>1804</v>
      </c>
      <c r="E235" s="6" cm="1">
        <f t="array" ref="E235">_xll.RssMarket($A235, "前日終値")</f>
        <v>1829</v>
      </c>
      <c r="F235" s="6" cm="1">
        <f t="array" ref="F235">_xll.RssMarket($A235, "出来高")</f>
        <v>58600</v>
      </c>
    </row>
    <row r="236" spans="1:6">
      <c r="A236" s="20" t="s">
        <v>68</v>
      </c>
      <c r="B236" s="6" t="str" cm="1">
        <f t="array" ref="B236">_xll.RssMarket($A236, "銘柄名称")</f>
        <v>ダイトロン</v>
      </c>
      <c r="C236" s="6" cm="1">
        <f t="array" ref="C236">_xll.RssMarket(A236, "現在値")</f>
        <v>3300</v>
      </c>
      <c r="D236" s="6" cm="1">
        <f t="array" ref="D236">_xll.RssMarket(A236, "始値")</f>
        <v>3345</v>
      </c>
      <c r="E236" s="6" cm="1">
        <f t="array" ref="E236">_xll.RssMarket($A236, "前日終値")</f>
        <v>3455</v>
      </c>
      <c r="F236" s="6" cm="1">
        <f t="array" ref="F236">_xll.RssMarket($A236, "出来高")</f>
        <v>118100</v>
      </c>
    </row>
    <row r="237" spans="1:6">
      <c r="A237" s="20" t="s">
        <v>69</v>
      </c>
      <c r="B237" s="6" t="str" cm="1">
        <f t="array" ref="B237">_xll.RssMarket($A237, "銘柄名称")</f>
        <v>イトーキ</v>
      </c>
      <c r="C237" s="6" cm="1">
        <f t="array" ref="C237">_xll.RssMarket(A237, "現在値")</f>
        <v>2720</v>
      </c>
      <c r="D237" s="6" cm="1">
        <f t="array" ref="D237">_xll.RssMarket(A237, "始値")</f>
        <v>2810</v>
      </c>
      <c r="E237" s="6" cm="1">
        <f t="array" ref="E237">_xll.RssMarket($A237, "前日終値")</f>
        <v>2801</v>
      </c>
      <c r="F237" s="6" cm="1">
        <f t="array" ref="F237">_xll.RssMarket($A237, "出来高")</f>
        <v>215400</v>
      </c>
    </row>
    <row r="238" spans="1:6">
      <c r="A238" s="20" t="s">
        <v>70</v>
      </c>
      <c r="B238" s="6" t="str" cm="1">
        <f t="array" ref="B238">_xll.RssMarket($A238, "銘柄名称")</f>
        <v>オキサイド</v>
      </c>
      <c r="C238" s="6" cm="1">
        <f t="array" ref="C238">_xll.RssMarket(A238, "現在値")</f>
        <v>3385</v>
      </c>
      <c r="D238" s="6" cm="1">
        <f t="array" ref="D238">_xll.RssMarket(A238, "始値")</f>
        <v>3550</v>
      </c>
      <c r="E238" s="6" cm="1">
        <f t="array" ref="E238">_xll.RssMarket($A238, "前日終値")</f>
        <v>3645</v>
      </c>
      <c r="F238" s="6" cm="1">
        <f t="array" ref="F238">_xll.RssMarket($A238, "出来高")</f>
        <v>426300</v>
      </c>
    </row>
    <row r="239" spans="1:6">
      <c r="A239" s="20" t="s">
        <v>71</v>
      </c>
      <c r="B239" s="6" t="str" cm="1">
        <f t="array" ref="B239">_xll.RssMarket($A239, "銘柄名称")</f>
        <v>クオルテック</v>
      </c>
      <c r="C239" s="6" cm="1">
        <f t="array" ref="C239">_xll.RssMarket(A239, "現在値")</f>
        <v>1702</v>
      </c>
      <c r="D239" s="6" cm="1">
        <f t="array" ref="D239">_xll.RssMarket(A239, "始値")</f>
        <v>1700</v>
      </c>
      <c r="E239" s="6" cm="1">
        <f t="array" ref="E239">_xll.RssMarket($A239, "前日終値")</f>
        <v>1708</v>
      </c>
      <c r="F239" s="6" cm="1">
        <f t="array" ref="F239">_xll.RssMarket($A239, "出来高")</f>
        <v>18100</v>
      </c>
    </row>
    <row r="240" spans="1:6">
      <c r="A240" s="20" t="s">
        <v>72</v>
      </c>
      <c r="B240" s="6" t="str" cm="1">
        <f t="array" ref="B240">_xll.RssMarket($A240, "銘柄名称")</f>
        <v>デンソー</v>
      </c>
      <c r="C240" s="6" cm="1">
        <f t="array" ref="C240">_xll.RssMarket(A240, "現在値")</f>
        <v>1964</v>
      </c>
      <c r="D240" s="6" cm="1">
        <f t="array" ref="D240">_xll.RssMarket(A240, "始値")</f>
        <v>1971</v>
      </c>
      <c r="E240" s="6" cm="1">
        <f t="array" ref="E240">_xll.RssMarket($A240, "前日終値")</f>
        <v>1975.5</v>
      </c>
      <c r="F240" s="6" cm="1">
        <f t="array" ref="F240">_xll.RssMarket($A240, "出来高")</f>
        <v>6893300</v>
      </c>
    </row>
    <row r="241" spans="1:6">
      <c r="A241" s="20" t="s">
        <v>73</v>
      </c>
      <c r="B241" s="6" t="str" cm="1">
        <f t="array" ref="B241">_xll.RssMarket($A241, "銘柄名称")</f>
        <v>グローバルウェイ</v>
      </c>
      <c r="C241" s="6" cm="1">
        <f t="array" ref="C241">_xll.RssMarket(A241, "現在値")</f>
        <v>156</v>
      </c>
      <c r="D241" s="6" cm="1">
        <f t="array" ref="D241">_xll.RssMarket(A241, "始値")</f>
        <v>162</v>
      </c>
      <c r="E241" s="6" cm="1">
        <f t="array" ref="E241">_xll.RssMarket($A241, "前日終値")</f>
        <v>163</v>
      </c>
      <c r="F241" s="6" cm="1">
        <f t="array" ref="F241">_xll.RssMarket($A241, "出来高")</f>
        <v>825700</v>
      </c>
    </row>
    <row r="242" spans="1:6">
      <c r="A242" s="20" t="s">
        <v>74</v>
      </c>
      <c r="B242" s="6" t="str" cm="1">
        <f t="array" ref="B242">_xll.RssMarket($A242, "銘柄名称")</f>
        <v>エノモト</v>
      </c>
      <c r="C242" s="6" cm="1">
        <f t="array" ref="C242">_xll.RssMarket(A242, "現在値")</f>
        <v>2530</v>
      </c>
      <c r="D242" s="6" cm="1">
        <f t="array" ref="D242">_xll.RssMarket(A242, "始値")</f>
        <v>2735</v>
      </c>
      <c r="E242" s="6" cm="1">
        <f t="array" ref="E242">_xll.RssMarket($A242, "前日終値")</f>
        <v>2785</v>
      </c>
      <c r="F242" s="6" cm="1">
        <f t="array" ref="F242">_xll.RssMarket($A242, "出来高")</f>
        <v>51400</v>
      </c>
    </row>
    <row r="243" spans="1:6">
      <c r="A243" s="20" t="s">
        <v>75</v>
      </c>
      <c r="B243" s="6" t="str" cm="1">
        <f t="array" ref="B243">_xll.RssMarket($A243, "銘柄名称")</f>
        <v>三菱製鋼</v>
      </c>
      <c r="C243" s="6" cm="1">
        <f t="array" ref="C243">_xll.RssMarket(A243, "現在値")</f>
        <v>2101</v>
      </c>
      <c r="D243" s="6" cm="1">
        <f t="array" ref="D243">_xll.RssMarket(A243, "始値")</f>
        <v>2145</v>
      </c>
      <c r="E243" s="6" cm="1">
        <f t="array" ref="E243">_xll.RssMarket($A243, "前日終値")</f>
        <v>2147</v>
      </c>
      <c r="F243" s="6" cm="1">
        <f t="array" ref="F243">_xll.RssMarket($A243, "出来高")</f>
        <v>98300</v>
      </c>
    </row>
    <row r="244" spans="1:6">
      <c r="A244" s="20" t="s">
        <v>76</v>
      </c>
      <c r="B244" s="6" t="str" cm="1">
        <f t="array" ref="B244">_xll.RssMarket($A244, "銘柄名称")</f>
        <v>リクルートホールディングス</v>
      </c>
      <c r="C244" s="6" cm="1">
        <f t="array" ref="C244">_xll.RssMarket(A244, "現在値")</f>
        <v>12820</v>
      </c>
      <c r="D244" s="6" cm="1">
        <f t="array" ref="D244">_xll.RssMarket(A244, "始値")</f>
        <v>12715</v>
      </c>
      <c r="E244" s="6" cm="1">
        <f t="array" ref="E244">_xll.RssMarket($A244, "前日終値")</f>
        <v>12615</v>
      </c>
      <c r="F244" s="6" cm="1">
        <f t="array" ref="F244">_xll.RssMarket($A244, "出来高")</f>
        <v>3748400</v>
      </c>
    </row>
    <row r="245" spans="1:6">
      <c r="A245" s="20" t="s">
        <v>77</v>
      </c>
      <c r="B245" s="6" t="str" cm="1">
        <f t="array" ref="B245">_xll.RssMarket($A245, "銘柄名称")</f>
        <v>荏原製作所</v>
      </c>
      <c r="C245" s="6" cm="1">
        <f t="array" ref="C245">_xll.RssMarket(A245, "現在値")</f>
        <v>5384</v>
      </c>
      <c r="D245" s="6" cm="1">
        <f t="array" ref="D245">_xll.RssMarket(A245, "始値")</f>
        <v>5650</v>
      </c>
      <c r="E245" s="6" cm="1">
        <f t="array" ref="E245">_xll.RssMarket($A245, "前日終値")</f>
        <v>5830</v>
      </c>
      <c r="F245" s="6" cm="1">
        <f t="array" ref="F245">_xll.RssMarket($A245, "出来高")</f>
        <v>4306500</v>
      </c>
    </row>
    <row r="246" spans="1:6">
      <c r="A246" s="20" t="s">
        <v>78</v>
      </c>
      <c r="B246" s="6" t="str" cm="1">
        <f t="array" ref="B246">_xll.RssMarket($A246, "銘柄名称")</f>
        <v>情報戦略テクノロジー</v>
      </c>
      <c r="C246" s="6" cm="1">
        <f t="array" ref="C246">_xll.RssMarket(A246, "現在値")</f>
        <v>843</v>
      </c>
      <c r="D246" s="6" cm="1">
        <f t="array" ref="D246">_xll.RssMarket(A246, "始値")</f>
        <v>879</v>
      </c>
      <c r="E246" s="6" cm="1">
        <f t="array" ref="E246">_xll.RssMarket($A246, "前日終値")</f>
        <v>891</v>
      </c>
      <c r="F246" s="6" cm="1">
        <f t="array" ref="F246">_xll.RssMarket($A246, "出来高")</f>
        <v>97600</v>
      </c>
    </row>
    <row r="247" spans="1:6">
      <c r="A247" s="20" t="s">
        <v>79</v>
      </c>
      <c r="B247" s="6" t="str" cm="1">
        <f t="array" ref="B247">_xll.RssMarket($A247, "銘柄名称")</f>
        <v>ＴＥＲＲＡＤＲＯＮＥ</v>
      </c>
      <c r="C247" s="6" cm="1">
        <f t="array" ref="C247">_xll.RssMarket(A247, "現在値")</f>
        <v>13770</v>
      </c>
      <c r="D247" s="6" cm="1">
        <f t="array" ref="D247">_xll.RssMarket(A247, "始値")</f>
        <v>12420</v>
      </c>
      <c r="E247" s="6" cm="1">
        <f t="array" ref="E247">_xll.RssMarket($A247, "前日終値")</f>
        <v>12120</v>
      </c>
      <c r="F247" s="6" cm="1">
        <f t="array" ref="F247">_xll.RssMarket($A247, "出来高")</f>
        <v>4024700</v>
      </c>
    </row>
    <row r="248" spans="1:6">
      <c r="A248" s="20" t="s">
        <v>80</v>
      </c>
      <c r="B248" s="6" t="str" cm="1">
        <f t="array" ref="B248">_xll.RssMarket($A248, "銘柄名称")</f>
        <v>ＭＩＣ</v>
      </c>
      <c r="C248" s="6" cm="1">
        <f t="array" ref="C248">_xll.RssMarket(A248, "現在値")</f>
        <v>2874</v>
      </c>
      <c r="D248" s="6" cm="1">
        <f t="array" ref="D248">_xll.RssMarket(A248, "始値")</f>
        <v>2870</v>
      </c>
      <c r="E248" s="6" cm="1">
        <f t="array" ref="E248">_xll.RssMarket($A248, "前日終値")</f>
        <v>2881</v>
      </c>
      <c r="F248" s="6" cm="1">
        <f t="array" ref="F248">_xll.RssMarket($A248, "出来高")</f>
        <v>12800</v>
      </c>
    </row>
    <row r="249" spans="1:6">
      <c r="A249" s="20" t="s">
        <v>81</v>
      </c>
      <c r="B249" s="6" t="str" cm="1">
        <f t="array" ref="B249">_xll.RssMarket($A249, "銘柄名称")</f>
        <v>サイボウズ</v>
      </c>
      <c r="C249" s="6" cm="1">
        <f t="array" ref="C249">_xll.RssMarket(A249, "現在値")</f>
        <v>2566</v>
      </c>
      <c r="D249" s="6" cm="1">
        <f t="array" ref="D249">_xll.RssMarket(A249, "始値")</f>
        <v>2610</v>
      </c>
      <c r="E249" s="6" cm="1">
        <f t="array" ref="E249">_xll.RssMarket($A249, "前日終値")</f>
        <v>2610</v>
      </c>
      <c r="F249" s="6" cm="1">
        <f t="array" ref="F249">_xll.RssMarket($A249, "出来高")</f>
        <v>211700</v>
      </c>
    </row>
    <row r="250" spans="1:6">
      <c r="A250" s="20" t="s">
        <v>82</v>
      </c>
      <c r="B250" s="6" t="str" cm="1">
        <f t="array" ref="B250">_xll.RssMarket($A250, "銘柄名称")</f>
        <v>トレンドマイクロ</v>
      </c>
      <c r="C250" s="6" cm="1">
        <f t="array" ref="C250">_xll.RssMarket(A250, "現在値")</f>
        <v>6480</v>
      </c>
      <c r="D250" s="6" cm="1">
        <f t="array" ref="D250">_xll.RssMarket(A250, "始値")</f>
        <v>6429</v>
      </c>
      <c r="E250" s="6" cm="1">
        <f t="array" ref="E250">_xll.RssMarket($A250, "前日終値")</f>
        <v>6470</v>
      </c>
      <c r="F250" s="6" cm="1">
        <f t="array" ref="F250">_xll.RssMarket($A250, "出来高")</f>
        <v>2450000</v>
      </c>
    </row>
    <row r="251" spans="1:6">
      <c r="A251" s="20" t="s">
        <v>83</v>
      </c>
      <c r="B251" s="6" t="str" cm="1">
        <f t="array" ref="B251">_xll.RssMarket($A251, "銘柄名称")</f>
        <v>栗田工業</v>
      </c>
      <c r="C251" s="6" cm="1">
        <f t="array" ref="C251">_xll.RssMarket(A251, "現在値")</f>
        <v>8575</v>
      </c>
      <c r="D251" s="6" cm="1">
        <f t="array" ref="D251">_xll.RssMarket(A251, "始値")</f>
        <v>8781</v>
      </c>
      <c r="E251" s="6" cm="1">
        <f t="array" ref="E251">_xll.RssMarket($A251, "前日終値")</f>
        <v>8973</v>
      </c>
      <c r="F251" s="6" cm="1">
        <f t="array" ref="F251">_xll.RssMarket($A251, "出来高")</f>
        <v>712200</v>
      </c>
    </row>
    <row r="252" spans="1:6">
      <c r="A252" s="20" t="s">
        <v>84</v>
      </c>
      <c r="B252" s="6" t="str" cm="1">
        <f t="array" ref="B252">_xll.RssMarket($A252, "銘柄名称")</f>
        <v>名村造船所</v>
      </c>
      <c r="C252" s="6" cm="1">
        <f t="array" ref="C252">_xll.RssMarket(A252, "現在値")</f>
        <v>3785</v>
      </c>
      <c r="D252" s="6" cm="1">
        <f t="array" ref="D252">_xll.RssMarket(A252, "始値")</f>
        <v>3755</v>
      </c>
      <c r="E252" s="6" cm="1">
        <f t="array" ref="E252">_xll.RssMarket($A252, "前日終値")</f>
        <v>3960</v>
      </c>
      <c r="F252" s="6" cm="1">
        <f t="array" ref="F252">_xll.RssMarket($A252, "出来高")</f>
        <v>1395500</v>
      </c>
    </row>
    <row r="253" spans="1:6">
      <c r="A253" s="20" t="s">
        <v>85</v>
      </c>
      <c r="B253" s="6" t="str" cm="1">
        <f t="array" ref="B253">_xll.RssMarket($A253, "銘柄名称")</f>
        <v>イノテック</v>
      </c>
      <c r="C253" s="6" cm="1">
        <f t="array" ref="C253">_xll.RssMarket(A253, "現在値")</f>
        <v>3230</v>
      </c>
      <c r="D253" s="6" cm="1">
        <f t="array" ref="D253">_xll.RssMarket(A253, "始値")</f>
        <v>3330</v>
      </c>
      <c r="E253" s="6" cm="1">
        <f t="array" ref="E253">_xll.RssMarket($A253, "前日終値")</f>
        <v>3425</v>
      </c>
      <c r="F253" s="6" cm="1">
        <f t="array" ref="F253">_xll.RssMarket($A253, "出来高")</f>
        <v>221500</v>
      </c>
    </row>
    <row r="254" spans="1:6">
      <c r="A254" s="20" t="s">
        <v>86</v>
      </c>
      <c r="B254" s="6" t="str" cm="1">
        <f t="array" ref="B254">_xll.RssMarket($A254, "銘柄名称")</f>
        <v>カバー</v>
      </c>
      <c r="C254" s="6" cm="1">
        <f t="array" ref="C254">_xll.RssMarket(A254, "現在値")</f>
        <v>1640</v>
      </c>
      <c r="D254" s="6" cm="1">
        <f t="array" ref="D254">_xll.RssMarket(A254, "始値")</f>
        <v>1668</v>
      </c>
      <c r="E254" s="6" cm="1">
        <f t="array" ref="E254">_xll.RssMarket($A254, "前日終値")</f>
        <v>1677</v>
      </c>
      <c r="F254" s="6" cm="1">
        <f t="array" ref="F254">_xll.RssMarket($A254, "出来高")</f>
        <v>1180600</v>
      </c>
    </row>
    <row r="255" spans="1:6">
      <c r="A255" s="20" t="s">
        <v>87</v>
      </c>
      <c r="B255" s="6" t="str" cm="1">
        <f t="array" ref="B255">_xll.RssMarket($A255, "銘柄名称")</f>
        <v>商船三井</v>
      </c>
      <c r="C255" s="6" cm="1">
        <f t="array" ref="C255">_xll.RssMarket(A255, "現在値")</f>
        <v>5609</v>
      </c>
      <c r="D255" s="6" cm="1">
        <f t="array" ref="D255">_xll.RssMarket(A255, "始値")</f>
        <v>5550</v>
      </c>
      <c r="E255" s="6" cm="1">
        <f t="array" ref="E255">_xll.RssMarket($A255, "前日終値")</f>
        <v>5522</v>
      </c>
      <c r="F255" s="6" cm="1">
        <f t="array" ref="F255">_xll.RssMarket($A255, "出来高")</f>
        <v>2570000</v>
      </c>
    </row>
    <row r="256" spans="1:6">
      <c r="A256" s="20" t="s">
        <v>88</v>
      </c>
      <c r="B256" s="6" t="str" cm="1">
        <f t="array" ref="B256">_xll.RssMarket($A256, "銘柄名称")</f>
        <v>千代田化工建</v>
      </c>
      <c r="C256" s="6" cm="1">
        <f t="array" ref="C256">_xll.RssMarket(A256, "現在値")</f>
        <v>636</v>
      </c>
      <c r="D256" s="6" cm="1">
        <f t="array" ref="D256">_xll.RssMarket(A256, "始値")</f>
        <v>661</v>
      </c>
      <c r="E256" s="6" cm="1">
        <f t="array" ref="E256">_xll.RssMarket($A256, "前日終値")</f>
        <v>671</v>
      </c>
      <c r="F256" s="6" cm="1">
        <f t="array" ref="F256">_xll.RssMarket($A256, "出来高")</f>
        <v>4687200</v>
      </c>
    </row>
    <row r="257" spans="1:6">
      <c r="A257" s="20" t="s">
        <v>89</v>
      </c>
      <c r="B257" s="6" t="str" cm="1">
        <f t="array" ref="B257">_xll.RssMarket($A257, "銘柄名称")</f>
        <v>旭ダイヤモンド</v>
      </c>
      <c r="C257" s="6" cm="1">
        <f t="array" ref="C257">_xll.RssMarket(A257, "現在値")</f>
        <v>1153</v>
      </c>
      <c r="D257" s="6" cm="1">
        <f t="array" ref="D257">_xll.RssMarket(A257, "始値")</f>
        <v>1173</v>
      </c>
      <c r="E257" s="6" cm="1">
        <f t="array" ref="E257">_xll.RssMarket($A257, "前日終値")</f>
        <v>1201</v>
      </c>
      <c r="F257" s="6" cm="1">
        <f t="array" ref="F257">_xll.RssMarket($A257, "出来高")</f>
        <v>891600</v>
      </c>
    </row>
    <row r="258" spans="1:6">
      <c r="A258" s="20" t="s">
        <v>90</v>
      </c>
      <c r="B258" s="6" t="str" cm="1">
        <f t="array" ref="B258">_xll.RssMarket($A258, "銘柄名称")</f>
        <v>住石ホールディングス</v>
      </c>
      <c r="C258" s="6" cm="1">
        <f t="array" ref="C258">_xll.RssMarket(A258, "現在値")</f>
        <v>560</v>
      </c>
      <c r="D258" s="6" cm="1">
        <f t="array" ref="D258">_xll.RssMarket(A258, "始値")</f>
        <v>579</v>
      </c>
      <c r="E258" s="6" cm="1">
        <f t="array" ref="E258">_xll.RssMarket($A258, "前日終値")</f>
        <v>584</v>
      </c>
      <c r="F258" s="6" cm="1">
        <f t="array" ref="F258">_xll.RssMarket($A258, "出来高")</f>
        <v>416400</v>
      </c>
    </row>
    <row r="259" spans="1:6">
      <c r="A259" s="20" t="s">
        <v>91</v>
      </c>
      <c r="B259" s="6" t="str" cm="1">
        <f t="array" ref="B259">_xll.RssMarket($A259, "銘柄名称")</f>
        <v>日本製鋼所</v>
      </c>
      <c r="C259" s="6" cm="1">
        <f t="array" ref="C259">_xll.RssMarket(A259, "現在値")</f>
        <v>7335</v>
      </c>
      <c r="D259" s="6" cm="1">
        <f t="array" ref="D259">_xll.RssMarket(A259, "始値")</f>
        <v>7759</v>
      </c>
      <c r="E259" s="6" cm="1">
        <f t="array" ref="E259">_xll.RssMarket($A259, "前日終値")</f>
        <v>7909</v>
      </c>
      <c r="F259" s="6" cm="1">
        <f t="array" ref="F259">_xll.RssMarket($A259, "出来高")</f>
        <v>1305400</v>
      </c>
    </row>
    <row r="260" spans="1:6">
      <c r="A260" s="20" t="s">
        <v>92</v>
      </c>
      <c r="B260" s="6" t="str" cm="1">
        <f t="array" ref="B260">_xll.RssMarket($A260, "銘柄名称")</f>
        <v>ジーエス・ユアサコーポ</v>
      </c>
      <c r="C260" s="6" cm="1">
        <f t="array" ref="C260">_xll.RssMarket(A260, "現在値")</f>
        <v>5572</v>
      </c>
      <c r="D260" s="6" cm="1">
        <f t="array" ref="D260">_xll.RssMarket(A260, "始値")</f>
        <v>5800</v>
      </c>
      <c r="E260" s="6" cm="1">
        <f t="array" ref="E260">_xll.RssMarket($A260, "前日終値")</f>
        <v>5902</v>
      </c>
      <c r="F260" s="6" cm="1">
        <f t="array" ref="F260">_xll.RssMarket($A260, "出来高")</f>
        <v>923800</v>
      </c>
    </row>
    <row r="261" spans="1:6">
      <c r="A261" s="20" t="s">
        <v>93</v>
      </c>
      <c r="B261" s="6" t="str" cm="1">
        <f t="array" ref="B261">_xll.RssMarket($A261, "銘柄名称")</f>
        <v>ＦＤＫ</v>
      </c>
      <c r="C261" s="6" cm="1">
        <f t="array" ref="C261">_xll.RssMarket(A261, "現在値")</f>
        <v>404</v>
      </c>
      <c r="D261" s="6" cm="1">
        <f t="array" ref="D261">_xll.RssMarket(A261, "始値")</f>
        <v>409</v>
      </c>
      <c r="E261" s="6" cm="1">
        <f t="array" ref="E261">_xll.RssMarket($A261, "前日終値")</f>
        <v>412</v>
      </c>
      <c r="F261" s="6" cm="1">
        <f t="array" ref="F261">_xll.RssMarket($A261, "出来高")</f>
        <v>274900</v>
      </c>
    </row>
    <row r="262" spans="1:6">
      <c r="A262" s="20" t="s">
        <v>94</v>
      </c>
      <c r="B262" s="6" t="str" cm="1">
        <f t="array" ref="B262">_xll.RssMarket($A262, "銘柄名称")</f>
        <v>インフォメティス</v>
      </c>
      <c r="C262" s="6" cm="1">
        <f t="array" ref="C262">_xll.RssMarket(A262, "現在値")</f>
        <v>455</v>
      </c>
      <c r="D262" s="6" cm="1">
        <f t="array" ref="D262">_xll.RssMarket(A262, "始値")</f>
        <v>463</v>
      </c>
      <c r="E262" s="6" cm="1">
        <f t="array" ref="E262">_xll.RssMarket($A262, "前日終値")</f>
        <v>479</v>
      </c>
      <c r="F262" s="6" cm="1">
        <f t="array" ref="F262">_xll.RssMarket($A262, "出来高")</f>
        <v>287400</v>
      </c>
    </row>
    <row r="263" spans="1:6">
      <c r="A263" s="20" t="s">
        <v>95</v>
      </c>
      <c r="B263" s="6" t="str" cm="1">
        <f t="array" ref="B263">_xll.RssMarket($A263, "銘柄名称")</f>
        <v>日本ギア工業</v>
      </c>
      <c r="C263" s="6" cm="1">
        <f t="array" ref="C263">_xll.RssMarket(A263, "現在値")</f>
        <v>1410</v>
      </c>
      <c r="D263" s="6" cm="1">
        <f t="array" ref="D263">_xll.RssMarket(A263, "始値")</f>
        <v>1505</v>
      </c>
      <c r="E263" s="6" cm="1">
        <f t="array" ref="E263">_xll.RssMarket($A263, "前日終値")</f>
        <v>1527</v>
      </c>
      <c r="F263" s="6" cm="1">
        <f t="array" ref="F263">_xll.RssMarket($A263, "出来高")</f>
        <v>360300</v>
      </c>
    </row>
    <row r="264" spans="1:6">
      <c r="A264" s="20" t="s">
        <v>96</v>
      </c>
      <c r="B264" s="6" t="str" cm="1">
        <f t="array" ref="B264">_xll.RssMarket($A264, "銘柄名称")</f>
        <v>助川電気工業</v>
      </c>
      <c r="C264" s="6" cm="1">
        <f t="array" ref="C264">_xll.RssMarket(A264, "現在値")</f>
        <v>4455</v>
      </c>
      <c r="D264" s="6" cm="1">
        <f t="array" ref="D264">_xll.RssMarket(A264, "始値")</f>
        <v>4860</v>
      </c>
      <c r="E264" s="6" cm="1">
        <f t="array" ref="E264">_xll.RssMarket($A264, "前日終値")</f>
        <v>4960</v>
      </c>
      <c r="F264" s="6" cm="1">
        <f t="array" ref="F264">_xll.RssMarket($A264, "出来高")</f>
        <v>162200</v>
      </c>
    </row>
    <row r="265" spans="1:6">
      <c r="A265" s="20" t="s">
        <v>97</v>
      </c>
      <c r="B265" s="6" t="str" cm="1">
        <f t="array" ref="B265">_xll.RssMarket($A265, "銘柄名称")</f>
        <v>日機装</v>
      </c>
      <c r="C265" s="6" cm="1">
        <f t="array" ref="C265">_xll.RssMarket(A265, "現在値")</f>
        <v>3820</v>
      </c>
      <c r="D265" s="6" cm="1">
        <f t="array" ref="D265">_xll.RssMarket(A265, "始値")</f>
        <v>3800</v>
      </c>
      <c r="E265" s="6" cm="1">
        <f t="array" ref="E265">_xll.RssMarket($A265, "前日終値")</f>
        <v>3860</v>
      </c>
      <c r="F265" s="6" cm="1">
        <f t="array" ref="F265">_xll.RssMarket($A265, "出来高")</f>
        <v>783300</v>
      </c>
    </row>
    <row r="266" spans="1:6">
      <c r="A266" s="20" t="s">
        <v>98</v>
      </c>
      <c r="B266" s="6" t="str" cm="1">
        <f t="array" ref="B266">_xll.RssMarket($A266, "銘柄名称")</f>
        <v>明海グループ</v>
      </c>
      <c r="C266" s="6" cm="1">
        <f t="array" ref="C266">_xll.RssMarket(A266, "現在値")</f>
        <v>821</v>
      </c>
      <c r="D266" s="6" cm="1">
        <f t="array" ref="D266">_xll.RssMarket(A266, "始値")</f>
        <v>823</v>
      </c>
      <c r="E266" s="6" cm="1">
        <f t="array" ref="E266">_xll.RssMarket($A266, "前日終値")</f>
        <v>825</v>
      </c>
      <c r="F266" s="6" cm="1">
        <f t="array" ref="F266">_xll.RssMarket($A266, "出来高")</f>
        <v>68700</v>
      </c>
    </row>
    <row r="267" spans="1:6">
      <c r="A267" s="20" t="s">
        <v>99</v>
      </c>
      <c r="B267" s="6" t="str" cm="1">
        <f t="array" ref="B267">_xll.RssMarket($A267, "銘柄名称")</f>
        <v>三菱製紙</v>
      </c>
      <c r="C267" s="6" cm="1">
        <f t="array" ref="C267">_xll.RssMarket(A267, "現在値")</f>
        <v>1092</v>
      </c>
      <c r="D267" s="6" cm="1">
        <f t="array" ref="D267">_xll.RssMarket(A267, "始値")</f>
        <v>1095</v>
      </c>
      <c r="E267" s="6" cm="1">
        <f t="array" ref="E267">_xll.RssMarket($A267, "前日終値")</f>
        <v>1095</v>
      </c>
      <c r="F267" s="6" cm="1">
        <f t="array" ref="F267">_xll.RssMarket($A267, "出来高")</f>
        <v>144200</v>
      </c>
    </row>
    <row r="268" spans="1:6">
      <c r="A268" s="20" t="s">
        <v>100</v>
      </c>
      <c r="B268" s="6" t="str" cm="1">
        <f t="array" ref="B268">_xll.RssMarket($A268, "銘柄名称")</f>
        <v>日本ケミコン</v>
      </c>
      <c r="C268" s="6" cm="1">
        <f t="array" ref="C268">_xll.RssMarket(A268, "現在値")</f>
        <v>3160</v>
      </c>
      <c r="D268" s="6" cm="1">
        <f t="array" ref="D268">_xll.RssMarket(A268, "始値")</f>
        <v>3350</v>
      </c>
      <c r="E268" s="6" cm="1">
        <f t="array" ref="E268">_xll.RssMarket($A268, "前日終値")</f>
        <v>3630</v>
      </c>
      <c r="F268" s="6" cm="1">
        <f t="array" ref="F268">_xll.RssMarket($A268, "出来高")</f>
        <v>1454800</v>
      </c>
    </row>
    <row r="269" spans="1:6">
      <c r="A269" s="20" t="s">
        <v>101</v>
      </c>
      <c r="B269" s="6" t="str" cm="1">
        <f t="array" ref="B269">_xll.RssMarket($A269, "銘柄名称")</f>
        <v>ＨＵグループＨＤ</v>
      </c>
      <c r="C269" s="6" cm="1">
        <f t="array" ref="C269">_xll.RssMarket(A269, "現在値")</f>
        <v>3388</v>
      </c>
      <c r="D269" s="6" cm="1">
        <f t="array" ref="D269">_xll.RssMarket(A269, "始値")</f>
        <v>3366</v>
      </c>
      <c r="E269" s="6" cm="1">
        <f t="array" ref="E269">_xll.RssMarket($A269, "前日終値")</f>
        <v>3366</v>
      </c>
      <c r="F269" s="6" cm="1">
        <f t="array" ref="F269">_xll.RssMarket($A269, "出来高")</f>
        <v>167900</v>
      </c>
    </row>
    <row r="270" spans="1:6">
      <c r="A270" s="20" t="s">
        <v>102</v>
      </c>
      <c r="B270" s="6" t="str" cm="1">
        <f t="array" ref="B270">_xll.RssMarket($A270, "銘柄名称")</f>
        <v>東亜ディーケーケー</v>
      </c>
      <c r="C270" s="6" cm="1">
        <f t="array" ref="C270">_xll.RssMarket(A270, "現在値")</f>
        <v>851</v>
      </c>
      <c r="D270" s="6" cm="1">
        <f t="array" ref="D270">_xll.RssMarket(A270, "始値")</f>
        <v>856</v>
      </c>
      <c r="E270" s="6" cm="1">
        <f t="array" ref="E270">_xll.RssMarket($A270, "前日終値")</f>
        <v>856</v>
      </c>
      <c r="F270" s="6" cm="1">
        <f t="array" ref="F270">_xll.RssMarket($A270, "出来高")</f>
        <v>5100</v>
      </c>
    </row>
    <row r="271" spans="1:6">
      <c r="A271" s="20" t="s">
        <v>103</v>
      </c>
      <c r="B271" s="6" t="str" cm="1">
        <f t="array" ref="B271">_xll.RssMarket($A271, "銘柄名称")</f>
        <v>大紀アルミニウム</v>
      </c>
      <c r="C271" s="6" cm="1">
        <f t="array" ref="C271">_xll.RssMarket(A271, "現在値")</f>
        <v>1445</v>
      </c>
      <c r="D271" s="6" cm="1">
        <f t="array" ref="D271">_xll.RssMarket(A271, "始値")</f>
        <v>1491</v>
      </c>
      <c r="E271" s="6" cm="1">
        <f t="array" ref="E271">_xll.RssMarket($A271, "前日終値")</f>
        <v>1507</v>
      </c>
      <c r="F271" s="6" cm="1">
        <f t="array" ref="F271">_xll.RssMarket($A271, "出来高")</f>
        <v>474800</v>
      </c>
    </row>
    <row r="272" spans="1:6">
      <c r="A272" s="20" t="s">
        <v>104</v>
      </c>
      <c r="B272" s="6" t="str" cm="1">
        <f t="array" ref="B272">_xll.RssMarket($A272, "銘柄名称")</f>
        <v>河合楽器</v>
      </c>
      <c r="C272" s="6" cm="1">
        <f t="array" ref="C272">_xll.RssMarket(A272, "現在値")</f>
        <v>3205</v>
      </c>
      <c r="D272" s="6" cm="1">
        <f t="array" ref="D272">_xll.RssMarket(A272, "始値")</f>
        <v>3300</v>
      </c>
      <c r="E272" s="6" cm="1">
        <f t="array" ref="E272">_xll.RssMarket($A272, "前日終値")</f>
        <v>3275</v>
      </c>
      <c r="F272" s="6" cm="1">
        <f t="array" ref="F272">_xll.RssMarket($A272, "出来高")</f>
        <v>62100</v>
      </c>
    </row>
    <row r="273" spans="1:6">
      <c r="A273" s="20" t="s">
        <v>105</v>
      </c>
      <c r="B273" s="6" t="str" cm="1">
        <f t="array" ref="B273">_xll.RssMarket($A273, "銘柄名称")</f>
        <v>グンゼ</v>
      </c>
      <c r="C273" s="6" cm="1">
        <f t="array" ref="C273">_xll.RssMarket(A273, "現在値")</f>
        <v>3935</v>
      </c>
      <c r="D273" s="6" cm="1">
        <f t="array" ref="D273">_xll.RssMarket(A273, "始値")</f>
        <v>3985</v>
      </c>
      <c r="E273" s="6" cm="1">
        <f t="array" ref="E273">_xll.RssMarket($A273, "前日終値")</f>
        <v>3980</v>
      </c>
      <c r="F273" s="6" cm="1">
        <f t="array" ref="F273">_xll.RssMarket($A273, "出来高")</f>
        <v>128300</v>
      </c>
    </row>
    <row r="274" spans="1:6">
      <c r="A274" s="20" t="s">
        <v>106</v>
      </c>
      <c r="B274" s="6" t="str" cm="1">
        <f t="array" ref="B274">_xll.RssMarket($A274, "銘柄名称")</f>
        <v>ゴールドクレスト</v>
      </c>
      <c r="C274" s="6" cm="1">
        <f t="array" ref="C274">_xll.RssMarket(A274, "現在値")</f>
        <v>3300</v>
      </c>
      <c r="D274" s="6" cm="1">
        <f t="array" ref="D274">_xll.RssMarket(A274, "始値")</f>
        <v>3390</v>
      </c>
      <c r="E274" s="6" cm="1">
        <f t="array" ref="E274">_xll.RssMarket($A274, "前日終値")</f>
        <v>3385</v>
      </c>
      <c r="F274" s="6" cm="1">
        <f t="array" ref="F274">_xll.RssMarket($A274, "出来高")</f>
        <v>123800</v>
      </c>
    </row>
    <row r="275" spans="1:6">
      <c r="A275" s="20" t="s">
        <v>107</v>
      </c>
      <c r="B275" s="6" t="str" cm="1">
        <f t="array" ref="B275">_xll.RssMarket($A275, "銘柄名称")</f>
        <v>アバールデータ</v>
      </c>
      <c r="C275" s="6" cm="1">
        <f t="array" ref="C275">_xll.RssMarket(A275, "現在値")</f>
        <v>3025</v>
      </c>
      <c r="D275" s="6" cm="1">
        <f t="array" ref="D275">_xll.RssMarket(A275, "始値")</f>
        <v>3200</v>
      </c>
      <c r="E275" s="6" cm="1">
        <f t="array" ref="E275">_xll.RssMarket($A275, "前日終値")</f>
        <v>3215</v>
      </c>
      <c r="F275" s="6" cm="1">
        <f t="array" ref="F275">_xll.RssMarket($A275, "出来高")</f>
        <v>69700</v>
      </c>
    </row>
    <row r="276" spans="1:6">
      <c r="A276" s="20" t="s">
        <v>108</v>
      </c>
      <c r="B276" s="6" t="str" cm="1">
        <f t="array" ref="B276">_xll.RssMarket($A276, "銘柄名称")</f>
        <v>ヨシタケ</v>
      </c>
      <c r="C276" s="6" cm="1">
        <f t="array" ref="C276">_xll.RssMarket(A276, "現在値")</f>
        <v>971</v>
      </c>
      <c r="D276" s="6" cm="1">
        <f t="array" ref="D276">_xll.RssMarket(A276, "始値")</f>
        <v>976</v>
      </c>
      <c r="E276" s="6" cm="1">
        <f t="array" ref="E276">_xll.RssMarket($A276, "前日終値")</f>
        <v>976</v>
      </c>
      <c r="F276" s="6" cm="1">
        <f t="array" ref="F276">_xll.RssMarket($A276, "出来高")</f>
        <v>7800</v>
      </c>
    </row>
    <row r="277" spans="1:6">
      <c r="A277" s="20" t="s">
        <v>109</v>
      </c>
      <c r="B277" s="6" t="str" cm="1">
        <f t="array" ref="B277">_xll.RssMarket($A277, "銘柄名称")</f>
        <v>高島</v>
      </c>
      <c r="C277" s="6" cm="1">
        <f t="array" ref="C277">_xll.RssMarket(A277, "現在値")</f>
        <v>778</v>
      </c>
      <c r="D277" s="6" cm="1">
        <f t="array" ref="D277">_xll.RssMarket(A277, "始値")</f>
        <v>784</v>
      </c>
      <c r="E277" s="6" cm="1">
        <f t="array" ref="E277">_xll.RssMarket($A277, "前日終値")</f>
        <v>786</v>
      </c>
      <c r="F277" s="6" cm="1">
        <f t="array" ref="F277">_xll.RssMarket($A277, "出来高")</f>
        <v>123200</v>
      </c>
    </row>
    <row r="278" spans="1:6">
      <c r="A278" s="20" t="s">
        <v>110</v>
      </c>
      <c r="B278" s="6" t="str" cm="1">
        <f t="array" ref="B278">_xll.RssMarket($A278, "銘柄名称")</f>
        <v>ニチバン</v>
      </c>
      <c r="C278" s="6" cm="1">
        <f t="array" ref="C278">_xll.RssMarket(A278, "現在値")</f>
        <v>1934</v>
      </c>
      <c r="D278" s="6" cm="1">
        <f t="array" ref="D278">_xll.RssMarket(A278, "始値")</f>
        <v>1929</v>
      </c>
      <c r="E278" s="6" cm="1">
        <f t="array" ref="E278">_xll.RssMarket($A278, "前日終値")</f>
        <v>1916</v>
      </c>
      <c r="F278" s="6" cm="1">
        <f t="array" ref="F278">_xll.RssMarket($A278, "出来高")</f>
        <v>18100</v>
      </c>
    </row>
    <row r="279" spans="1:6">
      <c r="A279" s="20" t="s">
        <v>111</v>
      </c>
      <c r="B279" s="6" t="str" cm="1">
        <f t="array" ref="B279">_xll.RssMarket($A279, "銘柄名称")</f>
        <v>ＳＣＲＥＥＮホールディングス</v>
      </c>
      <c r="C279" s="6" cm="1">
        <f t="array" ref="C279">_xll.RssMarket(A279, "現在値")</f>
        <v>16510</v>
      </c>
      <c r="D279" s="6" cm="1">
        <f t="array" ref="D279">_xll.RssMarket(A279, "始値")</f>
        <v>17270</v>
      </c>
      <c r="E279" s="6" cm="1">
        <f t="array" ref="E279">_xll.RssMarket($A279, "前日終値")</f>
        <v>18770</v>
      </c>
      <c r="F279" s="6" cm="1">
        <f t="array" ref="F279">_xll.RssMarket($A279, "出来高")</f>
        <v>5140900</v>
      </c>
    </row>
    <row r="280" spans="1:6">
      <c r="A280" s="20" t="s">
        <v>112</v>
      </c>
      <c r="B280" s="6" t="str" cm="1">
        <f t="array" ref="B280">_xll.RssMarket($A280, "銘柄名称")</f>
        <v>データセクション</v>
      </c>
      <c r="C280" s="6" cm="1">
        <f t="array" ref="C280">_xll.RssMarket(A280, "現在値")</f>
        <v>2527</v>
      </c>
      <c r="D280" s="6" cm="1">
        <f t="array" ref="D280">_xll.RssMarket(A280, "始値")</f>
        <v>2592</v>
      </c>
      <c r="E280" s="6" cm="1">
        <f t="array" ref="E280">_xll.RssMarket($A280, "前日終値")</f>
        <v>2689</v>
      </c>
      <c r="F280" s="6" cm="1">
        <f t="array" ref="F280">_xll.RssMarket($A280, "出来高")</f>
        <v>2018100</v>
      </c>
    </row>
    <row r="281" spans="1:6">
      <c r="A281" s="20" t="s">
        <v>113</v>
      </c>
      <c r="B281" s="6" t="str" cm="1">
        <f t="array" ref="B281">_xll.RssMarket($A281, "銘柄名称")</f>
        <v>トリドールホールディングス</v>
      </c>
      <c r="C281" s="6" cm="1">
        <f t="array" ref="C281">_xll.RssMarket(A281, "現在値")</f>
        <v>4150</v>
      </c>
      <c r="D281" s="6" cm="1">
        <f t="array" ref="D281">_xll.RssMarket(A281, "始値")</f>
        <v>4186</v>
      </c>
      <c r="E281" s="6" cm="1">
        <f t="array" ref="E281">_xll.RssMarket($A281, "前日終値")</f>
        <v>4096</v>
      </c>
      <c r="F281" s="6" cm="1">
        <f t="array" ref="F281">_xll.RssMarket($A281, "出来高")</f>
        <v>364100</v>
      </c>
    </row>
    <row r="282" spans="1:6">
      <c r="A282" s="20" t="s">
        <v>114</v>
      </c>
      <c r="B282" s="6" t="str" cm="1">
        <f t="array" ref="B282">_xll.RssMarket($A282, "銘柄名称")</f>
        <v>ＳＵＢＡＲＵ</v>
      </c>
      <c r="C282" s="6" cm="1">
        <f t="array" ref="C282">_xll.RssMarket(A282, "現在値")</f>
        <v>2534</v>
      </c>
      <c r="D282" s="6" cm="1">
        <f t="array" ref="D282">_xll.RssMarket(A282, "始値")</f>
        <v>2530</v>
      </c>
      <c r="E282" s="6" cm="1">
        <f t="array" ref="E282">_xll.RssMarket($A282, "前日終値")</f>
        <v>2518.5</v>
      </c>
      <c r="F282" s="6" cm="1">
        <f t="array" ref="F282">_xll.RssMarket($A282, "出来高")</f>
        <v>3810700</v>
      </c>
    </row>
    <row r="283" spans="1:6">
      <c r="A283" s="20" t="s">
        <v>115</v>
      </c>
      <c r="B283" s="6" t="str" cm="1">
        <f t="array" ref="B283">_xll.RssMarket($A283, "銘柄名称")</f>
        <v>サン電子</v>
      </c>
      <c r="C283" s="6" cm="1">
        <f t="array" ref="C283">_xll.RssMarket(A283, "現在値")</f>
        <v>8870</v>
      </c>
      <c r="D283" s="6" cm="1">
        <f t="array" ref="D283">_xll.RssMarket(A283, "始値")</f>
        <v>9090</v>
      </c>
      <c r="E283" s="6" cm="1">
        <f t="array" ref="E283">_xll.RssMarket($A283, "前日終値")</f>
        <v>8950</v>
      </c>
      <c r="F283" s="6" cm="1">
        <f t="array" ref="F283">_xll.RssMarket($A283, "出来高")</f>
        <v>11600</v>
      </c>
    </row>
    <row r="284" spans="1:6">
      <c r="A284" s="20" t="s">
        <v>116</v>
      </c>
      <c r="B284" s="6" t="str" cm="1">
        <f t="array" ref="B284">_xll.RssMarket($A284, "銘柄名称")</f>
        <v>紀文食品</v>
      </c>
      <c r="C284" s="6" cm="1">
        <f t="array" ref="C284">_xll.RssMarket(A284, "現在値")</f>
        <v>1090</v>
      </c>
      <c r="D284" s="6" cm="1">
        <f t="array" ref="D284">_xll.RssMarket(A284, "始値")</f>
        <v>1081</v>
      </c>
      <c r="E284" s="6" cm="1">
        <f t="array" ref="E284">_xll.RssMarket($A284, "前日終値")</f>
        <v>1081</v>
      </c>
      <c r="F284" s="6" cm="1">
        <f t="array" ref="F284">_xll.RssMarket($A284, "出来高")</f>
        <v>38800</v>
      </c>
    </row>
    <row r="285" spans="1:6">
      <c r="A285" s="20" t="s">
        <v>117</v>
      </c>
      <c r="B285" s="6" t="str" cm="1">
        <f t="array" ref="B285">_xll.RssMarket($A285, "銘柄名称")</f>
        <v>関東電化</v>
      </c>
      <c r="C285" s="6" cm="1">
        <f t="array" ref="C285">_xll.RssMarket(A285, "現在値")</f>
        <v>2701</v>
      </c>
      <c r="D285" s="6" cm="1">
        <f t="array" ref="D285">_xll.RssMarket(A285, "始値")</f>
        <v>2802</v>
      </c>
      <c r="E285" s="6" cm="1">
        <f t="array" ref="E285">_xll.RssMarket($A285, "前日終値")</f>
        <v>2925</v>
      </c>
      <c r="F285" s="6" cm="1">
        <f t="array" ref="F285">_xll.RssMarket($A285, "出来高")</f>
        <v>989300</v>
      </c>
    </row>
    <row r="286" spans="1:6">
      <c r="A286" s="20" t="s">
        <v>118</v>
      </c>
      <c r="B286" s="6" t="str" cm="1">
        <f t="array" ref="B286">_xll.RssMarket($A286, "銘柄名称")</f>
        <v>ＹＵＳＨＩＮ</v>
      </c>
      <c r="C286" s="6" cm="1">
        <f t="array" ref="C286">_xll.RssMarket(A286, "現在値")</f>
        <v>676</v>
      </c>
      <c r="D286" s="6" cm="1">
        <f t="array" ref="D286">_xll.RssMarket(A286, "始値")</f>
        <v>671</v>
      </c>
      <c r="E286" s="6" cm="1">
        <f t="array" ref="E286">_xll.RssMarket($A286, "前日終値")</f>
        <v>666</v>
      </c>
      <c r="F286" s="6" cm="1">
        <f t="array" ref="F286">_xll.RssMarket($A286, "出来高")</f>
        <v>98600</v>
      </c>
    </row>
    <row r="287" spans="1:6">
      <c r="A287" s="20" t="s">
        <v>119</v>
      </c>
      <c r="B287" s="6" t="str" cm="1">
        <f t="array" ref="B287">_xll.RssMarket($A287, "銘柄名称")</f>
        <v>電気興業</v>
      </c>
      <c r="C287" s="6" cm="1">
        <f t="array" ref="C287">_xll.RssMarket(A287, "現在値")</f>
        <v>2875</v>
      </c>
      <c r="D287" s="6" cm="1">
        <f t="array" ref="D287">_xll.RssMarket(A287, "始値")</f>
        <v>2950</v>
      </c>
      <c r="E287" s="6" cm="1">
        <f t="array" ref="E287">_xll.RssMarket($A287, "前日終値")</f>
        <v>2991</v>
      </c>
      <c r="F287" s="6" cm="1">
        <f t="array" ref="F287">_xll.RssMarket($A287, "出来高")</f>
        <v>36100</v>
      </c>
    </row>
    <row r="288" spans="1:6">
      <c r="A288" s="20" t="s">
        <v>120</v>
      </c>
      <c r="B288" s="6" t="str" cm="1">
        <f t="array" ref="B288">_xll.RssMarket($A288, "銘柄名称")</f>
        <v>新光商事</v>
      </c>
      <c r="C288" s="6" cm="1">
        <f t="array" ref="C288">_xll.RssMarket(A288, "現在値")</f>
        <v>1605</v>
      </c>
      <c r="D288" s="6" cm="1">
        <f t="array" ref="D288">_xll.RssMarket(A288, "始値")</f>
        <v>1601</v>
      </c>
      <c r="E288" s="6" cm="1">
        <f t="array" ref="E288">_xll.RssMarket($A288, "前日終値")</f>
        <v>1602</v>
      </c>
      <c r="F288" s="6" cm="1">
        <f t="array" ref="F288">_xll.RssMarket($A288, "出来高")</f>
        <v>139400</v>
      </c>
    </row>
    <row r="289" spans="1:6">
      <c r="A289" s="20" t="s">
        <v>121</v>
      </c>
      <c r="B289" s="6" t="str" cm="1">
        <f t="array" ref="B289">_xll.RssMarket($A289, "銘柄名称")</f>
        <v>山形銀行</v>
      </c>
      <c r="C289" s="6" cm="1">
        <f t="array" ref="C289">_xll.RssMarket(A289, "現在値")</f>
        <v>3615</v>
      </c>
      <c r="D289" s="6" cm="1">
        <f t="array" ref="D289">_xll.RssMarket(A289, "始値")</f>
        <v>3870</v>
      </c>
      <c r="E289" s="6" cm="1">
        <f t="array" ref="E289">_xll.RssMarket($A289, "前日終値")</f>
        <v>3910</v>
      </c>
      <c r="F289" s="6" cm="1">
        <f t="array" ref="F289">_xll.RssMarket($A289, "出来高")</f>
        <v>173100</v>
      </c>
    </row>
    <row r="290" spans="1:6">
      <c r="A290" s="20" t="s">
        <v>122</v>
      </c>
      <c r="B290" s="6" t="str" cm="1">
        <f t="array" ref="B290">_xll.RssMarket($A290, "銘柄名称")</f>
        <v>小野建</v>
      </c>
      <c r="C290" s="6" cm="1">
        <f t="array" ref="C290">_xll.RssMarket(A290, "現在値")</f>
        <v>1405</v>
      </c>
      <c r="D290" s="6" cm="1">
        <f t="array" ref="D290">_xll.RssMarket(A290, "始値")</f>
        <v>1418</v>
      </c>
      <c r="E290" s="6" cm="1">
        <f t="array" ref="E290">_xll.RssMarket($A290, "前日終値")</f>
        <v>1415</v>
      </c>
      <c r="F290" s="6" cm="1">
        <f t="array" ref="F290">_xll.RssMarket($A290, "出来高")</f>
        <v>65100</v>
      </c>
    </row>
    <row r="291" spans="1:6">
      <c r="A291" s="20" t="s">
        <v>123</v>
      </c>
      <c r="B291" s="6" t="str" cm="1">
        <f t="array" ref="B291">_xll.RssMarket($A291, "銘柄名称")</f>
        <v>ＣＫＤ</v>
      </c>
      <c r="C291" s="6" cm="1">
        <f t="array" ref="C291">_xll.RssMarket(A291, "現在値")</f>
        <v>6280</v>
      </c>
      <c r="D291" s="6" cm="1">
        <f t="array" ref="D291">_xll.RssMarket(A291, "始値")</f>
        <v>6410</v>
      </c>
      <c r="E291" s="6" cm="1">
        <f t="array" ref="E291">_xll.RssMarket($A291, "前日終値")</f>
        <v>6770</v>
      </c>
      <c r="F291" s="6" cm="1">
        <f t="array" ref="F291">_xll.RssMarket($A291, "出来高")</f>
        <v>809700</v>
      </c>
    </row>
    <row r="292" spans="1:6">
      <c r="A292" s="20" t="s">
        <v>124</v>
      </c>
      <c r="B292" s="6" t="str" cm="1">
        <f t="array" ref="B292">_xll.RssMarket($A292, "銘柄名称")</f>
        <v>ベルトラ</v>
      </c>
      <c r="C292" s="6" cm="1">
        <f t="array" ref="C292">_xll.RssMarket(A292, "現在値")</f>
        <v>178</v>
      </c>
      <c r="D292" s="6" cm="1">
        <f t="array" ref="D292">_xll.RssMarket(A292, "始値")</f>
        <v>180</v>
      </c>
      <c r="E292" s="6" cm="1">
        <f t="array" ref="E292">_xll.RssMarket($A292, "前日終値")</f>
        <v>180</v>
      </c>
      <c r="F292" s="6" cm="1">
        <f t="array" ref="F292">_xll.RssMarket($A292, "出来高")</f>
        <v>208800</v>
      </c>
    </row>
    <row r="293" spans="1:6">
      <c r="A293" s="20" t="s">
        <v>125</v>
      </c>
      <c r="B293" s="6" t="str" cm="1">
        <f t="array" ref="B293">_xll.RssMarket($A293, "銘柄名称")</f>
        <v>長谷工コーポレーシヨン</v>
      </c>
      <c r="C293" s="6" cm="1">
        <f t="array" ref="C293">_xll.RssMarket(A293, "現在値")</f>
        <v>2812.5</v>
      </c>
      <c r="D293" s="6" cm="1">
        <f t="array" ref="D293">_xll.RssMarket(A293, "始値")</f>
        <v>2840</v>
      </c>
      <c r="E293" s="6" cm="1">
        <f t="array" ref="E293">_xll.RssMarket($A293, "前日終値")</f>
        <v>2809</v>
      </c>
      <c r="F293" s="6" cm="1">
        <f t="array" ref="F293">_xll.RssMarket($A293, "出来高")</f>
        <v>829700</v>
      </c>
    </row>
    <row r="294" spans="1:6">
      <c r="A294" s="20" t="s">
        <v>126</v>
      </c>
      <c r="B294" s="6" t="str" cm="1">
        <f t="array" ref="B294">_xll.RssMarket($A294, "銘柄名称")</f>
        <v>ＵＢＥ</v>
      </c>
      <c r="C294" s="6" cm="1">
        <f t="array" ref="C294">_xll.RssMarket(A294, "現在値")</f>
        <v>3208</v>
      </c>
      <c r="D294" s="6" cm="1">
        <f t="array" ref="D294">_xll.RssMarket(A294, "始値")</f>
        <v>3243</v>
      </c>
      <c r="E294" s="6" cm="1">
        <f t="array" ref="E294">_xll.RssMarket($A294, "前日終値")</f>
        <v>3287</v>
      </c>
      <c r="F294" s="6" cm="1">
        <f t="array" ref="F294">_xll.RssMarket($A294, "出来高")</f>
        <v>1039100</v>
      </c>
    </row>
    <row r="295" spans="1:6">
      <c r="A295" s="20" t="s">
        <v>127</v>
      </c>
      <c r="B295" s="6" t="str" cm="1">
        <f t="array" ref="B295">_xll.RssMarket($A295, "銘柄名称")</f>
        <v>アストロスケールホールディンク</v>
      </c>
      <c r="C295" s="6" cm="1">
        <f t="array" ref="C295">_xll.RssMarket(A295, "現在値")</f>
        <v>981</v>
      </c>
      <c r="D295" s="6" cm="1">
        <f t="array" ref="D295">_xll.RssMarket(A295, "始値")</f>
        <v>1000</v>
      </c>
      <c r="E295" s="6" cm="1">
        <f t="array" ref="E295">_xll.RssMarket($A295, "前日終値")</f>
        <v>1022</v>
      </c>
      <c r="F295" s="6" cm="1">
        <f t="array" ref="F295">_xll.RssMarket($A295, "出来高")</f>
        <v>5846900</v>
      </c>
    </row>
    <row r="296" spans="1:6">
      <c r="A296" s="20" t="s">
        <v>128</v>
      </c>
      <c r="B296" s="6" t="str" cm="1">
        <f t="array" ref="B296">_xll.RssMarket($A296, "銘柄名称")</f>
        <v>浜松ホトニクス</v>
      </c>
      <c r="C296" s="6" cm="1">
        <f t="array" ref="C296">_xll.RssMarket(A296, "現在値")</f>
        <v>2302</v>
      </c>
      <c r="D296" s="6" cm="1">
        <f t="array" ref="D296">_xll.RssMarket(A296, "始値")</f>
        <v>2345</v>
      </c>
      <c r="E296" s="6" cm="1">
        <f t="array" ref="E296">_xll.RssMarket($A296, "前日終値")</f>
        <v>2398</v>
      </c>
      <c r="F296" s="6" cm="1">
        <f t="array" ref="F296">_xll.RssMarket($A296, "出来高")</f>
        <v>4718700</v>
      </c>
    </row>
    <row r="297" spans="1:6">
      <c r="A297" s="20" t="s">
        <v>129</v>
      </c>
      <c r="B297" s="6" t="str" cm="1">
        <f t="array" ref="B297">_xll.RssMarket($A297, "銘柄名称")</f>
        <v>三菱化工機</v>
      </c>
      <c r="C297" s="6" cm="1">
        <f t="array" ref="C297">_xll.RssMarket(A297, "現在値")</f>
        <v>3175</v>
      </c>
      <c r="D297" s="6" cm="1">
        <f t="array" ref="D297">_xll.RssMarket(A297, "始値")</f>
        <v>3275</v>
      </c>
      <c r="E297" s="6" cm="1">
        <f t="array" ref="E297">_xll.RssMarket($A297, "前日終値")</f>
        <v>3345</v>
      </c>
      <c r="F297" s="6" cm="1">
        <f t="array" ref="F297">_xll.RssMarket($A297, "出来高")</f>
        <v>313500</v>
      </c>
    </row>
    <row r="298" spans="1:6">
      <c r="A298" s="20" t="s">
        <v>130</v>
      </c>
      <c r="B298" s="6" t="str" cm="1">
        <f t="array" ref="B298">_xll.RssMarket($A298, "銘柄名称")</f>
        <v>ＨＯＹＡ</v>
      </c>
      <c r="C298" s="6" cm="1">
        <f t="array" ref="C298">_xll.RssMarket(A298, "現在値")</f>
        <v>25215</v>
      </c>
      <c r="D298" s="6" cm="1">
        <f t="array" ref="D298">_xll.RssMarket(A298, "始値")</f>
        <v>24900</v>
      </c>
      <c r="E298" s="6" cm="1">
        <f t="array" ref="E298">_xll.RssMarket($A298, "前日終値")</f>
        <v>25050</v>
      </c>
      <c r="F298" s="6" cm="1">
        <f t="array" ref="F298">_xll.RssMarket($A298, "出来高")</f>
        <v>1065900</v>
      </c>
    </row>
    <row r="299" spans="1:6">
      <c r="A299" s="20" t="s">
        <v>131</v>
      </c>
      <c r="B299" s="6" t="str" cm="1">
        <f t="array" ref="B299">_xll.RssMarket($A299, "銘柄名称")</f>
        <v>ＮＦ日経２２５</v>
      </c>
      <c r="C299" s="6" cm="1">
        <f t="array" ref="C299">_xll.RssMarket(A299, "現在値")</f>
        <v>66960</v>
      </c>
      <c r="D299" s="6" cm="1">
        <f t="array" ref="D299">_xll.RssMarket(A299, "始値")</f>
        <v>67960</v>
      </c>
      <c r="E299" s="6" cm="1">
        <f t="array" ref="E299">_xll.RssMarket($A299, "前日終値")</f>
        <v>69230</v>
      </c>
      <c r="F299" s="6" cm="1">
        <f t="array" ref="F299">_xll.RssMarket($A299, "出来高")</f>
        <v>833236</v>
      </c>
    </row>
    <row r="300" spans="1:6">
      <c r="A300" s="20" t="s">
        <v>132</v>
      </c>
      <c r="B300" s="6" t="str" cm="1">
        <f t="array" ref="B300">_xll.RssMarket($A300, "銘柄名称")</f>
        <v>きんでん</v>
      </c>
      <c r="C300" s="6" cm="1">
        <f t="array" ref="C300">_xll.RssMarket(A300, "現在値")</f>
        <v>7084</v>
      </c>
      <c r="D300" s="6" cm="1">
        <f t="array" ref="D300">_xll.RssMarket(A300, "始値")</f>
        <v>7244</v>
      </c>
      <c r="E300" s="6" cm="1">
        <f t="array" ref="E300">_xll.RssMarket($A300, "前日終値")</f>
        <v>7391</v>
      </c>
      <c r="F300" s="6" cm="1">
        <f t="array" ref="F300">_xll.RssMarket($A300, "出来高")</f>
        <v>750600</v>
      </c>
    </row>
    <row r="301" spans="1:6">
      <c r="A301" s="20" t="s">
        <v>133</v>
      </c>
      <c r="B301" s="6" t="str" cm="1">
        <f t="array" ref="B301">_xll.RssMarket($A301, "銘柄名称")</f>
        <v>パンパシフィックＨＤ</v>
      </c>
      <c r="C301" s="6" cm="1">
        <f t="array" ref="C301">_xll.RssMarket(A301, "現在値")</f>
        <v>889</v>
      </c>
      <c r="D301" s="6" cm="1">
        <f t="array" ref="D301">_xll.RssMarket(A301, "始値")</f>
        <v>884</v>
      </c>
      <c r="E301" s="6" cm="1">
        <f t="array" ref="E301">_xll.RssMarket($A301, "前日終値")</f>
        <v>869</v>
      </c>
      <c r="F301" s="6" cm="1">
        <f t="array" ref="F301">_xll.RssMarket($A301, "出来高")</f>
        <v>13238300</v>
      </c>
    </row>
    <row r="302" spans="1:6">
      <c r="A302" s="20"/>
      <c r="B302" s="7"/>
      <c r="C302" s="8"/>
      <c r="D302" s="8"/>
      <c r="E302" s="8"/>
      <c r="F302" s="8"/>
    </row>
    <row r="303" spans="1:6">
      <c r="A303" s="20"/>
      <c r="B303" s="7"/>
      <c r="C303" s="8"/>
      <c r="D303" s="8"/>
      <c r="E303" s="8"/>
      <c r="F303" s="8"/>
    </row>
    <row r="304" spans="1:6">
      <c r="A304" s="20"/>
      <c r="B304" s="7"/>
      <c r="C304" s="8"/>
      <c r="D304" s="8"/>
      <c r="E304" s="8"/>
      <c r="F304" s="8"/>
    </row>
    <row r="305" spans="1:6">
      <c r="A305" s="20"/>
      <c r="B305" s="7"/>
      <c r="C305" s="8"/>
      <c r="D305" s="8"/>
      <c r="E305" s="8"/>
      <c r="F305" s="8"/>
    </row>
    <row r="306" spans="1:6">
      <c r="A306" s="20"/>
      <c r="B306" s="7"/>
      <c r="C306" s="8"/>
      <c r="D306" s="8"/>
      <c r="E306" s="8"/>
      <c r="F306" s="8"/>
    </row>
    <row r="307" spans="1:6">
      <c r="A307" s="20"/>
      <c r="B307" s="7"/>
      <c r="C307" s="8"/>
      <c r="D307" s="8"/>
      <c r="E307" s="8"/>
      <c r="F307" s="8"/>
    </row>
    <row r="308" spans="1:6">
      <c r="A308" s="20"/>
      <c r="B308" s="7"/>
      <c r="C308" s="8"/>
      <c r="D308" s="8"/>
      <c r="E308" s="8"/>
      <c r="F308" s="8"/>
    </row>
    <row r="309" spans="1:6">
      <c r="A309" s="20"/>
      <c r="B309" s="7"/>
      <c r="C309" s="8"/>
      <c r="D309" s="8"/>
      <c r="E309" s="8"/>
      <c r="F309" s="8"/>
    </row>
    <row r="310" spans="1:6">
      <c r="A310" s="20"/>
      <c r="B310" s="7"/>
      <c r="C310" s="8"/>
      <c r="D310" s="8"/>
      <c r="E310" s="8"/>
      <c r="F310" s="8"/>
    </row>
    <row r="311" spans="1:6">
      <c r="A311" s="20"/>
      <c r="B311" s="7"/>
      <c r="C311" s="8"/>
      <c r="D311" s="8"/>
      <c r="E311" s="8"/>
      <c r="F311" s="8"/>
    </row>
    <row r="312" spans="1:6">
      <c r="A312" s="20"/>
      <c r="B312" s="7"/>
      <c r="C312" s="8"/>
      <c r="D312" s="8"/>
      <c r="E312" s="8"/>
      <c r="F312" s="8"/>
    </row>
    <row r="313" spans="1:6">
      <c r="A313" s="20"/>
      <c r="B313" s="7"/>
      <c r="C313" s="8"/>
      <c r="D313" s="8"/>
      <c r="E313" s="8"/>
      <c r="F313" s="8"/>
    </row>
    <row r="314" spans="1:6">
      <c r="A314" s="20"/>
      <c r="B314" s="7"/>
      <c r="C314" s="8"/>
      <c r="D314" s="8"/>
      <c r="E314" s="8"/>
      <c r="F314" s="8"/>
    </row>
    <row r="315" spans="1:6">
      <c r="A315" s="20"/>
      <c r="B315" s="7"/>
      <c r="C315" s="8"/>
      <c r="D315" s="8"/>
      <c r="E315" s="8"/>
      <c r="F315" s="8"/>
    </row>
    <row r="316" spans="1:6">
      <c r="A316" s="20"/>
      <c r="B316" s="7"/>
      <c r="C316" s="8"/>
      <c r="D316" s="8"/>
      <c r="E316" s="8"/>
      <c r="F316" s="8"/>
    </row>
    <row r="317" spans="1:6">
      <c r="A317" s="20"/>
      <c r="B317" s="7"/>
      <c r="C317" s="8"/>
      <c r="D317" s="8"/>
      <c r="E317" s="8"/>
      <c r="F317" s="8"/>
    </row>
    <row r="318" spans="1:6">
      <c r="A318" s="20"/>
      <c r="B318" s="7"/>
      <c r="C318" s="8"/>
      <c r="D318" s="8"/>
      <c r="E318" s="8"/>
      <c r="F318" s="8"/>
    </row>
    <row r="319" spans="1:6">
      <c r="A319" s="20"/>
      <c r="B319" s="7"/>
      <c r="C319" s="8"/>
      <c r="D319" s="8"/>
      <c r="E319" s="8"/>
      <c r="F319" s="8"/>
    </row>
    <row r="320" spans="1:6">
      <c r="A320" s="20"/>
      <c r="B320" s="7"/>
      <c r="C320" s="8"/>
      <c r="D320" s="8"/>
      <c r="E320" s="8"/>
      <c r="F320" s="8"/>
    </row>
    <row r="321" spans="1:6">
      <c r="A321" s="20"/>
      <c r="B321" s="7"/>
      <c r="C321" s="8"/>
      <c r="D321" s="8"/>
      <c r="E321" s="8"/>
      <c r="F321" s="8"/>
    </row>
    <row r="322" spans="1:6">
      <c r="A322" s="20"/>
      <c r="B322" s="7"/>
      <c r="C322" s="8"/>
      <c r="D322" s="8"/>
      <c r="E322" s="8"/>
      <c r="F322" s="8"/>
    </row>
    <row r="323" spans="1:6">
      <c r="A323" s="20"/>
      <c r="B323" s="7"/>
      <c r="C323" s="8"/>
      <c r="D323" s="8"/>
      <c r="E323" s="8"/>
      <c r="F323" s="8"/>
    </row>
    <row r="324" spans="1:6">
      <c r="A324" s="20"/>
      <c r="B324" s="7"/>
      <c r="C324" s="8"/>
      <c r="D324" s="8"/>
      <c r="E324" s="8"/>
      <c r="F324" s="8"/>
    </row>
    <row r="325" spans="1:6">
      <c r="A325" s="20"/>
      <c r="B325" s="7"/>
      <c r="C325" s="8"/>
      <c r="D325" s="8"/>
      <c r="E325" s="8"/>
      <c r="F325" s="8"/>
    </row>
    <row r="326" spans="1:6">
      <c r="A326" s="20"/>
      <c r="B326" s="7"/>
      <c r="C326" s="8"/>
      <c r="D326" s="8"/>
      <c r="E326" s="8"/>
      <c r="F326" s="8"/>
    </row>
    <row r="327" spans="1:6">
      <c r="A327" s="20"/>
      <c r="B327" s="7"/>
      <c r="C327" s="8"/>
      <c r="D327" s="8"/>
      <c r="E327" s="8"/>
      <c r="F327" s="8"/>
    </row>
    <row r="328" spans="1:6">
      <c r="A328" s="20"/>
      <c r="B328" s="7"/>
      <c r="C328" s="8"/>
      <c r="D328" s="8"/>
      <c r="E328" s="8"/>
      <c r="F328" s="8"/>
    </row>
    <row r="329" spans="1:6">
      <c r="A329" s="20"/>
      <c r="B329" s="7"/>
      <c r="C329" s="8"/>
      <c r="D329" s="8"/>
      <c r="E329" s="8"/>
      <c r="F329" s="8"/>
    </row>
    <row r="330" spans="1:6">
      <c r="A330" s="20"/>
      <c r="B330" s="7"/>
      <c r="C330" s="8"/>
      <c r="D330" s="8"/>
      <c r="E330" s="8"/>
      <c r="F330" s="8"/>
    </row>
    <row r="331" spans="1:6">
      <c r="A331" s="20"/>
      <c r="B331" s="7"/>
      <c r="C331" s="8"/>
      <c r="D331" s="8"/>
      <c r="E331" s="8"/>
      <c r="F331" s="8"/>
    </row>
    <row r="332" spans="1:6">
      <c r="A332" s="20"/>
      <c r="B332" s="7"/>
      <c r="C332" s="8"/>
      <c r="D332" s="8"/>
      <c r="E332" s="8"/>
      <c r="F332" s="8"/>
    </row>
    <row r="333" spans="1:6">
      <c r="A333" s="20"/>
      <c r="B333" s="7"/>
      <c r="C333" s="8"/>
      <c r="D333" s="8"/>
      <c r="E333" s="8"/>
      <c r="F333" s="8"/>
    </row>
    <row r="334" spans="1:6">
      <c r="A334" s="20"/>
      <c r="B334" s="7"/>
      <c r="C334" s="8"/>
      <c r="D334" s="8"/>
      <c r="E334" s="8"/>
      <c r="F334" s="8"/>
    </row>
    <row r="335" spans="1:6">
      <c r="A335" s="20"/>
      <c r="B335" s="7"/>
      <c r="C335" s="8"/>
      <c r="D335" s="8"/>
      <c r="E335" s="8"/>
      <c r="F335" s="8"/>
    </row>
    <row r="336" spans="1:6">
      <c r="A336" s="20"/>
      <c r="B336" s="7"/>
      <c r="C336" s="8"/>
      <c r="D336" s="8"/>
      <c r="E336" s="8"/>
      <c r="F336" s="8"/>
    </row>
    <row r="337" spans="1:6">
      <c r="A337" s="20"/>
      <c r="B337" s="7"/>
      <c r="C337" s="8"/>
      <c r="D337" s="8"/>
      <c r="E337" s="8"/>
      <c r="F337" s="8"/>
    </row>
    <row r="338" spans="1:6">
      <c r="A338" s="20"/>
      <c r="B338" s="7"/>
      <c r="C338" s="8"/>
      <c r="D338" s="8"/>
      <c r="E338" s="8"/>
      <c r="F338" s="8"/>
    </row>
    <row r="339" spans="1:6">
      <c r="A339" s="20"/>
      <c r="B339" s="7"/>
      <c r="C339" s="8"/>
      <c r="D339" s="8"/>
      <c r="E339" s="8"/>
      <c r="F339" s="8"/>
    </row>
    <row r="340" spans="1:6">
      <c r="A340" s="20"/>
      <c r="B340" s="7"/>
      <c r="C340" s="8"/>
      <c r="D340" s="8"/>
      <c r="E340" s="8"/>
      <c r="F340" s="8"/>
    </row>
    <row r="341" spans="1:6">
      <c r="A341" s="20"/>
      <c r="B341" s="7"/>
      <c r="C341" s="8"/>
      <c r="D341" s="8"/>
      <c r="E341" s="8"/>
      <c r="F341" s="8"/>
    </row>
    <row r="342" spans="1:6">
      <c r="A342" s="20"/>
      <c r="B342" s="7"/>
      <c r="C342" s="8"/>
      <c r="D342" s="8"/>
      <c r="E342" s="8"/>
      <c r="F342" s="8"/>
    </row>
    <row r="343" spans="1:6">
      <c r="A343" s="20"/>
      <c r="B343" s="7"/>
      <c r="C343" s="8"/>
      <c r="D343" s="8"/>
      <c r="E343" s="8"/>
      <c r="F343" s="8"/>
    </row>
    <row r="344" spans="1:6">
      <c r="A344" s="20"/>
      <c r="B344" s="7"/>
      <c r="C344" s="8"/>
      <c r="D344" s="8"/>
      <c r="E344" s="8"/>
      <c r="F344" s="8"/>
    </row>
    <row r="345" spans="1:6">
      <c r="A345" s="20"/>
      <c r="B345" s="7"/>
      <c r="C345" s="8"/>
      <c r="D345" s="8"/>
      <c r="E345" s="8"/>
      <c r="F345" s="8"/>
    </row>
    <row r="346" spans="1:6">
      <c r="A346" s="20"/>
      <c r="B346" s="7"/>
      <c r="C346" s="8"/>
      <c r="D346" s="8"/>
      <c r="E346" s="8"/>
      <c r="F346" s="8"/>
    </row>
    <row r="347" spans="1:6">
      <c r="A347" s="20"/>
      <c r="B347" s="7"/>
      <c r="C347" s="8"/>
      <c r="D347" s="8"/>
      <c r="E347" s="8"/>
      <c r="F347" s="8"/>
    </row>
    <row r="348" spans="1:6">
      <c r="A348" s="20"/>
      <c r="B348" s="7"/>
      <c r="C348" s="8"/>
      <c r="D348" s="8"/>
      <c r="E348" s="8"/>
      <c r="F348" s="8"/>
    </row>
    <row r="349" spans="1:6">
      <c r="A349" s="20"/>
      <c r="B349" s="7"/>
      <c r="C349" s="8"/>
      <c r="D349" s="8"/>
      <c r="E349" s="8"/>
      <c r="F349" s="8"/>
    </row>
    <row r="350" spans="1:6">
      <c r="A350" s="20"/>
      <c r="B350" s="7"/>
      <c r="C350" s="8"/>
      <c r="D350" s="8"/>
      <c r="E350" s="8"/>
      <c r="F350" s="8"/>
    </row>
    <row r="351" spans="1:6">
      <c r="A351" s="20"/>
      <c r="B351" s="7"/>
      <c r="C351" s="8"/>
      <c r="D351" s="8"/>
      <c r="E351" s="8"/>
      <c r="F351" s="8"/>
    </row>
    <row r="352" spans="1:6">
      <c r="A352" s="20"/>
      <c r="B352" s="7"/>
      <c r="C352" s="8"/>
      <c r="D352" s="8"/>
      <c r="E352" s="8"/>
      <c r="F352" s="8"/>
    </row>
    <row r="353" spans="1:6">
      <c r="A353" s="20"/>
      <c r="B353" s="7"/>
      <c r="C353" s="8"/>
      <c r="D353" s="8"/>
      <c r="E353" s="8"/>
      <c r="F353" s="8"/>
    </row>
    <row r="354" spans="1:6">
      <c r="A354" s="20"/>
      <c r="B354" s="7"/>
      <c r="C354" s="8"/>
      <c r="D354" s="8"/>
      <c r="E354" s="8"/>
      <c r="F354" s="8"/>
    </row>
    <row r="355" spans="1:6">
      <c r="A355" s="20"/>
      <c r="B355" s="7"/>
      <c r="C355" s="8"/>
      <c r="D355" s="8"/>
      <c r="E355" s="8"/>
      <c r="F355" s="8"/>
    </row>
    <row r="356" spans="1:6">
      <c r="A356" s="20"/>
      <c r="B356" s="7"/>
      <c r="C356" s="8"/>
      <c r="D356" s="8"/>
      <c r="E356" s="8"/>
      <c r="F356" s="8"/>
    </row>
    <row r="357" spans="1:6">
      <c r="A357" s="20"/>
      <c r="B357" s="7"/>
      <c r="C357" s="8"/>
      <c r="D357" s="8"/>
      <c r="E357" s="8"/>
      <c r="F357" s="8"/>
    </row>
    <row r="358" spans="1:6">
      <c r="A358" s="20"/>
      <c r="B358" s="7"/>
      <c r="C358" s="8"/>
      <c r="D358" s="8"/>
      <c r="E358" s="8"/>
      <c r="F358" s="8"/>
    </row>
    <row r="359" spans="1:6">
      <c r="A359" s="20"/>
      <c r="B359" s="7"/>
      <c r="C359" s="8"/>
      <c r="D359" s="8"/>
      <c r="E359" s="8"/>
      <c r="F359" s="8"/>
    </row>
    <row r="360" spans="1:6">
      <c r="A360" s="20"/>
      <c r="B360" s="7"/>
      <c r="C360" s="8"/>
      <c r="D360" s="8"/>
      <c r="E360" s="8"/>
      <c r="F360" s="8"/>
    </row>
    <row r="361" spans="1:6">
      <c r="A361" s="20"/>
      <c r="B361" s="7"/>
      <c r="C361" s="8"/>
      <c r="D361" s="8"/>
      <c r="E361" s="8"/>
      <c r="F361" s="8"/>
    </row>
    <row r="362" spans="1:6">
      <c r="A362" s="20"/>
      <c r="B362" s="7"/>
      <c r="C362" s="8"/>
      <c r="D362" s="8"/>
      <c r="E362" s="8"/>
      <c r="F362" s="8"/>
    </row>
    <row r="363" spans="1:6">
      <c r="A363" s="20"/>
      <c r="B363" s="7"/>
      <c r="C363" s="8"/>
      <c r="D363" s="8"/>
      <c r="E363" s="8"/>
      <c r="F363" s="8"/>
    </row>
    <row r="364" spans="1:6">
      <c r="A364" s="20"/>
      <c r="B364" s="7"/>
      <c r="C364" s="8"/>
      <c r="D364" s="8"/>
      <c r="E364" s="8"/>
      <c r="F364" s="8"/>
    </row>
    <row r="365" spans="1:6">
      <c r="A365" s="20"/>
      <c r="B365" s="7"/>
      <c r="C365" s="8"/>
      <c r="D365" s="8"/>
      <c r="E365" s="8"/>
      <c r="F365" s="8"/>
    </row>
    <row r="366" spans="1:6">
      <c r="A366" s="20"/>
      <c r="B366" s="7"/>
      <c r="C366" s="8"/>
      <c r="D366" s="8"/>
      <c r="E366" s="8"/>
      <c r="F366" s="8"/>
    </row>
    <row r="367" spans="1:6">
      <c r="A367" s="20"/>
      <c r="B367" s="7"/>
      <c r="C367" s="8"/>
      <c r="D367" s="8"/>
      <c r="E367" s="8"/>
      <c r="F367" s="8"/>
    </row>
    <row r="368" spans="1:6">
      <c r="A368" s="20"/>
      <c r="B368" s="7"/>
      <c r="C368" s="8"/>
      <c r="D368" s="8"/>
      <c r="E368" s="8"/>
      <c r="F368" s="8"/>
    </row>
    <row r="369" spans="1:6">
      <c r="A369" s="20"/>
      <c r="B369" s="7"/>
      <c r="C369" s="8"/>
      <c r="D369" s="8"/>
      <c r="E369" s="8"/>
      <c r="F369" s="8"/>
    </row>
    <row r="370" spans="1:6">
      <c r="A370" s="20"/>
      <c r="B370" s="7"/>
      <c r="C370" s="8"/>
      <c r="D370" s="8"/>
      <c r="E370" s="8"/>
      <c r="F370" s="8"/>
    </row>
    <row r="371" spans="1:6">
      <c r="A371" s="20"/>
      <c r="B371" s="7"/>
      <c r="C371" s="8"/>
      <c r="D371" s="8"/>
      <c r="E371" s="8"/>
      <c r="F371" s="8"/>
    </row>
    <row r="372" spans="1:6">
      <c r="A372" s="20"/>
      <c r="B372" s="7"/>
      <c r="C372" s="8"/>
      <c r="D372" s="8"/>
      <c r="E372" s="8"/>
      <c r="F372" s="8"/>
    </row>
    <row r="373" spans="1:6">
      <c r="A373" s="20"/>
      <c r="B373" s="7"/>
      <c r="C373" s="8"/>
      <c r="D373" s="8"/>
      <c r="E373" s="8"/>
      <c r="F373" s="8"/>
    </row>
    <row r="374" spans="1:6">
      <c r="A374" s="20"/>
      <c r="B374" s="7"/>
      <c r="C374" s="8"/>
      <c r="D374" s="8"/>
      <c r="E374" s="8"/>
      <c r="F374" s="8"/>
    </row>
    <row r="375" spans="1:6">
      <c r="A375" s="20"/>
      <c r="B375" s="7"/>
      <c r="C375" s="8"/>
      <c r="D375" s="8"/>
      <c r="E375" s="8"/>
      <c r="F375" s="8"/>
    </row>
    <row r="376" spans="1:6">
      <c r="A376" s="20"/>
      <c r="B376" s="7"/>
      <c r="C376" s="8"/>
      <c r="D376" s="8"/>
      <c r="E376" s="8"/>
      <c r="F376" s="8"/>
    </row>
    <row r="377" spans="1:6">
      <c r="A377" s="20"/>
      <c r="B377" s="7"/>
      <c r="C377" s="8"/>
      <c r="D377" s="8"/>
      <c r="E377" s="8"/>
      <c r="F377" s="8"/>
    </row>
    <row r="378" spans="1:6">
      <c r="A378" s="20"/>
      <c r="B378" s="7"/>
      <c r="C378" s="8"/>
      <c r="D378" s="8"/>
      <c r="E378" s="8"/>
      <c r="F378" s="8"/>
    </row>
    <row r="379" spans="1:6">
      <c r="A379" s="20"/>
      <c r="B379" s="7"/>
      <c r="C379" s="8"/>
      <c r="D379" s="8"/>
      <c r="E379" s="8"/>
      <c r="F379" s="8"/>
    </row>
    <row r="380" spans="1:6">
      <c r="A380" s="20"/>
      <c r="B380" s="7"/>
      <c r="C380" s="8"/>
      <c r="D380" s="8"/>
      <c r="E380" s="8"/>
      <c r="F380" s="8"/>
    </row>
    <row r="381" spans="1:6">
      <c r="A381" s="20"/>
      <c r="B381" s="7"/>
      <c r="C381" s="8"/>
      <c r="D381" s="8"/>
      <c r="E381" s="8"/>
      <c r="F381" s="8"/>
    </row>
    <row r="382" spans="1:6">
      <c r="A382" s="20"/>
      <c r="B382" s="7"/>
      <c r="C382" s="8"/>
      <c r="D382" s="8"/>
      <c r="E382" s="8"/>
      <c r="F382" s="8"/>
    </row>
    <row r="383" spans="1:6">
      <c r="A383" s="20"/>
      <c r="B383" s="7"/>
      <c r="C383" s="8"/>
      <c r="D383" s="8"/>
      <c r="E383" s="8"/>
      <c r="F383" s="8"/>
    </row>
    <row r="384" spans="1:6">
      <c r="A384" s="20"/>
      <c r="B384" s="7"/>
      <c r="C384" s="8"/>
      <c r="D384" s="8"/>
      <c r="E384" s="8"/>
      <c r="F384" s="8"/>
    </row>
    <row r="385" spans="1:6">
      <c r="A385" s="20"/>
      <c r="B385" s="7"/>
      <c r="C385" s="8"/>
      <c r="D385" s="8"/>
      <c r="E385" s="8"/>
      <c r="F385" s="8"/>
    </row>
    <row r="386" spans="1:6">
      <c r="A386" s="20"/>
      <c r="B386" s="7"/>
      <c r="C386" s="8"/>
      <c r="D386" s="8"/>
      <c r="E386" s="8"/>
      <c r="F386" s="8"/>
    </row>
    <row r="387" spans="1:6">
      <c r="A387" s="20"/>
      <c r="B387" s="7"/>
      <c r="C387" s="8"/>
      <c r="D387" s="8"/>
      <c r="E387" s="8"/>
      <c r="F387" s="8"/>
    </row>
    <row r="388" spans="1:6">
      <c r="A388" s="20"/>
      <c r="B388" s="7"/>
      <c r="C388" s="8"/>
      <c r="D388" s="8"/>
      <c r="E388" s="8"/>
      <c r="F388" s="8"/>
    </row>
    <row r="389" spans="1:6">
      <c r="A389" s="20"/>
      <c r="B389" s="7"/>
      <c r="C389" s="8"/>
      <c r="D389" s="8"/>
      <c r="E389" s="8"/>
      <c r="F389" s="8"/>
    </row>
    <row r="390" spans="1:6">
      <c r="A390" s="20"/>
      <c r="B390" s="7"/>
      <c r="C390" s="8"/>
      <c r="D390" s="8"/>
      <c r="E390" s="8"/>
      <c r="F390" s="8"/>
    </row>
    <row r="391" spans="1:6">
      <c r="A391" s="20"/>
      <c r="B391" s="7"/>
      <c r="C391" s="8"/>
      <c r="D391" s="8"/>
      <c r="E391" s="8"/>
      <c r="F391" s="8"/>
    </row>
    <row r="392" spans="1:6">
      <c r="A392" s="20"/>
      <c r="B392" s="7"/>
      <c r="C392" s="8"/>
      <c r="D392" s="8"/>
      <c r="E392" s="8"/>
      <c r="F392" s="8"/>
    </row>
    <row r="393" spans="1:6">
      <c r="A393" s="20"/>
      <c r="B393" s="7"/>
      <c r="C393" s="8"/>
      <c r="D393" s="8"/>
      <c r="E393" s="8"/>
      <c r="F393" s="8"/>
    </row>
    <row r="394" spans="1:6">
      <c r="A394" s="20"/>
      <c r="B394" s="7"/>
      <c r="C394" s="8"/>
      <c r="D394" s="8"/>
      <c r="E394" s="8"/>
      <c r="F394" s="8"/>
    </row>
    <row r="395" spans="1:6">
      <c r="A395" s="20"/>
      <c r="B395" s="7"/>
      <c r="C395" s="8"/>
      <c r="D395" s="8"/>
      <c r="E395" s="8"/>
      <c r="F395" s="8"/>
    </row>
    <row r="396" spans="1:6">
      <c r="A396" s="20"/>
      <c r="B396" s="7"/>
      <c r="C396" s="8"/>
      <c r="D396" s="8"/>
      <c r="E396" s="8"/>
      <c r="F396" s="8"/>
    </row>
    <row r="397" spans="1:6">
      <c r="A397" s="20"/>
      <c r="B397" s="7"/>
      <c r="C397" s="8"/>
      <c r="D397" s="8"/>
      <c r="E397" s="8"/>
      <c r="F397" s="8"/>
    </row>
    <row r="398" spans="1:6">
      <c r="A398" s="20"/>
      <c r="B398" s="7"/>
      <c r="C398" s="8"/>
      <c r="D398" s="8"/>
      <c r="E398" s="8"/>
      <c r="F398" s="8"/>
    </row>
    <row r="399" spans="1:6">
      <c r="A399" s="20"/>
      <c r="B399" s="7"/>
      <c r="C399" s="8"/>
      <c r="D399" s="8"/>
      <c r="E399" s="8"/>
      <c r="F399" s="8"/>
    </row>
    <row r="400" spans="1:6">
      <c r="A400" s="20"/>
      <c r="B400" s="7"/>
      <c r="C400" s="8"/>
      <c r="D400" s="8"/>
      <c r="E400" s="8"/>
      <c r="F400" s="8"/>
    </row>
    <row r="401" spans="1:6">
      <c r="A401" s="20"/>
      <c r="B401" s="7"/>
      <c r="C401" s="8"/>
      <c r="D401" s="8"/>
      <c r="E401" s="8"/>
      <c r="F401" s="8"/>
    </row>
  </sheetData>
  <autoFilter ref="A1:F401" xr:uid="{00000000-0009-0000-0000-000001000000}"/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8.6640625" defaultRowHeight="14.4"/>
  <cols>
    <col min="1" max="1" width="10" customWidth="1"/>
    <col min="2" max="2" width="12" customWidth="1"/>
    <col min="3" max="3" width="20" customWidth="1"/>
    <col min="4" max="5" width="14" customWidth="1"/>
    <col min="6" max="6" width="12" customWidth="1"/>
    <col min="7" max="7" width="10" style="16" customWidth="1"/>
    <col min="8" max="8" width="12" style="16" customWidth="1"/>
  </cols>
  <sheetData>
    <row r="1" spans="1:8">
      <c r="A1" s="5" t="s">
        <v>28</v>
      </c>
      <c r="B1" s="5" t="s">
        <v>29</v>
      </c>
      <c r="C1" s="5" t="s">
        <v>23</v>
      </c>
      <c r="D1" s="5" t="s">
        <v>30</v>
      </c>
      <c r="E1" s="5" t="s">
        <v>31</v>
      </c>
      <c r="F1" s="5" t="s">
        <v>24</v>
      </c>
      <c r="G1" s="15" t="s">
        <v>32</v>
      </c>
      <c r="H1" s="15" t="s">
        <v>33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03"/>
  <sheetViews>
    <sheetView zoomScaleNormal="100" workbookViewId="0">
      <pane ySplit="1" topLeftCell="A2" activePane="bottomLeft" state="frozen"/>
      <selection pane="bottomLeft" activeCell="K17" sqref="K17"/>
    </sheetView>
  </sheetViews>
  <sheetFormatPr defaultColWidth="8.6640625" defaultRowHeight="14.4"/>
  <cols>
    <col min="1" max="1" width="12" customWidth="1"/>
    <col min="2" max="2" width="20" customWidth="1"/>
    <col min="3" max="3" width="12" customWidth="1"/>
    <col min="4" max="5" width="14" customWidth="1"/>
    <col min="6" max="6" width="12" customWidth="1"/>
    <col min="7" max="7" width="10" style="18" customWidth="1"/>
    <col min="8" max="8" width="12" style="18" customWidth="1"/>
  </cols>
  <sheetData>
    <row r="1" spans="1:8">
      <c r="A1" s="5" t="s">
        <v>22</v>
      </c>
      <c r="B1" s="5" t="s">
        <v>23</v>
      </c>
      <c r="C1" s="5" t="s">
        <v>35</v>
      </c>
      <c r="D1" s="5" t="s">
        <v>30</v>
      </c>
      <c r="E1" s="5" t="s">
        <v>31</v>
      </c>
      <c r="F1" s="5" t="s">
        <v>24</v>
      </c>
      <c r="G1" s="17" t="s">
        <v>32</v>
      </c>
      <c r="H1" s="17" t="s">
        <v>33</v>
      </c>
    </row>
    <row r="2" spans="1:8">
      <c r="A2">
        <v>5706</v>
      </c>
      <c r="B2" t="s">
        <v>134</v>
      </c>
      <c r="C2" s="10">
        <v>0.375</v>
      </c>
      <c r="D2">
        <v>1299300</v>
      </c>
      <c r="E2">
        <v>1299300</v>
      </c>
      <c r="F2">
        <v>29025</v>
      </c>
      <c r="G2" s="18">
        <v>0.94883949002942136</v>
      </c>
      <c r="H2" s="18">
        <v>0.89916356877323422</v>
      </c>
    </row>
    <row r="3" spans="1:8">
      <c r="A3">
        <v>5423</v>
      </c>
      <c r="B3" t="s">
        <v>135</v>
      </c>
      <c r="C3" s="10">
        <v>0.375</v>
      </c>
      <c r="D3">
        <v>1089300</v>
      </c>
      <c r="E3">
        <v>1089300</v>
      </c>
      <c r="F3">
        <v>1745</v>
      </c>
      <c r="G3" s="18">
        <v>1.0046056419113414</v>
      </c>
      <c r="H3" s="18">
        <v>0.98587570621468923</v>
      </c>
    </row>
    <row r="4" spans="1:8">
      <c r="A4">
        <v>5713</v>
      </c>
      <c r="B4" t="s">
        <v>136</v>
      </c>
      <c r="C4" s="10">
        <v>0.375</v>
      </c>
      <c r="D4">
        <v>3129100</v>
      </c>
      <c r="E4">
        <v>3129100</v>
      </c>
      <c r="F4">
        <v>6681</v>
      </c>
      <c r="G4" s="18">
        <v>0.95661512027491413</v>
      </c>
      <c r="H4" s="18">
        <v>0.91822429906542058</v>
      </c>
    </row>
    <row r="5" spans="1:8">
      <c r="A5">
        <v>5711</v>
      </c>
      <c r="B5" t="s">
        <v>137</v>
      </c>
      <c r="C5" s="10">
        <v>0.375</v>
      </c>
      <c r="D5">
        <v>1269700</v>
      </c>
      <c r="E5">
        <v>1269700</v>
      </c>
      <c r="F5">
        <v>3902</v>
      </c>
      <c r="G5" s="18">
        <v>0.95450097847358117</v>
      </c>
      <c r="H5" s="18">
        <v>0.93059861674218936</v>
      </c>
    </row>
    <row r="6" spans="1:8">
      <c r="A6">
        <v>5714</v>
      </c>
      <c r="B6" t="s">
        <v>138</v>
      </c>
      <c r="C6" s="10">
        <v>0.375</v>
      </c>
      <c r="D6">
        <v>382800</v>
      </c>
      <c r="E6">
        <v>382800</v>
      </c>
      <c r="F6">
        <v>7797</v>
      </c>
      <c r="G6" s="18">
        <v>0.95492957746478868</v>
      </c>
      <c r="H6" s="18">
        <v>0.93388429752066116</v>
      </c>
    </row>
    <row r="7" spans="1:8">
      <c r="A7">
        <v>6701</v>
      </c>
      <c r="B7" t="s">
        <v>139</v>
      </c>
      <c r="C7" s="10">
        <v>0.375</v>
      </c>
      <c r="D7">
        <v>6750500</v>
      </c>
      <c r="E7">
        <v>6750500</v>
      </c>
      <c r="F7">
        <v>4376</v>
      </c>
      <c r="G7" s="18">
        <v>1.0011439029970259</v>
      </c>
      <c r="H7" s="18">
        <v>0.98536365683404636</v>
      </c>
    </row>
    <row r="8" spans="1:8">
      <c r="A8">
        <v>1605</v>
      </c>
      <c r="B8" t="s">
        <v>140</v>
      </c>
      <c r="C8" s="10">
        <v>0.375</v>
      </c>
      <c r="D8">
        <v>2672800</v>
      </c>
      <c r="E8">
        <v>2672800</v>
      </c>
      <c r="F8">
        <v>3381</v>
      </c>
      <c r="G8" s="18">
        <v>0.98284883720930227</v>
      </c>
      <c r="H8" s="18">
        <v>0.9860017497812773</v>
      </c>
    </row>
    <row r="9" spans="1:8">
      <c r="A9">
        <v>5703</v>
      </c>
      <c r="B9" t="s">
        <v>141</v>
      </c>
      <c r="C9" s="10">
        <v>0.375</v>
      </c>
      <c r="D9">
        <v>294900</v>
      </c>
      <c r="E9">
        <v>294900</v>
      </c>
      <c r="F9">
        <v>2610</v>
      </c>
      <c r="G9" s="18">
        <v>0.97026022304832715</v>
      </c>
      <c r="H9" s="18">
        <v>0.9546452084857352</v>
      </c>
    </row>
    <row r="10" spans="1:8">
      <c r="A10">
        <v>8002</v>
      </c>
      <c r="B10" t="s">
        <v>142</v>
      </c>
      <c r="C10" s="10">
        <v>0.375</v>
      </c>
      <c r="D10">
        <v>3105100</v>
      </c>
      <c r="E10">
        <v>3105100</v>
      </c>
      <c r="F10">
        <v>4931</v>
      </c>
      <c r="G10" s="18">
        <v>0.97066929133858271</v>
      </c>
      <c r="H10" s="18">
        <v>0.96990558615263567</v>
      </c>
    </row>
    <row r="11" spans="1:8">
      <c r="A11">
        <v>5021</v>
      </c>
      <c r="B11" t="s">
        <v>143</v>
      </c>
      <c r="C11" s="10">
        <v>0.375</v>
      </c>
      <c r="D11">
        <v>573800</v>
      </c>
      <c r="E11">
        <v>573800</v>
      </c>
      <c r="F11">
        <v>3754</v>
      </c>
      <c r="G11" s="18">
        <v>0.98685594111461616</v>
      </c>
      <c r="H11" s="18">
        <v>0.98530183727034115</v>
      </c>
    </row>
    <row r="12" spans="1:8">
      <c r="A12">
        <v>8058</v>
      </c>
      <c r="B12" t="s">
        <v>144</v>
      </c>
      <c r="C12" s="10">
        <v>0.375</v>
      </c>
      <c r="D12">
        <v>5641700</v>
      </c>
      <c r="E12">
        <v>5641700</v>
      </c>
      <c r="F12">
        <v>4399</v>
      </c>
      <c r="G12" s="18">
        <v>0.97236958443854993</v>
      </c>
      <c r="H12" s="18">
        <v>0.97108167770419429</v>
      </c>
    </row>
    <row r="13" spans="1:8">
      <c r="A13">
        <v>5333</v>
      </c>
      <c r="B13" t="s">
        <v>145</v>
      </c>
      <c r="C13" s="10">
        <v>0.375</v>
      </c>
      <c r="D13">
        <v>1678300</v>
      </c>
      <c r="E13">
        <v>1678300</v>
      </c>
      <c r="F13">
        <v>5885</v>
      </c>
      <c r="G13" s="18">
        <v>0.93220338983050843</v>
      </c>
      <c r="H13" s="18">
        <v>0.91028615622583142</v>
      </c>
    </row>
    <row r="14" spans="1:8">
      <c r="A14">
        <v>1662</v>
      </c>
      <c r="B14" t="s">
        <v>146</v>
      </c>
      <c r="C14" s="10">
        <v>0.375</v>
      </c>
      <c r="D14">
        <v>885400</v>
      </c>
      <c r="E14">
        <v>885400</v>
      </c>
      <c r="F14">
        <v>1655</v>
      </c>
      <c r="G14" s="18">
        <v>0.98511904761904767</v>
      </c>
      <c r="H14" s="18">
        <v>0.97986974541148608</v>
      </c>
    </row>
    <row r="15" spans="1:8">
      <c r="A15">
        <v>8411</v>
      </c>
      <c r="B15" t="s">
        <v>147</v>
      </c>
      <c r="C15" s="10">
        <v>0.375</v>
      </c>
      <c r="D15">
        <v>11182900</v>
      </c>
      <c r="E15">
        <v>11182900</v>
      </c>
      <c r="F15">
        <v>7894</v>
      </c>
      <c r="G15" s="18">
        <v>0.94629585231359381</v>
      </c>
      <c r="H15" s="18">
        <v>0.93530805687203789</v>
      </c>
    </row>
    <row r="16" spans="1:8">
      <c r="A16">
        <v>5541</v>
      </c>
      <c r="B16" t="s">
        <v>148</v>
      </c>
      <c r="C16" s="10">
        <v>0.375</v>
      </c>
      <c r="D16">
        <v>187000</v>
      </c>
      <c r="E16">
        <v>187000</v>
      </c>
      <c r="F16">
        <v>2243</v>
      </c>
      <c r="G16" s="18">
        <v>0.98247919404292594</v>
      </c>
      <c r="H16" s="18">
        <v>0.97776809067131643</v>
      </c>
    </row>
    <row r="17" spans="1:8">
      <c r="A17">
        <v>5332</v>
      </c>
      <c r="B17" t="s">
        <v>149</v>
      </c>
      <c r="C17" s="10">
        <v>0.375</v>
      </c>
      <c r="D17">
        <v>1082400</v>
      </c>
      <c r="E17">
        <v>1082400</v>
      </c>
      <c r="F17">
        <v>7311</v>
      </c>
      <c r="G17" s="18">
        <v>0.9512099921935987</v>
      </c>
      <c r="H17" s="18">
        <v>0.93622742988859009</v>
      </c>
    </row>
    <row r="18" spans="1:8">
      <c r="A18">
        <v>8725</v>
      </c>
      <c r="B18" t="s">
        <v>150</v>
      </c>
      <c r="C18" s="10">
        <v>0.375</v>
      </c>
      <c r="D18">
        <v>2904800</v>
      </c>
      <c r="E18">
        <v>2904800</v>
      </c>
      <c r="F18">
        <v>4475</v>
      </c>
      <c r="G18" s="18">
        <v>0.97921225382932164</v>
      </c>
      <c r="H18" s="18">
        <v>0.98286843839226878</v>
      </c>
    </row>
    <row r="19" spans="1:8">
      <c r="A19">
        <v>8795</v>
      </c>
      <c r="B19" t="s">
        <v>151</v>
      </c>
      <c r="C19" s="10">
        <v>0.375</v>
      </c>
      <c r="D19">
        <v>970100</v>
      </c>
      <c r="E19">
        <v>970100</v>
      </c>
      <c r="F19">
        <v>4754</v>
      </c>
      <c r="G19" s="18">
        <v>0.96665311102074014</v>
      </c>
      <c r="H19" s="18">
        <v>0.96234817813765183</v>
      </c>
    </row>
    <row r="20" spans="1:8">
      <c r="A20">
        <v>5019</v>
      </c>
      <c r="B20" t="s">
        <v>152</v>
      </c>
      <c r="C20" s="10">
        <v>0.375</v>
      </c>
      <c r="D20">
        <v>1594900</v>
      </c>
      <c r="E20">
        <v>1594900</v>
      </c>
      <c r="F20">
        <v>1235.5</v>
      </c>
      <c r="G20" s="18">
        <v>0.98446215139442228</v>
      </c>
      <c r="H20" s="18">
        <v>0.97861386138613859</v>
      </c>
    </row>
    <row r="21" spans="1:8">
      <c r="A21">
        <v>8053</v>
      </c>
      <c r="B21" t="s">
        <v>153</v>
      </c>
      <c r="C21" s="10">
        <v>0.375</v>
      </c>
      <c r="D21">
        <v>9546200</v>
      </c>
      <c r="E21">
        <v>9546200</v>
      </c>
      <c r="F21">
        <v>1496</v>
      </c>
      <c r="G21" s="18">
        <v>0.95591054313099044</v>
      </c>
      <c r="H21" s="18">
        <v>0.94504106127605814</v>
      </c>
    </row>
    <row r="22" spans="1:8">
      <c r="A22">
        <v>8591</v>
      </c>
      <c r="B22" t="s">
        <v>154</v>
      </c>
      <c r="C22" s="10">
        <v>0.375</v>
      </c>
      <c r="D22">
        <v>2914700</v>
      </c>
      <c r="E22">
        <v>2914700</v>
      </c>
      <c r="F22">
        <v>6154</v>
      </c>
      <c r="G22" s="18">
        <v>0.95811925891328042</v>
      </c>
      <c r="H22" s="18">
        <v>0.94458940905602451</v>
      </c>
    </row>
    <row r="23" spans="1:8">
      <c r="A23">
        <v>3401</v>
      </c>
      <c r="B23" t="s">
        <v>155</v>
      </c>
      <c r="C23" s="10">
        <v>0.375</v>
      </c>
      <c r="D23">
        <v>561800</v>
      </c>
      <c r="E23">
        <v>561800</v>
      </c>
      <c r="F23">
        <v>1667</v>
      </c>
      <c r="G23" s="18">
        <v>0.9574956921309592</v>
      </c>
      <c r="H23" s="18">
        <v>0.96219336219336216</v>
      </c>
    </row>
    <row r="24" spans="1:8">
      <c r="A24">
        <v>3436</v>
      </c>
      <c r="B24" t="s">
        <v>156</v>
      </c>
      <c r="C24" s="10">
        <v>0.375</v>
      </c>
      <c r="D24">
        <v>19818700</v>
      </c>
      <c r="E24">
        <v>19818700</v>
      </c>
      <c r="F24">
        <v>3915</v>
      </c>
      <c r="G24" s="18">
        <v>0.86157570422535212</v>
      </c>
      <c r="H24" s="18">
        <v>0.84850455136540959</v>
      </c>
    </row>
    <row r="25" spans="1:8">
      <c r="A25">
        <v>5020</v>
      </c>
      <c r="B25" t="s">
        <v>157</v>
      </c>
      <c r="C25" s="10">
        <v>0.375</v>
      </c>
      <c r="D25">
        <v>4834400</v>
      </c>
      <c r="E25">
        <v>4834400</v>
      </c>
      <c r="F25">
        <v>1230</v>
      </c>
      <c r="G25" s="18">
        <v>0.97310126582278478</v>
      </c>
      <c r="H25" s="18">
        <v>0.96546310832025117</v>
      </c>
    </row>
    <row r="26" spans="1:8">
      <c r="A26">
        <v>6254</v>
      </c>
      <c r="B26" t="s">
        <v>158</v>
      </c>
      <c r="C26" s="10">
        <v>0.375</v>
      </c>
      <c r="D26">
        <v>1115100</v>
      </c>
      <c r="E26">
        <v>1115100</v>
      </c>
      <c r="F26">
        <v>3780</v>
      </c>
      <c r="G26" s="18">
        <v>0.91970802919708028</v>
      </c>
      <c r="H26" s="18">
        <v>0.88941176470588235</v>
      </c>
    </row>
    <row r="27" spans="1:8">
      <c r="A27">
        <v>8309</v>
      </c>
      <c r="B27" t="s">
        <v>159</v>
      </c>
      <c r="C27" s="10">
        <v>0.375</v>
      </c>
      <c r="D27">
        <v>1769000</v>
      </c>
      <c r="E27">
        <v>1769000</v>
      </c>
      <c r="F27">
        <v>6408</v>
      </c>
      <c r="G27" s="18">
        <v>0.95928143712574854</v>
      </c>
      <c r="H27" s="18">
        <v>0.95641791044776114</v>
      </c>
    </row>
    <row r="28" spans="1:8">
      <c r="A28">
        <v>3863</v>
      </c>
      <c r="B28" t="s">
        <v>160</v>
      </c>
      <c r="C28" s="10">
        <v>0.375</v>
      </c>
      <c r="D28">
        <v>704700</v>
      </c>
      <c r="E28">
        <v>704700</v>
      </c>
      <c r="F28">
        <v>1449</v>
      </c>
      <c r="G28" s="18">
        <v>0.99656121045392021</v>
      </c>
      <c r="H28" s="18">
        <v>0.99587628865979383</v>
      </c>
    </row>
    <row r="29" spans="1:8">
      <c r="A29">
        <v>8601</v>
      </c>
      <c r="B29" t="s">
        <v>161</v>
      </c>
      <c r="C29" s="10">
        <v>0.375</v>
      </c>
      <c r="D29">
        <v>4037000</v>
      </c>
      <c r="E29">
        <v>4037000</v>
      </c>
      <c r="F29">
        <v>1756</v>
      </c>
      <c r="G29" s="18">
        <v>0.94918918918918915</v>
      </c>
      <c r="H29" s="18">
        <v>0.9362836576912823</v>
      </c>
    </row>
    <row r="30" spans="1:8">
      <c r="A30">
        <v>5233</v>
      </c>
      <c r="B30" t="s">
        <v>162</v>
      </c>
      <c r="C30" s="10">
        <v>0.375</v>
      </c>
      <c r="D30">
        <v>418500</v>
      </c>
      <c r="E30">
        <v>418500</v>
      </c>
      <c r="F30">
        <v>3888</v>
      </c>
      <c r="G30" s="18">
        <v>0.98256254738438209</v>
      </c>
      <c r="H30" s="18">
        <v>0.98181818181818181</v>
      </c>
    </row>
    <row r="31" spans="1:8">
      <c r="A31">
        <v>8308</v>
      </c>
      <c r="B31" t="s">
        <v>163</v>
      </c>
      <c r="C31" s="10">
        <v>0.375</v>
      </c>
      <c r="D31">
        <v>7304500</v>
      </c>
      <c r="E31">
        <v>7304500</v>
      </c>
      <c r="F31">
        <v>2219</v>
      </c>
      <c r="G31" s="18">
        <v>0.94425531914893612</v>
      </c>
      <c r="H31" s="18">
        <v>0.94265080713678839</v>
      </c>
    </row>
    <row r="32" spans="1:8">
      <c r="A32">
        <v>5938</v>
      </c>
      <c r="B32" t="s">
        <v>164</v>
      </c>
      <c r="C32" s="10">
        <v>0.375</v>
      </c>
      <c r="D32">
        <v>1133700</v>
      </c>
      <c r="E32">
        <v>1133700</v>
      </c>
      <c r="F32">
        <v>1863.5</v>
      </c>
      <c r="G32" s="18">
        <v>0.9823405376910912</v>
      </c>
      <c r="H32" s="18">
        <v>0.98754636989931111</v>
      </c>
    </row>
    <row r="33" spans="1:8">
      <c r="A33">
        <v>8570</v>
      </c>
      <c r="B33" t="s">
        <v>165</v>
      </c>
      <c r="C33" s="10">
        <v>0.375</v>
      </c>
      <c r="D33">
        <v>225100</v>
      </c>
      <c r="E33">
        <v>225100</v>
      </c>
      <c r="F33">
        <v>1516</v>
      </c>
      <c r="G33" s="18">
        <v>0.99084967320261441</v>
      </c>
      <c r="H33" s="18">
        <v>0.98665798893589329</v>
      </c>
    </row>
    <row r="34" spans="1:8">
      <c r="A34">
        <v>5406</v>
      </c>
      <c r="B34" t="s">
        <v>166</v>
      </c>
      <c r="C34" s="10">
        <v>0.375</v>
      </c>
      <c r="D34">
        <v>1429000</v>
      </c>
      <c r="E34">
        <v>1429000</v>
      </c>
      <c r="F34">
        <v>1915.5</v>
      </c>
      <c r="G34" s="18">
        <v>0.9873711340206186</v>
      </c>
      <c r="H34" s="18">
        <v>0.98180420297283444</v>
      </c>
    </row>
    <row r="35" spans="1:8">
      <c r="A35">
        <v>8593</v>
      </c>
      <c r="B35" t="s">
        <v>167</v>
      </c>
      <c r="C35" s="10">
        <v>0.375</v>
      </c>
      <c r="D35">
        <v>2881800</v>
      </c>
      <c r="E35">
        <v>2881800</v>
      </c>
      <c r="F35">
        <v>1383</v>
      </c>
      <c r="G35" s="18">
        <v>0.97911504424778761</v>
      </c>
      <c r="H35" s="18">
        <v>0.97980871413390014</v>
      </c>
    </row>
    <row r="36" spans="1:8">
      <c r="A36">
        <v>8604</v>
      </c>
      <c r="B36" t="s">
        <v>168</v>
      </c>
      <c r="C36" s="10">
        <v>0.375</v>
      </c>
      <c r="D36">
        <v>11174000</v>
      </c>
      <c r="E36">
        <v>11174000</v>
      </c>
      <c r="F36">
        <v>1506</v>
      </c>
      <c r="G36" s="18">
        <v>0.95316455696202529</v>
      </c>
      <c r="H36" s="18">
        <v>0.93598508390304536</v>
      </c>
    </row>
    <row r="37" spans="1:8">
      <c r="A37">
        <v>3861</v>
      </c>
      <c r="B37" t="s">
        <v>169</v>
      </c>
      <c r="C37" s="10">
        <v>0.375</v>
      </c>
      <c r="D37">
        <v>2396100</v>
      </c>
      <c r="E37">
        <v>2396100</v>
      </c>
      <c r="F37">
        <v>836.2</v>
      </c>
      <c r="G37" s="18">
        <v>0.99275792472990632</v>
      </c>
      <c r="H37" s="18">
        <v>0.99701919637534275</v>
      </c>
    </row>
    <row r="38" spans="1:8">
      <c r="A38">
        <v>5947</v>
      </c>
      <c r="B38" t="s">
        <v>170</v>
      </c>
      <c r="C38" s="10">
        <v>0.375</v>
      </c>
      <c r="D38">
        <v>186700</v>
      </c>
      <c r="E38">
        <v>186700</v>
      </c>
      <c r="F38">
        <v>3615</v>
      </c>
      <c r="G38" s="18">
        <v>0.99122566493007946</v>
      </c>
      <c r="H38" s="18">
        <v>0.99917081260364837</v>
      </c>
    </row>
    <row r="39" spans="1:8">
      <c r="A39">
        <v>8750</v>
      </c>
      <c r="B39" t="s">
        <v>171</v>
      </c>
      <c r="C39" s="10">
        <v>0.375</v>
      </c>
      <c r="D39">
        <v>6459800</v>
      </c>
      <c r="E39">
        <v>6459800</v>
      </c>
      <c r="F39">
        <v>1777</v>
      </c>
      <c r="G39" s="18">
        <v>0.96786492374727673</v>
      </c>
      <c r="H39" s="18">
        <v>0.96760141573645519</v>
      </c>
    </row>
    <row r="40" spans="1:8">
      <c r="A40">
        <v>3402</v>
      </c>
      <c r="B40" t="s">
        <v>172</v>
      </c>
      <c r="C40" s="10">
        <v>0.375</v>
      </c>
      <c r="D40">
        <v>1989000</v>
      </c>
      <c r="E40">
        <v>1989000</v>
      </c>
      <c r="F40">
        <v>1133</v>
      </c>
      <c r="G40" s="18">
        <v>0.97672413793103452</v>
      </c>
      <c r="H40" s="18">
        <v>0.97128161165880844</v>
      </c>
    </row>
    <row r="41" spans="1:8">
      <c r="A41">
        <v>8306</v>
      </c>
      <c r="B41" t="s">
        <v>173</v>
      </c>
      <c r="C41" s="10">
        <v>0.375</v>
      </c>
      <c r="D41">
        <v>48526000</v>
      </c>
      <c r="E41">
        <v>48526000</v>
      </c>
      <c r="F41">
        <v>3442</v>
      </c>
      <c r="G41" s="18">
        <v>0.95240730492529058</v>
      </c>
      <c r="H41" s="18">
        <v>0.9484706530724718</v>
      </c>
    </row>
    <row r="42" spans="1:8">
      <c r="A42">
        <v>5401</v>
      </c>
      <c r="B42" t="s">
        <v>174</v>
      </c>
      <c r="C42" s="10">
        <v>0.375</v>
      </c>
      <c r="D42">
        <v>30420200</v>
      </c>
      <c r="E42">
        <v>30420200</v>
      </c>
      <c r="F42">
        <v>582.5</v>
      </c>
      <c r="G42" s="18">
        <v>1.0039641502930023</v>
      </c>
      <c r="H42" s="18">
        <v>1.0039641502930023</v>
      </c>
    </row>
    <row r="43" spans="1:8">
      <c r="A43">
        <v>8572</v>
      </c>
      <c r="B43" t="s">
        <v>175</v>
      </c>
      <c r="C43" s="10">
        <v>0.375</v>
      </c>
      <c r="D43">
        <v>981600</v>
      </c>
      <c r="E43">
        <v>981600</v>
      </c>
      <c r="F43">
        <v>479.5</v>
      </c>
      <c r="G43" s="18">
        <v>0.98258196721311475</v>
      </c>
      <c r="H43" s="18">
        <v>0.98743822075782528</v>
      </c>
    </row>
    <row r="44" spans="1:8">
      <c r="A44">
        <v>3941</v>
      </c>
      <c r="B44" t="s">
        <v>176</v>
      </c>
      <c r="C44" s="10">
        <v>0.375</v>
      </c>
      <c r="D44">
        <v>668800</v>
      </c>
      <c r="E44">
        <v>668800</v>
      </c>
      <c r="F44">
        <v>1416</v>
      </c>
      <c r="G44" s="18">
        <v>0.97554254219772651</v>
      </c>
      <c r="H44" s="18">
        <v>0.9775629962029686</v>
      </c>
    </row>
    <row r="45" spans="1:8">
      <c r="A45">
        <v>5929</v>
      </c>
      <c r="B45" t="s">
        <v>177</v>
      </c>
      <c r="C45" s="10">
        <v>0.375</v>
      </c>
      <c r="D45">
        <v>461700</v>
      </c>
      <c r="E45">
        <v>461700</v>
      </c>
      <c r="F45">
        <v>3749</v>
      </c>
      <c r="G45" s="18">
        <v>1.0099676724137931</v>
      </c>
      <c r="H45" s="18">
        <v>1.0075248589088954</v>
      </c>
    </row>
    <row r="46" spans="1:8">
      <c r="A46">
        <v>8316</v>
      </c>
      <c r="B46" t="s">
        <v>178</v>
      </c>
      <c r="C46" s="10">
        <v>0.375</v>
      </c>
      <c r="D46">
        <v>13773100</v>
      </c>
      <c r="E46">
        <v>13773100</v>
      </c>
      <c r="F46">
        <v>6662</v>
      </c>
      <c r="G46" s="18">
        <v>0.94765291607396873</v>
      </c>
      <c r="H46" s="18">
        <v>0.94765291607396873</v>
      </c>
    </row>
    <row r="47" spans="1:8">
      <c r="A47">
        <v>5449</v>
      </c>
      <c r="B47" t="s">
        <v>179</v>
      </c>
      <c r="C47" s="10">
        <v>0.375</v>
      </c>
      <c r="D47">
        <v>8900</v>
      </c>
      <c r="E47">
        <v>8900</v>
      </c>
      <c r="F47">
        <v>2534</v>
      </c>
      <c r="G47" s="18">
        <v>0.99372549019607848</v>
      </c>
      <c r="H47" s="18">
        <v>0.99294670846394983</v>
      </c>
    </row>
    <row r="48" spans="1:8">
      <c r="A48">
        <v>8766</v>
      </c>
      <c r="B48" t="s">
        <v>180</v>
      </c>
      <c r="C48" s="10">
        <v>0.375</v>
      </c>
      <c r="D48">
        <v>3171100</v>
      </c>
      <c r="E48">
        <v>3171100</v>
      </c>
      <c r="F48">
        <v>7472</v>
      </c>
      <c r="G48" s="18">
        <v>0.98135014447071189</v>
      </c>
      <c r="H48" s="18">
        <v>0.98315789473684212</v>
      </c>
    </row>
    <row r="49" spans="1:8">
      <c r="A49">
        <v>5201</v>
      </c>
      <c r="B49" t="s">
        <v>181</v>
      </c>
      <c r="C49" s="10">
        <v>0.375</v>
      </c>
      <c r="D49">
        <v>964000</v>
      </c>
      <c r="E49">
        <v>964000</v>
      </c>
      <c r="F49">
        <v>6019</v>
      </c>
      <c r="G49" s="18">
        <v>0.94223544145272387</v>
      </c>
      <c r="H49" s="18">
        <v>0.93724696356275305</v>
      </c>
    </row>
    <row r="50" spans="1:8">
      <c r="A50">
        <v>8630</v>
      </c>
      <c r="B50" t="s">
        <v>182</v>
      </c>
      <c r="C50" s="10">
        <v>0.375</v>
      </c>
      <c r="D50">
        <v>1986900</v>
      </c>
      <c r="E50">
        <v>1986900</v>
      </c>
      <c r="F50">
        <v>6630</v>
      </c>
      <c r="G50" s="18">
        <v>1.0009057971014492</v>
      </c>
      <c r="H50" s="18">
        <v>1.00181323662738</v>
      </c>
    </row>
    <row r="51" spans="1:8">
      <c r="A51">
        <v>5901</v>
      </c>
      <c r="B51" t="s">
        <v>183</v>
      </c>
      <c r="C51" s="10">
        <v>0.375</v>
      </c>
      <c r="D51">
        <v>179700</v>
      </c>
      <c r="E51">
        <v>179700</v>
      </c>
      <c r="F51">
        <v>4010</v>
      </c>
      <c r="G51" s="18">
        <v>0.98550012288031452</v>
      </c>
      <c r="H51" s="18">
        <v>0.98890258939580766</v>
      </c>
    </row>
    <row r="52" spans="1:8">
      <c r="A52">
        <v>9412</v>
      </c>
      <c r="B52" t="s">
        <v>184</v>
      </c>
      <c r="C52" s="10">
        <v>0.375</v>
      </c>
      <c r="D52">
        <v>1888900</v>
      </c>
      <c r="E52">
        <v>1888900</v>
      </c>
      <c r="F52">
        <v>2247</v>
      </c>
      <c r="G52" s="18">
        <v>0.97780678851174929</v>
      </c>
      <c r="H52" s="18">
        <v>0.95861774744027306</v>
      </c>
    </row>
    <row r="53" spans="1:8">
      <c r="A53">
        <v>6203</v>
      </c>
      <c r="B53" t="s">
        <v>185</v>
      </c>
      <c r="C53" s="10">
        <v>0.375</v>
      </c>
      <c r="D53">
        <v>473000</v>
      </c>
      <c r="E53">
        <v>473000</v>
      </c>
      <c r="F53">
        <v>1404</v>
      </c>
      <c r="G53" s="18">
        <v>0.96894409937888204</v>
      </c>
      <c r="H53" s="18">
        <v>0.96362388469457794</v>
      </c>
    </row>
    <row r="54" spans="1:8">
      <c r="A54">
        <v>4676</v>
      </c>
      <c r="B54" t="s">
        <v>186</v>
      </c>
      <c r="C54" s="10">
        <v>0.375</v>
      </c>
      <c r="D54">
        <v>480500</v>
      </c>
      <c r="E54">
        <v>480500</v>
      </c>
      <c r="F54">
        <v>3996</v>
      </c>
      <c r="G54" s="18">
        <v>0.96638452237001204</v>
      </c>
      <c r="H54" s="18">
        <v>0.97202627098029681</v>
      </c>
    </row>
    <row r="55" spans="1:8">
      <c r="A55">
        <v>1961</v>
      </c>
      <c r="B55" t="s">
        <v>187</v>
      </c>
      <c r="C55" s="10">
        <v>0.375</v>
      </c>
      <c r="D55">
        <v>544000</v>
      </c>
      <c r="E55">
        <v>544000</v>
      </c>
      <c r="F55">
        <v>2432</v>
      </c>
      <c r="G55" s="18">
        <v>0.95559921414538307</v>
      </c>
      <c r="H55" s="18">
        <v>0.93718689788053955</v>
      </c>
    </row>
    <row r="56" spans="1:8">
      <c r="A56">
        <v>3107</v>
      </c>
      <c r="B56" t="s">
        <v>188</v>
      </c>
      <c r="C56" s="10">
        <v>0.375</v>
      </c>
      <c r="D56">
        <v>135700</v>
      </c>
      <c r="E56">
        <v>135700</v>
      </c>
      <c r="F56">
        <v>3370</v>
      </c>
      <c r="G56" s="18">
        <v>0.98250728862973757</v>
      </c>
      <c r="H56" s="18">
        <v>0.97965116279069764</v>
      </c>
    </row>
    <row r="57" spans="1:8">
      <c r="A57">
        <v>4045</v>
      </c>
      <c r="B57" t="s">
        <v>189</v>
      </c>
      <c r="C57" s="10">
        <v>0.375</v>
      </c>
      <c r="D57">
        <v>150800</v>
      </c>
      <c r="E57">
        <v>150800</v>
      </c>
      <c r="F57">
        <v>1708</v>
      </c>
      <c r="G57" s="18">
        <v>0.98557414887478356</v>
      </c>
      <c r="H57" s="18">
        <v>0.98472182185067747</v>
      </c>
    </row>
    <row r="58" spans="1:8">
      <c r="A58">
        <v>5857</v>
      </c>
      <c r="B58" t="s">
        <v>190</v>
      </c>
      <c r="C58" s="10">
        <v>0.375</v>
      </c>
      <c r="D58">
        <v>763900</v>
      </c>
      <c r="E58">
        <v>763900</v>
      </c>
      <c r="F58">
        <v>2902</v>
      </c>
      <c r="G58" s="18">
        <v>0.96733333333333338</v>
      </c>
      <c r="H58" s="18">
        <v>0.94681892332789563</v>
      </c>
    </row>
    <row r="59" spans="1:8">
      <c r="A59">
        <v>8281</v>
      </c>
      <c r="B59" t="s">
        <v>191</v>
      </c>
      <c r="C59" s="10">
        <v>0.375</v>
      </c>
      <c r="D59">
        <v>95600</v>
      </c>
      <c r="E59">
        <v>95600</v>
      </c>
      <c r="F59">
        <v>1109</v>
      </c>
      <c r="G59" s="18">
        <v>1.0045289855072463</v>
      </c>
      <c r="H59" s="18">
        <v>1.0109389243391067</v>
      </c>
    </row>
    <row r="60" spans="1:8">
      <c r="A60">
        <v>4540</v>
      </c>
      <c r="B60" t="s">
        <v>192</v>
      </c>
      <c r="C60" s="10">
        <v>0.375</v>
      </c>
      <c r="D60">
        <v>187700</v>
      </c>
      <c r="E60">
        <v>187700</v>
      </c>
      <c r="F60">
        <v>3821</v>
      </c>
      <c r="G60" s="18">
        <v>0.98963998963998967</v>
      </c>
      <c r="H60" s="18">
        <v>0.98963998963998967</v>
      </c>
    </row>
    <row r="61" spans="1:8">
      <c r="A61">
        <v>9984</v>
      </c>
      <c r="B61" t="s">
        <v>193</v>
      </c>
      <c r="C61" s="10">
        <v>0.375</v>
      </c>
      <c r="D61">
        <v>56210000</v>
      </c>
      <c r="E61">
        <v>56210000</v>
      </c>
      <c r="F61">
        <v>5308</v>
      </c>
      <c r="G61" s="18">
        <v>0.93731237859791627</v>
      </c>
      <c r="H61" s="18">
        <v>0.89045462170776712</v>
      </c>
    </row>
    <row r="62" spans="1:8">
      <c r="A62">
        <v>4063</v>
      </c>
      <c r="B62" t="s">
        <v>194</v>
      </c>
      <c r="C62" s="10">
        <v>0.375</v>
      </c>
      <c r="D62">
        <v>4977300</v>
      </c>
      <c r="E62">
        <v>4977300</v>
      </c>
      <c r="F62">
        <v>7063</v>
      </c>
      <c r="G62" s="18">
        <v>0.97961165048543686</v>
      </c>
      <c r="H62" s="18">
        <v>0.95951637005841595</v>
      </c>
    </row>
    <row r="63" spans="1:8">
      <c r="A63">
        <v>4536</v>
      </c>
      <c r="B63" t="s">
        <v>195</v>
      </c>
      <c r="C63" s="10">
        <v>0.375</v>
      </c>
      <c r="D63">
        <v>761600</v>
      </c>
      <c r="E63">
        <v>761600</v>
      </c>
      <c r="F63">
        <v>2024.5</v>
      </c>
      <c r="G63" s="18">
        <v>0.99094468918257461</v>
      </c>
      <c r="H63" s="18">
        <v>0.96727185857620646</v>
      </c>
    </row>
    <row r="64" spans="1:8">
      <c r="A64">
        <v>6503</v>
      </c>
      <c r="B64" t="s">
        <v>196</v>
      </c>
      <c r="C64" s="10">
        <v>0.375</v>
      </c>
      <c r="D64">
        <v>5124500</v>
      </c>
      <c r="E64">
        <v>5124500</v>
      </c>
      <c r="F64">
        <v>5298</v>
      </c>
      <c r="G64" s="18">
        <v>0.95185052102048151</v>
      </c>
      <c r="H64" s="18">
        <v>0.93505118249205788</v>
      </c>
    </row>
    <row r="65" spans="1:8">
      <c r="A65">
        <v>4980</v>
      </c>
      <c r="B65" t="s">
        <v>197</v>
      </c>
      <c r="C65" s="10">
        <v>0.375</v>
      </c>
      <c r="D65">
        <v>2044500</v>
      </c>
      <c r="E65">
        <v>2044500</v>
      </c>
      <c r="F65">
        <v>3463</v>
      </c>
      <c r="G65" s="18">
        <v>0.93594594594594593</v>
      </c>
      <c r="H65" s="18">
        <v>0.91686523696055067</v>
      </c>
    </row>
    <row r="66" spans="1:8">
      <c r="A66">
        <v>9424</v>
      </c>
      <c r="B66" t="s">
        <v>198</v>
      </c>
      <c r="C66" s="10">
        <v>0.375</v>
      </c>
      <c r="D66">
        <v>1109400</v>
      </c>
      <c r="E66">
        <v>1109400</v>
      </c>
      <c r="F66">
        <v>113</v>
      </c>
      <c r="G66" s="18">
        <v>0.96581196581196582</v>
      </c>
      <c r="H66" s="18">
        <v>0.97413793103448276</v>
      </c>
    </row>
    <row r="67" spans="1:8">
      <c r="A67">
        <v>3854</v>
      </c>
      <c r="B67" t="s">
        <v>199</v>
      </c>
      <c r="C67" s="10">
        <v>0.375</v>
      </c>
      <c r="D67">
        <v>58600</v>
      </c>
      <c r="E67">
        <v>58600</v>
      </c>
      <c r="F67">
        <v>2348</v>
      </c>
      <c r="G67" s="18">
        <v>0.97670549084858571</v>
      </c>
      <c r="H67" s="18">
        <v>0.98655462184873954</v>
      </c>
    </row>
    <row r="68" spans="1:8">
      <c r="A68">
        <v>6027</v>
      </c>
      <c r="B68" t="s">
        <v>200</v>
      </c>
      <c r="C68" s="10">
        <v>0.375</v>
      </c>
      <c r="D68">
        <v>87300</v>
      </c>
      <c r="E68">
        <v>87300</v>
      </c>
      <c r="F68">
        <v>2368</v>
      </c>
      <c r="G68" s="18">
        <v>1.0033898305084745</v>
      </c>
      <c r="H68" s="18">
        <v>0.99162479061976549</v>
      </c>
    </row>
    <row r="69" spans="1:8">
      <c r="A69">
        <v>7806</v>
      </c>
      <c r="B69" t="s">
        <v>201</v>
      </c>
      <c r="C69" s="10">
        <v>0.375</v>
      </c>
      <c r="D69">
        <v>148900</v>
      </c>
      <c r="E69">
        <v>148900</v>
      </c>
      <c r="F69">
        <v>7390</v>
      </c>
      <c r="G69" s="18">
        <v>0.92606516290726815</v>
      </c>
      <c r="H69" s="18">
        <v>0.90897908979089792</v>
      </c>
    </row>
    <row r="70" spans="1:8">
      <c r="A70">
        <v>9202</v>
      </c>
      <c r="B70" t="s">
        <v>202</v>
      </c>
      <c r="C70" s="10">
        <v>0.375</v>
      </c>
      <c r="D70">
        <v>1477000</v>
      </c>
      <c r="E70">
        <v>1477000</v>
      </c>
      <c r="F70">
        <v>3007</v>
      </c>
      <c r="G70" s="18">
        <v>1.0033366700033366</v>
      </c>
      <c r="H70" s="18">
        <v>1.0028347507086877</v>
      </c>
    </row>
    <row r="71" spans="1:8">
      <c r="A71">
        <v>7846</v>
      </c>
      <c r="B71" t="s">
        <v>203</v>
      </c>
      <c r="C71" s="10">
        <v>0.375</v>
      </c>
      <c r="D71">
        <v>108200</v>
      </c>
      <c r="E71">
        <v>108200</v>
      </c>
      <c r="F71">
        <v>1790.5</v>
      </c>
      <c r="G71" s="18">
        <v>0.9878620689655172</v>
      </c>
      <c r="H71" s="18">
        <v>0.99059474412171511</v>
      </c>
    </row>
    <row r="72" spans="1:8">
      <c r="A72">
        <v>2802</v>
      </c>
      <c r="B72" t="s">
        <v>204</v>
      </c>
      <c r="C72" s="10">
        <v>0.375</v>
      </c>
      <c r="D72">
        <v>3563100</v>
      </c>
      <c r="E72">
        <v>3563100</v>
      </c>
      <c r="F72">
        <v>5123</v>
      </c>
      <c r="G72" s="18">
        <v>0.98235858101629914</v>
      </c>
      <c r="H72" s="18">
        <v>0.9556052975191196</v>
      </c>
    </row>
    <row r="73" spans="1:8">
      <c r="A73">
        <v>7203</v>
      </c>
      <c r="B73" t="s">
        <v>205</v>
      </c>
      <c r="C73" s="10">
        <v>0.375</v>
      </c>
      <c r="D73">
        <v>25860000</v>
      </c>
      <c r="E73">
        <v>25860000</v>
      </c>
      <c r="F73">
        <v>2875</v>
      </c>
      <c r="G73" s="18">
        <v>1.003315302739487</v>
      </c>
      <c r="H73" s="18">
        <v>0.98831213475421109</v>
      </c>
    </row>
    <row r="74" spans="1:8">
      <c r="A74">
        <v>6954</v>
      </c>
      <c r="B74" t="s">
        <v>206</v>
      </c>
      <c r="C74" s="10">
        <v>0.375</v>
      </c>
      <c r="D74">
        <v>5731400</v>
      </c>
      <c r="E74">
        <v>5731400</v>
      </c>
      <c r="F74">
        <v>6529</v>
      </c>
      <c r="G74" s="18">
        <v>0.97593423019431991</v>
      </c>
      <c r="H74" s="18">
        <v>0.93005698005698001</v>
      </c>
    </row>
    <row r="75" spans="1:8">
      <c r="A75">
        <v>6479</v>
      </c>
      <c r="B75" t="s">
        <v>207</v>
      </c>
      <c r="C75" s="10">
        <v>0.375</v>
      </c>
      <c r="D75">
        <v>3333000</v>
      </c>
      <c r="E75">
        <v>3333000</v>
      </c>
      <c r="F75">
        <v>3748</v>
      </c>
      <c r="G75" s="18">
        <v>0.944080604534005</v>
      </c>
      <c r="H75" s="18">
        <v>0.91930340936963451</v>
      </c>
    </row>
    <row r="76" spans="1:8">
      <c r="A76">
        <v>1833</v>
      </c>
      <c r="B76" t="s">
        <v>208</v>
      </c>
      <c r="C76" s="10">
        <v>0.375</v>
      </c>
      <c r="D76">
        <v>106200</v>
      </c>
      <c r="E76">
        <v>106200</v>
      </c>
      <c r="F76">
        <v>5570</v>
      </c>
      <c r="G76" s="18">
        <v>0.98934280639431615</v>
      </c>
      <c r="H76" s="18">
        <v>0.98063380281690138</v>
      </c>
    </row>
    <row r="77" spans="1:8">
      <c r="A77">
        <v>6841</v>
      </c>
      <c r="B77" t="s">
        <v>209</v>
      </c>
      <c r="C77" s="10">
        <v>0.375</v>
      </c>
      <c r="D77">
        <v>780800</v>
      </c>
      <c r="E77">
        <v>780800</v>
      </c>
      <c r="F77">
        <v>5387</v>
      </c>
      <c r="G77" s="18">
        <v>1.0105045957606453</v>
      </c>
      <c r="H77" s="18">
        <v>0.98034576888080072</v>
      </c>
    </row>
    <row r="78" spans="1:8">
      <c r="A78">
        <v>7167</v>
      </c>
      <c r="B78" t="s">
        <v>210</v>
      </c>
      <c r="C78" s="10">
        <v>0.375</v>
      </c>
      <c r="D78">
        <v>2481600</v>
      </c>
      <c r="E78">
        <v>2481600</v>
      </c>
      <c r="F78">
        <v>1416</v>
      </c>
      <c r="G78" s="18">
        <v>0.94399999999999995</v>
      </c>
      <c r="H78" s="18">
        <v>0.93899204244031831</v>
      </c>
    </row>
    <row r="79" spans="1:8">
      <c r="A79">
        <v>1925</v>
      </c>
      <c r="B79" t="s">
        <v>211</v>
      </c>
      <c r="C79" s="10">
        <v>0.375</v>
      </c>
      <c r="D79">
        <v>1189500</v>
      </c>
      <c r="E79">
        <v>1189500</v>
      </c>
      <c r="F79">
        <v>4598</v>
      </c>
      <c r="G79" s="18">
        <v>0.99158938969161092</v>
      </c>
      <c r="H79" s="18">
        <v>0.9997825614263971</v>
      </c>
    </row>
    <row r="80" spans="1:8">
      <c r="A80">
        <v>5411</v>
      </c>
      <c r="B80" t="s">
        <v>212</v>
      </c>
      <c r="C80" s="10">
        <v>0.375</v>
      </c>
      <c r="D80">
        <v>3526200</v>
      </c>
      <c r="E80">
        <v>3526200</v>
      </c>
      <c r="F80">
        <v>1690</v>
      </c>
      <c r="G80" s="18">
        <v>1.0005920663114269</v>
      </c>
      <c r="H80" s="18">
        <v>0.99616858237547889</v>
      </c>
    </row>
    <row r="81" spans="1:8">
      <c r="A81">
        <v>7182</v>
      </c>
      <c r="B81" t="s">
        <v>213</v>
      </c>
      <c r="C81" s="10">
        <v>0.375</v>
      </c>
      <c r="D81">
        <v>4332900</v>
      </c>
      <c r="E81">
        <v>4332900</v>
      </c>
      <c r="F81">
        <v>3109</v>
      </c>
      <c r="G81" s="18">
        <v>0.96253869969040251</v>
      </c>
      <c r="H81" s="18">
        <v>0.9542664211172498</v>
      </c>
    </row>
    <row r="82" spans="1:8">
      <c r="A82">
        <v>1963</v>
      </c>
      <c r="B82" t="s">
        <v>214</v>
      </c>
      <c r="C82" s="10">
        <v>0.375</v>
      </c>
      <c r="D82">
        <v>1541900</v>
      </c>
      <c r="E82">
        <v>1541900</v>
      </c>
      <c r="F82">
        <v>2176.5</v>
      </c>
      <c r="G82" s="18">
        <v>0.98040540540540544</v>
      </c>
      <c r="H82" s="18">
        <v>0.95881057268722469</v>
      </c>
    </row>
    <row r="83" spans="1:8">
      <c r="A83">
        <v>2914</v>
      </c>
      <c r="B83" t="s">
        <v>215</v>
      </c>
      <c r="C83" s="10">
        <v>0.375</v>
      </c>
      <c r="D83">
        <v>5310800</v>
      </c>
      <c r="E83">
        <v>5310800</v>
      </c>
      <c r="F83">
        <v>6299</v>
      </c>
      <c r="G83" s="18">
        <v>1.0080012802048328</v>
      </c>
      <c r="H83" s="18">
        <v>1.0167877320419694</v>
      </c>
    </row>
    <row r="84" spans="1:8">
      <c r="A84">
        <v>3003</v>
      </c>
      <c r="B84" t="s">
        <v>216</v>
      </c>
      <c r="C84" s="10">
        <v>0.375</v>
      </c>
      <c r="D84">
        <v>1624300</v>
      </c>
      <c r="E84">
        <v>1624300</v>
      </c>
      <c r="F84">
        <v>1783.5</v>
      </c>
      <c r="G84" s="18">
        <v>0.98644911504424782</v>
      </c>
      <c r="H84" s="18">
        <v>0.99636871508379887</v>
      </c>
    </row>
    <row r="85" spans="1:8">
      <c r="A85">
        <v>5892</v>
      </c>
      <c r="B85" t="s">
        <v>217</v>
      </c>
      <c r="C85" s="10">
        <v>0.375</v>
      </c>
      <c r="D85">
        <v>99100</v>
      </c>
      <c r="E85">
        <v>99100</v>
      </c>
      <c r="F85">
        <v>2002</v>
      </c>
      <c r="G85" s="18">
        <v>0.9718446601941747</v>
      </c>
      <c r="H85" s="18">
        <v>0.9718446601941747</v>
      </c>
    </row>
    <row r="86" spans="1:8">
      <c r="A86">
        <v>6323</v>
      </c>
      <c r="B86" t="s">
        <v>218</v>
      </c>
      <c r="C86" s="10">
        <v>0.375</v>
      </c>
      <c r="D86">
        <v>3327300</v>
      </c>
      <c r="E86">
        <v>3327300</v>
      </c>
      <c r="F86">
        <v>4374</v>
      </c>
      <c r="G86" s="18">
        <v>1.0078341013824885</v>
      </c>
      <c r="H86" s="18">
        <v>0.93541488451668098</v>
      </c>
    </row>
    <row r="87" spans="1:8">
      <c r="A87">
        <v>6501</v>
      </c>
      <c r="B87" t="s">
        <v>219</v>
      </c>
      <c r="C87" s="10">
        <v>0.375</v>
      </c>
      <c r="D87">
        <v>7808000</v>
      </c>
      <c r="E87">
        <v>7808000</v>
      </c>
      <c r="F87">
        <v>4676</v>
      </c>
      <c r="G87" s="18">
        <v>0.99744027303754268</v>
      </c>
      <c r="H87" s="18">
        <v>0.96851698425849209</v>
      </c>
    </row>
    <row r="88" spans="1:8">
      <c r="A88">
        <v>6134</v>
      </c>
      <c r="B88" t="s">
        <v>220</v>
      </c>
      <c r="C88" s="10">
        <v>0.375</v>
      </c>
      <c r="D88">
        <v>930500</v>
      </c>
      <c r="E88">
        <v>930500</v>
      </c>
      <c r="F88">
        <v>7092</v>
      </c>
      <c r="G88" s="18">
        <v>0.95837837837837836</v>
      </c>
      <c r="H88" s="18">
        <v>0.92839376881790814</v>
      </c>
    </row>
    <row r="89" spans="1:8">
      <c r="A89">
        <v>7746</v>
      </c>
      <c r="B89" t="s">
        <v>221</v>
      </c>
      <c r="C89" s="10">
        <v>0.375</v>
      </c>
      <c r="D89">
        <v>921000</v>
      </c>
      <c r="E89">
        <v>921000</v>
      </c>
      <c r="F89">
        <v>732</v>
      </c>
      <c r="G89" s="18">
        <v>0.94818652849740936</v>
      </c>
      <c r="H89" s="18">
        <v>0.93725992317541618</v>
      </c>
    </row>
    <row r="90" spans="1:8">
      <c r="A90">
        <v>3407</v>
      </c>
      <c r="B90" t="s">
        <v>222</v>
      </c>
      <c r="C90" s="10">
        <v>0.375</v>
      </c>
      <c r="D90">
        <v>2723900</v>
      </c>
      <c r="E90">
        <v>2723900</v>
      </c>
      <c r="F90">
        <v>1819</v>
      </c>
      <c r="G90" s="18">
        <v>0.98032875235785499</v>
      </c>
      <c r="H90" s="18">
        <v>0.96961620469083154</v>
      </c>
    </row>
    <row r="91" spans="1:8">
      <c r="A91">
        <v>4008</v>
      </c>
      <c r="B91" t="s">
        <v>223</v>
      </c>
      <c r="C91" s="10">
        <v>0.375</v>
      </c>
      <c r="D91">
        <v>177600</v>
      </c>
      <c r="E91">
        <v>177600</v>
      </c>
      <c r="F91">
        <v>1245</v>
      </c>
      <c r="G91" s="18">
        <v>0.98418972332015808</v>
      </c>
      <c r="H91" s="18">
        <v>0.96661490683229812</v>
      </c>
    </row>
    <row r="92" spans="1:8">
      <c r="A92">
        <v>4062</v>
      </c>
      <c r="B92" t="s">
        <v>224</v>
      </c>
      <c r="C92" s="10">
        <v>0.375</v>
      </c>
      <c r="D92">
        <v>10162300</v>
      </c>
      <c r="E92">
        <v>10162300</v>
      </c>
      <c r="F92">
        <v>15175</v>
      </c>
      <c r="G92" s="18">
        <v>0.91388136103583262</v>
      </c>
      <c r="H92" s="18">
        <v>0.8718758977305372</v>
      </c>
    </row>
    <row r="93" spans="1:8">
      <c r="A93">
        <v>4182</v>
      </c>
      <c r="B93" t="s">
        <v>225</v>
      </c>
      <c r="C93" s="10">
        <v>0.375</v>
      </c>
      <c r="D93">
        <v>787300</v>
      </c>
      <c r="E93">
        <v>787300</v>
      </c>
      <c r="F93">
        <v>4238</v>
      </c>
      <c r="G93" s="18">
        <v>0.95022421524663681</v>
      </c>
      <c r="H93" s="18">
        <v>0.92190559060256694</v>
      </c>
    </row>
    <row r="94" spans="1:8">
      <c r="A94">
        <v>4188</v>
      </c>
      <c r="B94" t="s">
        <v>226</v>
      </c>
      <c r="C94" s="10">
        <v>0.375</v>
      </c>
      <c r="D94">
        <v>3686300</v>
      </c>
      <c r="E94">
        <v>3686300</v>
      </c>
      <c r="F94">
        <v>1157</v>
      </c>
      <c r="G94" s="18">
        <v>0.97267759562841527</v>
      </c>
      <c r="H94" s="18">
        <v>0.96216216216216222</v>
      </c>
    </row>
    <row r="95" spans="1:8">
      <c r="A95">
        <v>4523</v>
      </c>
      <c r="B95" t="s">
        <v>227</v>
      </c>
      <c r="C95" s="10">
        <v>0.375</v>
      </c>
      <c r="D95">
        <v>1075600</v>
      </c>
      <c r="E95">
        <v>1075600</v>
      </c>
      <c r="F95">
        <v>4403</v>
      </c>
      <c r="G95" s="18">
        <v>1.0006818181818182</v>
      </c>
      <c r="H95" s="18">
        <v>1.0149838635315813</v>
      </c>
    </row>
    <row r="96" spans="1:8">
      <c r="A96">
        <v>4528</v>
      </c>
      <c r="B96" t="s">
        <v>228</v>
      </c>
      <c r="C96" s="10">
        <v>0.375</v>
      </c>
      <c r="D96">
        <v>1047800</v>
      </c>
      <c r="E96">
        <v>1047800</v>
      </c>
      <c r="F96">
        <v>2408</v>
      </c>
      <c r="G96" s="18">
        <v>1.0136813302462639</v>
      </c>
      <c r="H96" s="18">
        <v>1.026209247815896</v>
      </c>
    </row>
    <row r="97" spans="1:8">
      <c r="A97">
        <v>4661</v>
      </c>
      <c r="B97" t="s">
        <v>229</v>
      </c>
      <c r="C97" s="10">
        <v>0.375</v>
      </c>
      <c r="D97">
        <v>5093000</v>
      </c>
      <c r="E97">
        <v>5093000</v>
      </c>
      <c r="F97">
        <v>2722</v>
      </c>
      <c r="G97" s="18">
        <v>0.99706959706959708</v>
      </c>
      <c r="H97" s="18">
        <v>1.0100185528756958</v>
      </c>
    </row>
    <row r="98" spans="1:8">
      <c r="A98">
        <v>5802</v>
      </c>
      <c r="B98" t="s">
        <v>230</v>
      </c>
      <c r="C98" s="10">
        <v>0.375</v>
      </c>
      <c r="D98">
        <v>17307200</v>
      </c>
      <c r="E98">
        <v>17307200</v>
      </c>
      <c r="F98">
        <v>2191</v>
      </c>
      <c r="G98" s="18">
        <v>0.95260869565217388</v>
      </c>
      <c r="H98" s="18">
        <v>0.91386861313868617</v>
      </c>
    </row>
    <row r="99" spans="1:8">
      <c r="A99">
        <v>5803</v>
      </c>
      <c r="B99" t="s">
        <v>231</v>
      </c>
      <c r="C99" s="10">
        <v>0.375</v>
      </c>
      <c r="D99">
        <v>41755100</v>
      </c>
      <c r="E99">
        <v>41755100</v>
      </c>
      <c r="F99">
        <v>4398</v>
      </c>
      <c r="G99" s="18">
        <v>0.96426222319666743</v>
      </c>
      <c r="H99" s="18">
        <v>0.92375551354757401</v>
      </c>
    </row>
    <row r="100" spans="1:8">
      <c r="A100">
        <v>6178</v>
      </c>
      <c r="B100" t="s">
        <v>232</v>
      </c>
      <c r="C100" s="10">
        <v>0.375</v>
      </c>
      <c r="D100">
        <v>4052900</v>
      </c>
      <c r="E100">
        <v>4052900</v>
      </c>
      <c r="F100">
        <v>2316</v>
      </c>
      <c r="G100" s="18">
        <v>0.97351828499369486</v>
      </c>
      <c r="H100" s="18">
        <v>0.96984924623115576</v>
      </c>
    </row>
    <row r="101" spans="1:8">
      <c r="A101">
        <v>6925</v>
      </c>
      <c r="B101" t="s">
        <v>233</v>
      </c>
      <c r="C101" s="10">
        <v>0.375</v>
      </c>
      <c r="D101">
        <v>241500</v>
      </c>
      <c r="E101">
        <v>241500</v>
      </c>
      <c r="F101">
        <v>3781</v>
      </c>
      <c r="G101" s="18">
        <v>0.96184177054184683</v>
      </c>
      <c r="H101" s="18">
        <v>0.92762512266928365</v>
      </c>
    </row>
    <row r="102" spans="1:8">
      <c r="A102">
        <v>7021</v>
      </c>
      <c r="B102" t="s">
        <v>234</v>
      </c>
      <c r="C102" s="10">
        <v>0.375</v>
      </c>
      <c r="D102">
        <v>2600</v>
      </c>
      <c r="E102">
        <v>2600</v>
      </c>
      <c r="F102">
        <v>1850</v>
      </c>
      <c r="G102" s="18">
        <v>0.98614072494669514</v>
      </c>
      <c r="H102" s="18">
        <v>0.98509052183173584</v>
      </c>
    </row>
    <row r="103" spans="1:8">
      <c r="A103">
        <v>7729</v>
      </c>
      <c r="B103" t="s">
        <v>235</v>
      </c>
      <c r="C103" s="10">
        <v>0.375</v>
      </c>
      <c r="D103">
        <v>442400</v>
      </c>
      <c r="E103">
        <v>442400</v>
      </c>
      <c r="F103">
        <v>16690</v>
      </c>
      <c r="G103" s="18">
        <v>0.93188163037409266</v>
      </c>
      <c r="H103" s="18">
        <v>0.88541114058355441</v>
      </c>
    </row>
    <row r="104" spans="1:8">
      <c r="A104">
        <v>8424</v>
      </c>
      <c r="B104" t="s">
        <v>236</v>
      </c>
      <c r="C104" s="10">
        <v>0.375</v>
      </c>
      <c r="D104">
        <v>108200</v>
      </c>
      <c r="E104">
        <v>108200</v>
      </c>
      <c r="F104">
        <v>4314</v>
      </c>
      <c r="G104" s="18">
        <v>0.99126838235294112</v>
      </c>
      <c r="H104" s="18">
        <v>0.99126838235294112</v>
      </c>
    </row>
    <row r="105" spans="1:8">
      <c r="A105">
        <v>9020</v>
      </c>
      <c r="B105" t="s">
        <v>237</v>
      </c>
      <c r="C105" s="10">
        <v>0.375</v>
      </c>
      <c r="D105">
        <v>1819700</v>
      </c>
      <c r="E105">
        <v>1819700</v>
      </c>
      <c r="F105">
        <v>3598</v>
      </c>
      <c r="G105" s="18">
        <v>0.9890049477735019</v>
      </c>
      <c r="H105" s="18">
        <v>0.99916689808386561</v>
      </c>
    </row>
    <row r="106" spans="1:8">
      <c r="A106">
        <v>9069</v>
      </c>
      <c r="B106" t="s">
        <v>238</v>
      </c>
      <c r="C106" s="10">
        <v>0.375</v>
      </c>
      <c r="D106">
        <v>298300</v>
      </c>
      <c r="E106">
        <v>298300</v>
      </c>
      <c r="F106">
        <v>2169</v>
      </c>
      <c r="G106" s="18">
        <v>1.01071761416589</v>
      </c>
      <c r="H106" s="18">
        <v>1.0226308345120225</v>
      </c>
    </row>
    <row r="107" spans="1:8">
      <c r="A107">
        <v>9227</v>
      </c>
      <c r="B107" t="s">
        <v>239</v>
      </c>
      <c r="C107" s="10">
        <v>0.375</v>
      </c>
      <c r="D107">
        <v>318700</v>
      </c>
      <c r="E107">
        <v>318700</v>
      </c>
      <c r="F107">
        <v>760</v>
      </c>
      <c r="G107" s="18">
        <v>0.94409937888198758</v>
      </c>
      <c r="H107" s="18">
        <v>0.92682926829268297</v>
      </c>
    </row>
    <row r="108" spans="1:8">
      <c r="A108">
        <v>9348</v>
      </c>
      <c r="B108" t="s">
        <v>240</v>
      </c>
      <c r="C108" s="10">
        <v>0.375</v>
      </c>
      <c r="D108">
        <v>2501600</v>
      </c>
      <c r="E108">
        <v>2501600</v>
      </c>
      <c r="F108">
        <v>409</v>
      </c>
      <c r="G108" s="18">
        <v>0.98317307692307687</v>
      </c>
      <c r="H108" s="18">
        <v>0.97149643705463185</v>
      </c>
    </row>
    <row r="109" spans="1:8">
      <c r="A109">
        <v>9449</v>
      </c>
      <c r="B109" t="s">
        <v>241</v>
      </c>
      <c r="C109" s="10">
        <v>0.375</v>
      </c>
      <c r="D109">
        <v>302200</v>
      </c>
      <c r="E109">
        <v>302200</v>
      </c>
      <c r="F109">
        <v>4008</v>
      </c>
      <c r="G109" s="18">
        <v>0.99330855018587361</v>
      </c>
      <c r="H109" s="18">
        <v>0.98355828220858899</v>
      </c>
    </row>
    <row r="110" spans="1:8">
      <c r="A110">
        <v>9501</v>
      </c>
      <c r="B110" t="s">
        <v>242</v>
      </c>
      <c r="C110" s="10">
        <v>0.375</v>
      </c>
      <c r="D110">
        <v>32796300</v>
      </c>
      <c r="E110">
        <v>32796300</v>
      </c>
      <c r="F110">
        <v>495.3</v>
      </c>
      <c r="G110" s="18">
        <v>0.99657947686116699</v>
      </c>
      <c r="H110" s="18">
        <v>0.98744019138755978</v>
      </c>
    </row>
    <row r="111" spans="1:8">
      <c r="A111">
        <v>9531</v>
      </c>
      <c r="B111" t="s">
        <v>243</v>
      </c>
      <c r="C111" s="10">
        <v>0.375</v>
      </c>
      <c r="D111">
        <v>562900</v>
      </c>
      <c r="E111">
        <v>562900</v>
      </c>
      <c r="F111">
        <v>6044</v>
      </c>
      <c r="G111" s="18">
        <v>0.99000819000818996</v>
      </c>
      <c r="H111" s="18">
        <v>0.99637322782723381</v>
      </c>
    </row>
    <row r="112" spans="1:8">
      <c r="A112">
        <v>9882</v>
      </c>
      <c r="B112" t="s">
        <v>244</v>
      </c>
      <c r="C112" s="10">
        <v>0.375</v>
      </c>
      <c r="D112">
        <v>132400</v>
      </c>
      <c r="E112">
        <v>132400</v>
      </c>
      <c r="F112">
        <v>1809</v>
      </c>
      <c r="G112" s="18">
        <v>0.98798470780993997</v>
      </c>
      <c r="H112" s="18">
        <v>0.99014778325123154</v>
      </c>
    </row>
    <row r="113" spans="1:8">
      <c r="A113">
        <v>5838</v>
      </c>
      <c r="B113" t="s">
        <v>245</v>
      </c>
      <c r="C113" s="10">
        <v>0.375</v>
      </c>
      <c r="D113">
        <v>809600</v>
      </c>
      <c r="E113">
        <v>809600</v>
      </c>
      <c r="F113">
        <v>5223</v>
      </c>
      <c r="G113" s="18">
        <v>0.96722222222222221</v>
      </c>
      <c r="H113" s="18">
        <v>0.94057266342517554</v>
      </c>
    </row>
    <row r="114" spans="1:8">
      <c r="A114">
        <v>5844</v>
      </c>
      <c r="B114" t="s">
        <v>246</v>
      </c>
      <c r="C114" s="10">
        <v>0.375</v>
      </c>
      <c r="D114">
        <v>891800</v>
      </c>
      <c r="E114">
        <v>891800</v>
      </c>
      <c r="F114">
        <v>4320</v>
      </c>
      <c r="G114" s="18">
        <v>0.94117647058823528</v>
      </c>
      <c r="H114" s="18">
        <v>0.9292320929232093</v>
      </c>
    </row>
    <row r="115" spans="1:8">
      <c r="A115">
        <v>9404</v>
      </c>
      <c r="B115" t="s">
        <v>247</v>
      </c>
      <c r="C115" s="10">
        <v>0.375</v>
      </c>
      <c r="D115">
        <v>256300</v>
      </c>
      <c r="E115">
        <v>256300</v>
      </c>
      <c r="F115">
        <v>2914.5</v>
      </c>
      <c r="G115" s="18">
        <v>1.0133866481223923</v>
      </c>
      <c r="H115" s="18">
        <v>1.0133866481223923</v>
      </c>
    </row>
    <row r="116" spans="1:8">
      <c r="A116">
        <v>6744</v>
      </c>
      <c r="B116" t="s">
        <v>248</v>
      </c>
      <c r="C116" s="10">
        <v>0.375</v>
      </c>
      <c r="D116">
        <v>63300</v>
      </c>
      <c r="E116">
        <v>63300</v>
      </c>
      <c r="F116">
        <v>4155</v>
      </c>
      <c r="G116" s="18">
        <v>0.97995283018867929</v>
      </c>
      <c r="H116" s="18">
        <v>0.97420867526377486</v>
      </c>
    </row>
    <row r="117" spans="1:8">
      <c r="A117">
        <v>7685</v>
      </c>
      <c r="B117" t="s">
        <v>249</v>
      </c>
      <c r="C117" s="10">
        <v>0.375</v>
      </c>
      <c r="D117">
        <v>189600</v>
      </c>
      <c r="E117">
        <v>189600</v>
      </c>
      <c r="F117">
        <v>3360</v>
      </c>
      <c r="G117" s="18">
        <v>0.96413199426111906</v>
      </c>
      <c r="H117" s="18">
        <v>0.95590327169274536</v>
      </c>
    </row>
    <row r="118" spans="1:8">
      <c r="A118">
        <v>8334</v>
      </c>
      <c r="B118" t="s">
        <v>250</v>
      </c>
      <c r="C118" s="10">
        <v>0.375</v>
      </c>
      <c r="D118">
        <v>828200</v>
      </c>
      <c r="E118">
        <v>828200</v>
      </c>
      <c r="F118">
        <v>2412</v>
      </c>
      <c r="G118" s="18">
        <v>0.92413793103448272</v>
      </c>
      <c r="H118" s="18">
        <v>0.93397870280735718</v>
      </c>
    </row>
    <row r="119" spans="1:8">
      <c r="A119">
        <v>8359</v>
      </c>
      <c r="B119" t="s">
        <v>251</v>
      </c>
      <c r="C119" s="10">
        <v>0.375</v>
      </c>
      <c r="D119">
        <v>1185300</v>
      </c>
      <c r="E119">
        <v>1185300</v>
      </c>
      <c r="F119">
        <v>2436</v>
      </c>
      <c r="G119" s="18">
        <v>0.93440736478711162</v>
      </c>
      <c r="H119" s="18">
        <v>0.93638285604458971</v>
      </c>
    </row>
    <row r="120" spans="1:8">
      <c r="A120">
        <v>8801</v>
      </c>
      <c r="B120" t="s">
        <v>252</v>
      </c>
      <c r="C120" s="10">
        <v>0.375</v>
      </c>
      <c r="D120">
        <v>4537200</v>
      </c>
      <c r="E120">
        <v>4537200</v>
      </c>
      <c r="F120">
        <v>1537</v>
      </c>
      <c r="G120" s="18">
        <v>0.99225306649451261</v>
      </c>
      <c r="H120" s="18">
        <v>0.99225306649451261</v>
      </c>
    </row>
    <row r="121" spans="1:8">
      <c r="A121">
        <v>8934</v>
      </c>
      <c r="B121" t="s">
        <v>253</v>
      </c>
      <c r="C121" s="10">
        <v>0.375</v>
      </c>
      <c r="D121">
        <v>93800</v>
      </c>
      <c r="E121">
        <v>93800</v>
      </c>
      <c r="F121">
        <v>2499</v>
      </c>
      <c r="G121" s="18">
        <v>0.98153967007069909</v>
      </c>
      <c r="H121" s="18">
        <v>0.98618784530386738</v>
      </c>
    </row>
    <row r="122" spans="1:8">
      <c r="A122">
        <v>9416</v>
      </c>
      <c r="B122" t="s">
        <v>254</v>
      </c>
      <c r="C122" s="10">
        <v>0.375</v>
      </c>
      <c r="D122">
        <v>191800</v>
      </c>
      <c r="E122">
        <v>191800</v>
      </c>
      <c r="F122">
        <v>996</v>
      </c>
      <c r="G122" s="18">
        <v>0.98809523809523814</v>
      </c>
      <c r="H122" s="18">
        <v>0.99005964214711728</v>
      </c>
    </row>
    <row r="123" spans="1:8">
      <c r="A123">
        <v>9532</v>
      </c>
      <c r="B123" t="s">
        <v>255</v>
      </c>
      <c r="C123" s="10">
        <v>0.375</v>
      </c>
      <c r="D123">
        <v>333400</v>
      </c>
      <c r="E123">
        <v>333400</v>
      </c>
      <c r="F123">
        <v>5320</v>
      </c>
      <c r="G123" s="18">
        <v>0.98958333333333337</v>
      </c>
      <c r="H123" s="18">
        <v>0.990504561534165</v>
      </c>
    </row>
    <row r="124" spans="1:8">
      <c r="A124">
        <v>6330</v>
      </c>
      <c r="B124" t="s">
        <v>256</v>
      </c>
      <c r="C124" s="10">
        <v>0.375</v>
      </c>
      <c r="D124">
        <v>2553200</v>
      </c>
      <c r="E124">
        <v>2553200</v>
      </c>
      <c r="F124">
        <v>1728</v>
      </c>
      <c r="G124" s="18">
        <v>0.93658536585365859</v>
      </c>
      <c r="H124" s="18">
        <v>0.91187335092348287</v>
      </c>
    </row>
    <row r="125" spans="1:8">
      <c r="A125">
        <v>4082</v>
      </c>
      <c r="B125" t="s">
        <v>257</v>
      </c>
      <c r="C125" s="10">
        <v>0.375</v>
      </c>
      <c r="D125">
        <v>311300</v>
      </c>
      <c r="E125">
        <v>311300</v>
      </c>
      <c r="F125">
        <v>1711</v>
      </c>
      <c r="G125" s="18">
        <v>0.92636708175419602</v>
      </c>
      <c r="H125" s="18">
        <v>0.91350774159103043</v>
      </c>
    </row>
    <row r="126" spans="1:8">
      <c r="A126">
        <v>4519</v>
      </c>
      <c r="B126" t="s">
        <v>258</v>
      </c>
      <c r="C126" s="10">
        <v>0.375</v>
      </c>
      <c r="D126">
        <v>1722900</v>
      </c>
      <c r="E126">
        <v>1722900</v>
      </c>
      <c r="F126">
        <v>7223</v>
      </c>
      <c r="G126" s="18">
        <v>0.99723871324037006</v>
      </c>
      <c r="H126" s="18">
        <v>0.99751415550338352</v>
      </c>
    </row>
    <row r="127" spans="1:8">
      <c r="A127">
        <v>2160</v>
      </c>
      <c r="B127" t="s">
        <v>259</v>
      </c>
      <c r="C127" s="10">
        <v>0.375</v>
      </c>
      <c r="D127">
        <v>1089200</v>
      </c>
      <c r="E127">
        <v>1089200</v>
      </c>
      <c r="F127">
        <v>2412</v>
      </c>
      <c r="G127" s="18">
        <v>0.96479999999999999</v>
      </c>
      <c r="H127" s="18">
        <v>0.95600475624256842</v>
      </c>
    </row>
    <row r="128" spans="1:8">
      <c r="A128">
        <v>6227</v>
      </c>
      <c r="B128" t="s">
        <v>260</v>
      </c>
      <c r="C128" s="10">
        <v>0.375</v>
      </c>
      <c r="D128">
        <v>1581000</v>
      </c>
      <c r="E128">
        <v>1581000</v>
      </c>
      <c r="F128">
        <v>6820</v>
      </c>
      <c r="G128" s="18">
        <v>0.99127906976744184</v>
      </c>
      <c r="H128" s="18">
        <v>0.97012802275960175</v>
      </c>
    </row>
    <row r="129" spans="1:8">
      <c r="A129">
        <v>6327</v>
      </c>
      <c r="B129" t="s">
        <v>261</v>
      </c>
      <c r="C129" s="10">
        <v>0.375</v>
      </c>
      <c r="D129">
        <v>1011500</v>
      </c>
      <c r="E129">
        <v>1011500</v>
      </c>
      <c r="F129">
        <v>3890</v>
      </c>
      <c r="G129" s="18">
        <v>0.95343137254901966</v>
      </c>
      <c r="H129" s="18">
        <v>0.85120350109409193</v>
      </c>
    </row>
    <row r="130" spans="1:8">
      <c r="A130">
        <v>3110</v>
      </c>
      <c r="B130" t="s">
        <v>262</v>
      </c>
      <c r="C130" s="10">
        <v>0.375</v>
      </c>
      <c r="D130">
        <v>5729700</v>
      </c>
      <c r="E130">
        <v>5729700</v>
      </c>
      <c r="F130">
        <v>2944</v>
      </c>
      <c r="G130" s="18">
        <v>0.93460317460317466</v>
      </c>
      <c r="H130" s="18">
        <v>0.89756097560975612</v>
      </c>
    </row>
    <row r="131" spans="1:8">
      <c r="A131">
        <v>6232</v>
      </c>
      <c r="B131" t="s">
        <v>263</v>
      </c>
      <c r="C131" s="10">
        <v>0.375</v>
      </c>
      <c r="D131">
        <v>566200</v>
      </c>
      <c r="E131">
        <v>566200</v>
      </c>
      <c r="F131">
        <v>1638</v>
      </c>
      <c r="G131" s="18">
        <v>0.95066744051073704</v>
      </c>
      <c r="H131" s="18">
        <v>0.93280182232346243</v>
      </c>
    </row>
    <row r="132" spans="1:8">
      <c r="A132">
        <v>7794</v>
      </c>
      <c r="B132" t="s">
        <v>264</v>
      </c>
      <c r="C132" s="10">
        <v>0.375</v>
      </c>
      <c r="D132">
        <v>417300</v>
      </c>
      <c r="E132">
        <v>417300</v>
      </c>
      <c r="F132">
        <v>899</v>
      </c>
      <c r="G132" s="18">
        <v>0.96666666666666667</v>
      </c>
      <c r="H132" s="18">
        <v>0.94432773109243695</v>
      </c>
    </row>
    <row r="133" spans="1:8">
      <c r="A133">
        <v>6085</v>
      </c>
      <c r="B133" t="s">
        <v>265</v>
      </c>
      <c r="C133" s="10">
        <v>0.375</v>
      </c>
      <c r="D133">
        <v>3572200</v>
      </c>
      <c r="E133">
        <v>3572200</v>
      </c>
      <c r="F133">
        <v>153</v>
      </c>
      <c r="G133" s="18">
        <v>0.91616766467065869</v>
      </c>
      <c r="H133" s="18">
        <v>0.91616766467065869</v>
      </c>
    </row>
    <row r="134" spans="1:8">
      <c r="A134">
        <v>3103</v>
      </c>
      <c r="B134" t="s">
        <v>266</v>
      </c>
      <c r="C134" s="10">
        <v>0.375</v>
      </c>
      <c r="D134">
        <v>3139600</v>
      </c>
      <c r="E134">
        <v>3139600</v>
      </c>
      <c r="F134">
        <v>835</v>
      </c>
      <c r="G134" s="18">
        <v>0.89784946236559138</v>
      </c>
      <c r="H134" s="18">
        <v>0.8835978835978836</v>
      </c>
    </row>
    <row r="135" spans="1:8">
      <c r="A135">
        <v>4422</v>
      </c>
      <c r="B135" t="s">
        <v>267</v>
      </c>
      <c r="C135" s="10">
        <v>0.375</v>
      </c>
      <c r="D135">
        <v>93400</v>
      </c>
      <c r="E135">
        <v>93400</v>
      </c>
      <c r="F135">
        <v>510</v>
      </c>
      <c r="G135" s="18">
        <v>0.925589836660617</v>
      </c>
      <c r="H135" s="18">
        <v>0.91234347048300535</v>
      </c>
    </row>
    <row r="136" spans="1:8">
      <c r="A136">
        <v>6740</v>
      </c>
      <c r="B136" t="s">
        <v>268</v>
      </c>
      <c r="C136" s="10">
        <v>0.375</v>
      </c>
      <c r="D136">
        <v>29863500</v>
      </c>
      <c r="E136">
        <v>29863500</v>
      </c>
      <c r="F136">
        <v>46</v>
      </c>
      <c r="G136" s="18">
        <v>0.95833333333333337</v>
      </c>
      <c r="H136" s="18">
        <v>0.93877551020408168</v>
      </c>
    </row>
    <row r="137" spans="1:8">
      <c r="A137">
        <v>6613</v>
      </c>
      <c r="B137" t="s">
        <v>269</v>
      </c>
      <c r="C137" s="10">
        <v>0.375</v>
      </c>
      <c r="D137">
        <v>6009200</v>
      </c>
      <c r="E137">
        <v>6009200</v>
      </c>
      <c r="F137">
        <v>1699</v>
      </c>
      <c r="G137" s="18">
        <v>1.0487654320987654</v>
      </c>
      <c r="H137" s="18">
        <v>0.87577319587628866</v>
      </c>
    </row>
    <row r="138" spans="1:8">
      <c r="A138">
        <v>4568</v>
      </c>
      <c r="B138" t="s">
        <v>270</v>
      </c>
      <c r="C138" s="10">
        <v>0.375</v>
      </c>
      <c r="D138">
        <v>4839400</v>
      </c>
      <c r="E138">
        <v>4839400</v>
      </c>
      <c r="F138">
        <v>2769</v>
      </c>
      <c r="G138" s="18">
        <v>1.0050816696914699</v>
      </c>
      <c r="H138" s="18">
        <v>1.0081922446750409</v>
      </c>
    </row>
    <row r="139" spans="1:8">
      <c r="A139">
        <v>6522</v>
      </c>
      <c r="B139" t="s">
        <v>271</v>
      </c>
      <c r="C139" s="10">
        <v>0.375</v>
      </c>
      <c r="D139">
        <v>1053700</v>
      </c>
      <c r="E139">
        <v>1053700</v>
      </c>
      <c r="F139">
        <v>1342</v>
      </c>
      <c r="G139" s="18">
        <v>0.95244854506742371</v>
      </c>
      <c r="H139" s="18">
        <v>0.89526350900600404</v>
      </c>
    </row>
    <row r="140" spans="1:8">
      <c r="A140">
        <v>6777</v>
      </c>
      <c r="B140" t="s">
        <v>272</v>
      </c>
      <c r="C140" s="10">
        <v>0.375</v>
      </c>
      <c r="D140">
        <v>155900</v>
      </c>
      <c r="E140">
        <v>155900</v>
      </c>
      <c r="F140">
        <v>18240</v>
      </c>
      <c r="G140" s="18">
        <v>0.92966360856269115</v>
      </c>
      <c r="H140" s="18">
        <v>0.88457807953443257</v>
      </c>
    </row>
    <row r="141" spans="1:8">
      <c r="A141">
        <v>6787</v>
      </c>
      <c r="B141" t="s">
        <v>273</v>
      </c>
      <c r="C141" s="10">
        <v>0.375</v>
      </c>
      <c r="D141">
        <v>486500</v>
      </c>
      <c r="E141">
        <v>486500</v>
      </c>
      <c r="F141">
        <v>22110</v>
      </c>
      <c r="G141" s="18">
        <v>0.92860142797144052</v>
      </c>
      <c r="H141" s="18">
        <v>0.89153225806451608</v>
      </c>
    </row>
    <row r="142" spans="1:8">
      <c r="A142">
        <v>4888</v>
      </c>
      <c r="B142" t="s">
        <v>274</v>
      </c>
      <c r="C142" s="10">
        <v>0.375</v>
      </c>
      <c r="D142">
        <v>499700</v>
      </c>
      <c r="E142">
        <v>499700</v>
      </c>
      <c r="F142">
        <v>299</v>
      </c>
      <c r="G142" s="18">
        <v>0.95833333333333337</v>
      </c>
      <c r="H142" s="18">
        <v>0.93730407523510972</v>
      </c>
    </row>
    <row r="143" spans="1:8">
      <c r="A143">
        <v>6387</v>
      </c>
      <c r="B143" t="s">
        <v>275</v>
      </c>
      <c r="C143" s="10">
        <v>0.375</v>
      </c>
      <c r="D143">
        <v>110700</v>
      </c>
      <c r="E143">
        <v>110700</v>
      </c>
      <c r="F143">
        <v>9730</v>
      </c>
      <c r="G143" s="18">
        <v>0.92140151515151514</v>
      </c>
      <c r="H143" s="18">
        <v>0.85500878734622143</v>
      </c>
    </row>
    <row r="144" spans="1:8">
      <c r="A144">
        <v>6838</v>
      </c>
      <c r="B144" t="s">
        <v>276</v>
      </c>
      <c r="C144" s="10">
        <v>0.375</v>
      </c>
      <c r="D144">
        <v>404500</v>
      </c>
      <c r="E144">
        <v>404500</v>
      </c>
      <c r="F144">
        <v>1308</v>
      </c>
      <c r="G144" s="18">
        <v>0.91404612159329135</v>
      </c>
      <c r="H144" s="18">
        <v>0.91022964509394577</v>
      </c>
    </row>
    <row r="145" spans="1:8">
      <c r="A145">
        <v>7375</v>
      </c>
      <c r="B145" t="s">
        <v>277</v>
      </c>
      <c r="C145" s="10">
        <v>0.375</v>
      </c>
      <c r="D145">
        <v>64200</v>
      </c>
      <c r="E145">
        <v>64200</v>
      </c>
      <c r="F145">
        <v>1187</v>
      </c>
      <c r="G145" s="18">
        <v>0.93982581155977829</v>
      </c>
      <c r="H145" s="18">
        <v>0.93391030684500398</v>
      </c>
    </row>
    <row r="146" spans="1:8">
      <c r="A146">
        <v>4307</v>
      </c>
      <c r="B146" t="s">
        <v>278</v>
      </c>
      <c r="C146" s="10">
        <v>0.375</v>
      </c>
      <c r="D146">
        <v>1993900</v>
      </c>
      <c r="E146">
        <v>1993900</v>
      </c>
      <c r="F146">
        <v>5089</v>
      </c>
      <c r="G146" s="18">
        <v>0.99007782101167319</v>
      </c>
      <c r="H146" s="18">
        <v>0.99784313725490192</v>
      </c>
    </row>
    <row r="147" spans="1:8">
      <c r="A147">
        <v>6516</v>
      </c>
      <c r="B147" t="s">
        <v>279</v>
      </c>
      <c r="C147" s="10">
        <v>0.375</v>
      </c>
      <c r="D147">
        <v>119500</v>
      </c>
      <c r="E147">
        <v>119500</v>
      </c>
      <c r="F147">
        <v>5340</v>
      </c>
      <c r="G147" s="18">
        <v>0.956989247311828</v>
      </c>
      <c r="H147" s="18">
        <v>0.92387543252595161</v>
      </c>
    </row>
    <row r="148" spans="1:8">
      <c r="A148">
        <v>7381</v>
      </c>
      <c r="B148" t="s">
        <v>280</v>
      </c>
      <c r="C148" s="10">
        <v>0.375</v>
      </c>
      <c r="D148">
        <v>700500</v>
      </c>
      <c r="E148">
        <v>700500</v>
      </c>
      <c r="F148">
        <v>1057</v>
      </c>
      <c r="G148" s="18">
        <v>0.92233856893542754</v>
      </c>
      <c r="H148" s="18">
        <v>0.9231441048034934</v>
      </c>
    </row>
    <row r="149" spans="1:8">
      <c r="A149">
        <v>4417</v>
      </c>
      <c r="B149" t="s">
        <v>281</v>
      </c>
      <c r="C149" s="10">
        <v>0.375</v>
      </c>
      <c r="D149">
        <v>80100</v>
      </c>
      <c r="E149">
        <v>80100</v>
      </c>
      <c r="F149">
        <v>4385</v>
      </c>
      <c r="G149" s="18">
        <v>0.97661469933184852</v>
      </c>
      <c r="H149" s="18">
        <v>0.99096045197740112</v>
      </c>
    </row>
    <row r="150" spans="1:8">
      <c r="A150">
        <v>6981</v>
      </c>
      <c r="B150" t="s">
        <v>282</v>
      </c>
      <c r="C150" s="10">
        <v>0.375</v>
      </c>
      <c r="D150">
        <v>37257600</v>
      </c>
      <c r="E150">
        <v>37257600</v>
      </c>
      <c r="F150">
        <v>7358</v>
      </c>
      <c r="G150" s="18">
        <v>0.94188428059395801</v>
      </c>
      <c r="H150" s="18">
        <v>0.87595238095238093</v>
      </c>
    </row>
    <row r="151" spans="1:8">
      <c r="A151">
        <v>6754</v>
      </c>
      <c r="B151" t="s">
        <v>283</v>
      </c>
      <c r="C151" s="10">
        <v>0.375</v>
      </c>
      <c r="D151">
        <v>1375200</v>
      </c>
      <c r="E151">
        <v>1375200</v>
      </c>
      <c r="F151">
        <v>3580</v>
      </c>
      <c r="G151" s="18">
        <v>0.94260136914165349</v>
      </c>
      <c r="H151" s="18">
        <v>0.91279959204487504</v>
      </c>
    </row>
    <row r="152" spans="1:8">
      <c r="A152">
        <v>4088</v>
      </c>
      <c r="B152" t="s">
        <v>284</v>
      </c>
      <c r="C152" s="10">
        <v>0.375</v>
      </c>
      <c r="D152">
        <v>550600</v>
      </c>
      <c r="E152">
        <v>550600</v>
      </c>
      <c r="F152">
        <v>2515</v>
      </c>
      <c r="G152" s="18">
        <v>0.99603960396039604</v>
      </c>
      <c r="H152" s="18">
        <v>0.99407114624505932</v>
      </c>
    </row>
    <row r="153" spans="1:8">
      <c r="A153">
        <v>4091</v>
      </c>
      <c r="B153" t="s">
        <v>285</v>
      </c>
      <c r="C153" s="10">
        <v>0.375</v>
      </c>
      <c r="D153">
        <v>251600</v>
      </c>
      <c r="E153">
        <v>251600</v>
      </c>
      <c r="F153">
        <v>5951</v>
      </c>
      <c r="G153" s="18">
        <v>0.97318070318887984</v>
      </c>
      <c r="H153" s="18">
        <v>0.98673520145912785</v>
      </c>
    </row>
    <row r="154" spans="1:8">
      <c r="A154">
        <v>6857</v>
      </c>
      <c r="B154" t="s">
        <v>286</v>
      </c>
      <c r="C154" s="10">
        <v>0.375</v>
      </c>
      <c r="D154">
        <v>10892800</v>
      </c>
      <c r="E154">
        <v>10892800</v>
      </c>
      <c r="F154">
        <v>26820</v>
      </c>
      <c r="G154" s="18">
        <v>0.95309168443496806</v>
      </c>
      <c r="H154" s="18">
        <v>0.90485829959514175</v>
      </c>
    </row>
    <row r="155" spans="1:8">
      <c r="A155">
        <v>3891</v>
      </c>
      <c r="B155" t="s">
        <v>287</v>
      </c>
      <c r="C155" s="10">
        <v>0.375</v>
      </c>
      <c r="D155">
        <v>150200</v>
      </c>
      <c r="E155">
        <v>150200</v>
      </c>
      <c r="F155">
        <v>6750</v>
      </c>
      <c r="G155" s="18">
        <v>0.9480337078651685</v>
      </c>
      <c r="H155" s="18">
        <v>0.8928571428571429</v>
      </c>
    </row>
    <row r="156" spans="1:8">
      <c r="A156">
        <v>4373</v>
      </c>
      <c r="B156" t="s">
        <v>288</v>
      </c>
      <c r="C156" s="10">
        <v>0.375</v>
      </c>
      <c r="D156">
        <v>994700</v>
      </c>
      <c r="E156">
        <v>994700</v>
      </c>
      <c r="F156">
        <v>1081</v>
      </c>
      <c r="G156" s="18">
        <v>1.0217391304347827</v>
      </c>
      <c r="H156" s="18">
        <v>1.0150234741784037</v>
      </c>
    </row>
    <row r="157" spans="1:8">
      <c r="A157">
        <v>8892</v>
      </c>
      <c r="B157" t="s">
        <v>289</v>
      </c>
      <c r="C157" s="10">
        <v>0.375</v>
      </c>
      <c r="D157">
        <v>98600</v>
      </c>
      <c r="E157">
        <v>98600</v>
      </c>
      <c r="F157">
        <v>1099</v>
      </c>
      <c r="G157" s="18">
        <v>0.98653500897666069</v>
      </c>
      <c r="H157" s="18">
        <v>0.99098286744815145</v>
      </c>
    </row>
    <row r="158" spans="1:8">
      <c r="A158">
        <v>9687</v>
      </c>
      <c r="B158" t="s">
        <v>290</v>
      </c>
      <c r="C158" s="10">
        <v>0.375</v>
      </c>
      <c r="D158">
        <v>2900</v>
      </c>
      <c r="E158">
        <v>2900</v>
      </c>
      <c r="F158">
        <v>4400</v>
      </c>
      <c r="G158" s="18">
        <v>1</v>
      </c>
      <c r="H158" s="18">
        <v>1.004566210045662</v>
      </c>
    </row>
    <row r="159" spans="1:8">
      <c r="A159">
        <v>1930</v>
      </c>
      <c r="B159" t="s">
        <v>291</v>
      </c>
      <c r="C159" s="10">
        <v>0.375</v>
      </c>
      <c r="D159">
        <v>71300</v>
      </c>
      <c r="E159">
        <v>71300</v>
      </c>
      <c r="F159">
        <v>1541</v>
      </c>
      <c r="G159" s="18">
        <v>0.96433041301627032</v>
      </c>
      <c r="H159" s="18">
        <v>0.9535891089108911</v>
      </c>
    </row>
    <row r="160" spans="1:8">
      <c r="A160">
        <v>8704</v>
      </c>
      <c r="B160" t="s">
        <v>292</v>
      </c>
      <c r="C160" s="10">
        <v>0.375</v>
      </c>
      <c r="D160">
        <v>133800</v>
      </c>
      <c r="E160">
        <v>133800</v>
      </c>
      <c r="F160">
        <v>1232</v>
      </c>
      <c r="G160" s="18">
        <v>0.96551724137931039</v>
      </c>
      <c r="H160" s="18">
        <v>0.95208655332302938</v>
      </c>
    </row>
    <row r="161" spans="1:8">
      <c r="A161">
        <v>4733</v>
      </c>
      <c r="B161" t="s">
        <v>293</v>
      </c>
      <c r="C161" s="10">
        <v>0.375</v>
      </c>
      <c r="D161">
        <v>93700</v>
      </c>
      <c r="E161">
        <v>93700</v>
      </c>
      <c r="F161">
        <v>6615</v>
      </c>
      <c r="G161" s="18">
        <v>1.0068493150684932</v>
      </c>
      <c r="H161" s="18">
        <v>1.0068493150684932</v>
      </c>
    </row>
    <row r="162" spans="1:8">
      <c r="A162">
        <v>9733</v>
      </c>
      <c r="B162" t="s">
        <v>294</v>
      </c>
      <c r="C162" s="10">
        <v>0.375</v>
      </c>
      <c r="D162">
        <v>17000</v>
      </c>
      <c r="E162">
        <v>17000</v>
      </c>
      <c r="F162">
        <v>2331</v>
      </c>
      <c r="G162" s="18">
        <v>0.99487836107554417</v>
      </c>
      <c r="H162" s="18">
        <v>0.99530315969257044</v>
      </c>
    </row>
    <row r="163" spans="1:8">
      <c r="A163">
        <v>9551</v>
      </c>
      <c r="B163" t="s">
        <v>295</v>
      </c>
      <c r="C163" s="10">
        <v>0.375</v>
      </c>
      <c r="D163">
        <v>108400</v>
      </c>
      <c r="E163">
        <v>108400</v>
      </c>
      <c r="F163">
        <v>3075</v>
      </c>
      <c r="G163" s="18">
        <v>0.97619047619047616</v>
      </c>
      <c r="H163" s="18">
        <v>0.9609375</v>
      </c>
    </row>
    <row r="164" spans="1:8">
      <c r="A164">
        <v>2359</v>
      </c>
      <c r="B164" t="s">
        <v>296</v>
      </c>
      <c r="C164" s="10">
        <v>0.375</v>
      </c>
      <c r="D164">
        <v>13500</v>
      </c>
      <c r="E164">
        <v>13500</v>
      </c>
      <c r="F164">
        <v>1966</v>
      </c>
      <c r="G164" s="18">
        <v>0.98496993987975956</v>
      </c>
      <c r="H164" s="18">
        <v>0.98793969849246233</v>
      </c>
    </row>
    <row r="165" spans="1:8">
      <c r="A165">
        <v>8103</v>
      </c>
      <c r="B165" t="s">
        <v>297</v>
      </c>
      <c r="C165" s="10">
        <v>0.375</v>
      </c>
      <c r="D165">
        <v>180500</v>
      </c>
      <c r="E165">
        <v>180500</v>
      </c>
      <c r="F165">
        <v>890</v>
      </c>
      <c r="G165" s="18">
        <v>0.98451327433628322</v>
      </c>
      <c r="H165" s="18">
        <v>0.98451327433628322</v>
      </c>
    </row>
    <row r="166" spans="1:8">
      <c r="A166">
        <v>4709</v>
      </c>
      <c r="B166" t="s">
        <v>298</v>
      </c>
      <c r="C166" s="10">
        <v>0.375</v>
      </c>
      <c r="D166">
        <v>44400</v>
      </c>
      <c r="E166">
        <v>44400</v>
      </c>
      <c r="F166">
        <v>1113</v>
      </c>
      <c r="G166" s="18">
        <v>0.99820627802690587</v>
      </c>
      <c r="H166" s="18">
        <v>0.99463806970509383</v>
      </c>
    </row>
    <row r="167" spans="1:8">
      <c r="A167">
        <v>7981</v>
      </c>
      <c r="B167" t="s">
        <v>299</v>
      </c>
      <c r="C167" s="10">
        <v>0.375</v>
      </c>
      <c r="D167">
        <v>80400</v>
      </c>
      <c r="E167">
        <v>80400</v>
      </c>
      <c r="F167">
        <v>3025</v>
      </c>
      <c r="G167" s="18">
        <v>0.97896440129449835</v>
      </c>
      <c r="H167" s="18">
        <v>0.971107544141252</v>
      </c>
    </row>
    <row r="168" spans="1:8">
      <c r="A168">
        <v>8303</v>
      </c>
      <c r="B168" t="s">
        <v>300</v>
      </c>
      <c r="C168" s="10">
        <v>0.375</v>
      </c>
      <c r="D168">
        <v>4287200</v>
      </c>
      <c r="E168">
        <v>4287200</v>
      </c>
      <c r="F168">
        <v>1400.5</v>
      </c>
      <c r="G168" s="18">
        <v>0.96519641626464503</v>
      </c>
      <c r="H168" s="18">
        <v>0.96056241426611799</v>
      </c>
    </row>
    <row r="169" spans="1:8">
      <c r="A169">
        <v>4382</v>
      </c>
      <c r="B169" t="s">
        <v>301</v>
      </c>
      <c r="C169" s="10">
        <v>0.375</v>
      </c>
      <c r="D169">
        <v>62800</v>
      </c>
      <c r="E169">
        <v>62800</v>
      </c>
      <c r="F169">
        <v>707</v>
      </c>
      <c r="G169" s="18">
        <v>0.97382920110192839</v>
      </c>
      <c r="H169" s="18">
        <v>0.97651933701657456</v>
      </c>
    </row>
    <row r="170" spans="1:8">
      <c r="A170">
        <v>2327</v>
      </c>
      <c r="B170" t="s">
        <v>302</v>
      </c>
      <c r="C170" s="10">
        <v>0.375</v>
      </c>
      <c r="D170">
        <v>142800</v>
      </c>
      <c r="E170">
        <v>142800</v>
      </c>
      <c r="F170">
        <v>3846</v>
      </c>
      <c r="G170" s="18">
        <v>1.0031298904538342</v>
      </c>
      <c r="H170" s="18">
        <v>1.0078616352201257</v>
      </c>
    </row>
    <row r="171" spans="1:8">
      <c r="A171">
        <v>1942</v>
      </c>
      <c r="B171" t="s">
        <v>303</v>
      </c>
      <c r="C171" s="10">
        <v>0.375</v>
      </c>
      <c r="D171">
        <v>970200</v>
      </c>
      <c r="E171">
        <v>970200</v>
      </c>
      <c r="F171">
        <v>5788</v>
      </c>
      <c r="G171" s="18">
        <v>0.96466666666666667</v>
      </c>
      <c r="H171" s="18">
        <v>0.94667975139025184</v>
      </c>
    </row>
    <row r="172" spans="1:8">
      <c r="A172">
        <v>1938</v>
      </c>
      <c r="B172" t="s">
        <v>304</v>
      </c>
      <c r="C172" s="10">
        <v>0.375</v>
      </c>
      <c r="D172">
        <v>109300</v>
      </c>
      <c r="E172">
        <v>109300</v>
      </c>
      <c r="F172">
        <v>2435</v>
      </c>
      <c r="G172" s="18">
        <v>0.95490196078431377</v>
      </c>
      <c r="H172" s="18">
        <v>0.94343277799302594</v>
      </c>
    </row>
    <row r="173" spans="1:8">
      <c r="A173">
        <v>7236</v>
      </c>
      <c r="B173" t="s">
        <v>305</v>
      </c>
      <c r="C173" s="10">
        <v>0.375</v>
      </c>
      <c r="D173">
        <v>472500</v>
      </c>
      <c r="E173">
        <v>472500</v>
      </c>
      <c r="F173">
        <v>1460</v>
      </c>
      <c r="G173" s="18">
        <v>0.97855227882037532</v>
      </c>
      <c r="H173" s="18">
        <v>0.95612311722331367</v>
      </c>
    </row>
    <row r="174" spans="1:8">
      <c r="A174">
        <v>6436</v>
      </c>
      <c r="B174" t="s">
        <v>306</v>
      </c>
      <c r="C174" s="10">
        <v>0.375</v>
      </c>
      <c r="D174">
        <v>204500</v>
      </c>
      <c r="E174">
        <v>204500</v>
      </c>
      <c r="F174">
        <v>3781</v>
      </c>
      <c r="G174" s="18">
        <v>0.99421509334735736</v>
      </c>
      <c r="H174" s="18">
        <v>0.99894319682959054</v>
      </c>
    </row>
    <row r="175" spans="1:8">
      <c r="A175">
        <v>5410</v>
      </c>
      <c r="B175" t="s">
        <v>307</v>
      </c>
      <c r="C175" s="10">
        <v>0.375</v>
      </c>
      <c r="D175">
        <v>80900</v>
      </c>
      <c r="E175">
        <v>80900</v>
      </c>
      <c r="F175">
        <v>2660</v>
      </c>
      <c r="G175" s="18">
        <v>0.98958333333333337</v>
      </c>
      <c r="H175" s="18">
        <v>0.98628105302187619</v>
      </c>
    </row>
    <row r="176" spans="1:8">
      <c r="A176">
        <v>5440</v>
      </c>
      <c r="B176" t="s">
        <v>308</v>
      </c>
      <c r="C176" s="10">
        <v>0.375</v>
      </c>
      <c r="D176">
        <v>77800</v>
      </c>
      <c r="E176">
        <v>77800</v>
      </c>
      <c r="F176">
        <v>1824</v>
      </c>
      <c r="G176" s="18">
        <v>0.99292324442025037</v>
      </c>
      <c r="H176" s="18">
        <v>0.98969072164948457</v>
      </c>
    </row>
    <row r="177" spans="1:8">
      <c r="A177">
        <v>9505</v>
      </c>
      <c r="B177" t="s">
        <v>309</v>
      </c>
      <c r="C177" s="10">
        <v>0.375</v>
      </c>
      <c r="D177">
        <v>798800</v>
      </c>
      <c r="E177">
        <v>798800</v>
      </c>
      <c r="F177">
        <v>903.6</v>
      </c>
      <c r="G177" s="18">
        <v>0.99702085402184715</v>
      </c>
      <c r="H177" s="18">
        <v>0.98981268485047658</v>
      </c>
    </row>
    <row r="178" spans="1:8">
      <c r="A178">
        <v>8091</v>
      </c>
      <c r="B178" t="s">
        <v>310</v>
      </c>
      <c r="C178" s="10">
        <v>0.375</v>
      </c>
      <c r="D178">
        <v>15300</v>
      </c>
      <c r="E178">
        <v>15300</v>
      </c>
      <c r="F178">
        <v>2299</v>
      </c>
      <c r="G178" s="18">
        <v>0.99610051993067594</v>
      </c>
      <c r="H178" s="18">
        <v>0.99437716262975784</v>
      </c>
    </row>
    <row r="179" spans="1:8">
      <c r="A179">
        <v>6507</v>
      </c>
      <c r="B179" t="s">
        <v>311</v>
      </c>
      <c r="C179" s="10">
        <v>0.375</v>
      </c>
      <c r="D179">
        <v>169800</v>
      </c>
      <c r="E179">
        <v>169800</v>
      </c>
      <c r="F179">
        <v>13240</v>
      </c>
      <c r="G179" s="18">
        <v>0.94571428571428573</v>
      </c>
      <c r="H179" s="18">
        <v>0.92072322670375517</v>
      </c>
    </row>
    <row r="180" spans="1:8">
      <c r="A180">
        <v>9022</v>
      </c>
      <c r="B180" t="s">
        <v>312</v>
      </c>
      <c r="C180" s="10">
        <v>0.375</v>
      </c>
      <c r="D180">
        <v>1638700</v>
      </c>
      <c r="E180">
        <v>1638700</v>
      </c>
      <c r="F180">
        <v>3754</v>
      </c>
      <c r="G180" s="18">
        <v>1.0021356113187401</v>
      </c>
      <c r="H180" s="18">
        <v>1.0121326503100567</v>
      </c>
    </row>
    <row r="181" spans="1:8">
      <c r="A181">
        <v>9536</v>
      </c>
      <c r="B181" t="s">
        <v>313</v>
      </c>
      <c r="C181" s="10">
        <v>0.375</v>
      </c>
      <c r="D181">
        <v>48600</v>
      </c>
      <c r="E181">
        <v>48600</v>
      </c>
      <c r="F181">
        <v>2291</v>
      </c>
      <c r="G181" s="18">
        <v>0.98368398454272221</v>
      </c>
      <c r="H181" s="18">
        <v>0.98920552677029361</v>
      </c>
    </row>
    <row r="182" spans="1:8">
      <c r="A182">
        <v>9506</v>
      </c>
      <c r="B182" t="s">
        <v>314</v>
      </c>
      <c r="C182" s="10">
        <v>0.375</v>
      </c>
      <c r="D182">
        <v>1980000</v>
      </c>
      <c r="E182">
        <v>1980000</v>
      </c>
      <c r="F182">
        <v>1118</v>
      </c>
      <c r="G182" s="18">
        <v>0.98545614808285587</v>
      </c>
      <c r="H182" s="18">
        <v>0.98763250883392228</v>
      </c>
    </row>
    <row r="183" spans="1:8">
      <c r="A183">
        <v>2127</v>
      </c>
      <c r="B183" t="s">
        <v>315</v>
      </c>
      <c r="C183" s="10">
        <v>0.375</v>
      </c>
      <c r="D183">
        <v>854200</v>
      </c>
      <c r="E183">
        <v>854200</v>
      </c>
      <c r="F183">
        <v>667.8</v>
      </c>
      <c r="G183" s="18">
        <v>0.98495575221238929</v>
      </c>
      <c r="H183" s="18">
        <v>0.99212598425196841</v>
      </c>
    </row>
    <row r="184" spans="1:8">
      <c r="A184">
        <v>6753</v>
      </c>
      <c r="B184" t="s">
        <v>316</v>
      </c>
      <c r="C184" s="10">
        <v>0.375</v>
      </c>
      <c r="D184">
        <v>2233000</v>
      </c>
      <c r="E184">
        <v>2233000</v>
      </c>
      <c r="F184">
        <v>624.29999999999995</v>
      </c>
      <c r="G184" s="18">
        <v>0.97546874999999988</v>
      </c>
      <c r="H184" s="18">
        <v>0.98454502444409386</v>
      </c>
    </row>
    <row r="185" spans="1:8">
      <c r="A185">
        <v>9064</v>
      </c>
      <c r="B185" t="s">
        <v>317</v>
      </c>
      <c r="C185" s="10">
        <v>0.375</v>
      </c>
      <c r="D185">
        <v>1124600</v>
      </c>
      <c r="E185">
        <v>1124600</v>
      </c>
      <c r="F185">
        <v>2003.5</v>
      </c>
      <c r="G185" s="18">
        <v>1.00678391959799</v>
      </c>
      <c r="H185" s="18">
        <v>1.0180386178861789</v>
      </c>
    </row>
    <row r="186" spans="1:8">
      <c r="A186">
        <v>7181</v>
      </c>
      <c r="B186" t="s">
        <v>318</v>
      </c>
      <c r="C186" s="10">
        <v>0.375</v>
      </c>
      <c r="D186">
        <v>879000</v>
      </c>
      <c r="E186">
        <v>879000</v>
      </c>
      <c r="F186">
        <v>1600.5</v>
      </c>
      <c r="G186" s="18">
        <v>0.97294832826747724</v>
      </c>
      <c r="H186" s="18">
        <v>0.9656108597285068</v>
      </c>
    </row>
    <row r="187" spans="1:8">
      <c r="A187">
        <v>6485</v>
      </c>
      <c r="B187" t="s">
        <v>319</v>
      </c>
      <c r="C187" s="10">
        <v>0.375</v>
      </c>
      <c r="D187">
        <v>21900</v>
      </c>
      <c r="E187">
        <v>21900</v>
      </c>
      <c r="F187">
        <v>1521</v>
      </c>
      <c r="G187" s="18">
        <v>0.98129032258064519</v>
      </c>
      <c r="H187" s="18">
        <v>0.98002577319587625</v>
      </c>
    </row>
    <row r="188" spans="1:8">
      <c r="A188">
        <v>4887</v>
      </c>
      <c r="B188" t="s">
        <v>320</v>
      </c>
      <c r="C188" s="10">
        <v>0.375</v>
      </c>
      <c r="D188">
        <v>347700</v>
      </c>
      <c r="E188">
        <v>347700</v>
      </c>
      <c r="F188">
        <v>1676.5</v>
      </c>
      <c r="G188" s="18">
        <v>1.0008955223880598</v>
      </c>
      <c r="H188" s="18">
        <v>0.99940387481371085</v>
      </c>
    </row>
    <row r="189" spans="1:8">
      <c r="A189">
        <v>5243</v>
      </c>
      <c r="B189" t="s">
        <v>321</v>
      </c>
      <c r="C189" s="10">
        <v>0.375</v>
      </c>
      <c r="D189">
        <v>614700</v>
      </c>
      <c r="E189">
        <v>614700</v>
      </c>
      <c r="F189">
        <v>2040</v>
      </c>
      <c r="G189" s="18">
        <v>0.96090438059349981</v>
      </c>
      <c r="H189" s="18">
        <v>0.92938496583143504</v>
      </c>
    </row>
    <row r="190" spans="1:8">
      <c r="A190">
        <v>2702</v>
      </c>
      <c r="B190" t="s">
        <v>322</v>
      </c>
      <c r="C190" s="10">
        <v>0.375</v>
      </c>
      <c r="D190">
        <v>375400</v>
      </c>
      <c r="E190">
        <v>375400</v>
      </c>
      <c r="F190">
        <v>7640</v>
      </c>
      <c r="G190" s="18">
        <v>1.0146082337317397</v>
      </c>
      <c r="H190" s="18">
        <v>1.0173102529960054</v>
      </c>
    </row>
    <row r="191" spans="1:8">
      <c r="A191">
        <v>6890</v>
      </c>
      <c r="B191" t="s">
        <v>323</v>
      </c>
      <c r="C191" s="10">
        <v>0.375</v>
      </c>
      <c r="D191">
        <v>2080600</v>
      </c>
      <c r="E191">
        <v>2080600</v>
      </c>
      <c r="F191">
        <v>6920</v>
      </c>
      <c r="G191" s="18">
        <v>0.94149659863945578</v>
      </c>
      <c r="H191" s="18">
        <v>0.86499999999999999</v>
      </c>
    </row>
    <row r="192" spans="1:8">
      <c r="A192">
        <v>4966</v>
      </c>
      <c r="B192" t="s">
        <v>324</v>
      </c>
      <c r="C192" s="10">
        <v>0.375</v>
      </c>
      <c r="D192">
        <v>86500</v>
      </c>
      <c r="E192">
        <v>86500</v>
      </c>
      <c r="F192">
        <v>22500</v>
      </c>
      <c r="G192" s="18">
        <v>0.94537815126050417</v>
      </c>
      <c r="H192" s="18">
        <v>0.93322272915802573</v>
      </c>
    </row>
    <row r="193" spans="1:8">
      <c r="A193">
        <v>6146</v>
      </c>
      <c r="B193" t="s">
        <v>325</v>
      </c>
      <c r="C193" s="10">
        <v>0.375</v>
      </c>
      <c r="D193">
        <v>1424900</v>
      </c>
      <c r="E193">
        <v>1424900</v>
      </c>
      <c r="F193">
        <v>63440</v>
      </c>
      <c r="G193" s="18">
        <v>0.96589524969549334</v>
      </c>
      <c r="H193" s="18">
        <v>0.89871086556169433</v>
      </c>
    </row>
    <row r="194" spans="1:8">
      <c r="A194">
        <v>8035</v>
      </c>
      <c r="B194" t="s">
        <v>326</v>
      </c>
      <c r="C194" s="10">
        <v>0.375</v>
      </c>
      <c r="D194">
        <v>5164000</v>
      </c>
      <c r="E194">
        <v>5164000</v>
      </c>
      <c r="F194">
        <v>64030</v>
      </c>
      <c r="G194" s="18">
        <v>0.9556716417910448</v>
      </c>
      <c r="H194" s="18">
        <v>0.90323035689095788</v>
      </c>
    </row>
    <row r="195" spans="1:8">
      <c r="A195">
        <v>6920</v>
      </c>
      <c r="B195" t="s">
        <v>327</v>
      </c>
      <c r="C195" s="10">
        <v>0.375</v>
      </c>
      <c r="D195">
        <v>4315800</v>
      </c>
      <c r="E195">
        <v>4315800</v>
      </c>
      <c r="F195">
        <v>40790</v>
      </c>
      <c r="G195" s="18">
        <v>0.94860465116279069</v>
      </c>
      <c r="H195" s="18">
        <v>0.87966357558766439</v>
      </c>
    </row>
    <row r="196" spans="1:8">
      <c r="A196">
        <v>5801</v>
      </c>
      <c r="B196" t="s">
        <v>328</v>
      </c>
      <c r="C196" s="10">
        <v>0.375</v>
      </c>
      <c r="D196">
        <v>19604300</v>
      </c>
      <c r="E196">
        <v>19604300</v>
      </c>
      <c r="F196">
        <v>3165</v>
      </c>
      <c r="G196" s="18">
        <v>0.95880036352620424</v>
      </c>
      <c r="H196" s="18">
        <v>0.91105354058721932</v>
      </c>
    </row>
    <row r="197" spans="1:8">
      <c r="A197">
        <v>6506</v>
      </c>
      <c r="B197" t="s">
        <v>329</v>
      </c>
      <c r="C197" s="10">
        <v>0.375</v>
      </c>
      <c r="D197">
        <v>10899400</v>
      </c>
      <c r="E197">
        <v>10899400</v>
      </c>
      <c r="F197">
        <v>5016</v>
      </c>
      <c r="G197" s="18">
        <v>0.95126114166508624</v>
      </c>
      <c r="H197" s="18">
        <v>0.91299599563159806</v>
      </c>
    </row>
    <row r="198" spans="1:8">
      <c r="A198">
        <v>2768</v>
      </c>
      <c r="B198" t="s">
        <v>330</v>
      </c>
      <c r="C198" s="10">
        <v>0.375</v>
      </c>
      <c r="D198">
        <v>999500</v>
      </c>
      <c r="E198">
        <v>999500</v>
      </c>
      <c r="F198">
        <v>5008</v>
      </c>
      <c r="G198" s="18">
        <v>0.96418944936465156</v>
      </c>
      <c r="H198" s="18">
        <v>0.96030680728667306</v>
      </c>
    </row>
    <row r="199" spans="1:8">
      <c r="A199">
        <v>6305</v>
      </c>
      <c r="B199" t="s">
        <v>331</v>
      </c>
      <c r="C199" s="10">
        <v>0.375</v>
      </c>
      <c r="D199">
        <v>509000</v>
      </c>
      <c r="E199">
        <v>509000</v>
      </c>
      <c r="F199">
        <v>5059</v>
      </c>
      <c r="G199" s="18">
        <v>0.9636190476190476</v>
      </c>
      <c r="H199" s="18">
        <v>0.95687535464346507</v>
      </c>
    </row>
    <row r="200" spans="1:8">
      <c r="A200">
        <v>8015</v>
      </c>
      <c r="B200" t="s">
        <v>332</v>
      </c>
      <c r="C200" s="10">
        <v>0.375</v>
      </c>
      <c r="D200">
        <v>2015400</v>
      </c>
      <c r="E200">
        <v>2015400</v>
      </c>
      <c r="F200">
        <v>5999</v>
      </c>
      <c r="G200" s="18">
        <v>0.98199377966934032</v>
      </c>
      <c r="H200" s="18">
        <v>0.96617812852311158</v>
      </c>
    </row>
    <row r="201" spans="1:8">
      <c r="A201">
        <v>6758</v>
      </c>
      <c r="B201" t="s">
        <v>333</v>
      </c>
      <c r="C201" s="10">
        <v>0.375</v>
      </c>
      <c r="D201">
        <v>16320600</v>
      </c>
      <c r="E201">
        <v>16320600</v>
      </c>
      <c r="F201">
        <v>3454</v>
      </c>
      <c r="G201" s="18">
        <v>1.004653868528214</v>
      </c>
      <c r="H201" s="18">
        <v>1.004653868528214</v>
      </c>
    </row>
    <row r="202" spans="1:8">
      <c r="A202">
        <v>9101</v>
      </c>
      <c r="B202" t="s">
        <v>334</v>
      </c>
      <c r="C202" s="10">
        <v>0.375</v>
      </c>
      <c r="D202">
        <v>3375000</v>
      </c>
      <c r="E202">
        <v>3375000</v>
      </c>
      <c r="F202">
        <v>5663</v>
      </c>
      <c r="G202" s="18">
        <v>1.0094474153297683</v>
      </c>
      <c r="H202" s="18">
        <v>1.022202166064982</v>
      </c>
    </row>
    <row r="203" spans="1:8">
      <c r="A203">
        <v>7011</v>
      </c>
      <c r="B203" t="s">
        <v>335</v>
      </c>
      <c r="C203" s="10">
        <v>0.375</v>
      </c>
      <c r="D203">
        <v>16919300</v>
      </c>
      <c r="E203">
        <v>16919300</v>
      </c>
      <c r="F203">
        <v>3661</v>
      </c>
      <c r="G203" s="18">
        <v>0.97626666666666662</v>
      </c>
      <c r="H203" s="18">
        <v>0.95762490190949512</v>
      </c>
    </row>
    <row r="204" spans="1:8">
      <c r="A204">
        <v>1812</v>
      </c>
      <c r="B204" t="s">
        <v>336</v>
      </c>
      <c r="C204" s="10">
        <v>0.375</v>
      </c>
      <c r="D204">
        <v>1069500</v>
      </c>
      <c r="E204">
        <v>1069500</v>
      </c>
      <c r="F204">
        <v>5457</v>
      </c>
      <c r="G204" s="18">
        <v>0.97550947443689673</v>
      </c>
      <c r="H204" s="18">
        <v>0.96057032212638616</v>
      </c>
    </row>
    <row r="205" spans="1:8">
      <c r="A205">
        <v>6861</v>
      </c>
      <c r="B205" t="s">
        <v>337</v>
      </c>
      <c r="C205" s="10">
        <v>0.375</v>
      </c>
      <c r="D205">
        <v>636600</v>
      </c>
      <c r="E205">
        <v>636600</v>
      </c>
      <c r="F205">
        <v>69580</v>
      </c>
      <c r="G205" s="18">
        <v>0.96840640222686147</v>
      </c>
      <c r="H205" s="18">
        <v>0.93963538149898718</v>
      </c>
    </row>
    <row r="206" spans="1:8">
      <c r="A206">
        <v>6324</v>
      </c>
      <c r="B206" t="s">
        <v>338</v>
      </c>
      <c r="C206" s="10">
        <v>0.375</v>
      </c>
      <c r="D206">
        <v>1665600</v>
      </c>
      <c r="E206">
        <v>1665600</v>
      </c>
      <c r="F206">
        <v>6370</v>
      </c>
      <c r="G206" s="18">
        <v>0.92318840579710149</v>
      </c>
      <c r="H206" s="18">
        <v>0.88472222222222219</v>
      </c>
    </row>
    <row r="207" spans="1:8">
      <c r="A207">
        <v>6273</v>
      </c>
      <c r="B207" t="s">
        <v>339</v>
      </c>
      <c r="C207" s="10">
        <v>0.375</v>
      </c>
      <c r="D207">
        <v>310500</v>
      </c>
      <c r="E207">
        <v>310500</v>
      </c>
      <c r="F207">
        <v>68340</v>
      </c>
      <c r="G207" s="18">
        <v>0.95009036563325455</v>
      </c>
      <c r="H207" s="18">
        <v>0.93068228244586682</v>
      </c>
    </row>
    <row r="208" spans="1:8">
      <c r="A208">
        <v>4502</v>
      </c>
      <c r="B208" t="s">
        <v>340</v>
      </c>
      <c r="C208" s="10">
        <v>0.375</v>
      </c>
      <c r="D208">
        <v>3358900</v>
      </c>
      <c r="E208">
        <v>3358900</v>
      </c>
      <c r="F208">
        <v>5442</v>
      </c>
      <c r="G208" s="18">
        <v>0.99944903581267219</v>
      </c>
      <c r="H208" s="18">
        <v>1.0181478016838166</v>
      </c>
    </row>
    <row r="209" spans="1:8">
      <c r="A209">
        <v>4004</v>
      </c>
      <c r="B209" t="s">
        <v>341</v>
      </c>
      <c r="C209" s="10">
        <v>0.375</v>
      </c>
      <c r="D209">
        <v>2517500</v>
      </c>
      <c r="E209">
        <v>2517500</v>
      </c>
      <c r="F209">
        <v>13580</v>
      </c>
      <c r="G209" s="18">
        <v>0.94898672257162819</v>
      </c>
      <c r="H209" s="18">
        <v>0.91171534071836191</v>
      </c>
    </row>
    <row r="210" spans="1:8">
      <c r="A210">
        <v>9519</v>
      </c>
      <c r="B210" t="s">
        <v>342</v>
      </c>
      <c r="C210" s="10">
        <v>0.375</v>
      </c>
      <c r="D210">
        <v>726100</v>
      </c>
      <c r="E210">
        <v>726100</v>
      </c>
      <c r="F210">
        <v>974</v>
      </c>
      <c r="G210" s="18">
        <v>0.9539666993143977</v>
      </c>
      <c r="H210" s="18">
        <v>0.94288480154888676</v>
      </c>
    </row>
    <row r="211" spans="1:8">
      <c r="A211">
        <v>6752</v>
      </c>
      <c r="B211" t="s">
        <v>343</v>
      </c>
      <c r="C211" s="10">
        <v>0.375</v>
      </c>
      <c r="D211">
        <v>8290200</v>
      </c>
      <c r="E211">
        <v>8290200</v>
      </c>
      <c r="F211">
        <v>3946</v>
      </c>
      <c r="G211" s="18">
        <v>0.9882294014525419</v>
      </c>
      <c r="H211" s="18">
        <v>0.93551446183025133</v>
      </c>
    </row>
    <row r="212" spans="1:8">
      <c r="A212">
        <v>6622</v>
      </c>
      <c r="B212" t="s">
        <v>344</v>
      </c>
      <c r="C212" s="10">
        <v>0.375</v>
      </c>
      <c r="D212">
        <v>401700</v>
      </c>
      <c r="E212">
        <v>401700</v>
      </c>
      <c r="F212">
        <v>13880</v>
      </c>
      <c r="G212" s="18">
        <v>0.96055363321799303</v>
      </c>
      <c r="H212" s="18">
        <v>0.9228723404255319</v>
      </c>
    </row>
    <row r="213" spans="1:8">
      <c r="A213">
        <v>1407</v>
      </c>
      <c r="B213" t="s">
        <v>345</v>
      </c>
      <c r="C213" s="10">
        <v>0.375</v>
      </c>
      <c r="D213">
        <v>767100</v>
      </c>
      <c r="E213">
        <v>767100</v>
      </c>
      <c r="F213">
        <v>2763</v>
      </c>
      <c r="G213" s="18">
        <v>1.0298173686172196</v>
      </c>
      <c r="H213" s="18">
        <v>1.0058245358572988</v>
      </c>
    </row>
    <row r="214" spans="1:8">
      <c r="A214" t="s">
        <v>46</v>
      </c>
      <c r="B214" t="s">
        <v>346</v>
      </c>
      <c r="C214" s="10">
        <v>0.375</v>
      </c>
      <c r="D214">
        <v>40153500</v>
      </c>
      <c r="E214">
        <v>40153500</v>
      </c>
      <c r="F214">
        <v>52110</v>
      </c>
      <c r="G214" s="18">
        <v>0.93220035778175314</v>
      </c>
      <c r="H214" s="18">
        <v>0.8389953308645951</v>
      </c>
    </row>
    <row r="215" spans="1:8">
      <c r="A215" t="s">
        <v>47</v>
      </c>
      <c r="B215" t="s">
        <v>347</v>
      </c>
      <c r="C215" s="10">
        <v>0.375</v>
      </c>
      <c r="D215">
        <v>550800</v>
      </c>
      <c r="E215">
        <v>550800</v>
      </c>
      <c r="F215">
        <v>2975</v>
      </c>
      <c r="G215" s="18">
        <v>0.97381342062193121</v>
      </c>
      <c r="H215" s="18">
        <v>0.9818481848184818</v>
      </c>
    </row>
    <row r="216" spans="1:8">
      <c r="A216" t="s">
        <v>48</v>
      </c>
      <c r="B216" t="s">
        <v>348</v>
      </c>
      <c r="C216" s="10">
        <v>0.375</v>
      </c>
      <c r="D216">
        <v>2340400</v>
      </c>
      <c r="E216">
        <v>2340400</v>
      </c>
      <c r="F216">
        <v>1591</v>
      </c>
      <c r="G216" s="18">
        <v>0.95612980769230771</v>
      </c>
      <c r="H216" s="18">
        <v>0.91594703511801956</v>
      </c>
    </row>
    <row r="217" spans="1:8">
      <c r="A217" t="s">
        <v>49</v>
      </c>
      <c r="B217" t="s">
        <v>349</v>
      </c>
      <c r="C217" s="10">
        <v>0.375</v>
      </c>
      <c r="D217">
        <v>5398400</v>
      </c>
      <c r="E217">
        <v>5398400</v>
      </c>
      <c r="F217">
        <v>1941</v>
      </c>
      <c r="G217" s="18">
        <v>1.0215789473684211</v>
      </c>
      <c r="H217" s="18">
        <v>0.98278481012658225</v>
      </c>
    </row>
    <row r="218" spans="1:8">
      <c r="A218">
        <v>1570</v>
      </c>
      <c r="B218" t="s">
        <v>350</v>
      </c>
      <c r="C218" s="10">
        <v>0.375</v>
      </c>
      <c r="D218">
        <v>5166865</v>
      </c>
      <c r="E218">
        <v>5166865</v>
      </c>
      <c r="F218">
        <v>64210</v>
      </c>
      <c r="G218" s="18">
        <v>0.92802428096545742</v>
      </c>
      <c r="H218" s="18">
        <v>0.8935430002783189</v>
      </c>
    </row>
    <row r="219" spans="1:8">
      <c r="A219">
        <v>6135</v>
      </c>
      <c r="B219" t="s">
        <v>351</v>
      </c>
      <c r="C219" s="10">
        <v>0.375</v>
      </c>
      <c r="D219">
        <v>279000</v>
      </c>
      <c r="E219">
        <v>279000</v>
      </c>
      <c r="F219">
        <v>14310</v>
      </c>
      <c r="G219" s="18">
        <v>0.99651810584958223</v>
      </c>
      <c r="H219" s="18">
        <v>0.9821551132463967</v>
      </c>
    </row>
    <row r="220" spans="1:8">
      <c r="A220">
        <v>6055</v>
      </c>
      <c r="B220" t="s">
        <v>352</v>
      </c>
      <c r="C220" s="10">
        <v>0.375</v>
      </c>
      <c r="D220">
        <v>814400</v>
      </c>
      <c r="E220">
        <v>814400</v>
      </c>
      <c r="F220">
        <v>2202</v>
      </c>
      <c r="G220" s="18">
        <v>0.94062366510038442</v>
      </c>
      <c r="H220" s="18">
        <v>0.90356996306934756</v>
      </c>
    </row>
    <row r="221" spans="1:8">
      <c r="A221">
        <v>6862</v>
      </c>
      <c r="B221" t="s">
        <v>353</v>
      </c>
      <c r="C221" s="10">
        <v>0.375</v>
      </c>
      <c r="D221">
        <v>419800</v>
      </c>
      <c r="E221">
        <v>419800</v>
      </c>
      <c r="F221">
        <v>1747</v>
      </c>
      <c r="G221" s="18">
        <v>0.90753246753246752</v>
      </c>
      <c r="H221" s="18">
        <v>0.89406345957011257</v>
      </c>
    </row>
    <row r="222" spans="1:8">
      <c r="A222">
        <v>2267</v>
      </c>
      <c r="B222" t="s">
        <v>354</v>
      </c>
      <c r="C222" s="10">
        <v>0.375</v>
      </c>
      <c r="D222">
        <v>727900</v>
      </c>
      <c r="E222">
        <v>727900</v>
      </c>
      <c r="F222">
        <v>2831.5</v>
      </c>
      <c r="G222" s="18">
        <v>1.0096273845605277</v>
      </c>
      <c r="H222" s="18">
        <v>1.0152384367156686</v>
      </c>
    </row>
    <row r="223" spans="1:8">
      <c r="A223">
        <v>1618</v>
      </c>
      <c r="B223" t="s">
        <v>355</v>
      </c>
      <c r="C223" s="10">
        <v>0.375</v>
      </c>
      <c r="D223">
        <v>1429</v>
      </c>
      <c r="E223">
        <v>1429</v>
      </c>
      <c r="F223">
        <v>31540</v>
      </c>
      <c r="G223" s="18">
        <v>0.98562499999999997</v>
      </c>
      <c r="H223" s="18">
        <v>0.98102643856920679</v>
      </c>
    </row>
    <row r="224" spans="1:8">
      <c r="A224">
        <v>3696</v>
      </c>
      <c r="B224" t="s">
        <v>356</v>
      </c>
      <c r="C224" s="10">
        <v>0.375</v>
      </c>
      <c r="D224">
        <v>97000</v>
      </c>
      <c r="E224">
        <v>97000</v>
      </c>
      <c r="F224">
        <v>2107</v>
      </c>
      <c r="G224" s="18">
        <v>0.98966651009863782</v>
      </c>
      <c r="H224" s="18">
        <v>0.98228438228438231</v>
      </c>
    </row>
    <row r="225" spans="1:8">
      <c r="A225">
        <v>4222</v>
      </c>
      <c r="B225" t="s">
        <v>357</v>
      </c>
      <c r="C225" s="10">
        <v>0.375</v>
      </c>
      <c r="D225">
        <v>336400</v>
      </c>
      <c r="E225">
        <v>336400</v>
      </c>
      <c r="F225">
        <v>592</v>
      </c>
      <c r="G225" s="18">
        <v>0.95948136142625606</v>
      </c>
      <c r="H225" s="18">
        <v>0.94417862838915467</v>
      </c>
    </row>
    <row r="226" spans="1:8">
      <c r="A226">
        <v>3563</v>
      </c>
      <c r="B226" t="s">
        <v>358</v>
      </c>
      <c r="C226" s="10">
        <v>0.375</v>
      </c>
      <c r="D226">
        <v>1501000</v>
      </c>
      <c r="E226">
        <v>1501000</v>
      </c>
      <c r="F226">
        <v>5371</v>
      </c>
      <c r="G226" s="18">
        <v>1.0016784781797836</v>
      </c>
      <c r="H226" s="18">
        <v>0.99041121150654621</v>
      </c>
    </row>
    <row r="227" spans="1:8">
      <c r="A227">
        <v>7013</v>
      </c>
      <c r="B227" t="s">
        <v>359</v>
      </c>
      <c r="C227" s="10">
        <v>0.375</v>
      </c>
      <c r="D227">
        <v>11922500</v>
      </c>
      <c r="E227">
        <v>11922500</v>
      </c>
      <c r="F227">
        <v>2657</v>
      </c>
      <c r="G227" s="18">
        <v>0.9465621660135376</v>
      </c>
      <c r="H227" s="18">
        <v>0.94588821644713417</v>
      </c>
    </row>
    <row r="228" spans="1:8">
      <c r="A228">
        <v>8793</v>
      </c>
      <c r="B228" t="s">
        <v>360</v>
      </c>
      <c r="C228" s="10">
        <v>0.375</v>
      </c>
      <c r="D228">
        <v>18400</v>
      </c>
      <c r="E228">
        <v>18400</v>
      </c>
      <c r="F228">
        <v>4005</v>
      </c>
      <c r="G228" s="18">
        <v>0.97682926829268291</v>
      </c>
      <c r="H228" s="18">
        <v>0.98041615667074666</v>
      </c>
    </row>
    <row r="229" spans="1:8">
      <c r="A229">
        <v>9962</v>
      </c>
      <c r="B229" t="s">
        <v>361</v>
      </c>
      <c r="C229" s="10">
        <v>0.375</v>
      </c>
      <c r="D229">
        <v>824700</v>
      </c>
      <c r="E229">
        <v>824700</v>
      </c>
      <c r="F229">
        <v>3560</v>
      </c>
      <c r="G229" s="18">
        <v>0.96164235548352239</v>
      </c>
      <c r="H229" s="18">
        <v>0.94379639448568398</v>
      </c>
    </row>
    <row r="230" spans="1:8">
      <c r="A230">
        <v>6762</v>
      </c>
      <c r="B230" t="s">
        <v>362</v>
      </c>
      <c r="C230" s="10">
        <v>0.375</v>
      </c>
      <c r="D230">
        <v>12746000</v>
      </c>
      <c r="E230">
        <v>12746000</v>
      </c>
      <c r="F230">
        <v>2893.5</v>
      </c>
      <c r="G230" s="18">
        <v>0.96450000000000002</v>
      </c>
      <c r="H230" s="18">
        <v>0.93792544570502434</v>
      </c>
    </row>
    <row r="231" spans="1:8">
      <c r="A231">
        <v>4392</v>
      </c>
      <c r="B231" t="s">
        <v>363</v>
      </c>
      <c r="C231" s="10">
        <v>0.375</v>
      </c>
      <c r="D231">
        <v>1436800</v>
      </c>
      <c r="E231">
        <v>1436800</v>
      </c>
      <c r="F231">
        <v>1027</v>
      </c>
      <c r="G231" s="18">
        <v>0.95092592592592595</v>
      </c>
      <c r="H231" s="18">
        <v>0.92107623318385645</v>
      </c>
    </row>
    <row r="232" spans="1:8">
      <c r="A232">
        <v>8005</v>
      </c>
      <c r="B232" t="s">
        <v>364</v>
      </c>
      <c r="C232" s="10">
        <v>0.375</v>
      </c>
      <c r="D232">
        <v>133100</v>
      </c>
      <c r="E232">
        <v>133100</v>
      </c>
      <c r="F232">
        <v>1708</v>
      </c>
      <c r="G232" s="18">
        <v>0.9872832369942196</v>
      </c>
      <c r="H232" s="18">
        <v>0.98330454807138745</v>
      </c>
    </row>
    <row r="233" spans="1:8">
      <c r="A233">
        <v>2326</v>
      </c>
      <c r="B233" t="s">
        <v>365</v>
      </c>
      <c r="C233" s="10">
        <v>0.375</v>
      </c>
      <c r="D233">
        <v>183000</v>
      </c>
      <c r="E233">
        <v>183000</v>
      </c>
      <c r="F233">
        <v>4005</v>
      </c>
      <c r="G233" s="18">
        <v>1.006281407035176</v>
      </c>
      <c r="H233" s="18">
        <v>0.99750933997509339</v>
      </c>
    </row>
    <row r="234" spans="1:8">
      <c r="A234">
        <v>6809</v>
      </c>
      <c r="B234" t="s">
        <v>366</v>
      </c>
      <c r="C234" s="10">
        <v>0.375</v>
      </c>
      <c r="D234">
        <v>60100</v>
      </c>
      <c r="E234">
        <v>60100</v>
      </c>
      <c r="F234">
        <v>1564</v>
      </c>
      <c r="G234" s="18">
        <v>0.98364779874213837</v>
      </c>
      <c r="H234" s="18">
        <v>0.98675078864353316</v>
      </c>
    </row>
    <row r="235" spans="1:8">
      <c r="A235">
        <v>3984</v>
      </c>
      <c r="B235" t="s">
        <v>367</v>
      </c>
      <c r="C235" s="10">
        <v>0.375</v>
      </c>
      <c r="D235">
        <v>47200</v>
      </c>
      <c r="E235">
        <v>47200</v>
      </c>
      <c r="F235">
        <v>1775</v>
      </c>
      <c r="G235" s="18">
        <v>0.98392461197339243</v>
      </c>
      <c r="H235" s="18">
        <v>0.97047566976489885</v>
      </c>
    </row>
    <row r="236" spans="1:8">
      <c r="A236">
        <v>7609</v>
      </c>
      <c r="B236" t="s">
        <v>368</v>
      </c>
      <c r="C236" s="10">
        <v>0.375</v>
      </c>
      <c r="D236">
        <v>96900</v>
      </c>
      <c r="E236">
        <v>96900</v>
      </c>
      <c r="F236">
        <v>3240</v>
      </c>
      <c r="G236" s="18">
        <v>0.96860986547085204</v>
      </c>
      <c r="H236" s="18">
        <v>0.93777134587554267</v>
      </c>
    </row>
    <row r="237" spans="1:8">
      <c r="A237">
        <v>7972</v>
      </c>
      <c r="B237" t="s">
        <v>369</v>
      </c>
      <c r="C237" s="10">
        <v>0.375</v>
      </c>
      <c r="D237">
        <v>145500</v>
      </c>
      <c r="E237">
        <v>145500</v>
      </c>
      <c r="F237">
        <v>2674</v>
      </c>
      <c r="G237" s="18">
        <v>0.95160142348754451</v>
      </c>
      <c r="H237" s="18">
        <v>0.95465905033916454</v>
      </c>
    </row>
    <row r="238" spans="1:8">
      <c r="A238">
        <v>6521</v>
      </c>
      <c r="B238" t="s">
        <v>370</v>
      </c>
      <c r="C238" s="10">
        <v>0.375</v>
      </c>
      <c r="D238">
        <v>376600</v>
      </c>
      <c r="E238">
        <v>376600</v>
      </c>
      <c r="F238">
        <v>3335</v>
      </c>
      <c r="G238" s="18">
        <v>0.93943661971830983</v>
      </c>
      <c r="H238" s="18">
        <v>0.91495198902606312</v>
      </c>
    </row>
    <row r="239" spans="1:8">
      <c r="A239">
        <v>9165</v>
      </c>
      <c r="B239" t="s">
        <v>371</v>
      </c>
      <c r="C239" s="10">
        <v>0.375</v>
      </c>
      <c r="D239">
        <v>15800</v>
      </c>
      <c r="E239">
        <v>15800</v>
      </c>
      <c r="F239">
        <v>1680</v>
      </c>
      <c r="G239" s="18">
        <v>0.9882352941176471</v>
      </c>
      <c r="H239" s="18">
        <v>0.98360655737704916</v>
      </c>
    </row>
    <row r="240" spans="1:8">
      <c r="A240">
        <v>6902</v>
      </c>
      <c r="B240" t="s">
        <v>372</v>
      </c>
      <c r="C240" s="10">
        <v>0.375</v>
      </c>
      <c r="D240">
        <v>3898800</v>
      </c>
      <c r="E240">
        <v>3898800</v>
      </c>
      <c r="F240">
        <v>1955</v>
      </c>
      <c r="G240" s="18">
        <v>0.99188229325215627</v>
      </c>
      <c r="H240" s="18">
        <v>0.98962288028347256</v>
      </c>
    </row>
    <row r="241" spans="1:8">
      <c r="A241">
        <v>3936</v>
      </c>
      <c r="B241" t="s">
        <v>373</v>
      </c>
      <c r="C241" s="10">
        <v>0.375</v>
      </c>
      <c r="D241">
        <v>772400</v>
      </c>
      <c r="E241">
        <v>772400</v>
      </c>
      <c r="F241">
        <v>152</v>
      </c>
      <c r="G241" s="18">
        <v>0.93827160493827155</v>
      </c>
      <c r="H241" s="18">
        <v>0.93251533742331283</v>
      </c>
    </row>
    <row r="242" spans="1:8">
      <c r="A242">
        <v>6928</v>
      </c>
      <c r="B242" t="s">
        <v>374</v>
      </c>
      <c r="C242" s="10">
        <v>0.375</v>
      </c>
      <c r="D242">
        <v>41900</v>
      </c>
      <c r="E242">
        <v>41900</v>
      </c>
      <c r="F242">
        <v>2506</v>
      </c>
      <c r="G242" s="18">
        <v>0.9162705667276051</v>
      </c>
      <c r="H242" s="18">
        <v>0.89982046678635552</v>
      </c>
    </row>
    <row r="243" spans="1:8">
      <c r="A243">
        <v>5632</v>
      </c>
      <c r="B243" t="s">
        <v>375</v>
      </c>
      <c r="C243" s="10">
        <v>0.375</v>
      </c>
      <c r="D243">
        <v>84300</v>
      </c>
      <c r="E243">
        <v>84300</v>
      </c>
      <c r="F243">
        <v>2076</v>
      </c>
      <c r="G243" s="18">
        <v>0.96783216783216786</v>
      </c>
      <c r="H243" s="18">
        <v>0.96693060083837912</v>
      </c>
    </row>
    <row r="244" spans="1:8">
      <c r="A244">
        <v>6098</v>
      </c>
      <c r="B244" t="s">
        <v>376</v>
      </c>
      <c r="C244" s="10">
        <v>0.375</v>
      </c>
      <c r="D244">
        <v>2416000</v>
      </c>
      <c r="E244">
        <v>2416000</v>
      </c>
      <c r="F244">
        <v>12665</v>
      </c>
      <c r="G244" s="18">
        <v>0.99606763664962639</v>
      </c>
      <c r="H244" s="18">
        <v>1.0039635354736425</v>
      </c>
    </row>
    <row r="245" spans="1:8">
      <c r="A245">
        <v>6361</v>
      </c>
      <c r="B245" t="s">
        <v>377</v>
      </c>
      <c r="C245" s="10">
        <v>0.375</v>
      </c>
      <c r="D245">
        <v>2799400</v>
      </c>
      <c r="E245">
        <v>2799400</v>
      </c>
      <c r="F245">
        <v>5290</v>
      </c>
      <c r="G245" s="18">
        <v>0.93628318584070791</v>
      </c>
      <c r="H245" s="18">
        <v>0.90737564322469988</v>
      </c>
    </row>
    <row r="246" spans="1:8">
      <c r="A246" t="s">
        <v>78</v>
      </c>
      <c r="B246" t="s">
        <v>378</v>
      </c>
      <c r="C246" s="10">
        <v>0.375</v>
      </c>
      <c r="D246">
        <v>86800</v>
      </c>
      <c r="E246">
        <v>86800</v>
      </c>
      <c r="F246">
        <v>837</v>
      </c>
      <c r="G246" s="18">
        <v>0.95221843003412965</v>
      </c>
      <c r="H246" s="18">
        <v>0.93939393939393945</v>
      </c>
    </row>
    <row r="247" spans="1:8">
      <c r="A247" t="s">
        <v>79</v>
      </c>
      <c r="B247" t="s">
        <v>379</v>
      </c>
      <c r="C247" s="10">
        <v>0.375</v>
      </c>
      <c r="D247">
        <v>3376500</v>
      </c>
      <c r="E247">
        <v>3376500</v>
      </c>
      <c r="F247">
        <v>13170</v>
      </c>
      <c r="G247" s="18">
        <v>1.0603864734299517</v>
      </c>
      <c r="H247" s="18">
        <v>1.0866336633663367</v>
      </c>
    </row>
    <row r="248" spans="1:8">
      <c r="A248" t="s">
        <v>80</v>
      </c>
      <c r="B248" t="s">
        <v>380</v>
      </c>
      <c r="C248" s="10">
        <v>0.375</v>
      </c>
      <c r="D248">
        <v>10700</v>
      </c>
      <c r="E248">
        <v>10700</v>
      </c>
      <c r="F248">
        <v>2856</v>
      </c>
      <c r="G248" s="18">
        <v>0.99512195121951219</v>
      </c>
      <c r="H248" s="18">
        <v>0.99132245748004166</v>
      </c>
    </row>
    <row r="249" spans="1:8">
      <c r="A249">
        <v>4776</v>
      </c>
      <c r="B249" t="s">
        <v>381</v>
      </c>
      <c r="C249" s="10">
        <v>0.375</v>
      </c>
      <c r="D249">
        <v>164400</v>
      </c>
      <c r="E249">
        <v>164400</v>
      </c>
      <c r="F249">
        <v>2539</v>
      </c>
      <c r="G249" s="18">
        <v>0.97279693486590035</v>
      </c>
      <c r="H249" s="18">
        <v>0.97279693486590035</v>
      </c>
    </row>
    <row r="250" spans="1:8">
      <c r="A250">
        <v>4704</v>
      </c>
      <c r="B250" t="s">
        <v>382</v>
      </c>
      <c r="C250" s="10">
        <v>0.375</v>
      </c>
      <c r="D250">
        <v>906000</v>
      </c>
      <c r="E250">
        <v>906000</v>
      </c>
      <c r="F250">
        <v>6453</v>
      </c>
      <c r="G250" s="18">
        <v>1.0037330844610359</v>
      </c>
      <c r="H250" s="18">
        <v>0.99737248840803705</v>
      </c>
    </row>
    <row r="251" spans="1:8">
      <c r="A251">
        <v>6370</v>
      </c>
      <c r="B251" t="s">
        <v>383</v>
      </c>
      <c r="C251" s="10">
        <v>0.375</v>
      </c>
      <c r="D251">
        <v>423000</v>
      </c>
      <c r="E251">
        <v>423000</v>
      </c>
      <c r="F251">
        <v>8510</v>
      </c>
      <c r="G251" s="18">
        <v>0.96913791139961281</v>
      </c>
      <c r="H251" s="18">
        <v>0.94840075782904265</v>
      </c>
    </row>
    <row r="252" spans="1:8">
      <c r="A252">
        <v>7014</v>
      </c>
      <c r="B252" t="s">
        <v>384</v>
      </c>
      <c r="C252" s="10">
        <v>0.375</v>
      </c>
      <c r="D252">
        <v>1147900</v>
      </c>
      <c r="E252">
        <v>1147900</v>
      </c>
      <c r="F252">
        <v>3735</v>
      </c>
      <c r="G252" s="18">
        <v>0.9946737683089214</v>
      </c>
      <c r="H252" s="18">
        <v>0.94318181818181823</v>
      </c>
    </row>
    <row r="253" spans="1:8">
      <c r="A253">
        <v>9880</v>
      </c>
      <c r="B253" t="s">
        <v>385</v>
      </c>
      <c r="C253" s="10">
        <v>0.375</v>
      </c>
      <c r="D253">
        <v>187200</v>
      </c>
      <c r="E253">
        <v>187200</v>
      </c>
      <c r="F253">
        <v>3160</v>
      </c>
      <c r="G253" s="18">
        <v>0.94894894894894899</v>
      </c>
      <c r="H253" s="18">
        <v>0.92262773722627733</v>
      </c>
    </row>
    <row r="254" spans="1:8">
      <c r="A254">
        <v>5253</v>
      </c>
      <c r="B254" t="s">
        <v>386</v>
      </c>
      <c r="C254" s="10">
        <v>0.375</v>
      </c>
      <c r="D254">
        <v>1013900</v>
      </c>
      <c r="E254">
        <v>1013900</v>
      </c>
      <c r="F254">
        <v>1625</v>
      </c>
      <c r="G254" s="18">
        <v>0.97422062350119909</v>
      </c>
      <c r="H254" s="18">
        <v>0.96899224806201545</v>
      </c>
    </row>
    <row r="255" spans="1:8">
      <c r="A255">
        <v>9104</v>
      </c>
      <c r="B255" t="s">
        <v>387</v>
      </c>
      <c r="C255" s="10">
        <v>0.375</v>
      </c>
      <c r="D255">
        <v>1843500</v>
      </c>
      <c r="E255">
        <v>1843500</v>
      </c>
      <c r="F255">
        <v>5547</v>
      </c>
      <c r="G255" s="18">
        <v>0.99945945945945946</v>
      </c>
      <c r="H255" s="18">
        <v>1.0045273451647954</v>
      </c>
    </row>
    <row r="256" spans="1:8">
      <c r="A256">
        <v>6366</v>
      </c>
      <c r="B256" t="s">
        <v>388</v>
      </c>
      <c r="C256" s="10">
        <v>0.375</v>
      </c>
      <c r="D256">
        <v>4055900</v>
      </c>
      <c r="E256">
        <v>4055900</v>
      </c>
      <c r="F256">
        <v>628</v>
      </c>
      <c r="G256" s="18">
        <v>0.95007564296520419</v>
      </c>
      <c r="H256" s="18">
        <v>0.93591654247391953</v>
      </c>
    </row>
    <row r="257" spans="1:8">
      <c r="A257">
        <v>6140</v>
      </c>
      <c r="B257" t="s">
        <v>389</v>
      </c>
      <c r="C257" s="10">
        <v>0.375</v>
      </c>
      <c r="D257">
        <v>742400</v>
      </c>
      <c r="E257">
        <v>742400</v>
      </c>
      <c r="F257">
        <v>1138</v>
      </c>
      <c r="G257" s="18">
        <v>0.97016197783461211</v>
      </c>
      <c r="H257" s="18">
        <v>0.94754371357202327</v>
      </c>
    </row>
    <row r="258" spans="1:8">
      <c r="A258">
        <v>1514</v>
      </c>
      <c r="B258" t="s">
        <v>390</v>
      </c>
      <c r="C258" s="10">
        <v>0.375</v>
      </c>
      <c r="D258">
        <v>370900</v>
      </c>
      <c r="E258">
        <v>370900</v>
      </c>
      <c r="F258">
        <v>558</v>
      </c>
      <c r="G258" s="18">
        <v>0.96373056994818651</v>
      </c>
      <c r="H258" s="18">
        <v>0.95547945205479456</v>
      </c>
    </row>
    <row r="259" spans="1:8">
      <c r="A259">
        <v>5631</v>
      </c>
      <c r="B259" t="s">
        <v>391</v>
      </c>
      <c r="C259" s="10">
        <v>0.375</v>
      </c>
      <c r="D259">
        <v>986800</v>
      </c>
      <c r="E259">
        <v>986800</v>
      </c>
      <c r="F259">
        <v>7248</v>
      </c>
      <c r="G259" s="18">
        <v>0.93414099755123081</v>
      </c>
      <c r="H259" s="18">
        <v>0.91642432671639906</v>
      </c>
    </row>
    <row r="260" spans="1:8">
      <c r="A260">
        <v>6674</v>
      </c>
      <c r="B260" t="s">
        <v>392</v>
      </c>
      <c r="C260" s="10">
        <v>0.375</v>
      </c>
      <c r="D260">
        <v>611000</v>
      </c>
      <c r="E260">
        <v>611000</v>
      </c>
      <c r="F260">
        <v>5422</v>
      </c>
      <c r="G260" s="18">
        <v>0.93482758620689654</v>
      </c>
      <c r="H260" s="18">
        <v>0.91867163673331076</v>
      </c>
    </row>
    <row r="261" spans="1:8">
      <c r="A261">
        <v>6955</v>
      </c>
      <c r="B261" t="s">
        <v>393</v>
      </c>
      <c r="C261" s="10">
        <v>0.375</v>
      </c>
      <c r="D261">
        <v>252200</v>
      </c>
      <c r="E261">
        <v>252200</v>
      </c>
      <c r="F261">
        <v>398</v>
      </c>
      <c r="G261" s="18">
        <v>0.97310513447432767</v>
      </c>
      <c r="H261" s="18">
        <v>0.96601941747572817</v>
      </c>
    </row>
    <row r="262" spans="1:8">
      <c r="A262" t="s">
        <v>94</v>
      </c>
      <c r="B262" t="s">
        <v>394</v>
      </c>
      <c r="C262" s="10">
        <v>0.375</v>
      </c>
      <c r="D262">
        <v>242400</v>
      </c>
      <c r="E262">
        <v>242400</v>
      </c>
      <c r="F262">
        <v>449</v>
      </c>
      <c r="G262" s="18">
        <v>0.96976241900647953</v>
      </c>
      <c r="H262" s="18">
        <v>0.93736951983298533</v>
      </c>
    </row>
    <row r="263" spans="1:8">
      <c r="A263">
        <v>6356</v>
      </c>
      <c r="B263" t="s">
        <v>395</v>
      </c>
      <c r="C263" s="10">
        <v>0.375</v>
      </c>
      <c r="D263">
        <v>330400</v>
      </c>
      <c r="E263">
        <v>330400</v>
      </c>
      <c r="F263">
        <v>1401</v>
      </c>
      <c r="G263" s="18">
        <v>0.93089700996677738</v>
      </c>
      <c r="H263" s="18">
        <v>0.91748526522593321</v>
      </c>
    </row>
    <row r="264" spans="1:8">
      <c r="A264">
        <v>7711</v>
      </c>
      <c r="B264" t="s">
        <v>396</v>
      </c>
      <c r="C264" s="10">
        <v>0.375</v>
      </c>
      <c r="D264">
        <v>142700</v>
      </c>
      <c r="E264">
        <v>142700</v>
      </c>
      <c r="F264">
        <v>4375</v>
      </c>
      <c r="G264" s="18">
        <v>0.90020576131687247</v>
      </c>
      <c r="H264" s="18">
        <v>0.88205645161290325</v>
      </c>
    </row>
    <row r="265" spans="1:8">
      <c r="A265">
        <v>6376</v>
      </c>
      <c r="B265" t="s">
        <v>397</v>
      </c>
      <c r="C265" s="10">
        <v>0.375</v>
      </c>
      <c r="D265">
        <v>625800</v>
      </c>
      <c r="E265">
        <v>625800</v>
      </c>
      <c r="F265">
        <v>3785</v>
      </c>
      <c r="G265" s="18">
        <v>0.99605263157894741</v>
      </c>
      <c r="H265" s="18">
        <v>0.98056994818652854</v>
      </c>
    </row>
    <row r="266" spans="1:8">
      <c r="A266">
        <v>9115</v>
      </c>
      <c r="B266" t="s">
        <v>398</v>
      </c>
      <c r="C266" s="10">
        <v>0.375</v>
      </c>
      <c r="D266">
        <v>65100</v>
      </c>
      <c r="E266">
        <v>65100</v>
      </c>
      <c r="F266">
        <v>819</v>
      </c>
      <c r="G266" s="18">
        <v>0.99513973268529765</v>
      </c>
      <c r="H266" s="18">
        <v>0.99272727272727268</v>
      </c>
    </row>
    <row r="267" spans="1:8">
      <c r="A267">
        <v>3864</v>
      </c>
      <c r="B267" t="s">
        <v>399</v>
      </c>
      <c r="C267" s="10">
        <v>0.375</v>
      </c>
      <c r="D267">
        <v>130300</v>
      </c>
      <c r="E267">
        <v>130300</v>
      </c>
      <c r="F267">
        <v>1086</v>
      </c>
      <c r="G267" s="18">
        <v>0.99178082191780825</v>
      </c>
      <c r="H267" s="18">
        <v>0.99178082191780825</v>
      </c>
    </row>
    <row r="268" spans="1:8">
      <c r="A268">
        <v>6997</v>
      </c>
      <c r="B268" t="s">
        <v>400</v>
      </c>
      <c r="C268" s="10">
        <v>0.375</v>
      </c>
      <c r="D268">
        <v>1197700</v>
      </c>
      <c r="E268">
        <v>1197700</v>
      </c>
      <c r="F268">
        <v>3075</v>
      </c>
      <c r="G268" s="18">
        <v>0.91791044776119401</v>
      </c>
      <c r="H268" s="18">
        <v>0.84710743801652888</v>
      </c>
    </row>
    <row r="269" spans="1:8">
      <c r="A269">
        <v>4544</v>
      </c>
      <c r="B269" t="s">
        <v>401</v>
      </c>
      <c r="C269" s="10">
        <v>0.375</v>
      </c>
      <c r="D269">
        <v>96200</v>
      </c>
      <c r="E269">
        <v>96200</v>
      </c>
      <c r="F269">
        <v>3373</v>
      </c>
      <c r="G269" s="18">
        <v>1.0020796197266786</v>
      </c>
      <c r="H269" s="18">
        <v>1.0020796197266786</v>
      </c>
    </row>
    <row r="270" spans="1:8">
      <c r="A270">
        <v>6848</v>
      </c>
      <c r="B270" t="s">
        <v>402</v>
      </c>
      <c r="C270" s="10">
        <v>0.375</v>
      </c>
      <c r="D270">
        <v>4900</v>
      </c>
      <c r="E270">
        <v>4900</v>
      </c>
      <c r="F270">
        <v>850</v>
      </c>
      <c r="G270" s="18">
        <v>0.9929906542056075</v>
      </c>
      <c r="H270" s="18">
        <v>0.9929906542056075</v>
      </c>
    </row>
    <row r="271" spans="1:8">
      <c r="A271">
        <v>5702</v>
      </c>
      <c r="B271" t="s">
        <v>403</v>
      </c>
      <c r="C271" s="10">
        <v>0.375</v>
      </c>
      <c r="D271">
        <v>418800</v>
      </c>
      <c r="E271">
        <v>418800</v>
      </c>
      <c r="F271">
        <v>1422</v>
      </c>
      <c r="G271" s="18">
        <v>0.95372233400402417</v>
      </c>
      <c r="H271" s="18">
        <v>0.94359654943596549</v>
      </c>
    </row>
    <row r="272" spans="1:8">
      <c r="A272">
        <v>7952</v>
      </c>
      <c r="B272" t="s">
        <v>404</v>
      </c>
      <c r="C272" s="10">
        <v>0.375</v>
      </c>
      <c r="D272">
        <v>52500</v>
      </c>
      <c r="E272">
        <v>52500</v>
      </c>
      <c r="F272">
        <v>3165</v>
      </c>
      <c r="G272" s="18">
        <v>0.95909090909090911</v>
      </c>
      <c r="H272" s="18">
        <v>0.96641221374045805</v>
      </c>
    </row>
    <row r="273" spans="1:8">
      <c r="A273">
        <v>3002</v>
      </c>
      <c r="B273" t="s">
        <v>405</v>
      </c>
      <c r="C273" s="10">
        <v>0.375</v>
      </c>
      <c r="D273">
        <v>91200</v>
      </c>
      <c r="E273">
        <v>91200</v>
      </c>
      <c r="F273">
        <v>3900</v>
      </c>
      <c r="G273" s="18">
        <v>0.97867001254705144</v>
      </c>
      <c r="H273" s="18">
        <v>0.97989949748743721</v>
      </c>
    </row>
    <row r="274" spans="1:8">
      <c r="A274">
        <v>8871</v>
      </c>
      <c r="B274" t="s">
        <v>406</v>
      </c>
      <c r="C274" s="10">
        <v>0.375</v>
      </c>
      <c r="D274">
        <v>110800</v>
      </c>
      <c r="E274">
        <v>110800</v>
      </c>
      <c r="F274">
        <v>3310</v>
      </c>
      <c r="G274" s="18">
        <v>0.97640117994100295</v>
      </c>
      <c r="H274" s="18">
        <v>0.97784342688330872</v>
      </c>
    </row>
    <row r="275" spans="1:8">
      <c r="A275">
        <v>6918</v>
      </c>
      <c r="B275" t="s">
        <v>407</v>
      </c>
      <c r="C275" s="10">
        <v>0.375</v>
      </c>
      <c r="D275">
        <v>62100</v>
      </c>
      <c r="E275">
        <v>62100</v>
      </c>
      <c r="F275">
        <v>2969</v>
      </c>
      <c r="G275" s="18">
        <v>0.92781250000000004</v>
      </c>
      <c r="H275" s="18">
        <v>0.92348367029548994</v>
      </c>
    </row>
    <row r="276" spans="1:8">
      <c r="A276">
        <v>6488</v>
      </c>
      <c r="B276" t="s">
        <v>408</v>
      </c>
      <c r="C276" s="10">
        <v>0.375</v>
      </c>
      <c r="D276">
        <v>7500</v>
      </c>
      <c r="E276">
        <v>7500</v>
      </c>
      <c r="F276">
        <v>964</v>
      </c>
      <c r="G276" s="18">
        <v>0.98770491803278693</v>
      </c>
      <c r="H276" s="18">
        <v>0.98770491803278693</v>
      </c>
    </row>
    <row r="277" spans="1:8">
      <c r="A277">
        <v>8007</v>
      </c>
      <c r="B277" t="s">
        <v>409</v>
      </c>
      <c r="C277" s="10">
        <v>0.375</v>
      </c>
      <c r="D277">
        <v>110700</v>
      </c>
      <c r="E277">
        <v>110700</v>
      </c>
      <c r="F277">
        <v>772</v>
      </c>
      <c r="G277" s="18">
        <v>0.98469387755102045</v>
      </c>
      <c r="H277" s="18">
        <v>0.98218829516539441</v>
      </c>
    </row>
    <row r="278" spans="1:8">
      <c r="A278">
        <v>4218</v>
      </c>
      <c r="B278" t="s">
        <v>410</v>
      </c>
      <c r="C278" s="10">
        <v>0.375</v>
      </c>
      <c r="D278">
        <v>13500</v>
      </c>
      <c r="E278">
        <v>13500</v>
      </c>
      <c r="F278">
        <v>1928</v>
      </c>
      <c r="G278" s="18">
        <v>0.99948159668221881</v>
      </c>
      <c r="H278" s="18">
        <v>1.0062630480167014</v>
      </c>
    </row>
    <row r="279" spans="1:8">
      <c r="A279">
        <v>7735</v>
      </c>
      <c r="B279" t="s">
        <v>411</v>
      </c>
      <c r="C279" s="10">
        <v>0.375</v>
      </c>
      <c r="D279">
        <v>4133800</v>
      </c>
      <c r="E279">
        <v>4133800</v>
      </c>
      <c r="F279">
        <v>16170</v>
      </c>
      <c r="G279" s="18">
        <v>0.93630573248407645</v>
      </c>
      <c r="H279" s="18">
        <v>0.86148108684070324</v>
      </c>
    </row>
    <row r="280" spans="1:8">
      <c r="A280">
        <v>3905</v>
      </c>
      <c r="B280" t="s">
        <v>412</v>
      </c>
      <c r="C280" s="10">
        <v>0.375</v>
      </c>
      <c r="D280">
        <v>1741700</v>
      </c>
      <c r="E280">
        <v>1741700</v>
      </c>
      <c r="F280">
        <v>2517</v>
      </c>
      <c r="G280" s="18">
        <v>0.97106481481481477</v>
      </c>
      <c r="H280" s="18">
        <v>0.93603570100409073</v>
      </c>
    </row>
    <row r="281" spans="1:8">
      <c r="A281">
        <v>3397</v>
      </c>
      <c r="B281" t="s">
        <v>413</v>
      </c>
      <c r="C281" s="10">
        <v>0.375</v>
      </c>
      <c r="D281">
        <v>285200</v>
      </c>
      <c r="E281">
        <v>285200</v>
      </c>
      <c r="F281">
        <v>4162</v>
      </c>
      <c r="G281" s="18">
        <v>0.99426660296225511</v>
      </c>
      <c r="H281" s="18">
        <v>1.01611328125</v>
      </c>
    </row>
    <row r="282" spans="1:8">
      <c r="A282">
        <v>7270</v>
      </c>
      <c r="B282" t="s">
        <v>414</v>
      </c>
      <c r="C282" s="10">
        <v>0.375</v>
      </c>
      <c r="D282">
        <v>2393600</v>
      </c>
      <c r="E282">
        <v>2393600</v>
      </c>
      <c r="F282">
        <v>2508</v>
      </c>
      <c r="G282" s="18">
        <v>0.99130434782608701</v>
      </c>
      <c r="H282" s="18">
        <v>0.9958308516974389</v>
      </c>
    </row>
    <row r="283" spans="1:8">
      <c r="A283">
        <v>6736</v>
      </c>
      <c r="B283" t="s">
        <v>415</v>
      </c>
      <c r="C283" s="10">
        <v>0.375</v>
      </c>
      <c r="D283">
        <v>7100</v>
      </c>
      <c r="E283">
        <v>7100</v>
      </c>
      <c r="F283">
        <v>8790</v>
      </c>
      <c r="G283" s="18">
        <v>0.96699669966996704</v>
      </c>
      <c r="H283" s="18">
        <v>0.98212290502793298</v>
      </c>
    </row>
    <row r="284" spans="1:8">
      <c r="A284">
        <v>2933</v>
      </c>
      <c r="B284" t="s">
        <v>416</v>
      </c>
      <c r="C284" s="10">
        <v>0.375</v>
      </c>
      <c r="D284">
        <v>30900</v>
      </c>
      <c r="E284">
        <v>30900</v>
      </c>
      <c r="F284">
        <v>1088</v>
      </c>
      <c r="G284" s="18">
        <v>1.0064754856614246</v>
      </c>
      <c r="H284" s="18">
        <v>1.0064754856614246</v>
      </c>
    </row>
    <row r="285" spans="1:8">
      <c r="A285">
        <v>4047</v>
      </c>
      <c r="B285" t="s">
        <v>417</v>
      </c>
      <c r="C285" s="10">
        <v>0.375</v>
      </c>
      <c r="D285">
        <v>764500</v>
      </c>
      <c r="E285">
        <v>764500</v>
      </c>
      <c r="F285">
        <v>2626</v>
      </c>
      <c r="G285" s="18">
        <v>0.93718772305496079</v>
      </c>
      <c r="H285" s="18">
        <v>0.89777777777777779</v>
      </c>
    </row>
    <row r="286" spans="1:8">
      <c r="A286">
        <v>6482</v>
      </c>
      <c r="B286" t="s">
        <v>418</v>
      </c>
      <c r="C286" s="10">
        <v>0.375</v>
      </c>
      <c r="D286">
        <v>75300</v>
      </c>
      <c r="E286">
        <v>75300</v>
      </c>
      <c r="F286">
        <v>669</v>
      </c>
      <c r="G286" s="18">
        <v>0.99701937406855434</v>
      </c>
      <c r="H286" s="18">
        <v>1.0045045045045045</v>
      </c>
    </row>
    <row r="287" spans="1:8">
      <c r="A287">
        <v>6706</v>
      </c>
      <c r="B287" t="s">
        <v>419</v>
      </c>
      <c r="C287" s="10">
        <v>0.375</v>
      </c>
      <c r="D287">
        <v>29900</v>
      </c>
      <c r="E287">
        <v>29900</v>
      </c>
      <c r="F287">
        <v>2840</v>
      </c>
      <c r="G287" s="18">
        <v>0.96271186440677969</v>
      </c>
      <c r="H287" s="18">
        <v>0.94951521230357738</v>
      </c>
    </row>
    <row r="288" spans="1:8">
      <c r="A288">
        <v>8141</v>
      </c>
      <c r="B288" t="s">
        <v>420</v>
      </c>
      <c r="C288" s="10">
        <v>0.375</v>
      </c>
      <c r="D288">
        <v>106800</v>
      </c>
      <c r="E288">
        <v>106800</v>
      </c>
      <c r="F288">
        <v>1599</v>
      </c>
      <c r="G288" s="18">
        <v>0.99875078076202373</v>
      </c>
      <c r="H288" s="18">
        <v>0.99812734082397003</v>
      </c>
    </row>
    <row r="289" spans="1:8">
      <c r="A289">
        <v>8344</v>
      </c>
      <c r="B289" t="s">
        <v>421</v>
      </c>
      <c r="C289" s="10">
        <v>0.375</v>
      </c>
      <c r="D289">
        <v>137000</v>
      </c>
      <c r="E289">
        <v>137000</v>
      </c>
      <c r="F289">
        <v>3580</v>
      </c>
      <c r="G289" s="18">
        <v>0.92506459948320419</v>
      </c>
      <c r="H289" s="18">
        <v>0.9156010230179028</v>
      </c>
    </row>
    <row r="290" spans="1:8">
      <c r="A290">
        <v>7414</v>
      </c>
      <c r="B290" t="s">
        <v>422</v>
      </c>
      <c r="C290" s="10">
        <v>0.375</v>
      </c>
      <c r="D290">
        <v>55600</v>
      </c>
      <c r="E290">
        <v>55600</v>
      </c>
      <c r="F290">
        <v>1400</v>
      </c>
      <c r="G290" s="18">
        <v>0.98730606488011285</v>
      </c>
      <c r="H290" s="18">
        <v>0.98939929328621912</v>
      </c>
    </row>
    <row r="291" spans="1:8">
      <c r="A291">
        <v>6407</v>
      </c>
      <c r="B291" t="s">
        <v>423</v>
      </c>
      <c r="C291" s="10">
        <v>0.375</v>
      </c>
      <c r="D291">
        <v>584400</v>
      </c>
      <c r="E291">
        <v>584400</v>
      </c>
      <c r="F291">
        <v>6130</v>
      </c>
      <c r="G291" s="18">
        <v>0.95631825273010918</v>
      </c>
      <c r="H291" s="18">
        <v>0.90546528803545057</v>
      </c>
    </row>
    <row r="292" spans="1:8">
      <c r="A292">
        <v>7048</v>
      </c>
      <c r="B292" t="s">
        <v>424</v>
      </c>
      <c r="C292" s="10">
        <v>0.375</v>
      </c>
      <c r="D292">
        <v>163500</v>
      </c>
      <c r="E292">
        <v>163500</v>
      </c>
      <c r="F292">
        <v>175</v>
      </c>
      <c r="G292" s="18">
        <v>0.97222222222222221</v>
      </c>
      <c r="H292" s="18">
        <v>0.97222222222222221</v>
      </c>
    </row>
    <row r="293" spans="1:8">
      <c r="A293">
        <v>1808</v>
      </c>
      <c r="B293" t="s">
        <v>425</v>
      </c>
      <c r="C293" s="10">
        <v>0.375</v>
      </c>
      <c r="D293">
        <v>436200</v>
      </c>
      <c r="E293">
        <v>436200</v>
      </c>
      <c r="F293">
        <v>2810</v>
      </c>
      <c r="G293" s="18">
        <v>0.98943661971830987</v>
      </c>
      <c r="H293" s="18">
        <v>1.0003559985760058</v>
      </c>
    </row>
    <row r="294" spans="1:8">
      <c r="A294">
        <v>4208</v>
      </c>
      <c r="B294" t="s">
        <v>426</v>
      </c>
      <c r="C294" s="10">
        <v>0.375</v>
      </c>
      <c r="D294">
        <v>759800</v>
      </c>
      <c r="E294">
        <v>759800</v>
      </c>
      <c r="F294">
        <v>3178</v>
      </c>
      <c r="G294" s="18">
        <v>0.97995683009559054</v>
      </c>
      <c r="H294" s="18">
        <v>0.96683906297535749</v>
      </c>
    </row>
    <row r="295" spans="1:8">
      <c r="A295" t="s">
        <v>127</v>
      </c>
      <c r="B295" t="s">
        <v>427</v>
      </c>
      <c r="C295" s="10">
        <v>0.375</v>
      </c>
      <c r="D295">
        <v>5167400</v>
      </c>
      <c r="E295">
        <v>5167400</v>
      </c>
      <c r="F295">
        <v>966</v>
      </c>
      <c r="G295" s="18">
        <v>0.96599999999999997</v>
      </c>
      <c r="H295" s="18">
        <v>0.9452054794520548</v>
      </c>
    </row>
    <row r="296" spans="1:8">
      <c r="A296">
        <v>6965</v>
      </c>
      <c r="B296" t="s">
        <v>428</v>
      </c>
      <c r="C296" s="10">
        <v>0.375</v>
      </c>
      <c r="D296">
        <v>3924200</v>
      </c>
      <c r="E296">
        <v>3924200</v>
      </c>
      <c r="F296">
        <v>2256.5</v>
      </c>
      <c r="G296" s="18">
        <v>0.96226012793176974</v>
      </c>
      <c r="H296" s="18">
        <v>0.94099249374478733</v>
      </c>
    </row>
    <row r="297" spans="1:8">
      <c r="A297">
        <v>6331</v>
      </c>
      <c r="B297" t="s">
        <v>429</v>
      </c>
      <c r="C297" s="10">
        <v>0.375</v>
      </c>
      <c r="D297">
        <v>252600</v>
      </c>
      <c r="E297">
        <v>252600</v>
      </c>
      <c r="F297">
        <v>3110</v>
      </c>
      <c r="G297" s="18">
        <v>0.94961832061068707</v>
      </c>
      <c r="H297" s="18">
        <v>0.92974588938714497</v>
      </c>
    </row>
    <row r="298" spans="1:8">
      <c r="A298">
        <v>7741</v>
      </c>
      <c r="B298" t="s">
        <v>430</v>
      </c>
      <c r="C298" s="10">
        <v>0.375</v>
      </c>
      <c r="D298">
        <v>602200</v>
      </c>
      <c r="E298">
        <v>602200</v>
      </c>
      <c r="F298">
        <v>24825</v>
      </c>
      <c r="G298" s="18">
        <v>0.99698795180722888</v>
      </c>
      <c r="H298" s="18">
        <v>0.99101796407185627</v>
      </c>
    </row>
    <row r="299" spans="1:8">
      <c r="A299">
        <v>1321</v>
      </c>
      <c r="B299" t="s">
        <v>431</v>
      </c>
      <c r="C299" s="10">
        <v>0.375</v>
      </c>
      <c r="D299">
        <v>714661</v>
      </c>
      <c r="E299">
        <v>714661</v>
      </c>
      <c r="F299">
        <v>65540</v>
      </c>
      <c r="G299" s="18">
        <v>0.96439081812831073</v>
      </c>
      <c r="H299" s="18">
        <v>0.94669940777119743</v>
      </c>
    </row>
    <row r="300" spans="1:8">
      <c r="A300">
        <v>1944</v>
      </c>
      <c r="B300" t="s">
        <v>432</v>
      </c>
      <c r="C300" s="10">
        <v>0.375</v>
      </c>
      <c r="D300">
        <v>462900</v>
      </c>
      <c r="E300">
        <v>462900</v>
      </c>
      <c r="F300">
        <v>7034</v>
      </c>
      <c r="G300" s="18">
        <v>0.97101049144119267</v>
      </c>
      <c r="H300" s="18">
        <v>0.95169801109457453</v>
      </c>
    </row>
    <row r="301" spans="1:8">
      <c r="A301">
        <v>7532</v>
      </c>
      <c r="B301" t="s">
        <v>433</v>
      </c>
      <c r="C301" s="10">
        <v>0.375</v>
      </c>
      <c r="D301">
        <v>7999100</v>
      </c>
      <c r="E301">
        <v>7999100</v>
      </c>
      <c r="F301">
        <v>891.1</v>
      </c>
      <c r="G301" s="18">
        <v>1.0080316742081448</v>
      </c>
      <c r="H301" s="18">
        <v>1.0254315304948216</v>
      </c>
    </row>
    <row r="302" spans="1:8">
      <c r="C302" s="10"/>
    </row>
    <row r="303" spans="1:8">
      <c r="C303" s="10"/>
    </row>
    <row r="304" spans="1:8">
      <c r="C304" s="10"/>
    </row>
    <row r="305" spans="3:3">
      <c r="C305" s="10"/>
    </row>
    <row r="306" spans="3:3">
      <c r="C306" s="10"/>
    </row>
    <row r="307" spans="3:3">
      <c r="C307" s="10"/>
    </row>
    <row r="308" spans="3:3">
      <c r="C308" s="10"/>
    </row>
    <row r="309" spans="3:3">
      <c r="C309" s="10"/>
    </row>
    <row r="310" spans="3:3">
      <c r="C310" s="10"/>
    </row>
    <row r="311" spans="3:3">
      <c r="C311" s="10"/>
    </row>
    <row r="312" spans="3:3">
      <c r="C312" s="10"/>
    </row>
    <row r="313" spans="3:3">
      <c r="C313" s="10"/>
    </row>
    <row r="314" spans="3:3">
      <c r="C314" s="10"/>
    </row>
    <row r="315" spans="3:3">
      <c r="C315" s="10"/>
    </row>
    <row r="316" spans="3:3">
      <c r="C316" s="10"/>
    </row>
    <row r="317" spans="3:3">
      <c r="C317" s="10"/>
    </row>
    <row r="318" spans="3:3">
      <c r="C318" s="10"/>
    </row>
    <row r="319" spans="3:3">
      <c r="C319" s="10"/>
    </row>
    <row r="320" spans="3:3">
      <c r="C320" s="10"/>
    </row>
    <row r="321" spans="3:3">
      <c r="C321" s="10"/>
    </row>
    <row r="322" spans="3:3">
      <c r="C322" s="10"/>
    </row>
    <row r="323" spans="3:3">
      <c r="C323" s="10"/>
    </row>
    <row r="324" spans="3:3">
      <c r="C324" s="10"/>
    </row>
    <row r="325" spans="3:3">
      <c r="C325" s="10"/>
    </row>
    <row r="326" spans="3:3">
      <c r="C326" s="10"/>
    </row>
    <row r="327" spans="3:3">
      <c r="C327" s="10"/>
    </row>
    <row r="328" spans="3:3">
      <c r="C328" s="10"/>
    </row>
    <row r="329" spans="3:3">
      <c r="C329" s="10"/>
    </row>
    <row r="330" spans="3:3">
      <c r="C330" s="10"/>
    </row>
    <row r="331" spans="3:3">
      <c r="C331" s="10"/>
    </row>
    <row r="332" spans="3:3">
      <c r="C332" s="10"/>
    </row>
    <row r="333" spans="3:3">
      <c r="C333" s="10"/>
    </row>
    <row r="334" spans="3:3">
      <c r="C334" s="10"/>
    </row>
    <row r="335" spans="3:3">
      <c r="C335" s="10"/>
    </row>
    <row r="336" spans="3:3">
      <c r="C336" s="10"/>
    </row>
    <row r="337" spans="3:3">
      <c r="C337" s="10"/>
    </row>
    <row r="338" spans="3:3">
      <c r="C338" s="10"/>
    </row>
    <row r="339" spans="3:3">
      <c r="C339" s="10"/>
    </row>
    <row r="340" spans="3:3">
      <c r="C340" s="10"/>
    </row>
    <row r="341" spans="3:3">
      <c r="C341" s="10"/>
    </row>
    <row r="342" spans="3:3">
      <c r="C342" s="10"/>
    </row>
    <row r="343" spans="3:3">
      <c r="C343" s="10"/>
    </row>
    <row r="344" spans="3:3">
      <c r="C344" s="10"/>
    </row>
    <row r="345" spans="3:3">
      <c r="C345" s="10"/>
    </row>
    <row r="346" spans="3:3">
      <c r="C346" s="10"/>
    </row>
    <row r="347" spans="3:3">
      <c r="C347" s="10"/>
    </row>
    <row r="348" spans="3:3">
      <c r="C348" s="10"/>
    </row>
    <row r="349" spans="3:3">
      <c r="C349" s="10"/>
    </row>
    <row r="350" spans="3:3">
      <c r="C350" s="10"/>
    </row>
    <row r="351" spans="3:3">
      <c r="C351" s="10"/>
    </row>
    <row r="352" spans="3:3">
      <c r="C352" s="10"/>
    </row>
    <row r="353" spans="3:3">
      <c r="C353" s="10"/>
    </row>
    <row r="354" spans="3:3">
      <c r="C354" s="10"/>
    </row>
    <row r="355" spans="3:3">
      <c r="C355" s="10"/>
    </row>
    <row r="356" spans="3:3">
      <c r="C356" s="10"/>
    </row>
    <row r="357" spans="3:3">
      <c r="C357" s="10"/>
    </row>
    <row r="358" spans="3:3">
      <c r="C358" s="10"/>
    </row>
    <row r="359" spans="3:3">
      <c r="C359" s="10"/>
    </row>
    <row r="360" spans="3:3">
      <c r="C360" s="10"/>
    </row>
    <row r="361" spans="3:3">
      <c r="C361" s="10"/>
    </row>
    <row r="362" spans="3:3">
      <c r="C362" s="10"/>
    </row>
    <row r="363" spans="3:3">
      <c r="C363" s="10"/>
    </row>
    <row r="364" spans="3:3">
      <c r="C364" s="10"/>
    </row>
    <row r="365" spans="3:3">
      <c r="C365" s="10"/>
    </row>
    <row r="366" spans="3:3">
      <c r="C366" s="10"/>
    </row>
    <row r="367" spans="3:3">
      <c r="C367" s="10"/>
    </row>
    <row r="368" spans="3:3">
      <c r="C368" s="10"/>
    </row>
    <row r="369" spans="3:3">
      <c r="C369" s="10"/>
    </row>
    <row r="370" spans="3:3">
      <c r="C370" s="10"/>
    </row>
    <row r="371" spans="3:3">
      <c r="C371" s="10"/>
    </row>
    <row r="372" spans="3:3">
      <c r="C372" s="10"/>
    </row>
    <row r="373" spans="3:3">
      <c r="C373" s="10"/>
    </row>
    <row r="374" spans="3:3">
      <c r="C374" s="10"/>
    </row>
    <row r="375" spans="3:3">
      <c r="C375" s="10"/>
    </row>
    <row r="376" spans="3:3">
      <c r="C376" s="10"/>
    </row>
    <row r="377" spans="3:3">
      <c r="C377" s="10"/>
    </row>
    <row r="378" spans="3:3">
      <c r="C378" s="10"/>
    </row>
    <row r="379" spans="3:3">
      <c r="C379" s="10"/>
    </row>
    <row r="380" spans="3:3">
      <c r="C380" s="10"/>
    </row>
    <row r="381" spans="3:3">
      <c r="C381" s="10"/>
    </row>
    <row r="382" spans="3:3">
      <c r="C382" s="10"/>
    </row>
    <row r="383" spans="3:3">
      <c r="C383" s="10"/>
    </row>
    <row r="384" spans="3:3">
      <c r="C384" s="10"/>
    </row>
    <row r="385" spans="3:3">
      <c r="C385" s="10"/>
    </row>
    <row r="386" spans="3:3">
      <c r="C386" s="10"/>
    </row>
    <row r="387" spans="3:3">
      <c r="C387" s="10"/>
    </row>
    <row r="388" spans="3:3">
      <c r="C388" s="10"/>
    </row>
    <row r="389" spans="3:3">
      <c r="C389" s="10"/>
    </row>
    <row r="390" spans="3:3">
      <c r="C390" s="10"/>
    </row>
    <row r="391" spans="3:3">
      <c r="C391" s="10"/>
    </row>
    <row r="392" spans="3:3">
      <c r="C392" s="10"/>
    </row>
    <row r="393" spans="3:3">
      <c r="C393" s="10"/>
    </row>
    <row r="394" spans="3:3">
      <c r="C394" s="10"/>
    </row>
    <row r="395" spans="3:3">
      <c r="C395" s="10"/>
    </row>
    <row r="396" spans="3:3">
      <c r="C396" s="10"/>
    </row>
    <row r="397" spans="3:3">
      <c r="C397" s="10"/>
    </row>
    <row r="398" spans="3:3">
      <c r="C398" s="10"/>
    </row>
    <row r="399" spans="3:3">
      <c r="C399" s="10"/>
    </row>
    <row r="400" spans="3:3">
      <c r="C400" s="10"/>
    </row>
    <row r="401" spans="1:3">
      <c r="C401" s="10"/>
    </row>
    <row r="403" spans="1:3">
      <c r="A403" s="9" t="s">
        <v>36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07"/>
  <sheetViews>
    <sheetView zoomScaleNormal="100" workbookViewId="0">
      <pane ySplit="1" topLeftCell="A2" activePane="bottomLeft" state="frozen"/>
      <selection pane="bottomLeft" activeCell="J10" sqref="J10"/>
    </sheetView>
  </sheetViews>
  <sheetFormatPr defaultColWidth="8.6640625" defaultRowHeight="14.4"/>
  <cols>
    <col min="1" max="1" width="12" customWidth="1"/>
    <col min="2" max="2" width="10" customWidth="1"/>
    <col min="3" max="3" width="12" customWidth="1"/>
    <col min="4" max="4" width="20" customWidth="1"/>
    <col min="5" max="6" width="14" customWidth="1"/>
  </cols>
  <sheetData>
    <row r="1" spans="1:6">
      <c r="A1" s="5" t="s">
        <v>37</v>
      </c>
      <c r="B1" s="5" t="s">
        <v>28</v>
      </c>
      <c r="C1" s="5" t="s">
        <v>29</v>
      </c>
      <c r="D1" s="5" t="s">
        <v>23</v>
      </c>
      <c r="E1" s="5" t="s">
        <v>30</v>
      </c>
      <c r="F1" s="5" t="s">
        <v>31</v>
      </c>
    </row>
    <row r="3" spans="1:6">
      <c r="A3" s="9"/>
    </row>
    <row r="4" spans="1:6">
      <c r="A4" s="22">
        <v>46220</v>
      </c>
      <c r="B4" s="10"/>
    </row>
    <row r="5" spans="1:6">
      <c r="A5" s="22">
        <v>46220</v>
      </c>
      <c r="B5" s="10" t="s">
        <v>34</v>
      </c>
    </row>
    <row r="6" spans="1:6">
      <c r="A6" s="22">
        <v>46220</v>
      </c>
      <c r="B6" s="10">
        <v>0.375</v>
      </c>
      <c r="C6">
        <v>5706</v>
      </c>
      <c r="D6" t="s">
        <v>134</v>
      </c>
      <c r="E6">
        <v>1299300</v>
      </c>
      <c r="F6">
        <v>1299300</v>
      </c>
    </row>
    <row r="7" spans="1:6">
      <c r="A7" s="22">
        <v>46220</v>
      </c>
      <c r="B7" s="10">
        <v>0.375</v>
      </c>
      <c r="C7">
        <v>5423</v>
      </c>
      <c r="D7" t="s">
        <v>135</v>
      </c>
      <c r="E7">
        <v>1089300</v>
      </c>
      <c r="F7">
        <v>1089300</v>
      </c>
    </row>
    <row r="8" spans="1:6">
      <c r="A8" s="22">
        <v>46220</v>
      </c>
      <c r="B8" s="10">
        <v>0.375</v>
      </c>
      <c r="C8">
        <v>5713</v>
      </c>
      <c r="D8" t="s">
        <v>136</v>
      </c>
      <c r="E8">
        <v>3129100</v>
      </c>
      <c r="F8">
        <v>3129100</v>
      </c>
    </row>
    <row r="9" spans="1:6">
      <c r="A9" s="22">
        <v>46220</v>
      </c>
      <c r="B9" s="10">
        <v>0.375</v>
      </c>
      <c r="C9">
        <v>5711</v>
      </c>
      <c r="D9" t="s">
        <v>137</v>
      </c>
      <c r="E9">
        <v>1269700</v>
      </c>
      <c r="F9">
        <v>1269700</v>
      </c>
    </row>
    <row r="10" spans="1:6">
      <c r="A10" s="22">
        <v>46220</v>
      </c>
      <c r="B10" s="10">
        <v>0.375</v>
      </c>
      <c r="C10">
        <v>5714</v>
      </c>
      <c r="D10" t="s">
        <v>138</v>
      </c>
      <c r="E10">
        <v>382800</v>
      </c>
      <c r="F10">
        <v>382800</v>
      </c>
    </row>
    <row r="11" spans="1:6">
      <c r="A11" s="22">
        <v>46220</v>
      </c>
      <c r="B11" s="10">
        <v>0.375</v>
      </c>
      <c r="C11">
        <v>6701</v>
      </c>
      <c r="D11" t="s">
        <v>139</v>
      </c>
      <c r="E11">
        <v>6750500</v>
      </c>
      <c r="F11">
        <v>6750500</v>
      </c>
    </row>
    <row r="12" spans="1:6">
      <c r="A12" s="22">
        <v>46220</v>
      </c>
      <c r="B12" s="10">
        <v>0.375</v>
      </c>
      <c r="C12">
        <v>1605</v>
      </c>
      <c r="D12" t="s">
        <v>140</v>
      </c>
      <c r="E12">
        <v>2672800</v>
      </c>
      <c r="F12">
        <v>2672800</v>
      </c>
    </row>
    <row r="13" spans="1:6">
      <c r="A13" s="22">
        <v>46220</v>
      </c>
      <c r="B13" s="10">
        <v>0.375</v>
      </c>
      <c r="C13">
        <v>5703</v>
      </c>
      <c r="D13" t="s">
        <v>141</v>
      </c>
      <c r="E13">
        <v>294900</v>
      </c>
      <c r="F13">
        <v>294900</v>
      </c>
    </row>
    <row r="14" spans="1:6">
      <c r="A14" s="22">
        <v>46220</v>
      </c>
      <c r="B14" s="10">
        <v>0.375</v>
      </c>
      <c r="C14">
        <v>8002</v>
      </c>
      <c r="D14" t="s">
        <v>142</v>
      </c>
      <c r="E14">
        <v>3105100</v>
      </c>
      <c r="F14">
        <v>3105100</v>
      </c>
    </row>
    <row r="15" spans="1:6">
      <c r="A15" s="22">
        <v>46220</v>
      </c>
      <c r="B15" s="10">
        <v>0.375</v>
      </c>
      <c r="C15">
        <v>5021</v>
      </c>
      <c r="D15" t="s">
        <v>143</v>
      </c>
      <c r="E15">
        <v>573800</v>
      </c>
      <c r="F15">
        <v>573800</v>
      </c>
    </row>
    <row r="16" spans="1:6">
      <c r="A16" s="22">
        <v>46220</v>
      </c>
      <c r="B16" s="10">
        <v>0.375</v>
      </c>
      <c r="C16">
        <v>8058</v>
      </c>
      <c r="D16" t="s">
        <v>144</v>
      </c>
      <c r="E16">
        <v>5641700</v>
      </c>
      <c r="F16">
        <v>5641700</v>
      </c>
    </row>
    <row r="17" spans="1:6">
      <c r="A17" s="22">
        <v>46220</v>
      </c>
      <c r="B17" s="10">
        <v>0.375</v>
      </c>
      <c r="C17">
        <v>5333</v>
      </c>
      <c r="D17" t="s">
        <v>145</v>
      </c>
      <c r="E17">
        <v>1678300</v>
      </c>
      <c r="F17">
        <v>1678300</v>
      </c>
    </row>
    <row r="18" spans="1:6">
      <c r="A18" s="22">
        <v>46220</v>
      </c>
      <c r="B18" s="10">
        <v>0.375</v>
      </c>
      <c r="C18">
        <v>1662</v>
      </c>
      <c r="D18" t="s">
        <v>146</v>
      </c>
      <c r="E18">
        <v>885400</v>
      </c>
      <c r="F18">
        <v>885400</v>
      </c>
    </row>
    <row r="19" spans="1:6">
      <c r="A19" s="22">
        <v>46220</v>
      </c>
      <c r="B19" s="10">
        <v>0.375</v>
      </c>
      <c r="C19">
        <v>8411</v>
      </c>
      <c r="D19" t="s">
        <v>147</v>
      </c>
      <c r="E19">
        <v>11182900</v>
      </c>
      <c r="F19">
        <v>11182900</v>
      </c>
    </row>
    <row r="20" spans="1:6">
      <c r="A20" s="22">
        <v>46220</v>
      </c>
      <c r="B20" s="10">
        <v>0.375</v>
      </c>
      <c r="C20">
        <v>5541</v>
      </c>
      <c r="D20" t="s">
        <v>148</v>
      </c>
      <c r="E20">
        <v>187000</v>
      </c>
      <c r="F20">
        <v>187000</v>
      </c>
    </row>
    <row r="21" spans="1:6">
      <c r="A21" s="22">
        <v>46220</v>
      </c>
      <c r="B21" s="10">
        <v>0.375</v>
      </c>
      <c r="C21">
        <v>5332</v>
      </c>
      <c r="D21" t="s">
        <v>149</v>
      </c>
      <c r="E21">
        <v>1082400</v>
      </c>
      <c r="F21">
        <v>1082400</v>
      </c>
    </row>
    <row r="22" spans="1:6">
      <c r="A22" s="22">
        <v>46220</v>
      </c>
      <c r="B22" s="10">
        <v>0.375</v>
      </c>
      <c r="C22">
        <v>8725</v>
      </c>
      <c r="D22" t="s">
        <v>150</v>
      </c>
      <c r="E22">
        <v>2904800</v>
      </c>
      <c r="F22">
        <v>2904800</v>
      </c>
    </row>
    <row r="23" spans="1:6">
      <c r="A23" s="22">
        <v>46220</v>
      </c>
      <c r="B23" s="10">
        <v>0.375</v>
      </c>
      <c r="C23">
        <v>8795</v>
      </c>
      <c r="D23" t="s">
        <v>151</v>
      </c>
      <c r="E23">
        <v>970100</v>
      </c>
      <c r="F23">
        <v>970100</v>
      </c>
    </row>
    <row r="24" spans="1:6">
      <c r="A24" s="22">
        <v>46220</v>
      </c>
      <c r="B24" s="10">
        <v>0.375</v>
      </c>
      <c r="C24">
        <v>5019</v>
      </c>
      <c r="D24" t="s">
        <v>152</v>
      </c>
      <c r="E24">
        <v>1594900</v>
      </c>
      <c r="F24">
        <v>1594900</v>
      </c>
    </row>
    <row r="25" spans="1:6">
      <c r="A25" s="22">
        <v>46220</v>
      </c>
      <c r="B25" s="10">
        <v>0.375</v>
      </c>
      <c r="C25">
        <v>8053</v>
      </c>
      <c r="D25" t="s">
        <v>153</v>
      </c>
      <c r="E25">
        <v>9546200</v>
      </c>
      <c r="F25">
        <v>9546200</v>
      </c>
    </row>
    <row r="26" spans="1:6">
      <c r="A26" s="22">
        <v>46220</v>
      </c>
      <c r="B26" s="10">
        <v>0.375</v>
      </c>
      <c r="C26">
        <v>8591</v>
      </c>
      <c r="D26" t="s">
        <v>154</v>
      </c>
      <c r="E26">
        <v>2914700</v>
      </c>
      <c r="F26">
        <v>2914700</v>
      </c>
    </row>
    <row r="27" spans="1:6">
      <c r="A27" s="22">
        <v>46220</v>
      </c>
      <c r="B27" s="10">
        <v>0.375</v>
      </c>
      <c r="C27">
        <v>3401</v>
      </c>
      <c r="D27" t="s">
        <v>155</v>
      </c>
      <c r="E27">
        <v>561800</v>
      </c>
      <c r="F27">
        <v>561800</v>
      </c>
    </row>
    <row r="28" spans="1:6">
      <c r="A28" s="22">
        <v>46220</v>
      </c>
      <c r="B28" s="10">
        <v>0.375</v>
      </c>
      <c r="C28">
        <v>3436</v>
      </c>
      <c r="D28" t="s">
        <v>156</v>
      </c>
      <c r="E28">
        <v>19818700</v>
      </c>
      <c r="F28">
        <v>19818700</v>
      </c>
    </row>
    <row r="29" spans="1:6">
      <c r="A29" s="22">
        <v>46220</v>
      </c>
      <c r="B29" s="10">
        <v>0.375</v>
      </c>
      <c r="C29">
        <v>5020</v>
      </c>
      <c r="D29" t="s">
        <v>157</v>
      </c>
      <c r="E29">
        <v>4834400</v>
      </c>
      <c r="F29">
        <v>4834400</v>
      </c>
    </row>
    <row r="30" spans="1:6">
      <c r="A30" s="22">
        <v>46220</v>
      </c>
      <c r="B30" s="10">
        <v>0.375</v>
      </c>
      <c r="C30">
        <v>6254</v>
      </c>
      <c r="D30" t="s">
        <v>158</v>
      </c>
      <c r="E30">
        <v>1115100</v>
      </c>
      <c r="F30">
        <v>1115100</v>
      </c>
    </row>
    <row r="31" spans="1:6">
      <c r="A31" s="22">
        <v>46220</v>
      </c>
      <c r="B31" s="10">
        <v>0.375</v>
      </c>
      <c r="C31">
        <v>8309</v>
      </c>
      <c r="D31" t="s">
        <v>159</v>
      </c>
      <c r="E31">
        <v>1769000</v>
      </c>
      <c r="F31">
        <v>1769000</v>
      </c>
    </row>
    <row r="32" spans="1:6">
      <c r="A32" s="22">
        <v>46220</v>
      </c>
      <c r="B32" s="10">
        <v>0.375</v>
      </c>
      <c r="C32">
        <v>3863</v>
      </c>
      <c r="D32" t="s">
        <v>160</v>
      </c>
      <c r="E32">
        <v>704700</v>
      </c>
      <c r="F32">
        <v>704700</v>
      </c>
    </row>
    <row r="33" spans="1:6">
      <c r="A33" s="22">
        <v>46220</v>
      </c>
      <c r="B33" s="10">
        <v>0.375</v>
      </c>
      <c r="C33">
        <v>8601</v>
      </c>
      <c r="D33" t="s">
        <v>161</v>
      </c>
      <c r="E33">
        <v>4037000</v>
      </c>
      <c r="F33">
        <v>4037000</v>
      </c>
    </row>
    <row r="34" spans="1:6">
      <c r="A34" s="22">
        <v>46220</v>
      </c>
      <c r="B34" s="10">
        <v>0.375</v>
      </c>
      <c r="C34">
        <v>5233</v>
      </c>
      <c r="D34" t="s">
        <v>162</v>
      </c>
      <c r="E34">
        <v>418500</v>
      </c>
      <c r="F34">
        <v>418500</v>
      </c>
    </row>
    <row r="35" spans="1:6">
      <c r="A35" s="22">
        <v>46220</v>
      </c>
      <c r="B35" s="10">
        <v>0.375</v>
      </c>
      <c r="C35">
        <v>8308</v>
      </c>
      <c r="D35" t="s">
        <v>163</v>
      </c>
      <c r="E35">
        <v>7304500</v>
      </c>
      <c r="F35">
        <v>7304500</v>
      </c>
    </row>
    <row r="36" spans="1:6">
      <c r="A36" s="22">
        <v>46220</v>
      </c>
      <c r="B36" s="10">
        <v>0.375</v>
      </c>
      <c r="C36">
        <v>5938</v>
      </c>
      <c r="D36" t="s">
        <v>164</v>
      </c>
      <c r="E36">
        <v>1133700</v>
      </c>
      <c r="F36">
        <v>1133700</v>
      </c>
    </row>
    <row r="37" spans="1:6">
      <c r="A37" s="22">
        <v>46220</v>
      </c>
      <c r="B37" s="10">
        <v>0.375</v>
      </c>
      <c r="C37">
        <v>8570</v>
      </c>
      <c r="D37" t="s">
        <v>165</v>
      </c>
      <c r="E37">
        <v>225100</v>
      </c>
      <c r="F37">
        <v>225100</v>
      </c>
    </row>
    <row r="38" spans="1:6">
      <c r="A38" s="22">
        <v>46220</v>
      </c>
      <c r="B38" s="10">
        <v>0.375</v>
      </c>
      <c r="C38">
        <v>5406</v>
      </c>
      <c r="D38" t="s">
        <v>166</v>
      </c>
      <c r="E38">
        <v>1429000</v>
      </c>
      <c r="F38">
        <v>1429000</v>
      </c>
    </row>
    <row r="39" spans="1:6">
      <c r="A39" s="22">
        <v>46220</v>
      </c>
      <c r="B39" s="10">
        <v>0.375</v>
      </c>
      <c r="C39">
        <v>8593</v>
      </c>
      <c r="D39" t="s">
        <v>167</v>
      </c>
      <c r="E39">
        <v>2881800</v>
      </c>
      <c r="F39">
        <v>2881800</v>
      </c>
    </row>
    <row r="40" spans="1:6">
      <c r="A40" s="22">
        <v>46220</v>
      </c>
      <c r="B40" s="10">
        <v>0.375</v>
      </c>
      <c r="C40">
        <v>8604</v>
      </c>
      <c r="D40" t="s">
        <v>168</v>
      </c>
      <c r="E40">
        <v>11174000</v>
      </c>
      <c r="F40">
        <v>11174000</v>
      </c>
    </row>
    <row r="41" spans="1:6">
      <c r="A41" s="22">
        <v>46220</v>
      </c>
      <c r="B41" s="10">
        <v>0.375</v>
      </c>
      <c r="C41">
        <v>3861</v>
      </c>
      <c r="D41" t="s">
        <v>169</v>
      </c>
      <c r="E41">
        <v>2396100</v>
      </c>
      <c r="F41">
        <v>2396100</v>
      </c>
    </row>
    <row r="42" spans="1:6">
      <c r="A42" s="22">
        <v>46220</v>
      </c>
      <c r="B42" s="10">
        <v>0.375</v>
      </c>
      <c r="C42">
        <v>5947</v>
      </c>
      <c r="D42" t="s">
        <v>170</v>
      </c>
      <c r="E42">
        <v>186700</v>
      </c>
      <c r="F42">
        <v>186700</v>
      </c>
    </row>
    <row r="43" spans="1:6">
      <c r="A43" s="22">
        <v>46220</v>
      </c>
      <c r="B43" s="10">
        <v>0.375</v>
      </c>
      <c r="C43">
        <v>8750</v>
      </c>
      <c r="D43" t="s">
        <v>171</v>
      </c>
      <c r="E43">
        <v>6459800</v>
      </c>
      <c r="F43">
        <v>6459800</v>
      </c>
    </row>
    <row r="44" spans="1:6">
      <c r="A44" s="22">
        <v>46220</v>
      </c>
      <c r="B44" s="10">
        <v>0.375</v>
      </c>
      <c r="C44">
        <v>3402</v>
      </c>
      <c r="D44" t="s">
        <v>172</v>
      </c>
      <c r="E44">
        <v>1989000</v>
      </c>
      <c r="F44">
        <v>1989000</v>
      </c>
    </row>
    <row r="45" spans="1:6">
      <c r="A45" s="22">
        <v>46220</v>
      </c>
      <c r="B45" s="10">
        <v>0.375</v>
      </c>
      <c r="C45">
        <v>8306</v>
      </c>
      <c r="D45" t="s">
        <v>173</v>
      </c>
      <c r="E45">
        <v>48526000</v>
      </c>
      <c r="F45">
        <v>48526000</v>
      </c>
    </row>
    <row r="46" spans="1:6">
      <c r="A46" s="22">
        <v>46220</v>
      </c>
      <c r="B46" s="10">
        <v>0.375</v>
      </c>
      <c r="C46">
        <v>5401</v>
      </c>
      <c r="D46" t="s">
        <v>174</v>
      </c>
      <c r="E46">
        <v>30420200</v>
      </c>
      <c r="F46">
        <v>30420200</v>
      </c>
    </row>
    <row r="47" spans="1:6">
      <c r="A47" s="22">
        <v>46220</v>
      </c>
      <c r="B47" s="10">
        <v>0.375</v>
      </c>
      <c r="C47">
        <v>8572</v>
      </c>
      <c r="D47" t="s">
        <v>175</v>
      </c>
      <c r="E47">
        <v>981600</v>
      </c>
      <c r="F47">
        <v>981600</v>
      </c>
    </row>
    <row r="48" spans="1:6">
      <c r="A48" s="22">
        <v>46220</v>
      </c>
      <c r="B48" s="10">
        <v>0.375</v>
      </c>
      <c r="C48">
        <v>3941</v>
      </c>
      <c r="D48" t="s">
        <v>176</v>
      </c>
      <c r="E48">
        <v>668800</v>
      </c>
      <c r="F48">
        <v>668800</v>
      </c>
    </row>
    <row r="49" spans="1:6">
      <c r="A49" s="22">
        <v>46220</v>
      </c>
      <c r="B49" s="10">
        <v>0.375</v>
      </c>
      <c r="C49">
        <v>5929</v>
      </c>
      <c r="D49" t="s">
        <v>177</v>
      </c>
      <c r="E49">
        <v>461700</v>
      </c>
      <c r="F49">
        <v>461700</v>
      </c>
    </row>
    <row r="50" spans="1:6">
      <c r="A50" s="22">
        <v>46220</v>
      </c>
      <c r="B50" s="10">
        <v>0.375</v>
      </c>
      <c r="C50">
        <v>8316</v>
      </c>
      <c r="D50" t="s">
        <v>178</v>
      </c>
      <c r="E50">
        <v>13773100</v>
      </c>
      <c r="F50">
        <v>13773100</v>
      </c>
    </row>
    <row r="51" spans="1:6">
      <c r="A51" s="22">
        <v>46220</v>
      </c>
      <c r="B51" s="10">
        <v>0.375</v>
      </c>
      <c r="C51">
        <v>5449</v>
      </c>
      <c r="D51" t="s">
        <v>179</v>
      </c>
      <c r="E51">
        <v>8900</v>
      </c>
      <c r="F51">
        <v>8900</v>
      </c>
    </row>
    <row r="52" spans="1:6">
      <c r="A52" s="22">
        <v>46220</v>
      </c>
      <c r="B52" s="10">
        <v>0.375</v>
      </c>
      <c r="C52">
        <v>8766</v>
      </c>
      <c r="D52" t="s">
        <v>180</v>
      </c>
      <c r="E52">
        <v>3171100</v>
      </c>
      <c r="F52">
        <v>3171100</v>
      </c>
    </row>
    <row r="53" spans="1:6">
      <c r="A53" s="22">
        <v>46220</v>
      </c>
      <c r="B53" s="10">
        <v>0.375</v>
      </c>
      <c r="C53">
        <v>5201</v>
      </c>
      <c r="D53" t="s">
        <v>181</v>
      </c>
      <c r="E53">
        <v>964000</v>
      </c>
      <c r="F53">
        <v>964000</v>
      </c>
    </row>
    <row r="54" spans="1:6">
      <c r="A54" s="22">
        <v>46220</v>
      </c>
      <c r="B54" s="10">
        <v>0.375</v>
      </c>
      <c r="C54">
        <v>8630</v>
      </c>
      <c r="D54" t="s">
        <v>182</v>
      </c>
      <c r="E54">
        <v>1986900</v>
      </c>
      <c r="F54">
        <v>1986900</v>
      </c>
    </row>
    <row r="55" spans="1:6">
      <c r="A55" s="22">
        <v>46220</v>
      </c>
      <c r="B55" s="10">
        <v>0.375</v>
      </c>
      <c r="C55">
        <v>5901</v>
      </c>
      <c r="D55" t="s">
        <v>183</v>
      </c>
      <c r="E55">
        <v>179700</v>
      </c>
      <c r="F55">
        <v>179700</v>
      </c>
    </row>
    <row r="56" spans="1:6">
      <c r="A56" s="22">
        <v>46220</v>
      </c>
      <c r="B56" s="10">
        <v>0.375</v>
      </c>
      <c r="C56">
        <v>9412</v>
      </c>
      <c r="D56" t="s">
        <v>184</v>
      </c>
      <c r="E56">
        <v>1888900</v>
      </c>
      <c r="F56">
        <v>1888900</v>
      </c>
    </row>
    <row r="57" spans="1:6">
      <c r="A57" s="22">
        <v>46220</v>
      </c>
      <c r="B57" s="10">
        <v>0.375</v>
      </c>
      <c r="C57">
        <v>6203</v>
      </c>
      <c r="D57" t="s">
        <v>185</v>
      </c>
      <c r="E57">
        <v>473000</v>
      </c>
      <c r="F57">
        <v>473000</v>
      </c>
    </row>
    <row r="58" spans="1:6">
      <c r="A58" s="22">
        <v>46220</v>
      </c>
      <c r="B58" s="10">
        <v>0.375</v>
      </c>
      <c r="C58">
        <v>4676</v>
      </c>
      <c r="D58" t="s">
        <v>186</v>
      </c>
      <c r="E58">
        <v>480500</v>
      </c>
      <c r="F58">
        <v>480500</v>
      </c>
    </row>
    <row r="59" spans="1:6">
      <c r="A59" s="22">
        <v>46220</v>
      </c>
      <c r="B59" s="10">
        <v>0.375</v>
      </c>
      <c r="C59">
        <v>1961</v>
      </c>
      <c r="D59" t="s">
        <v>187</v>
      </c>
      <c r="E59">
        <v>544000</v>
      </c>
      <c r="F59">
        <v>544000</v>
      </c>
    </row>
    <row r="60" spans="1:6">
      <c r="A60" s="22">
        <v>46220</v>
      </c>
      <c r="B60" s="10">
        <v>0.375</v>
      </c>
      <c r="C60">
        <v>3107</v>
      </c>
      <c r="D60" t="s">
        <v>188</v>
      </c>
      <c r="E60">
        <v>135700</v>
      </c>
      <c r="F60">
        <v>135700</v>
      </c>
    </row>
    <row r="61" spans="1:6">
      <c r="A61" s="22">
        <v>46220</v>
      </c>
      <c r="B61" s="10">
        <v>0.375</v>
      </c>
      <c r="C61">
        <v>4045</v>
      </c>
      <c r="D61" t="s">
        <v>189</v>
      </c>
      <c r="E61">
        <v>150800</v>
      </c>
      <c r="F61">
        <v>150800</v>
      </c>
    </row>
    <row r="62" spans="1:6">
      <c r="A62" s="22">
        <v>46220</v>
      </c>
      <c r="B62" s="10">
        <v>0.375</v>
      </c>
      <c r="C62">
        <v>5857</v>
      </c>
      <c r="D62" t="s">
        <v>190</v>
      </c>
      <c r="E62">
        <v>763900</v>
      </c>
      <c r="F62">
        <v>763900</v>
      </c>
    </row>
    <row r="63" spans="1:6">
      <c r="A63" s="22">
        <v>46220</v>
      </c>
      <c r="B63" s="10">
        <v>0.375</v>
      </c>
      <c r="C63">
        <v>8281</v>
      </c>
      <c r="D63" t="s">
        <v>191</v>
      </c>
      <c r="E63">
        <v>95600</v>
      </c>
      <c r="F63">
        <v>95600</v>
      </c>
    </row>
    <row r="64" spans="1:6">
      <c r="A64" s="22">
        <v>46220</v>
      </c>
      <c r="B64" s="10">
        <v>0.375</v>
      </c>
      <c r="C64">
        <v>4540</v>
      </c>
      <c r="D64" t="s">
        <v>192</v>
      </c>
      <c r="E64">
        <v>187700</v>
      </c>
      <c r="F64">
        <v>187700</v>
      </c>
    </row>
    <row r="65" spans="1:6">
      <c r="A65" s="22">
        <v>46220</v>
      </c>
      <c r="B65" s="10">
        <v>0.375</v>
      </c>
      <c r="C65">
        <v>9984</v>
      </c>
      <c r="D65" t="s">
        <v>193</v>
      </c>
      <c r="E65">
        <v>56210000</v>
      </c>
      <c r="F65">
        <v>56210000</v>
      </c>
    </row>
    <row r="66" spans="1:6">
      <c r="A66" s="22">
        <v>46220</v>
      </c>
      <c r="B66" s="10">
        <v>0.375</v>
      </c>
      <c r="C66">
        <v>4063</v>
      </c>
      <c r="D66" t="s">
        <v>194</v>
      </c>
      <c r="E66">
        <v>4977300</v>
      </c>
      <c r="F66">
        <v>4977300</v>
      </c>
    </row>
    <row r="67" spans="1:6">
      <c r="A67" s="22">
        <v>46220</v>
      </c>
      <c r="B67" s="10">
        <v>0.375</v>
      </c>
      <c r="C67">
        <v>4536</v>
      </c>
      <c r="D67" t="s">
        <v>195</v>
      </c>
      <c r="E67">
        <v>761600</v>
      </c>
      <c r="F67">
        <v>761600</v>
      </c>
    </row>
    <row r="68" spans="1:6">
      <c r="A68" s="22">
        <v>46220</v>
      </c>
      <c r="B68" s="10">
        <v>0.375</v>
      </c>
      <c r="C68">
        <v>6503</v>
      </c>
      <c r="D68" t="s">
        <v>196</v>
      </c>
      <c r="E68">
        <v>5124500</v>
      </c>
      <c r="F68">
        <v>5124500</v>
      </c>
    </row>
    <row r="69" spans="1:6">
      <c r="A69" s="22">
        <v>46220</v>
      </c>
      <c r="B69" s="10">
        <v>0.375</v>
      </c>
      <c r="C69">
        <v>4980</v>
      </c>
      <c r="D69" t="s">
        <v>197</v>
      </c>
      <c r="E69">
        <v>2044500</v>
      </c>
      <c r="F69">
        <v>2044500</v>
      </c>
    </row>
    <row r="70" spans="1:6">
      <c r="A70" s="22">
        <v>46220</v>
      </c>
      <c r="B70" s="10">
        <v>0.375</v>
      </c>
      <c r="C70">
        <v>9424</v>
      </c>
      <c r="D70" t="s">
        <v>198</v>
      </c>
      <c r="E70">
        <v>1109400</v>
      </c>
      <c r="F70">
        <v>1109400</v>
      </c>
    </row>
    <row r="71" spans="1:6">
      <c r="A71" s="22">
        <v>46220</v>
      </c>
      <c r="B71" s="10">
        <v>0.375</v>
      </c>
      <c r="C71">
        <v>3854</v>
      </c>
      <c r="D71" t="s">
        <v>199</v>
      </c>
      <c r="E71">
        <v>58600</v>
      </c>
      <c r="F71">
        <v>58600</v>
      </c>
    </row>
    <row r="72" spans="1:6">
      <c r="A72" s="22">
        <v>46220</v>
      </c>
      <c r="B72" s="10">
        <v>0.375</v>
      </c>
      <c r="C72">
        <v>6027</v>
      </c>
      <c r="D72" t="s">
        <v>200</v>
      </c>
      <c r="E72">
        <v>87300</v>
      </c>
      <c r="F72">
        <v>87300</v>
      </c>
    </row>
    <row r="73" spans="1:6">
      <c r="A73" s="22">
        <v>46220</v>
      </c>
      <c r="B73" s="10">
        <v>0.375</v>
      </c>
      <c r="C73">
        <v>7806</v>
      </c>
      <c r="D73" t="s">
        <v>201</v>
      </c>
      <c r="E73">
        <v>148900</v>
      </c>
      <c r="F73">
        <v>148900</v>
      </c>
    </row>
    <row r="74" spans="1:6">
      <c r="A74" s="22">
        <v>46220</v>
      </c>
      <c r="B74" s="10">
        <v>0.375</v>
      </c>
      <c r="C74">
        <v>9202</v>
      </c>
      <c r="D74" t="s">
        <v>202</v>
      </c>
      <c r="E74">
        <v>1477000</v>
      </c>
      <c r="F74">
        <v>1477000</v>
      </c>
    </row>
    <row r="75" spans="1:6">
      <c r="A75" s="22">
        <v>46220</v>
      </c>
      <c r="B75" s="10">
        <v>0.375</v>
      </c>
      <c r="C75">
        <v>7846</v>
      </c>
      <c r="D75" t="s">
        <v>203</v>
      </c>
      <c r="E75">
        <v>108200</v>
      </c>
      <c r="F75">
        <v>108200</v>
      </c>
    </row>
    <row r="76" spans="1:6">
      <c r="A76" s="22">
        <v>46220</v>
      </c>
      <c r="B76" s="10">
        <v>0.375</v>
      </c>
      <c r="C76">
        <v>2802</v>
      </c>
      <c r="D76" t="s">
        <v>204</v>
      </c>
      <c r="E76">
        <v>3563100</v>
      </c>
      <c r="F76">
        <v>3563100</v>
      </c>
    </row>
    <row r="77" spans="1:6">
      <c r="A77" s="22">
        <v>46220</v>
      </c>
      <c r="B77" s="10">
        <v>0.375</v>
      </c>
      <c r="C77">
        <v>7203</v>
      </c>
      <c r="D77" t="s">
        <v>205</v>
      </c>
      <c r="E77">
        <v>25860000</v>
      </c>
      <c r="F77">
        <v>25860000</v>
      </c>
    </row>
    <row r="78" spans="1:6">
      <c r="A78" s="22">
        <v>46220</v>
      </c>
      <c r="B78" s="10">
        <v>0.375</v>
      </c>
      <c r="C78">
        <v>6954</v>
      </c>
      <c r="D78" t="s">
        <v>206</v>
      </c>
      <c r="E78">
        <v>5731400</v>
      </c>
      <c r="F78">
        <v>5731400</v>
      </c>
    </row>
    <row r="79" spans="1:6">
      <c r="A79" s="22">
        <v>46220</v>
      </c>
      <c r="B79" s="10">
        <v>0.375</v>
      </c>
      <c r="C79">
        <v>6479</v>
      </c>
      <c r="D79" t="s">
        <v>207</v>
      </c>
      <c r="E79">
        <v>3333000</v>
      </c>
      <c r="F79">
        <v>3333000</v>
      </c>
    </row>
    <row r="80" spans="1:6">
      <c r="A80" s="22">
        <v>46220</v>
      </c>
      <c r="B80" s="10">
        <v>0.375</v>
      </c>
      <c r="C80">
        <v>1833</v>
      </c>
      <c r="D80" t="s">
        <v>208</v>
      </c>
      <c r="E80">
        <v>106200</v>
      </c>
      <c r="F80">
        <v>106200</v>
      </c>
    </row>
    <row r="81" spans="1:6">
      <c r="A81" s="22">
        <v>46220</v>
      </c>
      <c r="B81" s="10">
        <v>0.375</v>
      </c>
      <c r="C81">
        <v>6841</v>
      </c>
      <c r="D81" t="s">
        <v>209</v>
      </c>
      <c r="E81">
        <v>780800</v>
      </c>
      <c r="F81">
        <v>780800</v>
      </c>
    </row>
    <row r="82" spans="1:6">
      <c r="A82" s="22">
        <v>46220</v>
      </c>
      <c r="B82" s="10">
        <v>0.375</v>
      </c>
      <c r="C82">
        <v>7167</v>
      </c>
      <c r="D82" t="s">
        <v>210</v>
      </c>
      <c r="E82">
        <v>2481600</v>
      </c>
      <c r="F82">
        <v>2481600</v>
      </c>
    </row>
    <row r="83" spans="1:6">
      <c r="A83" s="22">
        <v>46220</v>
      </c>
      <c r="B83" s="10">
        <v>0.375</v>
      </c>
      <c r="C83">
        <v>1925</v>
      </c>
      <c r="D83" t="s">
        <v>211</v>
      </c>
      <c r="E83">
        <v>1189500</v>
      </c>
      <c r="F83">
        <v>1189500</v>
      </c>
    </row>
    <row r="84" spans="1:6">
      <c r="A84" s="22">
        <v>46220</v>
      </c>
      <c r="B84" s="10">
        <v>0.375</v>
      </c>
      <c r="C84">
        <v>5411</v>
      </c>
      <c r="D84" t="s">
        <v>212</v>
      </c>
      <c r="E84">
        <v>3526200</v>
      </c>
      <c r="F84">
        <v>3526200</v>
      </c>
    </row>
    <row r="85" spans="1:6">
      <c r="A85" s="22">
        <v>46220</v>
      </c>
      <c r="B85" s="10">
        <v>0.375</v>
      </c>
      <c r="C85">
        <v>7182</v>
      </c>
      <c r="D85" t="s">
        <v>213</v>
      </c>
      <c r="E85">
        <v>4332900</v>
      </c>
      <c r="F85">
        <v>4332900</v>
      </c>
    </row>
    <row r="86" spans="1:6">
      <c r="A86" s="22">
        <v>46220</v>
      </c>
      <c r="B86" s="10">
        <v>0.375</v>
      </c>
      <c r="C86">
        <v>1963</v>
      </c>
      <c r="D86" t="s">
        <v>214</v>
      </c>
      <c r="E86">
        <v>1541900</v>
      </c>
      <c r="F86">
        <v>1541900</v>
      </c>
    </row>
    <row r="87" spans="1:6">
      <c r="A87" s="22">
        <v>46220</v>
      </c>
      <c r="B87" s="10">
        <v>0.375</v>
      </c>
      <c r="C87">
        <v>2914</v>
      </c>
      <c r="D87" t="s">
        <v>215</v>
      </c>
      <c r="E87">
        <v>5310800</v>
      </c>
      <c r="F87">
        <v>5310800</v>
      </c>
    </row>
    <row r="88" spans="1:6">
      <c r="A88" s="22">
        <v>46220</v>
      </c>
      <c r="B88" s="10">
        <v>0.375</v>
      </c>
      <c r="C88">
        <v>3003</v>
      </c>
      <c r="D88" t="s">
        <v>216</v>
      </c>
      <c r="E88">
        <v>1624300</v>
      </c>
      <c r="F88">
        <v>1624300</v>
      </c>
    </row>
    <row r="89" spans="1:6">
      <c r="A89" s="22">
        <v>46220</v>
      </c>
      <c r="B89" s="10">
        <v>0.375</v>
      </c>
      <c r="C89">
        <v>5892</v>
      </c>
      <c r="D89" t="s">
        <v>217</v>
      </c>
      <c r="E89">
        <v>99100</v>
      </c>
      <c r="F89">
        <v>99100</v>
      </c>
    </row>
    <row r="90" spans="1:6">
      <c r="A90" s="22">
        <v>46220</v>
      </c>
      <c r="B90" s="10">
        <v>0.375</v>
      </c>
      <c r="C90">
        <v>6323</v>
      </c>
      <c r="D90" t="s">
        <v>218</v>
      </c>
      <c r="E90">
        <v>3327300</v>
      </c>
      <c r="F90">
        <v>3327300</v>
      </c>
    </row>
    <row r="91" spans="1:6">
      <c r="A91" s="22">
        <v>46220</v>
      </c>
      <c r="B91" s="10">
        <v>0.375</v>
      </c>
      <c r="C91">
        <v>6501</v>
      </c>
      <c r="D91" t="s">
        <v>219</v>
      </c>
      <c r="E91">
        <v>7808000</v>
      </c>
      <c r="F91">
        <v>7808000</v>
      </c>
    </row>
    <row r="92" spans="1:6">
      <c r="A92" s="22">
        <v>46220</v>
      </c>
      <c r="B92" s="10">
        <v>0.375</v>
      </c>
      <c r="C92">
        <v>6134</v>
      </c>
      <c r="D92" t="s">
        <v>220</v>
      </c>
      <c r="E92">
        <v>930500</v>
      </c>
      <c r="F92">
        <v>930500</v>
      </c>
    </row>
    <row r="93" spans="1:6">
      <c r="A93" s="22">
        <v>46220</v>
      </c>
      <c r="B93" s="10">
        <v>0.375</v>
      </c>
      <c r="C93">
        <v>7746</v>
      </c>
      <c r="D93" t="s">
        <v>221</v>
      </c>
      <c r="E93">
        <v>921000</v>
      </c>
      <c r="F93">
        <v>921000</v>
      </c>
    </row>
    <row r="94" spans="1:6">
      <c r="A94" s="22">
        <v>46220</v>
      </c>
      <c r="B94" s="10">
        <v>0.375</v>
      </c>
      <c r="C94">
        <v>3407</v>
      </c>
      <c r="D94" t="s">
        <v>222</v>
      </c>
      <c r="E94">
        <v>2723900</v>
      </c>
      <c r="F94">
        <v>2723900</v>
      </c>
    </row>
    <row r="95" spans="1:6">
      <c r="A95" s="22">
        <v>46220</v>
      </c>
      <c r="B95" s="10">
        <v>0.375</v>
      </c>
      <c r="C95">
        <v>4008</v>
      </c>
      <c r="D95" t="s">
        <v>223</v>
      </c>
      <c r="E95">
        <v>177600</v>
      </c>
      <c r="F95">
        <v>177600</v>
      </c>
    </row>
    <row r="96" spans="1:6">
      <c r="A96" s="22">
        <v>46220</v>
      </c>
      <c r="B96" s="10">
        <v>0.375</v>
      </c>
      <c r="C96">
        <v>4062</v>
      </c>
      <c r="D96" t="s">
        <v>224</v>
      </c>
      <c r="E96">
        <v>10162300</v>
      </c>
      <c r="F96">
        <v>10162300</v>
      </c>
    </row>
    <row r="97" spans="1:6">
      <c r="A97" s="22">
        <v>46220</v>
      </c>
      <c r="B97" s="10">
        <v>0.375</v>
      </c>
      <c r="C97">
        <v>4182</v>
      </c>
      <c r="D97" t="s">
        <v>225</v>
      </c>
      <c r="E97">
        <v>787300</v>
      </c>
      <c r="F97">
        <v>787300</v>
      </c>
    </row>
    <row r="98" spans="1:6">
      <c r="A98" s="22">
        <v>46220</v>
      </c>
      <c r="B98" s="10">
        <v>0.375</v>
      </c>
      <c r="C98">
        <v>4188</v>
      </c>
      <c r="D98" t="s">
        <v>226</v>
      </c>
      <c r="E98">
        <v>3686300</v>
      </c>
      <c r="F98">
        <v>3686300</v>
      </c>
    </row>
    <row r="99" spans="1:6">
      <c r="A99" s="22">
        <v>46220</v>
      </c>
      <c r="B99" s="10">
        <v>0.375</v>
      </c>
      <c r="C99">
        <v>4523</v>
      </c>
      <c r="D99" t="s">
        <v>227</v>
      </c>
      <c r="E99">
        <v>1075600</v>
      </c>
      <c r="F99">
        <v>1075600</v>
      </c>
    </row>
    <row r="100" spans="1:6">
      <c r="A100" s="22">
        <v>46220</v>
      </c>
      <c r="B100" s="10">
        <v>0.375</v>
      </c>
      <c r="C100">
        <v>4528</v>
      </c>
      <c r="D100" t="s">
        <v>228</v>
      </c>
      <c r="E100">
        <v>1047800</v>
      </c>
      <c r="F100">
        <v>1047800</v>
      </c>
    </row>
    <row r="101" spans="1:6">
      <c r="A101" s="22">
        <v>46220</v>
      </c>
      <c r="B101" s="10">
        <v>0.375</v>
      </c>
      <c r="C101">
        <v>4661</v>
      </c>
      <c r="D101" t="s">
        <v>229</v>
      </c>
      <c r="E101">
        <v>5093000</v>
      </c>
      <c r="F101">
        <v>5093000</v>
      </c>
    </row>
    <row r="102" spans="1:6">
      <c r="A102" s="22">
        <v>46220</v>
      </c>
      <c r="B102" s="10">
        <v>0.375</v>
      </c>
      <c r="C102">
        <v>5802</v>
      </c>
      <c r="D102" t="s">
        <v>230</v>
      </c>
      <c r="E102">
        <v>17307200</v>
      </c>
      <c r="F102">
        <v>17307200</v>
      </c>
    </row>
    <row r="103" spans="1:6">
      <c r="A103" s="22">
        <v>46220</v>
      </c>
      <c r="B103" s="10">
        <v>0.375</v>
      </c>
      <c r="C103">
        <v>5803</v>
      </c>
      <c r="D103" t="s">
        <v>231</v>
      </c>
      <c r="E103">
        <v>41755100</v>
      </c>
      <c r="F103">
        <v>41755100</v>
      </c>
    </row>
    <row r="104" spans="1:6">
      <c r="A104" s="22">
        <v>46220</v>
      </c>
      <c r="B104" s="10">
        <v>0.375</v>
      </c>
      <c r="C104">
        <v>6178</v>
      </c>
      <c r="D104" t="s">
        <v>232</v>
      </c>
      <c r="E104">
        <v>4052900</v>
      </c>
      <c r="F104">
        <v>4052900</v>
      </c>
    </row>
    <row r="105" spans="1:6">
      <c r="A105" s="22">
        <v>46220</v>
      </c>
      <c r="B105" s="10">
        <v>0.375</v>
      </c>
      <c r="C105">
        <v>6925</v>
      </c>
      <c r="D105" t="s">
        <v>233</v>
      </c>
      <c r="E105">
        <v>241500</v>
      </c>
      <c r="F105">
        <v>241500</v>
      </c>
    </row>
    <row r="106" spans="1:6">
      <c r="A106" s="22">
        <v>46220</v>
      </c>
      <c r="B106" s="10">
        <v>0.375</v>
      </c>
      <c r="C106">
        <v>7021</v>
      </c>
      <c r="D106" t="s">
        <v>234</v>
      </c>
      <c r="E106">
        <v>2600</v>
      </c>
      <c r="F106">
        <v>2600</v>
      </c>
    </row>
    <row r="107" spans="1:6">
      <c r="A107" s="22">
        <v>46220</v>
      </c>
      <c r="B107" s="10">
        <v>0.375</v>
      </c>
      <c r="C107">
        <v>7729</v>
      </c>
      <c r="D107" t="s">
        <v>235</v>
      </c>
      <c r="E107">
        <v>442400</v>
      </c>
      <c r="F107">
        <v>442400</v>
      </c>
    </row>
    <row r="108" spans="1:6">
      <c r="A108" s="22">
        <v>46220</v>
      </c>
      <c r="B108" s="10">
        <v>0.375</v>
      </c>
      <c r="C108">
        <v>8424</v>
      </c>
      <c r="D108" t="s">
        <v>236</v>
      </c>
      <c r="E108">
        <v>108200</v>
      </c>
      <c r="F108">
        <v>108200</v>
      </c>
    </row>
    <row r="109" spans="1:6">
      <c r="A109" s="22">
        <v>46220</v>
      </c>
      <c r="B109" s="10">
        <v>0.375</v>
      </c>
      <c r="C109">
        <v>9020</v>
      </c>
      <c r="D109" t="s">
        <v>237</v>
      </c>
      <c r="E109">
        <v>1819700</v>
      </c>
      <c r="F109">
        <v>1819700</v>
      </c>
    </row>
    <row r="110" spans="1:6">
      <c r="A110" s="22">
        <v>46220</v>
      </c>
      <c r="B110" s="10">
        <v>0.375</v>
      </c>
      <c r="C110">
        <v>9069</v>
      </c>
      <c r="D110" t="s">
        <v>238</v>
      </c>
      <c r="E110">
        <v>298300</v>
      </c>
      <c r="F110">
        <v>298300</v>
      </c>
    </row>
    <row r="111" spans="1:6">
      <c r="A111" s="22">
        <v>46220</v>
      </c>
      <c r="B111" s="10">
        <v>0.375</v>
      </c>
      <c r="C111">
        <v>9227</v>
      </c>
      <c r="D111" t="s">
        <v>239</v>
      </c>
      <c r="E111">
        <v>318700</v>
      </c>
      <c r="F111">
        <v>318700</v>
      </c>
    </row>
    <row r="112" spans="1:6">
      <c r="A112" s="22">
        <v>46220</v>
      </c>
      <c r="B112" s="10">
        <v>0.375</v>
      </c>
      <c r="C112">
        <v>9348</v>
      </c>
      <c r="D112" t="s">
        <v>240</v>
      </c>
      <c r="E112">
        <v>2501600</v>
      </c>
      <c r="F112">
        <v>2501600</v>
      </c>
    </row>
    <row r="113" spans="1:6">
      <c r="A113" s="22">
        <v>46220</v>
      </c>
      <c r="B113" s="10">
        <v>0.375</v>
      </c>
      <c r="C113">
        <v>9449</v>
      </c>
      <c r="D113" t="s">
        <v>241</v>
      </c>
      <c r="E113">
        <v>302200</v>
      </c>
      <c r="F113">
        <v>302200</v>
      </c>
    </row>
    <row r="114" spans="1:6">
      <c r="A114" s="22">
        <v>46220</v>
      </c>
      <c r="B114" s="10">
        <v>0.375</v>
      </c>
      <c r="C114">
        <v>9501</v>
      </c>
      <c r="D114" t="s">
        <v>242</v>
      </c>
      <c r="E114">
        <v>32796300</v>
      </c>
      <c r="F114">
        <v>32796300</v>
      </c>
    </row>
    <row r="115" spans="1:6">
      <c r="A115" s="22">
        <v>46220</v>
      </c>
      <c r="B115" s="10">
        <v>0.375</v>
      </c>
      <c r="C115">
        <v>9531</v>
      </c>
      <c r="D115" t="s">
        <v>243</v>
      </c>
      <c r="E115">
        <v>562900</v>
      </c>
      <c r="F115">
        <v>562900</v>
      </c>
    </row>
    <row r="116" spans="1:6">
      <c r="A116" s="22">
        <v>46220</v>
      </c>
      <c r="B116" s="10">
        <v>0.375</v>
      </c>
      <c r="C116">
        <v>9882</v>
      </c>
      <c r="D116" t="s">
        <v>244</v>
      </c>
      <c r="E116">
        <v>132400</v>
      </c>
      <c r="F116">
        <v>132400</v>
      </c>
    </row>
    <row r="117" spans="1:6">
      <c r="A117" s="22">
        <v>46220</v>
      </c>
      <c r="B117" s="10">
        <v>0.375</v>
      </c>
      <c r="C117">
        <v>5838</v>
      </c>
      <c r="D117" t="s">
        <v>245</v>
      </c>
      <c r="E117">
        <v>809600</v>
      </c>
      <c r="F117">
        <v>809600</v>
      </c>
    </row>
    <row r="118" spans="1:6">
      <c r="A118" s="22">
        <v>46220</v>
      </c>
      <c r="B118" s="10">
        <v>0.375</v>
      </c>
      <c r="C118">
        <v>5844</v>
      </c>
      <c r="D118" t="s">
        <v>246</v>
      </c>
      <c r="E118">
        <v>891800</v>
      </c>
      <c r="F118">
        <v>891800</v>
      </c>
    </row>
    <row r="119" spans="1:6">
      <c r="A119" s="22">
        <v>46220</v>
      </c>
      <c r="B119" s="10">
        <v>0.375</v>
      </c>
      <c r="C119">
        <v>9404</v>
      </c>
      <c r="D119" t="s">
        <v>247</v>
      </c>
      <c r="E119">
        <v>256300</v>
      </c>
      <c r="F119">
        <v>256300</v>
      </c>
    </row>
    <row r="120" spans="1:6">
      <c r="A120" s="22">
        <v>46220</v>
      </c>
      <c r="B120" s="10">
        <v>0.375</v>
      </c>
      <c r="C120">
        <v>6744</v>
      </c>
      <c r="D120" t="s">
        <v>248</v>
      </c>
      <c r="E120">
        <v>63300</v>
      </c>
      <c r="F120">
        <v>63300</v>
      </c>
    </row>
    <row r="121" spans="1:6">
      <c r="A121" s="22">
        <v>46220</v>
      </c>
      <c r="B121" s="10">
        <v>0.375</v>
      </c>
      <c r="C121">
        <v>7685</v>
      </c>
      <c r="D121" t="s">
        <v>249</v>
      </c>
      <c r="E121">
        <v>189600</v>
      </c>
      <c r="F121">
        <v>189600</v>
      </c>
    </row>
    <row r="122" spans="1:6">
      <c r="A122" s="22">
        <v>46220</v>
      </c>
      <c r="B122" s="10">
        <v>0.375</v>
      </c>
      <c r="C122">
        <v>8334</v>
      </c>
      <c r="D122" t="s">
        <v>250</v>
      </c>
      <c r="E122">
        <v>828200</v>
      </c>
      <c r="F122">
        <v>828200</v>
      </c>
    </row>
    <row r="123" spans="1:6">
      <c r="A123" s="22">
        <v>46220</v>
      </c>
      <c r="B123" s="10">
        <v>0.375</v>
      </c>
      <c r="C123">
        <v>8359</v>
      </c>
      <c r="D123" t="s">
        <v>251</v>
      </c>
      <c r="E123">
        <v>1185300</v>
      </c>
      <c r="F123">
        <v>1185300</v>
      </c>
    </row>
    <row r="124" spans="1:6">
      <c r="A124" s="22">
        <v>46220</v>
      </c>
      <c r="B124" s="10">
        <v>0.375</v>
      </c>
      <c r="C124">
        <v>8801</v>
      </c>
      <c r="D124" t="s">
        <v>252</v>
      </c>
      <c r="E124">
        <v>4537200</v>
      </c>
      <c r="F124">
        <v>4537200</v>
      </c>
    </row>
    <row r="125" spans="1:6">
      <c r="A125" s="22">
        <v>46220</v>
      </c>
      <c r="B125" s="10">
        <v>0.375</v>
      </c>
      <c r="C125">
        <v>8934</v>
      </c>
      <c r="D125" t="s">
        <v>253</v>
      </c>
      <c r="E125">
        <v>93800</v>
      </c>
      <c r="F125">
        <v>93800</v>
      </c>
    </row>
    <row r="126" spans="1:6">
      <c r="A126" s="22">
        <v>46220</v>
      </c>
      <c r="B126" s="10">
        <v>0.375</v>
      </c>
      <c r="C126">
        <v>9416</v>
      </c>
      <c r="D126" t="s">
        <v>254</v>
      </c>
      <c r="E126">
        <v>191800</v>
      </c>
      <c r="F126">
        <v>191800</v>
      </c>
    </row>
    <row r="127" spans="1:6">
      <c r="A127" s="22">
        <v>46220</v>
      </c>
      <c r="B127" s="10">
        <v>0.375</v>
      </c>
      <c r="C127">
        <v>9532</v>
      </c>
      <c r="D127" t="s">
        <v>255</v>
      </c>
      <c r="E127">
        <v>333400</v>
      </c>
      <c r="F127">
        <v>333400</v>
      </c>
    </row>
    <row r="128" spans="1:6">
      <c r="A128" s="22">
        <v>46220</v>
      </c>
      <c r="B128" s="10">
        <v>0.375</v>
      </c>
      <c r="C128">
        <v>6330</v>
      </c>
      <c r="D128" t="s">
        <v>256</v>
      </c>
      <c r="E128">
        <v>2553200</v>
      </c>
      <c r="F128">
        <v>2553200</v>
      </c>
    </row>
    <row r="129" spans="1:6">
      <c r="A129" s="22">
        <v>46220</v>
      </c>
      <c r="B129" s="10">
        <v>0.375</v>
      </c>
      <c r="C129">
        <v>4082</v>
      </c>
      <c r="D129" t="s">
        <v>257</v>
      </c>
      <c r="E129">
        <v>311300</v>
      </c>
      <c r="F129">
        <v>311300</v>
      </c>
    </row>
    <row r="130" spans="1:6">
      <c r="A130" s="22">
        <v>46220</v>
      </c>
      <c r="B130" s="10">
        <v>0.375</v>
      </c>
      <c r="C130">
        <v>4519</v>
      </c>
      <c r="D130" t="s">
        <v>258</v>
      </c>
      <c r="E130">
        <v>1722900</v>
      </c>
      <c r="F130">
        <v>1722900</v>
      </c>
    </row>
    <row r="131" spans="1:6">
      <c r="A131" s="22">
        <v>46220</v>
      </c>
      <c r="B131" s="10">
        <v>0.375</v>
      </c>
      <c r="C131">
        <v>2160</v>
      </c>
      <c r="D131" t="s">
        <v>259</v>
      </c>
      <c r="E131">
        <v>1089200</v>
      </c>
      <c r="F131">
        <v>1089200</v>
      </c>
    </row>
    <row r="132" spans="1:6">
      <c r="A132" s="22">
        <v>46220</v>
      </c>
      <c r="B132" s="10">
        <v>0.375</v>
      </c>
      <c r="C132">
        <v>6227</v>
      </c>
      <c r="D132" t="s">
        <v>260</v>
      </c>
      <c r="E132">
        <v>1581000</v>
      </c>
      <c r="F132">
        <v>1581000</v>
      </c>
    </row>
    <row r="133" spans="1:6">
      <c r="A133" s="22">
        <v>46220</v>
      </c>
      <c r="B133" s="10">
        <v>0.375</v>
      </c>
      <c r="C133">
        <v>6327</v>
      </c>
      <c r="D133" t="s">
        <v>261</v>
      </c>
      <c r="E133">
        <v>1011500</v>
      </c>
      <c r="F133">
        <v>1011500</v>
      </c>
    </row>
    <row r="134" spans="1:6">
      <c r="A134" s="22">
        <v>46220</v>
      </c>
      <c r="B134" s="10">
        <v>0.375</v>
      </c>
      <c r="C134">
        <v>3110</v>
      </c>
      <c r="D134" t="s">
        <v>262</v>
      </c>
      <c r="E134">
        <v>5729700</v>
      </c>
      <c r="F134">
        <v>5729700</v>
      </c>
    </row>
    <row r="135" spans="1:6">
      <c r="A135" s="22">
        <v>46220</v>
      </c>
      <c r="B135" s="10">
        <v>0.375</v>
      </c>
      <c r="C135">
        <v>6232</v>
      </c>
      <c r="D135" t="s">
        <v>263</v>
      </c>
      <c r="E135">
        <v>566200</v>
      </c>
      <c r="F135">
        <v>566200</v>
      </c>
    </row>
    <row r="136" spans="1:6">
      <c r="A136" s="22">
        <v>46220</v>
      </c>
      <c r="B136" s="10">
        <v>0.375</v>
      </c>
      <c r="C136">
        <v>7794</v>
      </c>
      <c r="D136" t="s">
        <v>264</v>
      </c>
      <c r="E136">
        <v>417300</v>
      </c>
      <c r="F136">
        <v>417300</v>
      </c>
    </row>
    <row r="137" spans="1:6">
      <c r="A137" s="22">
        <v>46220</v>
      </c>
      <c r="B137" s="10">
        <v>0.375</v>
      </c>
      <c r="C137">
        <v>6085</v>
      </c>
      <c r="D137" t="s">
        <v>265</v>
      </c>
      <c r="E137">
        <v>3572200</v>
      </c>
      <c r="F137">
        <v>3572200</v>
      </c>
    </row>
    <row r="138" spans="1:6">
      <c r="A138" s="22">
        <v>46220</v>
      </c>
      <c r="B138" s="10">
        <v>0.375</v>
      </c>
      <c r="C138">
        <v>3103</v>
      </c>
      <c r="D138" t="s">
        <v>266</v>
      </c>
      <c r="E138">
        <v>3139600</v>
      </c>
      <c r="F138">
        <v>3139600</v>
      </c>
    </row>
    <row r="139" spans="1:6">
      <c r="A139" s="22">
        <v>46220</v>
      </c>
      <c r="B139" s="10">
        <v>0.375</v>
      </c>
      <c r="C139">
        <v>4422</v>
      </c>
      <c r="D139" t="s">
        <v>267</v>
      </c>
      <c r="E139">
        <v>93400</v>
      </c>
      <c r="F139">
        <v>93400</v>
      </c>
    </row>
    <row r="140" spans="1:6">
      <c r="A140" s="22">
        <v>46220</v>
      </c>
      <c r="B140" s="10">
        <v>0.375</v>
      </c>
      <c r="C140">
        <v>6740</v>
      </c>
      <c r="D140" t="s">
        <v>268</v>
      </c>
      <c r="E140">
        <v>29863500</v>
      </c>
      <c r="F140">
        <v>29863500</v>
      </c>
    </row>
    <row r="141" spans="1:6">
      <c r="A141" s="22">
        <v>46220</v>
      </c>
      <c r="B141" s="10">
        <v>0.375</v>
      </c>
      <c r="C141">
        <v>6613</v>
      </c>
      <c r="D141" t="s">
        <v>269</v>
      </c>
      <c r="E141">
        <v>6009200</v>
      </c>
      <c r="F141">
        <v>6009200</v>
      </c>
    </row>
    <row r="142" spans="1:6">
      <c r="A142" s="22">
        <v>46220</v>
      </c>
      <c r="B142" s="10">
        <v>0.375</v>
      </c>
      <c r="C142">
        <v>4568</v>
      </c>
      <c r="D142" t="s">
        <v>270</v>
      </c>
      <c r="E142">
        <v>4839400</v>
      </c>
      <c r="F142">
        <v>4839400</v>
      </c>
    </row>
    <row r="143" spans="1:6">
      <c r="A143" s="22">
        <v>46220</v>
      </c>
      <c r="B143" s="10">
        <v>0.375</v>
      </c>
      <c r="C143">
        <v>6522</v>
      </c>
      <c r="D143" t="s">
        <v>271</v>
      </c>
      <c r="E143">
        <v>1053700</v>
      </c>
      <c r="F143">
        <v>1053700</v>
      </c>
    </row>
    <row r="144" spans="1:6">
      <c r="A144" s="22">
        <v>46220</v>
      </c>
      <c r="B144" s="10">
        <v>0.375</v>
      </c>
      <c r="C144">
        <v>6777</v>
      </c>
      <c r="D144" t="s">
        <v>272</v>
      </c>
      <c r="E144">
        <v>155900</v>
      </c>
      <c r="F144">
        <v>155900</v>
      </c>
    </row>
    <row r="145" spans="1:6">
      <c r="A145" s="22">
        <v>46220</v>
      </c>
      <c r="B145" s="10">
        <v>0.375</v>
      </c>
      <c r="C145">
        <v>6787</v>
      </c>
      <c r="D145" t="s">
        <v>273</v>
      </c>
      <c r="E145">
        <v>486500</v>
      </c>
      <c r="F145">
        <v>486500</v>
      </c>
    </row>
    <row r="146" spans="1:6">
      <c r="A146" s="22">
        <v>46220</v>
      </c>
      <c r="B146" s="10">
        <v>0.375</v>
      </c>
      <c r="C146">
        <v>4888</v>
      </c>
      <c r="D146" t="s">
        <v>274</v>
      </c>
      <c r="E146">
        <v>499700</v>
      </c>
      <c r="F146">
        <v>499700</v>
      </c>
    </row>
    <row r="147" spans="1:6">
      <c r="A147" s="22">
        <v>46220</v>
      </c>
      <c r="B147" s="10">
        <v>0.375</v>
      </c>
      <c r="C147">
        <v>6387</v>
      </c>
      <c r="D147" t="s">
        <v>275</v>
      </c>
      <c r="E147">
        <v>110700</v>
      </c>
      <c r="F147">
        <v>110700</v>
      </c>
    </row>
    <row r="148" spans="1:6">
      <c r="A148" s="22">
        <v>46220</v>
      </c>
      <c r="B148" s="10">
        <v>0.375</v>
      </c>
      <c r="C148">
        <v>6838</v>
      </c>
      <c r="D148" t="s">
        <v>276</v>
      </c>
      <c r="E148">
        <v>404500</v>
      </c>
      <c r="F148">
        <v>404500</v>
      </c>
    </row>
    <row r="149" spans="1:6">
      <c r="A149" s="22">
        <v>46220</v>
      </c>
      <c r="B149" s="10">
        <v>0.375</v>
      </c>
      <c r="C149">
        <v>7375</v>
      </c>
      <c r="D149" t="s">
        <v>277</v>
      </c>
      <c r="E149">
        <v>64200</v>
      </c>
      <c r="F149">
        <v>64200</v>
      </c>
    </row>
    <row r="150" spans="1:6">
      <c r="A150" s="22">
        <v>46220</v>
      </c>
      <c r="B150" s="10">
        <v>0.375</v>
      </c>
      <c r="C150">
        <v>4307</v>
      </c>
      <c r="D150" t="s">
        <v>278</v>
      </c>
      <c r="E150">
        <v>1993900</v>
      </c>
      <c r="F150">
        <v>1993900</v>
      </c>
    </row>
    <row r="151" spans="1:6">
      <c r="A151" s="22">
        <v>46220</v>
      </c>
      <c r="B151" s="10">
        <v>0.375</v>
      </c>
      <c r="C151">
        <v>6516</v>
      </c>
      <c r="D151" t="s">
        <v>279</v>
      </c>
      <c r="E151">
        <v>119500</v>
      </c>
      <c r="F151">
        <v>119500</v>
      </c>
    </row>
    <row r="152" spans="1:6">
      <c r="A152" s="22">
        <v>46220</v>
      </c>
      <c r="B152" s="10">
        <v>0.375</v>
      </c>
      <c r="C152">
        <v>7381</v>
      </c>
      <c r="D152" t="s">
        <v>280</v>
      </c>
      <c r="E152">
        <v>700500</v>
      </c>
      <c r="F152">
        <v>700500</v>
      </c>
    </row>
    <row r="153" spans="1:6">
      <c r="A153" s="22">
        <v>46220</v>
      </c>
      <c r="B153" s="10">
        <v>0.375</v>
      </c>
      <c r="C153">
        <v>4417</v>
      </c>
      <c r="D153" t="s">
        <v>281</v>
      </c>
      <c r="E153">
        <v>80100</v>
      </c>
      <c r="F153">
        <v>80100</v>
      </c>
    </row>
    <row r="154" spans="1:6">
      <c r="A154" s="22">
        <v>46220</v>
      </c>
      <c r="B154" s="10">
        <v>0.375</v>
      </c>
      <c r="C154">
        <v>6981</v>
      </c>
      <c r="D154" t="s">
        <v>282</v>
      </c>
      <c r="E154">
        <v>37257600</v>
      </c>
      <c r="F154">
        <v>37257600</v>
      </c>
    </row>
    <row r="155" spans="1:6">
      <c r="A155" s="22">
        <v>46220</v>
      </c>
      <c r="B155" s="10">
        <v>0.375</v>
      </c>
      <c r="C155">
        <v>6754</v>
      </c>
      <c r="D155" t="s">
        <v>283</v>
      </c>
      <c r="E155">
        <v>1375200</v>
      </c>
      <c r="F155">
        <v>1375200</v>
      </c>
    </row>
    <row r="156" spans="1:6">
      <c r="A156" s="22">
        <v>46220</v>
      </c>
      <c r="B156" s="10">
        <v>0.375</v>
      </c>
      <c r="C156">
        <v>4088</v>
      </c>
      <c r="D156" t="s">
        <v>284</v>
      </c>
      <c r="E156">
        <v>550600</v>
      </c>
      <c r="F156">
        <v>550600</v>
      </c>
    </row>
    <row r="157" spans="1:6">
      <c r="A157" s="22">
        <v>46220</v>
      </c>
      <c r="B157" s="10">
        <v>0.375</v>
      </c>
      <c r="C157">
        <v>4091</v>
      </c>
      <c r="D157" t="s">
        <v>285</v>
      </c>
      <c r="E157">
        <v>251600</v>
      </c>
      <c r="F157">
        <v>251600</v>
      </c>
    </row>
    <row r="158" spans="1:6">
      <c r="A158" s="22">
        <v>46220</v>
      </c>
      <c r="B158" s="10">
        <v>0.375</v>
      </c>
      <c r="C158">
        <v>6857</v>
      </c>
      <c r="D158" t="s">
        <v>286</v>
      </c>
      <c r="E158">
        <v>10892800</v>
      </c>
      <c r="F158">
        <v>10892800</v>
      </c>
    </row>
    <row r="159" spans="1:6">
      <c r="A159" s="22">
        <v>46220</v>
      </c>
      <c r="B159" s="10">
        <v>0.375</v>
      </c>
      <c r="C159">
        <v>3891</v>
      </c>
      <c r="D159" t="s">
        <v>287</v>
      </c>
      <c r="E159">
        <v>150200</v>
      </c>
      <c r="F159">
        <v>150200</v>
      </c>
    </row>
    <row r="160" spans="1:6">
      <c r="A160" s="22">
        <v>46220</v>
      </c>
      <c r="B160" s="10">
        <v>0.375</v>
      </c>
      <c r="C160">
        <v>4373</v>
      </c>
      <c r="D160" t="s">
        <v>288</v>
      </c>
      <c r="E160">
        <v>994700</v>
      </c>
      <c r="F160">
        <v>994700</v>
      </c>
    </row>
    <row r="161" spans="1:6">
      <c r="A161" s="22">
        <v>46220</v>
      </c>
      <c r="B161" s="10">
        <v>0.375</v>
      </c>
      <c r="C161">
        <v>8892</v>
      </c>
      <c r="D161" t="s">
        <v>289</v>
      </c>
      <c r="E161">
        <v>98600</v>
      </c>
      <c r="F161">
        <v>98600</v>
      </c>
    </row>
    <row r="162" spans="1:6">
      <c r="A162" s="22">
        <v>46220</v>
      </c>
      <c r="B162" s="10">
        <v>0.375</v>
      </c>
      <c r="C162">
        <v>9687</v>
      </c>
      <c r="D162" t="s">
        <v>290</v>
      </c>
      <c r="E162">
        <v>2900</v>
      </c>
      <c r="F162">
        <v>2900</v>
      </c>
    </row>
    <row r="163" spans="1:6">
      <c r="A163" s="22">
        <v>46220</v>
      </c>
      <c r="B163" s="10">
        <v>0.375</v>
      </c>
      <c r="C163">
        <v>1930</v>
      </c>
      <c r="D163" t="s">
        <v>291</v>
      </c>
      <c r="E163">
        <v>71300</v>
      </c>
      <c r="F163">
        <v>71300</v>
      </c>
    </row>
    <row r="164" spans="1:6">
      <c r="A164" s="22">
        <v>46220</v>
      </c>
      <c r="B164" s="10">
        <v>0.375</v>
      </c>
      <c r="C164">
        <v>8704</v>
      </c>
      <c r="D164" t="s">
        <v>292</v>
      </c>
      <c r="E164">
        <v>133800</v>
      </c>
      <c r="F164">
        <v>133800</v>
      </c>
    </row>
    <row r="165" spans="1:6">
      <c r="A165" s="22">
        <v>46220</v>
      </c>
      <c r="B165" s="10">
        <v>0.375</v>
      </c>
      <c r="C165">
        <v>4733</v>
      </c>
      <c r="D165" t="s">
        <v>293</v>
      </c>
      <c r="E165">
        <v>93700</v>
      </c>
      <c r="F165">
        <v>93700</v>
      </c>
    </row>
    <row r="166" spans="1:6">
      <c r="A166" s="22">
        <v>46220</v>
      </c>
      <c r="B166" s="10">
        <v>0.375</v>
      </c>
      <c r="C166">
        <v>9733</v>
      </c>
      <c r="D166" t="s">
        <v>294</v>
      </c>
      <c r="E166">
        <v>17000</v>
      </c>
      <c r="F166">
        <v>17000</v>
      </c>
    </row>
    <row r="167" spans="1:6">
      <c r="A167" s="22">
        <v>46220</v>
      </c>
      <c r="B167" s="10">
        <v>0.375</v>
      </c>
      <c r="C167">
        <v>9551</v>
      </c>
      <c r="D167" t="s">
        <v>295</v>
      </c>
      <c r="E167">
        <v>108400</v>
      </c>
      <c r="F167">
        <v>108400</v>
      </c>
    </row>
    <row r="168" spans="1:6">
      <c r="A168" s="22">
        <v>46220</v>
      </c>
      <c r="B168" s="10">
        <v>0.375</v>
      </c>
      <c r="C168">
        <v>2359</v>
      </c>
      <c r="D168" t="s">
        <v>296</v>
      </c>
      <c r="E168">
        <v>13500</v>
      </c>
      <c r="F168">
        <v>13500</v>
      </c>
    </row>
    <row r="169" spans="1:6">
      <c r="A169" s="22">
        <v>46220</v>
      </c>
      <c r="B169" s="10">
        <v>0.375</v>
      </c>
      <c r="C169">
        <v>8103</v>
      </c>
      <c r="D169" t="s">
        <v>297</v>
      </c>
      <c r="E169">
        <v>180500</v>
      </c>
      <c r="F169">
        <v>180500</v>
      </c>
    </row>
    <row r="170" spans="1:6">
      <c r="A170" s="22">
        <v>46220</v>
      </c>
      <c r="B170" s="10">
        <v>0.375</v>
      </c>
      <c r="C170">
        <v>4709</v>
      </c>
      <c r="D170" t="s">
        <v>298</v>
      </c>
      <c r="E170">
        <v>44400</v>
      </c>
      <c r="F170">
        <v>44400</v>
      </c>
    </row>
    <row r="171" spans="1:6">
      <c r="A171" s="22">
        <v>46220</v>
      </c>
      <c r="B171" s="10">
        <v>0.375</v>
      </c>
      <c r="C171">
        <v>7981</v>
      </c>
      <c r="D171" t="s">
        <v>299</v>
      </c>
      <c r="E171">
        <v>80400</v>
      </c>
      <c r="F171">
        <v>80400</v>
      </c>
    </row>
    <row r="172" spans="1:6">
      <c r="A172" s="22">
        <v>46220</v>
      </c>
      <c r="B172" s="10">
        <v>0.375</v>
      </c>
      <c r="C172">
        <v>8303</v>
      </c>
      <c r="D172" t="s">
        <v>300</v>
      </c>
      <c r="E172">
        <v>4287200</v>
      </c>
      <c r="F172">
        <v>4287200</v>
      </c>
    </row>
    <row r="173" spans="1:6">
      <c r="A173" s="22">
        <v>46220</v>
      </c>
      <c r="B173" s="10">
        <v>0.375</v>
      </c>
      <c r="C173">
        <v>4382</v>
      </c>
      <c r="D173" t="s">
        <v>301</v>
      </c>
      <c r="E173">
        <v>62800</v>
      </c>
      <c r="F173">
        <v>62800</v>
      </c>
    </row>
    <row r="174" spans="1:6">
      <c r="A174" s="22">
        <v>46220</v>
      </c>
      <c r="B174" s="10">
        <v>0.375</v>
      </c>
      <c r="C174">
        <v>2327</v>
      </c>
      <c r="D174" t="s">
        <v>302</v>
      </c>
      <c r="E174">
        <v>142800</v>
      </c>
      <c r="F174">
        <v>142800</v>
      </c>
    </row>
    <row r="175" spans="1:6">
      <c r="A175" s="22">
        <v>46220</v>
      </c>
      <c r="B175" s="10">
        <v>0.375</v>
      </c>
      <c r="C175">
        <v>1942</v>
      </c>
      <c r="D175" t="s">
        <v>303</v>
      </c>
      <c r="E175">
        <v>970200</v>
      </c>
      <c r="F175">
        <v>970200</v>
      </c>
    </row>
    <row r="176" spans="1:6">
      <c r="A176" s="22">
        <v>46220</v>
      </c>
      <c r="B176" s="10">
        <v>0.375</v>
      </c>
      <c r="C176">
        <v>1938</v>
      </c>
      <c r="D176" t="s">
        <v>304</v>
      </c>
      <c r="E176">
        <v>109300</v>
      </c>
      <c r="F176">
        <v>109300</v>
      </c>
    </row>
    <row r="177" spans="1:6">
      <c r="A177" s="22">
        <v>46220</v>
      </c>
      <c r="B177" s="10">
        <v>0.375</v>
      </c>
      <c r="C177">
        <v>7236</v>
      </c>
      <c r="D177" t="s">
        <v>305</v>
      </c>
      <c r="E177">
        <v>472500</v>
      </c>
      <c r="F177">
        <v>472500</v>
      </c>
    </row>
    <row r="178" spans="1:6">
      <c r="A178" s="22">
        <v>46220</v>
      </c>
      <c r="B178" s="10">
        <v>0.375</v>
      </c>
      <c r="C178">
        <v>6436</v>
      </c>
      <c r="D178" t="s">
        <v>306</v>
      </c>
      <c r="E178">
        <v>204500</v>
      </c>
      <c r="F178">
        <v>204500</v>
      </c>
    </row>
    <row r="179" spans="1:6">
      <c r="A179" s="22">
        <v>46220</v>
      </c>
      <c r="B179" s="10">
        <v>0.375</v>
      </c>
      <c r="C179">
        <v>5410</v>
      </c>
      <c r="D179" t="s">
        <v>307</v>
      </c>
      <c r="E179">
        <v>80900</v>
      </c>
      <c r="F179">
        <v>80900</v>
      </c>
    </row>
    <row r="180" spans="1:6">
      <c r="A180" s="22">
        <v>46220</v>
      </c>
      <c r="B180" s="10">
        <v>0.375</v>
      </c>
      <c r="C180">
        <v>5440</v>
      </c>
      <c r="D180" t="s">
        <v>308</v>
      </c>
      <c r="E180">
        <v>77800</v>
      </c>
      <c r="F180">
        <v>77800</v>
      </c>
    </row>
    <row r="181" spans="1:6">
      <c r="A181" s="22">
        <v>46220</v>
      </c>
      <c r="B181" s="10">
        <v>0.375</v>
      </c>
      <c r="C181">
        <v>9505</v>
      </c>
      <c r="D181" t="s">
        <v>309</v>
      </c>
      <c r="E181">
        <v>798800</v>
      </c>
      <c r="F181">
        <v>798800</v>
      </c>
    </row>
    <row r="182" spans="1:6">
      <c r="A182" s="22">
        <v>46220</v>
      </c>
      <c r="B182" s="10">
        <v>0.375</v>
      </c>
      <c r="C182">
        <v>8091</v>
      </c>
      <c r="D182" t="s">
        <v>310</v>
      </c>
      <c r="E182">
        <v>15300</v>
      </c>
      <c r="F182">
        <v>15300</v>
      </c>
    </row>
    <row r="183" spans="1:6">
      <c r="A183" s="22">
        <v>46220</v>
      </c>
      <c r="B183" s="10">
        <v>0.375</v>
      </c>
      <c r="C183">
        <v>6507</v>
      </c>
      <c r="D183" t="s">
        <v>311</v>
      </c>
      <c r="E183">
        <v>169800</v>
      </c>
      <c r="F183">
        <v>169800</v>
      </c>
    </row>
    <row r="184" spans="1:6">
      <c r="A184" s="22">
        <v>46220</v>
      </c>
      <c r="B184" s="10">
        <v>0.375</v>
      </c>
      <c r="C184">
        <v>9022</v>
      </c>
      <c r="D184" t="s">
        <v>312</v>
      </c>
      <c r="E184">
        <v>1638700</v>
      </c>
      <c r="F184">
        <v>1638700</v>
      </c>
    </row>
    <row r="185" spans="1:6">
      <c r="A185" s="22">
        <v>46220</v>
      </c>
      <c r="B185" s="10">
        <v>0.375</v>
      </c>
      <c r="C185">
        <v>9536</v>
      </c>
      <c r="D185" t="s">
        <v>313</v>
      </c>
      <c r="E185">
        <v>48600</v>
      </c>
      <c r="F185">
        <v>48600</v>
      </c>
    </row>
    <row r="186" spans="1:6">
      <c r="A186" s="22">
        <v>46220</v>
      </c>
      <c r="B186" s="10">
        <v>0.375</v>
      </c>
      <c r="C186">
        <v>9506</v>
      </c>
      <c r="D186" t="s">
        <v>314</v>
      </c>
      <c r="E186">
        <v>1980000</v>
      </c>
      <c r="F186">
        <v>1980000</v>
      </c>
    </row>
    <row r="187" spans="1:6">
      <c r="A187" s="22">
        <v>46220</v>
      </c>
      <c r="B187" s="10">
        <v>0.375</v>
      </c>
      <c r="C187">
        <v>2127</v>
      </c>
      <c r="D187" t="s">
        <v>315</v>
      </c>
      <c r="E187">
        <v>854200</v>
      </c>
      <c r="F187">
        <v>854200</v>
      </c>
    </row>
    <row r="188" spans="1:6">
      <c r="A188" s="22">
        <v>46220</v>
      </c>
      <c r="B188" s="10">
        <v>0.375</v>
      </c>
      <c r="C188">
        <v>6753</v>
      </c>
      <c r="D188" t="s">
        <v>316</v>
      </c>
      <c r="E188">
        <v>2233000</v>
      </c>
      <c r="F188">
        <v>2233000</v>
      </c>
    </row>
    <row r="189" spans="1:6">
      <c r="A189" s="22">
        <v>46220</v>
      </c>
      <c r="B189" s="10">
        <v>0.375</v>
      </c>
      <c r="C189">
        <v>9064</v>
      </c>
      <c r="D189" t="s">
        <v>317</v>
      </c>
      <c r="E189">
        <v>1124600</v>
      </c>
      <c r="F189">
        <v>1124600</v>
      </c>
    </row>
    <row r="190" spans="1:6">
      <c r="A190" s="22">
        <v>46220</v>
      </c>
      <c r="B190" s="10">
        <v>0.375</v>
      </c>
      <c r="C190">
        <v>7181</v>
      </c>
      <c r="D190" t="s">
        <v>318</v>
      </c>
      <c r="E190">
        <v>879000</v>
      </c>
      <c r="F190">
        <v>879000</v>
      </c>
    </row>
    <row r="191" spans="1:6">
      <c r="A191" s="22">
        <v>46220</v>
      </c>
      <c r="B191" s="10">
        <v>0.375</v>
      </c>
      <c r="C191">
        <v>6485</v>
      </c>
      <c r="D191" t="s">
        <v>319</v>
      </c>
      <c r="E191">
        <v>21900</v>
      </c>
      <c r="F191">
        <v>21900</v>
      </c>
    </row>
    <row r="192" spans="1:6">
      <c r="A192" s="22">
        <v>46220</v>
      </c>
      <c r="B192" s="10">
        <v>0.375</v>
      </c>
      <c r="C192">
        <v>4887</v>
      </c>
      <c r="D192" t="s">
        <v>320</v>
      </c>
      <c r="E192">
        <v>347700</v>
      </c>
      <c r="F192">
        <v>347700</v>
      </c>
    </row>
    <row r="193" spans="1:6">
      <c r="A193" s="22">
        <v>46220</v>
      </c>
      <c r="B193" s="10">
        <v>0.375</v>
      </c>
      <c r="C193">
        <v>5243</v>
      </c>
      <c r="D193" t="s">
        <v>321</v>
      </c>
      <c r="E193">
        <v>614700</v>
      </c>
      <c r="F193">
        <v>614700</v>
      </c>
    </row>
    <row r="194" spans="1:6">
      <c r="A194" s="22">
        <v>46220</v>
      </c>
      <c r="B194" s="10">
        <v>0.375</v>
      </c>
      <c r="C194">
        <v>2702</v>
      </c>
      <c r="D194" t="s">
        <v>322</v>
      </c>
      <c r="E194">
        <v>375400</v>
      </c>
      <c r="F194">
        <v>375400</v>
      </c>
    </row>
    <row r="195" spans="1:6">
      <c r="A195" s="22">
        <v>46220</v>
      </c>
      <c r="B195" s="10">
        <v>0.375</v>
      </c>
      <c r="C195">
        <v>6890</v>
      </c>
      <c r="D195" t="s">
        <v>323</v>
      </c>
      <c r="E195">
        <v>2080600</v>
      </c>
      <c r="F195">
        <v>2080600</v>
      </c>
    </row>
    <row r="196" spans="1:6">
      <c r="A196" s="22">
        <v>46220</v>
      </c>
      <c r="B196" s="10">
        <v>0.375</v>
      </c>
      <c r="C196">
        <v>4966</v>
      </c>
      <c r="D196" t="s">
        <v>324</v>
      </c>
      <c r="E196">
        <v>86500</v>
      </c>
      <c r="F196">
        <v>86500</v>
      </c>
    </row>
    <row r="197" spans="1:6">
      <c r="A197" s="22">
        <v>46220</v>
      </c>
      <c r="B197" s="10">
        <v>0.375</v>
      </c>
      <c r="C197">
        <v>6146</v>
      </c>
      <c r="D197" t="s">
        <v>325</v>
      </c>
      <c r="E197">
        <v>1424900</v>
      </c>
      <c r="F197">
        <v>1424900</v>
      </c>
    </row>
    <row r="198" spans="1:6">
      <c r="A198" s="22">
        <v>46220</v>
      </c>
      <c r="B198" s="10">
        <v>0.375</v>
      </c>
      <c r="C198">
        <v>8035</v>
      </c>
      <c r="D198" t="s">
        <v>326</v>
      </c>
      <c r="E198">
        <v>5164000</v>
      </c>
      <c r="F198">
        <v>5164000</v>
      </c>
    </row>
    <row r="199" spans="1:6">
      <c r="A199" s="22">
        <v>46220</v>
      </c>
      <c r="B199" s="10">
        <v>0.375</v>
      </c>
      <c r="C199">
        <v>6920</v>
      </c>
      <c r="D199" t="s">
        <v>327</v>
      </c>
      <c r="E199">
        <v>4315800</v>
      </c>
      <c r="F199">
        <v>4315800</v>
      </c>
    </row>
    <row r="200" spans="1:6">
      <c r="A200" s="22">
        <v>46220</v>
      </c>
      <c r="B200" s="10">
        <v>0.375</v>
      </c>
      <c r="C200">
        <v>5801</v>
      </c>
      <c r="D200" t="s">
        <v>328</v>
      </c>
      <c r="E200">
        <v>19604300</v>
      </c>
      <c r="F200">
        <v>19604300</v>
      </c>
    </row>
    <row r="201" spans="1:6">
      <c r="A201" s="22">
        <v>46220</v>
      </c>
      <c r="B201" s="10">
        <v>0.375</v>
      </c>
      <c r="C201">
        <v>6506</v>
      </c>
      <c r="D201" t="s">
        <v>329</v>
      </c>
      <c r="E201">
        <v>10899400</v>
      </c>
      <c r="F201">
        <v>10899400</v>
      </c>
    </row>
    <row r="202" spans="1:6">
      <c r="A202" s="22">
        <v>46220</v>
      </c>
      <c r="B202" s="10">
        <v>0.375</v>
      </c>
      <c r="C202">
        <v>2768</v>
      </c>
      <c r="D202" t="s">
        <v>330</v>
      </c>
      <c r="E202">
        <v>999500</v>
      </c>
      <c r="F202">
        <v>999500</v>
      </c>
    </row>
    <row r="203" spans="1:6">
      <c r="A203" s="22">
        <v>46220</v>
      </c>
      <c r="B203" s="10">
        <v>0.375</v>
      </c>
      <c r="C203">
        <v>6305</v>
      </c>
      <c r="D203" t="s">
        <v>331</v>
      </c>
      <c r="E203">
        <v>509000</v>
      </c>
      <c r="F203">
        <v>509000</v>
      </c>
    </row>
    <row r="204" spans="1:6">
      <c r="A204" s="22">
        <v>46220</v>
      </c>
      <c r="B204" s="10">
        <v>0.375</v>
      </c>
      <c r="C204">
        <v>8015</v>
      </c>
      <c r="D204" t="s">
        <v>332</v>
      </c>
      <c r="E204">
        <v>2015400</v>
      </c>
      <c r="F204">
        <v>2015400</v>
      </c>
    </row>
    <row r="205" spans="1:6">
      <c r="A205" s="22">
        <v>46220</v>
      </c>
      <c r="B205" s="10">
        <v>0.375</v>
      </c>
      <c r="C205">
        <v>6758</v>
      </c>
      <c r="D205" t="s">
        <v>333</v>
      </c>
      <c r="E205">
        <v>16320600</v>
      </c>
      <c r="F205">
        <v>16320600</v>
      </c>
    </row>
    <row r="206" spans="1:6">
      <c r="A206" s="22">
        <v>46220</v>
      </c>
      <c r="B206" s="10">
        <v>0.375</v>
      </c>
      <c r="C206">
        <v>9101</v>
      </c>
      <c r="D206" t="s">
        <v>334</v>
      </c>
      <c r="E206">
        <v>3375000</v>
      </c>
      <c r="F206">
        <v>3375000</v>
      </c>
    </row>
    <row r="207" spans="1:6">
      <c r="A207" s="22">
        <v>46220</v>
      </c>
      <c r="B207" s="10">
        <v>0.375</v>
      </c>
      <c r="C207">
        <v>7011</v>
      </c>
      <c r="D207" t="s">
        <v>335</v>
      </c>
      <c r="E207">
        <v>16919300</v>
      </c>
      <c r="F207">
        <v>16919300</v>
      </c>
    </row>
    <row r="208" spans="1:6">
      <c r="A208" s="22">
        <v>46220</v>
      </c>
      <c r="B208" s="10">
        <v>0.375</v>
      </c>
      <c r="C208">
        <v>1812</v>
      </c>
      <c r="D208" t="s">
        <v>336</v>
      </c>
      <c r="E208">
        <v>1069500</v>
      </c>
      <c r="F208">
        <v>1069500</v>
      </c>
    </row>
    <row r="209" spans="1:6">
      <c r="A209" s="22">
        <v>46220</v>
      </c>
      <c r="B209" s="10">
        <v>0.375</v>
      </c>
      <c r="C209">
        <v>6861</v>
      </c>
      <c r="D209" t="s">
        <v>337</v>
      </c>
      <c r="E209">
        <v>636600</v>
      </c>
      <c r="F209">
        <v>636600</v>
      </c>
    </row>
    <row r="210" spans="1:6">
      <c r="A210" s="22">
        <v>46220</v>
      </c>
      <c r="B210" s="10">
        <v>0.375</v>
      </c>
      <c r="C210">
        <v>6324</v>
      </c>
      <c r="D210" t="s">
        <v>338</v>
      </c>
      <c r="E210">
        <v>1665600</v>
      </c>
      <c r="F210">
        <v>1665600</v>
      </c>
    </row>
    <row r="211" spans="1:6">
      <c r="A211" s="22">
        <v>46220</v>
      </c>
      <c r="B211" s="10">
        <v>0.375</v>
      </c>
      <c r="C211">
        <v>6273</v>
      </c>
      <c r="D211" t="s">
        <v>339</v>
      </c>
      <c r="E211">
        <v>310500</v>
      </c>
      <c r="F211">
        <v>310500</v>
      </c>
    </row>
    <row r="212" spans="1:6">
      <c r="A212" s="22">
        <v>46220</v>
      </c>
      <c r="B212" s="10">
        <v>0.375</v>
      </c>
      <c r="C212">
        <v>4502</v>
      </c>
      <c r="D212" t="s">
        <v>340</v>
      </c>
      <c r="E212">
        <v>3358900</v>
      </c>
      <c r="F212">
        <v>3358900</v>
      </c>
    </row>
    <row r="213" spans="1:6">
      <c r="A213" s="22">
        <v>46220</v>
      </c>
      <c r="B213" s="10">
        <v>0.375</v>
      </c>
      <c r="C213">
        <v>4004</v>
      </c>
      <c r="D213" t="s">
        <v>341</v>
      </c>
      <c r="E213">
        <v>2517500</v>
      </c>
      <c r="F213">
        <v>2517500</v>
      </c>
    </row>
    <row r="214" spans="1:6">
      <c r="A214" s="22">
        <v>46220</v>
      </c>
      <c r="B214" s="10">
        <v>0.375</v>
      </c>
      <c r="C214">
        <v>9519</v>
      </c>
      <c r="D214" t="s">
        <v>342</v>
      </c>
      <c r="E214">
        <v>726100</v>
      </c>
      <c r="F214">
        <v>726100</v>
      </c>
    </row>
    <row r="215" spans="1:6">
      <c r="A215" s="22">
        <v>46220</v>
      </c>
      <c r="B215" s="10">
        <v>0.375</v>
      </c>
      <c r="C215">
        <v>6752</v>
      </c>
      <c r="D215" t="s">
        <v>343</v>
      </c>
      <c r="E215">
        <v>8290200</v>
      </c>
      <c r="F215">
        <v>8290200</v>
      </c>
    </row>
    <row r="216" spans="1:6">
      <c r="A216" s="22">
        <v>46220</v>
      </c>
      <c r="B216" s="10">
        <v>0.375</v>
      </c>
      <c r="C216">
        <v>6622</v>
      </c>
      <c r="D216" t="s">
        <v>344</v>
      </c>
      <c r="E216">
        <v>401700</v>
      </c>
      <c r="F216">
        <v>401700</v>
      </c>
    </row>
    <row r="217" spans="1:6">
      <c r="A217" s="22">
        <v>46220</v>
      </c>
      <c r="B217" s="10">
        <v>0.375</v>
      </c>
      <c r="C217">
        <v>1407</v>
      </c>
      <c r="D217" t="s">
        <v>345</v>
      </c>
      <c r="E217">
        <v>767100</v>
      </c>
      <c r="F217">
        <v>767100</v>
      </c>
    </row>
    <row r="218" spans="1:6">
      <c r="A218" s="22">
        <v>46220</v>
      </c>
      <c r="B218" s="10">
        <v>0.375</v>
      </c>
      <c r="C218" t="s">
        <v>46</v>
      </c>
      <c r="D218" t="s">
        <v>346</v>
      </c>
      <c r="E218">
        <v>40153500</v>
      </c>
      <c r="F218">
        <v>40153500</v>
      </c>
    </row>
    <row r="219" spans="1:6">
      <c r="A219" s="22">
        <v>46220</v>
      </c>
      <c r="B219" s="10">
        <v>0.375</v>
      </c>
      <c r="C219" t="s">
        <v>47</v>
      </c>
      <c r="D219" t="s">
        <v>347</v>
      </c>
      <c r="E219">
        <v>550800</v>
      </c>
      <c r="F219">
        <v>550800</v>
      </c>
    </row>
    <row r="220" spans="1:6">
      <c r="A220" s="22">
        <v>46220</v>
      </c>
      <c r="B220" s="10">
        <v>0.375</v>
      </c>
      <c r="C220" t="s">
        <v>48</v>
      </c>
      <c r="D220" t="s">
        <v>348</v>
      </c>
      <c r="E220">
        <v>2340400</v>
      </c>
      <c r="F220">
        <v>2340400</v>
      </c>
    </row>
    <row r="221" spans="1:6">
      <c r="A221" s="22">
        <v>46220</v>
      </c>
      <c r="B221" s="10">
        <v>0.375</v>
      </c>
      <c r="C221" t="s">
        <v>49</v>
      </c>
      <c r="D221" t="s">
        <v>349</v>
      </c>
      <c r="E221">
        <v>5398400</v>
      </c>
      <c r="F221">
        <v>5398400</v>
      </c>
    </row>
    <row r="222" spans="1:6">
      <c r="A222" s="22">
        <v>46220</v>
      </c>
      <c r="B222" s="10">
        <v>0.375</v>
      </c>
      <c r="C222">
        <v>1570</v>
      </c>
      <c r="D222" t="s">
        <v>350</v>
      </c>
      <c r="E222">
        <v>5166865</v>
      </c>
      <c r="F222">
        <v>5166865</v>
      </c>
    </row>
    <row r="223" spans="1:6">
      <c r="A223" s="22">
        <v>46220</v>
      </c>
      <c r="B223" s="10">
        <v>0.375</v>
      </c>
      <c r="C223">
        <v>6135</v>
      </c>
      <c r="D223" t="s">
        <v>351</v>
      </c>
      <c r="E223">
        <v>279000</v>
      </c>
      <c r="F223">
        <v>279000</v>
      </c>
    </row>
    <row r="224" spans="1:6">
      <c r="A224" s="22">
        <v>46220</v>
      </c>
      <c r="B224" s="10">
        <v>0.375</v>
      </c>
      <c r="C224">
        <v>6055</v>
      </c>
      <c r="D224" t="s">
        <v>352</v>
      </c>
      <c r="E224">
        <v>814400</v>
      </c>
      <c r="F224">
        <v>814400</v>
      </c>
    </row>
    <row r="225" spans="1:6">
      <c r="A225" s="22">
        <v>46220</v>
      </c>
      <c r="B225" s="10">
        <v>0.375</v>
      </c>
      <c r="C225">
        <v>6862</v>
      </c>
      <c r="D225" t="s">
        <v>353</v>
      </c>
      <c r="E225">
        <v>419800</v>
      </c>
      <c r="F225">
        <v>419800</v>
      </c>
    </row>
    <row r="226" spans="1:6">
      <c r="A226" s="22">
        <v>46220</v>
      </c>
      <c r="B226" s="10">
        <v>0.375</v>
      </c>
      <c r="C226">
        <v>2267</v>
      </c>
      <c r="D226" t="s">
        <v>354</v>
      </c>
      <c r="E226">
        <v>727900</v>
      </c>
      <c r="F226">
        <v>727900</v>
      </c>
    </row>
    <row r="227" spans="1:6">
      <c r="A227" s="22">
        <v>46220</v>
      </c>
      <c r="B227" s="10">
        <v>0.375</v>
      </c>
      <c r="C227">
        <v>1618</v>
      </c>
      <c r="D227" t="s">
        <v>355</v>
      </c>
      <c r="E227">
        <v>1429</v>
      </c>
      <c r="F227">
        <v>1429</v>
      </c>
    </row>
    <row r="228" spans="1:6">
      <c r="A228" s="22">
        <v>46220</v>
      </c>
      <c r="B228" s="10">
        <v>0.375</v>
      </c>
      <c r="C228">
        <v>3696</v>
      </c>
      <c r="D228" t="s">
        <v>356</v>
      </c>
      <c r="E228">
        <v>97000</v>
      </c>
      <c r="F228">
        <v>97000</v>
      </c>
    </row>
    <row r="229" spans="1:6">
      <c r="A229" s="22">
        <v>46220</v>
      </c>
      <c r="B229" s="10">
        <v>0.375</v>
      </c>
      <c r="C229">
        <v>4222</v>
      </c>
      <c r="D229" t="s">
        <v>357</v>
      </c>
      <c r="E229">
        <v>336400</v>
      </c>
      <c r="F229">
        <v>336400</v>
      </c>
    </row>
    <row r="230" spans="1:6">
      <c r="A230" s="22">
        <v>46220</v>
      </c>
      <c r="B230" s="10">
        <v>0.375</v>
      </c>
      <c r="C230">
        <v>3563</v>
      </c>
      <c r="D230" t="s">
        <v>358</v>
      </c>
      <c r="E230">
        <v>1501000</v>
      </c>
      <c r="F230">
        <v>1501000</v>
      </c>
    </row>
    <row r="231" spans="1:6">
      <c r="A231" s="22">
        <v>46220</v>
      </c>
      <c r="B231" s="10">
        <v>0.375</v>
      </c>
      <c r="C231">
        <v>7013</v>
      </c>
      <c r="D231" t="s">
        <v>359</v>
      </c>
      <c r="E231">
        <v>11922500</v>
      </c>
      <c r="F231">
        <v>11922500</v>
      </c>
    </row>
    <row r="232" spans="1:6">
      <c r="A232" s="22">
        <v>46220</v>
      </c>
      <c r="B232" s="10">
        <v>0.375</v>
      </c>
      <c r="C232">
        <v>8793</v>
      </c>
      <c r="D232" t="s">
        <v>360</v>
      </c>
      <c r="E232">
        <v>18400</v>
      </c>
      <c r="F232">
        <v>18400</v>
      </c>
    </row>
    <row r="233" spans="1:6">
      <c r="A233" s="22">
        <v>46220</v>
      </c>
      <c r="B233" s="10">
        <v>0.375</v>
      </c>
      <c r="C233">
        <v>9962</v>
      </c>
      <c r="D233" t="s">
        <v>361</v>
      </c>
      <c r="E233">
        <v>824700</v>
      </c>
      <c r="F233">
        <v>824700</v>
      </c>
    </row>
    <row r="234" spans="1:6">
      <c r="A234" s="22">
        <v>46220</v>
      </c>
      <c r="B234" s="10">
        <v>0.375</v>
      </c>
      <c r="C234">
        <v>6762</v>
      </c>
      <c r="D234" t="s">
        <v>362</v>
      </c>
      <c r="E234">
        <v>12746000</v>
      </c>
      <c r="F234">
        <v>12746000</v>
      </c>
    </row>
    <row r="235" spans="1:6">
      <c r="A235" s="22">
        <v>46220</v>
      </c>
      <c r="B235" s="10">
        <v>0.375</v>
      </c>
      <c r="C235">
        <v>4392</v>
      </c>
      <c r="D235" t="s">
        <v>363</v>
      </c>
      <c r="E235">
        <v>1436800</v>
      </c>
      <c r="F235">
        <v>1436800</v>
      </c>
    </row>
    <row r="236" spans="1:6">
      <c r="A236" s="22">
        <v>46220</v>
      </c>
      <c r="B236" s="10">
        <v>0.375</v>
      </c>
      <c r="C236">
        <v>8005</v>
      </c>
      <c r="D236" t="s">
        <v>364</v>
      </c>
      <c r="E236">
        <v>133100</v>
      </c>
      <c r="F236">
        <v>133100</v>
      </c>
    </row>
    <row r="237" spans="1:6">
      <c r="A237" s="22">
        <v>46220</v>
      </c>
      <c r="B237" s="10">
        <v>0.375</v>
      </c>
      <c r="C237">
        <v>2326</v>
      </c>
      <c r="D237" t="s">
        <v>365</v>
      </c>
      <c r="E237">
        <v>183000</v>
      </c>
      <c r="F237">
        <v>183000</v>
      </c>
    </row>
    <row r="238" spans="1:6">
      <c r="A238" s="22">
        <v>46220</v>
      </c>
      <c r="B238" s="10">
        <v>0.375</v>
      </c>
      <c r="C238">
        <v>6809</v>
      </c>
      <c r="D238" t="s">
        <v>366</v>
      </c>
      <c r="E238">
        <v>60100</v>
      </c>
      <c r="F238">
        <v>60100</v>
      </c>
    </row>
    <row r="239" spans="1:6">
      <c r="A239" s="22">
        <v>46220</v>
      </c>
      <c r="B239" s="10">
        <v>0.375</v>
      </c>
      <c r="C239">
        <v>3984</v>
      </c>
      <c r="D239" t="s">
        <v>367</v>
      </c>
      <c r="E239">
        <v>47200</v>
      </c>
      <c r="F239">
        <v>47200</v>
      </c>
    </row>
    <row r="240" spans="1:6">
      <c r="A240" s="22">
        <v>46220</v>
      </c>
      <c r="B240" s="10">
        <v>0.375</v>
      </c>
      <c r="C240">
        <v>7609</v>
      </c>
      <c r="D240" t="s">
        <v>368</v>
      </c>
      <c r="E240">
        <v>96900</v>
      </c>
      <c r="F240">
        <v>96900</v>
      </c>
    </row>
    <row r="241" spans="1:6">
      <c r="A241" s="22">
        <v>46220</v>
      </c>
      <c r="B241" s="10">
        <v>0.375</v>
      </c>
      <c r="C241">
        <v>7972</v>
      </c>
      <c r="D241" t="s">
        <v>369</v>
      </c>
      <c r="E241">
        <v>145500</v>
      </c>
      <c r="F241">
        <v>145500</v>
      </c>
    </row>
    <row r="242" spans="1:6">
      <c r="A242" s="22">
        <v>46220</v>
      </c>
      <c r="B242" s="10">
        <v>0.375</v>
      </c>
      <c r="C242">
        <v>6521</v>
      </c>
      <c r="D242" t="s">
        <v>370</v>
      </c>
      <c r="E242">
        <v>376600</v>
      </c>
      <c r="F242">
        <v>376600</v>
      </c>
    </row>
    <row r="243" spans="1:6">
      <c r="A243" s="22">
        <v>46220</v>
      </c>
      <c r="B243" s="10">
        <v>0.375</v>
      </c>
      <c r="C243">
        <v>9165</v>
      </c>
      <c r="D243" t="s">
        <v>371</v>
      </c>
      <c r="E243">
        <v>15800</v>
      </c>
      <c r="F243">
        <v>15800</v>
      </c>
    </row>
    <row r="244" spans="1:6">
      <c r="A244" s="22">
        <v>46220</v>
      </c>
      <c r="B244" s="10">
        <v>0.375</v>
      </c>
      <c r="C244">
        <v>6902</v>
      </c>
      <c r="D244" t="s">
        <v>372</v>
      </c>
      <c r="E244">
        <v>3898800</v>
      </c>
      <c r="F244">
        <v>3898800</v>
      </c>
    </row>
    <row r="245" spans="1:6">
      <c r="A245" s="22">
        <v>46220</v>
      </c>
      <c r="B245" s="10">
        <v>0.375</v>
      </c>
      <c r="C245">
        <v>3936</v>
      </c>
      <c r="D245" t="s">
        <v>373</v>
      </c>
      <c r="E245">
        <v>772400</v>
      </c>
      <c r="F245">
        <v>772400</v>
      </c>
    </row>
    <row r="246" spans="1:6">
      <c r="A246" s="22">
        <v>46220</v>
      </c>
      <c r="B246" s="10">
        <v>0.375</v>
      </c>
      <c r="C246">
        <v>6928</v>
      </c>
      <c r="D246" t="s">
        <v>374</v>
      </c>
      <c r="E246">
        <v>41900</v>
      </c>
      <c r="F246">
        <v>41900</v>
      </c>
    </row>
    <row r="247" spans="1:6">
      <c r="A247" s="22">
        <v>46220</v>
      </c>
      <c r="B247" s="10">
        <v>0.375</v>
      </c>
      <c r="C247">
        <v>5632</v>
      </c>
      <c r="D247" t="s">
        <v>375</v>
      </c>
      <c r="E247">
        <v>84300</v>
      </c>
      <c r="F247">
        <v>84300</v>
      </c>
    </row>
    <row r="248" spans="1:6">
      <c r="A248" s="22">
        <v>46220</v>
      </c>
      <c r="B248" s="10">
        <v>0.375</v>
      </c>
      <c r="C248">
        <v>6098</v>
      </c>
      <c r="D248" t="s">
        <v>376</v>
      </c>
      <c r="E248">
        <v>2416000</v>
      </c>
      <c r="F248">
        <v>2416000</v>
      </c>
    </row>
    <row r="249" spans="1:6">
      <c r="A249" s="22">
        <v>46220</v>
      </c>
      <c r="B249" s="10">
        <v>0.375</v>
      </c>
      <c r="C249">
        <v>6361</v>
      </c>
      <c r="D249" t="s">
        <v>377</v>
      </c>
      <c r="E249">
        <v>2799400</v>
      </c>
      <c r="F249">
        <v>2799400</v>
      </c>
    </row>
    <row r="250" spans="1:6">
      <c r="A250" s="22">
        <v>46220</v>
      </c>
      <c r="B250" s="10">
        <v>0.375</v>
      </c>
      <c r="C250" t="s">
        <v>78</v>
      </c>
      <c r="D250" t="s">
        <v>378</v>
      </c>
      <c r="E250">
        <v>86800</v>
      </c>
      <c r="F250">
        <v>86800</v>
      </c>
    </row>
    <row r="251" spans="1:6">
      <c r="A251" s="22">
        <v>46220</v>
      </c>
      <c r="B251" s="10">
        <v>0.375</v>
      </c>
      <c r="C251" t="s">
        <v>79</v>
      </c>
      <c r="D251" t="s">
        <v>379</v>
      </c>
      <c r="E251">
        <v>3376500</v>
      </c>
      <c r="F251">
        <v>3376500</v>
      </c>
    </row>
    <row r="252" spans="1:6">
      <c r="A252" s="22">
        <v>46220</v>
      </c>
      <c r="B252" s="10">
        <v>0.375</v>
      </c>
      <c r="C252" t="s">
        <v>80</v>
      </c>
      <c r="D252" t="s">
        <v>380</v>
      </c>
      <c r="E252">
        <v>10700</v>
      </c>
      <c r="F252">
        <v>10700</v>
      </c>
    </row>
    <row r="253" spans="1:6">
      <c r="A253" s="22">
        <v>46220</v>
      </c>
      <c r="B253" s="10">
        <v>0.375</v>
      </c>
      <c r="C253">
        <v>4776</v>
      </c>
      <c r="D253" t="s">
        <v>381</v>
      </c>
      <c r="E253">
        <v>164400</v>
      </c>
      <c r="F253">
        <v>164400</v>
      </c>
    </row>
    <row r="254" spans="1:6">
      <c r="A254" s="22">
        <v>46220</v>
      </c>
      <c r="B254" s="10">
        <v>0.375</v>
      </c>
      <c r="C254">
        <v>4704</v>
      </c>
      <c r="D254" t="s">
        <v>382</v>
      </c>
      <c r="E254">
        <v>906000</v>
      </c>
      <c r="F254">
        <v>906000</v>
      </c>
    </row>
    <row r="255" spans="1:6">
      <c r="A255" s="22">
        <v>46220</v>
      </c>
      <c r="B255" s="10">
        <v>0.375</v>
      </c>
      <c r="C255">
        <v>6370</v>
      </c>
      <c r="D255" t="s">
        <v>383</v>
      </c>
      <c r="E255">
        <v>423000</v>
      </c>
      <c r="F255">
        <v>423000</v>
      </c>
    </row>
    <row r="256" spans="1:6">
      <c r="A256" s="22">
        <v>46220</v>
      </c>
      <c r="B256" s="10">
        <v>0.375</v>
      </c>
      <c r="C256">
        <v>7014</v>
      </c>
      <c r="D256" t="s">
        <v>384</v>
      </c>
      <c r="E256">
        <v>1147900</v>
      </c>
      <c r="F256">
        <v>1147900</v>
      </c>
    </row>
    <row r="257" spans="1:6">
      <c r="A257" s="22">
        <v>46220</v>
      </c>
      <c r="B257" s="10">
        <v>0.375</v>
      </c>
      <c r="C257">
        <v>9880</v>
      </c>
      <c r="D257" t="s">
        <v>385</v>
      </c>
      <c r="E257">
        <v>187200</v>
      </c>
      <c r="F257">
        <v>187200</v>
      </c>
    </row>
    <row r="258" spans="1:6">
      <c r="A258" s="22">
        <v>46220</v>
      </c>
      <c r="B258" s="10">
        <v>0.375</v>
      </c>
      <c r="C258">
        <v>5253</v>
      </c>
      <c r="D258" t="s">
        <v>386</v>
      </c>
      <c r="E258">
        <v>1013900</v>
      </c>
      <c r="F258">
        <v>1013900</v>
      </c>
    </row>
    <row r="259" spans="1:6">
      <c r="A259" s="22">
        <v>46220</v>
      </c>
      <c r="B259" s="10">
        <v>0.375</v>
      </c>
      <c r="C259">
        <v>9104</v>
      </c>
      <c r="D259" t="s">
        <v>387</v>
      </c>
      <c r="E259">
        <v>1843500</v>
      </c>
      <c r="F259">
        <v>1843500</v>
      </c>
    </row>
    <row r="260" spans="1:6">
      <c r="A260" s="22">
        <v>46220</v>
      </c>
      <c r="B260" s="10">
        <v>0.375</v>
      </c>
      <c r="C260">
        <v>6366</v>
      </c>
      <c r="D260" t="s">
        <v>388</v>
      </c>
      <c r="E260">
        <v>4055900</v>
      </c>
      <c r="F260">
        <v>4055900</v>
      </c>
    </row>
    <row r="261" spans="1:6">
      <c r="A261" s="22">
        <v>46220</v>
      </c>
      <c r="B261" s="10">
        <v>0.375</v>
      </c>
      <c r="C261">
        <v>6140</v>
      </c>
      <c r="D261" t="s">
        <v>389</v>
      </c>
      <c r="E261">
        <v>742400</v>
      </c>
      <c r="F261">
        <v>742400</v>
      </c>
    </row>
    <row r="262" spans="1:6">
      <c r="A262" s="22">
        <v>46220</v>
      </c>
      <c r="B262" s="10">
        <v>0.375</v>
      </c>
      <c r="C262">
        <v>1514</v>
      </c>
      <c r="D262" t="s">
        <v>390</v>
      </c>
      <c r="E262">
        <v>370900</v>
      </c>
      <c r="F262">
        <v>370900</v>
      </c>
    </row>
    <row r="263" spans="1:6">
      <c r="A263" s="22">
        <v>46220</v>
      </c>
      <c r="B263" s="10">
        <v>0.375</v>
      </c>
      <c r="C263">
        <v>5631</v>
      </c>
      <c r="D263" t="s">
        <v>391</v>
      </c>
      <c r="E263">
        <v>986800</v>
      </c>
      <c r="F263">
        <v>986800</v>
      </c>
    </row>
    <row r="264" spans="1:6">
      <c r="A264" s="22">
        <v>46220</v>
      </c>
      <c r="B264" s="10">
        <v>0.375</v>
      </c>
      <c r="C264">
        <v>6674</v>
      </c>
      <c r="D264" t="s">
        <v>392</v>
      </c>
      <c r="E264">
        <v>611000</v>
      </c>
      <c r="F264">
        <v>611000</v>
      </c>
    </row>
    <row r="265" spans="1:6">
      <c r="A265" s="22">
        <v>46220</v>
      </c>
      <c r="B265" s="10">
        <v>0.375</v>
      </c>
      <c r="C265">
        <v>6955</v>
      </c>
      <c r="D265" t="s">
        <v>393</v>
      </c>
      <c r="E265">
        <v>252200</v>
      </c>
      <c r="F265">
        <v>252200</v>
      </c>
    </row>
    <row r="266" spans="1:6">
      <c r="A266" s="22">
        <v>46220</v>
      </c>
      <c r="B266" s="10">
        <v>0.375</v>
      </c>
      <c r="C266" t="s">
        <v>94</v>
      </c>
      <c r="D266" t="s">
        <v>394</v>
      </c>
      <c r="E266">
        <v>242400</v>
      </c>
      <c r="F266">
        <v>242400</v>
      </c>
    </row>
    <row r="267" spans="1:6">
      <c r="A267" s="22">
        <v>46220</v>
      </c>
      <c r="B267" s="10">
        <v>0.375</v>
      </c>
      <c r="C267">
        <v>6356</v>
      </c>
      <c r="D267" t="s">
        <v>395</v>
      </c>
      <c r="E267">
        <v>330400</v>
      </c>
      <c r="F267">
        <v>330400</v>
      </c>
    </row>
    <row r="268" spans="1:6">
      <c r="A268" s="22">
        <v>46220</v>
      </c>
      <c r="B268" s="10">
        <v>0.375</v>
      </c>
      <c r="C268">
        <v>7711</v>
      </c>
      <c r="D268" t="s">
        <v>396</v>
      </c>
      <c r="E268">
        <v>142700</v>
      </c>
      <c r="F268">
        <v>142700</v>
      </c>
    </row>
    <row r="269" spans="1:6">
      <c r="A269" s="22">
        <v>46220</v>
      </c>
      <c r="B269" s="10">
        <v>0.375</v>
      </c>
      <c r="C269">
        <v>6376</v>
      </c>
      <c r="D269" t="s">
        <v>397</v>
      </c>
      <c r="E269">
        <v>625800</v>
      </c>
      <c r="F269">
        <v>625800</v>
      </c>
    </row>
    <row r="270" spans="1:6">
      <c r="A270" s="22">
        <v>46220</v>
      </c>
      <c r="B270" s="10">
        <v>0.375</v>
      </c>
      <c r="C270">
        <v>9115</v>
      </c>
      <c r="D270" t="s">
        <v>398</v>
      </c>
      <c r="E270">
        <v>65100</v>
      </c>
      <c r="F270">
        <v>65100</v>
      </c>
    </row>
    <row r="271" spans="1:6">
      <c r="A271" s="22">
        <v>46220</v>
      </c>
      <c r="B271" s="10">
        <v>0.375</v>
      </c>
      <c r="C271">
        <v>3864</v>
      </c>
      <c r="D271" t="s">
        <v>399</v>
      </c>
      <c r="E271">
        <v>130300</v>
      </c>
      <c r="F271">
        <v>130300</v>
      </c>
    </row>
    <row r="272" spans="1:6">
      <c r="A272" s="22">
        <v>46220</v>
      </c>
      <c r="B272" s="10">
        <v>0.375</v>
      </c>
      <c r="C272">
        <v>6997</v>
      </c>
      <c r="D272" t="s">
        <v>400</v>
      </c>
      <c r="E272">
        <v>1197700</v>
      </c>
      <c r="F272">
        <v>1197700</v>
      </c>
    </row>
    <row r="273" spans="1:6">
      <c r="A273" s="22">
        <v>46220</v>
      </c>
      <c r="B273" s="10">
        <v>0.375</v>
      </c>
      <c r="C273">
        <v>4544</v>
      </c>
      <c r="D273" t="s">
        <v>401</v>
      </c>
      <c r="E273">
        <v>96200</v>
      </c>
      <c r="F273">
        <v>96200</v>
      </c>
    </row>
    <row r="274" spans="1:6">
      <c r="A274" s="22">
        <v>46220</v>
      </c>
      <c r="B274" s="10">
        <v>0.375</v>
      </c>
      <c r="C274">
        <v>6848</v>
      </c>
      <c r="D274" t="s">
        <v>402</v>
      </c>
      <c r="E274">
        <v>4900</v>
      </c>
      <c r="F274">
        <v>4900</v>
      </c>
    </row>
    <row r="275" spans="1:6">
      <c r="A275" s="22">
        <v>46220</v>
      </c>
      <c r="B275" s="10">
        <v>0.375</v>
      </c>
      <c r="C275">
        <v>5702</v>
      </c>
      <c r="D275" t="s">
        <v>403</v>
      </c>
      <c r="E275">
        <v>418800</v>
      </c>
      <c r="F275">
        <v>418800</v>
      </c>
    </row>
    <row r="276" spans="1:6">
      <c r="A276" s="22">
        <v>46220</v>
      </c>
      <c r="B276" s="10">
        <v>0.375</v>
      </c>
      <c r="C276">
        <v>7952</v>
      </c>
      <c r="D276" t="s">
        <v>404</v>
      </c>
      <c r="E276">
        <v>52500</v>
      </c>
      <c r="F276">
        <v>52500</v>
      </c>
    </row>
    <row r="277" spans="1:6">
      <c r="A277" s="22">
        <v>46220</v>
      </c>
      <c r="B277" s="10">
        <v>0.375</v>
      </c>
      <c r="C277">
        <v>3002</v>
      </c>
      <c r="D277" t="s">
        <v>405</v>
      </c>
      <c r="E277">
        <v>91200</v>
      </c>
      <c r="F277">
        <v>91200</v>
      </c>
    </row>
    <row r="278" spans="1:6">
      <c r="A278" s="22">
        <v>46220</v>
      </c>
      <c r="B278" s="10">
        <v>0.375</v>
      </c>
      <c r="C278">
        <v>8871</v>
      </c>
      <c r="D278" t="s">
        <v>406</v>
      </c>
      <c r="E278">
        <v>110800</v>
      </c>
      <c r="F278">
        <v>110800</v>
      </c>
    </row>
    <row r="279" spans="1:6">
      <c r="A279" s="22">
        <v>46220</v>
      </c>
      <c r="B279" s="10">
        <v>0.375</v>
      </c>
      <c r="C279">
        <v>6918</v>
      </c>
      <c r="D279" t="s">
        <v>407</v>
      </c>
      <c r="E279">
        <v>62100</v>
      </c>
      <c r="F279">
        <v>62100</v>
      </c>
    </row>
    <row r="280" spans="1:6">
      <c r="A280" s="22">
        <v>46220</v>
      </c>
      <c r="B280" s="10">
        <v>0.375</v>
      </c>
      <c r="C280">
        <v>6488</v>
      </c>
      <c r="D280" t="s">
        <v>408</v>
      </c>
      <c r="E280">
        <v>7500</v>
      </c>
      <c r="F280">
        <v>7500</v>
      </c>
    </row>
    <row r="281" spans="1:6">
      <c r="A281" s="22">
        <v>46220</v>
      </c>
      <c r="B281" s="10">
        <v>0.375</v>
      </c>
      <c r="C281">
        <v>8007</v>
      </c>
      <c r="D281" t="s">
        <v>409</v>
      </c>
      <c r="E281">
        <v>110700</v>
      </c>
      <c r="F281">
        <v>110700</v>
      </c>
    </row>
    <row r="282" spans="1:6">
      <c r="A282" s="22">
        <v>46220</v>
      </c>
      <c r="B282" s="10">
        <v>0.375</v>
      </c>
      <c r="C282">
        <v>4218</v>
      </c>
      <c r="D282" t="s">
        <v>410</v>
      </c>
      <c r="E282">
        <v>13500</v>
      </c>
      <c r="F282">
        <v>13500</v>
      </c>
    </row>
    <row r="283" spans="1:6">
      <c r="A283" s="22">
        <v>46220</v>
      </c>
      <c r="B283" s="10">
        <v>0.375</v>
      </c>
      <c r="C283">
        <v>7735</v>
      </c>
      <c r="D283" t="s">
        <v>411</v>
      </c>
      <c r="E283">
        <v>4133800</v>
      </c>
      <c r="F283">
        <v>4133800</v>
      </c>
    </row>
    <row r="284" spans="1:6">
      <c r="A284" s="22">
        <v>46220</v>
      </c>
      <c r="B284" s="10">
        <v>0.375</v>
      </c>
      <c r="C284">
        <v>3905</v>
      </c>
      <c r="D284" t="s">
        <v>412</v>
      </c>
      <c r="E284">
        <v>1741700</v>
      </c>
      <c r="F284">
        <v>1741700</v>
      </c>
    </row>
    <row r="285" spans="1:6">
      <c r="A285" s="22">
        <v>46220</v>
      </c>
      <c r="B285" s="10">
        <v>0.375</v>
      </c>
      <c r="C285">
        <v>3397</v>
      </c>
      <c r="D285" t="s">
        <v>413</v>
      </c>
      <c r="E285">
        <v>285200</v>
      </c>
      <c r="F285">
        <v>285200</v>
      </c>
    </row>
    <row r="286" spans="1:6">
      <c r="A286" s="22">
        <v>46220</v>
      </c>
      <c r="B286" s="10">
        <v>0.375</v>
      </c>
      <c r="C286">
        <v>7270</v>
      </c>
      <c r="D286" t="s">
        <v>414</v>
      </c>
      <c r="E286">
        <v>2393600</v>
      </c>
      <c r="F286">
        <v>2393600</v>
      </c>
    </row>
    <row r="287" spans="1:6">
      <c r="A287" s="22">
        <v>46220</v>
      </c>
      <c r="B287" s="10">
        <v>0.375</v>
      </c>
      <c r="C287">
        <v>6736</v>
      </c>
      <c r="D287" t="s">
        <v>415</v>
      </c>
      <c r="E287">
        <v>7100</v>
      </c>
      <c r="F287">
        <v>7100</v>
      </c>
    </row>
    <row r="288" spans="1:6">
      <c r="A288" s="22">
        <v>46220</v>
      </c>
      <c r="B288" s="10">
        <v>0.375</v>
      </c>
      <c r="C288">
        <v>2933</v>
      </c>
      <c r="D288" t="s">
        <v>416</v>
      </c>
      <c r="E288">
        <v>30900</v>
      </c>
      <c r="F288">
        <v>30900</v>
      </c>
    </row>
    <row r="289" spans="1:6">
      <c r="A289" s="22">
        <v>46220</v>
      </c>
      <c r="B289" s="10">
        <v>0.375</v>
      </c>
      <c r="C289">
        <v>4047</v>
      </c>
      <c r="D289" t="s">
        <v>417</v>
      </c>
      <c r="E289">
        <v>764500</v>
      </c>
      <c r="F289">
        <v>764500</v>
      </c>
    </row>
    <row r="290" spans="1:6">
      <c r="A290" s="22">
        <v>46220</v>
      </c>
      <c r="B290" s="10">
        <v>0.375</v>
      </c>
      <c r="C290">
        <v>6482</v>
      </c>
      <c r="D290" t="s">
        <v>418</v>
      </c>
      <c r="E290">
        <v>75300</v>
      </c>
      <c r="F290">
        <v>75300</v>
      </c>
    </row>
    <row r="291" spans="1:6">
      <c r="A291" s="22">
        <v>46220</v>
      </c>
      <c r="B291" s="10">
        <v>0.375</v>
      </c>
      <c r="C291">
        <v>6706</v>
      </c>
      <c r="D291" t="s">
        <v>419</v>
      </c>
      <c r="E291">
        <v>29900</v>
      </c>
      <c r="F291">
        <v>29900</v>
      </c>
    </row>
    <row r="292" spans="1:6">
      <c r="A292" s="22">
        <v>46220</v>
      </c>
      <c r="B292" s="10">
        <v>0.375</v>
      </c>
      <c r="C292">
        <v>8141</v>
      </c>
      <c r="D292" t="s">
        <v>420</v>
      </c>
      <c r="E292">
        <v>106800</v>
      </c>
      <c r="F292">
        <v>106800</v>
      </c>
    </row>
    <row r="293" spans="1:6">
      <c r="A293" s="22">
        <v>46220</v>
      </c>
      <c r="B293" s="10">
        <v>0.375</v>
      </c>
      <c r="C293">
        <v>8344</v>
      </c>
      <c r="D293" t="s">
        <v>421</v>
      </c>
      <c r="E293">
        <v>137000</v>
      </c>
      <c r="F293">
        <v>137000</v>
      </c>
    </row>
    <row r="294" spans="1:6">
      <c r="A294" s="22">
        <v>46220</v>
      </c>
      <c r="B294" s="10">
        <v>0.375</v>
      </c>
      <c r="C294">
        <v>7414</v>
      </c>
      <c r="D294" t="s">
        <v>422</v>
      </c>
      <c r="E294">
        <v>55600</v>
      </c>
      <c r="F294">
        <v>55600</v>
      </c>
    </row>
    <row r="295" spans="1:6">
      <c r="A295" s="22">
        <v>46220</v>
      </c>
      <c r="B295" s="10">
        <v>0.375</v>
      </c>
      <c r="C295">
        <v>6407</v>
      </c>
      <c r="D295" t="s">
        <v>423</v>
      </c>
      <c r="E295">
        <v>584400</v>
      </c>
      <c r="F295">
        <v>584400</v>
      </c>
    </row>
    <row r="296" spans="1:6">
      <c r="A296" s="22">
        <v>46220</v>
      </c>
      <c r="B296" s="10">
        <v>0.375</v>
      </c>
      <c r="C296">
        <v>7048</v>
      </c>
      <c r="D296" t="s">
        <v>424</v>
      </c>
      <c r="E296">
        <v>163500</v>
      </c>
      <c r="F296">
        <v>163500</v>
      </c>
    </row>
    <row r="297" spans="1:6">
      <c r="A297" s="22">
        <v>46220</v>
      </c>
      <c r="B297" s="10">
        <v>0.375</v>
      </c>
      <c r="C297">
        <v>1808</v>
      </c>
      <c r="D297" t="s">
        <v>425</v>
      </c>
      <c r="E297">
        <v>436200</v>
      </c>
      <c r="F297">
        <v>436200</v>
      </c>
    </row>
    <row r="298" spans="1:6">
      <c r="A298" s="22">
        <v>46220</v>
      </c>
      <c r="B298" s="10">
        <v>0.375</v>
      </c>
      <c r="C298">
        <v>4208</v>
      </c>
      <c r="D298" t="s">
        <v>426</v>
      </c>
      <c r="E298">
        <v>759800</v>
      </c>
      <c r="F298">
        <v>759800</v>
      </c>
    </row>
    <row r="299" spans="1:6">
      <c r="A299" s="22">
        <v>46220</v>
      </c>
      <c r="B299" s="10">
        <v>0.375</v>
      </c>
      <c r="C299" t="s">
        <v>127</v>
      </c>
      <c r="D299" t="s">
        <v>427</v>
      </c>
      <c r="E299">
        <v>5167400</v>
      </c>
      <c r="F299">
        <v>5167400</v>
      </c>
    </row>
    <row r="300" spans="1:6">
      <c r="A300" s="22">
        <v>46220</v>
      </c>
      <c r="B300" s="10">
        <v>0.375</v>
      </c>
      <c r="C300">
        <v>6965</v>
      </c>
      <c r="D300" t="s">
        <v>428</v>
      </c>
      <c r="E300">
        <v>3924200</v>
      </c>
      <c r="F300">
        <v>3924200</v>
      </c>
    </row>
    <row r="301" spans="1:6">
      <c r="A301" s="22">
        <v>46220</v>
      </c>
      <c r="B301" s="10">
        <v>0.375</v>
      </c>
      <c r="C301">
        <v>6331</v>
      </c>
      <c r="D301" t="s">
        <v>429</v>
      </c>
      <c r="E301">
        <v>252600</v>
      </c>
      <c r="F301">
        <v>252600</v>
      </c>
    </row>
    <row r="302" spans="1:6">
      <c r="A302" s="22">
        <v>46220</v>
      </c>
      <c r="B302" s="10">
        <v>0.375</v>
      </c>
      <c r="C302">
        <v>7741</v>
      </c>
      <c r="D302" t="s">
        <v>430</v>
      </c>
      <c r="E302">
        <v>602200</v>
      </c>
      <c r="F302">
        <v>602200</v>
      </c>
    </row>
    <row r="303" spans="1:6">
      <c r="A303" s="22">
        <v>46220</v>
      </c>
      <c r="B303" s="10">
        <v>0.375</v>
      </c>
      <c r="C303">
        <v>1321</v>
      </c>
      <c r="D303" t="s">
        <v>431</v>
      </c>
      <c r="E303">
        <v>714661</v>
      </c>
      <c r="F303">
        <v>714661</v>
      </c>
    </row>
    <row r="304" spans="1:6">
      <c r="A304" s="22">
        <v>46220</v>
      </c>
      <c r="B304" s="10">
        <v>0.375</v>
      </c>
      <c r="C304">
        <v>1944</v>
      </c>
      <c r="D304" t="s">
        <v>432</v>
      </c>
      <c r="E304">
        <v>462900</v>
      </c>
      <c r="F304">
        <v>462900</v>
      </c>
    </row>
    <row r="305" spans="1:6">
      <c r="A305" s="22">
        <v>46220</v>
      </c>
      <c r="B305" s="10">
        <v>0.375</v>
      </c>
      <c r="C305">
        <v>7532</v>
      </c>
      <c r="D305" t="s">
        <v>433</v>
      </c>
      <c r="E305">
        <v>7999100</v>
      </c>
      <c r="F305">
        <v>7999100</v>
      </c>
    </row>
    <row r="306" spans="1:6">
      <c r="A306" s="22">
        <v>46220</v>
      </c>
      <c r="B306" s="10"/>
    </row>
    <row r="307" spans="1:6">
      <c r="A307" s="22">
        <v>46220</v>
      </c>
      <c r="B307" s="10"/>
    </row>
    <row r="308" spans="1:6">
      <c r="A308" s="22">
        <v>46220</v>
      </c>
      <c r="B308" s="10">
        <v>0.375</v>
      </c>
      <c r="C308">
        <v>5706</v>
      </c>
      <c r="D308" t="s">
        <v>134</v>
      </c>
      <c r="E308">
        <v>1299300</v>
      </c>
      <c r="F308">
        <v>1299300</v>
      </c>
    </row>
    <row r="309" spans="1:6">
      <c r="A309" s="22">
        <v>46220</v>
      </c>
      <c r="B309" s="10">
        <v>0.375</v>
      </c>
      <c r="C309">
        <v>5423</v>
      </c>
      <c r="D309" t="s">
        <v>135</v>
      </c>
      <c r="E309">
        <v>1089300</v>
      </c>
      <c r="F309">
        <v>1089300</v>
      </c>
    </row>
    <row r="310" spans="1:6">
      <c r="A310" s="22">
        <v>46220</v>
      </c>
      <c r="B310" s="10">
        <v>0.375</v>
      </c>
      <c r="C310">
        <v>5713</v>
      </c>
      <c r="D310" t="s">
        <v>136</v>
      </c>
      <c r="E310">
        <v>3129100</v>
      </c>
      <c r="F310">
        <v>3129100</v>
      </c>
    </row>
    <row r="311" spans="1:6">
      <c r="A311" s="22">
        <v>46220</v>
      </c>
      <c r="B311" s="10">
        <v>0.375</v>
      </c>
      <c r="C311">
        <v>5711</v>
      </c>
      <c r="D311" t="s">
        <v>137</v>
      </c>
      <c r="E311">
        <v>1269700</v>
      </c>
      <c r="F311">
        <v>1269700</v>
      </c>
    </row>
    <row r="312" spans="1:6">
      <c r="A312" s="22">
        <v>46220</v>
      </c>
      <c r="B312" s="10">
        <v>0.375</v>
      </c>
      <c r="C312">
        <v>5714</v>
      </c>
      <c r="D312" t="s">
        <v>138</v>
      </c>
      <c r="E312">
        <v>382800</v>
      </c>
      <c r="F312">
        <v>382800</v>
      </c>
    </row>
    <row r="313" spans="1:6">
      <c r="A313" s="22">
        <v>46220</v>
      </c>
      <c r="B313" s="10">
        <v>0.375</v>
      </c>
      <c r="C313">
        <v>6701</v>
      </c>
      <c r="D313" t="s">
        <v>139</v>
      </c>
      <c r="E313">
        <v>6750500</v>
      </c>
      <c r="F313">
        <v>6750500</v>
      </c>
    </row>
    <row r="314" spans="1:6">
      <c r="A314" s="22">
        <v>46220</v>
      </c>
      <c r="B314" s="10">
        <v>0.375</v>
      </c>
      <c r="C314">
        <v>1605</v>
      </c>
      <c r="D314" t="s">
        <v>140</v>
      </c>
      <c r="E314">
        <v>2672800</v>
      </c>
      <c r="F314">
        <v>2672800</v>
      </c>
    </row>
    <row r="315" spans="1:6">
      <c r="A315" s="22">
        <v>46220</v>
      </c>
      <c r="B315" s="10">
        <v>0.375</v>
      </c>
      <c r="C315">
        <v>5703</v>
      </c>
      <c r="D315" t="s">
        <v>141</v>
      </c>
      <c r="E315">
        <v>294900</v>
      </c>
      <c r="F315">
        <v>294900</v>
      </c>
    </row>
    <row r="316" spans="1:6">
      <c r="A316" s="22">
        <v>46220</v>
      </c>
      <c r="B316" s="10">
        <v>0.375</v>
      </c>
      <c r="C316">
        <v>8002</v>
      </c>
      <c r="D316" t="s">
        <v>142</v>
      </c>
      <c r="E316">
        <v>3105100</v>
      </c>
      <c r="F316">
        <v>3105100</v>
      </c>
    </row>
    <row r="317" spans="1:6">
      <c r="A317" s="22">
        <v>46220</v>
      </c>
      <c r="B317" s="10">
        <v>0.375</v>
      </c>
      <c r="C317">
        <v>5021</v>
      </c>
      <c r="D317" t="s">
        <v>143</v>
      </c>
      <c r="E317">
        <v>573800</v>
      </c>
      <c r="F317">
        <v>573800</v>
      </c>
    </row>
    <row r="318" spans="1:6">
      <c r="A318" s="22">
        <v>46220</v>
      </c>
      <c r="B318" s="10">
        <v>0.375</v>
      </c>
      <c r="C318">
        <v>8058</v>
      </c>
      <c r="D318" t="s">
        <v>144</v>
      </c>
      <c r="E318">
        <v>5641700</v>
      </c>
      <c r="F318">
        <v>5641700</v>
      </c>
    </row>
    <row r="319" spans="1:6">
      <c r="A319" s="22">
        <v>46220</v>
      </c>
      <c r="B319" s="10">
        <v>0.375</v>
      </c>
      <c r="C319">
        <v>5333</v>
      </c>
      <c r="D319" t="s">
        <v>145</v>
      </c>
      <c r="E319">
        <v>1678300</v>
      </c>
      <c r="F319">
        <v>1678300</v>
      </c>
    </row>
    <row r="320" spans="1:6">
      <c r="A320" s="22">
        <v>46220</v>
      </c>
      <c r="B320" s="10">
        <v>0.375</v>
      </c>
      <c r="C320">
        <v>1662</v>
      </c>
      <c r="D320" t="s">
        <v>146</v>
      </c>
      <c r="E320">
        <v>885400</v>
      </c>
      <c r="F320">
        <v>885400</v>
      </c>
    </row>
    <row r="321" spans="1:6">
      <c r="A321" s="22">
        <v>46220</v>
      </c>
      <c r="B321" s="10">
        <v>0.375</v>
      </c>
      <c r="C321">
        <v>8411</v>
      </c>
      <c r="D321" t="s">
        <v>147</v>
      </c>
      <c r="E321">
        <v>11182900</v>
      </c>
      <c r="F321">
        <v>11182900</v>
      </c>
    </row>
    <row r="322" spans="1:6">
      <c r="A322" s="22">
        <v>46220</v>
      </c>
      <c r="B322" s="10">
        <v>0.375</v>
      </c>
      <c r="C322">
        <v>5541</v>
      </c>
      <c r="D322" t="s">
        <v>148</v>
      </c>
      <c r="E322">
        <v>187000</v>
      </c>
      <c r="F322">
        <v>187000</v>
      </c>
    </row>
    <row r="323" spans="1:6">
      <c r="A323" s="22">
        <v>46220</v>
      </c>
      <c r="B323" s="10">
        <v>0.375</v>
      </c>
      <c r="C323">
        <v>5332</v>
      </c>
      <c r="D323" t="s">
        <v>149</v>
      </c>
      <c r="E323">
        <v>1082400</v>
      </c>
      <c r="F323">
        <v>1082400</v>
      </c>
    </row>
    <row r="324" spans="1:6">
      <c r="A324" s="22">
        <v>46220</v>
      </c>
      <c r="B324" s="10">
        <v>0.375</v>
      </c>
      <c r="C324">
        <v>8725</v>
      </c>
      <c r="D324" t="s">
        <v>150</v>
      </c>
      <c r="E324">
        <v>2904800</v>
      </c>
      <c r="F324">
        <v>2904800</v>
      </c>
    </row>
    <row r="325" spans="1:6">
      <c r="A325" s="22">
        <v>46220</v>
      </c>
      <c r="B325" s="10">
        <v>0.375</v>
      </c>
      <c r="C325">
        <v>8795</v>
      </c>
      <c r="D325" t="s">
        <v>151</v>
      </c>
      <c r="E325">
        <v>970100</v>
      </c>
      <c r="F325">
        <v>970100</v>
      </c>
    </row>
    <row r="326" spans="1:6">
      <c r="A326" s="22">
        <v>46220</v>
      </c>
      <c r="B326" s="10">
        <v>0.375</v>
      </c>
      <c r="C326">
        <v>5019</v>
      </c>
      <c r="D326" t="s">
        <v>152</v>
      </c>
      <c r="E326">
        <v>1594900</v>
      </c>
      <c r="F326">
        <v>1594900</v>
      </c>
    </row>
    <row r="327" spans="1:6">
      <c r="A327" s="22">
        <v>46220</v>
      </c>
      <c r="B327" s="10">
        <v>0.375</v>
      </c>
      <c r="C327">
        <v>8053</v>
      </c>
      <c r="D327" t="s">
        <v>153</v>
      </c>
      <c r="E327">
        <v>9546200</v>
      </c>
      <c r="F327">
        <v>9546200</v>
      </c>
    </row>
    <row r="328" spans="1:6">
      <c r="A328" s="22">
        <v>46220</v>
      </c>
      <c r="B328" s="10">
        <v>0.375</v>
      </c>
      <c r="C328">
        <v>8591</v>
      </c>
      <c r="D328" t="s">
        <v>154</v>
      </c>
      <c r="E328">
        <v>2914700</v>
      </c>
      <c r="F328">
        <v>2914700</v>
      </c>
    </row>
    <row r="329" spans="1:6">
      <c r="A329" s="22">
        <v>46220</v>
      </c>
      <c r="B329" s="10">
        <v>0.375</v>
      </c>
      <c r="C329">
        <v>3401</v>
      </c>
      <c r="D329" t="s">
        <v>155</v>
      </c>
      <c r="E329">
        <v>561800</v>
      </c>
      <c r="F329">
        <v>561800</v>
      </c>
    </row>
    <row r="330" spans="1:6">
      <c r="A330" s="22">
        <v>46220</v>
      </c>
      <c r="B330" s="10">
        <v>0.375</v>
      </c>
      <c r="C330">
        <v>3436</v>
      </c>
      <c r="D330" t="s">
        <v>156</v>
      </c>
      <c r="E330">
        <v>19818700</v>
      </c>
      <c r="F330">
        <v>19818700</v>
      </c>
    </row>
    <row r="331" spans="1:6">
      <c r="A331" s="22">
        <v>46220</v>
      </c>
      <c r="B331" s="10">
        <v>0.375</v>
      </c>
      <c r="C331">
        <v>5020</v>
      </c>
      <c r="D331" t="s">
        <v>157</v>
      </c>
      <c r="E331">
        <v>4834400</v>
      </c>
      <c r="F331">
        <v>4834400</v>
      </c>
    </row>
    <row r="332" spans="1:6">
      <c r="A332" s="22">
        <v>46220</v>
      </c>
      <c r="B332" s="10">
        <v>0.375</v>
      </c>
      <c r="C332">
        <v>6254</v>
      </c>
      <c r="D332" t="s">
        <v>158</v>
      </c>
      <c r="E332">
        <v>1115100</v>
      </c>
      <c r="F332">
        <v>1115100</v>
      </c>
    </row>
    <row r="333" spans="1:6">
      <c r="A333" s="22">
        <v>46220</v>
      </c>
      <c r="B333" s="10">
        <v>0.375</v>
      </c>
      <c r="C333">
        <v>8309</v>
      </c>
      <c r="D333" t="s">
        <v>159</v>
      </c>
      <c r="E333">
        <v>1769000</v>
      </c>
      <c r="F333">
        <v>1769000</v>
      </c>
    </row>
    <row r="334" spans="1:6">
      <c r="A334" s="22">
        <v>46220</v>
      </c>
      <c r="B334" s="10">
        <v>0.375</v>
      </c>
      <c r="C334">
        <v>3863</v>
      </c>
      <c r="D334" t="s">
        <v>160</v>
      </c>
      <c r="E334">
        <v>704700</v>
      </c>
      <c r="F334">
        <v>704700</v>
      </c>
    </row>
    <row r="335" spans="1:6">
      <c r="A335" s="22">
        <v>46220</v>
      </c>
      <c r="B335" s="10">
        <v>0.375</v>
      </c>
      <c r="C335">
        <v>8601</v>
      </c>
      <c r="D335" t="s">
        <v>161</v>
      </c>
      <c r="E335">
        <v>4037000</v>
      </c>
      <c r="F335">
        <v>4037000</v>
      </c>
    </row>
    <row r="336" spans="1:6">
      <c r="A336" s="22">
        <v>46220</v>
      </c>
      <c r="B336" s="10">
        <v>0.375</v>
      </c>
      <c r="C336">
        <v>5233</v>
      </c>
      <c r="D336" t="s">
        <v>162</v>
      </c>
      <c r="E336">
        <v>418500</v>
      </c>
      <c r="F336">
        <v>418500</v>
      </c>
    </row>
    <row r="337" spans="1:6">
      <c r="A337" s="22">
        <v>46220</v>
      </c>
      <c r="B337" s="10">
        <v>0.375</v>
      </c>
      <c r="C337">
        <v>8308</v>
      </c>
      <c r="D337" t="s">
        <v>163</v>
      </c>
      <c r="E337">
        <v>7304500</v>
      </c>
      <c r="F337">
        <v>7304500</v>
      </c>
    </row>
    <row r="338" spans="1:6">
      <c r="A338" s="22">
        <v>46220</v>
      </c>
      <c r="B338" s="10">
        <v>0.375</v>
      </c>
      <c r="C338">
        <v>5938</v>
      </c>
      <c r="D338" t="s">
        <v>164</v>
      </c>
      <c r="E338">
        <v>1133700</v>
      </c>
      <c r="F338">
        <v>1133700</v>
      </c>
    </row>
    <row r="339" spans="1:6">
      <c r="A339" s="22">
        <v>46220</v>
      </c>
      <c r="B339" s="10">
        <v>0.375</v>
      </c>
      <c r="C339">
        <v>8570</v>
      </c>
      <c r="D339" t="s">
        <v>165</v>
      </c>
      <c r="E339">
        <v>225100</v>
      </c>
      <c r="F339">
        <v>225100</v>
      </c>
    </row>
    <row r="340" spans="1:6">
      <c r="A340" s="22">
        <v>46220</v>
      </c>
      <c r="B340" s="10">
        <v>0.375</v>
      </c>
      <c r="C340">
        <v>5406</v>
      </c>
      <c r="D340" t="s">
        <v>166</v>
      </c>
      <c r="E340">
        <v>1429000</v>
      </c>
      <c r="F340">
        <v>1429000</v>
      </c>
    </row>
    <row r="341" spans="1:6">
      <c r="A341" s="22">
        <v>46220</v>
      </c>
      <c r="B341" s="10">
        <v>0.375</v>
      </c>
      <c r="C341">
        <v>8593</v>
      </c>
      <c r="D341" t="s">
        <v>167</v>
      </c>
      <c r="E341">
        <v>2881800</v>
      </c>
      <c r="F341">
        <v>2881800</v>
      </c>
    </row>
    <row r="342" spans="1:6">
      <c r="A342" s="22">
        <v>46220</v>
      </c>
      <c r="B342" s="10">
        <v>0.375</v>
      </c>
      <c r="C342">
        <v>8604</v>
      </c>
      <c r="D342" t="s">
        <v>168</v>
      </c>
      <c r="E342">
        <v>11174000</v>
      </c>
      <c r="F342">
        <v>11174000</v>
      </c>
    </row>
    <row r="343" spans="1:6">
      <c r="A343" s="22">
        <v>46220</v>
      </c>
      <c r="B343" s="10">
        <v>0.375</v>
      </c>
      <c r="C343">
        <v>3861</v>
      </c>
      <c r="D343" t="s">
        <v>169</v>
      </c>
      <c r="E343">
        <v>2396100</v>
      </c>
      <c r="F343">
        <v>2396100</v>
      </c>
    </row>
    <row r="344" spans="1:6">
      <c r="A344" s="22">
        <v>46220</v>
      </c>
      <c r="B344" s="10">
        <v>0.375</v>
      </c>
      <c r="C344">
        <v>5947</v>
      </c>
      <c r="D344" t="s">
        <v>170</v>
      </c>
      <c r="E344">
        <v>186700</v>
      </c>
      <c r="F344">
        <v>186700</v>
      </c>
    </row>
    <row r="345" spans="1:6">
      <c r="A345" s="22">
        <v>46220</v>
      </c>
      <c r="B345" s="10">
        <v>0.375</v>
      </c>
      <c r="C345">
        <v>8750</v>
      </c>
      <c r="D345" t="s">
        <v>171</v>
      </c>
      <c r="E345">
        <v>6459800</v>
      </c>
      <c r="F345">
        <v>6459800</v>
      </c>
    </row>
    <row r="346" spans="1:6">
      <c r="A346" s="22">
        <v>46220</v>
      </c>
      <c r="B346" s="10">
        <v>0.375</v>
      </c>
      <c r="C346">
        <v>3402</v>
      </c>
      <c r="D346" t="s">
        <v>172</v>
      </c>
      <c r="E346">
        <v>1989000</v>
      </c>
      <c r="F346">
        <v>1989000</v>
      </c>
    </row>
    <row r="347" spans="1:6">
      <c r="A347" s="22">
        <v>46220</v>
      </c>
      <c r="B347" s="10">
        <v>0.375</v>
      </c>
      <c r="C347">
        <v>8306</v>
      </c>
      <c r="D347" t="s">
        <v>173</v>
      </c>
      <c r="E347">
        <v>48526000</v>
      </c>
      <c r="F347">
        <v>48526000</v>
      </c>
    </row>
    <row r="348" spans="1:6">
      <c r="A348" s="22">
        <v>46220</v>
      </c>
      <c r="B348" s="10">
        <v>0.375</v>
      </c>
      <c r="C348">
        <v>5401</v>
      </c>
      <c r="D348" t="s">
        <v>174</v>
      </c>
      <c r="E348">
        <v>30420200</v>
      </c>
      <c r="F348">
        <v>30420200</v>
      </c>
    </row>
    <row r="349" spans="1:6">
      <c r="A349" s="22">
        <v>46220</v>
      </c>
      <c r="B349" s="10">
        <v>0.375</v>
      </c>
      <c r="C349">
        <v>8572</v>
      </c>
      <c r="D349" t="s">
        <v>175</v>
      </c>
      <c r="E349">
        <v>981600</v>
      </c>
      <c r="F349">
        <v>981600</v>
      </c>
    </row>
    <row r="350" spans="1:6">
      <c r="A350" s="22">
        <v>46220</v>
      </c>
      <c r="B350" s="10">
        <v>0.375</v>
      </c>
      <c r="C350">
        <v>3941</v>
      </c>
      <c r="D350" t="s">
        <v>176</v>
      </c>
      <c r="E350">
        <v>668800</v>
      </c>
      <c r="F350">
        <v>668800</v>
      </c>
    </row>
    <row r="351" spans="1:6">
      <c r="A351" s="22">
        <v>46220</v>
      </c>
      <c r="B351" s="10">
        <v>0.375</v>
      </c>
      <c r="C351">
        <v>5929</v>
      </c>
      <c r="D351" t="s">
        <v>177</v>
      </c>
      <c r="E351">
        <v>461700</v>
      </c>
      <c r="F351">
        <v>461700</v>
      </c>
    </row>
    <row r="352" spans="1:6">
      <c r="A352" s="22">
        <v>46220</v>
      </c>
      <c r="B352" s="10">
        <v>0.375</v>
      </c>
      <c r="C352">
        <v>8316</v>
      </c>
      <c r="D352" t="s">
        <v>178</v>
      </c>
      <c r="E352">
        <v>13773100</v>
      </c>
      <c r="F352">
        <v>13773100</v>
      </c>
    </row>
    <row r="353" spans="1:6">
      <c r="A353" s="22">
        <v>46220</v>
      </c>
      <c r="B353" s="10">
        <v>0.375</v>
      </c>
      <c r="C353">
        <v>5449</v>
      </c>
      <c r="D353" t="s">
        <v>179</v>
      </c>
      <c r="E353">
        <v>8900</v>
      </c>
      <c r="F353">
        <v>8900</v>
      </c>
    </row>
    <row r="354" spans="1:6">
      <c r="A354" s="22">
        <v>46220</v>
      </c>
      <c r="B354" s="10">
        <v>0.375</v>
      </c>
      <c r="C354">
        <v>8766</v>
      </c>
      <c r="D354" t="s">
        <v>180</v>
      </c>
      <c r="E354">
        <v>3171100</v>
      </c>
      <c r="F354">
        <v>3171100</v>
      </c>
    </row>
    <row r="355" spans="1:6">
      <c r="A355" s="22">
        <v>46220</v>
      </c>
      <c r="B355" s="10">
        <v>0.375</v>
      </c>
      <c r="C355">
        <v>5201</v>
      </c>
      <c r="D355" t="s">
        <v>181</v>
      </c>
      <c r="E355">
        <v>964000</v>
      </c>
      <c r="F355">
        <v>964000</v>
      </c>
    </row>
    <row r="356" spans="1:6">
      <c r="A356" s="22">
        <v>46220</v>
      </c>
      <c r="B356" s="10">
        <v>0.375</v>
      </c>
      <c r="C356">
        <v>8630</v>
      </c>
      <c r="D356" t="s">
        <v>182</v>
      </c>
      <c r="E356">
        <v>1986900</v>
      </c>
      <c r="F356">
        <v>1986900</v>
      </c>
    </row>
    <row r="357" spans="1:6">
      <c r="A357" s="22">
        <v>46220</v>
      </c>
      <c r="B357" s="10">
        <v>0.375</v>
      </c>
      <c r="C357">
        <v>5901</v>
      </c>
      <c r="D357" t="s">
        <v>183</v>
      </c>
      <c r="E357">
        <v>179700</v>
      </c>
      <c r="F357">
        <v>179700</v>
      </c>
    </row>
    <row r="358" spans="1:6">
      <c r="A358" s="22">
        <v>46220</v>
      </c>
      <c r="B358" s="10">
        <v>0.375</v>
      </c>
      <c r="C358">
        <v>9412</v>
      </c>
      <c r="D358" t="s">
        <v>184</v>
      </c>
      <c r="E358">
        <v>1888900</v>
      </c>
      <c r="F358">
        <v>1888900</v>
      </c>
    </row>
    <row r="359" spans="1:6">
      <c r="A359" s="22">
        <v>46220</v>
      </c>
      <c r="B359" s="10">
        <v>0.375</v>
      </c>
      <c r="C359">
        <v>6203</v>
      </c>
      <c r="D359" t="s">
        <v>185</v>
      </c>
      <c r="E359">
        <v>473000</v>
      </c>
      <c r="F359">
        <v>473000</v>
      </c>
    </row>
    <row r="360" spans="1:6">
      <c r="A360" s="22">
        <v>46220</v>
      </c>
      <c r="B360" s="10">
        <v>0.375</v>
      </c>
      <c r="C360">
        <v>4676</v>
      </c>
      <c r="D360" t="s">
        <v>186</v>
      </c>
      <c r="E360">
        <v>480500</v>
      </c>
      <c r="F360">
        <v>480500</v>
      </c>
    </row>
    <row r="361" spans="1:6">
      <c r="A361" s="22">
        <v>46220</v>
      </c>
      <c r="B361" s="10">
        <v>0.375</v>
      </c>
      <c r="C361">
        <v>1961</v>
      </c>
      <c r="D361" t="s">
        <v>187</v>
      </c>
      <c r="E361">
        <v>544000</v>
      </c>
      <c r="F361">
        <v>544000</v>
      </c>
    </row>
    <row r="362" spans="1:6">
      <c r="A362" s="22">
        <v>46220</v>
      </c>
      <c r="B362" s="10">
        <v>0.375</v>
      </c>
      <c r="C362">
        <v>3107</v>
      </c>
      <c r="D362" t="s">
        <v>188</v>
      </c>
      <c r="E362">
        <v>135700</v>
      </c>
      <c r="F362">
        <v>135700</v>
      </c>
    </row>
    <row r="363" spans="1:6">
      <c r="A363" s="22">
        <v>46220</v>
      </c>
      <c r="B363" s="10">
        <v>0.375</v>
      </c>
      <c r="C363">
        <v>4045</v>
      </c>
      <c r="D363" t="s">
        <v>189</v>
      </c>
      <c r="E363">
        <v>150800</v>
      </c>
      <c r="F363">
        <v>150800</v>
      </c>
    </row>
    <row r="364" spans="1:6">
      <c r="A364" s="22">
        <v>46220</v>
      </c>
      <c r="B364" s="10">
        <v>0.375</v>
      </c>
      <c r="C364">
        <v>5857</v>
      </c>
      <c r="D364" t="s">
        <v>190</v>
      </c>
      <c r="E364">
        <v>763900</v>
      </c>
      <c r="F364">
        <v>763900</v>
      </c>
    </row>
    <row r="365" spans="1:6">
      <c r="A365" s="22">
        <v>46220</v>
      </c>
      <c r="B365" s="10">
        <v>0.375</v>
      </c>
      <c r="C365">
        <v>8281</v>
      </c>
      <c r="D365" t="s">
        <v>191</v>
      </c>
      <c r="E365">
        <v>95600</v>
      </c>
      <c r="F365">
        <v>95600</v>
      </c>
    </row>
    <row r="366" spans="1:6">
      <c r="A366" s="22">
        <v>46220</v>
      </c>
      <c r="B366" s="10">
        <v>0.375</v>
      </c>
      <c r="C366">
        <v>4540</v>
      </c>
      <c r="D366" t="s">
        <v>192</v>
      </c>
      <c r="E366">
        <v>187700</v>
      </c>
      <c r="F366">
        <v>187700</v>
      </c>
    </row>
    <row r="367" spans="1:6">
      <c r="A367" s="22">
        <v>46220</v>
      </c>
      <c r="B367" s="10">
        <v>0.375</v>
      </c>
      <c r="C367">
        <v>9984</v>
      </c>
      <c r="D367" t="s">
        <v>193</v>
      </c>
      <c r="E367">
        <v>56210000</v>
      </c>
      <c r="F367">
        <v>56210000</v>
      </c>
    </row>
    <row r="368" spans="1:6">
      <c r="A368" s="22">
        <v>46220</v>
      </c>
      <c r="B368" s="10">
        <v>0.375</v>
      </c>
      <c r="C368">
        <v>4063</v>
      </c>
      <c r="D368" t="s">
        <v>194</v>
      </c>
      <c r="E368">
        <v>4977300</v>
      </c>
      <c r="F368">
        <v>4977300</v>
      </c>
    </row>
    <row r="369" spans="1:6">
      <c r="A369" s="22">
        <v>46220</v>
      </c>
      <c r="B369" s="10">
        <v>0.375</v>
      </c>
      <c r="C369">
        <v>4536</v>
      </c>
      <c r="D369" t="s">
        <v>195</v>
      </c>
      <c r="E369">
        <v>761600</v>
      </c>
      <c r="F369">
        <v>761600</v>
      </c>
    </row>
    <row r="370" spans="1:6">
      <c r="A370" s="22">
        <v>46220</v>
      </c>
      <c r="B370" s="10">
        <v>0.375</v>
      </c>
      <c r="C370">
        <v>6503</v>
      </c>
      <c r="D370" t="s">
        <v>196</v>
      </c>
      <c r="E370">
        <v>5124500</v>
      </c>
      <c r="F370">
        <v>5124500</v>
      </c>
    </row>
    <row r="371" spans="1:6">
      <c r="A371" s="22">
        <v>46220</v>
      </c>
      <c r="B371" s="10">
        <v>0.375</v>
      </c>
      <c r="C371">
        <v>4980</v>
      </c>
      <c r="D371" t="s">
        <v>197</v>
      </c>
      <c r="E371">
        <v>2044500</v>
      </c>
      <c r="F371">
        <v>2044500</v>
      </c>
    </row>
    <row r="372" spans="1:6">
      <c r="A372" s="22">
        <v>46220</v>
      </c>
      <c r="B372" s="10">
        <v>0.375</v>
      </c>
      <c r="C372">
        <v>9424</v>
      </c>
      <c r="D372" t="s">
        <v>198</v>
      </c>
      <c r="E372">
        <v>1109400</v>
      </c>
      <c r="F372">
        <v>1109400</v>
      </c>
    </row>
    <row r="373" spans="1:6">
      <c r="A373" s="22">
        <v>46220</v>
      </c>
      <c r="B373" s="10">
        <v>0.375</v>
      </c>
      <c r="C373">
        <v>3854</v>
      </c>
      <c r="D373" t="s">
        <v>199</v>
      </c>
      <c r="E373">
        <v>58600</v>
      </c>
      <c r="F373">
        <v>58600</v>
      </c>
    </row>
    <row r="374" spans="1:6">
      <c r="A374" s="22">
        <v>46220</v>
      </c>
      <c r="B374" s="10">
        <v>0.375</v>
      </c>
      <c r="C374">
        <v>6027</v>
      </c>
      <c r="D374" t="s">
        <v>200</v>
      </c>
      <c r="E374">
        <v>87300</v>
      </c>
      <c r="F374">
        <v>87300</v>
      </c>
    </row>
    <row r="375" spans="1:6">
      <c r="A375" s="22">
        <v>46220</v>
      </c>
      <c r="B375" s="10">
        <v>0.375</v>
      </c>
      <c r="C375">
        <v>7806</v>
      </c>
      <c r="D375" t="s">
        <v>201</v>
      </c>
      <c r="E375">
        <v>148900</v>
      </c>
      <c r="F375">
        <v>148900</v>
      </c>
    </row>
    <row r="376" spans="1:6">
      <c r="A376" s="22">
        <v>46220</v>
      </c>
      <c r="B376" s="10">
        <v>0.375</v>
      </c>
      <c r="C376">
        <v>9202</v>
      </c>
      <c r="D376" t="s">
        <v>202</v>
      </c>
      <c r="E376">
        <v>1477000</v>
      </c>
      <c r="F376">
        <v>1477000</v>
      </c>
    </row>
    <row r="377" spans="1:6">
      <c r="A377" s="22">
        <v>46220</v>
      </c>
      <c r="B377" s="10">
        <v>0.375</v>
      </c>
      <c r="C377">
        <v>7846</v>
      </c>
      <c r="D377" t="s">
        <v>203</v>
      </c>
      <c r="E377">
        <v>108200</v>
      </c>
      <c r="F377">
        <v>108200</v>
      </c>
    </row>
    <row r="378" spans="1:6">
      <c r="A378" s="22">
        <v>46220</v>
      </c>
      <c r="B378" s="10">
        <v>0.375</v>
      </c>
      <c r="C378">
        <v>2802</v>
      </c>
      <c r="D378" t="s">
        <v>204</v>
      </c>
      <c r="E378">
        <v>3563100</v>
      </c>
      <c r="F378">
        <v>3563100</v>
      </c>
    </row>
    <row r="379" spans="1:6">
      <c r="A379" s="22">
        <v>46220</v>
      </c>
      <c r="B379" s="10">
        <v>0.375</v>
      </c>
      <c r="C379">
        <v>7203</v>
      </c>
      <c r="D379" t="s">
        <v>205</v>
      </c>
      <c r="E379">
        <v>25860000</v>
      </c>
      <c r="F379">
        <v>25860000</v>
      </c>
    </row>
    <row r="380" spans="1:6">
      <c r="A380" s="22">
        <v>46220</v>
      </c>
      <c r="B380" s="10">
        <v>0.375</v>
      </c>
      <c r="C380">
        <v>6954</v>
      </c>
      <c r="D380" t="s">
        <v>206</v>
      </c>
      <c r="E380">
        <v>5731400</v>
      </c>
      <c r="F380">
        <v>5731400</v>
      </c>
    </row>
    <row r="381" spans="1:6">
      <c r="A381" s="22">
        <v>46220</v>
      </c>
      <c r="B381" s="10">
        <v>0.375</v>
      </c>
      <c r="C381">
        <v>6479</v>
      </c>
      <c r="D381" t="s">
        <v>207</v>
      </c>
      <c r="E381">
        <v>3333000</v>
      </c>
      <c r="F381">
        <v>3333000</v>
      </c>
    </row>
    <row r="382" spans="1:6">
      <c r="A382" s="22">
        <v>46220</v>
      </c>
      <c r="B382" s="10">
        <v>0.375</v>
      </c>
      <c r="C382">
        <v>1833</v>
      </c>
      <c r="D382" t="s">
        <v>208</v>
      </c>
      <c r="E382">
        <v>106200</v>
      </c>
      <c r="F382">
        <v>106200</v>
      </c>
    </row>
    <row r="383" spans="1:6">
      <c r="A383" s="22">
        <v>46220</v>
      </c>
      <c r="B383" s="10">
        <v>0.375</v>
      </c>
      <c r="C383">
        <v>6841</v>
      </c>
      <c r="D383" t="s">
        <v>209</v>
      </c>
      <c r="E383">
        <v>780800</v>
      </c>
      <c r="F383">
        <v>780800</v>
      </c>
    </row>
    <row r="384" spans="1:6">
      <c r="A384" s="22">
        <v>46220</v>
      </c>
      <c r="B384" s="10">
        <v>0.375</v>
      </c>
      <c r="C384">
        <v>7167</v>
      </c>
      <c r="D384" t="s">
        <v>210</v>
      </c>
      <c r="E384">
        <v>2481600</v>
      </c>
      <c r="F384">
        <v>2481600</v>
      </c>
    </row>
    <row r="385" spans="1:6">
      <c r="A385" s="22">
        <v>46220</v>
      </c>
      <c r="B385" s="10">
        <v>0.375</v>
      </c>
      <c r="C385">
        <v>1925</v>
      </c>
      <c r="D385" t="s">
        <v>211</v>
      </c>
      <c r="E385">
        <v>1189500</v>
      </c>
      <c r="F385">
        <v>1189500</v>
      </c>
    </row>
    <row r="386" spans="1:6">
      <c r="A386" s="22">
        <v>46220</v>
      </c>
      <c r="B386" s="10">
        <v>0.375</v>
      </c>
      <c r="C386">
        <v>5411</v>
      </c>
      <c r="D386" t="s">
        <v>212</v>
      </c>
      <c r="E386">
        <v>3526200</v>
      </c>
      <c r="F386">
        <v>3526200</v>
      </c>
    </row>
    <row r="387" spans="1:6">
      <c r="A387" s="22">
        <v>46220</v>
      </c>
      <c r="B387" s="10">
        <v>0.375</v>
      </c>
      <c r="C387">
        <v>7182</v>
      </c>
      <c r="D387" t="s">
        <v>213</v>
      </c>
      <c r="E387">
        <v>4332900</v>
      </c>
      <c r="F387">
        <v>4332900</v>
      </c>
    </row>
    <row r="388" spans="1:6">
      <c r="A388" s="22">
        <v>46220</v>
      </c>
      <c r="B388" s="10">
        <v>0.375</v>
      </c>
      <c r="C388">
        <v>1963</v>
      </c>
      <c r="D388" t="s">
        <v>214</v>
      </c>
      <c r="E388">
        <v>1541900</v>
      </c>
      <c r="F388">
        <v>1541900</v>
      </c>
    </row>
    <row r="389" spans="1:6">
      <c r="A389" s="22">
        <v>46220</v>
      </c>
      <c r="B389" s="10">
        <v>0.375</v>
      </c>
      <c r="C389">
        <v>2914</v>
      </c>
      <c r="D389" t="s">
        <v>215</v>
      </c>
      <c r="E389">
        <v>5310800</v>
      </c>
      <c r="F389">
        <v>5310800</v>
      </c>
    </row>
    <row r="390" spans="1:6">
      <c r="A390" s="22">
        <v>46220</v>
      </c>
      <c r="B390" s="10">
        <v>0.375</v>
      </c>
      <c r="C390">
        <v>3003</v>
      </c>
      <c r="D390" t="s">
        <v>216</v>
      </c>
      <c r="E390">
        <v>1624300</v>
      </c>
      <c r="F390">
        <v>1624300</v>
      </c>
    </row>
    <row r="391" spans="1:6">
      <c r="A391" s="22">
        <v>46220</v>
      </c>
      <c r="B391" s="10">
        <v>0.375</v>
      </c>
      <c r="C391">
        <v>5892</v>
      </c>
      <c r="D391" t="s">
        <v>217</v>
      </c>
      <c r="E391">
        <v>99100</v>
      </c>
      <c r="F391">
        <v>99100</v>
      </c>
    </row>
    <row r="392" spans="1:6">
      <c r="A392" s="22">
        <v>46220</v>
      </c>
      <c r="B392" s="10">
        <v>0.375</v>
      </c>
      <c r="C392">
        <v>6323</v>
      </c>
      <c r="D392" t="s">
        <v>218</v>
      </c>
      <c r="E392">
        <v>3327300</v>
      </c>
      <c r="F392">
        <v>3327300</v>
      </c>
    </row>
    <row r="393" spans="1:6">
      <c r="A393" s="22">
        <v>46220</v>
      </c>
      <c r="B393" s="10">
        <v>0.375</v>
      </c>
      <c r="C393">
        <v>6501</v>
      </c>
      <c r="D393" t="s">
        <v>219</v>
      </c>
      <c r="E393">
        <v>7808000</v>
      </c>
      <c r="F393">
        <v>7808000</v>
      </c>
    </row>
    <row r="394" spans="1:6">
      <c r="A394" s="22">
        <v>46220</v>
      </c>
      <c r="B394" s="10">
        <v>0.375</v>
      </c>
      <c r="C394">
        <v>6134</v>
      </c>
      <c r="D394" t="s">
        <v>220</v>
      </c>
      <c r="E394">
        <v>930500</v>
      </c>
      <c r="F394">
        <v>930500</v>
      </c>
    </row>
    <row r="395" spans="1:6">
      <c r="A395" s="22">
        <v>46220</v>
      </c>
      <c r="B395" s="10">
        <v>0.375</v>
      </c>
      <c r="C395">
        <v>7746</v>
      </c>
      <c r="D395" t="s">
        <v>221</v>
      </c>
      <c r="E395">
        <v>921000</v>
      </c>
      <c r="F395">
        <v>921000</v>
      </c>
    </row>
    <row r="396" spans="1:6">
      <c r="A396" s="22">
        <v>46220</v>
      </c>
      <c r="B396" s="10">
        <v>0.375</v>
      </c>
      <c r="C396">
        <v>3407</v>
      </c>
      <c r="D396" t="s">
        <v>222</v>
      </c>
      <c r="E396">
        <v>2723900</v>
      </c>
      <c r="F396">
        <v>2723900</v>
      </c>
    </row>
    <row r="397" spans="1:6">
      <c r="A397" s="22">
        <v>46220</v>
      </c>
      <c r="B397" s="10">
        <v>0.375</v>
      </c>
      <c r="C397">
        <v>4008</v>
      </c>
      <c r="D397" t="s">
        <v>223</v>
      </c>
      <c r="E397">
        <v>177600</v>
      </c>
      <c r="F397">
        <v>177600</v>
      </c>
    </row>
    <row r="398" spans="1:6">
      <c r="A398" s="22">
        <v>46220</v>
      </c>
      <c r="B398" s="10">
        <v>0.375</v>
      </c>
      <c r="C398">
        <v>4062</v>
      </c>
      <c r="D398" t="s">
        <v>224</v>
      </c>
      <c r="E398">
        <v>10162300</v>
      </c>
      <c r="F398">
        <v>10162300</v>
      </c>
    </row>
    <row r="399" spans="1:6">
      <c r="A399" s="22">
        <v>46220</v>
      </c>
      <c r="B399" s="10">
        <v>0.375</v>
      </c>
      <c r="C399">
        <v>4182</v>
      </c>
      <c r="D399" t="s">
        <v>225</v>
      </c>
      <c r="E399">
        <v>787300</v>
      </c>
      <c r="F399">
        <v>787300</v>
      </c>
    </row>
    <row r="400" spans="1:6">
      <c r="A400" s="22">
        <v>46220</v>
      </c>
      <c r="B400" s="10">
        <v>0.375</v>
      </c>
      <c r="C400">
        <v>4188</v>
      </c>
      <c r="D400" t="s">
        <v>226</v>
      </c>
      <c r="E400">
        <v>3686300</v>
      </c>
      <c r="F400">
        <v>3686300</v>
      </c>
    </row>
    <row r="401" spans="1:6">
      <c r="A401" s="22">
        <v>46220</v>
      </c>
      <c r="B401" s="10">
        <v>0.375</v>
      </c>
      <c r="C401">
        <v>4523</v>
      </c>
      <c r="D401" t="s">
        <v>227</v>
      </c>
      <c r="E401">
        <v>1075600</v>
      </c>
      <c r="F401">
        <v>1075600</v>
      </c>
    </row>
    <row r="402" spans="1:6">
      <c r="A402" s="22">
        <v>46220</v>
      </c>
      <c r="B402" s="10">
        <v>0.375</v>
      </c>
      <c r="C402">
        <v>4528</v>
      </c>
      <c r="D402" t="s">
        <v>228</v>
      </c>
      <c r="E402">
        <v>1047800</v>
      </c>
      <c r="F402">
        <v>1047800</v>
      </c>
    </row>
    <row r="403" spans="1:6">
      <c r="A403" s="22">
        <v>46220</v>
      </c>
      <c r="B403" s="10">
        <v>0.375</v>
      </c>
      <c r="C403">
        <v>4661</v>
      </c>
      <c r="D403" t="s">
        <v>229</v>
      </c>
      <c r="E403">
        <v>5093000</v>
      </c>
      <c r="F403">
        <v>5093000</v>
      </c>
    </row>
    <row r="404" spans="1:6">
      <c r="A404" s="22">
        <v>46220</v>
      </c>
      <c r="B404" s="10">
        <v>0.375</v>
      </c>
      <c r="C404">
        <v>5802</v>
      </c>
      <c r="D404" t="s">
        <v>230</v>
      </c>
      <c r="E404">
        <v>17307200</v>
      </c>
      <c r="F404">
        <v>17307200</v>
      </c>
    </row>
    <row r="405" spans="1:6">
      <c r="A405" s="22">
        <v>46220</v>
      </c>
      <c r="B405" s="10">
        <v>0.375</v>
      </c>
      <c r="C405">
        <v>5803</v>
      </c>
      <c r="D405" t="s">
        <v>231</v>
      </c>
      <c r="E405">
        <v>41755100</v>
      </c>
      <c r="F405">
        <v>41755100</v>
      </c>
    </row>
    <row r="406" spans="1:6">
      <c r="A406" s="22">
        <v>46220</v>
      </c>
      <c r="B406" s="10">
        <v>0.375</v>
      </c>
      <c r="C406">
        <v>6178</v>
      </c>
      <c r="D406" t="s">
        <v>232</v>
      </c>
      <c r="E406">
        <v>4052900</v>
      </c>
      <c r="F406">
        <v>4052900</v>
      </c>
    </row>
    <row r="407" spans="1:6">
      <c r="A407" s="22">
        <v>46220</v>
      </c>
      <c r="B407" s="10">
        <v>0.375</v>
      </c>
      <c r="C407">
        <v>6925</v>
      </c>
      <c r="D407" t="s">
        <v>233</v>
      </c>
      <c r="E407">
        <v>241500</v>
      </c>
      <c r="F407">
        <v>241500</v>
      </c>
    </row>
    <row r="408" spans="1:6">
      <c r="A408" s="22">
        <v>46220</v>
      </c>
      <c r="B408" s="10">
        <v>0.375</v>
      </c>
      <c r="C408">
        <v>7021</v>
      </c>
      <c r="D408" t="s">
        <v>234</v>
      </c>
      <c r="E408">
        <v>2600</v>
      </c>
      <c r="F408">
        <v>2600</v>
      </c>
    </row>
    <row r="409" spans="1:6">
      <c r="A409" s="22">
        <v>46220</v>
      </c>
      <c r="B409" s="10">
        <v>0.375</v>
      </c>
      <c r="C409">
        <v>7729</v>
      </c>
      <c r="D409" t="s">
        <v>235</v>
      </c>
      <c r="E409">
        <v>442400</v>
      </c>
      <c r="F409">
        <v>442400</v>
      </c>
    </row>
    <row r="410" spans="1:6">
      <c r="A410" s="22">
        <v>46220</v>
      </c>
      <c r="B410" s="10">
        <v>0.375</v>
      </c>
      <c r="C410">
        <v>8424</v>
      </c>
      <c r="D410" t="s">
        <v>236</v>
      </c>
      <c r="E410">
        <v>108200</v>
      </c>
      <c r="F410">
        <v>108200</v>
      </c>
    </row>
    <row r="411" spans="1:6">
      <c r="A411" s="22">
        <v>46220</v>
      </c>
      <c r="B411" s="10">
        <v>0.375</v>
      </c>
      <c r="C411">
        <v>9020</v>
      </c>
      <c r="D411" t="s">
        <v>237</v>
      </c>
      <c r="E411">
        <v>1819700</v>
      </c>
      <c r="F411">
        <v>1819700</v>
      </c>
    </row>
    <row r="412" spans="1:6">
      <c r="A412" s="22">
        <v>46220</v>
      </c>
      <c r="B412" s="10">
        <v>0.375</v>
      </c>
      <c r="C412">
        <v>9069</v>
      </c>
      <c r="D412" t="s">
        <v>238</v>
      </c>
      <c r="E412">
        <v>298300</v>
      </c>
      <c r="F412">
        <v>298300</v>
      </c>
    </row>
    <row r="413" spans="1:6">
      <c r="A413" s="22">
        <v>46220</v>
      </c>
      <c r="B413" s="10">
        <v>0.375</v>
      </c>
      <c r="C413">
        <v>9227</v>
      </c>
      <c r="D413" t="s">
        <v>239</v>
      </c>
      <c r="E413">
        <v>318700</v>
      </c>
      <c r="F413">
        <v>318700</v>
      </c>
    </row>
    <row r="414" spans="1:6">
      <c r="A414" s="22">
        <v>46220</v>
      </c>
      <c r="B414" s="10">
        <v>0.375</v>
      </c>
      <c r="C414">
        <v>9348</v>
      </c>
      <c r="D414" t="s">
        <v>240</v>
      </c>
      <c r="E414">
        <v>2501600</v>
      </c>
      <c r="F414">
        <v>2501600</v>
      </c>
    </row>
    <row r="415" spans="1:6">
      <c r="A415" s="22">
        <v>46220</v>
      </c>
      <c r="B415" s="10">
        <v>0.375</v>
      </c>
      <c r="C415">
        <v>9449</v>
      </c>
      <c r="D415" t="s">
        <v>241</v>
      </c>
      <c r="E415">
        <v>302200</v>
      </c>
      <c r="F415">
        <v>302200</v>
      </c>
    </row>
    <row r="416" spans="1:6">
      <c r="A416" s="22">
        <v>46220</v>
      </c>
      <c r="B416" s="10">
        <v>0.375</v>
      </c>
      <c r="C416">
        <v>9501</v>
      </c>
      <c r="D416" t="s">
        <v>242</v>
      </c>
      <c r="E416">
        <v>32796300</v>
      </c>
      <c r="F416">
        <v>32796300</v>
      </c>
    </row>
    <row r="417" spans="1:6">
      <c r="A417" s="22">
        <v>46220</v>
      </c>
      <c r="B417" s="10">
        <v>0.375</v>
      </c>
      <c r="C417">
        <v>9531</v>
      </c>
      <c r="D417" t="s">
        <v>243</v>
      </c>
      <c r="E417">
        <v>562900</v>
      </c>
      <c r="F417">
        <v>562900</v>
      </c>
    </row>
    <row r="418" spans="1:6">
      <c r="A418" s="22">
        <v>46220</v>
      </c>
      <c r="B418" s="10">
        <v>0.375</v>
      </c>
      <c r="C418">
        <v>9882</v>
      </c>
      <c r="D418" t="s">
        <v>244</v>
      </c>
      <c r="E418">
        <v>132400</v>
      </c>
      <c r="F418">
        <v>132400</v>
      </c>
    </row>
    <row r="419" spans="1:6">
      <c r="A419" s="22">
        <v>46220</v>
      </c>
      <c r="B419" s="10">
        <v>0.375</v>
      </c>
      <c r="C419">
        <v>5838</v>
      </c>
      <c r="D419" t="s">
        <v>245</v>
      </c>
      <c r="E419">
        <v>809600</v>
      </c>
      <c r="F419">
        <v>809600</v>
      </c>
    </row>
    <row r="420" spans="1:6">
      <c r="A420" s="22">
        <v>46220</v>
      </c>
      <c r="B420" s="10">
        <v>0.375</v>
      </c>
      <c r="C420">
        <v>5844</v>
      </c>
      <c r="D420" t="s">
        <v>246</v>
      </c>
      <c r="E420">
        <v>891800</v>
      </c>
      <c r="F420">
        <v>891800</v>
      </c>
    </row>
    <row r="421" spans="1:6">
      <c r="A421" s="22">
        <v>46220</v>
      </c>
      <c r="B421" s="10">
        <v>0.375</v>
      </c>
      <c r="C421">
        <v>9404</v>
      </c>
      <c r="D421" t="s">
        <v>247</v>
      </c>
      <c r="E421">
        <v>256300</v>
      </c>
      <c r="F421">
        <v>256300</v>
      </c>
    </row>
    <row r="422" spans="1:6">
      <c r="A422" s="22">
        <v>46220</v>
      </c>
      <c r="B422" s="10">
        <v>0.375</v>
      </c>
      <c r="C422">
        <v>6744</v>
      </c>
      <c r="D422" t="s">
        <v>248</v>
      </c>
      <c r="E422">
        <v>63300</v>
      </c>
      <c r="F422">
        <v>63300</v>
      </c>
    </row>
    <row r="423" spans="1:6">
      <c r="A423" s="22">
        <v>46220</v>
      </c>
      <c r="B423" s="10">
        <v>0.375</v>
      </c>
      <c r="C423">
        <v>7685</v>
      </c>
      <c r="D423" t="s">
        <v>249</v>
      </c>
      <c r="E423">
        <v>189600</v>
      </c>
      <c r="F423">
        <v>189600</v>
      </c>
    </row>
    <row r="424" spans="1:6">
      <c r="A424" s="22">
        <v>46220</v>
      </c>
      <c r="B424" s="10">
        <v>0.375</v>
      </c>
      <c r="C424">
        <v>8334</v>
      </c>
      <c r="D424" t="s">
        <v>250</v>
      </c>
      <c r="E424">
        <v>828200</v>
      </c>
      <c r="F424">
        <v>828200</v>
      </c>
    </row>
    <row r="425" spans="1:6">
      <c r="A425" s="22">
        <v>46220</v>
      </c>
      <c r="B425" s="10">
        <v>0.375</v>
      </c>
      <c r="C425">
        <v>8359</v>
      </c>
      <c r="D425" t="s">
        <v>251</v>
      </c>
      <c r="E425">
        <v>1185300</v>
      </c>
      <c r="F425">
        <v>1185300</v>
      </c>
    </row>
    <row r="426" spans="1:6">
      <c r="A426" s="22">
        <v>46220</v>
      </c>
      <c r="B426" s="10">
        <v>0.375</v>
      </c>
      <c r="C426">
        <v>8801</v>
      </c>
      <c r="D426" t="s">
        <v>252</v>
      </c>
      <c r="E426">
        <v>4537200</v>
      </c>
      <c r="F426">
        <v>4537200</v>
      </c>
    </row>
    <row r="427" spans="1:6">
      <c r="A427" s="22">
        <v>46220</v>
      </c>
      <c r="B427" s="10">
        <v>0.375</v>
      </c>
      <c r="C427">
        <v>8934</v>
      </c>
      <c r="D427" t="s">
        <v>253</v>
      </c>
      <c r="E427">
        <v>93800</v>
      </c>
      <c r="F427">
        <v>93800</v>
      </c>
    </row>
    <row r="428" spans="1:6">
      <c r="A428" s="22">
        <v>46220</v>
      </c>
      <c r="B428" s="10">
        <v>0.375</v>
      </c>
      <c r="C428">
        <v>9416</v>
      </c>
      <c r="D428" t="s">
        <v>254</v>
      </c>
      <c r="E428">
        <v>191800</v>
      </c>
      <c r="F428">
        <v>191800</v>
      </c>
    </row>
    <row r="429" spans="1:6">
      <c r="A429" s="22">
        <v>46220</v>
      </c>
      <c r="B429" s="10">
        <v>0.375</v>
      </c>
      <c r="C429">
        <v>9532</v>
      </c>
      <c r="D429" t="s">
        <v>255</v>
      </c>
      <c r="E429">
        <v>333400</v>
      </c>
      <c r="F429">
        <v>333400</v>
      </c>
    </row>
    <row r="430" spans="1:6">
      <c r="A430" s="22">
        <v>46220</v>
      </c>
      <c r="B430" s="10">
        <v>0.375</v>
      </c>
      <c r="C430">
        <v>6330</v>
      </c>
      <c r="D430" t="s">
        <v>256</v>
      </c>
      <c r="E430">
        <v>2553200</v>
      </c>
      <c r="F430">
        <v>2553200</v>
      </c>
    </row>
    <row r="431" spans="1:6">
      <c r="A431" s="22">
        <v>46220</v>
      </c>
      <c r="B431" s="10">
        <v>0.375</v>
      </c>
      <c r="C431">
        <v>4082</v>
      </c>
      <c r="D431" t="s">
        <v>257</v>
      </c>
      <c r="E431">
        <v>311300</v>
      </c>
      <c r="F431">
        <v>311300</v>
      </c>
    </row>
    <row r="432" spans="1:6">
      <c r="A432" s="22">
        <v>46220</v>
      </c>
      <c r="B432" s="10">
        <v>0.375</v>
      </c>
      <c r="C432">
        <v>4519</v>
      </c>
      <c r="D432" t="s">
        <v>258</v>
      </c>
      <c r="E432">
        <v>1722900</v>
      </c>
      <c r="F432">
        <v>1722900</v>
      </c>
    </row>
    <row r="433" spans="1:6">
      <c r="A433" s="22">
        <v>46220</v>
      </c>
      <c r="B433" s="10">
        <v>0.375</v>
      </c>
      <c r="C433">
        <v>2160</v>
      </c>
      <c r="D433" t="s">
        <v>259</v>
      </c>
      <c r="E433">
        <v>1089200</v>
      </c>
      <c r="F433">
        <v>1089200</v>
      </c>
    </row>
    <row r="434" spans="1:6">
      <c r="A434" s="22">
        <v>46220</v>
      </c>
      <c r="B434" s="10">
        <v>0.375</v>
      </c>
      <c r="C434">
        <v>6227</v>
      </c>
      <c r="D434" t="s">
        <v>260</v>
      </c>
      <c r="E434">
        <v>1581000</v>
      </c>
      <c r="F434">
        <v>1581000</v>
      </c>
    </row>
    <row r="435" spans="1:6">
      <c r="A435" s="22">
        <v>46220</v>
      </c>
      <c r="B435" s="10">
        <v>0.375</v>
      </c>
      <c r="C435">
        <v>6327</v>
      </c>
      <c r="D435" t="s">
        <v>261</v>
      </c>
      <c r="E435">
        <v>1011500</v>
      </c>
      <c r="F435">
        <v>1011500</v>
      </c>
    </row>
    <row r="436" spans="1:6">
      <c r="A436" s="22">
        <v>46220</v>
      </c>
      <c r="B436" s="10">
        <v>0.375</v>
      </c>
      <c r="C436">
        <v>3110</v>
      </c>
      <c r="D436" t="s">
        <v>262</v>
      </c>
      <c r="E436">
        <v>5729700</v>
      </c>
      <c r="F436">
        <v>5729700</v>
      </c>
    </row>
    <row r="437" spans="1:6">
      <c r="A437" s="22">
        <v>46220</v>
      </c>
      <c r="B437" s="10">
        <v>0.375</v>
      </c>
      <c r="C437">
        <v>6232</v>
      </c>
      <c r="D437" t="s">
        <v>263</v>
      </c>
      <c r="E437">
        <v>566200</v>
      </c>
      <c r="F437">
        <v>566200</v>
      </c>
    </row>
    <row r="438" spans="1:6">
      <c r="A438" s="22">
        <v>46220</v>
      </c>
      <c r="B438" s="10">
        <v>0.375</v>
      </c>
      <c r="C438">
        <v>7794</v>
      </c>
      <c r="D438" t="s">
        <v>264</v>
      </c>
      <c r="E438">
        <v>417300</v>
      </c>
      <c r="F438">
        <v>417300</v>
      </c>
    </row>
    <row r="439" spans="1:6">
      <c r="A439" s="22">
        <v>46220</v>
      </c>
      <c r="B439" s="10">
        <v>0.375</v>
      </c>
      <c r="C439">
        <v>6085</v>
      </c>
      <c r="D439" t="s">
        <v>265</v>
      </c>
      <c r="E439">
        <v>3572200</v>
      </c>
      <c r="F439">
        <v>3572200</v>
      </c>
    </row>
    <row r="440" spans="1:6">
      <c r="A440" s="22">
        <v>46220</v>
      </c>
      <c r="B440" s="10">
        <v>0.375</v>
      </c>
      <c r="C440">
        <v>3103</v>
      </c>
      <c r="D440" t="s">
        <v>266</v>
      </c>
      <c r="E440">
        <v>3139600</v>
      </c>
      <c r="F440">
        <v>3139600</v>
      </c>
    </row>
    <row r="441" spans="1:6">
      <c r="A441" s="22">
        <v>46220</v>
      </c>
      <c r="B441" s="10">
        <v>0.375</v>
      </c>
      <c r="C441">
        <v>4422</v>
      </c>
      <c r="D441" t="s">
        <v>267</v>
      </c>
      <c r="E441">
        <v>93400</v>
      </c>
      <c r="F441">
        <v>93400</v>
      </c>
    </row>
    <row r="442" spans="1:6">
      <c r="A442" s="22">
        <v>46220</v>
      </c>
      <c r="B442" s="10">
        <v>0.375</v>
      </c>
      <c r="C442">
        <v>6740</v>
      </c>
      <c r="D442" t="s">
        <v>268</v>
      </c>
      <c r="E442">
        <v>29863500</v>
      </c>
      <c r="F442">
        <v>29863500</v>
      </c>
    </row>
    <row r="443" spans="1:6">
      <c r="A443" s="22">
        <v>46220</v>
      </c>
      <c r="B443" s="10">
        <v>0.375</v>
      </c>
      <c r="C443">
        <v>6613</v>
      </c>
      <c r="D443" t="s">
        <v>269</v>
      </c>
      <c r="E443">
        <v>6009200</v>
      </c>
      <c r="F443">
        <v>6009200</v>
      </c>
    </row>
    <row r="444" spans="1:6">
      <c r="A444" s="22">
        <v>46220</v>
      </c>
      <c r="B444" s="10">
        <v>0.375</v>
      </c>
      <c r="C444">
        <v>4568</v>
      </c>
      <c r="D444" t="s">
        <v>270</v>
      </c>
      <c r="E444">
        <v>4839400</v>
      </c>
      <c r="F444">
        <v>4839400</v>
      </c>
    </row>
    <row r="445" spans="1:6">
      <c r="A445" s="22">
        <v>46220</v>
      </c>
      <c r="B445" s="10">
        <v>0.375</v>
      </c>
      <c r="C445">
        <v>6522</v>
      </c>
      <c r="D445" t="s">
        <v>271</v>
      </c>
      <c r="E445">
        <v>1053700</v>
      </c>
      <c r="F445">
        <v>1053700</v>
      </c>
    </row>
    <row r="446" spans="1:6">
      <c r="A446" s="22">
        <v>46220</v>
      </c>
      <c r="B446" s="10">
        <v>0.375</v>
      </c>
      <c r="C446">
        <v>6777</v>
      </c>
      <c r="D446" t="s">
        <v>272</v>
      </c>
      <c r="E446">
        <v>155900</v>
      </c>
      <c r="F446">
        <v>155900</v>
      </c>
    </row>
    <row r="447" spans="1:6">
      <c r="A447" s="22">
        <v>46220</v>
      </c>
      <c r="B447" s="10">
        <v>0.375</v>
      </c>
      <c r="C447">
        <v>6787</v>
      </c>
      <c r="D447" t="s">
        <v>273</v>
      </c>
      <c r="E447">
        <v>486500</v>
      </c>
      <c r="F447">
        <v>486500</v>
      </c>
    </row>
    <row r="448" spans="1:6">
      <c r="A448" s="22">
        <v>46220</v>
      </c>
      <c r="B448" s="10">
        <v>0.375</v>
      </c>
      <c r="C448">
        <v>4888</v>
      </c>
      <c r="D448" t="s">
        <v>274</v>
      </c>
      <c r="E448">
        <v>499700</v>
      </c>
      <c r="F448">
        <v>499700</v>
      </c>
    </row>
    <row r="449" spans="1:6">
      <c r="A449" s="22">
        <v>46220</v>
      </c>
      <c r="B449" s="10">
        <v>0.375</v>
      </c>
      <c r="C449">
        <v>6387</v>
      </c>
      <c r="D449" t="s">
        <v>275</v>
      </c>
      <c r="E449">
        <v>110700</v>
      </c>
      <c r="F449">
        <v>110700</v>
      </c>
    </row>
    <row r="450" spans="1:6">
      <c r="A450" s="22">
        <v>46220</v>
      </c>
      <c r="B450" s="10">
        <v>0.375</v>
      </c>
      <c r="C450">
        <v>6838</v>
      </c>
      <c r="D450" t="s">
        <v>276</v>
      </c>
      <c r="E450">
        <v>404500</v>
      </c>
      <c r="F450">
        <v>404500</v>
      </c>
    </row>
    <row r="451" spans="1:6">
      <c r="A451" s="22">
        <v>46220</v>
      </c>
      <c r="B451" s="10">
        <v>0.375</v>
      </c>
      <c r="C451">
        <v>7375</v>
      </c>
      <c r="D451" t="s">
        <v>277</v>
      </c>
      <c r="E451">
        <v>64200</v>
      </c>
      <c r="F451">
        <v>64200</v>
      </c>
    </row>
    <row r="452" spans="1:6">
      <c r="A452" s="22">
        <v>46220</v>
      </c>
      <c r="B452" s="10">
        <v>0.375</v>
      </c>
      <c r="C452">
        <v>4307</v>
      </c>
      <c r="D452" t="s">
        <v>278</v>
      </c>
      <c r="E452">
        <v>1993900</v>
      </c>
      <c r="F452">
        <v>1993900</v>
      </c>
    </row>
    <row r="453" spans="1:6">
      <c r="A453" s="22">
        <v>46220</v>
      </c>
      <c r="B453" s="10">
        <v>0.375</v>
      </c>
      <c r="C453">
        <v>6516</v>
      </c>
      <c r="D453" t="s">
        <v>279</v>
      </c>
      <c r="E453">
        <v>119500</v>
      </c>
      <c r="F453">
        <v>119500</v>
      </c>
    </row>
    <row r="454" spans="1:6">
      <c r="A454" s="22">
        <v>46220</v>
      </c>
      <c r="B454" s="10">
        <v>0.375</v>
      </c>
      <c r="C454">
        <v>7381</v>
      </c>
      <c r="D454" t="s">
        <v>280</v>
      </c>
      <c r="E454">
        <v>700500</v>
      </c>
      <c r="F454">
        <v>700500</v>
      </c>
    </row>
    <row r="455" spans="1:6">
      <c r="A455" s="22">
        <v>46220</v>
      </c>
      <c r="B455" s="10">
        <v>0.375</v>
      </c>
      <c r="C455">
        <v>4417</v>
      </c>
      <c r="D455" t="s">
        <v>281</v>
      </c>
      <c r="E455">
        <v>80100</v>
      </c>
      <c r="F455">
        <v>80100</v>
      </c>
    </row>
    <row r="456" spans="1:6">
      <c r="A456" s="22">
        <v>46220</v>
      </c>
      <c r="B456" s="10">
        <v>0.375</v>
      </c>
      <c r="C456">
        <v>6981</v>
      </c>
      <c r="D456" t="s">
        <v>282</v>
      </c>
      <c r="E456">
        <v>37257600</v>
      </c>
      <c r="F456">
        <v>37257600</v>
      </c>
    </row>
    <row r="457" spans="1:6">
      <c r="A457" s="22">
        <v>46220</v>
      </c>
      <c r="B457" s="10">
        <v>0.375</v>
      </c>
      <c r="C457">
        <v>6754</v>
      </c>
      <c r="D457" t="s">
        <v>283</v>
      </c>
      <c r="E457">
        <v>1375200</v>
      </c>
      <c r="F457">
        <v>1375200</v>
      </c>
    </row>
    <row r="458" spans="1:6">
      <c r="A458" s="22">
        <v>46220</v>
      </c>
      <c r="B458" s="10">
        <v>0.375</v>
      </c>
      <c r="C458">
        <v>4088</v>
      </c>
      <c r="D458" t="s">
        <v>284</v>
      </c>
      <c r="E458">
        <v>550600</v>
      </c>
      <c r="F458">
        <v>550600</v>
      </c>
    </row>
    <row r="459" spans="1:6">
      <c r="A459" s="22">
        <v>46220</v>
      </c>
      <c r="B459" s="10">
        <v>0.375</v>
      </c>
      <c r="C459">
        <v>4091</v>
      </c>
      <c r="D459" t="s">
        <v>285</v>
      </c>
      <c r="E459">
        <v>251600</v>
      </c>
      <c r="F459">
        <v>251600</v>
      </c>
    </row>
    <row r="460" spans="1:6">
      <c r="A460" s="22">
        <v>46220</v>
      </c>
      <c r="B460" s="10">
        <v>0.375</v>
      </c>
      <c r="C460">
        <v>6857</v>
      </c>
      <c r="D460" t="s">
        <v>286</v>
      </c>
      <c r="E460">
        <v>10892800</v>
      </c>
      <c r="F460">
        <v>10892800</v>
      </c>
    </row>
    <row r="461" spans="1:6">
      <c r="A461" s="22">
        <v>46220</v>
      </c>
      <c r="B461" s="10">
        <v>0.375</v>
      </c>
      <c r="C461">
        <v>3891</v>
      </c>
      <c r="D461" t="s">
        <v>287</v>
      </c>
      <c r="E461">
        <v>150200</v>
      </c>
      <c r="F461">
        <v>150200</v>
      </c>
    </row>
    <row r="462" spans="1:6">
      <c r="A462" s="22">
        <v>46220</v>
      </c>
      <c r="B462" s="10">
        <v>0.375</v>
      </c>
      <c r="C462">
        <v>4373</v>
      </c>
      <c r="D462" t="s">
        <v>288</v>
      </c>
      <c r="E462">
        <v>994700</v>
      </c>
      <c r="F462">
        <v>994700</v>
      </c>
    </row>
    <row r="463" spans="1:6">
      <c r="A463" s="22">
        <v>46220</v>
      </c>
      <c r="B463" s="10">
        <v>0.375</v>
      </c>
      <c r="C463">
        <v>8892</v>
      </c>
      <c r="D463" t="s">
        <v>289</v>
      </c>
      <c r="E463">
        <v>98600</v>
      </c>
      <c r="F463">
        <v>98600</v>
      </c>
    </row>
    <row r="464" spans="1:6">
      <c r="A464" s="22">
        <v>46220</v>
      </c>
      <c r="B464" s="10">
        <v>0.375</v>
      </c>
      <c r="C464">
        <v>9687</v>
      </c>
      <c r="D464" t="s">
        <v>290</v>
      </c>
      <c r="E464">
        <v>2900</v>
      </c>
      <c r="F464">
        <v>2900</v>
      </c>
    </row>
    <row r="465" spans="1:6">
      <c r="A465" s="22">
        <v>46220</v>
      </c>
      <c r="B465" s="10">
        <v>0.375</v>
      </c>
      <c r="C465">
        <v>1930</v>
      </c>
      <c r="D465" t="s">
        <v>291</v>
      </c>
      <c r="E465">
        <v>71300</v>
      </c>
      <c r="F465">
        <v>71300</v>
      </c>
    </row>
    <row r="466" spans="1:6">
      <c r="A466" s="22">
        <v>46220</v>
      </c>
      <c r="B466" s="10">
        <v>0.375</v>
      </c>
      <c r="C466">
        <v>8704</v>
      </c>
      <c r="D466" t="s">
        <v>292</v>
      </c>
      <c r="E466">
        <v>133800</v>
      </c>
      <c r="F466">
        <v>133800</v>
      </c>
    </row>
    <row r="467" spans="1:6">
      <c r="A467" s="22">
        <v>46220</v>
      </c>
      <c r="B467" s="10">
        <v>0.375</v>
      </c>
      <c r="C467">
        <v>4733</v>
      </c>
      <c r="D467" t="s">
        <v>293</v>
      </c>
      <c r="E467">
        <v>93700</v>
      </c>
      <c r="F467">
        <v>93700</v>
      </c>
    </row>
    <row r="468" spans="1:6">
      <c r="A468" s="22">
        <v>46220</v>
      </c>
      <c r="B468" s="10">
        <v>0.375</v>
      </c>
      <c r="C468">
        <v>9733</v>
      </c>
      <c r="D468" t="s">
        <v>294</v>
      </c>
      <c r="E468">
        <v>17000</v>
      </c>
      <c r="F468">
        <v>17000</v>
      </c>
    </row>
    <row r="469" spans="1:6">
      <c r="A469" s="22">
        <v>46220</v>
      </c>
      <c r="B469" s="10">
        <v>0.375</v>
      </c>
      <c r="C469">
        <v>9551</v>
      </c>
      <c r="D469" t="s">
        <v>295</v>
      </c>
      <c r="E469">
        <v>108400</v>
      </c>
      <c r="F469">
        <v>108400</v>
      </c>
    </row>
    <row r="470" spans="1:6">
      <c r="A470" s="22">
        <v>46220</v>
      </c>
      <c r="B470" s="10">
        <v>0.375</v>
      </c>
      <c r="C470">
        <v>2359</v>
      </c>
      <c r="D470" t="s">
        <v>296</v>
      </c>
      <c r="E470">
        <v>13500</v>
      </c>
      <c r="F470">
        <v>13500</v>
      </c>
    </row>
    <row r="471" spans="1:6">
      <c r="A471" s="22">
        <v>46220</v>
      </c>
      <c r="B471" s="10">
        <v>0.375</v>
      </c>
      <c r="C471">
        <v>8103</v>
      </c>
      <c r="D471" t="s">
        <v>297</v>
      </c>
      <c r="E471">
        <v>180500</v>
      </c>
      <c r="F471">
        <v>180500</v>
      </c>
    </row>
    <row r="472" spans="1:6">
      <c r="A472" s="22">
        <v>46220</v>
      </c>
      <c r="B472" s="10">
        <v>0.375</v>
      </c>
      <c r="C472">
        <v>4709</v>
      </c>
      <c r="D472" t="s">
        <v>298</v>
      </c>
      <c r="E472">
        <v>44400</v>
      </c>
      <c r="F472">
        <v>44400</v>
      </c>
    </row>
    <row r="473" spans="1:6">
      <c r="A473" s="22">
        <v>46220</v>
      </c>
      <c r="B473" s="10">
        <v>0.375</v>
      </c>
      <c r="C473">
        <v>7981</v>
      </c>
      <c r="D473" t="s">
        <v>299</v>
      </c>
      <c r="E473">
        <v>80400</v>
      </c>
      <c r="F473">
        <v>80400</v>
      </c>
    </row>
    <row r="474" spans="1:6">
      <c r="A474" s="22">
        <v>46220</v>
      </c>
      <c r="B474" s="10">
        <v>0.375</v>
      </c>
      <c r="C474">
        <v>8303</v>
      </c>
      <c r="D474" t="s">
        <v>300</v>
      </c>
      <c r="E474">
        <v>4287200</v>
      </c>
      <c r="F474">
        <v>4287200</v>
      </c>
    </row>
    <row r="475" spans="1:6">
      <c r="A475" s="22">
        <v>46220</v>
      </c>
      <c r="B475" s="10">
        <v>0.375</v>
      </c>
      <c r="C475">
        <v>4382</v>
      </c>
      <c r="D475" t="s">
        <v>301</v>
      </c>
      <c r="E475">
        <v>62800</v>
      </c>
      <c r="F475">
        <v>62800</v>
      </c>
    </row>
    <row r="476" spans="1:6">
      <c r="A476" s="22">
        <v>46220</v>
      </c>
      <c r="B476" s="10">
        <v>0.375</v>
      </c>
      <c r="C476">
        <v>2327</v>
      </c>
      <c r="D476" t="s">
        <v>302</v>
      </c>
      <c r="E476">
        <v>142800</v>
      </c>
      <c r="F476">
        <v>142800</v>
      </c>
    </row>
    <row r="477" spans="1:6">
      <c r="A477" s="22">
        <v>46220</v>
      </c>
      <c r="B477" s="10">
        <v>0.375</v>
      </c>
      <c r="C477">
        <v>1942</v>
      </c>
      <c r="D477" t="s">
        <v>303</v>
      </c>
      <c r="E477">
        <v>970200</v>
      </c>
      <c r="F477">
        <v>970200</v>
      </c>
    </row>
    <row r="478" spans="1:6">
      <c r="A478" s="22">
        <v>46220</v>
      </c>
      <c r="B478" s="10">
        <v>0.375</v>
      </c>
      <c r="C478">
        <v>1938</v>
      </c>
      <c r="D478" t="s">
        <v>304</v>
      </c>
      <c r="E478">
        <v>109300</v>
      </c>
      <c r="F478">
        <v>109300</v>
      </c>
    </row>
    <row r="479" spans="1:6">
      <c r="A479" s="22">
        <v>46220</v>
      </c>
      <c r="B479" s="10">
        <v>0.375</v>
      </c>
      <c r="C479">
        <v>7236</v>
      </c>
      <c r="D479" t="s">
        <v>305</v>
      </c>
      <c r="E479">
        <v>472500</v>
      </c>
      <c r="F479">
        <v>472500</v>
      </c>
    </row>
    <row r="480" spans="1:6">
      <c r="A480" s="22">
        <v>46220</v>
      </c>
      <c r="B480" s="10">
        <v>0.375</v>
      </c>
      <c r="C480">
        <v>6436</v>
      </c>
      <c r="D480" t="s">
        <v>306</v>
      </c>
      <c r="E480">
        <v>204500</v>
      </c>
      <c r="F480">
        <v>204500</v>
      </c>
    </row>
    <row r="481" spans="1:6">
      <c r="A481" s="22">
        <v>46220</v>
      </c>
      <c r="B481" s="10">
        <v>0.375</v>
      </c>
      <c r="C481">
        <v>5410</v>
      </c>
      <c r="D481" t="s">
        <v>307</v>
      </c>
      <c r="E481">
        <v>80900</v>
      </c>
      <c r="F481">
        <v>80900</v>
      </c>
    </row>
    <row r="482" spans="1:6">
      <c r="A482" s="22">
        <v>46220</v>
      </c>
      <c r="B482" s="10">
        <v>0.375</v>
      </c>
      <c r="C482">
        <v>5440</v>
      </c>
      <c r="D482" t="s">
        <v>308</v>
      </c>
      <c r="E482">
        <v>77800</v>
      </c>
      <c r="F482">
        <v>77800</v>
      </c>
    </row>
    <row r="483" spans="1:6">
      <c r="A483" s="22">
        <v>46220</v>
      </c>
      <c r="B483" s="10">
        <v>0.375</v>
      </c>
      <c r="C483">
        <v>9505</v>
      </c>
      <c r="D483" t="s">
        <v>309</v>
      </c>
      <c r="E483">
        <v>798800</v>
      </c>
      <c r="F483">
        <v>798800</v>
      </c>
    </row>
    <row r="484" spans="1:6">
      <c r="A484" s="22">
        <v>46220</v>
      </c>
      <c r="B484" s="10">
        <v>0.375</v>
      </c>
      <c r="C484">
        <v>8091</v>
      </c>
      <c r="D484" t="s">
        <v>310</v>
      </c>
      <c r="E484">
        <v>15300</v>
      </c>
      <c r="F484">
        <v>15300</v>
      </c>
    </row>
    <row r="485" spans="1:6">
      <c r="A485" s="22">
        <v>46220</v>
      </c>
      <c r="B485" s="10">
        <v>0.375</v>
      </c>
      <c r="C485">
        <v>6507</v>
      </c>
      <c r="D485" t="s">
        <v>311</v>
      </c>
      <c r="E485">
        <v>169800</v>
      </c>
      <c r="F485">
        <v>169800</v>
      </c>
    </row>
    <row r="486" spans="1:6">
      <c r="A486" s="22">
        <v>46220</v>
      </c>
      <c r="B486" s="10">
        <v>0.375</v>
      </c>
      <c r="C486">
        <v>9022</v>
      </c>
      <c r="D486" t="s">
        <v>312</v>
      </c>
      <c r="E486">
        <v>1638700</v>
      </c>
      <c r="F486">
        <v>1638700</v>
      </c>
    </row>
    <row r="487" spans="1:6">
      <c r="A487" s="22">
        <v>46220</v>
      </c>
      <c r="B487" s="10">
        <v>0.375</v>
      </c>
      <c r="C487">
        <v>9536</v>
      </c>
      <c r="D487" t="s">
        <v>313</v>
      </c>
      <c r="E487">
        <v>48600</v>
      </c>
      <c r="F487">
        <v>48600</v>
      </c>
    </row>
    <row r="488" spans="1:6">
      <c r="A488" s="22">
        <v>46220</v>
      </c>
      <c r="B488" s="10">
        <v>0.375</v>
      </c>
      <c r="C488">
        <v>9506</v>
      </c>
      <c r="D488" t="s">
        <v>314</v>
      </c>
      <c r="E488">
        <v>1980000</v>
      </c>
      <c r="F488">
        <v>1980000</v>
      </c>
    </row>
    <row r="489" spans="1:6">
      <c r="A489" s="22">
        <v>46220</v>
      </c>
      <c r="B489" s="10">
        <v>0.375</v>
      </c>
      <c r="C489">
        <v>2127</v>
      </c>
      <c r="D489" t="s">
        <v>315</v>
      </c>
      <c r="E489">
        <v>854200</v>
      </c>
      <c r="F489">
        <v>854200</v>
      </c>
    </row>
    <row r="490" spans="1:6">
      <c r="A490" s="22">
        <v>46220</v>
      </c>
      <c r="B490" s="10">
        <v>0.375</v>
      </c>
      <c r="C490">
        <v>6753</v>
      </c>
      <c r="D490" t="s">
        <v>316</v>
      </c>
      <c r="E490">
        <v>2233000</v>
      </c>
      <c r="F490">
        <v>2233000</v>
      </c>
    </row>
    <row r="491" spans="1:6">
      <c r="A491" s="22">
        <v>46220</v>
      </c>
      <c r="B491" s="10">
        <v>0.375</v>
      </c>
      <c r="C491">
        <v>9064</v>
      </c>
      <c r="D491" t="s">
        <v>317</v>
      </c>
      <c r="E491">
        <v>1124600</v>
      </c>
      <c r="F491">
        <v>1124600</v>
      </c>
    </row>
    <row r="492" spans="1:6">
      <c r="A492" s="22">
        <v>46220</v>
      </c>
      <c r="B492" s="10">
        <v>0.375</v>
      </c>
      <c r="C492">
        <v>7181</v>
      </c>
      <c r="D492" t="s">
        <v>318</v>
      </c>
      <c r="E492">
        <v>879000</v>
      </c>
      <c r="F492">
        <v>879000</v>
      </c>
    </row>
    <row r="493" spans="1:6">
      <c r="A493" s="22">
        <v>46220</v>
      </c>
      <c r="B493" s="10">
        <v>0.375</v>
      </c>
      <c r="C493">
        <v>6485</v>
      </c>
      <c r="D493" t="s">
        <v>319</v>
      </c>
      <c r="E493">
        <v>21900</v>
      </c>
      <c r="F493">
        <v>21900</v>
      </c>
    </row>
    <row r="494" spans="1:6">
      <c r="A494" s="22">
        <v>46220</v>
      </c>
      <c r="B494" s="10">
        <v>0.375</v>
      </c>
      <c r="C494">
        <v>4887</v>
      </c>
      <c r="D494" t="s">
        <v>320</v>
      </c>
      <c r="E494">
        <v>347700</v>
      </c>
      <c r="F494">
        <v>347700</v>
      </c>
    </row>
    <row r="495" spans="1:6">
      <c r="A495" s="22">
        <v>46220</v>
      </c>
      <c r="B495" s="10">
        <v>0.375</v>
      </c>
      <c r="C495">
        <v>5243</v>
      </c>
      <c r="D495" t="s">
        <v>321</v>
      </c>
      <c r="E495">
        <v>614700</v>
      </c>
      <c r="F495">
        <v>614700</v>
      </c>
    </row>
    <row r="496" spans="1:6">
      <c r="A496" s="22">
        <v>46220</v>
      </c>
      <c r="B496" s="10">
        <v>0.375</v>
      </c>
      <c r="C496">
        <v>2702</v>
      </c>
      <c r="D496" t="s">
        <v>322</v>
      </c>
      <c r="E496">
        <v>375400</v>
      </c>
      <c r="F496">
        <v>375400</v>
      </c>
    </row>
    <row r="497" spans="1:6">
      <c r="A497" s="22">
        <v>46220</v>
      </c>
      <c r="B497" s="10">
        <v>0.375</v>
      </c>
      <c r="C497">
        <v>6890</v>
      </c>
      <c r="D497" t="s">
        <v>323</v>
      </c>
      <c r="E497">
        <v>2080600</v>
      </c>
      <c r="F497">
        <v>2080600</v>
      </c>
    </row>
    <row r="498" spans="1:6">
      <c r="A498" s="22">
        <v>46220</v>
      </c>
      <c r="B498" s="10">
        <v>0.375</v>
      </c>
      <c r="C498">
        <v>4966</v>
      </c>
      <c r="D498" t="s">
        <v>324</v>
      </c>
      <c r="E498">
        <v>86500</v>
      </c>
      <c r="F498">
        <v>86500</v>
      </c>
    </row>
    <row r="499" spans="1:6">
      <c r="A499" s="22">
        <v>46220</v>
      </c>
      <c r="B499" s="10">
        <v>0.375</v>
      </c>
      <c r="C499">
        <v>6146</v>
      </c>
      <c r="D499" t="s">
        <v>325</v>
      </c>
      <c r="E499">
        <v>1424900</v>
      </c>
      <c r="F499">
        <v>1424900</v>
      </c>
    </row>
    <row r="500" spans="1:6">
      <c r="A500" s="22">
        <v>46220</v>
      </c>
      <c r="B500" s="10">
        <v>0.375</v>
      </c>
      <c r="C500">
        <v>8035</v>
      </c>
      <c r="D500" t="s">
        <v>326</v>
      </c>
      <c r="E500">
        <v>5164000</v>
      </c>
      <c r="F500">
        <v>5164000</v>
      </c>
    </row>
    <row r="501" spans="1:6">
      <c r="A501" s="22">
        <v>46220</v>
      </c>
      <c r="B501" s="10">
        <v>0.375</v>
      </c>
      <c r="C501">
        <v>6920</v>
      </c>
      <c r="D501" t="s">
        <v>327</v>
      </c>
      <c r="E501">
        <v>4315800</v>
      </c>
      <c r="F501">
        <v>4315800</v>
      </c>
    </row>
    <row r="502" spans="1:6">
      <c r="A502" s="22">
        <v>46220</v>
      </c>
      <c r="B502" s="10">
        <v>0.375</v>
      </c>
      <c r="C502">
        <v>5801</v>
      </c>
      <c r="D502" t="s">
        <v>328</v>
      </c>
      <c r="E502">
        <v>19604300</v>
      </c>
      <c r="F502">
        <v>19604300</v>
      </c>
    </row>
    <row r="503" spans="1:6">
      <c r="A503" s="22">
        <v>46220</v>
      </c>
      <c r="B503" s="10">
        <v>0.375</v>
      </c>
      <c r="C503">
        <v>6506</v>
      </c>
      <c r="D503" t="s">
        <v>329</v>
      </c>
      <c r="E503">
        <v>10899400</v>
      </c>
      <c r="F503">
        <v>10899400</v>
      </c>
    </row>
    <row r="504" spans="1:6">
      <c r="A504" s="22">
        <v>46220</v>
      </c>
      <c r="B504" s="10">
        <v>0.375</v>
      </c>
      <c r="C504">
        <v>2768</v>
      </c>
      <c r="D504" t="s">
        <v>330</v>
      </c>
      <c r="E504">
        <v>999500</v>
      </c>
      <c r="F504">
        <v>999500</v>
      </c>
    </row>
    <row r="505" spans="1:6">
      <c r="A505" s="22">
        <v>46220</v>
      </c>
      <c r="B505" s="10">
        <v>0.375</v>
      </c>
      <c r="C505">
        <v>6305</v>
      </c>
      <c r="D505" t="s">
        <v>331</v>
      </c>
      <c r="E505">
        <v>509000</v>
      </c>
      <c r="F505">
        <v>509000</v>
      </c>
    </row>
    <row r="506" spans="1:6">
      <c r="A506" s="22">
        <v>46220</v>
      </c>
      <c r="B506" s="10">
        <v>0.375</v>
      </c>
      <c r="C506">
        <v>8015</v>
      </c>
      <c r="D506" t="s">
        <v>332</v>
      </c>
      <c r="E506">
        <v>2015400</v>
      </c>
      <c r="F506">
        <v>2015400</v>
      </c>
    </row>
    <row r="507" spans="1:6">
      <c r="A507" s="22">
        <v>46220</v>
      </c>
      <c r="B507" s="10">
        <v>0.375</v>
      </c>
      <c r="C507">
        <v>6758</v>
      </c>
      <c r="D507" t="s">
        <v>333</v>
      </c>
      <c r="E507">
        <v>16320600</v>
      </c>
      <c r="F507">
        <v>16320600</v>
      </c>
    </row>
    <row r="508" spans="1:6">
      <c r="A508" s="22">
        <v>46220</v>
      </c>
      <c r="B508" s="10">
        <v>0.375</v>
      </c>
      <c r="C508">
        <v>9101</v>
      </c>
      <c r="D508" t="s">
        <v>334</v>
      </c>
      <c r="E508">
        <v>3375000</v>
      </c>
      <c r="F508">
        <v>3375000</v>
      </c>
    </row>
    <row r="509" spans="1:6">
      <c r="A509" s="22">
        <v>46220</v>
      </c>
      <c r="B509" s="10">
        <v>0.375</v>
      </c>
      <c r="C509">
        <v>7011</v>
      </c>
      <c r="D509" t="s">
        <v>335</v>
      </c>
      <c r="E509">
        <v>16919300</v>
      </c>
      <c r="F509">
        <v>16919300</v>
      </c>
    </row>
    <row r="510" spans="1:6">
      <c r="A510" s="22">
        <v>46220</v>
      </c>
      <c r="B510" s="10">
        <v>0.375</v>
      </c>
      <c r="C510">
        <v>1812</v>
      </c>
      <c r="D510" t="s">
        <v>336</v>
      </c>
      <c r="E510">
        <v>1069500</v>
      </c>
      <c r="F510">
        <v>1069500</v>
      </c>
    </row>
    <row r="511" spans="1:6">
      <c r="A511" s="22">
        <v>46220</v>
      </c>
      <c r="B511" s="10">
        <v>0.375</v>
      </c>
      <c r="C511">
        <v>6861</v>
      </c>
      <c r="D511" t="s">
        <v>337</v>
      </c>
      <c r="E511">
        <v>636600</v>
      </c>
      <c r="F511">
        <v>636600</v>
      </c>
    </row>
    <row r="512" spans="1:6">
      <c r="A512" s="22">
        <v>46220</v>
      </c>
      <c r="B512" s="10">
        <v>0.375</v>
      </c>
      <c r="C512">
        <v>6324</v>
      </c>
      <c r="D512" t="s">
        <v>338</v>
      </c>
      <c r="E512">
        <v>1665600</v>
      </c>
      <c r="F512">
        <v>1665600</v>
      </c>
    </row>
    <row r="513" spans="1:6">
      <c r="A513" s="22">
        <v>46220</v>
      </c>
      <c r="B513" s="10">
        <v>0.375</v>
      </c>
      <c r="C513">
        <v>6273</v>
      </c>
      <c r="D513" t="s">
        <v>339</v>
      </c>
      <c r="E513">
        <v>310500</v>
      </c>
      <c r="F513">
        <v>310500</v>
      </c>
    </row>
    <row r="514" spans="1:6">
      <c r="A514" s="22">
        <v>46220</v>
      </c>
      <c r="B514" s="10">
        <v>0.375</v>
      </c>
      <c r="C514">
        <v>4502</v>
      </c>
      <c r="D514" t="s">
        <v>340</v>
      </c>
      <c r="E514">
        <v>3358900</v>
      </c>
      <c r="F514">
        <v>3358900</v>
      </c>
    </row>
    <row r="515" spans="1:6">
      <c r="A515" s="22">
        <v>46220</v>
      </c>
      <c r="B515" s="10">
        <v>0.375</v>
      </c>
      <c r="C515">
        <v>4004</v>
      </c>
      <c r="D515" t="s">
        <v>341</v>
      </c>
      <c r="E515">
        <v>2517500</v>
      </c>
      <c r="F515">
        <v>2517500</v>
      </c>
    </row>
    <row r="516" spans="1:6">
      <c r="A516" s="22">
        <v>46220</v>
      </c>
      <c r="B516" s="10">
        <v>0.375</v>
      </c>
      <c r="C516">
        <v>9519</v>
      </c>
      <c r="D516" t="s">
        <v>342</v>
      </c>
      <c r="E516">
        <v>726100</v>
      </c>
      <c r="F516">
        <v>726100</v>
      </c>
    </row>
    <row r="517" spans="1:6">
      <c r="A517" s="22">
        <v>46220</v>
      </c>
      <c r="B517" s="10">
        <v>0.375</v>
      </c>
      <c r="C517">
        <v>6752</v>
      </c>
      <c r="D517" t="s">
        <v>343</v>
      </c>
      <c r="E517">
        <v>8290200</v>
      </c>
      <c r="F517">
        <v>8290200</v>
      </c>
    </row>
    <row r="518" spans="1:6">
      <c r="A518" s="22">
        <v>46220</v>
      </c>
      <c r="B518" s="10">
        <v>0.375</v>
      </c>
      <c r="C518">
        <v>6622</v>
      </c>
      <c r="D518" t="s">
        <v>344</v>
      </c>
      <c r="E518">
        <v>401700</v>
      </c>
      <c r="F518">
        <v>401700</v>
      </c>
    </row>
    <row r="519" spans="1:6">
      <c r="A519" s="22">
        <v>46220</v>
      </c>
      <c r="B519" s="10">
        <v>0.375</v>
      </c>
      <c r="C519">
        <v>1407</v>
      </c>
      <c r="D519" t="s">
        <v>345</v>
      </c>
      <c r="E519">
        <v>767100</v>
      </c>
      <c r="F519">
        <v>767100</v>
      </c>
    </row>
    <row r="520" spans="1:6">
      <c r="A520" s="22">
        <v>46220</v>
      </c>
      <c r="B520" s="10">
        <v>0.375</v>
      </c>
      <c r="C520" t="s">
        <v>46</v>
      </c>
      <c r="D520" t="s">
        <v>346</v>
      </c>
      <c r="E520">
        <v>40153500</v>
      </c>
      <c r="F520">
        <v>40153500</v>
      </c>
    </row>
    <row r="521" spans="1:6">
      <c r="A521" s="22">
        <v>46220</v>
      </c>
      <c r="B521" s="10">
        <v>0.375</v>
      </c>
      <c r="C521" t="s">
        <v>47</v>
      </c>
      <c r="D521" t="s">
        <v>347</v>
      </c>
      <c r="E521">
        <v>550800</v>
      </c>
      <c r="F521">
        <v>550800</v>
      </c>
    </row>
    <row r="522" spans="1:6">
      <c r="A522" s="22">
        <v>46220</v>
      </c>
      <c r="B522" s="10">
        <v>0.375</v>
      </c>
      <c r="C522" t="s">
        <v>48</v>
      </c>
      <c r="D522" t="s">
        <v>348</v>
      </c>
      <c r="E522">
        <v>2340400</v>
      </c>
      <c r="F522">
        <v>2340400</v>
      </c>
    </row>
    <row r="523" spans="1:6">
      <c r="A523" s="22">
        <v>46220</v>
      </c>
      <c r="B523" s="10">
        <v>0.375</v>
      </c>
      <c r="C523" t="s">
        <v>49</v>
      </c>
      <c r="D523" t="s">
        <v>349</v>
      </c>
      <c r="E523">
        <v>5398400</v>
      </c>
      <c r="F523">
        <v>5398400</v>
      </c>
    </row>
    <row r="524" spans="1:6">
      <c r="A524" s="22">
        <v>46220</v>
      </c>
      <c r="B524" s="10">
        <v>0.375</v>
      </c>
      <c r="C524">
        <v>1570</v>
      </c>
      <c r="D524" t="s">
        <v>350</v>
      </c>
      <c r="E524">
        <v>5166865</v>
      </c>
      <c r="F524">
        <v>5166865</v>
      </c>
    </row>
    <row r="525" spans="1:6">
      <c r="A525" s="22">
        <v>46220</v>
      </c>
      <c r="B525" s="10">
        <v>0.375</v>
      </c>
      <c r="C525">
        <v>6135</v>
      </c>
      <c r="D525" t="s">
        <v>351</v>
      </c>
      <c r="E525">
        <v>279000</v>
      </c>
      <c r="F525">
        <v>279000</v>
      </c>
    </row>
    <row r="526" spans="1:6">
      <c r="A526" s="22">
        <v>46220</v>
      </c>
      <c r="B526" s="10">
        <v>0.375</v>
      </c>
      <c r="C526">
        <v>6055</v>
      </c>
      <c r="D526" t="s">
        <v>352</v>
      </c>
      <c r="E526">
        <v>814400</v>
      </c>
      <c r="F526">
        <v>814400</v>
      </c>
    </row>
    <row r="527" spans="1:6">
      <c r="A527" s="22">
        <v>46220</v>
      </c>
      <c r="B527" s="10">
        <v>0.375</v>
      </c>
      <c r="C527">
        <v>6862</v>
      </c>
      <c r="D527" t="s">
        <v>353</v>
      </c>
      <c r="E527">
        <v>419800</v>
      </c>
      <c r="F527">
        <v>419800</v>
      </c>
    </row>
    <row r="528" spans="1:6">
      <c r="A528" s="22">
        <v>46220</v>
      </c>
      <c r="B528" s="10">
        <v>0.375</v>
      </c>
      <c r="C528">
        <v>2267</v>
      </c>
      <c r="D528" t="s">
        <v>354</v>
      </c>
      <c r="E528">
        <v>727900</v>
      </c>
      <c r="F528">
        <v>727900</v>
      </c>
    </row>
    <row r="529" spans="1:6">
      <c r="A529" s="22">
        <v>46220</v>
      </c>
      <c r="B529" s="10">
        <v>0.375</v>
      </c>
      <c r="C529">
        <v>1618</v>
      </c>
      <c r="D529" t="s">
        <v>355</v>
      </c>
      <c r="E529">
        <v>1429</v>
      </c>
      <c r="F529">
        <v>1429</v>
      </c>
    </row>
    <row r="530" spans="1:6">
      <c r="A530" s="22">
        <v>46220</v>
      </c>
      <c r="B530" s="10">
        <v>0.375</v>
      </c>
      <c r="C530">
        <v>3696</v>
      </c>
      <c r="D530" t="s">
        <v>356</v>
      </c>
      <c r="E530">
        <v>97000</v>
      </c>
      <c r="F530">
        <v>97000</v>
      </c>
    </row>
    <row r="531" spans="1:6">
      <c r="A531" s="22">
        <v>46220</v>
      </c>
      <c r="B531" s="10">
        <v>0.375</v>
      </c>
      <c r="C531">
        <v>4222</v>
      </c>
      <c r="D531" t="s">
        <v>357</v>
      </c>
      <c r="E531">
        <v>336400</v>
      </c>
      <c r="F531">
        <v>336400</v>
      </c>
    </row>
    <row r="532" spans="1:6">
      <c r="A532" s="22">
        <v>46220</v>
      </c>
      <c r="B532" s="10">
        <v>0.375</v>
      </c>
      <c r="C532">
        <v>3563</v>
      </c>
      <c r="D532" t="s">
        <v>358</v>
      </c>
      <c r="E532">
        <v>1501000</v>
      </c>
      <c r="F532">
        <v>1501000</v>
      </c>
    </row>
    <row r="533" spans="1:6">
      <c r="A533" s="22">
        <v>46220</v>
      </c>
      <c r="B533" s="10">
        <v>0.375</v>
      </c>
      <c r="C533">
        <v>7013</v>
      </c>
      <c r="D533" t="s">
        <v>359</v>
      </c>
      <c r="E533">
        <v>11922500</v>
      </c>
      <c r="F533">
        <v>11922500</v>
      </c>
    </row>
    <row r="534" spans="1:6">
      <c r="A534" s="22">
        <v>46220</v>
      </c>
      <c r="B534" s="10">
        <v>0.375</v>
      </c>
      <c r="C534">
        <v>8793</v>
      </c>
      <c r="D534" t="s">
        <v>360</v>
      </c>
      <c r="E534">
        <v>18400</v>
      </c>
      <c r="F534">
        <v>18400</v>
      </c>
    </row>
    <row r="535" spans="1:6">
      <c r="A535" s="22">
        <v>46220</v>
      </c>
      <c r="B535" s="10">
        <v>0.375</v>
      </c>
      <c r="C535">
        <v>9962</v>
      </c>
      <c r="D535" t="s">
        <v>361</v>
      </c>
      <c r="E535">
        <v>824700</v>
      </c>
      <c r="F535">
        <v>824700</v>
      </c>
    </row>
    <row r="536" spans="1:6">
      <c r="A536" s="22">
        <v>46220</v>
      </c>
      <c r="B536" s="10">
        <v>0.375</v>
      </c>
      <c r="C536">
        <v>6762</v>
      </c>
      <c r="D536" t="s">
        <v>362</v>
      </c>
      <c r="E536">
        <v>12746000</v>
      </c>
      <c r="F536">
        <v>12746000</v>
      </c>
    </row>
    <row r="537" spans="1:6">
      <c r="A537" s="22">
        <v>46220</v>
      </c>
      <c r="B537" s="10">
        <v>0.375</v>
      </c>
      <c r="C537">
        <v>4392</v>
      </c>
      <c r="D537" t="s">
        <v>363</v>
      </c>
      <c r="E537">
        <v>1436800</v>
      </c>
      <c r="F537">
        <v>1436800</v>
      </c>
    </row>
    <row r="538" spans="1:6">
      <c r="A538" s="22">
        <v>46220</v>
      </c>
      <c r="B538" s="10">
        <v>0.375</v>
      </c>
      <c r="C538">
        <v>8005</v>
      </c>
      <c r="D538" t="s">
        <v>364</v>
      </c>
      <c r="E538">
        <v>133100</v>
      </c>
      <c r="F538">
        <v>133100</v>
      </c>
    </row>
    <row r="539" spans="1:6">
      <c r="A539" s="22">
        <v>46220</v>
      </c>
      <c r="B539" s="10">
        <v>0.375</v>
      </c>
      <c r="C539">
        <v>2326</v>
      </c>
      <c r="D539" t="s">
        <v>365</v>
      </c>
      <c r="E539">
        <v>183000</v>
      </c>
      <c r="F539">
        <v>183000</v>
      </c>
    </row>
    <row r="540" spans="1:6">
      <c r="A540" s="22">
        <v>46220</v>
      </c>
      <c r="B540" s="10">
        <v>0.375</v>
      </c>
      <c r="C540">
        <v>6809</v>
      </c>
      <c r="D540" t="s">
        <v>366</v>
      </c>
      <c r="E540">
        <v>60100</v>
      </c>
      <c r="F540">
        <v>60100</v>
      </c>
    </row>
    <row r="541" spans="1:6">
      <c r="A541" s="22">
        <v>46220</v>
      </c>
      <c r="B541" s="10">
        <v>0.375</v>
      </c>
      <c r="C541">
        <v>3984</v>
      </c>
      <c r="D541" t="s">
        <v>367</v>
      </c>
      <c r="E541">
        <v>47200</v>
      </c>
      <c r="F541">
        <v>47200</v>
      </c>
    </row>
    <row r="542" spans="1:6">
      <c r="A542" s="22">
        <v>46220</v>
      </c>
      <c r="B542" s="10">
        <v>0.375</v>
      </c>
      <c r="C542">
        <v>7609</v>
      </c>
      <c r="D542" t="s">
        <v>368</v>
      </c>
      <c r="E542">
        <v>96900</v>
      </c>
      <c r="F542">
        <v>96900</v>
      </c>
    </row>
    <row r="543" spans="1:6">
      <c r="A543" s="22">
        <v>46220</v>
      </c>
      <c r="B543" s="10">
        <v>0.375</v>
      </c>
      <c r="C543">
        <v>7972</v>
      </c>
      <c r="D543" t="s">
        <v>369</v>
      </c>
      <c r="E543">
        <v>145500</v>
      </c>
      <c r="F543">
        <v>145500</v>
      </c>
    </row>
    <row r="544" spans="1:6">
      <c r="A544" s="22">
        <v>46220</v>
      </c>
      <c r="B544" s="10">
        <v>0.375</v>
      </c>
      <c r="C544">
        <v>6521</v>
      </c>
      <c r="D544" t="s">
        <v>370</v>
      </c>
      <c r="E544">
        <v>376600</v>
      </c>
      <c r="F544">
        <v>376600</v>
      </c>
    </row>
    <row r="545" spans="1:6">
      <c r="A545" s="22">
        <v>46220</v>
      </c>
      <c r="B545" s="10">
        <v>0.375</v>
      </c>
      <c r="C545">
        <v>9165</v>
      </c>
      <c r="D545" t="s">
        <v>371</v>
      </c>
      <c r="E545">
        <v>15800</v>
      </c>
      <c r="F545">
        <v>15800</v>
      </c>
    </row>
    <row r="546" spans="1:6">
      <c r="A546" s="22">
        <v>46220</v>
      </c>
      <c r="B546" s="10">
        <v>0.375</v>
      </c>
      <c r="C546">
        <v>6902</v>
      </c>
      <c r="D546" t="s">
        <v>372</v>
      </c>
      <c r="E546">
        <v>3898800</v>
      </c>
      <c r="F546">
        <v>3898800</v>
      </c>
    </row>
    <row r="547" spans="1:6">
      <c r="A547" s="22">
        <v>46220</v>
      </c>
      <c r="B547" s="10">
        <v>0.375</v>
      </c>
      <c r="C547">
        <v>3936</v>
      </c>
      <c r="D547" t="s">
        <v>373</v>
      </c>
      <c r="E547">
        <v>772400</v>
      </c>
      <c r="F547">
        <v>772400</v>
      </c>
    </row>
    <row r="548" spans="1:6">
      <c r="A548" s="22">
        <v>46220</v>
      </c>
      <c r="B548" s="10">
        <v>0.375</v>
      </c>
      <c r="C548">
        <v>6928</v>
      </c>
      <c r="D548" t="s">
        <v>374</v>
      </c>
      <c r="E548">
        <v>41900</v>
      </c>
      <c r="F548">
        <v>41900</v>
      </c>
    </row>
    <row r="549" spans="1:6">
      <c r="A549" s="22">
        <v>46220</v>
      </c>
      <c r="B549" s="10">
        <v>0.375</v>
      </c>
      <c r="C549">
        <v>5632</v>
      </c>
      <c r="D549" t="s">
        <v>375</v>
      </c>
      <c r="E549">
        <v>84300</v>
      </c>
      <c r="F549">
        <v>84300</v>
      </c>
    </row>
    <row r="550" spans="1:6">
      <c r="A550" s="22">
        <v>46220</v>
      </c>
      <c r="B550" s="10">
        <v>0.375</v>
      </c>
      <c r="C550">
        <v>6098</v>
      </c>
      <c r="D550" t="s">
        <v>376</v>
      </c>
      <c r="E550">
        <v>2416000</v>
      </c>
      <c r="F550">
        <v>2416000</v>
      </c>
    </row>
    <row r="551" spans="1:6">
      <c r="A551" s="22">
        <v>46220</v>
      </c>
      <c r="B551" s="10">
        <v>0.375</v>
      </c>
      <c r="C551">
        <v>6361</v>
      </c>
      <c r="D551" t="s">
        <v>377</v>
      </c>
      <c r="E551">
        <v>2799400</v>
      </c>
      <c r="F551">
        <v>2799400</v>
      </c>
    </row>
    <row r="552" spans="1:6">
      <c r="A552" s="22">
        <v>46220</v>
      </c>
      <c r="B552" s="10">
        <v>0.375</v>
      </c>
      <c r="C552" t="s">
        <v>78</v>
      </c>
      <c r="D552" t="s">
        <v>378</v>
      </c>
      <c r="E552">
        <v>86800</v>
      </c>
      <c r="F552">
        <v>86800</v>
      </c>
    </row>
    <row r="553" spans="1:6">
      <c r="A553" s="22">
        <v>46220</v>
      </c>
      <c r="B553" s="10">
        <v>0.375</v>
      </c>
      <c r="C553" t="s">
        <v>79</v>
      </c>
      <c r="D553" t="s">
        <v>379</v>
      </c>
      <c r="E553">
        <v>3376500</v>
      </c>
      <c r="F553">
        <v>3376500</v>
      </c>
    </row>
    <row r="554" spans="1:6">
      <c r="A554" s="22">
        <v>46220</v>
      </c>
      <c r="B554" s="10">
        <v>0.375</v>
      </c>
      <c r="C554" t="s">
        <v>80</v>
      </c>
      <c r="D554" t="s">
        <v>380</v>
      </c>
      <c r="E554">
        <v>10700</v>
      </c>
      <c r="F554">
        <v>10700</v>
      </c>
    </row>
    <row r="555" spans="1:6">
      <c r="A555" s="22">
        <v>46220</v>
      </c>
      <c r="B555" s="10">
        <v>0.375</v>
      </c>
      <c r="C555">
        <v>4776</v>
      </c>
      <c r="D555" t="s">
        <v>381</v>
      </c>
      <c r="E555">
        <v>164400</v>
      </c>
      <c r="F555">
        <v>164400</v>
      </c>
    </row>
    <row r="556" spans="1:6">
      <c r="A556" s="22">
        <v>46220</v>
      </c>
      <c r="B556" s="10">
        <v>0.375</v>
      </c>
      <c r="C556">
        <v>4704</v>
      </c>
      <c r="D556" t="s">
        <v>382</v>
      </c>
      <c r="E556">
        <v>906000</v>
      </c>
      <c r="F556">
        <v>906000</v>
      </c>
    </row>
    <row r="557" spans="1:6">
      <c r="A557" s="22">
        <v>46220</v>
      </c>
      <c r="B557" s="10">
        <v>0.375</v>
      </c>
      <c r="C557">
        <v>6370</v>
      </c>
      <c r="D557" t="s">
        <v>383</v>
      </c>
      <c r="E557">
        <v>423000</v>
      </c>
      <c r="F557">
        <v>423000</v>
      </c>
    </row>
    <row r="558" spans="1:6">
      <c r="A558" s="22">
        <v>46220</v>
      </c>
      <c r="B558" s="10">
        <v>0.375</v>
      </c>
      <c r="C558">
        <v>7014</v>
      </c>
      <c r="D558" t="s">
        <v>384</v>
      </c>
      <c r="E558">
        <v>1147900</v>
      </c>
      <c r="F558">
        <v>1147900</v>
      </c>
    </row>
    <row r="559" spans="1:6">
      <c r="A559" s="22">
        <v>46220</v>
      </c>
      <c r="B559" s="10">
        <v>0.375</v>
      </c>
      <c r="C559">
        <v>9880</v>
      </c>
      <c r="D559" t="s">
        <v>385</v>
      </c>
      <c r="E559">
        <v>187200</v>
      </c>
      <c r="F559">
        <v>187200</v>
      </c>
    </row>
    <row r="560" spans="1:6">
      <c r="A560" s="22">
        <v>46220</v>
      </c>
      <c r="B560" s="10">
        <v>0.375</v>
      </c>
      <c r="C560">
        <v>5253</v>
      </c>
      <c r="D560" t="s">
        <v>386</v>
      </c>
      <c r="E560">
        <v>1013900</v>
      </c>
      <c r="F560">
        <v>1013900</v>
      </c>
    </row>
    <row r="561" spans="1:6">
      <c r="A561" s="22">
        <v>46220</v>
      </c>
      <c r="B561" s="10">
        <v>0.375</v>
      </c>
      <c r="C561">
        <v>9104</v>
      </c>
      <c r="D561" t="s">
        <v>387</v>
      </c>
      <c r="E561">
        <v>1843500</v>
      </c>
      <c r="F561">
        <v>1843500</v>
      </c>
    </row>
    <row r="562" spans="1:6">
      <c r="A562" s="22">
        <v>46220</v>
      </c>
      <c r="B562" s="10">
        <v>0.375</v>
      </c>
      <c r="C562">
        <v>6366</v>
      </c>
      <c r="D562" t="s">
        <v>388</v>
      </c>
      <c r="E562">
        <v>4055900</v>
      </c>
      <c r="F562">
        <v>4055900</v>
      </c>
    </row>
    <row r="563" spans="1:6">
      <c r="A563" s="22">
        <v>46220</v>
      </c>
      <c r="B563" s="10">
        <v>0.375</v>
      </c>
      <c r="C563">
        <v>6140</v>
      </c>
      <c r="D563" t="s">
        <v>389</v>
      </c>
      <c r="E563">
        <v>742400</v>
      </c>
      <c r="F563">
        <v>742400</v>
      </c>
    </row>
    <row r="564" spans="1:6">
      <c r="A564" s="22">
        <v>46220</v>
      </c>
      <c r="B564" s="10">
        <v>0.375</v>
      </c>
      <c r="C564">
        <v>1514</v>
      </c>
      <c r="D564" t="s">
        <v>390</v>
      </c>
      <c r="E564">
        <v>370900</v>
      </c>
      <c r="F564">
        <v>370900</v>
      </c>
    </row>
    <row r="565" spans="1:6">
      <c r="A565" s="22">
        <v>46220</v>
      </c>
      <c r="B565" s="10">
        <v>0.375</v>
      </c>
      <c r="C565">
        <v>5631</v>
      </c>
      <c r="D565" t="s">
        <v>391</v>
      </c>
      <c r="E565">
        <v>986800</v>
      </c>
      <c r="F565">
        <v>986800</v>
      </c>
    </row>
    <row r="566" spans="1:6">
      <c r="A566" s="22">
        <v>46220</v>
      </c>
      <c r="B566" s="10">
        <v>0.375</v>
      </c>
      <c r="C566">
        <v>6674</v>
      </c>
      <c r="D566" t="s">
        <v>392</v>
      </c>
      <c r="E566">
        <v>611000</v>
      </c>
      <c r="F566">
        <v>611000</v>
      </c>
    </row>
    <row r="567" spans="1:6">
      <c r="A567" s="22">
        <v>46220</v>
      </c>
      <c r="B567" s="10">
        <v>0.375</v>
      </c>
      <c r="C567">
        <v>6955</v>
      </c>
      <c r="D567" t="s">
        <v>393</v>
      </c>
      <c r="E567">
        <v>252200</v>
      </c>
      <c r="F567">
        <v>252200</v>
      </c>
    </row>
    <row r="568" spans="1:6">
      <c r="A568" s="22">
        <v>46220</v>
      </c>
      <c r="B568" s="10">
        <v>0.375</v>
      </c>
      <c r="C568" t="s">
        <v>94</v>
      </c>
      <c r="D568" t="s">
        <v>394</v>
      </c>
      <c r="E568">
        <v>242400</v>
      </c>
      <c r="F568">
        <v>242400</v>
      </c>
    </row>
    <row r="569" spans="1:6">
      <c r="A569" s="22">
        <v>46220</v>
      </c>
      <c r="B569" s="10">
        <v>0.375</v>
      </c>
      <c r="C569">
        <v>6356</v>
      </c>
      <c r="D569" t="s">
        <v>395</v>
      </c>
      <c r="E569">
        <v>330400</v>
      </c>
      <c r="F569">
        <v>330400</v>
      </c>
    </row>
    <row r="570" spans="1:6">
      <c r="A570" s="22">
        <v>46220</v>
      </c>
      <c r="B570" s="10">
        <v>0.375</v>
      </c>
      <c r="C570">
        <v>7711</v>
      </c>
      <c r="D570" t="s">
        <v>396</v>
      </c>
      <c r="E570">
        <v>142700</v>
      </c>
      <c r="F570">
        <v>142700</v>
      </c>
    </row>
    <row r="571" spans="1:6">
      <c r="A571" s="22">
        <v>46220</v>
      </c>
      <c r="B571" s="10">
        <v>0.375</v>
      </c>
      <c r="C571">
        <v>6376</v>
      </c>
      <c r="D571" t="s">
        <v>397</v>
      </c>
      <c r="E571">
        <v>625800</v>
      </c>
      <c r="F571">
        <v>625800</v>
      </c>
    </row>
    <row r="572" spans="1:6">
      <c r="A572" s="22">
        <v>46220</v>
      </c>
      <c r="B572" s="10">
        <v>0.375</v>
      </c>
      <c r="C572">
        <v>9115</v>
      </c>
      <c r="D572" t="s">
        <v>398</v>
      </c>
      <c r="E572">
        <v>65100</v>
      </c>
      <c r="F572">
        <v>65100</v>
      </c>
    </row>
    <row r="573" spans="1:6">
      <c r="A573" s="22">
        <v>46220</v>
      </c>
      <c r="B573" s="10">
        <v>0.375</v>
      </c>
      <c r="C573">
        <v>3864</v>
      </c>
      <c r="D573" t="s">
        <v>399</v>
      </c>
      <c r="E573">
        <v>130300</v>
      </c>
      <c r="F573">
        <v>130300</v>
      </c>
    </row>
    <row r="574" spans="1:6">
      <c r="A574" s="22">
        <v>46220</v>
      </c>
      <c r="B574" s="10">
        <v>0.375</v>
      </c>
      <c r="C574">
        <v>6997</v>
      </c>
      <c r="D574" t="s">
        <v>400</v>
      </c>
      <c r="E574">
        <v>1197700</v>
      </c>
      <c r="F574">
        <v>1197700</v>
      </c>
    </row>
    <row r="575" spans="1:6">
      <c r="A575" s="22">
        <v>46220</v>
      </c>
      <c r="B575" s="10">
        <v>0.375</v>
      </c>
      <c r="C575">
        <v>4544</v>
      </c>
      <c r="D575" t="s">
        <v>401</v>
      </c>
      <c r="E575">
        <v>96200</v>
      </c>
      <c r="F575">
        <v>96200</v>
      </c>
    </row>
    <row r="576" spans="1:6">
      <c r="A576" s="22">
        <v>46220</v>
      </c>
      <c r="B576" s="10">
        <v>0.375</v>
      </c>
      <c r="C576">
        <v>6848</v>
      </c>
      <c r="D576" t="s">
        <v>402</v>
      </c>
      <c r="E576">
        <v>4900</v>
      </c>
      <c r="F576">
        <v>4900</v>
      </c>
    </row>
    <row r="577" spans="1:6">
      <c r="A577" s="22">
        <v>46220</v>
      </c>
      <c r="B577" s="10">
        <v>0.375</v>
      </c>
      <c r="C577">
        <v>5702</v>
      </c>
      <c r="D577" t="s">
        <v>403</v>
      </c>
      <c r="E577">
        <v>418800</v>
      </c>
      <c r="F577">
        <v>418800</v>
      </c>
    </row>
    <row r="578" spans="1:6">
      <c r="A578" s="22">
        <v>46220</v>
      </c>
      <c r="B578" s="10">
        <v>0.375</v>
      </c>
      <c r="C578">
        <v>7952</v>
      </c>
      <c r="D578" t="s">
        <v>404</v>
      </c>
      <c r="E578">
        <v>52500</v>
      </c>
      <c r="F578">
        <v>52500</v>
      </c>
    </row>
    <row r="579" spans="1:6">
      <c r="A579" s="22">
        <v>46220</v>
      </c>
      <c r="B579" s="10">
        <v>0.375</v>
      </c>
      <c r="C579">
        <v>3002</v>
      </c>
      <c r="D579" t="s">
        <v>405</v>
      </c>
      <c r="E579">
        <v>91200</v>
      </c>
      <c r="F579">
        <v>91200</v>
      </c>
    </row>
    <row r="580" spans="1:6">
      <c r="A580" s="22">
        <v>46220</v>
      </c>
      <c r="B580" s="10">
        <v>0.375</v>
      </c>
      <c r="C580">
        <v>8871</v>
      </c>
      <c r="D580" t="s">
        <v>406</v>
      </c>
      <c r="E580">
        <v>110800</v>
      </c>
      <c r="F580">
        <v>110800</v>
      </c>
    </row>
    <row r="581" spans="1:6">
      <c r="A581" s="22">
        <v>46220</v>
      </c>
      <c r="B581" s="10">
        <v>0.375</v>
      </c>
      <c r="C581">
        <v>6918</v>
      </c>
      <c r="D581" t="s">
        <v>407</v>
      </c>
      <c r="E581">
        <v>62100</v>
      </c>
      <c r="F581">
        <v>62100</v>
      </c>
    </row>
    <row r="582" spans="1:6">
      <c r="A582" s="22">
        <v>46220</v>
      </c>
      <c r="B582" s="10">
        <v>0.375</v>
      </c>
      <c r="C582">
        <v>6488</v>
      </c>
      <c r="D582" t="s">
        <v>408</v>
      </c>
      <c r="E582">
        <v>7500</v>
      </c>
      <c r="F582">
        <v>7500</v>
      </c>
    </row>
    <row r="583" spans="1:6">
      <c r="A583" s="22">
        <v>46220</v>
      </c>
      <c r="B583" s="10">
        <v>0.375</v>
      </c>
      <c r="C583">
        <v>8007</v>
      </c>
      <c r="D583" t="s">
        <v>409</v>
      </c>
      <c r="E583">
        <v>110700</v>
      </c>
      <c r="F583">
        <v>110700</v>
      </c>
    </row>
    <row r="584" spans="1:6">
      <c r="A584" s="22">
        <v>46220</v>
      </c>
      <c r="B584" s="10">
        <v>0.375</v>
      </c>
      <c r="C584">
        <v>4218</v>
      </c>
      <c r="D584" t="s">
        <v>410</v>
      </c>
      <c r="E584">
        <v>13500</v>
      </c>
      <c r="F584">
        <v>13500</v>
      </c>
    </row>
    <row r="585" spans="1:6">
      <c r="A585" s="22">
        <v>46220</v>
      </c>
      <c r="B585" s="10">
        <v>0.375</v>
      </c>
      <c r="C585">
        <v>7735</v>
      </c>
      <c r="D585" t="s">
        <v>411</v>
      </c>
      <c r="E585">
        <v>4133800</v>
      </c>
      <c r="F585">
        <v>4133800</v>
      </c>
    </row>
    <row r="586" spans="1:6">
      <c r="A586" s="22">
        <v>46220</v>
      </c>
      <c r="B586" s="10">
        <v>0.375</v>
      </c>
      <c r="C586">
        <v>3905</v>
      </c>
      <c r="D586" t="s">
        <v>412</v>
      </c>
      <c r="E586">
        <v>1741700</v>
      </c>
      <c r="F586">
        <v>1741700</v>
      </c>
    </row>
    <row r="587" spans="1:6">
      <c r="A587" s="22">
        <v>46220</v>
      </c>
      <c r="B587" s="10">
        <v>0.375</v>
      </c>
      <c r="C587">
        <v>3397</v>
      </c>
      <c r="D587" t="s">
        <v>413</v>
      </c>
      <c r="E587">
        <v>285200</v>
      </c>
      <c r="F587">
        <v>285200</v>
      </c>
    </row>
    <row r="588" spans="1:6">
      <c r="A588" s="22">
        <v>46220</v>
      </c>
      <c r="B588" s="10">
        <v>0.375</v>
      </c>
      <c r="C588">
        <v>7270</v>
      </c>
      <c r="D588" t="s">
        <v>414</v>
      </c>
      <c r="E588">
        <v>2393600</v>
      </c>
      <c r="F588">
        <v>2393600</v>
      </c>
    </row>
    <row r="589" spans="1:6">
      <c r="A589" s="22">
        <v>46220</v>
      </c>
      <c r="B589" s="10">
        <v>0.375</v>
      </c>
      <c r="C589">
        <v>6736</v>
      </c>
      <c r="D589" t="s">
        <v>415</v>
      </c>
      <c r="E589">
        <v>7100</v>
      </c>
      <c r="F589">
        <v>7100</v>
      </c>
    </row>
    <row r="590" spans="1:6">
      <c r="A590" s="22">
        <v>46220</v>
      </c>
      <c r="B590" s="10">
        <v>0.375</v>
      </c>
      <c r="C590">
        <v>2933</v>
      </c>
      <c r="D590" t="s">
        <v>416</v>
      </c>
      <c r="E590">
        <v>30900</v>
      </c>
      <c r="F590">
        <v>30900</v>
      </c>
    </row>
    <row r="591" spans="1:6">
      <c r="A591" s="22">
        <v>46220</v>
      </c>
      <c r="B591" s="10">
        <v>0.375</v>
      </c>
      <c r="C591">
        <v>4047</v>
      </c>
      <c r="D591" t="s">
        <v>417</v>
      </c>
      <c r="E591">
        <v>764500</v>
      </c>
      <c r="F591">
        <v>764500</v>
      </c>
    </row>
    <row r="592" spans="1:6">
      <c r="A592" s="22">
        <v>46220</v>
      </c>
      <c r="B592" s="10">
        <v>0.375</v>
      </c>
      <c r="C592">
        <v>6482</v>
      </c>
      <c r="D592" t="s">
        <v>418</v>
      </c>
      <c r="E592">
        <v>75300</v>
      </c>
      <c r="F592">
        <v>75300</v>
      </c>
    </row>
    <row r="593" spans="1:6">
      <c r="A593" s="22">
        <v>46220</v>
      </c>
      <c r="B593" s="10">
        <v>0.375</v>
      </c>
      <c r="C593">
        <v>6706</v>
      </c>
      <c r="D593" t="s">
        <v>419</v>
      </c>
      <c r="E593">
        <v>29900</v>
      </c>
      <c r="F593">
        <v>29900</v>
      </c>
    </row>
    <row r="594" spans="1:6">
      <c r="A594" s="22">
        <v>46220</v>
      </c>
      <c r="B594" s="10">
        <v>0.375</v>
      </c>
      <c r="C594">
        <v>8141</v>
      </c>
      <c r="D594" t="s">
        <v>420</v>
      </c>
      <c r="E594">
        <v>106800</v>
      </c>
      <c r="F594">
        <v>106800</v>
      </c>
    </row>
    <row r="595" spans="1:6">
      <c r="A595" s="22">
        <v>46220</v>
      </c>
      <c r="B595" s="10">
        <v>0.375</v>
      </c>
      <c r="C595">
        <v>8344</v>
      </c>
      <c r="D595" t="s">
        <v>421</v>
      </c>
      <c r="E595">
        <v>137000</v>
      </c>
      <c r="F595">
        <v>137000</v>
      </c>
    </row>
    <row r="596" spans="1:6">
      <c r="A596" s="22">
        <v>46220</v>
      </c>
      <c r="B596" s="10">
        <v>0.375</v>
      </c>
      <c r="C596">
        <v>7414</v>
      </c>
      <c r="D596" t="s">
        <v>422</v>
      </c>
      <c r="E596">
        <v>55600</v>
      </c>
      <c r="F596">
        <v>55600</v>
      </c>
    </row>
    <row r="597" spans="1:6">
      <c r="A597" s="22">
        <v>46220</v>
      </c>
      <c r="B597" s="10">
        <v>0.375</v>
      </c>
      <c r="C597">
        <v>6407</v>
      </c>
      <c r="D597" t="s">
        <v>423</v>
      </c>
      <c r="E597">
        <v>584400</v>
      </c>
      <c r="F597">
        <v>584400</v>
      </c>
    </row>
    <row r="598" spans="1:6">
      <c r="A598" s="22">
        <v>46220</v>
      </c>
      <c r="B598" s="10">
        <v>0.375</v>
      </c>
      <c r="C598">
        <v>7048</v>
      </c>
      <c r="D598" t="s">
        <v>424</v>
      </c>
      <c r="E598">
        <v>163500</v>
      </c>
      <c r="F598">
        <v>163500</v>
      </c>
    </row>
    <row r="599" spans="1:6">
      <c r="A599" s="22">
        <v>46220</v>
      </c>
      <c r="B599" s="10">
        <v>0.375</v>
      </c>
      <c r="C599">
        <v>1808</v>
      </c>
      <c r="D599" t="s">
        <v>425</v>
      </c>
      <c r="E599">
        <v>436200</v>
      </c>
      <c r="F599">
        <v>436200</v>
      </c>
    </row>
    <row r="600" spans="1:6">
      <c r="A600" s="22">
        <v>46220</v>
      </c>
      <c r="B600" s="10">
        <v>0.375</v>
      </c>
      <c r="C600">
        <v>4208</v>
      </c>
      <c r="D600" t="s">
        <v>426</v>
      </c>
      <c r="E600">
        <v>759800</v>
      </c>
      <c r="F600">
        <v>759800</v>
      </c>
    </row>
    <row r="601" spans="1:6">
      <c r="A601" s="22">
        <v>46220</v>
      </c>
      <c r="B601" s="10">
        <v>0.375</v>
      </c>
      <c r="C601" t="s">
        <v>127</v>
      </c>
      <c r="D601" t="s">
        <v>427</v>
      </c>
      <c r="E601">
        <v>5167400</v>
      </c>
      <c r="F601">
        <v>5167400</v>
      </c>
    </row>
    <row r="602" spans="1:6">
      <c r="A602" s="22">
        <v>46220</v>
      </c>
      <c r="B602" s="10">
        <v>0.375</v>
      </c>
      <c r="C602">
        <v>6965</v>
      </c>
      <c r="D602" t="s">
        <v>428</v>
      </c>
      <c r="E602">
        <v>3924200</v>
      </c>
      <c r="F602">
        <v>3924200</v>
      </c>
    </row>
    <row r="603" spans="1:6">
      <c r="A603" s="22">
        <v>46220</v>
      </c>
      <c r="B603" s="10">
        <v>0.375</v>
      </c>
      <c r="C603">
        <v>6331</v>
      </c>
      <c r="D603" t="s">
        <v>429</v>
      </c>
      <c r="E603">
        <v>252600</v>
      </c>
      <c r="F603">
        <v>252600</v>
      </c>
    </row>
    <row r="604" spans="1:6">
      <c r="A604" s="22">
        <v>46220</v>
      </c>
      <c r="B604" s="10">
        <v>0.375</v>
      </c>
      <c r="C604">
        <v>7741</v>
      </c>
      <c r="D604" t="s">
        <v>430</v>
      </c>
      <c r="E604">
        <v>602200</v>
      </c>
      <c r="F604">
        <v>602200</v>
      </c>
    </row>
    <row r="605" spans="1:6">
      <c r="A605" s="22">
        <v>46220</v>
      </c>
      <c r="B605" s="10">
        <v>0.375</v>
      </c>
      <c r="C605">
        <v>1321</v>
      </c>
      <c r="D605" t="s">
        <v>431</v>
      </c>
      <c r="E605">
        <v>714661</v>
      </c>
      <c r="F605">
        <v>714661</v>
      </c>
    </row>
    <row r="606" spans="1:6">
      <c r="A606" s="22">
        <v>46220</v>
      </c>
      <c r="B606" s="10">
        <v>0.375</v>
      </c>
      <c r="C606">
        <v>1944</v>
      </c>
      <c r="D606" t="s">
        <v>432</v>
      </c>
      <c r="E606">
        <v>462900</v>
      </c>
      <c r="F606">
        <v>462900</v>
      </c>
    </row>
    <row r="607" spans="1:6">
      <c r="A607" s="22">
        <v>46220</v>
      </c>
      <c r="B607" s="10">
        <v>0.375</v>
      </c>
      <c r="C607">
        <v>7532</v>
      </c>
      <c r="D607" t="s">
        <v>433</v>
      </c>
      <c r="E607">
        <v>7999100</v>
      </c>
      <c r="F607">
        <v>7999100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401"/>
  <sheetViews>
    <sheetView topLeftCell="I1" zoomScaleNormal="100" workbookViewId="0">
      <pane ySplit="1" topLeftCell="A2" activePane="bottomLeft" state="frozen"/>
      <selection pane="bottomLeft" activeCell="K2" sqref="K2"/>
    </sheetView>
  </sheetViews>
  <sheetFormatPr defaultColWidth="8.6640625" defaultRowHeight="14.4"/>
  <cols>
    <col min="1" max="9" width="23.88671875" customWidth="1"/>
    <col min="11" max="11" width="255.77734375" style="25" bestFit="1" customWidth="1"/>
    <col min="12" max="12" width="25.109375" bestFit="1" customWidth="1"/>
    <col min="14" max="14" width="18.88671875" bestFit="1" customWidth="1"/>
  </cols>
  <sheetData>
    <row r="1" spans="1:14" ht="42.6" customHeight="1">
      <c r="A1" s="5" t="s">
        <v>22</v>
      </c>
      <c r="B1" s="5" t="s">
        <v>23</v>
      </c>
      <c r="C1" s="5" t="s">
        <v>35</v>
      </c>
      <c r="D1" s="5" t="s">
        <v>38</v>
      </c>
      <c r="E1" s="11" t="s">
        <v>39</v>
      </c>
      <c r="F1" s="5" t="s">
        <v>40</v>
      </c>
      <c r="G1" s="5" t="s">
        <v>24</v>
      </c>
      <c r="H1" s="5" t="s">
        <v>32</v>
      </c>
      <c r="I1" s="5" t="s">
        <v>33</v>
      </c>
      <c r="K1" s="24" t="s">
        <v>434</v>
      </c>
      <c r="L1" s="23" t="s">
        <v>436</v>
      </c>
      <c r="N1" s="26">
        <f>MAX(履歴10日!A$2:A$62000)</f>
        <v>46220</v>
      </c>
    </row>
    <row r="2" spans="1:14">
      <c r="A2" s="7">
        <f>最新!A2</f>
        <v>5706</v>
      </c>
      <c r="B2" s="7" t="str">
        <f>最新!B2</f>
        <v>三井金属</v>
      </c>
      <c r="C2" s="12">
        <f>最新!C2</f>
        <v>0.375</v>
      </c>
      <c r="D2" s="7">
        <f>最新!E2</f>
        <v>1299300</v>
      </c>
      <c r="E2" s="7">
        <f>IF($A2="","",IFERROR(AVERAGEIFS(履歴10日!$F$2:$F$62000,履歴10日!$C$2:$C$62000,$A2&amp;"",履歴10日!$B$2:$B$62000,C2),""))</f>
        <v>1299300</v>
      </c>
      <c r="F2" s="13">
        <f t="shared" ref="F2:F65" si="0">IF(OR(D2="",E2="",E2=0),"",D2/E2)</f>
        <v>1</v>
      </c>
      <c r="G2" s="7">
        <f>最新!F2</f>
        <v>29025</v>
      </c>
      <c r="H2" s="14">
        <f>最新!G2</f>
        <v>0.94883949002942136</v>
      </c>
      <c r="I2" s="14">
        <f>最新!H2</f>
        <v>0.89916356877323422</v>
      </c>
      <c r="K2" s="18">
        <f>IF($A2="","",IFERROR(D2/SUMIFS(履歴10日!$F$2:$F$62000,履歴10日!$C$2:$C$62000,$A2&amp;"",履歴10日!$B$2:$B$62000,C2,履歴10日!$A$2:$A$62000,N$1),""))</f>
      </c>
      <c r="L2">
        <f>IF(OR(D2="",D2="", D2="",E2="",$E2=0),"",(D2-E2)/E2)</f>
        <v>0</v>
      </c>
      <c r="M2" s="18"/>
    </row>
    <row r="3" spans="1:14">
      <c r="A3" s="7">
        <f>最新!A3</f>
        <v>5423</v>
      </c>
      <c r="B3" s="7" t="str">
        <f>最新!B3</f>
        <v>東京製鐵</v>
      </c>
      <c r="C3" s="12">
        <f>最新!C3</f>
        <v>0.375</v>
      </c>
      <c r="D3" s="7">
        <f>最新!E3</f>
        <v>1089300</v>
      </c>
      <c r="E3" s="7">
        <f>IF($A3="","",IFERROR(AVERAGEIFS(履歴10日!$F$2:$F$62000,履歴10日!$C$2:$C$62000,$A3&amp;"",履歴10日!$B$2:$B$62000,C3),""))</f>
        <v>1089300</v>
      </c>
      <c r="F3" s="13">
        <f t="shared" si="0"/>
        <v>1</v>
      </c>
      <c r="G3" s="7">
        <f>最新!F3</f>
        <v>1745</v>
      </c>
      <c r="H3" s="14">
        <f>最新!G3</f>
        <v>1.0046056419113414</v>
      </c>
      <c r="I3" s="14">
        <f>最新!H3</f>
        <v>0.98587570621468923</v>
      </c>
      <c r="K3" s="18">
        <f>IF($A3="","",IFERROR(D3/SUMIFS(履歴10日!$F$2:$F$62000,履歴10日!$C$2:$C$62000,$A3&amp;"",履歴10日!$B$2:$B$62000,C3,履歴10日!$A$2:$A$62000,N$1),""))</f>
      </c>
      <c r="L3">
        <f t="shared" ref="L3:L66" si="1">IF(OR(D3="",D3="", D3="",E3="",$E3=0),"",(D3-E3)/E3)</f>
        <v>0</v>
      </c>
      <c r="M3" s="18"/>
    </row>
    <row r="4" spans="1:14">
      <c r="A4" s="7">
        <f>最新!A4</f>
        <v>5713</v>
      </c>
      <c r="B4" s="7" t="str">
        <f>最新!B4</f>
        <v>住友鉱山</v>
      </c>
      <c r="C4" s="12">
        <f>最新!C4</f>
        <v>0.375</v>
      </c>
      <c r="D4" s="7">
        <f>最新!E4</f>
        <v>3129100</v>
      </c>
      <c r="E4" s="7">
        <f>IF($A4="","",IFERROR(AVERAGEIFS(履歴10日!$F$2:$F$62000,履歴10日!$C$2:$C$62000,$A4&amp;"",履歴10日!$B$2:$B$62000,C4),""))</f>
        <v>3129100</v>
      </c>
      <c r="F4" s="13">
        <f t="shared" si="0"/>
        <v>1</v>
      </c>
      <c r="G4" s="7">
        <f>最新!F4</f>
        <v>6681</v>
      </c>
      <c r="H4" s="14">
        <f>最新!G4</f>
        <v>0.95661512027491413</v>
      </c>
      <c r="I4" s="14">
        <f>最新!H4</f>
        <v>0.91822429906542058</v>
      </c>
      <c r="K4" s="18">
        <f>IF($A4="","",IFERROR(D4/SUMIFS(履歴10日!$F$2:$F$62000,履歴10日!$C$2:$C$62000,$A4&amp;"",履歴10日!$B$2:$B$62000,C4,履歴10日!$A$2:$A$62000,N$1),""))</f>
      </c>
      <c r="L4">
        <f t="shared" si="1"/>
        <v>0</v>
      </c>
      <c r="M4" s="18"/>
    </row>
    <row r="5" spans="1:14">
      <c r="A5" s="7">
        <f>最新!A5</f>
        <v>5711</v>
      </c>
      <c r="B5" s="7" t="str">
        <f>最新!B5</f>
        <v>三菱マテリアル</v>
      </c>
      <c r="C5" s="12">
        <f>最新!C5</f>
        <v>0.375</v>
      </c>
      <c r="D5" s="7">
        <f>最新!E5</f>
        <v>1269700</v>
      </c>
      <c r="E5" s="7">
        <f>IF($A5="","",IFERROR(AVERAGEIFS(履歴10日!$F$2:$F$62000,履歴10日!$C$2:$C$62000,$A5&amp;"",履歴10日!$B$2:$B$62000,C5),""))</f>
        <v>1269700</v>
      </c>
      <c r="F5" s="13">
        <f t="shared" si="0"/>
        <v>1</v>
      </c>
      <c r="G5" s="7">
        <f>最新!F5</f>
        <v>3902</v>
      </c>
      <c r="H5" s="14">
        <f>最新!G5</f>
        <v>0.95450097847358117</v>
      </c>
      <c r="I5" s="14">
        <f>最新!H5</f>
        <v>0.93059861674218936</v>
      </c>
      <c r="K5" s="18">
        <f>IF($A5="","",IFERROR(D5/SUMIFS(履歴10日!$F$2:$F$62000,履歴10日!$C$2:$C$62000,$A5&amp;"",履歴10日!$B$2:$B$62000,C5,履歴10日!$A$2:$A$62000,N$1),""))</f>
      </c>
      <c r="L5">
        <f t="shared" si="1"/>
        <v>0</v>
      </c>
      <c r="M5" s="18"/>
    </row>
    <row r="6" spans="1:14">
      <c r="A6" s="7">
        <f>最新!A6</f>
        <v>5714</v>
      </c>
      <c r="B6" s="7" t="str">
        <f>最新!B6</f>
        <v>ＤＯＷＡホールディングス</v>
      </c>
      <c r="C6" s="12">
        <f>最新!C6</f>
        <v>0.375</v>
      </c>
      <c r="D6" s="7">
        <f>最新!E6</f>
        <v>382800</v>
      </c>
      <c r="E6" s="7">
        <f>IF($A6="","",IFERROR(AVERAGEIFS(履歴10日!$F$2:$F$62000,履歴10日!$C$2:$C$62000,$A6&amp;"",履歴10日!$B$2:$B$62000,C6),""))</f>
        <v>382800</v>
      </c>
      <c r="F6" s="13">
        <f t="shared" si="0"/>
        <v>1</v>
      </c>
      <c r="G6" s="7">
        <f>最新!F6</f>
        <v>7797</v>
      </c>
      <c r="H6" s="14">
        <f>最新!G6</f>
        <v>0.95492957746478868</v>
      </c>
      <c r="I6" s="14">
        <f>最新!H6</f>
        <v>0.93388429752066116</v>
      </c>
      <c r="K6" s="18">
        <f>IF($A6="","",IFERROR(D6/SUMIFS(履歴10日!$F$2:$F$62000,履歴10日!$C$2:$C$62000,$A6&amp;"",履歴10日!$B$2:$B$62000,C6,履歴10日!$A$2:$A$62000,N$1),""))</f>
      </c>
      <c r="L6">
        <f t="shared" si="1"/>
        <v>0</v>
      </c>
      <c r="M6" s="18"/>
    </row>
    <row r="7" spans="1:14">
      <c r="A7" s="7">
        <f>最新!A7</f>
        <v>6701</v>
      </c>
      <c r="B7" s="7" t="str">
        <f>最新!B7</f>
        <v>日本電気</v>
      </c>
      <c r="C7" s="12">
        <f>最新!C7</f>
        <v>0.375</v>
      </c>
      <c r="D7" s="7">
        <f>最新!E7</f>
        <v>6750500</v>
      </c>
      <c r="E7" s="7">
        <f>IF($A7="","",IFERROR(AVERAGEIFS(履歴10日!$F$2:$F$62000,履歴10日!$C$2:$C$62000,$A7&amp;"",履歴10日!$B$2:$B$62000,C7),""))</f>
        <v>6750500</v>
      </c>
      <c r="F7" s="13">
        <f t="shared" si="0"/>
        <v>1</v>
      </c>
      <c r="G7" s="7">
        <f>最新!F7</f>
        <v>4376</v>
      </c>
      <c r="H7" s="14">
        <f>最新!G7</f>
        <v>1.0011439029970259</v>
      </c>
      <c r="I7" s="14">
        <f>最新!H7</f>
        <v>0.98536365683404636</v>
      </c>
      <c r="K7" s="18">
        <f>IF($A7="","",IFERROR(D7/SUMIFS(履歴10日!$F$2:$F$62000,履歴10日!$C$2:$C$62000,$A7&amp;"",履歴10日!$B$2:$B$62000,C7,履歴10日!$A$2:$A$62000,N$1),""))</f>
      </c>
      <c r="L7">
        <f t="shared" si="1"/>
        <v>0</v>
      </c>
      <c r="M7" s="18"/>
    </row>
    <row r="8" spans="1:14">
      <c r="A8" s="7">
        <f>最新!A8</f>
        <v>1605</v>
      </c>
      <c r="B8" s="7" t="str">
        <f>最新!B8</f>
        <v>ＩＮＰＥＸ</v>
      </c>
      <c r="C8" s="12">
        <f>最新!C8</f>
        <v>0.375</v>
      </c>
      <c r="D8" s="7">
        <f>最新!E8</f>
        <v>2672800</v>
      </c>
      <c r="E8" s="7">
        <f>IF($A8="","",IFERROR(AVERAGEIFS(履歴10日!$F$2:$F$62000,履歴10日!$C$2:$C$62000,$A8&amp;"",履歴10日!$B$2:$B$62000,C8),""))</f>
        <v>2672800</v>
      </c>
      <c r="F8" s="13">
        <f t="shared" si="0"/>
        <v>1</v>
      </c>
      <c r="G8" s="7">
        <f>最新!F8</f>
        <v>3381</v>
      </c>
      <c r="H8" s="14">
        <f>最新!G8</f>
        <v>0.98284883720930227</v>
      </c>
      <c r="I8" s="14">
        <f>最新!H8</f>
        <v>0.9860017497812773</v>
      </c>
      <c r="K8" s="18">
        <f>IF($A8="","",IFERROR(D8/SUMIFS(履歴10日!$F$2:$F$62000,履歴10日!$C$2:$C$62000,$A8&amp;"",履歴10日!$B$2:$B$62000,C8,履歴10日!$A$2:$A$62000,N$1),""))</f>
      </c>
      <c r="L8">
        <f t="shared" si="1"/>
        <v>0</v>
      </c>
      <c r="M8" s="18"/>
    </row>
    <row r="9" spans="1:14">
      <c r="A9" s="7">
        <f>最新!A9</f>
        <v>5703</v>
      </c>
      <c r="B9" s="7" t="str">
        <f>最新!B9</f>
        <v>日本軽金属ＨＤ</v>
      </c>
      <c r="C9" s="12">
        <f>最新!C9</f>
        <v>0.375</v>
      </c>
      <c r="D9" s="7">
        <f>最新!E9</f>
        <v>294900</v>
      </c>
      <c r="E9" s="7">
        <f>IF($A9="","",IFERROR(AVERAGEIFS(履歴10日!$F$2:$F$62000,履歴10日!$C$2:$C$62000,$A9&amp;"",履歴10日!$B$2:$B$62000,C9),""))</f>
        <v>294900</v>
      </c>
      <c r="F9" s="13">
        <f t="shared" si="0"/>
        <v>1</v>
      </c>
      <c r="G9" s="7">
        <f>最新!F9</f>
        <v>2610</v>
      </c>
      <c r="H9" s="14">
        <f>最新!G9</f>
        <v>0.97026022304832715</v>
      </c>
      <c r="I9" s="14">
        <f>最新!H9</f>
        <v>0.9546452084857352</v>
      </c>
      <c r="K9" s="18">
        <f>IF($A9="","",IFERROR(D9/SUMIFS(履歴10日!$F$2:$F$62000,履歴10日!$C$2:$C$62000,$A9&amp;"",履歴10日!$B$2:$B$62000,C9,履歴10日!$A$2:$A$62000,N$1),""))</f>
      </c>
      <c r="L9">
        <f t="shared" si="1"/>
        <v>0</v>
      </c>
      <c r="M9" s="18"/>
    </row>
    <row r="10" spans="1:14">
      <c r="A10" s="7">
        <f>最新!A10</f>
        <v>8002</v>
      </c>
      <c r="B10" s="7" t="str">
        <f>最新!B10</f>
        <v>丸紅</v>
      </c>
      <c r="C10" s="12">
        <f>最新!C10</f>
        <v>0.375</v>
      </c>
      <c r="D10" s="7">
        <f>最新!E10</f>
        <v>3105100</v>
      </c>
      <c r="E10" s="7">
        <f>IF($A10="","",IFERROR(AVERAGEIFS(履歴10日!$F$2:$F$62000,履歴10日!$C$2:$C$62000,$A10&amp;"",履歴10日!$B$2:$B$62000,C10),""))</f>
        <v>3105100</v>
      </c>
      <c r="F10" s="13">
        <f t="shared" si="0"/>
        <v>1</v>
      </c>
      <c r="G10" s="7">
        <f>最新!F10</f>
        <v>4931</v>
      </c>
      <c r="H10" s="14">
        <f>最新!G10</f>
        <v>0.97066929133858271</v>
      </c>
      <c r="I10" s="14">
        <f>最新!H10</f>
        <v>0.96990558615263567</v>
      </c>
      <c r="K10" s="18">
        <f>IF($A10="","",IFERROR(D10/SUMIFS(履歴10日!$F$2:$F$62000,履歴10日!$C$2:$C$62000,$A10&amp;"",履歴10日!$B$2:$B$62000,C10,履歴10日!$A$2:$A$62000,N$1),""))</f>
      </c>
      <c r="L10">
        <f t="shared" si="1"/>
        <v>0</v>
      </c>
      <c r="M10" s="18"/>
    </row>
    <row r="11" spans="1:14">
      <c r="A11" s="7">
        <f>最新!A11</f>
        <v>5021</v>
      </c>
      <c r="B11" s="7" t="str">
        <f>最新!B11</f>
        <v>コスモエネルギーＨＬＤＧＳ</v>
      </c>
      <c r="C11" s="12">
        <f>最新!C11</f>
        <v>0.375</v>
      </c>
      <c r="D11" s="7">
        <f>最新!E11</f>
        <v>573800</v>
      </c>
      <c r="E11" s="7">
        <f>IF($A11="","",IFERROR(AVERAGEIFS(履歴10日!$F$2:$F$62000,履歴10日!$C$2:$C$62000,$A11&amp;"",履歴10日!$B$2:$B$62000,C11),""))</f>
        <v>573800</v>
      </c>
      <c r="F11" s="13">
        <f t="shared" si="0"/>
        <v>1</v>
      </c>
      <c r="G11" s="7">
        <f>最新!F11</f>
        <v>3754</v>
      </c>
      <c r="H11" s="14">
        <f>最新!G11</f>
        <v>0.98685594111461616</v>
      </c>
      <c r="I11" s="14">
        <f>最新!H11</f>
        <v>0.98530183727034115</v>
      </c>
      <c r="K11" s="18">
        <f>IF($A11="","",IFERROR(D11/SUMIFS(履歴10日!$F$2:$F$62000,履歴10日!$C$2:$C$62000,$A11&amp;"",履歴10日!$B$2:$B$62000,C11,履歴10日!$A$2:$A$62000,N$1),""))</f>
      </c>
      <c r="L11">
        <f t="shared" si="1"/>
        <v>0</v>
      </c>
      <c r="M11" s="18"/>
    </row>
    <row r="12" spans="1:14">
      <c r="A12" s="7">
        <f>最新!A12</f>
        <v>8058</v>
      </c>
      <c r="B12" s="7" t="str">
        <f>最新!B12</f>
        <v>三菱商事</v>
      </c>
      <c r="C12" s="12">
        <f>最新!C12</f>
        <v>0.375</v>
      </c>
      <c r="D12" s="7">
        <f>最新!E12</f>
        <v>5641700</v>
      </c>
      <c r="E12" s="7">
        <f>IF($A12="","",IFERROR(AVERAGEIFS(履歴10日!$F$2:$F$62000,履歴10日!$C$2:$C$62000,$A12&amp;"",履歴10日!$B$2:$B$62000,C12),""))</f>
        <v>5641700</v>
      </c>
      <c r="F12" s="13">
        <f t="shared" si="0"/>
        <v>1</v>
      </c>
      <c r="G12" s="7">
        <f>最新!F12</f>
        <v>4399</v>
      </c>
      <c r="H12" s="14">
        <f>最新!G12</f>
        <v>0.97236958443854993</v>
      </c>
      <c r="I12" s="14">
        <f>最新!H12</f>
        <v>0.97108167770419429</v>
      </c>
      <c r="K12" s="18">
        <f>IF($A12="","",IFERROR(D12/SUMIFS(履歴10日!$F$2:$F$62000,履歴10日!$C$2:$C$62000,$A12&amp;"",履歴10日!$B$2:$B$62000,C12,履歴10日!$A$2:$A$62000,N$1),""))</f>
      </c>
      <c r="L12">
        <f t="shared" si="1"/>
        <v>0</v>
      </c>
      <c r="M12" s="18"/>
    </row>
    <row r="13" spans="1:14">
      <c r="A13" s="7">
        <f>最新!A13</f>
        <v>5333</v>
      </c>
      <c r="B13" s="7" t="str">
        <f>最新!B13</f>
        <v>ＮＧＫ</v>
      </c>
      <c r="C13" s="12">
        <f>最新!C13</f>
        <v>0.375</v>
      </c>
      <c r="D13" s="7">
        <f>最新!E13</f>
        <v>1678300</v>
      </c>
      <c r="E13" s="7">
        <f>IF($A13="","",IFERROR(AVERAGEIFS(履歴10日!$F$2:$F$62000,履歴10日!$C$2:$C$62000,$A13&amp;"",履歴10日!$B$2:$B$62000,C13),""))</f>
        <v>1678300</v>
      </c>
      <c r="F13" s="13">
        <f t="shared" si="0"/>
        <v>1</v>
      </c>
      <c r="G13" s="7">
        <f>最新!F13</f>
        <v>5885</v>
      </c>
      <c r="H13" s="14">
        <f>最新!G13</f>
        <v>0.93220338983050843</v>
      </c>
      <c r="I13" s="14">
        <f>最新!H13</f>
        <v>0.91028615622583142</v>
      </c>
      <c r="K13" s="18">
        <f>IF($A13="","",IFERROR(D13/SUMIFS(履歴10日!$F$2:$F$62000,履歴10日!$C$2:$C$62000,$A13&amp;"",履歴10日!$B$2:$B$62000,C13,履歴10日!$A$2:$A$62000,N$1),""))</f>
      </c>
      <c r="L13">
        <f t="shared" si="1"/>
        <v>0</v>
      </c>
      <c r="M13" s="18"/>
    </row>
    <row r="14" spans="1:14">
      <c r="A14" s="7">
        <f>最新!A14</f>
        <v>1662</v>
      </c>
      <c r="B14" s="7" t="str">
        <f>最新!B14</f>
        <v>石油資源開発</v>
      </c>
      <c r="C14" s="12">
        <f>最新!C14</f>
        <v>0.375</v>
      </c>
      <c r="D14" s="7">
        <f>最新!E14</f>
        <v>885400</v>
      </c>
      <c r="E14" s="7">
        <f>IF($A14="","",IFERROR(AVERAGEIFS(履歴10日!$F$2:$F$62000,履歴10日!$C$2:$C$62000,$A14&amp;"",履歴10日!$B$2:$B$62000,C14),""))</f>
        <v>885400</v>
      </c>
      <c r="F14" s="13">
        <f t="shared" si="0"/>
        <v>1</v>
      </c>
      <c r="G14" s="7">
        <f>最新!F14</f>
        <v>1655</v>
      </c>
      <c r="H14" s="14">
        <f>最新!G14</f>
        <v>0.98511904761904767</v>
      </c>
      <c r="I14" s="14">
        <f>最新!H14</f>
        <v>0.97986974541148608</v>
      </c>
      <c r="K14" s="18">
        <f>IF($A14="","",IFERROR(D14/SUMIFS(履歴10日!$F$2:$F$62000,履歴10日!$C$2:$C$62000,$A14&amp;"",履歴10日!$B$2:$B$62000,C14,履歴10日!$A$2:$A$62000,N$1),""))</f>
      </c>
      <c r="L14">
        <f t="shared" si="1"/>
        <v>0</v>
      </c>
      <c r="M14" s="18"/>
    </row>
    <row r="15" spans="1:14">
      <c r="A15" s="7">
        <f>最新!A15</f>
        <v>8411</v>
      </c>
      <c r="B15" s="7" t="str">
        <f>最新!B15</f>
        <v>みずほフィナンシャルＧ</v>
      </c>
      <c r="C15" s="12">
        <f>最新!C15</f>
        <v>0.375</v>
      </c>
      <c r="D15" s="7">
        <f>最新!E15</f>
        <v>11182900</v>
      </c>
      <c r="E15" s="7">
        <f>IF($A15="","",IFERROR(AVERAGEIFS(履歴10日!$F$2:$F$62000,履歴10日!$C$2:$C$62000,$A15&amp;"",履歴10日!$B$2:$B$62000,C15),""))</f>
        <v>11182900</v>
      </c>
      <c r="F15" s="13">
        <f t="shared" si="0"/>
        <v>1</v>
      </c>
      <c r="G15" s="7">
        <f>最新!F15</f>
        <v>7894</v>
      </c>
      <c r="H15" s="14">
        <f>最新!G15</f>
        <v>0.94629585231359381</v>
      </c>
      <c r="I15" s="14">
        <f>最新!H15</f>
        <v>0.93530805687203789</v>
      </c>
      <c r="K15" s="18">
        <f>IF($A15="","",IFERROR(D15/SUMIFS(履歴10日!$F$2:$F$62000,履歴10日!$C$2:$C$62000,$A15&amp;"",履歴10日!$B$2:$B$62000,C15,履歴10日!$A$2:$A$62000,N$1),""))</f>
      </c>
      <c r="L15">
        <f t="shared" si="1"/>
        <v>0</v>
      </c>
      <c r="M15" s="18"/>
    </row>
    <row r="16" spans="1:14">
      <c r="A16" s="7">
        <f>最新!A16</f>
        <v>5541</v>
      </c>
      <c r="B16" s="7" t="str">
        <f>最新!B16</f>
        <v>大平洋金属</v>
      </c>
      <c r="C16" s="12">
        <f>最新!C16</f>
        <v>0.375</v>
      </c>
      <c r="D16" s="7">
        <f>最新!E16</f>
        <v>187000</v>
      </c>
      <c r="E16" s="7">
        <f>IF($A16="","",IFERROR(AVERAGEIFS(履歴10日!$F$2:$F$62000,履歴10日!$C$2:$C$62000,$A16&amp;"",履歴10日!$B$2:$B$62000,C16),""))</f>
        <v>187000</v>
      </c>
      <c r="F16" s="13">
        <f t="shared" si="0"/>
        <v>1</v>
      </c>
      <c r="G16" s="7">
        <f>最新!F16</f>
        <v>2243</v>
      </c>
      <c r="H16" s="14">
        <f>最新!G16</f>
        <v>0.98247919404292594</v>
      </c>
      <c r="I16" s="14">
        <f>最新!H16</f>
        <v>0.97776809067131643</v>
      </c>
      <c r="K16" s="18">
        <f>IF($A16="","",IFERROR(D16/SUMIFS(履歴10日!$F$2:$F$62000,履歴10日!$C$2:$C$62000,$A16&amp;"",履歴10日!$B$2:$B$62000,C16,履歴10日!$A$2:$A$62000,N$1),""))</f>
      </c>
      <c r="L16">
        <f t="shared" si="1"/>
        <v>0</v>
      </c>
      <c r="M16" s="18"/>
    </row>
    <row r="17" spans="1:13">
      <c r="A17" s="7">
        <f>最新!A17</f>
        <v>5332</v>
      </c>
      <c r="B17" s="7" t="str">
        <f>最新!B17</f>
        <v>ＴＯＴＯ</v>
      </c>
      <c r="C17" s="12">
        <f>最新!C17</f>
        <v>0.375</v>
      </c>
      <c r="D17" s="7">
        <f>最新!E17</f>
        <v>1082400</v>
      </c>
      <c r="E17" s="7">
        <f>IF($A17="","",IFERROR(AVERAGEIFS(履歴10日!$F$2:$F$62000,履歴10日!$C$2:$C$62000,$A17&amp;"",履歴10日!$B$2:$B$62000,C17),""))</f>
        <v>1082400</v>
      </c>
      <c r="F17" s="13">
        <f t="shared" si="0"/>
        <v>1</v>
      </c>
      <c r="G17" s="7">
        <f>最新!F17</f>
        <v>7311</v>
      </c>
      <c r="H17" s="14">
        <f>最新!G17</f>
        <v>0.9512099921935987</v>
      </c>
      <c r="I17" s="14">
        <f>最新!H17</f>
        <v>0.93622742988859009</v>
      </c>
      <c r="K17" s="18">
        <f>IF($A17="","",IFERROR(D17/SUMIFS(履歴10日!$F$2:$F$62000,履歴10日!$C$2:$C$62000,$A17&amp;"",履歴10日!$B$2:$B$62000,C17,履歴10日!$A$2:$A$62000,N$1),""))</f>
      </c>
      <c r="L17">
        <f t="shared" si="1"/>
        <v>0</v>
      </c>
      <c r="M17" s="18"/>
    </row>
    <row r="18" spans="1:13">
      <c r="A18" s="7">
        <f>最新!A18</f>
        <v>8725</v>
      </c>
      <c r="B18" s="7" t="str">
        <f>最新!B18</f>
        <v>ＭＳ＆ＡＤ</v>
      </c>
      <c r="C18" s="12">
        <f>最新!C18</f>
        <v>0.375</v>
      </c>
      <c r="D18" s="7">
        <f>最新!E18</f>
        <v>2904800</v>
      </c>
      <c r="E18" s="7">
        <f>IF($A18="","",IFERROR(AVERAGEIFS(履歴10日!$F$2:$F$62000,履歴10日!$C$2:$C$62000,$A18&amp;"",履歴10日!$B$2:$B$62000,C18),""))</f>
        <v>2904800</v>
      </c>
      <c r="F18" s="13">
        <f t="shared" si="0"/>
        <v>1</v>
      </c>
      <c r="G18" s="7">
        <f>最新!F18</f>
        <v>4475</v>
      </c>
      <c r="H18" s="14">
        <f>最新!G18</f>
        <v>0.97921225382932164</v>
      </c>
      <c r="I18" s="14">
        <f>最新!H18</f>
        <v>0.98286843839226878</v>
      </c>
      <c r="K18" s="18">
        <f>IF($A18="","",IFERROR(D18/SUMIFS(履歴10日!$F$2:$F$62000,履歴10日!$C$2:$C$62000,$A18&amp;"",履歴10日!$B$2:$B$62000,C18,履歴10日!$A$2:$A$62000,N$1),""))</f>
      </c>
      <c r="L18">
        <f t="shared" si="1"/>
        <v>0</v>
      </c>
      <c r="M18" s="18"/>
    </row>
    <row r="19" spans="1:13">
      <c r="A19" s="7">
        <f>最新!A19</f>
        <v>8795</v>
      </c>
      <c r="B19" s="7" t="str">
        <f>最新!B19</f>
        <v>Ｔ＆Ｄホールディングス</v>
      </c>
      <c r="C19" s="12">
        <f>最新!C19</f>
        <v>0.375</v>
      </c>
      <c r="D19" s="7">
        <f>最新!E19</f>
        <v>970100</v>
      </c>
      <c r="E19" s="7">
        <f>IF($A19="","",IFERROR(AVERAGEIFS(履歴10日!$F$2:$F$62000,履歴10日!$C$2:$C$62000,$A19&amp;"",履歴10日!$B$2:$B$62000,C19),""))</f>
        <v>970100</v>
      </c>
      <c r="F19" s="13">
        <f t="shared" si="0"/>
        <v>1</v>
      </c>
      <c r="G19" s="7">
        <f>最新!F19</f>
        <v>4754</v>
      </c>
      <c r="H19" s="14">
        <f>最新!G19</f>
        <v>0.96665311102074014</v>
      </c>
      <c r="I19" s="14">
        <f>最新!H19</f>
        <v>0.96234817813765183</v>
      </c>
      <c r="K19" s="18">
        <f>IF($A19="","",IFERROR(D19/SUMIFS(履歴10日!$F$2:$F$62000,履歴10日!$C$2:$C$62000,$A19&amp;"",履歴10日!$B$2:$B$62000,C19,履歴10日!$A$2:$A$62000,N$1),""))</f>
      </c>
      <c r="L19">
        <f t="shared" si="1"/>
        <v>0</v>
      </c>
      <c r="M19" s="18"/>
    </row>
    <row r="20" spans="1:13">
      <c r="A20" s="7">
        <f>最新!A20</f>
        <v>5019</v>
      </c>
      <c r="B20" s="7" t="str">
        <f>最新!B20</f>
        <v>出光興産</v>
      </c>
      <c r="C20" s="12">
        <f>最新!C20</f>
        <v>0.375</v>
      </c>
      <c r="D20" s="7">
        <f>最新!E20</f>
        <v>1594900</v>
      </c>
      <c r="E20" s="7">
        <f>IF($A20="","",IFERROR(AVERAGEIFS(履歴10日!$F$2:$F$62000,履歴10日!$C$2:$C$62000,$A20&amp;"",履歴10日!$B$2:$B$62000,C20),""))</f>
        <v>1594900</v>
      </c>
      <c r="F20" s="13">
        <f t="shared" si="0"/>
        <v>1</v>
      </c>
      <c r="G20" s="7">
        <f>最新!F20</f>
        <v>1235.5</v>
      </c>
      <c r="H20" s="14">
        <f>最新!G20</f>
        <v>0.98446215139442228</v>
      </c>
      <c r="I20" s="14">
        <f>最新!H20</f>
        <v>0.97861386138613859</v>
      </c>
      <c r="K20" s="18">
        <f>IF($A20="","",IFERROR(D20/SUMIFS(履歴10日!$F$2:$F$62000,履歴10日!$C$2:$C$62000,$A20&amp;"",履歴10日!$B$2:$B$62000,C20,履歴10日!$A$2:$A$62000,N$1),""))</f>
      </c>
      <c r="L20">
        <f t="shared" si="1"/>
        <v>0</v>
      </c>
      <c r="M20" s="18"/>
    </row>
    <row r="21" spans="1:13">
      <c r="A21" s="7">
        <f>最新!A21</f>
        <v>8053</v>
      </c>
      <c r="B21" s="7" t="str">
        <f>最新!B21</f>
        <v>住友商事</v>
      </c>
      <c r="C21" s="12">
        <f>最新!C21</f>
        <v>0.375</v>
      </c>
      <c r="D21" s="7">
        <f>最新!E21</f>
        <v>9546200</v>
      </c>
      <c r="E21" s="7">
        <f>IF($A21="","",IFERROR(AVERAGEIFS(履歴10日!$F$2:$F$62000,履歴10日!$C$2:$C$62000,$A21&amp;"",履歴10日!$B$2:$B$62000,C21),""))</f>
        <v>9546200</v>
      </c>
      <c r="F21" s="13">
        <f t="shared" si="0"/>
        <v>1</v>
      </c>
      <c r="G21" s="7">
        <f>最新!F21</f>
        <v>1496</v>
      </c>
      <c r="H21" s="14">
        <f>最新!G21</f>
        <v>0.95591054313099044</v>
      </c>
      <c r="I21" s="14">
        <f>最新!H21</f>
        <v>0.94504106127605814</v>
      </c>
      <c r="K21" s="18">
        <f>IF($A21="","",IFERROR(D21/SUMIFS(履歴10日!$F$2:$F$62000,履歴10日!$C$2:$C$62000,$A21&amp;"",履歴10日!$B$2:$B$62000,C21,履歴10日!$A$2:$A$62000,N$1),""))</f>
      </c>
      <c r="L21">
        <f t="shared" si="1"/>
        <v>0</v>
      </c>
      <c r="M21" s="18"/>
    </row>
    <row r="22" spans="1:13">
      <c r="A22" s="7">
        <f>最新!A22</f>
        <v>8591</v>
      </c>
      <c r="B22" s="7" t="str">
        <f>最新!B22</f>
        <v>オリックス</v>
      </c>
      <c r="C22" s="12">
        <f>最新!C22</f>
        <v>0.375</v>
      </c>
      <c r="D22" s="7">
        <f>最新!E22</f>
        <v>2914700</v>
      </c>
      <c r="E22" s="7">
        <f>IF($A22="","",IFERROR(AVERAGEIFS(履歴10日!$F$2:$F$62000,履歴10日!$C$2:$C$62000,$A22&amp;"",履歴10日!$B$2:$B$62000,C22),""))</f>
        <v>2914700</v>
      </c>
      <c r="F22" s="13">
        <f t="shared" si="0"/>
        <v>1</v>
      </c>
      <c r="G22" s="7">
        <f>最新!F22</f>
        <v>6154</v>
      </c>
      <c r="H22" s="14">
        <f>最新!G22</f>
        <v>0.95811925891328042</v>
      </c>
      <c r="I22" s="14">
        <f>最新!H22</f>
        <v>0.94458940905602451</v>
      </c>
      <c r="K22" s="18">
        <f>IF($A22="","",IFERROR(D22/SUMIFS(履歴10日!$F$2:$F$62000,履歴10日!$C$2:$C$62000,$A22&amp;"",履歴10日!$B$2:$B$62000,C22,履歴10日!$A$2:$A$62000,N$1),""))</f>
      </c>
      <c r="L22">
        <f t="shared" si="1"/>
        <v>0</v>
      </c>
      <c r="M22" s="18"/>
    </row>
    <row r="23" spans="1:13">
      <c r="A23" s="7">
        <f>最新!A23</f>
        <v>3401</v>
      </c>
      <c r="B23" s="7" t="str">
        <f>最新!B23</f>
        <v>帝人</v>
      </c>
      <c r="C23" s="12">
        <f>最新!C23</f>
        <v>0.375</v>
      </c>
      <c r="D23" s="7">
        <f>最新!E23</f>
        <v>561800</v>
      </c>
      <c r="E23" s="7">
        <f>IF($A23="","",IFERROR(AVERAGEIFS(履歴10日!$F$2:$F$62000,履歴10日!$C$2:$C$62000,$A23&amp;"",履歴10日!$B$2:$B$62000,C23),""))</f>
        <v>561800</v>
      </c>
      <c r="F23" s="13">
        <f t="shared" si="0"/>
        <v>1</v>
      </c>
      <c r="G23" s="7">
        <f>最新!F23</f>
        <v>1667</v>
      </c>
      <c r="H23" s="14">
        <f>最新!G23</f>
        <v>0.9574956921309592</v>
      </c>
      <c r="I23" s="14">
        <f>最新!H23</f>
        <v>0.96219336219336216</v>
      </c>
      <c r="K23" s="18">
        <f>IF($A23="","",IFERROR(D23/SUMIFS(履歴10日!$F$2:$F$62000,履歴10日!$C$2:$C$62000,$A23&amp;"",履歴10日!$B$2:$B$62000,C23,履歴10日!$A$2:$A$62000,N$1),""))</f>
      </c>
      <c r="L23">
        <f t="shared" si="1"/>
        <v>0</v>
      </c>
      <c r="M23" s="18"/>
    </row>
    <row r="24" spans="1:13">
      <c r="A24" s="7">
        <f>最新!A24</f>
        <v>3436</v>
      </c>
      <c r="B24" s="7" t="str">
        <f>最新!B24</f>
        <v>ＳＵＭＣＯ</v>
      </c>
      <c r="C24" s="12">
        <f>最新!C24</f>
        <v>0.375</v>
      </c>
      <c r="D24" s="7">
        <f>最新!E24</f>
        <v>19818700</v>
      </c>
      <c r="E24" s="7">
        <f>IF($A24="","",IFERROR(AVERAGEIFS(履歴10日!$F$2:$F$62000,履歴10日!$C$2:$C$62000,$A24&amp;"",履歴10日!$B$2:$B$62000,C24),""))</f>
        <v>19818700</v>
      </c>
      <c r="F24" s="13">
        <f t="shared" si="0"/>
        <v>1</v>
      </c>
      <c r="G24" s="7">
        <f>最新!F24</f>
        <v>3915</v>
      </c>
      <c r="H24" s="14">
        <f>最新!G24</f>
        <v>0.86157570422535212</v>
      </c>
      <c r="I24" s="14">
        <f>最新!H24</f>
        <v>0.84850455136540959</v>
      </c>
      <c r="K24" s="18">
        <f>IF($A24="","",IFERROR(D24/SUMIFS(履歴10日!$F$2:$F$62000,履歴10日!$C$2:$C$62000,$A24&amp;"",履歴10日!$B$2:$B$62000,C24,履歴10日!$A$2:$A$62000,N$1),""))</f>
      </c>
      <c r="L24">
        <f t="shared" si="1"/>
        <v>0</v>
      </c>
      <c r="M24" s="18"/>
    </row>
    <row r="25" spans="1:13">
      <c r="A25" s="7">
        <f>最新!A25</f>
        <v>5020</v>
      </c>
      <c r="B25" s="7" t="str">
        <f>最新!B25</f>
        <v>ＥＮＥＯＳホールディングス</v>
      </c>
      <c r="C25" s="12">
        <f>最新!C25</f>
        <v>0.375</v>
      </c>
      <c r="D25" s="7">
        <f>最新!E25</f>
        <v>4834400</v>
      </c>
      <c r="E25" s="7">
        <f>IF($A25="","",IFERROR(AVERAGEIFS(履歴10日!$F$2:$F$62000,履歴10日!$C$2:$C$62000,$A25&amp;"",履歴10日!$B$2:$B$62000,C25),""))</f>
        <v>4834400</v>
      </c>
      <c r="F25" s="13">
        <f t="shared" si="0"/>
        <v>1</v>
      </c>
      <c r="G25" s="7">
        <f>最新!F25</f>
        <v>1230</v>
      </c>
      <c r="H25" s="14">
        <f>最新!G25</f>
        <v>0.97310126582278478</v>
      </c>
      <c r="I25" s="14">
        <f>最新!H25</f>
        <v>0.96546310832025117</v>
      </c>
      <c r="K25" s="18">
        <f>IF($A25="","",IFERROR(D25/SUMIFS(履歴10日!$F$2:$F$62000,履歴10日!$C$2:$C$62000,$A25&amp;"",履歴10日!$B$2:$B$62000,C25,履歴10日!$A$2:$A$62000,N$1),""))</f>
      </c>
      <c r="L25">
        <f t="shared" si="1"/>
        <v>0</v>
      </c>
      <c r="M25" s="18"/>
    </row>
    <row r="26" spans="1:13">
      <c r="A26" s="7">
        <f>最新!A26</f>
        <v>6254</v>
      </c>
      <c r="B26" s="7" t="str">
        <f>最新!B26</f>
        <v>野村マイクロ・サイエンス</v>
      </c>
      <c r="C26" s="12">
        <f>最新!C26</f>
        <v>0.375</v>
      </c>
      <c r="D26" s="7">
        <f>最新!E26</f>
        <v>1115100</v>
      </c>
      <c r="E26" s="7">
        <f>IF($A26="","",IFERROR(AVERAGEIFS(履歴10日!$F$2:$F$62000,履歴10日!$C$2:$C$62000,$A26&amp;"",履歴10日!$B$2:$B$62000,C26),""))</f>
        <v>1115100</v>
      </c>
      <c r="F26" s="13">
        <f t="shared" si="0"/>
        <v>1</v>
      </c>
      <c r="G26" s="7">
        <f>最新!F26</f>
        <v>3780</v>
      </c>
      <c r="H26" s="14">
        <f>最新!G26</f>
        <v>0.91970802919708028</v>
      </c>
      <c r="I26" s="14">
        <f>最新!H26</f>
        <v>0.88941176470588235</v>
      </c>
      <c r="K26" s="18">
        <f>IF($A26="","",IFERROR(D26/SUMIFS(履歴10日!$F$2:$F$62000,履歴10日!$C$2:$C$62000,$A26&amp;"",履歴10日!$B$2:$B$62000,C26,履歴10日!$A$2:$A$62000,N$1),""))</f>
      </c>
      <c r="L26">
        <f t="shared" si="1"/>
        <v>0</v>
      </c>
      <c r="M26" s="18"/>
    </row>
    <row r="27" spans="1:13">
      <c r="A27" s="7">
        <f>最新!A27</f>
        <v>8309</v>
      </c>
      <c r="B27" s="7" t="str">
        <f>最新!B27</f>
        <v>三井住友トラストグルー</v>
      </c>
      <c r="C27" s="12">
        <f>最新!C27</f>
        <v>0.375</v>
      </c>
      <c r="D27" s="7">
        <f>最新!E27</f>
        <v>1769000</v>
      </c>
      <c r="E27" s="7">
        <f>IF($A27="","",IFERROR(AVERAGEIFS(履歴10日!$F$2:$F$62000,履歴10日!$C$2:$C$62000,$A27&amp;"",履歴10日!$B$2:$B$62000,C27),""))</f>
        <v>1769000</v>
      </c>
      <c r="F27" s="13">
        <f t="shared" si="0"/>
        <v>1</v>
      </c>
      <c r="G27" s="7">
        <f>最新!F27</f>
        <v>6408</v>
      </c>
      <c r="H27" s="14">
        <f>最新!G27</f>
        <v>0.95928143712574854</v>
      </c>
      <c r="I27" s="14">
        <f>最新!H27</f>
        <v>0.95641791044776114</v>
      </c>
      <c r="K27" s="18">
        <f>IF($A27="","",IFERROR(D27/SUMIFS(履歴10日!$F$2:$F$62000,履歴10日!$C$2:$C$62000,$A27&amp;"",履歴10日!$B$2:$B$62000,C27,履歴10日!$A$2:$A$62000,N$1),""))</f>
      </c>
      <c r="L27">
        <f t="shared" si="1"/>
        <v>0</v>
      </c>
      <c r="M27" s="18"/>
    </row>
    <row r="28" spans="1:13">
      <c r="A28" s="7">
        <f>最新!A28</f>
        <v>3863</v>
      </c>
      <c r="B28" s="7" t="str">
        <f>最新!B28</f>
        <v>日本製紙</v>
      </c>
      <c r="C28" s="12">
        <f>最新!C28</f>
        <v>0.375</v>
      </c>
      <c r="D28" s="7">
        <f>最新!E28</f>
        <v>704700</v>
      </c>
      <c r="E28" s="7">
        <f>IF($A28="","",IFERROR(AVERAGEIFS(履歴10日!$F$2:$F$62000,履歴10日!$C$2:$C$62000,$A28&amp;"",履歴10日!$B$2:$B$62000,C28),""))</f>
        <v>704700</v>
      </c>
      <c r="F28" s="13">
        <f t="shared" si="0"/>
        <v>1</v>
      </c>
      <c r="G28" s="7">
        <f>最新!F28</f>
        <v>1449</v>
      </c>
      <c r="H28" s="14">
        <f>最新!G28</f>
        <v>0.99656121045392021</v>
      </c>
      <c r="I28" s="14">
        <f>最新!H28</f>
        <v>0.99587628865979383</v>
      </c>
      <c r="K28" s="18">
        <f>IF($A28="","",IFERROR(D28/SUMIFS(履歴10日!$F$2:$F$62000,履歴10日!$C$2:$C$62000,$A28&amp;"",履歴10日!$B$2:$B$62000,C28,履歴10日!$A$2:$A$62000,N$1),""))</f>
      </c>
      <c r="L28">
        <f t="shared" si="1"/>
        <v>0</v>
      </c>
      <c r="M28" s="18"/>
    </row>
    <row r="29" spans="1:13">
      <c r="A29" s="7">
        <f>最新!A29</f>
        <v>8601</v>
      </c>
      <c r="B29" s="7" t="str">
        <f>最新!B29</f>
        <v>大和証券Ｇ本社</v>
      </c>
      <c r="C29" s="12">
        <f>最新!C29</f>
        <v>0.375</v>
      </c>
      <c r="D29" s="7">
        <f>最新!E29</f>
        <v>4037000</v>
      </c>
      <c r="E29" s="7">
        <f>IF($A29="","",IFERROR(AVERAGEIFS(履歴10日!$F$2:$F$62000,履歴10日!$C$2:$C$62000,$A29&amp;"",履歴10日!$B$2:$B$62000,C29),""))</f>
        <v>4037000</v>
      </c>
      <c r="F29" s="13">
        <f t="shared" si="0"/>
        <v>1</v>
      </c>
      <c r="G29" s="7">
        <f>最新!F29</f>
        <v>1756</v>
      </c>
      <c r="H29" s="14">
        <f>最新!G29</f>
        <v>0.94918918918918915</v>
      </c>
      <c r="I29" s="14">
        <f>最新!H29</f>
        <v>0.9362836576912823</v>
      </c>
      <c r="K29" s="18">
        <f>IF($A29="","",IFERROR(D29/SUMIFS(履歴10日!$F$2:$F$62000,履歴10日!$C$2:$C$62000,$A29&amp;"",履歴10日!$B$2:$B$62000,C29,履歴10日!$A$2:$A$62000,N$1),""))</f>
      </c>
      <c r="L29">
        <f t="shared" si="1"/>
        <v>0</v>
      </c>
      <c r="M29" s="18"/>
    </row>
    <row r="30" spans="1:13">
      <c r="A30" s="7">
        <f>最新!A30</f>
        <v>5233</v>
      </c>
      <c r="B30" s="7" t="str">
        <f>最新!B30</f>
        <v>太平洋セメント</v>
      </c>
      <c r="C30" s="12">
        <f>最新!C30</f>
        <v>0.375</v>
      </c>
      <c r="D30" s="7">
        <f>最新!E30</f>
        <v>418500</v>
      </c>
      <c r="E30" s="7">
        <f>IF($A30="","",IFERROR(AVERAGEIFS(履歴10日!$F$2:$F$62000,履歴10日!$C$2:$C$62000,$A30&amp;"",履歴10日!$B$2:$B$62000,C30),""))</f>
        <v>418500</v>
      </c>
      <c r="F30" s="13">
        <f t="shared" si="0"/>
        <v>1</v>
      </c>
      <c r="G30" s="7">
        <f>最新!F30</f>
        <v>3888</v>
      </c>
      <c r="H30" s="14">
        <f>最新!G30</f>
        <v>0.98256254738438209</v>
      </c>
      <c r="I30" s="14">
        <f>最新!H30</f>
        <v>0.98181818181818181</v>
      </c>
      <c r="K30" s="18">
        <f>IF($A30="","",IFERROR(D30/SUMIFS(履歴10日!$F$2:$F$62000,履歴10日!$C$2:$C$62000,$A30&amp;"",履歴10日!$B$2:$B$62000,C30,履歴10日!$A$2:$A$62000,N$1),""))</f>
      </c>
      <c r="L30">
        <f t="shared" si="1"/>
        <v>0</v>
      </c>
      <c r="M30" s="18"/>
    </row>
    <row r="31" spans="1:13">
      <c r="A31" s="7">
        <f>最新!A31</f>
        <v>8308</v>
      </c>
      <c r="B31" s="7" t="str">
        <f>最新!B31</f>
        <v>りそなホールディングス</v>
      </c>
      <c r="C31" s="12">
        <f>最新!C31</f>
        <v>0.375</v>
      </c>
      <c r="D31" s="7">
        <f>最新!E31</f>
        <v>7304500</v>
      </c>
      <c r="E31" s="7">
        <f>IF($A31="","",IFERROR(AVERAGEIFS(履歴10日!$F$2:$F$62000,履歴10日!$C$2:$C$62000,$A31&amp;"",履歴10日!$B$2:$B$62000,C31),""))</f>
        <v>7304500</v>
      </c>
      <c r="F31" s="13">
        <f t="shared" si="0"/>
        <v>1</v>
      </c>
      <c r="G31" s="7">
        <f>最新!F31</f>
        <v>2219</v>
      </c>
      <c r="H31" s="14">
        <f>最新!G31</f>
        <v>0.94425531914893612</v>
      </c>
      <c r="I31" s="14">
        <f>最新!H31</f>
        <v>0.94265080713678839</v>
      </c>
      <c r="K31" s="18">
        <f>IF($A31="","",IFERROR(D31/SUMIFS(履歴10日!$F$2:$F$62000,履歴10日!$C$2:$C$62000,$A31&amp;"",履歴10日!$B$2:$B$62000,C31,履歴10日!$A$2:$A$62000,N$1),""))</f>
      </c>
      <c r="L31">
        <f t="shared" si="1"/>
        <v>0</v>
      </c>
      <c r="M31" s="18"/>
    </row>
    <row r="32" spans="1:13">
      <c r="A32" s="7">
        <f>最新!A32</f>
        <v>5938</v>
      </c>
      <c r="B32" s="7" t="str">
        <f>最新!B32</f>
        <v>ＬＩＸＩＬ</v>
      </c>
      <c r="C32" s="12">
        <f>最新!C32</f>
        <v>0.375</v>
      </c>
      <c r="D32" s="7">
        <f>最新!E32</f>
        <v>1133700</v>
      </c>
      <c r="E32" s="7">
        <f>IF($A32="","",IFERROR(AVERAGEIFS(履歴10日!$F$2:$F$62000,履歴10日!$C$2:$C$62000,$A32&amp;"",履歴10日!$B$2:$B$62000,C32),""))</f>
        <v>1133700</v>
      </c>
      <c r="F32" s="13">
        <f t="shared" si="0"/>
        <v>1</v>
      </c>
      <c r="G32" s="7">
        <f>最新!F32</f>
        <v>1863.5</v>
      </c>
      <c r="H32" s="14">
        <f>最新!G32</f>
        <v>0.9823405376910912</v>
      </c>
      <c r="I32" s="14">
        <f>最新!H32</f>
        <v>0.98754636989931111</v>
      </c>
      <c r="K32" s="18">
        <f>IF($A32="","",IFERROR(D32/SUMIFS(履歴10日!$F$2:$F$62000,履歴10日!$C$2:$C$62000,$A32&amp;"",履歴10日!$B$2:$B$62000,C32,履歴10日!$A$2:$A$62000,N$1),""))</f>
      </c>
      <c r="L32">
        <f t="shared" si="1"/>
        <v>0</v>
      </c>
      <c r="M32" s="18"/>
    </row>
    <row r="33" spans="1:13">
      <c r="A33" s="7">
        <f>最新!A33</f>
        <v>8570</v>
      </c>
      <c r="B33" s="7" t="str">
        <f>最新!B33</f>
        <v>イオンフィナンシャルサービス</v>
      </c>
      <c r="C33" s="12">
        <f>最新!C33</f>
        <v>0.375</v>
      </c>
      <c r="D33" s="7">
        <f>最新!E33</f>
        <v>225100</v>
      </c>
      <c r="E33" s="7">
        <f>IF($A33="","",IFERROR(AVERAGEIFS(履歴10日!$F$2:$F$62000,履歴10日!$C$2:$C$62000,$A33&amp;"",履歴10日!$B$2:$B$62000,C33),""))</f>
        <v>225100</v>
      </c>
      <c r="F33" s="13">
        <f t="shared" si="0"/>
        <v>1</v>
      </c>
      <c r="G33" s="7">
        <f>最新!F33</f>
        <v>1516</v>
      </c>
      <c r="H33" s="14">
        <f>最新!G33</f>
        <v>0.99084967320261441</v>
      </c>
      <c r="I33" s="14">
        <f>最新!H33</f>
        <v>0.98665798893589329</v>
      </c>
      <c r="K33" s="18">
        <f>IF($A33="","",IFERROR(D33/SUMIFS(履歴10日!$F$2:$F$62000,履歴10日!$C$2:$C$62000,$A33&amp;"",履歴10日!$B$2:$B$62000,C33,履歴10日!$A$2:$A$62000,N$1),""))</f>
      </c>
      <c r="L33">
        <f t="shared" si="1"/>
        <v>0</v>
      </c>
      <c r="M33" s="18"/>
    </row>
    <row r="34" spans="1:13">
      <c r="A34" s="7">
        <f>最新!A34</f>
        <v>5406</v>
      </c>
      <c r="B34" s="7" t="str">
        <f>最新!B34</f>
        <v>神戸製鋼所</v>
      </c>
      <c r="C34" s="12">
        <f>最新!C34</f>
        <v>0.375</v>
      </c>
      <c r="D34" s="7">
        <f>最新!E34</f>
        <v>1429000</v>
      </c>
      <c r="E34" s="7">
        <f>IF($A34="","",IFERROR(AVERAGEIFS(履歴10日!$F$2:$F$62000,履歴10日!$C$2:$C$62000,$A34&amp;"",履歴10日!$B$2:$B$62000,C34),""))</f>
        <v>1429000</v>
      </c>
      <c r="F34" s="13">
        <f t="shared" si="0"/>
        <v>1</v>
      </c>
      <c r="G34" s="7">
        <f>最新!F34</f>
        <v>1915.5</v>
      </c>
      <c r="H34" s="14">
        <f>最新!G34</f>
        <v>0.9873711340206186</v>
      </c>
      <c r="I34" s="14">
        <f>最新!H34</f>
        <v>0.98180420297283444</v>
      </c>
      <c r="K34" s="18">
        <f>IF($A34="","",IFERROR(D34/SUMIFS(履歴10日!$F$2:$F$62000,履歴10日!$C$2:$C$62000,$A34&amp;"",履歴10日!$B$2:$B$62000,C34,履歴10日!$A$2:$A$62000,N$1),""))</f>
      </c>
      <c r="L34">
        <f t="shared" si="1"/>
        <v>0</v>
      </c>
      <c r="M34" s="18"/>
    </row>
    <row r="35" spans="1:13">
      <c r="A35" s="7">
        <f>最新!A35</f>
        <v>8593</v>
      </c>
      <c r="B35" s="7" t="str">
        <f>最新!B35</f>
        <v>三菱ＨＣキャピタル</v>
      </c>
      <c r="C35" s="12">
        <f>最新!C35</f>
        <v>0.375</v>
      </c>
      <c r="D35" s="7">
        <f>最新!E35</f>
        <v>2881800</v>
      </c>
      <c r="E35" s="7">
        <f>IF($A35="","",IFERROR(AVERAGEIFS(履歴10日!$F$2:$F$62000,履歴10日!$C$2:$C$62000,$A35&amp;"",履歴10日!$B$2:$B$62000,C35),""))</f>
        <v>2881800</v>
      </c>
      <c r="F35" s="13">
        <f t="shared" si="0"/>
        <v>1</v>
      </c>
      <c r="G35" s="7">
        <f>最新!F35</f>
        <v>1383</v>
      </c>
      <c r="H35" s="14">
        <f>最新!G35</f>
        <v>0.97911504424778761</v>
      </c>
      <c r="I35" s="14">
        <f>最新!H35</f>
        <v>0.97980871413390014</v>
      </c>
      <c r="K35" s="18">
        <f>IF($A35="","",IFERROR(D35/SUMIFS(履歴10日!$F$2:$F$62000,履歴10日!$C$2:$C$62000,$A35&amp;"",履歴10日!$B$2:$B$62000,C35,履歴10日!$A$2:$A$62000,N$1),""))</f>
      </c>
      <c r="L35">
        <f t="shared" si="1"/>
        <v>0</v>
      </c>
      <c r="M35" s="18"/>
    </row>
    <row r="36" spans="1:13">
      <c r="A36" s="7">
        <f>最新!A36</f>
        <v>8604</v>
      </c>
      <c r="B36" s="7" t="str">
        <f>最新!B36</f>
        <v>野村ホールディングス</v>
      </c>
      <c r="C36" s="12">
        <f>最新!C36</f>
        <v>0.375</v>
      </c>
      <c r="D36" s="7">
        <f>最新!E36</f>
        <v>11174000</v>
      </c>
      <c r="E36" s="7">
        <f>IF($A36="","",IFERROR(AVERAGEIFS(履歴10日!$F$2:$F$62000,履歴10日!$C$2:$C$62000,$A36&amp;"",履歴10日!$B$2:$B$62000,C36),""))</f>
        <v>11174000</v>
      </c>
      <c r="F36" s="13">
        <f t="shared" si="0"/>
        <v>1</v>
      </c>
      <c r="G36" s="7">
        <f>最新!F36</f>
        <v>1506</v>
      </c>
      <c r="H36" s="14">
        <f>最新!G36</f>
        <v>0.95316455696202529</v>
      </c>
      <c r="I36" s="14">
        <f>最新!H36</f>
        <v>0.93598508390304536</v>
      </c>
      <c r="K36" s="18">
        <f>IF($A36="","",IFERROR(D36/SUMIFS(履歴10日!$F$2:$F$62000,履歴10日!$C$2:$C$62000,$A36&amp;"",履歴10日!$B$2:$B$62000,C36,履歴10日!$A$2:$A$62000,N$1),""))</f>
      </c>
      <c r="L36">
        <f t="shared" si="1"/>
        <v>0</v>
      </c>
      <c r="M36" s="18"/>
    </row>
    <row r="37" spans="1:13">
      <c r="A37" s="7">
        <f>最新!A37</f>
        <v>3861</v>
      </c>
      <c r="B37" s="7" t="str">
        <f>最新!B37</f>
        <v>王子ホールディングス</v>
      </c>
      <c r="C37" s="12">
        <f>最新!C37</f>
        <v>0.375</v>
      </c>
      <c r="D37" s="7">
        <f>最新!E37</f>
        <v>2396100</v>
      </c>
      <c r="E37" s="7">
        <f>IF($A37="","",IFERROR(AVERAGEIFS(履歴10日!$F$2:$F$62000,履歴10日!$C$2:$C$62000,$A37&amp;"",履歴10日!$B$2:$B$62000,C37),""))</f>
        <v>2396100</v>
      </c>
      <c r="F37" s="13">
        <f t="shared" si="0"/>
        <v>1</v>
      </c>
      <c r="G37" s="7">
        <f>最新!F37</f>
        <v>836.2</v>
      </c>
      <c r="H37" s="14">
        <f>最新!G37</f>
        <v>0.99275792472990632</v>
      </c>
      <c r="I37" s="14">
        <f>最新!H37</f>
        <v>0.99701919637534275</v>
      </c>
      <c r="K37" s="18">
        <f>IF($A37="","",IFERROR(D37/SUMIFS(履歴10日!$F$2:$F$62000,履歴10日!$C$2:$C$62000,$A37&amp;"",履歴10日!$B$2:$B$62000,C37,履歴10日!$A$2:$A$62000,N$1),""))</f>
      </c>
      <c r="L37">
        <f t="shared" si="1"/>
        <v>0</v>
      </c>
      <c r="M37" s="18"/>
    </row>
    <row r="38" spans="1:13">
      <c r="A38" s="7">
        <f>最新!A38</f>
        <v>5947</v>
      </c>
      <c r="B38" s="7" t="str">
        <f>最新!B38</f>
        <v>リンナイ</v>
      </c>
      <c r="C38" s="12">
        <f>最新!C38</f>
        <v>0.375</v>
      </c>
      <c r="D38" s="7">
        <f>最新!E38</f>
        <v>186700</v>
      </c>
      <c r="E38" s="7">
        <f>IF($A38="","",IFERROR(AVERAGEIFS(履歴10日!$F$2:$F$62000,履歴10日!$C$2:$C$62000,$A38&amp;"",履歴10日!$B$2:$B$62000,C38),""))</f>
        <v>186700</v>
      </c>
      <c r="F38" s="13">
        <f t="shared" si="0"/>
        <v>1</v>
      </c>
      <c r="G38" s="7">
        <f>最新!F38</f>
        <v>3615</v>
      </c>
      <c r="H38" s="14">
        <f>最新!G38</f>
        <v>0.99122566493007946</v>
      </c>
      <c r="I38" s="14">
        <f>最新!H38</f>
        <v>0.99917081260364837</v>
      </c>
      <c r="K38" s="18">
        <f>IF($A38="","",IFERROR(D38/SUMIFS(履歴10日!$F$2:$F$62000,履歴10日!$C$2:$C$62000,$A38&amp;"",履歴10日!$B$2:$B$62000,C38,履歴10日!$A$2:$A$62000,N$1),""))</f>
      </c>
      <c r="L38">
        <f t="shared" si="1"/>
        <v>0</v>
      </c>
      <c r="M38" s="18"/>
    </row>
    <row r="39" spans="1:13">
      <c r="A39" s="7">
        <f>最新!A39</f>
        <v>8750</v>
      </c>
      <c r="B39" s="7" t="str">
        <f>最新!B39</f>
        <v>第一ライフグループ</v>
      </c>
      <c r="C39" s="12">
        <f>最新!C39</f>
        <v>0.375</v>
      </c>
      <c r="D39" s="7">
        <f>最新!E39</f>
        <v>6459800</v>
      </c>
      <c r="E39" s="7">
        <f>IF($A39="","",IFERROR(AVERAGEIFS(履歴10日!$F$2:$F$62000,履歴10日!$C$2:$C$62000,$A39&amp;"",履歴10日!$B$2:$B$62000,C39),""))</f>
        <v>6459800</v>
      </c>
      <c r="F39" s="13">
        <f t="shared" si="0"/>
        <v>1</v>
      </c>
      <c r="G39" s="7">
        <f>最新!F39</f>
        <v>1777</v>
      </c>
      <c r="H39" s="14">
        <f>最新!G39</f>
        <v>0.96786492374727673</v>
      </c>
      <c r="I39" s="14">
        <f>最新!H39</f>
        <v>0.96760141573645519</v>
      </c>
      <c r="K39" s="18">
        <f>IF($A39="","",IFERROR(D39/SUMIFS(履歴10日!$F$2:$F$62000,履歴10日!$C$2:$C$62000,$A39&amp;"",履歴10日!$B$2:$B$62000,C39,履歴10日!$A$2:$A$62000,N$1),""))</f>
      </c>
      <c r="L39">
        <f t="shared" si="1"/>
        <v>0</v>
      </c>
      <c r="M39" s="18"/>
    </row>
    <row r="40" spans="1:13">
      <c r="A40" s="7">
        <f>最新!A40</f>
        <v>3402</v>
      </c>
      <c r="B40" s="7" t="str">
        <f>最新!B40</f>
        <v>東レ</v>
      </c>
      <c r="C40" s="12">
        <f>最新!C40</f>
        <v>0.375</v>
      </c>
      <c r="D40" s="7">
        <f>最新!E40</f>
        <v>1989000</v>
      </c>
      <c r="E40" s="7">
        <f>IF($A40="","",IFERROR(AVERAGEIFS(履歴10日!$F$2:$F$62000,履歴10日!$C$2:$C$62000,$A40&amp;"",履歴10日!$B$2:$B$62000,C40),""))</f>
        <v>1989000</v>
      </c>
      <c r="F40" s="13">
        <f t="shared" si="0"/>
        <v>1</v>
      </c>
      <c r="G40" s="7">
        <f>最新!F40</f>
        <v>1133</v>
      </c>
      <c r="H40" s="14">
        <f>最新!G40</f>
        <v>0.97672413793103452</v>
      </c>
      <c r="I40" s="14">
        <f>最新!H40</f>
        <v>0.97128161165880844</v>
      </c>
      <c r="K40" s="18">
        <f>IF($A40="","",IFERROR(D40/SUMIFS(履歴10日!$F$2:$F$62000,履歴10日!$C$2:$C$62000,$A40&amp;"",履歴10日!$B$2:$B$62000,C40,履歴10日!$A$2:$A$62000,N$1),""))</f>
      </c>
      <c r="L40">
        <f t="shared" si="1"/>
        <v>0</v>
      </c>
      <c r="M40" s="18"/>
    </row>
    <row r="41" spans="1:13">
      <c r="A41" s="7">
        <f>最新!A41</f>
        <v>8306</v>
      </c>
      <c r="B41" s="7" t="str">
        <f>最新!B41</f>
        <v>三菱ＵＦＪフィナンシャルＧ</v>
      </c>
      <c r="C41" s="12">
        <f>最新!C41</f>
        <v>0.375</v>
      </c>
      <c r="D41" s="7">
        <f>最新!E41</f>
        <v>48526000</v>
      </c>
      <c r="E41" s="7">
        <f>IF($A41="","",IFERROR(AVERAGEIFS(履歴10日!$F$2:$F$62000,履歴10日!$C$2:$C$62000,$A41&amp;"",履歴10日!$B$2:$B$62000,C41),""))</f>
        <v>48526000</v>
      </c>
      <c r="F41" s="13">
        <f t="shared" si="0"/>
        <v>1</v>
      </c>
      <c r="G41" s="7">
        <f>最新!F41</f>
        <v>3442</v>
      </c>
      <c r="H41" s="14">
        <f>最新!G41</f>
        <v>0.95240730492529058</v>
      </c>
      <c r="I41" s="14">
        <f>最新!H41</f>
        <v>0.9484706530724718</v>
      </c>
      <c r="K41" s="18">
        <f>IF($A41="","",IFERROR(D41/SUMIFS(履歴10日!$F$2:$F$62000,履歴10日!$C$2:$C$62000,$A41&amp;"",履歴10日!$B$2:$B$62000,C41,履歴10日!$A$2:$A$62000,N$1),""))</f>
      </c>
      <c r="L41">
        <f t="shared" si="1"/>
        <v>0</v>
      </c>
      <c r="M41" s="18"/>
    </row>
    <row r="42" spans="1:13">
      <c r="A42" s="7">
        <f>最新!A42</f>
        <v>5401</v>
      </c>
      <c r="B42" s="7" t="str">
        <f>最新!B42</f>
        <v>日本製鉄</v>
      </c>
      <c r="C42" s="12">
        <f>最新!C42</f>
        <v>0.375</v>
      </c>
      <c r="D42" s="7">
        <f>最新!E42</f>
        <v>30420200</v>
      </c>
      <c r="E42" s="7">
        <f>IF($A42="","",IFERROR(AVERAGEIFS(履歴10日!$F$2:$F$62000,履歴10日!$C$2:$C$62000,$A42&amp;"",履歴10日!$B$2:$B$62000,C42),""))</f>
        <v>30420200</v>
      </c>
      <c r="F42" s="13">
        <f t="shared" si="0"/>
        <v>1</v>
      </c>
      <c r="G42" s="7">
        <f>最新!F42</f>
        <v>582.5</v>
      </c>
      <c r="H42" s="14">
        <f>最新!G42</f>
        <v>1.0039641502930023</v>
      </c>
      <c r="I42" s="14">
        <f>最新!H42</f>
        <v>1.0039641502930023</v>
      </c>
      <c r="K42" s="18">
        <f>IF($A42="","",IFERROR(D42/SUMIFS(履歴10日!$F$2:$F$62000,履歴10日!$C$2:$C$62000,$A42&amp;"",履歴10日!$B$2:$B$62000,C42,履歴10日!$A$2:$A$62000,N$1),""))</f>
      </c>
      <c r="L42">
        <f t="shared" si="1"/>
        <v>0</v>
      </c>
      <c r="M42" s="18"/>
    </row>
    <row r="43" spans="1:13">
      <c r="A43" s="7">
        <f>最新!A43</f>
        <v>8572</v>
      </c>
      <c r="B43" s="7" t="str">
        <f>最新!B43</f>
        <v>アコム</v>
      </c>
      <c r="C43" s="12">
        <f>最新!C43</f>
        <v>0.375</v>
      </c>
      <c r="D43" s="7">
        <f>最新!E43</f>
        <v>981600</v>
      </c>
      <c r="E43" s="7">
        <f>IF($A43="","",IFERROR(AVERAGEIFS(履歴10日!$F$2:$F$62000,履歴10日!$C$2:$C$62000,$A43&amp;"",履歴10日!$B$2:$B$62000,C43),""))</f>
        <v>981600</v>
      </c>
      <c r="F43" s="13">
        <f t="shared" si="0"/>
        <v>1</v>
      </c>
      <c r="G43" s="7">
        <f>最新!F43</f>
        <v>479.5</v>
      </c>
      <c r="H43" s="14">
        <f>最新!G43</f>
        <v>0.98258196721311475</v>
      </c>
      <c r="I43" s="14">
        <f>最新!H43</f>
        <v>0.98743822075782528</v>
      </c>
      <c r="K43" s="18">
        <f>IF($A43="","",IFERROR(D43/SUMIFS(履歴10日!$F$2:$F$62000,履歴10日!$C$2:$C$62000,$A43&amp;"",履歴10日!$B$2:$B$62000,C43,履歴10日!$A$2:$A$62000,N$1),""))</f>
      </c>
      <c r="L43">
        <f t="shared" si="1"/>
        <v>0</v>
      </c>
      <c r="M43" s="18"/>
    </row>
    <row r="44" spans="1:13">
      <c r="A44" s="7">
        <f>最新!A44</f>
        <v>3941</v>
      </c>
      <c r="B44" s="7" t="str">
        <f>最新!B44</f>
        <v>レンゴー</v>
      </c>
      <c r="C44" s="12">
        <f>最新!C44</f>
        <v>0.375</v>
      </c>
      <c r="D44" s="7">
        <f>最新!E44</f>
        <v>668800</v>
      </c>
      <c r="E44" s="7">
        <f>IF($A44="","",IFERROR(AVERAGEIFS(履歴10日!$F$2:$F$62000,履歴10日!$C$2:$C$62000,$A44&amp;"",履歴10日!$B$2:$B$62000,C44),""))</f>
        <v>668800</v>
      </c>
      <c r="F44" s="13">
        <f t="shared" si="0"/>
        <v>1</v>
      </c>
      <c r="G44" s="7">
        <f>最新!F44</f>
        <v>1416</v>
      </c>
      <c r="H44" s="14">
        <f>最新!G44</f>
        <v>0.97554254219772651</v>
      </c>
      <c r="I44" s="14">
        <f>最新!H44</f>
        <v>0.9775629962029686</v>
      </c>
      <c r="K44" s="18">
        <f>IF($A44="","",IFERROR(D44/SUMIFS(履歴10日!$F$2:$F$62000,履歴10日!$C$2:$C$62000,$A44&amp;"",履歴10日!$B$2:$B$62000,C44,履歴10日!$A$2:$A$62000,N$1),""))</f>
      </c>
      <c r="L44">
        <f t="shared" si="1"/>
        <v>0</v>
      </c>
      <c r="M44" s="18"/>
    </row>
    <row r="45" spans="1:13">
      <c r="A45" s="7">
        <f>最新!A45</f>
        <v>5929</v>
      </c>
      <c r="B45" s="7" t="str">
        <f>最新!B45</f>
        <v>三和ホールディングス</v>
      </c>
      <c r="C45" s="12">
        <f>最新!C45</f>
        <v>0.375</v>
      </c>
      <c r="D45" s="7">
        <f>最新!E45</f>
        <v>461700</v>
      </c>
      <c r="E45" s="7">
        <f>IF($A45="","",IFERROR(AVERAGEIFS(履歴10日!$F$2:$F$62000,履歴10日!$C$2:$C$62000,$A45&amp;"",履歴10日!$B$2:$B$62000,C45),""))</f>
        <v>461700</v>
      </c>
      <c r="F45" s="13">
        <f t="shared" si="0"/>
        <v>1</v>
      </c>
      <c r="G45" s="7">
        <f>最新!F45</f>
        <v>3749</v>
      </c>
      <c r="H45" s="14">
        <f>最新!G45</f>
        <v>1.0099676724137931</v>
      </c>
      <c r="I45" s="14">
        <f>最新!H45</f>
        <v>1.0075248589088954</v>
      </c>
      <c r="K45" s="18">
        <f>IF($A45="","",IFERROR(D45/SUMIFS(履歴10日!$F$2:$F$62000,履歴10日!$C$2:$C$62000,$A45&amp;"",履歴10日!$B$2:$B$62000,C45,履歴10日!$A$2:$A$62000,N$1),""))</f>
      </c>
      <c r="L45">
        <f t="shared" si="1"/>
        <v>0</v>
      </c>
      <c r="M45" s="18"/>
    </row>
    <row r="46" spans="1:13">
      <c r="A46" s="7">
        <f>最新!A46</f>
        <v>8316</v>
      </c>
      <c r="B46" s="7" t="str">
        <f>最新!B46</f>
        <v>三井住友フィナンシャルＧ</v>
      </c>
      <c r="C46" s="12">
        <f>最新!C46</f>
        <v>0.375</v>
      </c>
      <c r="D46" s="7">
        <f>最新!E46</f>
        <v>13773100</v>
      </c>
      <c r="E46" s="7">
        <f>IF($A46="","",IFERROR(AVERAGEIFS(履歴10日!$F$2:$F$62000,履歴10日!$C$2:$C$62000,$A46&amp;"",履歴10日!$B$2:$B$62000,C46),""))</f>
        <v>13773100</v>
      </c>
      <c r="F46" s="13">
        <f t="shared" si="0"/>
        <v>1</v>
      </c>
      <c r="G46" s="7">
        <f>最新!F46</f>
        <v>6662</v>
      </c>
      <c r="H46" s="14">
        <f>最新!G46</f>
        <v>0.94765291607396873</v>
      </c>
      <c r="I46" s="14">
        <f>最新!H46</f>
        <v>0.94765291607396873</v>
      </c>
      <c r="K46" s="18">
        <f>IF($A46="","",IFERROR(D46/SUMIFS(履歴10日!$F$2:$F$62000,履歴10日!$C$2:$C$62000,$A46&amp;"",履歴10日!$B$2:$B$62000,C46,履歴10日!$A$2:$A$62000,N$1),""))</f>
      </c>
      <c r="L46">
        <f t="shared" si="1"/>
        <v>0</v>
      </c>
      <c r="M46" s="18"/>
    </row>
    <row r="47" spans="1:13">
      <c r="A47" s="7">
        <f>最新!A47</f>
        <v>5449</v>
      </c>
      <c r="B47" s="7" t="str">
        <f>最新!B47</f>
        <v>大阪製鐵</v>
      </c>
      <c r="C47" s="12">
        <f>最新!C47</f>
        <v>0.375</v>
      </c>
      <c r="D47" s="7">
        <f>最新!E47</f>
        <v>8900</v>
      </c>
      <c r="E47" s="7">
        <f>IF($A47="","",IFERROR(AVERAGEIFS(履歴10日!$F$2:$F$62000,履歴10日!$C$2:$C$62000,$A47&amp;"",履歴10日!$B$2:$B$62000,C47),""))</f>
        <v>8900</v>
      </c>
      <c r="F47" s="13">
        <f t="shared" si="0"/>
        <v>1</v>
      </c>
      <c r="G47" s="7">
        <f>最新!F47</f>
        <v>2534</v>
      </c>
      <c r="H47" s="14">
        <f>最新!G47</f>
        <v>0.99372549019607848</v>
      </c>
      <c r="I47" s="14">
        <f>最新!H47</f>
        <v>0.99294670846394983</v>
      </c>
      <c r="K47" s="18">
        <f>IF($A47="","",IFERROR(D47/SUMIFS(履歴10日!$F$2:$F$62000,履歴10日!$C$2:$C$62000,$A47&amp;"",履歴10日!$B$2:$B$62000,C47,履歴10日!$A$2:$A$62000,N$1),""))</f>
      </c>
      <c r="L47">
        <f t="shared" si="1"/>
        <v>0</v>
      </c>
      <c r="M47" s="18"/>
    </row>
    <row r="48" spans="1:13">
      <c r="A48" s="7">
        <f>最新!A48</f>
        <v>8766</v>
      </c>
      <c r="B48" s="7" t="str">
        <f>最新!B48</f>
        <v>東京海上ＨＤ</v>
      </c>
      <c r="C48" s="12">
        <f>最新!C48</f>
        <v>0.375</v>
      </c>
      <c r="D48" s="7">
        <f>最新!E48</f>
        <v>3171100</v>
      </c>
      <c r="E48" s="7">
        <f>IF($A48="","",IFERROR(AVERAGEIFS(履歴10日!$F$2:$F$62000,履歴10日!$C$2:$C$62000,$A48&amp;"",履歴10日!$B$2:$B$62000,C48),""))</f>
        <v>3171100</v>
      </c>
      <c r="F48" s="13">
        <f t="shared" si="0"/>
        <v>1</v>
      </c>
      <c r="G48" s="7">
        <f>最新!F48</f>
        <v>7472</v>
      </c>
      <c r="H48" s="14">
        <f>最新!G48</f>
        <v>0.98135014447071189</v>
      </c>
      <c r="I48" s="14">
        <f>最新!H48</f>
        <v>0.98315789473684212</v>
      </c>
      <c r="K48" s="18">
        <f>IF($A48="","",IFERROR(D48/SUMIFS(履歴10日!$F$2:$F$62000,履歴10日!$C$2:$C$62000,$A48&amp;"",履歴10日!$B$2:$B$62000,C48,履歴10日!$A$2:$A$62000,N$1),""))</f>
      </c>
      <c r="L48">
        <f t="shared" si="1"/>
        <v>0</v>
      </c>
      <c r="M48" s="18"/>
    </row>
    <row r="49" spans="1:13">
      <c r="A49" s="7">
        <f>最新!A49</f>
        <v>5201</v>
      </c>
      <c r="B49" s="7" t="str">
        <f>最新!B49</f>
        <v>ＡＧＣ</v>
      </c>
      <c r="C49" s="12">
        <f>最新!C49</f>
        <v>0.375</v>
      </c>
      <c r="D49" s="7">
        <f>最新!E49</f>
        <v>964000</v>
      </c>
      <c r="E49" s="7">
        <f>IF($A49="","",IFERROR(AVERAGEIFS(履歴10日!$F$2:$F$62000,履歴10日!$C$2:$C$62000,$A49&amp;"",履歴10日!$B$2:$B$62000,C49),""))</f>
        <v>964000</v>
      </c>
      <c r="F49" s="13">
        <f t="shared" si="0"/>
        <v>1</v>
      </c>
      <c r="G49" s="7">
        <f>最新!F49</f>
        <v>6019</v>
      </c>
      <c r="H49" s="14">
        <f>最新!G49</f>
        <v>0.94223544145272387</v>
      </c>
      <c r="I49" s="14">
        <f>最新!H49</f>
        <v>0.93724696356275305</v>
      </c>
      <c r="K49" s="18">
        <f>IF($A49="","",IFERROR(D49/SUMIFS(履歴10日!$F$2:$F$62000,履歴10日!$C$2:$C$62000,$A49&amp;"",履歴10日!$B$2:$B$62000,C49,履歴10日!$A$2:$A$62000,N$1),""))</f>
      </c>
      <c r="L49">
        <f t="shared" si="1"/>
        <v>0</v>
      </c>
      <c r="M49" s="18"/>
    </row>
    <row r="50" spans="1:13">
      <c r="A50" s="7">
        <f>最新!A50</f>
        <v>8630</v>
      </c>
      <c r="B50" s="7" t="str">
        <f>最新!B50</f>
        <v>ＳＯＭＰＯホールディングス</v>
      </c>
      <c r="C50" s="12">
        <f>最新!C50</f>
        <v>0.375</v>
      </c>
      <c r="D50" s="7">
        <f>最新!E50</f>
        <v>1986900</v>
      </c>
      <c r="E50" s="7">
        <f>IF($A50="","",IFERROR(AVERAGEIFS(履歴10日!$F$2:$F$62000,履歴10日!$C$2:$C$62000,$A50&amp;"",履歴10日!$B$2:$B$62000,C50),""))</f>
        <v>1986900</v>
      </c>
      <c r="F50" s="13">
        <f t="shared" si="0"/>
        <v>1</v>
      </c>
      <c r="G50" s="7">
        <f>最新!F50</f>
        <v>6630</v>
      </c>
      <c r="H50" s="14">
        <f>最新!G50</f>
        <v>1.0009057971014492</v>
      </c>
      <c r="I50" s="14">
        <f>最新!H50</f>
        <v>1.00181323662738</v>
      </c>
      <c r="K50" s="18">
        <f>IF($A50="","",IFERROR(D50/SUMIFS(履歴10日!$F$2:$F$62000,履歴10日!$C$2:$C$62000,$A50&amp;"",履歴10日!$B$2:$B$62000,C50,履歴10日!$A$2:$A$62000,N$1),""))</f>
      </c>
      <c r="L50">
        <f t="shared" si="1"/>
        <v>0</v>
      </c>
      <c r="M50" s="18"/>
    </row>
    <row r="51" spans="1:13">
      <c r="A51" s="7">
        <f>最新!A51</f>
        <v>5901</v>
      </c>
      <c r="B51" s="7" t="str">
        <f>最新!B51</f>
        <v>東洋製罐グループＨＤ</v>
      </c>
      <c r="C51" s="12">
        <f>最新!C51</f>
        <v>0.375</v>
      </c>
      <c r="D51" s="7">
        <f>最新!E51</f>
        <v>179700</v>
      </c>
      <c r="E51" s="7">
        <f>IF($A51="","",IFERROR(AVERAGEIFS(履歴10日!$F$2:$F$62000,履歴10日!$C$2:$C$62000,$A51&amp;"",履歴10日!$B$2:$B$62000,C51),""))</f>
        <v>179700</v>
      </c>
      <c r="F51" s="13">
        <f t="shared" si="0"/>
        <v>1</v>
      </c>
      <c r="G51" s="7">
        <f>最新!F51</f>
        <v>4010</v>
      </c>
      <c r="H51" s="14">
        <f>最新!G51</f>
        <v>0.98550012288031452</v>
      </c>
      <c r="I51" s="14">
        <f>最新!H51</f>
        <v>0.98890258939580766</v>
      </c>
      <c r="K51" s="18">
        <f>IF($A51="","",IFERROR(D51/SUMIFS(履歴10日!$F$2:$F$62000,履歴10日!$C$2:$C$62000,$A51&amp;"",履歴10日!$B$2:$B$62000,C51,履歴10日!$A$2:$A$62000,N$1),""))</f>
      </c>
      <c r="L51">
        <f t="shared" si="1"/>
        <v>0</v>
      </c>
      <c r="M51" s="18"/>
    </row>
    <row r="52" spans="1:13">
      <c r="A52" s="7">
        <f>最新!A52</f>
        <v>9412</v>
      </c>
      <c r="B52" s="7" t="str">
        <f>最新!B52</f>
        <v>スカパーＪＳＡＴ</v>
      </c>
      <c r="C52" s="12">
        <f>最新!C52</f>
        <v>0.375</v>
      </c>
      <c r="D52" s="7">
        <f>最新!E52</f>
        <v>1888900</v>
      </c>
      <c r="E52" s="7">
        <f>IF($A52="","",IFERROR(AVERAGEIFS(履歴10日!$F$2:$F$62000,履歴10日!$C$2:$C$62000,$A52&amp;"",履歴10日!$B$2:$B$62000,C52),""))</f>
        <v>1888900</v>
      </c>
      <c r="F52" s="13">
        <f t="shared" si="0"/>
        <v>1</v>
      </c>
      <c r="G52" s="7">
        <f>最新!F52</f>
        <v>2247</v>
      </c>
      <c r="H52" s="14">
        <f>最新!G52</f>
        <v>0.97780678851174929</v>
      </c>
      <c r="I52" s="14">
        <f>最新!H52</f>
        <v>0.95861774744027306</v>
      </c>
      <c r="K52" s="18">
        <f>IF($A52="","",IFERROR(D52/SUMIFS(履歴10日!$F$2:$F$62000,履歴10日!$C$2:$C$62000,$A52&amp;"",履歴10日!$B$2:$B$62000,C52,履歴10日!$A$2:$A$62000,N$1),""))</f>
      </c>
      <c r="L52">
        <f t="shared" si="1"/>
        <v>0</v>
      </c>
      <c r="M52" s="18"/>
    </row>
    <row r="53" spans="1:13">
      <c r="A53" s="7">
        <f>最新!A53</f>
        <v>6203</v>
      </c>
      <c r="B53" s="7" t="str">
        <f>最新!B53</f>
        <v>豊和工業</v>
      </c>
      <c r="C53" s="12">
        <f>最新!C53</f>
        <v>0.375</v>
      </c>
      <c r="D53" s="7">
        <f>最新!E53</f>
        <v>473000</v>
      </c>
      <c r="E53" s="7">
        <f>IF($A53="","",IFERROR(AVERAGEIFS(履歴10日!$F$2:$F$62000,履歴10日!$C$2:$C$62000,$A53&amp;"",履歴10日!$B$2:$B$62000,C53),""))</f>
        <v>473000</v>
      </c>
      <c r="F53" s="13">
        <f t="shared" si="0"/>
        <v>1</v>
      </c>
      <c r="G53" s="7">
        <f>最新!F53</f>
        <v>1404</v>
      </c>
      <c r="H53" s="14">
        <f>最新!G53</f>
        <v>0.96894409937888204</v>
      </c>
      <c r="I53" s="14">
        <f>最新!H53</f>
        <v>0.96362388469457794</v>
      </c>
      <c r="K53" s="18">
        <f>IF($A53="","",IFERROR(D53/SUMIFS(履歴10日!$F$2:$F$62000,履歴10日!$C$2:$C$62000,$A53&amp;"",履歴10日!$B$2:$B$62000,C53,履歴10日!$A$2:$A$62000,N$1),""))</f>
      </c>
      <c r="L53">
        <f t="shared" si="1"/>
        <v>0</v>
      </c>
      <c r="M53" s="18"/>
    </row>
    <row r="54" spans="1:13">
      <c r="A54" s="7">
        <f>最新!A54</f>
        <v>4676</v>
      </c>
      <c r="B54" s="7" t="str">
        <f>最新!B54</f>
        <v>フジ・メディア・ＨＤ</v>
      </c>
      <c r="C54" s="12">
        <f>最新!C54</f>
        <v>0.375</v>
      </c>
      <c r="D54" s="7">
        <f>最新!E54</f>
        <v>480500</v>
      </c>
      <c r="E54" s="7">
        <f>IF($A54="","",IFERROR(AVERAGEIFS(履歴10日!$F$2:$F$62000,履歴10日!$C$2:$C$62000,$A54&amp;"",履歴10日!$B$2:$B$62000,C54),""))</f>
        <v>480500</v>
      </c>
      <c r="F54" s="13">
        <f t="shared" si="0"/>
        <v>1</v>
      </c>
      <c r="G54" s="7">
        <f>最新!F54</f>
        <v>3996</v>
      </c>
      <c r="H54" s="14">
        <f>最新!G54</f>
        <v>0.96638452237001204</v>
      </c>
      <c r="I54" s="14">
        <f>最新!H54</f>
        <v>0.97202627098029681</v>
      </c>
      <c r="K54" s="18">
        <f>IF($A54="","",IFERROR(D54/SUMIFS(履歴10日!$F$2:$F$62000,履歴10日!$C$2:$C$62000,$A54&amp;"",履歴10日!$B$2:$B$62000,C54,履歴10日!$A$2:$A$62000,N$1),""))</f>
      </c>
      <c r="L54">
        <f t="shared" si="1"/>
        <v>0</v>
      </c>
      <c r="M54" s="18"/>
    </row>
    <row r="55" spans="1:13">
      <c r="A55" s="7">
        <f>最新!A55</f>
        <v>1961</v>
      </c>
      <c r="B55" s="7" t="str">
        <f>最新!B55</f>
        <v>三機工業</v>
      </c>
      <c r="C55" s="12">
        <f>最新!C55</f>
        <v>0.375</v>
      </c>
      <c r="D55" s="7">
        <f>最新!E55</f>
        <v>544000</v>
      </c>
      <c r="E55" s="7">
        <f>IF($A55="","",IFERROR(AVERAGEIFS(履歴10日!$F$2:$F$62000,履歴10日!$C$2:$C$62000,$A55&amp;"",履歴10日!$B$2:$B$62000,C55),""))</f>
        <v>544000</v>
      </c>
      <c r="F55" s="13">
        <f t="shared" si="0"/>
        <v>1</v>
      </c>
      <c r="G55" s="7">
        <f>最新!F55</f>
        <v>2432</v>
      </c>
      <c r="H55" s="14">
        <f>最新!G55</f>
        <v>0.95559921414538307</v>
      </c>
      <c r="I55" s="14">
        <f>最新!H55</f>
        <v>0.93718689788053955</v>
      </c>
      <c r="K55" s="18">
        <f>IF($A55="","",IFERROR(D55/SUMIFS(履歴10日!$F$2:$F$62000,履歴10日!$C$2:$C$62000,$A55&amp;"",履歴10日!$B$2:$B$62000,C55,履歴10日!$A$2:$A$62000,N$1),""))</f>
      </c>
      <c r="L55">
        <f t="shared" si="1"/>
        <v>0</v>
      </c>
      <c r="M55" s="18"/>
    </row>
    <row r="56" spans="1:13">
      <c r="A56" s="7">
        <f>最新!A56</f>
        <v>3107</v>
      </c>
      <c r="B56" s="7" t="str">
        <f>最新!B56</f>
        <v>ダイワボウＨＤ</v>
      </c>
      <c r="C56" s="12">
        <f>最新!C56</f>
        <v>0.375</v>
      </c>
      <c r="D56" s="7">
        <f>最新!E56</f>
        <v>135700</v>
      </c>
      <c r="E56" s="7">
        <f>IF($A56="","",IFERROR(AVERAGEIFS(履歴10日!$F$2:$F$62000,履歴10日!$C$2:$C$62000,$A56&amp;"",履歴10日!$B$2:$B$62000,C56),""))</f>
        <v>135700</v>
      </c>
      <c r="F56" s="13">
        <f t="shared" si="0"/>
        <v>1</v>
      </c>
      <c r="G56" s="7">
        <f>最新!F56</f>
        <v>3370</v>
      </c>
      <c r="H56" s="14">
        <f>最新!G56</f>
        <v>0.98250728862973757</v>
      </c>
      <c r="I56" s="14">
        <f>最新!H56</f>
        <v>0.97965116279069764</v>
      </c>
      <c r="K56" s="18">
        <f>IF($A56="","",IFERROR(D56/SUMIFS(履歴10日!$F$2:$F$62000,履歴10日!$C$2:$C$62000,$A56&amp;"",履歴10日!$B$2:$B$62000,C56,履歴10日!$A$2:$A$62000,N$1),""))</f>
      </c>
      <c r="L56">
        <f t="shared" si="1"/>
        <v>0</v>
      </c>
      <c r="M56" s="18"/>
    </row>
    <row r="57" spans="1:13">
      <c r="A57" s="7">
        <f>最新!A57</f>
        <v>4045</v>
      </c>
      <c r="B57" s="7" t="str">
        <f>最新!B57</f>
        <v>東亞合成</v>
      </c>
      <c r="C57" s="12">
        <f>最新!C57</f>
        <v>0.375</v>
      </c>
      <c r="D57" s="7">
        <f>最新!E57</f>
        <v>150800</v>
      </c>
      <c r="E57" s="7">
        <f>IF($A57="","",IFERROR(AVERAGEIFS(履歴10日!$F$2:$F$62000,履歴10日!$C$2:$C$62000,$A57&amp;"",履歴10日!$B$2:$B$62000,C57),""))</f>
        <v>150800</v>
      </c>
      <c r="F57" s="13">
        <f t="shared" si="0"/>
        <v>1</v>
      </c>
      <c r="G57" s="7">
        <f>最新!F57</f>
        <v>1708</v>
      </c>
      <c r="H57" s="14">
        <f>最新!G57</f>
        <v>0.98557414887478356</v>
      </c>
      <c r="I57" s="14">
        <f>最新!H57</f>
        <v>0.98472182185067747</v>
      </c>
      <c r="K57" s="18">
        <f>IF($A57="","",IFERROR(D57/SUMIFS(履歴10日!$F$2:$F$62000,履歴10日!$C$2:$C$62000,$A57&amp;"",履歴10日!$B$2:$B$62000,C57,履歴10日!$A$2:$A$62000,N$1),""))</f>
      </c>
      <c r="L57">
        <f t="shared" si="1"/>
        <v>0</v>
      </c>
      <c r="M57" s="18"/>
    </row>
    <row r="58" spans="1:13">
      <c r="A58" s="7">
        <f>最新!A58</f>
        <v>5857</v>
      </c>
      <c r="B58" s="7" t="str">
        <f>最新!B58</f>
        <v>ＡＲＥホールディングス</v>
      </c>
      <c r="C58" s="12">
        <f>最新!C58</f>
        <v>0.375</v>
      </c>
      <c r="D58" s="7">
        <f>最新!E58</f>
        <v>763900</v>
      </c>
      <c r="E58" s="7">
        <f>IF($A58="","",IFERROR(AVERAGEIFS(履歴10日!$F$2:$F$62000,履歴10日!$C$2:$C$62000,$A58&amp;"",履歴10日!$B$2:$B$62000,C58),""))</f>
        <v>763900</v>
      </c>
      <c r="F58" s="13">
        <f t="shared" si="0"/>
        <v>1</v>
      </c>
      <c r="G58" s="7">
        <f>最新!F58</f>
        <v>2902</v>
      </c>
      <c r="H58" s="14">
        <f>最新!G58</f>
        <v>0.96733333333333338</v>
      </c>
      <c r="I58" s="14">
        <f>最新!H58</f>
        <v>0.94681892332789563</v>
      </c>
      <c r="K58" s="18">
        <f>IF($A58="","",IFERROR(D58/SUMIFS(履歴10日!$F$2:$F$62000,履歴10日!$C$2:$C$62000,$A58&amp;"",履歴10日!$B$2:$B$62000,C58,履歴10日!$A$2:$A$62000,N$1),""))</f>
      </c>
      <c r="L58">
        <f t="shared" si="1"/>
        <v>0</v>
      </c>
      <c r="M58" s="18"/>
    </row>
    <row r="59" spans="1:13">
      <c r="A59" s="7">
        <f>最新!A59</f>
        <v>8281</v>
      </c>
      <c r="B59" s="7" t="str">
        <f>最新!B59</f>
        <v>ゼビオホールディングス</v>
      </c>
      <c r="C59" s="12">
        <f>最新!C59</f>
        <v>0.375</v>
      </c>
      <c r="D59" s="7">
        <f>最新!E59</f>
        <v>95600</v>
      </c>
      <c r="E59" s="7">
        <f>IF($A59="","",IFERROR(AVERAGEIFS(履歴10日!$F$2:$F$62000,履歴10日!$C$2:$C$62000,$A59&amp;"",履歴10日!$B$2:$B$62000,C59),""))</f>
        <v>95600</v>
      </c>
      <c r="F59" s="13">
        <f t="shared" si="0"/>
        <v>1</v>
      </c>
      <c r="G59" s="7">
        <f>最新!F59</f>
        <v>1109</v>
      </c>
      <c r="H59" s="14">
        <f>最新!G59</f>
        <v>1.0045289855072463</v>
      </c>
      <c r="I59" s="14">
        <f>最新!H59</f>
        <v>1.0109389243391067</v>
      </c>
      <c r="K59" s="18">
        <f>IF($A59="","",IFERROR(D59/SUMIFS(履歴10日!$F$2:$F$62000,履歴10日!$C$2:$C$62000,$A59&amp;"",履歴10日!$B$2:$B$62000,C59,履歴10日!$A$2:$A$62000,N$1),""))</f>
      </c>
      <c r="L59">
        <f t="shared" si="1"/>
        <v>0</v>
      </c>
      <c r="M59" s="18"/>
    </row>
    <row r="60" spans="1:13">
      <c r="A60" s="7">
        <f>最新!A60</f>
        <v>4540</v>
      </c>
      <c r="B60" s="7" t="str">
        <f>最新!B60</f>
        <v>ツムラ</v>
      </c>
      <c r="C60" s="12">
        <f>最新!C60</f>
        <v>0.375</v>
      </c>
      <c r="D60" s="7">
        <f>最新!E60</f>
        <v>187700</v>
      </c>
      <c r="E60" s="7">
        <f>IF($A60="","",IFERROR(AVERAGEIFS(履歴10日!$F$2:$F$62000,履歴10日!$C$2:$C$62000,$A60&amp;"",履歴10日!$B$2:$B$62000,C60),""))</f>
        <v>187700</v>
      </c>
      <c r="F60" s="13">
        <f t="shared" si="0"/>
        <v>1</v>
      </c>
      <c r="G60" s="7">
        <f>最新!F60</f>
        <v>3821</v>
      </c>
      <c r="H60" s="14">
        <f>最新!G60</f>
        <v>0.98963998963998967</v>
      </c>
      <c r="I60" s="14">
        <f>最新!H60</f>
        <v>0.98963998963998967</v>
      </c>
      <c r="K60" s="18">
        <f>IF($A60="","",IFERROR(D60/SUMIFS(履歴10日!$F$2:$F$62000,履歴10日!$C$2:$C$62000,$A60&amp;"",履歴10日!$B$2:$B$62000,C60,履歴10日!$A$2:$A$62000,N$1),""))</f>
      </c>
      <c r="L60">
        <f t="shared" si="1"/>
        <v>0</v>
      </c>
      <c r="M60" s="18"/>
    </row>
    <row r="61" spans="1:13">
      <c r="A61" s="7">
        <f>最新!A61</f>
        <v>9984</v>
      </c>
      <c r="B61" s="7" t="str">
        <f>最新!B61</f>
        <v>ソフトバンクグループ</v>
      </c>
      <c r="C61" s="12">
        <f>最新!C61</f>
        <v>0.375</v>
      </c>
      <c r="D61" s="7">
        <f>最新!E61</f>
        <v>56210000</v>
      </c>
      <c r="E61" s="7">
        <f>IF($A61="","",IFERROR(AVERAGEIFS(履歴10日!$F$2:$F$62000,履歴10日!$C$2:$C$62000,$A61&amp;"",履歴10日!$B$2:$B$62000,C61),""))</f>
        <v>56210000</v>
      </c>
      <c r="F61" s="13">
        <f t="shared" si="0"/>
        <v>1</v>
      </c>
      <c r="G61" s="7">
        <f>最新!F61</f>
        <v>5308</v>
      </c>
      <c r="H61" s="14">
        <f>最新!G61</f>
        <v>0.93731237859791627</v>
      </c>
      <c r="I61" s="14">
        <f>最新!H61</f>
        <v>0.89045462170776712</v>
      </c>
      <c r="K61" s="18">
        <f>IF($A61="","",IFERROR(D61/SUMIFS(履歴10日!$F$2:$F$62000,履歴10日!$C$2:$C$62000,$A61&amp;"",履歴10日!$B$2:$B$62000,C61,履歴10日!$A$2:$A$62000,N$1),""))</f>
      </c>
      <c r="L61">
        <f t="shared" si="1"/>
        <v>0</v>
      </c>
      <c r="M61" s="18"/>
    </row>
    <row r="62" spans="1:13">
      <c r="A62" s="7">
        <f>最新!A62</f>
        <v>4063</v>
      </c>
      <c r="B62" s="7" t="str">
        <f>最新!B62</f>
        <v>信越化学</v>
      </c>
      <c r="C62" s="12">
        <f>最新!C62</f>
        <v>0.375</v>
      </c>
      <c r="D62" s="7">
        <f>最新!E62</f>
        <v>4977300</v>
      </c>
      <c r="E62" s="7">
        <f>IF($A62="","",IFERROR(AVERAGEIFS(履歴10日!$F$2:$F$62000,履歴10日!$C$2:$C$62000,$A62&amp;"",履歴10日!$B$2:$B$62000,C62),""))</f>
        <v>4977300</v>
      </c>
      <c r="F62" s="13">
        <f t="shared" si="0"/>
        <v>1</v>
      </c>
      <c r="G62" s="7">
        <f>最新!F62</f>
        <v>7063</v>
      </c>
      <c r="H62" s="14">
        <f>最新!G62</f>
        <v>0.97961165048543686</v>
      </c>
      <c r="I62" s="14">
        <f>最新!H62</f>
        <v>0.95951637005841595</v>
      </c>
      <c r="K62" s="18">
        <f>IF($A62="","",IFERROR(D62/SUMIFS(履歴10日!$F$2:$F$62000,履歴10日!$C$2:$C$62000,$A62&amp;"",履歴10日!$B$2:$B$62000,C62,履歴10日!$A$2:$A$62000,N$1),""))</f>
      </c>
      <c r="L62">
        <f t="shared" si="1"/>
        <v>0</v>
      </c>
      <c r="M62" s="18"/>
    </row>
    <row r="63" spans="1:13">
      <c r="A63" s="7">
        <f>最新!A63</f>
        <v>4536</v>
      </c>
      <c r="B63" s="7" t="str">
        <f>最新!B63</f>
        <v>参天製薬</v>
      </c>
      <c r="C63" s="12">
        <f>最新!C63</f>
        <v>0.375</v>
      </c>
      <c r="D63" s="7">
        <f>最新!E63</f>
        <v>761600</v>
      </c>
      <c r="E63" s="7">
        <f>IF($A63="","",IFERROR(AVERAGEIFS(履歴10日!$F$2:$F$62000,履歴10日!$C$2:$C$62000,$A63&amp;"",履歴10日!$B$2:$B$62000,C63),""))</f>
        <v>761600</v>
      </c>
      <c r="F63" s="13">
        <f t="shared" si="0"/>
        <v>1</v>
      </c>
      <c r="G63" s="7">
        <f>最新!F63</f>
        <v>2024.5</v>
      </c>
      <c r="H63" s="14">
        <f>最新!G63</f>
        <v>0.99094468918257461</v>
      </c>
      <c r="I63" s="14">
        <f>最新!H63</f>
        <v>0.96727185857620646</v>
      </c>
      <c r="K63" s="18">
        <f>IF($A63="","",IFERROR(D63/SUMIFS(履歴10日!$F$2:$F$62000,履歴10日!$C$2:$C$62000,$A63&amp;"",履歴10日!$B$2:$B$62000,C63,履歴10日!$A$2:$A$62000,N$1),""))</f>
      </c>
      <c r="L63">
        <f t="shared" si="1"/>
        <v>0</v>
      </c>
      <c r="M63" s="18"/>
    </row>
    <row r="64" spans="1:13">
      <c r="A64" s="7">
        <f>最新!A64</f>
        <v>6503</v>
      </c>
      <c r="B64" s="7" t="str">
        <f>最新!B64</f>
        <v>三菱電機</v>
      </c>
      <c r="C64" s="12">
        <f>最新!C64</f>
        <v>0.375</v>
      </c>
      <c r="D64" s="7">
        <f>最新!E64</f>
        <v>5124500</v>
      </c>
      <c r="E64" s="7">
        <f>IF($A64="","",IFERROR(AVERAGEIFS(履歴10日!$F$2:$F$62000,履歴10日!$C$2:$C$62000,$A64&amp;"",履歴10日!$B$2:$B$62000,C64),""))</f>
        <v>5124500</v>
      </c>
      <c r="F64" s="13">
        <f t="shared" si="0"/>
        <v>1</v>
      </c>
      <c r="G64" s="7">
        <f>最新!F64</f>
        <v>5298</v>
      </c>
      <c r="H64" s="14">
        <f>最新!G64</f>
        <v>0.95185052102048151</v>
      </c>
      <c r="I64" s="14">
        <f>最新!H64</f>
        <v>0.93505118249205788</v>
      </c>
      <c r="K64" s="18">
        <f>IF($A64="","",IFERROR(D64/SUMIFS(履歴10日!$F$2:$F$62000,履歴10日!$C$2:$C$62000,$A64&amp;"",履歴10日!$B$2:$B$62000,C64,履歴10日!$A$2:$A$62000,N$1),""))</f>
      </c>
      <c r="L64">
        <f t="shared" si="1"/>
        <v>0</v>
      </c>
      <c r="M64" s="18"/>
    </row>
    <row r="65" spans="1:13">
      <c r="A65" s="7">
        <f>最新!A65</f>
        <v>4980</v>
      </c>
      <c r="B65" s="7" t="str">
        <f>最新!B65</f>
        <v>デクセリアルズ</v>
      </c>
      <c r="C65" s="12">
        <f>最新!C65</f>
        <v>0.375</v>
      </c>
      <c r="D65" s="7">
        <f>最新!E65</f>
        <v>2044500</v>
      </c>
      <c r="E65" s="7">
        <f>IF($A65="","",IFERROR(AVERAGEIFS(履歴10日!$F$2:$F$62000,履歴10日!$C$2:$C$62000,$A65&amp;"",履歴10日!$B$2:$B$62000,C65),""))</f>
        <v>2044500</v>
      </c>
      <c r="F65" s="13">
        <f t="shared" si="0"/>
        <v>1</v>
      </c>
      <c r="G65" s="7">
        <f>最新!F65</f>
        <v>3463</v>
      </c>
      <c r="H65" s="14">
        <f>最新!G65</f>
        <v>0.93594594594594593</v>
      </c>
      <c r="I65" s="14">
        <f>最新!H65</f>
        <v>0.91686523696055067</v>
      </c>
      <c r="K65" s="18">
        <f>IF($A65="","",IFERROR(D65/SUMIFS(履歴10日!$F$2:$F$62000,履歴10日!$C$2:$C$62000,$A65&amp;"",履歴10日!$B$2:$B$62000,C65,履歴10日!$A$2:$A$62000,N$1),""))</f>
      </c>
      <c r="L65">
        <f t="shared" si="1"/>
        <v>0</v>
      </c>
      <c r="M65" s="18"/>
    </row>
    <row r="66" spans="1:13">
      <c r="A66" s="7">
        <f>最新!A66</f>
        <v>9424</v>
      </c>
      <c r="B66" s="7" t="str">
        <f>最新!B66</f>
        <v>日本通信</v>
      </c>
      <c r="C66" s="12">
        <f>最新!C66</f>
        <v>0.375</v>
      </c>
      <c r="D66" s="7">
        <f>最新!E66</f>
        <v>1109400</v>
      </c>
      <c r="E66" s="7">
        <f>IF($A66="","",IFERROR(AVERAGEIFS(履歴10日!$F$2:$F$62000,履歴10日!$C$2:$C$62000,$A66&amp;"",履歴10日!$B$2:$B$62000,C66),""))</f>
        <v>1109400</v>
      </c>
      <c r="F66" s="13">
        <f t="shared" ref="F66:F129" si="2">IF(OR(D66="",E66="",E66=0),"",D66/E66)</f>
        <v>1</v>
      </c>
      <c r="G66" s="7">
        <f>最新!F66</f>
        <v>113</v>
      </c>
      <c r="H66" s="14">
        <f>最新!G66</f>
        <v>0.96581196581196582</v>
      </c>
      <c r="I66" s="14">
        <f>最新!H66</f>
        <v>0.97413793103448276</v>
      </c>
      <c r="K66" s="18">
        <f>IF($A66="","",IFERROR(D66/SUMIFS(履歴10日!$F$2:$F$62000,履歴10日!$C$2:$C$62000,$A66&amp;"",履歴10日!$B$2:$B$62000,C66,履歴10日!$A$2:$A$62000,N$1),""))</f>
      </c>
      <c r="L66">
        <f t="shared" si="1"/>
        <v>0</v>
      </c>
      <c r="M66" s="18"/>
    </row>
    <row r="67" spans="1:13">
      <c r="A67" s="7">
        <f>最新!A67</f>
        <v>3854</v>
      </c>
      <c r="B67" s="7" t="str">
        <f>最新!B67</f>
        <v>アイル</v>
      </c>
      <c r="C67" s="12">
        <f>最新!C67</f>
        <v>0.375</v>
      </c>
      <c r="D67" s="7">
        <f>最新!E67</f>
        <v>58600</v>
      </c>
      <c r="E67" s="7">
        <f>IF($A67="","",IFERROR(AVERAGEIFS(履歴10日!$F$2:$F$62000,履歴10日!$C$2:$C$62000,$A67&amp;"",履歴10日!$B$2:$B$62000,C67),""))</f>
        <v>58600</v>
      </c>
      <c r="F67" s="13">
        <f t="shared" si="2"/>
        <v>1</v>
      </c>
      <c r="G67" s="7">
        <f>最新!F67</f>
        <v>2348</v>
      </c>
      <c r="H67" s="14">
        <f>最新!G67</f>
        <v>0.97670549084858571</v>
      </c>
      <c r="I67" s="14">
        <f>最新!H67</f>
        <v>0.98655462184873954</v>
      </c>
      <c r="K67" s="18">
        <f>IF($A67="","",IFERROR(D67/SUMIFS(履歴10日!$F$2:$F$62000,履歴10日!$C$2:$C$62000,$A67&amp;"",履歴10日!$B$2:$B$62000,C67,履歴10日!$A$2:$A$62000,N$1),""))</f>
      </c>
      <c r="L67">
        <f t="shared" ref="L67:L130" si="3">IF(OR(D67="",D67="", D67="",E67="",$E67=0),"",(D67-E67)/E67)</f>
        <v>0</v>
      </c>
      <c r="M67" s="18"/>
    </row>
    <row r="68" spans="1:13">
      <c r="A68" s="7">
        <f>最新!A68</f>
        <v>6027</v>
      </c>
      <c r="B68" s="7" t="str">
        <f>最新!B68</f>
        <v>弁護士ドットコム</v>
      </c>
      <c r="C68" s="12">
        <f>最新!C68</f>
        <v>0.375</v>
      </c>
      <c r="D68" s="7">
        <f>最新!E68</f>
        <v>87300</v>
      </c>
      <c r="E68" s="7">
        <f>IF($A68="","",IFERROR(AVERAGEIFS(履歴10日!$F$2:$F$62000,履歴10日!$C$2:$C$62000,$A68&amp;"",履歴10日!$B$2:$B$62000,C68),""))</f>
        <v>87300</v>
      </c>
      <c r="F68" s="13">
        <f t="shared" si="2"/>
        <v>1</v>
      </c>
      <c r="G68" s="7">
        <f>最新!F68</f>
        <v>2368</v>
      </c>
      <c r="H68" s="14">
        <f>最新!G68</f>
        <v>1.0033898305084745</v>
      </c>
      <c r="I68" s="14">
        <f>最新!H68</f>
        <v>0.99162479061976549</v>
      </c>
      <c r="K68" s="18">
        <f>IF($A68="","",IFERROR(D68/SUMIFS(履歴10日!$F$2:$F$62000,履歴10日!$C$2:$C$62000,$A68&amp;"",履歴10日!$B$2:$B$62000,C68,履歴10日!$A$2:$A$62000,N$1),""))</f>
      </c>
      <c r="L68">
        <f t="shared" si="3"/>
        <v>0</v>
      </c>
      <c r="M68" s="18"/>
    </row>
    <row r="69" spans="1:13">
      <c r="A69" s="7">
        <f>最新!A69</f>
        <v>7806</v>
      </c>
      <c r="B69" s="7" t="str">
        <f>最新!B69</f>
        <v>ＭＴＧ</v>
      </c>
      <c r="C69" s="12">
        <f>最新!C69</f>
        <v>0.375</v>
      </c>
      <c r="D69" s="7">
        <f>最新!E69</f>
        <v>148900</v>
      </c>
      <c r="E69" s="7">
        <f>IF($A69="","",IFERROR(AVERAGEIFS(履歴10日!$F$2:$F$62000,履歴10日!$C$2:$C$62000,$A69&amp;"",履歴10日!$B$2:$B$62000,C69),""))</f>
        <v>148900</v>
      </c>
      <c r="F69" s="13">
        <f t="shared" si="2"/>
        <v>1</v>
      </c>
      <c r="G69" s="7">
        <f>最新!F69</f>
        <v>7390</v>
      </c>
      <c r="H69" s="14">
        <f>最新!G69</f>
        <v>0.92606516290726815</v>
      </c>
      <c r="I69" s="14">
        <f>最新!H69</f>
        <v>0.90897908979089792</v>
      </c>
      <c r="K69" s="18">
        <f>IF($A69="","",IFERROR(D69/SUMIFS(履歴10日!$F$2:$F$62000,履歴10日!$C$2:$C$62000,$A69&amp;"",履歴10日!$B$2:$B$62000,C69,履歴10日!$A$2:$A$62000,N$1),""))</f>
      </c>
      <c r="L69">
        <f t="shared" si="3"/>
        <v>0</v>
      </c>
      <c r="M69" s="18"/>
    </row>
    <row r="70" spans="1:13">
      <c r="A70" s="7">
        <f>最新!A70</f>
        <v>9202</v>
      </c>
      <c r="B70" s="7" t="str">
        <f>最新!B70</f>
        <v>ＡＮＡホールディングス</v>
      </c>
      <c r="C70" s="12">
        <f>最新!C70</f>
        <v>0.375</v>
      </c>
      <c r="D70" s="7">
        <f>最新!E70</f>
        <v>1477000</v>
      </c>
      <c r="E70" s="7">
        <f>IF($A70="","",IFERROR(AVERAGEIFS(履歴10日!$F$2:$F$62000,履歴10日!$C$2:$C$62000,$A70&amp;"",履歴10日!$B$2:$B$62000,C70),""))</f>
        <v>1477000</v>
      </c>
      <c r="F70" s="13">
        <f t="shared" si="2"/>
        <v>1</v>
      </c>
      <c r="G70" s="7">
        <f>最新!F70</f>
        <v>3007</v>
      </c>
      <c r="H70" s="14">
        <f>最新!G70</f>
        <v>1.0033366700033366</v>
      </c>
      <c r="I70" s="14">
        <f>最新!H70</f>
        <v>1.0028347507086877</v>
      </c>
      <c r="K70" s="18">
        <f>IF($A70="","",IFERROR(D70/SUMIFS(履歴10日!$F$2:$F$62000,履歴10日!$C$2:$C$62000,$A70&amp;"",履歴10日!$B$2:$B$62000,C70,履歴10日!$A$2:$A$62000,N$1),""))</f>
      </c>
      <c r="L70">
        <f t="shared" si="3"/>
        <v>0</v>
      </c>
      <c r="M70" s="18"/>
    </row>
    <row r="71" spans="1:13">
      <c r="A71" s="7">
        <f>最新!A71</f>
        <v>7846</v>
      </c>
      <c r="B71" s="7" t="str">
        <f>最新!B71</f>
        <v>パイロットコーポレーション</v>
      </c>
      <c r="C71" s="12">
        <f>最新!C71</f>
        <v>0.375</v>
      </c>
      <c r="D71" s="7">
        <f>最新!E71</f>
        <v>108200</v>
      </c>
      <c r="E71" s="7">
        <f>IF($A71="","",IFERROR(AVERAGEIFS(履歴10日!$F$2:$F$62000,履歴10日!$C$2:$C$62000,$A71&amp;"",履歴10日!$B$2:$B$62000,C71),""))</f>
        <v>108200</v>
      </c>
      <c r="F71" s="13">
        <f t="shared" si="2"/>
        <v>1</v>
      </c>
      <c r="G71" s="7">
        <f>最新!F71</f>
        <v>1790.5</v>
      </c>
      <c r="H71" s="14">
        <f>最新!G71</f>
        <v>0.9878620689655172</v>
      </c>
      <c r="I71" s="14">
        <f>最新!H71</f>
        <v>0.99059474412171511</v>
      </c>
      <c r="K71" s="18">
        <f>IF($A71="","",IFERROR(D71/SUMIFS(履歴10日!$F$2:$F$62000,履歴10日!$C$2:$C$62000,$A71&amp;"",履歴10日!$B$2:$B$62000,C71,履歴10日!$A$2:$A$62000,N$1),""))</f>
      </c>
      <c r="L71">
        <f t="shared" si="3"/>
        <v>0</v>
      </c>
      <c r="M71" s="18"/>
    </row>
    <row r="72" spans="1:13">
      <c r="A72" s="7">
        <f>最新!A72</f>
        <v>2802</v>
      </c>
      <c r="B72" s="7" t="str">
        <f>最新!B72</f>
        <v>味の素</v>
      </c>
      <c r="C72" s="12">
        <f>最新!C72</f>
        <v>0.375</v>
      </c>
      <c r="D72" s="7">
        <f>最新!E72</f>
        <v>3563100</v>
      </c>
      <c r="E72" s="7">
        <f>IF($A72="","",IFERROR(AVERAGEIFS(履歴10日!$F$2:$F$62000,履歴10日!$C$2:$C$62000,$A72&amp;"",履歴10日!$B$2:$B$62000,C72),""))</f>
        <v>3563100</v>
      </c>
      <c r="F72" s="13">
        <f t="shared" si="2"/>
        <v>1</v>
      </c>
      <c r="G72" s="7">
        <f>最新!F72</f>
        <v>5123</v>
      </c>
      <c r="H72" s="14">
        <f>最新!G72</f>
        <v>0.98235858101629914</v>
      </c>
      <c r="I72" s="14">
        <f>最新!H72</f>
        <v>0.9556052975191196</v>
      </c>
      <c r="K72" s="18">
        <f>IF($A72="","",IFERROR(D72/SUMIFS(履歴10日!$F$2:$F$62000,履歴10日!$C$2:$C$62000,$A72&amp;"",履歴10日!$B$2:$B$62000,C72,履歴10日!$A$2:$A$62000,N$1),""))</f>
      </c>
      <c r="L72">
        <f t="shared" si="3"/>
        <v>0</v>
      </c>
      <c r="M72" s="18"/>
    </row>
    <row r="73" spans="1:13">
      <c r="A73" s="7">
        <f>最新!A73</f>
        <v>7203</v>
      </c>
      <c r="B73" s="7" t="str">
        <f>最新!B73</f>
        <v>トヨタ自動車</v>
      </c>
      <c r="C73" s="12">
        <f>最新!C73</f>
        <v>0.375</v>
      </c>
      <c r="D73" s="7">
        <f>最新!E73</f>
        <v>25860000</v>
      </c>
      <c r="E73" s="7">
        <f>IF($A73="","",IFERROR(AVERAGEIFS(履歴10日!$F$2:$F$62000,履歴10日!$C$2:$C$62000,$A73&amp;"",履歴10日!$B$2:$B$62000,C73),""))</f>
        <v>25860000</v>
      </c>
      <c r="F73" s="13">
        <f t="shared" si="2"/>
        <v>1</v>
      </c>
      <c r="G73" s="7">
        <f>最新!F73</f>
        <v>2875</v>
      </c>
      <c r="H73" s="14">
        <f>最新!G73</f>
        <v>1.003315302739487</v>
      </c>
      <c r="I73" s="14">
        <f>最新!H73</f>
        <v>0.98831213475421109</v>
      </c>
      <c r="K73" s="18">
        <f>IF($A73="","",IFERROR(D73/SUMIFS(履歴10日!$F$2:$F$62000,履歴10日!$C$2:$C$62000,$A73&amp;"",履歴10日!$B$2:$B$62000,C73,履歴10日!$A$2:$A$62000,N$1),""))</f>
      </c>
      <c r="L73">
        <f t="shared" si="3"/>
        <v>0</v>
      </c>
      <c r="M73" s="18"/>
    </row>
    <row r="74" spans="1:13">
      <c r="A74" s="7">
        <f>最新!A74</f>
        <v>6954</v>
      </c>
      <c r="B74" s="7" t="str">
        <f>最新!B74</f>
        <v>ファナック</v>
      </c>
      <c r="C74" s="12">
        <f>最新!C74</f>
        <v>0.375</v>
      </c>
      <c r="D74" s="7">
        <f>最新!E74</f>
        <v>5731400</v>
      </c>
      <c r="E74" s="7">
        <f>IF($A74="","",IFERROR(AVERAGEIFS(履歴10日!$F$2:$F$62000,履歴10日!$C$2:$C$62000,$A74&amp;"",履歴10日!$B$2:$B$62000,C74),""))</f>
        <v>5731400</v>
      </c>
      <c r="F74" s="13">
        <f t="shared" si="2"/>
        <v>1</v>
      </c>
      <c r="G74" s="7">
        <f>最新!F74</f>
        <v>6529</v>
      </c>
      <c r="H74" s="14">
        <f>最新!G74</f>
        <v>0.97593423019431991</v>
      </c>
      <c r="I74" s="14">
        <f>最新!H74</f>
        <v>0.93005698005698001</v>
      </c>
      <c r="K74" s="18">
        <f>IF($A74="","",IFERROR(D74/SUMIFS(履歴10日!$F$2:$F$62000,履歴10日!$C$2:$C$62000,$A74&amp;"",履歴10日!$B$2:$B$62000,C74,履歴10日!$A$2:$A$62000,N$1),""))</f>
      </c>
      <c r="L74">
        <f t="shared" si="3"/>
        <v>0</v>
      </c>
      <c r="M74" s="18"/>
    </row>
    <row r="75" spans="1:13">
      <c r="A75" s="7">
        <f>最新!A75</f>
        <v>6479</v>
      </c>
      <c r="B75" s="7" t="str">
        <f>最新!B75</f>
        <v>ミネベアミツミ</v>
      </c>
      <c r="C75" s="12">
        <f>最新!C75</f>
        <v>0.375</v>
      </c>
      <c r="D75" s="7">
        <f>最新!E75</f>
        <v>3333000</v>
      </c>
      <c r="E75" s="7">
        <f>IF($A75="","",IFERROR(AVERAGEIFS(履歴10日!$F$2:$F$62000,履歴10日!$C$2:$C$62000,$A75&amp;"",履歴10日!$B$2:$B$62000,C75),""))</f>
        <v>3333000</v>
      </c>
      <c r="F75" s="13">
        <f t="shared" si="2"/>
        <v>1</v>
      </c>
      <c r="G75" s="7">
        <f>最新!F75</f>
        <v>3748</v>
      </c>
      <c r="H75" s="14">
        <f>最新!G75</f>
        <v>0.944080604534005</v>
      </c>
      <c r="I75" s="14">
        <f>最新!H75</f>
        <v>0.91930340936963451</v>
      </c>
      <c r="K75" s="18">
        <f>IF($A75="","",IFERROR(D75/SUMIFS(履歴10日!$F$2:$F$62000,履歴10日!$C$2:$C$62000,$A75&amp;"",履歴10日!$B$2:$B$62000,C75,履歴10日!$A$2:$A$62000,N$1),""))</f>
      </c>
      <c r="L75">
        <f t="shared" si="3"/>
        <v>0</v>
      </c>
      <c r="M75" s="18"/>
    </row>
    <row r="76" spans="1:13">
      <c r="A76" s="7">
        <f>最新!A76</f>
        <v>1833</v>
      </c>
      <c r="B76" s="7" t="str">
        <f>最新!B76</f>
        <v>奥村組</v>
      </c>
      <c r="C76" s="12">
        <f>最新!C76</f>
        <v>0.375</v>
      </c>
      <c r="D76" s="7">
        <f>最新!E76</f>
        <v>106200</v>
      </c>
      <c r="E76" s="7">
        <f>IF($A76="","",IFERROR(AVERAGEIFS(履歴10日!$F$2:$F$62000,履歴10日!$C$2:$C$62000,$A76&amp;"",履歴10日!$B$2:$B$62000,C76),""))</f>
        <v>106200</v>
      </c>
      <c r="F76" s="13">
        <f t="shared" si="2"/>
        <v>1</v>
      </c>
      <c r="G76" s="7">
        <f>最新!F76</f>
        <v>5570</v>
      </c>
      <c r="H76" s="14">
        <f>最新!G76</f>
        <v>0.98934280639431615</v>
      </c>
      <c r="I76" s="14">
        <f>最新!H76</f>
        <v>0.98063380281690138</v>
      </c>
      <c r="K76" s="18">
        <f>IF($A76="","",IFERROR(D76/SUMIFS(履歴10日!$F$2:$F$62000,履歴10日!$C$2:$C$62000,$A76&amp;"",履歴10日!$B$2:$B$62000,C76,履歴10日!$A$2:$A$62000,N$1),""))</f>
      </c>
      <c r="L76">
        <f t="shared" si="3"/>
        <v>0</v>
      </c>
      <c r="M76" s="18"/>
    </row>
    <row r="77" spans="1:13">
      <c r="A77" s="7">
        <f>最新!A77</f>
        <v>6841</v>
      </c>
      <c r="B77" s="7" t="str">
        <f>最新!B77</f>
        <v>横河電機</v>
      </c>
      <c r="C77" s="12">
        <f>最新!C77</f>
        <v>0.375</v>
      </c>
      <c r="D77" s="7">
        <f>最新!E77</f>
        <v>780800</v>
      </c>
      <c r="E77" s="7">
        <f>IF($A77="","",IFERROR(AVERAGEIFS(履歴10日!$F$2:$F$62000,履歴10日!$C$2:$C$62000,$A77&amp;"",履歴10日!$B$2:$B$62000,C77),""))</f>
        <v>780800</v>
      </c>
      <c r="F77" s="13">
        <f t="shared" si="2"/>
        <v>1</v>
      </c>
      <c r="G77" s="7">
        <f>最新!F77</f>
        <v>5387</v>
      </c>
      <c r="H77" s="14">
        <f>最新!G77</f>
        <v>1.0105045957606453</v>
      </c>
      <c r="I77" s="14">
        <f>最新!H77</f>
        <v>0.98034576888080072</v>
      </c>
      <c r="K77" s="18">
        <f>IF($A77="","",IFERROR(D77/SUMIFS(履歴10日!$F$2:$F$62000,履歴10日!$C$2:$C$62000,$A77&amp;"",履歴10日!$B$2:$B$62000,C77,履歴10日!$A$2:$A$62000,N$1),""))</f>
      </c>
      <c r="L77">
        <f t="shared" si="3"/>
        <v>0</v>
      </c>
      <c r="M77" s="18"/>
    </row>
    <row r="78" spans="1:13">
      <c r="A78" s="7">
        <f>最新!A78</f>
        <v>7167</v>
      </c>
      <c r="B78" s="7" t="str">
        <f>最新!B78</f>
        <v>めぶきフィナンシャルＧ</v>
      </c>
      <c r="C78" s="12">
        <f>最新!C78</f>
        <v>0.375</v>
      </c>
      <c r="D78" s="7">
        <f>最新!E78</f>
        <v>2481600</v>
      </c>
      <c r="E78" s="7">
        <f>IF($A78="","",IFERROR(AVERAGEIFS(履歴10日!$F$2:$F$62000,履歴10日!$C$2:$C$62000,$A78&amp;"",履歴10日!$B$2:$B$62000,C78),""))</f>
        <v>2481600</v>
      </c>
      <c r="F78" s="13">
        <f t="shared" si="2"/>
        <v>1</v>
      </c>
      <c r="G78" s="7">
        <f>最新!F78</f>
        <v>1416</v>
      </c>
      <c r="H78" s="14">
        <f>最新!G78</f>
        <v>0.94399999999999995</v>
      </c>
      <c r="I78" s="14">
        <f>最新!H78</f>
        <v>0.93899204244031831</v>
      </c>
      <c r="K78" s="18">
        <f>IF($A78="","",IFERROR(D78/SUMIFS(履歴10日!$F$2:$F$62000,履歴10日!$C$2:$C$62000,$A78&amp;"",履歴10日!$B$2:$B$62000,C78,履歴10日!$A$2:$A$62000,N$1),""))</f>
      </c>
      <c r="L78">
        <f t="shared" si="3"/>
        <v>0</v>
      </c>
      <c r="M78" s="18"/>
    </row>
    <row r="79" spans="1:13">
      <c r="A79" s="7">
        <f>最新!A79</f>
        <v>1925</v>
      </c>
      <c r="B79" s="7" t="str">
        <f>最新!B79</f>
        <v>大和ハウス</v>
      </c>
      <c r="C79" s="12">
        <f>最新!C79</f>
        <v>0.375</v>
      </c>
      <c r="D79" s="7">
        <f>最新!E79</f>
        <v>1189500</v>
      </c>
      <c r="E79" s="7">
        <f>IF($A79="","",IFERROR(AVERAGEIFS(履歴10日!$F$2:$F$62000,履歴10日!$C$2:$C$62000,$A79&amp;"",履歴10日!$B$2:$B$62000,C79),""))</f>
        <v>1189500</v>
      </c>
      <c r="F79" s="13">
        <f t="shared" si="2"/>
        <v>1</v>
      </c>
      <c r="G79" s="7">
        <f>最新!F79</f>
        <v>4598</v>
      </c>
      <c r="H79" s="14">
        <f>最新!G79</f>
        <v>0.99158938969161092</v>
      </c>
      <c r="I79" s="14">
        <f>最新!H79</f>
        <v>0.9997825614263971</v>
      </c>
      <c r="K79" s="18">
        <f>IF($A79="","",IFERROR(D79/SUMIFS(履歴10日!$F$2:$F$62000,履歴10日!$C$2:$C$62000,$A79&amp;"",履歴10日!$B$2:$B$62000,C79,履歴10日!$A$2:$A$62000,N$1),""))</f>
      </c>
      <c r="L79">
        <f t="shared" si="3"/>
        <v>0</v>
      </c>
      <c r="M79" s="18"/>
    </row>
    <row r="80" spans="1:13">
      <c r="A80" s="7">
        <f>最新!A80</f>
        <v>5411</v>
      </c>
      <c r="B80" s="7" t="str">
        <f>最新!B80</f>
        <v>ＪＦＥホールディングス</v>
      </c>
      <c r="C80" s="12">
        <f>最新!C80</f>
        <v>0.375</v>
      </c>
      <c r="D80" s="7">
        <f>最新!E80</f>
        <v>3526200</v>
      </c>
      <c r="E80" s="7">
        <f>IF($A80="","",IFERROR(AVERAGEIFS(履歴10日!$F$2:$F$62000,履歴10日!$C$2:$C$62000,$A80&amp;"",履歴10日!$B$2:$B$62000,C80),""))</f>
        <v>3526200</v>
      </c>
      <c r="F80" s="13">
        <f t="shared" si="2"/>
        <v>1</v>
      </c>
      <c r="G80" s="7">
        <f>最新!F80</f>
        <v>1690</v>
      </c>
      <c r="H80" s="14">
        <f>最新!G80</f>
        <v>1.0005920663114269</v>
      </c>
      <c r="I80" s="14">
        <f>最新!H80</f>
        <v>0.99616858237547889</v>
      </c>
      <c r="K80" s="18">
        <f>IF($A80="","",IFERROR(D80/SUMIFS(履歴10日!$F$2:$F$62000,履歴10日!$C$2:$C$62000,$A80&amp;"",履歴10日!$B$2:$B$62000,C80,履歴10日!$A$2:$A$62000,N$1),""))</f>
      </c>
      <c r="L80">
        <f t="shared" si="3"/>
        <v>0</v>
      </c>
      <c r="M80" s="18"/>
    </row>
    <row r="81" spans="1:13">
      <c r="A81" s="7">
        <f>最新!A81</f>
        <v>7182</v>
      </c>
      <c r="B81" s="7" t="str">
        <f>最新!B81</f>
        <v>ゆうちょ銀行</v>
      </c>
      <c r="C81" s="12">
        <f>最新!C81</f>
        <v>0.375</v>
      </c>
      <c r="D81" s="7">
        <f>最新!E81</f>
        <v>4332900</v>
      </c>
      <c r="E81" s="7">
        <f>IF($A81="","",IFERROR(AVERAGEIFS(履歴10日!$F$2:$F$62000,履歴10日!$C$2:$C$62000,$A81&amp;"",履歴10日!$B$2:$B$62000,C81),""))</f>
        <v>4332900</v>
      </c>
      <c r="F81" s="13">
        <f t="shared" si="2"/>
        <v>1</v>
      </c>
      <c r="G81" s="7">
        <f>最新!F81</f>
        <v>3109</v>
      </c>
      <c r="H81" s="14">
        <f>最新!G81</f>
        <v>0.96253869969040251</v>
      </c>
      <c r="I81" s="14">
        <f>最新!H81</f>
        <v>0.9542664211172498</v>
      </c>
      <c r="K81" s="18">
        <f>IF($A81="","",IFERROR(D81/SUMIFS(履歴10日!$F$2:$F$62000,履歴10日!$C$2:$C$62000,$A81&amp;"",履歴10日!$B$2:$B$62000,C81,履歴10日!$A$2:$A$62000,N$1),""))</f>
      </c>
      <c r="L81">
        <f t="shared" si="3"/>
        <v>0</v>
      </c>
      <c r="M81" s="18"/>
    </row>
    <row r="82" spans="1:13">
      <c r="A82" s="7">
        <f>最新!A82</f>
        <v>1963</v>
      </c>
      <c r="B82" s="7" t="str">
        <f>最新!B82</f>
        <v>日揮ホールディングス</v>
      </c>
      <c r="C82" s="12">
        <f>最新!C82</f>
        <v>0.375</v>
      </c>
      <c r="D82" s="7">
        <f>最新!E82</f>
        <v>1541900</v>
      </c>
      <c r="E82" s="7">
        <f>IF($A82="","",IFERROR(AVERAGEIFS(履歴10日!$F$2:$F$62000,履歴10日!$C$2:$C$62000,$A82&amp;"",履歴10日!$B$2:$B$62000,C82),""))</f>
        <v>1541900</v>
      </c>
      <c r="F82" s="13">
        <f t="shared" si="2"/>
        <v>1</v>
      </c>
      <c r="G82" s="7">
        <f>最新!F82</f>
        <v>2176.5</v>
      </c>
      <c r="H82" s="14">
        <f>最新!G82</f>
        <v>0.98040540540540544</v>
      </c>
      <c r="I82" s="14">
        <f>最新!H82</f>
        <v>0.95881057268722469</v>
      </c>
      <c r="K82" s="18">
        <f>IF($A82="","",IFERROR(D82/SUMIFS(履歴10日!$F$2:$F$62000,履歴10日!$C$2:$C$62000,$A82&amp;"",履歴10日!$B$2:$B$62000,C82,履歴10日!$A$2:$A$62000,N$1),""))</f>
      </c>
      <c r="L82">
        <f t="shared" si="3"/>
        <v>0</v>
      </c>
      <c r="M82" s="18"/>
    </row>
    <row r="83" spans="1:13">
      <c r="A83" s="7">
        <f>最新!A83</f>
        <v>2914</v>
      </c>
      <c r="B83" s="7" t="str">
        <f>最新!B83</f>
        <v>日本たばこ産業</v>
      </c>
      <c r="C83" s="12">
        <f>最新!C83</f>
        <v>0.375</v>
      </c>
      <c r="D83" s="7">
        <f>最新!E83</f>
        <v>5310800</v>
      </c>
      <c r="E83" s="7">
        <f>IF($A83="","",IFERROR(AVERAGEIFS(履歴10日!$F$2:$F$62000,履歴10日!$C$2:$C$62000,$A83&amp;"",履歴10日!$B$2:$B$62000,C83),""))</f>
        <v>5310800</v>
      </c>
      <c r="F83" s="13">
        <f t="shared" si="2"/>
        <v>1</v>
      </c>
      <c r="G83" s="7">
        <f>最新!F83</f>
        <v>6299</v>
      </c>
      <c r="H83" s="14">
        <f>最新!G83</f>
        <v>1.0080012802048328</v>
      </c>
      <c r="I83" s="14">
        <f>最新!H83</f>
        <v>1.0167877320419694</v>
      </c>
      <c r="K83" s="18">
        <f>IF($A83="","",IFERROR(D83/SUMIFS(履歴10日!$F$2:$F$62000,履歴10日!$C$2:$C$62000,$A83&amp;"",履歴10日!$B$2:$B$62000,C83,履歴10日!$A$2:$A$62000,N$1),""))</f>
      </c>
      <c r="L83">
        <f t="shared" si="3"/>
        <v>0</v>
      </c>
      <c r="M83" s="18"/>
    </row>
    <row r="84" spans="1:13">
      <c r="A84" s="7">
        <f>最新!A84</f>
        <v>3003</v>
      </c>
      <c r="B84" s="7" t="str">
        <f>最新!B84</f>
        <v>ヒューリック</v>
      </c>
      <c r="C84" s="12">
        <f>最新!C84</f>
        <v>0.375</v>
      </c>
      <c r="D84" s="7">
        <f>最新!E84</f>
        <v>1624300</v>
      </c>
      <c r="E84" s="7">
        <f>IF($A84="","",IFERROR(AVERAGEIFS(履歴10日!$F$2:$F$62000,履歴10日!$C$2:$C$62000,$A84&amp;"",履歴10日!$B$2:$B$62000,C84),""))</f>
        <v>1624300</v>
      </c>
      <c r="F84" s="13">
        <f t="shared" si="2"/>
        <v>1</v>
      </c>
      <c r="G84" s="7">
        <f>最新!F84</f>
        <v>1783.5</v>
      </c>
      <c r="H84" s="14">
        <f>最新!G84</f>
        <v>0.98644911504424782</v>
      </c>
      <c r="I84" s="14">
        <f>最新!H84</f>
        <v>0.99636871508379887</v>
      </c>
      <c r="K84" s="18">
        <f>IF($A84="","",IFERROR(D84/SUMIFS(履歴10日!$F$2:$F$62000,履歴10日!$C$2:$C$62000,$A84&amp;"",履歴10日!$B$2:$B$62000,C84,履歴10日!$A$2:$A$62000,N$1),""))</f>
      </c>
      <c r="L84">
        <f t="shared" si="3"/>
        <v>0</v>
      </c>
      <c r="M84" s="18"/>
    </row>
    <row r="85" spans="1:13">
      <c r="A85" s="7">
        <f>最新!A85</f>
        <v>5892</v>
      </c>
      <c r="B85" s="7" t="str">
        <f>最新!B85</f>
        <v>ＹＵＴＯＲＩ</v>
      </c>
      <c r="C85" s="12">
        <f>最新!C85</f>
        <v>0.375</v>
      </c>
      <c r="D85" s="7">
        <f>最新!E85</f>
        <v>99100</v>
      </c>
      <c r="E85" s="7">
        <f>IF($A85="","",IFERROR(AVERAGEIFS(履歴10日!$F$2:$F$62000,履歴10日!$C$2:$C$62000,$A85&amp;"",履歴10日!$B$2:$B$62000,C85),""))</f>
        <v>99100</v>
      </c>
      <c r="F85" s="13">
        <f t="shared" si="2"/>
        <v>1</v>
      </c>
      <c r="G85" s="7">
        <f>最新!F85</f>
        <v>2002</v>
      </c>
      <c r="H85" s="14">
        <f>最新!G85</f>
        <v>0.9718446601941747</v>
      </c>
      <c r="I85" s="14">
        <f>最新!H85</f>
        <v>0.9718446601941747</v>
      </c>
      <c r="K85" s="18">
        <f>IF($A85="","",IFERROR(D85/SUMIFS(履歴10日!$F$2:$F$62000,履歴10日!$C$2:$C$62000,$A85&amp;"",履歴10日!$B$2:$B$62000,C85,履歴10日!$A$2:$A$62000,N$1),""))</f>
      </c>
      <c r="L85">
        <f t="shared" si="3"/>
        <v>0</v>
      </c>
      <c r="M85" s="18"/>
    </row>
    <row r="86" spans="1:13">
      <c r="A86" s="7">
        <f>最新!A86</f>
        <v>6323</v>
      </c>
      <c r="B86" s="7" t="str">
        <f>最新!B86</f>
        <v>ローツェ</v>
      </c>
      <c r="C86" s="12">
        <f>最新!C86</f>
        <v>0.375</v>
      </c>
      <c r="D86" s="7">
        <f>最新!E86</f>
        <v>3327300</v>
      </c>
      <c r="E86" s="7">
        <f>IF($A86="","",IFERROR(AVERAGEIFS(履歴10日!$F$2:$F$62000,履歴10日!$C$2:$C$62000,$A86&amp;"",履歴10日!$B$2:$B$62000,C86),""))</f>
        <v>3327300</v>
      </c>
      <c r="F86" s="13">
        <f t="shared" si="2"/>
        <v>1</v>
      </c>
      <c r="G86" s="7">
        <f>最新!F86</f>
        <v>4374</v>
      </c>
      <c r="H86" s="14">
        <f>最新!G86</f>
        <v>1.0078341013824885</v>
      </c>
      <c r="I86" s="14">
        <f>最新!H86</f>
        <v>0.93541488451668098</v>
      </c>
      <c r="K86" s="18">
        <f>IF($A86="","",IFERROR(D86/SUMIFS(履歴10日!$F$2:$F$62000,履歴10日!$C$2:$C$62000,$A86&amp;"",履歴10日!$B$2:$B$62000,C86,履歴10日!$A$2:$A$62000,N$1),""))</f>
      </c>
      <c r="L86">
        <f t="shared" si="3"/>
        <v>0</v>
      </c>
      <c r="M86" s="18"/>
    </row>
    <row r="87" spans="1:13">
      <c r="A87" s="7">
        <f>最新!A87</f>
        <v>6501</v>
      </c>
      <c r="B87" s="7" t="str">
        <f>最新!B87</f>
        <v>日立</v>
      </c>
      <c r="C87" s="12">
        <f>最新!C87</f>
        <v>0.375</v>
      </c>
      <c r="D87" s="7">
        <f>最新!E87</f>
        <v>7808000</v>
      </c>
      <c r="E87" s="7">
        <f>IF($A87="","",IFERROR(AVERAGEIFS(履歴10日!$F$2:$F$62000,履歴10日!$C$2:$C$62000,$A87&amp;"",履歴10日!$B$2:$B$62000,C87),""))</f>
        <v>7808000</v>
      </c>
      <c r="F87" s="13">
        <f t="shared" si="2"/>
        <v>1</v>
      </c>
      <c r="G87" s="7">
        <f>最新!F87</f>
        <v>4676</v>
      </c>
      <c r="H87" s="14">
        <f>最新!G87</f>
        <v>0.99744027303754268</v>
      </c>
      <c r="I87" s="14">
        <f>最新!H87</f>
        <v>0.96851698425849209</v>
      </c>
      <c r="K87" s="18">
        <f>IF($A87="","",IFERROR(D87/SUMIFS(履歴10日!$F$2:$F$62000,履歴10日!$C$2:$C$62000,$A87&amp;"",履歴10日!$B$2:$B$62000,C87,履歴10日!$A$2:$A$62000,N$1),""))</f>
      </c>
      <c r="L87">
        <f t="shared" si="3"/>
        <v>0</v>
      </c>
      <c r="M87" s="18"/>
    </row>
    <row r="88" spans="1:13">
      <c r="A88" s="7">
        <f>最新!A88</f>
        <v>6134</v>
      </c>
      <c r="B88" s="7" t="str">
        <f>最新!B88</f>
        <v>ＦＵＪＩ</v>
      </c>
      <c r="C88" s="12">
        <f>最新!C88</f>
        <v>0.375</v>
      </c>
      <c r="D88" s="7">
        <f>最新!E88</f>
        <v>930500</v>
      </c>
      <c r="E88" s="7">
        <f>IF($A88="","",IFERROR(AVERAGEIFS(履歴10日!$F$2:$F$62000,履歴10日!$C$2:$C$62000,$A88&amp;"",履歴10日!$B$2:$B$62000,C88),""))</f>
        <v>930500</v>
      </c>
      <c r="F88" s="13">
        <f t="shared" si="2"/>
        <v>1</v>
      </c>
      <c r="G88" s="7">
        <f>最新!F88</f>
        <v>7092</v>
      </c>
      <c r="H88" s="14">
        <f>最新!G88</f>
        <v>0.95837837837837836</v>
      </c>
      <c r="I88" s="14">
        <f>最新!H88</f>
        <v>0.92839376881790814</v>
      </c>
      <c r="K88" s="18">
        <f>IF($A88="","",IFERROR(D88/SUMIFS(履歴10日!$F$2:$F$62000,履歴10日!$C$2:$C$62000,$A88&amp;"",履歴10日!$B$2:$B$62000,C88,履歴10日!$A$2:$A$62000,N$1),""))</f>
      </c>
      <c r="L88">
        <f t="shared" si="3"/>
        <v>0</v>
      </c>
      <c r="M88" s="18"/>
    </row>
    <row r="89" spans="1:13">
      <c r="A89" s="7">
        <f>最新!A89</f>
        <v>7746</v>
      </c>
      <c r="B89" s="7" t="str">
        <f>最新!B89</f>
        <v>岡本硝子</v>
      </c>
      <c r="C89" s="12">
        <f>最新!C89</f>
        <v>0.375</v>
      </c>
      <c r="D89" s="7">
        <f>最新!E89</f>
        <v>921000</v>
      </c>
      <c r="E89" s="7">
        <f>IF($A89="","",IFERROR(AVERAGEIFS(履歴10日!$F$2:$F$62000,履歴10日!$C$2:$C$62000,$A89&amp;"",履歴10日!$B$2:$B$62000,C89),""))</f>
        <v>921000</v>
      </c>
      <c r="F89" s="13">
        <f t="shared" si="2"/>
        <v>1</v>
      </c>
      <c r="G89" s="7">
        <f>最新!F89</f>
        <v>732</v>
      </c>
      <c r="H89" s="14">
        <f>最新!G89</f>
        <v>0.94818652849740936</v>
      </c>
      <c r="I89" s="14">
        <f>最新!H89</f>
        <v>0.93725992317541618</v>
      </c>
      <c r="K89" s="18">
        <f>IF($A89="","",IFERROR(D89/SUMIFS(履歴10日!$F$2:$F$62000,履歴10日!$C$2:$C$62000,$A89&amp;"",履歴10日!$B$2:$B$62000,C89,履歴10日!$A$2:$A$62000,N$1),""))</f>
      </c>
      <c r="L89">
        <f t="shared" si="3"/>
        <v>0</v>
      </c>
      <c r="M89" s="18"/>
    </row>
    <row r="90" spans="1:13">
      <c r="A90" s="7">
        <f>最新!A90</f>
        <v>3407</v>
      </c>
      <c r="B90" s="7" t="str">
        <f>最新!B90</f>
        <v>旭化成</v>
      </c>
      <c r="C90" s="12">
        <f>最新!C90</f>
        <v>0.375</v>
      </c>
      <c r="D90" s="7">
        <f>最新!E90</f>
        <v>2723900</v>
      </c>
      <c r="E90" s="7">
        <f>IF($A90="","",IFERROR(AVERAGEIFS(履歴10日!$F$2:$F$62000,履歴10日!$C$2:$C$62000,$A90&amp;"",履歴10日!$B$2:$B$62000,C90),""))</f>
        <v>2723900</v>
      </c>
      <c r="F90" s="13">
        <f t="shared" si="2"/>
        <v>1</v>
      </c>
      <c r="G90" s="7">
        <f>最新!F90</f>
        <v>1819</v>
      </c>
      <c r="H90" s="14">
        <f>最新!G90</f>
        <v>0.98032875235785499</v>
      </c>
      <c r="I90" s="14">
        <f>最新!H90</f>
        <v>0.96961620469083154</v>
      </c>
      <c r="K90" s="18">
        <f>IF($A90="","",IFERROR(D90/SUMIFS(履歴10日!$F$2:$F$62000,履歴10日!$C$2:$C$62000,$A90&amp;"",履歴10日!$B$2:$B$62000,C90,履歴10日!$A$2:$A$62000,N$1),""))</f>
      </c>
      <c r="L90">
        <f t="shared" si="3"/>
        <v>0</v>
      </c>
      <c r="M90" s="18"/>
    </row>
    <row r="91" spans="1:13">
      <c r="A91" s="7">
        <f>最新!A91</f>
        <v>4008</v>
      </c>
      <c r="B91" s="7" t="str">
        <f>最新!B91</f>
        <v>住友精化</v>
      </c>
      <c r="C91" s="12">
        <f>最新!C91</f>
        <v>0.375</v>
      </c>
      <c r="D91" s="7">
        <f>最新!E91</f>
        <v>177600</v>
      </c>
      <c r="E91" s="7">
        <f>IF($A91="","",IFERROR(AVERAGEIFS(履歴10日!$F$2:$F$62000,履歴10日!$C$2:$C$62000,$A91&amp;"",履歴10日!$B$2:$B$62000,C91),""))</f>
        <v>177600</v>
      </c>
      <c r="F91" s="13">
        <f t="shared" si="2"/>
        <v>1</v>
      </c>
      <c r="G91" s="7">
        <f>最新!F91</f>
        <v>1245</v>
      </c>
      <c r="H91" s="14">
        <f>最新!G91</f>
        <v>0.98418972332015808</v>
      </c>
      <c r="I91" s="14">
        <f>最新!H91</f>
        <v>0.96661490683229812</v>
      </c>
      <c r="K91" s="18">
        <f>IF($A91="","",IFERROR(D91/SUMIFS(履歴10日!$F$2:$F$62000,履歴10日!$C$2:$C$62000,$A91&amp;"",履歴10日!$B$2:$B$62000,C91,履歴10日!$A$2:$A$62000,N$1),""))</f>
      </c>
      <c r="L91">
        <f t="shared" si="3"/>
        <v>0</v>
      </c>
      <c r="M91" s="18"/>
    </row>
    <row r="92" spans="1:13">
      <c r="A92" s="7">
        <f>最新!A92</f>
        <v>4062</v>
      </c>
      <c r="B92" s="7" t="str">
        <f>最新!B92</f>
        <v>イビデン</v>
      </c>
      <c r="C92" s="12">
        <f>最新!C92</f>
        <v>0.375</v>
      </c>
      <c r="D92" s="7">
        <f>最新!E92</f>
        <v>10162300</v>
      </c>
      <c r="E92" s="7">
        <f>IF($A92="","",IFERROR(AVERAGEIFS(履歴10日!$F$2:$F$62000,履歴10日!$C$2:$C$62000,$A92&amp;"",履歴10日!$B$2:$B$62000,C92),""))</f>
        <v>10162300</v>
      </c>
      <c r="F92" s="13">
        <f t="shared" si="2"/>
        <v>1</v>
      </c>
      <c r="G92" s="7">
        <f>最新!F92</f>
        <v>15175</v>
      </c>
      <c r="H92" s="14">
        <f>最新!G92</f>
        <v>0.91388136103583262</v>
      </c>
      <c r="I92" s="14">
        <f>最新!H92</f>
        <v>0.8718758977305372</v>
      </c>
      <c r="K92" s="18">
        <f>IF($A92="","",IFERROR(D92/SUMIFS(履歴10日!$F$2:$F$62000,履歴10日!$C$2:$C$62000,$A92&amp;"",履歴10日!$B$2:$B$62000,C92,履歴10日!$A$2:$A$62000,N$1),""))</f>
      </c>
      <c r="L92">
        <f t="shared" si="3"/>
        <v>0</v>
      </c>
      <c r="M92" s="18"/>
    </row>
    <row r="93" spans="1:13">
      <c r="A93" s="7">
        <f>最新!A93</f>
        <v>4182</v>
      </c>
      <c r="B93" s="7" t="str">
        <f>最新!B93</f>
        <v>三菱瓦斯化学</v>
      </c>
      <c r="C93" s="12">
        <f>最新!C93</f>
        <v>0.375</v>
      </c>
      <c r="D93" s="7">
        <f>最新!E93</f>
        <v>787300</v>
      </c>
      <c r="E93" s="7">
        <f>IF($A93="","",IFERROR(AVERAGEIFS(履歴10日!$F$2:$F$62000,履歴10日!$C$2:$C$62000,$A93&amp;"",履歴10日!$B$2:$B$62000,C93),""))</f>
        <v>787300</v>
      </c>
      <c r="F93" s="13">
        <f t="shared" si="2"/>
        <v>1</v>
      </c>
      <c r="G93" s="7">
        <f>最新!F93</f>
        <v>4238</v>
      </c>
      <c r="H93" s="14">
        <f>最新!G93</f>
        <v>0.95022421524663681</v>
      </c>
      <c r="I93" s="14">
        <f>最新!H93</f>
        <v>0.92190559060256694</v>
      </c>
      <c r="K93" s="18">
        <f>IF($A93="","",IFERROR(D93/SUMIFS(履歴10日!$F$2:$F$62000,履歴10日!$C$2:$C$62000,$A93&amp;"",履歴10日!$B$2:$B$62000,C93,履歴10日!$A$2:$A$62000,N$1),""))</f>
      </c>
      <c r="L93">
        <f t="shared" si="3"/>
        <v>0</v>
      </c>
      <c r="M93" s="18"/>
    </row>
    <row r="94" spans="1:13">
      <c r="A94" s="7">
        <f>最新!A94</f>
        <v>4188</v>
      </c>
      <c r="B94" s="7" t="str">
        <f>最新!B94</f>
        <v>三菱ケミカルグループ</v>
      </c>
      <c r="C94" s="12">
        <f>最新!C94</f>
        <v>0.375</v>
      </c>
      <c r="D94" s="7">
        <f>最新!E94</f>
        <v>3686300</v>
      </c>
      <c r="E94" s="7">
        <f>IF($A94="","",IFERROR(AVERAGEIFS(履歴10日!$F$2:$F$62000,履歴10日!$C$2:$C$62000,$A94&amp;"",履歴10日!$B$2:$B$62000,C94),""))</f>
        <v>3686300</v>
      </c>
      <c r="F94" s="13">
        <f t="shared" si="2"/>
        <v>1</v>
      </c>
      <c r="G94" s="7">
        <f>最新!F94</f>
        <v>1157</v>
      </c>
      <c r="H94" s="14">
        <f>最新!G94</f>
        <v>0.97267759562841527</v>
      </c>
      <c r="I94" s="14">
        <f>最新!H94</f>
        <v>0.96216216216216222</v>
      </c>
      <c r="K94" s="18">
        <f>IF($A94="","",IFERROR(D94/SUMIFS(履歴10日!$F$2:$F$62000,履歴10日!$C$2:$C$62000,$A94&amp;"",履歴10日!$B$2:$B$62000,C94,履歴10日!$A$2:$A$62000,N$1),""))</f>
      </c>
      <c r="L94">
        <f t="shared" si="3"/>
        <v>0</v>
      </c>
      <c r="M94" s="18"/>
    </row>
    <row r="95" spans="1:13">
      <c r="A95" s="7">
        <f>最新!A95</f>
        <v>4523</v>
      </c>
      <c r="B95" s="7" t="str">
        <f>最新!B95</f>
        <v>エーザイ</v>
      </c>
      <c r="C95" s="12">
        <f>最新!C95</f>
        <v>0.375</v>
      </c>
      <c r="D95" s="7">
        <f>最新!E95</f>
        <v>1075600</v>
      </c>
      <c r="E95" s="7">
        <f>IF($A95="","",IFERROR(AVERAGEIFS(履歴10日!$F$2:$F$62000,履歴10日!$C$2:$C$62000,$A95&amp;"",履歴10日!$B$2:$B$62000,C95),""))</f>
        <v>1075600</v>
      </c>
      <c r="F95" s="13">
        <f t="shared" si="2"/>
        <v>1</v>
      </c>
      <c r="G95" s="7">
        <f>最新!F95</f>
        <v>4403</v>
      </c>
      <c r="H95" s="14">
        <f>最新!G95</f>
        <v>1.0006818181818182</v>
      </c>
      <c r="I95" s="14">
        <f>最新!H95</f>
        <v>1.0149838635315813</v>
      </c>
      <c r="K95" s="18">
        <f>IF($A95="","",IFERROR(D95/SUMIFS(履歴10日!$F$2:$F$62000,履歴10日!$C$2:$C$62000,$A95&amp;"",履歴10日!$B$2:$B$62000,C95,履歴10日!$A$2:$A$62000,N$1),""))</f>
      </c>
      <c r="L95">
        <f t="shared" si="3"/>
        <v>0</v>
      </c>
      <c r="M95" s="18"/>
    </row>
    <row r="96" spans="1:13">
      <c r="A96" s="7">
        <f>最新!A96</f>
        <v>4528</v>
      </c>
      <c r="B96" s="7" t="str">
        <f>最新!B96</f>
        <v>小野薬品</v>
      </c>
      <c r="C96" s="12">
        <f>最新!C96</f>
        <v>0.375</v>
      </c>
      <c r="D96" s="7">
        <f>最新!E96</f>
        <v>1047800</v>
      </c>
      <c r="E96" s="7">
        <f>IF($A96="","",IFERROR(AVERAGEIFS(履歴10日!$F$2:$F$62000,履歴10日!$C$2:$C$62000,$A96&amp;"",履歴10日!$B$2:$B$62000,C96),""))</f>
        <v>1047800</v>
      </c>
      <c r="F96" s="13">
        <f t="shared" si="2"/>
        <v>1</v>
      </c>
      <c r="G96" s="7">
        <f>最新!F96</f>
        <v>2408</v>
      </c>
      <c r="H96" s="14">
        <f>最新!G96</f>
        <v>1.0136813302462639</v>
      </c>
      <c r="I96" s="14">
        <f>最新!H96</f>
        <v>1.026209247815896</v>
      </c>
      <c r="K96" s="18">
        <f>IF($A96="","",IFERROR(D96/SUMIFS(履歴10日!$F$2:$F$62000,履歴10日!$C$2:$C$62000,$A96&amp;"",履歴10日!$B$2:$B$62000,C96,履歴10日!$A$2:$A$62000,N$1),""))</f>
      </c>
      <c r="L96">
        <f t="shared" si="3"/>
        <v>0</v>
      </c>
      <c r="M96" s="18"/>
    </row>
    <row r="97" spans="1:13">
      <c r="A97" s="7">
        <f>最新!A97</f>
        <v>4661</v>
      </c>
      <c r="B97" s="7" t="str">
        <f>最新!B97</f>
        <v>オリエンタルランド</v>
      </c>
      <c r="C97" s="12">
        <f>最新!C97</f>
        <v>0.375</v>
      </c>
      <c r="D97" s="7">
        <f>最新!E97</f>
        <v>5093000</v>
      </c>
      <c r="E97" s="7">
        <f>IF($A97="","",IFERROR(AVERAGEIFS(履歴10日!$F$2:$F$62000,履歴10日!$C$2:$C$62000,$A97&amp;"",履歴10日!$B$2:$B$62000,C97),""))</f>
        <v>5093000</v>
      </c>
      <c r="F97" s="13">
        <f t="shared" si="2"/>
        <v>1</v>
      </c>
      <c r="G97" s="7">
        <f>最新!F97</f>
        <v>2722</v>
      </c>
      <c r="H97" s="14">
        <f>最新!G97</f>
        <v>0.99706959706959708</v>
      </c>
      <c r="I97" s="14">
        <f>最新!H97</f>
        <v>1.0100185528756958</v>
      </c>
      <c r="K97" s="18">
        <f>IF($A97="","",IFERROR(D97/SUMIFS(履歴10日!$F$2:$F$62000,履歴10日!$C$2:$C$62000,$A97&amp;"",履歴10日!$B$2:$B$62000,C97,履歴10日!$A$2:$A$62000,N$1),""))</f>
      </c>
      <c r="L97">
        <f t="shared" si="3"/>
        <v>0</v>
      </c>
      <c r="M97" s="18"/>
    </row>
    <row r="98" spans="1:13">
      <c r="A98" s="7">
        <f>最新!A98</f>
        <v>5802</v>
      </c>
      <c r="B98" s="7" t="str">
        <f>最新!B98</f>
        <v>住友電工</v>
      </c>
      <c r="C98" s="12">
        <f>最新!C98</f>
        <v>0.375</v>
      </c>
      <c r="D98" s="7">
        <f>最新!E98</f>
        <v>17307200</v>
      </c>
      <c r="E98" s="7">
        <f>IF($A98="","",IFERROR(AVERAGEIFS(履歴10日!$F$2:$F$62000,履歴10日!$C$2:$C$62000,$A98&amp;"",履歴10日!$B$2:$B$62000,C98),""))</f>
        <v>17307200</v>
      </c>
      <c r="F98" s="13">
        <f t="shared" si="2"/>
        <v>1</v>
      </c>
      <c r="G98" s="7">
        <f>最新!F98</f>
        <v>2191</v>
      </c>
      <c r="H98" s="14">
        <f>最新!G98</f>
        <v>0.95260869565217388</v>
      </c>
      <c r="I98" s="14">
        <f>最新!H98</f>
        <v>0.91386861313868617</v>
      </c>
      <c r="K98" s="18">
        <f>IF($A98="","",IFERROR(D98/SUMIFS(履歴10日!$F$2:$F$62000,履歴10日!$C$2:$C$62000,$A98&amp;"",履歴10日!$B$2:$B$62000,C98,履歴10日!$A$2:$A$62000,N$1),""))</f>
      </c>
      <c r="L98">
        <f t="shared" si="3"/>
        <v>0</v>
      </c>
      <c r="M98" s="18"/>
    </row>
    <row r="99" spans="1:13">
      <c r="A99" s="7">
        <f>最新!A99</f>
        <v>5803</v>
      </c>
      <c r="B99" s="7" t="str">
        <f>最新!B99</f>
        <v>フジクラ</v>
      </c>
      <c r="C99" s="12">
        <f>最新!C99</f>
        <v>0.375</v>
      </c>
      <c r="D99" s="7">
        <f>最新!E99</f>
        <v>41755100</v>
      </c>
      <c r="E99" s="7">
        <f>IF($A99="","",IFERROR(AVERAGEIFS(履歴10日!$F$2:$F$62000,履歴10日!$C$2:$C$62000,$A99&amp;"",履歴10日!$B$2:$B$62000,C99),""))</f>
        <v>41755100</v>
      </c>
      <c r="F99" s="13">
        <f t="shared" si="2"/>
        <v>1</v>
      </c>
      <c r="G99" s="7">
        <f>最新!F99</f>
        <v>4398</v>
      </c>
      <c r="H99" s="14">
        <f>最新!G99</f>
        <v>0.96426222319666743</v>
      </c>
      <c r="I99" s="14">
        <f>最新!H99</f>
        <v>0.92375551354757401</v>
      </c>
      <c r="K99" s="18">
        <f>IF($A99="","",IFERROR(D99/SUMIFS(履歴10日!$F$2:$F$62000,履歴10日!$C$2:$C$62000,$A99&amp;"",履歴10日!$B$2:$B$62000,C99,履歴10日!$A$2:$A$62000,N$1),""))</f>
      </c>
      <c r="L99">
        <f t="shared" si="3"/>
        <v>0</v>
      </c>
      <c r="M99" s="18"/>
    </row>
    <row r="100" spans="1:13">
      <c r="A100" s="7">
        <f>最新!A100</f>
        <v>6178</v>
      </c>
      <c r="B100" s="7" t="str">
        <f>最新!B100</f>
        <v>日本郵政</v>
      </c>
      <c r="C100" s="12">
        <f>最新!C100</f>
        <v>0.375</v>
      </c>
      <c r="D100" s="7">
        <f>最新!E100</f>
        <v>4052900</v>
      </c>
      <c r="E100" s="7">
        <f>IF($A100="","",IFERROR(AVERAGEIFS(履歴10日!$F$2:$F$62000,履歴10日!$C$2:$C$62000,$A100&amp;"",履歴10日!$B$2:$B$62000,C100),""))</f>
        <v>4052900</v>
      </c>
      <c r="F100" s="13">
        <f t="shared" si="2"/>
        <v>1</v>
      </c>
      <c r="G100" s="7">
        <f>最新!F100</f>
        <v>2316</v>
      </c>
      <c r="H100" s="14">
        <f>最新!G100</f>
        <v>0.97351828499369486</v>
      </c>
      <c r="I100" s="14">
        <f>最新!H100</f>
        <v>0.96984924623115576</v>
      </c>
      <c r="K100" s="18">
        <f>IF($A100="","",IFERROR(D100/SUMIFS(履歴10日!$F$2:$F$62000,履歴10日!$C$2:$C$62000,$A100&amp;"",履歴10日!$B$2:$B$62000,C100,履歴10日!$A$2:$A$62000,N$1),""))</f>
      </c>
      <c r="L100">
        <f t="shared" si="3"/>
        <v>0</v>
      </c>
      <c r="M100" s="18"/>
    </row>
    <row r="101" spans="1:13">
      <c r="A101" s="7">
        <f>最新!A101</f>
        <v>6925</v>
      </c>
      <c r="B101" s="7" t="str">
        <f>最新!B101</f>
        <v>ウシオ電機</v>
      </c>
      <c r="C101" s="12">
        <f>最新!C101</f>
        <v>0.375</v>
      </c>
      <c r="D101" s="7">
        <f>最新!E101</f>
        <v>241500</v>
      </c>
      <c r="E101" s="7">
        <f>IF($A101="","",IFERROR(AVERAGEIFS(履歴10日!$F$2:$F$62000,履歴10日!$C$2:$C$62000,$A101&amp;"",履歴10日!$B$2:$B$62000,C101),""))</f>
        <v>241500</v>
      </c>
      <c r="F101" s="13">
        <f t="shared" si="2"/>
        <v>1</v>
      </c>
      <c r="G101" s="7">
        <f>最新!F101</f>
        <v>3781</v>
      </c>
      <c r="H101" s="14">
        <f>最新!G101</f>
        <v>0.96184177054184683</v>
      </c>
      <c r="I101" s="14">
        <f>最新!H101</f>
        <v>0.92762512266928365</v>
      </c>
      <c r="K101" s="18">
        <f>IF($A101="","",IFERROR(D101/SUMIFS(履歴10日!$F$2:$F$62000,履歴10日!$C$2:$C$62000,$A101&amp;"",履歴10日!$B$2:$B$62000,C101,履歴10日!$A$2:$A$62000,N$1),""))</f>
      </c>
      <c r="L101">
        <f t="shared" si="3"/>
        <v>0</v>
      </c>
      <c r="M101" s="18"/>
    </row>
    <row r="102" spans="1:13">
      <c r="A102" s="7">
        <f>最新!A102</f>
        <v>7021</v>
      </c>
      <c r="B102" s="7" t="str">
        <f>最新!B102</f>
        <v>ニッチツ</v>
      </c>
      <c r="C102" s="12">
        <f>最新!C102</f>
        <v>0.375</v>
      </c>
      <c r="D102" s="7">
        <f>最新!E102</f>
        <v>2600</v>
      </c>
      <c r="E102" s="7">
        <f>IF($A102="","",IFERROR(AVERAGEIFS(履歴10日!$F$2:$F$62000,履歴10日!$C$2:$C$62000,$A102&amp;"",履歴10日!$B$2:$B$62000,C102),""))</f>
        <v>2600</v>
      </c>
      <c r="F102" s="13">
        <f t="shared" si="2"/>
        <v>1</v>
      </c>
      <c r="G102" s="7">
        <f>最新!F102</f>
        <v>1850</v>
      </c>
      <c r="H102" s="14">
        <f>最新!G102</f>
        <v>0.98614072494669514</v>
      </c>
      <c r="I102" s="14">
        <f>最新!H102</f>
        <v>0.98509052183173584</v>
      </c>
      <c r="K102" s="18">
        <f>IF($A102="","",IFERROR(D102/SUMIFS(履歴10日!$F$2:$F$62000,履歴10日!$C$2:$C$62000,$A102&amp;"",履歴10日!$B$2:$B$62000,C102,履歴10日!$A$2:$A$62000,N$1),""))</f>
      </c>
      <c r="L102">
        <f t="shared" si="3"/>
        <v>0</v>
      </c>
      <c r="M102" s="18"/>
    </row>
    <row r="103" spans="1:13">
      <c r="A103" s="7">
        <f>最新!A103</f>
        <v>7729</v>
      </c>
      <c r="B103" s="7" t="str">
        <f>最新!B103</f>
        <v>東京精密</v>
      </c>
      <c r="C103" s="12">
        <f>最新!C103</f>
        <v>0.375</v>
      </c>
      <c r="D103" s="7">
        <f>最新!E103</f>
        <v>442400</v>
      </c>
      <c r="E103" s="7">
        <f>IF($A103="","",IFERROR(AVERAGEIFS(履歴10日!$F$2:$F$62000,履歴10日!$C$2:$C$62000,$A103&amp;"",履歴10日!$B$2:$B$62000,C103),""))</f>
        <v>442400</v>
      </c>
      <c r="F103" s="13">
        <f t="shared" si="2"/>
        <v>1</v>
      </c>
      <c r="G103" s="7">
        <f>最新!F103</f>
        <v>16690</v>
      </c>
      <c r="H103" s="14">
        <f>最新!G103</f>
        <v>0.93188163037409266</v>
      </c>
      <c r="I103" s="14">
        <f>最新!H103</f>
        <v>0.88541114058355441</v>
      </c>
      <c r="K103" s="18">
        <f>IF($A103="","",IFERROR(D103/SUMIFS(履歴10日!$F$2:$F$62000,履歴10日!$C$2:$C$62000,$A103&amp;"",履歴10日!$B$2:$B$62000,C103,履歴10日!$A$2:$A$62000,N$1),""))</f>
      </c>
      <c r="L103">
        <f t="shared" si="3"/>
        <v>0</v>
      </c>
      <c r="M103" s="18"/>
    </row>
    <row r="104" spans="1:13">
      <c r="A104" s="7">
        <f>最新!A104</f>
        <v>8424</v>
      </c>
      <c r="B104" s="7" t="str">
        <f>最新!B104</f>
        <v>芙蓉総合リース</v>
      </c>
      <c r="C104" s="12">
        <f>最新!C104</f>
        <v>0.375</v>
      </c>
      <c r="D104" s="7">
        <f>最新!E104</f>
        <v>108200</v>
      </c>
      <c r="E104" s="7">
        <f>IF($A104="","",IFERROR(AVERAGEIFS(履歴10日!$F$2:$F$62000,履歴10日!$C$2:$C$62000,$A104&amp;"",履歴10日!$B$2:$B$62000,C104),""))</f>
        <v>108200</v>
      </c>
      <c r="F104" s="13">
        <f t="shared" si="2"/>
        <v>1</v>
      </c>
      <c r="G104" s="7">
        <f>最新!F104</f>
        <v>4314</v>
      </c>
      <c r="H104" s="14">
        <f>最新!G104</f>
        <v>0.99126838235294112</v>
      </c>
      <c r="I104" s="14">
        <f>最新!H104</f>
        <v>0.99126838235294112</v>
      </c>
      <c r="K104" s="18">
        <f>IF($A104="","",IFERROR(D104/SUMIFS(履歴10日!$F$2:$F$62000,履歴10日!$C$2:$C$62000,$A104&amp;"",履歴10日!$B$2:$B$62000,C104,履歴10日!$A$2:$A$62000,N$1),""))</f>
      </c>
      <c r="L104">
        <f t="shared" si="3"/>
        <v>0</v>
      </c>
      <c r="M104" s="18"/>
    </row>
    <row r="105" spans="1:13">
      <c r="A105" s="7">
        <f>最新!A105</f>
        <v>9020</v>
      </c>
      <c r="B105" s="7" t="str">
        <f>最新!B105</f>
        <v>東日本旅客鉄道</v>
      </c>
      <c r="C105" s="12">
        <f>最新!C105</f>
        <v>0.375</v>
      </c>
      <c r="D105" s="7">
        <f>最新!E105</f>
        <v>1819700</v>
      </c>
      <c r="E105" s="7">
        <f>IF($A105="","",IFERROR(AVERAGEIFS(履歴10日!$F$2:$F$62000,履歴10日!$C$2:$C$62000,$A105&amp;"",履歴10日!$B$2:$B$62000,C105),""))</f>
        <v>1819700</v>
      </c>
      <c r="F105" s="13">
        <f t="shared" si="2"/>
        <v>1</v>
      </c>
      <c r="G105" s="7">
        <f>最新!F105</f>
        <v>3598</v>
      </c>
      <c r="H105" s="14">
        <f>最新!G105</f>
        <v>0.9890049477735019</v>
      </c>
      <c r="I105" s="14">
        <f>最新!H105</f>
        <v>0.99916689808386561</v>
      </c>
      <c r="K105" s="18">
        <f>IF($A105="","",IFERROR(D105/SUMIFS(履歴10日!$F$2:$F$62000,履歴10日!$C$2:$C$62000,$A105&amp;"",履歴10日!$B$2:$B$62000,C105,履歴10日!$A$2:$A$62000,N$1),""))</f>
      </c>
      <c r="L105">
        <f t="shared" si="3"/>
        <v>0</v>
      </c>
      <c r="M105" s="18"/>
    </row>
    <row r="106" spans="1:13">
      <c r="A106" s="7">
        <f>最新!A106</f>
        <v>9069</v>
      </c>
      <c r="B106" s="7" t="str">
        <f>最新!B106</f>
        <v>センコーグループＨＬＤＧＳ</v>
      </c>
      <c r="C106" s="12">
        <f>最新!C106</f>
        <v>0.375</v>
      </c>
      <c r="D106" s="7">
        <f>最新!E106</f>
        <v>298300</v>
      </c>
      <c r="E106" s="7">
        <f>IF($A106="","",IFERROR(AVERAGEIFS(履歴10日!$F$2:$F$62000,履歴10日!$C$2:$C$62000,$A106&amp;"",履歴10日!$B$2:$B$62000,C106),""))</f>
        <v>298300</v>
      </c>
      <c r="F106" s="13">
        <f t="shared" si="2"/>
        <v>1</v>
      </c>
      <c r="G106" s="7">
        <f>最新!F106</f>
        <v>2169</v>
      </c>
      <c r="H106" s="14">
        <f>最新!G106</f>
        <v>1.01071761416589</v>
      </c>
      <c r="I106" s="14">
        <f>最新!H106</f>
        <v>1.0226308345120225</v>
      </c>
      <c r="K106" s="18">
        <f>IF($A106="","",IFERROR(D106/SUMIFS(履歴10日!$F$2:$F$62000,履歴10日!$C$2:$C$62000,$A106&amp;"",履歴10日!$B$2:$B$62000,C106,履歴10日!$A$2:$A$62000,N$1),""))</f>
      </c>
      <c r="L106">
        <f t="shared" si="3"/>
        <v>0</v>
      </c>
      <c r="M106" s="18"/>
    </row>
    <row r="107" spans="1:13">
      <c r="A107" s="7">
        <f>最新!A107</f>
        <v>9227</v>
      </c>
      <c r="B107" s="7" t="str">
        <f>最新!B107</f>
        <v>マイクロ波化学</v>
      </c>
      <c r="C107" s="12">
        <f>最新!C107</f>
        <v>0.375</v>
      </c>
      <c r="D107" s="7">
        <f>最新!E107</f>
        <v>318700</v>
      </c>
      <c r="E107" s="7">
        <f>IF($A107="","",IFERROR(AVERAGEIFS(履歴10日!$F$2:$F$62000,履歴10日!$C$2:$C$62000,$A107&amp;"",履歴10日!$B$2:$B$62000,C107),""))</f>
        <v>318700</v>
      </c>
      <c r="F107" s="13">
        <f t="shared" si="2"/>
        <v>1</v>
      </c>
      <c r="G107" s="7">
        <f>最新!F107</f>
        <v>760</v>
      </c>
      <c r="H107" s="14">
        <f>最新!G107</f>
        <v>0.94409937888198758</v>
      </c>
      <c r="I107" s="14">
        <f>最新!H107</f>
        <v>0.92682926829268297</v>
      </c>
      <c r="K107" s="18">
        <f>IF($A107="","",IFERROR(D107/SUMIFS(履歴10日!$F$2:$F$62000,履歴10日!$C$2:$C$62000,$A107&amp;"",履歴10日!$B$2:$B$62000,C107,履歴10日!$A$2:$A$62000,N$1),""))</f>
      </c>
      <c r="L107">
        <f t="shared" si="3"/>
        <v>0</v>
      </c>
      <c r="M107" s="18"/>
    </row>
    <row r="108" spans="1:13">
      <c r="A108" s="7">
        <f>最新!A108</f>
        <v>9348</v>
      </c>
      <c r="B108" s="7" t="str">
        <f>最新!B108</f>
        <v>ｉｓｐａｃｅ</v>
      </c>
      <c r="C108" s="12">
        <f>最新!C108</f>
        <v>0.375</v>
      </c>
      <c r="D108" s="7">
        <f>最新!E108</f>
        <v>2501600</v>
      </c>
      <c r="E108" s="7">
        <f>IF($A108="","",IFERROR(AVERAGEIFS(履歴10日!$F$2:$F$62000,履歴10日!$C$2:$C$62000,$A108&amp;"",履歴10日!$B$2:$B$62000,C108),""))</f>
        <v>2501600</v>
      </c>
      <c r="F108" s="13">
        <f t="shared" si="2"/>
        <v>1</v>
      </c>
      <c r="G108" s="7">
        <f>最新!F108</f>
        <v>409</v>
      </c>
      <c r="H108" s="14">
        <f>最新!G108</f>
        <v>0.98317307692307687</v>
      </c>
      <c r="I108" s="14">
        <f>最新!H108</f>
        <v>0.97149643705463185</v>
      </c>
      <c r="K108" s="18">
        <f>IF($A108="","",IFERROR(D108/SUMIFS(履歴10日!$F$2:$F$62000,履歴10日!$C$2:$C$62000,$A108&amp;"",履歴10日!$B$2:$B$62000,C108,履歴10日!$A$2:$A$62000,N$1),""))</f>
      </c>
      <c r="L108">
        <f t="shared" si="3"/>
        <v>0</v>
      </c>
      <c r="M108" s="18"/>
    </row>
    <row r="109" spans="1:13">
      <c r="A109" s="7">
        <f>最新!A109</f>
        <v>9449</v>
      </c>
      <c r="B109" s="7" t="str">
        <f>最新!B109</f>
        <v>ＧＭＯインターネットグループ</v>
      </c>
      <c r="C109" s="12">
        <f>最新!C109</f>
        <v>0.375</v>
      </c>
      <c r="D109" s="7">
        <f>最新!E109</f>
        <v>302200</v>
      </c>
      <c r="E109" s="7">
        <f>IF($A109="","",IFERROR(AVERAGEIFS(履歴10日!$F$2:$F$62000,履歴10日!$C$2:$C$62000,$A109&amp;"",履歴10日!$B$2:$B$62000,C109),""))</f>
        <v>302200</v>
      </c>
      <c r="F109" s="13">
        <f t="shared" si="2"/>
        <v>1</v>
      </c>
      <c r="G109" s="7">
        <f>最新!F109</f>
        <v>4008</v>
      </c>
      <c r="H109" s="14">
        <f>最新!G109</f>
        <v>0.99330855018587361</v>
      </c>
      <c r="I109" s="14">
        <f>最新!H109</f>
        <v>0.98355828220858899</v>
      </c>
      <c r="K109" s="18">
        <f>IF($A109="","",IFERROR(D109/SUMIFS(履歴10日!$F$2:$F$62000,履歴10日!$C$2:$C$62000,$A109&amp;"",履歴10日!$B$2:$B$62000,C109,履歴10日!$A$2:$A$62000,N$1),""))</f>
      </c>
      <c r="L109">
        <f t="shared" si="3"/>
        <v>0</v>
      </c>
      <c r="M109" s="18"/>
    </row>
    <row r="110" spans="1:13">
      <c r="A110" s="7">
        <f>最新!A110</f>
        <v>9501</v>
      </c>
      <c r="B110" s="7" t="str">
        <f>最新!B110</f>
        <v>東京電力ＨＤ</v>
      </c>
      <c r="C110" s="12">
        <f>最新!C110</f>
        <v>0.375</v>
      </c>
      <c r="D110" s="7">
        <f>最新!E110</f>
        <v>32796300</v>
      </c>
      <c r="E110" s="7">
        <f>IF($A110="","",IFERROR(AVERAGEIFS(履歴10日!$F$2:$F$62000,履歴10日!$C$2:$C$62000,$A110&amp;"",履歴10日!$B$2:$B$62000,C110),""))</f>
        <v>32796300</v>
      </c>
      <c r="F110" s="13">
        <f t="shared" si="2"/>
        <v>1</v>
      </c>
      <c r="G110" s="7">
        <f>最新!F110</f>
        <v>495.3</v>
      </c>
      <c r="H110" s="14">
        <f>最新!G110</f>
        <v>0.99657947686116699</v>
      </c>
      <c r="I110" s="14">
        <f>最新!H110</f>
        <v>0.98744019138755978</v>
      </c>
      <c r="K110" s="18">
        <f>IF($A110="","",IFERROR(D110/SUMIFS(履歴10日!$F$2:$F$62000,履歴10日!$C$2:$C$62000,$A110&amp;"",履歴10日!$B$2:$B$62000,C110,履歴10日!$A$2:$A$62000,N$1),""))</f>
      </c>
      <c r="L110">
        <f t="shared" si="3"/>
        <v>0</v>
      </c>
      <c r="M110" s="18"/>
    </row>
    <row r="111" spans="1:13">
      <c r="A111" s="7">
        <f>最新!A111</f>
        <v>9531</v>
      </c>
      <c r="B111" s="7" t="str">
        <f>最新!B111</f>
        <v>東京瓦斯</v>
      </c>
      <c r="C111" s="12">
        <f>最新!C111</f>
        <v>0.375</v>
      </c>
      <c r="D111" s="7">
        <f>最新!E111</f>
        <v>562900</v>
      </c>
      <c r="E111" s="7">
        <f>IF($A111="","",IFERROR(AVERAGEIFS(履歴10日!$F$2:$F$62000,履歴10日!$C$2:$C$62000,$A111&amp;"",履歴10日!$B$2:$B$62000,C111),""))</f>
        <v>562900</v>
      </c>
      <c r="F111" s="13">
        <f t="shared" si="2"/>
        <v>1</v>
      </c>
      <c r="G111" s="7">
        <f>最新!F111</f>
        <v>6044</v>
      </c>
      <c r="H111" s="14">
        <f>最新!G111</f>
        <v>0.99000819000818996</v>
      </c>
      <c r="I111" s="14">
        <f>最新!H111</f>
        <v>0.99637322782723381</v>
      </c>
      <c r="K111" s="18">
        <f>IF($A111="","",IFERROR(D111/SUMIFS(履歴10日!$F$2:$F$62000,履歴10日!$C$2:$C$62000,$A111&amp;"",履歴10日!$B$2:$B$62000,C111,履歴10日!$A$2:$A$62000,N$1),""))</f>
      </c>
      <c r="L111">
        <f t="shared" si="3"/>
        <v>0</v>
      </c>
      <c r="M111" s="18"/>
    </row>
    <row r="112" spans="1:13">
      <c r="A112" s="7">
        <f>最新!A112</f>
        <v>9882</v>
      </c>
      <c r="B112" s="7" t="str">
        <f>最新!B112</f>
        <v>イエローハット</v>
      </c>
      <c r="C112" s="12">
        <f>最新!C112</f>
        <v>0.375</v>
      </c>
      <c r="D112" s="7">
        <f>最新!E112</f>
        <v>132400</v>
      </c>
      <c r="E112" s="7">
        <f>IF($A112="","",IFERROR(AVERAGEIFS(履歴10日!$F$2:$F$62000,履歴10日!$C$2:$C$62000,$A112&amp;"",履歴10日!$B$2:$B$62000,C112),""))</f>
        <v>132400</v>
      </c>
      <c r="F112" s="13">
        <f t="shared" si="2"/>
        <v>1</v>
      </c>
      <c r="G112" s="7">
        <f>最新!F112</f>
        <v>1809</v>
      </c>
      <c r="H112" s="14">
        <f>最新!G112</f>
        <v>0.98798470780993997</v>
      </c>
      <c r="I112" s="14">
        <f>最新!H112</f>
        <v>0.99014778325123154</v>
      </c>
      <c r="K112" s="18">
        <f>IF($A112="","",IFERROR(D112/SUMIFS(履歴10日!$F$2:$F$62000,履歴10日!$C$2:$C$62000,$A112&amp;"",履歴10日!$B$2:$B$62000,C112,履歴10日!$A$2:$A$62000,N$1),""))</f>
      </c>
      <c r="L112">
        <f t="shared" si="3"/>
        <v>0</v>
      </c>
      <c r="M112" s="18"/>
    </row>
    <row r="113" spans="1:13">
      <c r="A113" s="7">
        <f>最新!A113</f>
        <v>5838</v>
      </c>
      <c r="B113" s="7" t="str">
        <f>最新!B113</f>
        <v>楽天銀行</v>
      </c>
      <c r="C113" s="12">
        <f>最新!C113</f>
        <v>0.375</v>
      </c>
      <c r="D113" s="7">
        <f>最新!E113</f>
        <v>809600</v>
      </c>
      <c r="E113" s="7">
        <f>IF($A113="","",IFERROR(AVERAGEIFS(履歴10日!$F$2:$F$62000,履歴10日!$C$2:$C$62000,$A113&amp;"",履歴10日!$B$2:$B$62000,C113),""))</f>
        <v>809600</v>
      </c>
      <c r="F113" s="13">
        <f t="shared" si="2"/>
        <v>1</v>
      </c>
      <c r="G113" s="7">
        <f>最新!F113</f>
        <v>5223</v>
      </c>
      <c r="H113" s="14">
        <f>最新!G113</f>
        <v>0.96722222222222221</v>
      </c>
      <c r="I113" s="14">
        <f>最新!H113</f>
        <v>0.94057266342517554</v>
      </c>
      <c r="K113" s="18">
        <f>IF($A113="","",IFERROR(D113/SUMIFS(履歴10日!$F$2:$F$62000,履歴10日!$C$2:$C$62000,$A113&amp;"",履歴10日!$B$2:$B$62000,C113,履歴10日!$A$2:$A$62000,N$1),""))</f>
      </c>
      <c r="L113">
        <f t="shared" si="3"/>
        <v>0</v>
      </c>
      <c r="M113" s="18"/>
    </row>
    <row r="114" spans="1:13">
      <c r="A114" s="7">
        <f>最新!A114</f>
        <v>5844</v>
      </c>
      <c r="B114" s="7" t="str">
        <f>最新!B114</f>
        <v>京都フィナンシャルＧ</v>
      </c>
      <c r="C114" s="12">
        <f>最新!C114</f>
        <v>0.375</v>
      </c>
      <c r="D114" s="7">
        <f>最新!E114</f>
        <v>891800</v>
      </c>
      <c r="E114" s="7">
        <f>IF($A114="","",IFERROR(AVERAGEIFS(履歴10日!$F$2:$F$62000,履歴10日!$C$2:$C$62000,$A114&amp;"",履歴10日!$B$2:$B$62000,C114),""))</f>
        <v>891800</v>
      </c>
      <c r="F114" s="13">
        <f t="shared" si="2"/>
        <v>1</v>
      </c>
      <c r="G114" s="7">
        <f>最新!F114</f>
        <v>4320</v>
      </c>
      <c r="H114" s="14">
        <f>最新!G114</f>
        <v>0.94117647058823528</v>
      </c>
      <c r="I114" s="14">
        <f>最新!H114</f>
        <v>0.9292320929232093</v>
      </c>
      <c r="K114" s="18">
        <f>IF($A114="","",IFERROR(D114/SUMIFS(履歴10日!$F$2:$F$62000,履歴10日!$C$2:$C$62000,$A114&amp;"",履歴10日!$B$2:$B$62000,C114,履歴10日!$A$2:$A$62000,N$1),""))</f>
      </c>
      <c r="L114">
        <f t="shared" si="3"/>
        <v>0</v>
      </c>
      <c r="M114" s="18"/>
    </row>
    <row r="115" spans="1:13">
      <c r="A115" s="7">
        <f>最新!A115</f>
        <v>9404</v>
      </c>
      <c r="B115" s="7" t="str">
        <f>最新!B115</f>
        <v>日本テレビＨＬＤＳ</v>
      </c>
      <c r="C115" s="12">
        <f>最新!C115</f>
        <v>0.375</v>
      </c>
      <c r="D115" s="7">
        <f>最新!E115</f>
        <v>256300</v>
      </c>
      <c r="E115" s="7">
        <f>IF($A115="","",IFERROR(AVERAGEIFS(履歴10日!$F$2:$F$62000,履歴10日!$C$2:$C$62000,$A115&amp;"",履歴10日!$B$2:$B$62000,C115),""))</f>
        <v>256300</v>
      </c>
      <c r="F115" s="13">
        <f t="shared" si="2"/>
        <v>1</v>
      </c>
      <c r="G115" s="7">
        <f>最新!F115</f>
        <v>2914.5</v>
      </c>
      <c r="H115" s="14">
        <f>最新!G115</f>
        <v>1.0133866481223923</v>
      </c>
      <c r="I115" s="14">
        <f>最新!H115</f>
        <v>1.0133866481223923</v>
      </c>
      <c r="K115" s="18">
        <f>IF($A115="","",IFERROR(D115/SUMIFS(履歴10日!$F$2:$F$62000,履歴10日!$C$2:$C$62000,$A115&amp;"",履歴10日!$B$2:$B$62000,C115,履歴10日!$A$2:$A$62000,N$1),""))</f>
      </c>
      <c r="L115">
        <f t="shared" si="3"/>
        <v>0</v>
      </c>
      <c r="M115" s="18"/>
    </row>
    <row r="116" spans="1:13">
      <c r="A116" s="7">
        <f>最新!A116</f>
        <v>6744</v>
      </c>
      <c r="B116" s="7" t="str">
        <f>最新!B116</f>
        <v>能美防災</v>
      </c>
      <c r="C116" s="12">
        <f>最新!C116</f>
        <v>0.375</v>
      </c>
      <c r="D116" s="7">
        <f>最新!E116</f>
        <v>63300</v>
      </c>
      <c r="E116" s="7">
        <f>IF($A116="","",IFERROR(AVERAGEIFS(履歴10日!$F$2:$F$62000,履歴10日!$C$2:$C$62000,$A116&amp;"",履歴10日!$B$2:$B$62000,C116),""))</f>
        <v>63300</v>
      </c>
      <c r="F116" s="13">
        <f t="shared" si="2"/>
        <v>1</v>
      </c>
      <c r="G116" s="7">
        <f>最新!F116</f>
        <v>4155</v>
      </c>
      <c r="H116" s="14">
        <f>最新!G116</f>
        <v>0.97995283018867929</v>
      </c>
      <c r="I116" s="14">
        <f>最新!H116</f>
        <v>0.97420867526377486</v>
      </c>
      <c r="K116" s="18">
        <f>IF($A116="","",IFERROR(D116/SUMIFS(履歴10日!$F$2:$F$62000,履歴10日!$C$2:$C$62000,$A116&amp;"",履歴10日!$B$2:$B$62000,C116,履歴10日!$A$2:$A$62000,N$1),""))</f>
      </c>
      <c r="L116">
        <f t="shared" si="3"/>
        <v>0</v>
      </c>
      <c r="M116" s="18"/>
    </row>
    <row r="117" spans="1:13">
      <c r="A117" s="7">
        <f>最新!A117</f>
        <v>7685</v>
      </c>
      <c r="B117" s="7" t="str">
        <f>最新!B117</f>
        <v>ＢＵＹＳＥＬＬＴＥＣＨ</v>
      </c>
      <c r="C117" s="12">
        <f>最新!C117</f>
        <v>0.375</v>
      </c>
      <c r="D117" s="7">
        <f>最新!E117</f>
        <v>189600</v>
      </c>
      <c r="E117" s="7">
        <f>IF($A117="","",IFERROR(AVERAGEIFS(履歴10日!$F$2:$F$62000,履歴10日!$C$2:$C$62000,$A117&amp;"",履歴10日!$B$2:$B$62000,C117),""))</f>
        <v>189600</v>
      </c>
      <c r="F117" s="13">
        <f t="shared" si="2"/>
        <v>1</v>
      </c>
      <c r="G117" s="7">
        <f>最新!F117</f>
        <v>3360</v>
      </c>
      <c r="H117" s="14">
        <f>最新!G117</f>
        <v>0.96413199426111906</v>
      </c>
      <c r="I117" s="14">
        <f>最新!H117</f>
        <v>0.95590327169274536</v>
      </c>
      <c r="K117" s="18">
        <f>IF($A117="","",IFERROR(D117/SUMIFS(履歴10日!$F$2:$F$62000,履歴10日!$C$2:$C$62000,$A117&amp;"",履歴10日!$B$2:$B$62000,C117,履歴10日!$A$2:$A$62000,N$1),""))</f>
      </c>
      <c r="L117">
        <f t="shared" si="3"/>
        <v>0</v>
      </c>
      <c r="M117" s="18"/>
    </row>
    <row r="118" spans="1:13">
      <c r="A118" s="7">
        <f>最新!A118</f>
        <v>8334</v>
      </c>
      <c r="B118" s="7" t="str">
        <f>最新!B118</f>
        <v>群馬銀行</v>
      </c>
      <c r="C118" s="12">
        <f>最新!C118</f>
        <v>0.375</v>
      </c>
      <c r="D118" s="7">
        <f>最新!E118</f>
        <v>828200</v>
      </c>
      <c r="E118" s="7">
        <f>IF($A118="","",IFERROR(AVERAGEIFS(履歴10日!$F$2:$F$62000,履歴10日!$C$2:$C$62000,$A118&amp;"",履歴10日!$B$2:$B$62000,C118),""))</f>
        <v>828200</v>
      </c>
      <c r="F118" s="13">
        <f t="shared" si="2"/>
        <v>1</v>
      </c>
      <c r="G118" s="7">
        <f>最新!F118</f>
        <v>2412</v>
      </c>
      <c r="H118" s="14">
        <f>最新!G118</f>
        <v>0.92413793103448272</v>
      </c>
      <c r="I118" s="14">
        <f>最新!H118</f>
        <v>0.93397870280735718</v>
      </c>
      <c r="K118" s="18">
        <f>IF($A118="","",IFERROR(D118/SUMIFS(履歴10日!$F$2:$F$62000,履歴10日!$C$2:$C$62000,$A118&amp;"",履歴10日!$B$2:$B$62000,C118,履歴10日!$A$2:$A$62000,N$1),""))</f>
      </c>
      <c r="L118">
        <f t="shared" si="3"/>
        <v>0</v>
      </c>
      <c r="M118" s="18"/>
    </row>
    <row r="119" spans="1:13">
      <c r="A119" s="7">
        <f>最新!A119</f>
        <v>8359</v>
      </c>
      <c r="B119" s="7" t="str">
        <f>最新!B119</f>
        <v>八十二長野銀行</v>
      </c>
      <c r="C119" s="12">
        <f>最新!C119</f>
        <v>0.375</v>
      </c>
      <c r="D119" s="7">
        <f>最新!E119</f>
        <v>1185300</v>
      </c>
      <c r="E119" s="7">
        <f>IF($A119="","",IFERROR(AVERAGEIFS(履歴10日!$F$2:$F$62000,履歴10日!$C$2:$C$62000,$A119&amp;"",履歴10日!$B$2:$B$62000,C119),""))</f>
        <v>1185300</v>
      </c>
      <c r="F119" s="13">
        <f t="shared" si="2"/>
        <v>1</v>
      </c>
      <c r="G119" s="7">
        <f>最新!F119</f>
        <v>2436</v>
      </c>
      <c r="H119" s="14">
        <f>最新!G119</f>
        <v>0.93440736478711162</v>
      </c>
      <c r="I119" s="14">
        <f>最新!H119</f>
        <v>0.93638285604458971</v>
      </c>
      <c r="K119" s="18">
        <f>IF($A119="","",IFERROR(D119/SUMIFS(履歴10日!$F$2:$F$62000,履歴10日!$C$2:$C$62000,$A119&amp;"",履歴10日!$B$2:$B$62000,C119,履歴10日!$A$2:$A$62000,N$1),""))</f>
      </c>
      <c r="L119">
        <f t="shared" si="3"/>
        <v>0</v>
      </c>
      <c r="M119" s="18"/>
    </row>
    <row r="120" spans="1:13">
      <c r="A120" s="7">
        <f>最新!A120</f>
        <v>8801</v>
      </c>
      <c r="B120" s="7" t="str">
        <f>最新!B120</f>
        <v>三井不動産</v>
      </c>
      <c r="C120" s="12">
        <f>最新!C120</f>
        <v>0.375</v>
      </c>
      <c r="D120" s="7">
        <f>最新!E120</f>
        <v>4537200</v>
      </c>
      <c r="E120" s="7">
        <f>IF($A120="","",IFERROR(AVERAGEIFS(履歴10日!$F$2:$F$62000,履歴10日!$C$2:$C$62000,$A120&amp;"",履歴10日!$B$2:$B$62000,C120),""))</f>
        <v>4537200</v>
      </c>
      <c r="F120" s="13">
        <f t="shared" si="2"/>
        <v>1</v>
      </c>
      <c r="G120" s="7">
        <f>最新!F120</f>
        <v>1537</v>
      </c>
      <c r="H120" s="14">
        <f>最新!G120</f>
        <v>0.99225306649451261</v>
      </c>
      <c r="I120" s="14">
        <f>最新!H120</f>
        <v>0.99225306649451261</v>
      </c>
      <c r="K120" s="18">
        <f>IF($A120="","",IFERROR(D120/SUMIFS(履歴10日!$F$2:$F$62000,履歴10日!$C$2:$C$62000,$A120&amp;"",履歴10日!$B$2:$B$62000,C120,履歴10日!$A$2:$A$62000,N$1),""))</f>
      </c>
      <c r="L120">
        <f t="shared" si="3"/>
        <v>0</v>
      </c>
      <c r="M120" s="18"/>
    </row>
    <row r="121" spans="1:13">
      <c r="A121" s="7">
        <f>最新!A121</f>
        <v>8934</v>
      </c>
      <c r="B121" s="7" t="str">
        <f>最新!B121</f>
        <v>サンフロンティア不動産</v>
      </c>
      <c r="C121" s="12">
        <f>最新!C121</f>
        <v>0.375</v>
      </c>
      <c r="D121" s="7">
        <f>最新!E121</f>
        <v>93800</v>
      </c>
      <c r="E121" s="7">
        <f>IF($A121="","",IFERROR(AVERAGEIFS(履歴10日!$F$2:$F$62000,履歴10日!$C$2:$C$62000,$A121&amp;"",履歴10日!$B$2:$B$62000,C121),""))</f>
        <v>93800</v>
      </c>
      <c r="F121" s="13">
        <f t="shared" si="2"/>
        <v>1</v>
      </c>
      <c r="G121" s="7">
        <f>最新!F121</f>
        <v>2499</v>
      </c>
      <c r="H121" s="14">
        <f>最新!G121</f>
        <v>0.98153967007069909</v>
      </c>
      <c r="I121" s="14">
        <f>最新!H121</f>
        <v>0.98618784530386738</v>
      </c>
      <c r="K121" s="18">
        <f>IF($A121="","",IFERROR(D121/SUMIFS(履歴10日!$F$2:$F$62000,履歴10日!$C$2:$C$62000,$A121&amp;"",履歴10日!$B$2:$B$62000,C121,履歴10日!$A$2:$A$62000,N$1),""))</f>
      </c>
      <c r="L121">
        <f t="shared" si="3"/>
        <v>0</v>
      </c>
      <c r="M121" s="18"/>
    </row>
    <row r="122" spans="1:13">
      <c r="A122" s="7">
        <f>最新!A122</f>
        <v>9416</v>
      </c>
      <c r="B122" s="7" t="str">
        <f>最新!B122</f>
        <v>ビジョン</v>
      </c>
      <c r="C122" s="12">
        <f>最新!C122</f>
        <v>0.375</v>
      </c>
      <c r="D122" s="7">
        <f>最新!E122</f>
        <v>191800</v>
      </c>
      <c r="E122" s="7">
        <f>IF($A122="","",IFERROR(AVERAGEIFS(履歴10日!$F$2:$F$62000,履歴10日!$C$2:$C$62000,$A122&amp;"",履歴10日!$B$2:$B$62000,C122),""))</f>
        <v>191800</v>
      </c>
      <c r="F122" s="13">
        <f t="shared" si="2"/>
        <v>1</v>
      </c>
      <c r="G122" s="7">
        <f>最新!F122</f>
        <v>996</v>
      </c>
      <c r="H122" s="14">
        <f>最新!G122</f>
        <v>0.98809523809523814</v>
      </c>
      <c r="I122" s="14">
        <f>最新!H122</f>
        <v>0.99005964214711728</v>
      </c>
      <c r="K122" s="18">
        <f>IF($A122="","",IFERROR(D122/SUMIFS(履歴10日!$F$2:$F$62000,履歴10日!$C$2:$C$62000,$A122&amp;"",履歴10日!$B$2:$B$62000,C122,履歴10日!$A$2:$A$62000,N$1),""))</f>
      </c>
      <c r="L122">
        <f t="shared" si="3"/>
        <v>0</v>
      </c>
      <c r="M122" s="18"/>
    </row>
    <row r="123" spans="1:13">
      <c r="A123" s="7">
        <f>最新!A123</f>
        <v>9532</v>
      </c>
      <c r="B123" s="7" t="str">
        <f>最新!B123</f>
        <v>大阪瓦斯</v>
      </c>
      <c r="C123" s="12">
        <f>最新!C123</f>
        <v>0.375</v>
      </c>
      <c r="D123" s="7">
        <f>最新!E123</f>
        <v>333400</v>
      </c>
      <c r="E123" s="7">
        <f>IF($A123="","",IFERROR(AVERAGEIFS(履歴10日!$F$2:$F$62000,履歴10日!$C$2:$C$62000,$A123&amp;"",履歴10日!$B$2:$B$62000,C123),""))</f>
        <v>333400</v>
      </c>
      <c r="F123" s="13">
        <f t="shared" si="2"/>
        <v>1</v>
      </c>
      <c r="G123" s="7">
        <f>最新!F123</f>
        <v>5320</v>
      </c>
      <c r="H123" s="14">
        <f>最新!G123</f>
        <v>0.98958333333333337</v>
      </c>
      <c r="I123" s="14">
        <f>最新!H123</f>
        <v>0.990504561534165</v>
      </c>
      <c r="K123" s="18">
        <f>IF($A123="","",IFERROR(D123/SUMIFS(履歴10日!$F$2:$F$62000,履歴10日!$C$2:$C$62000,$A123&amp;"",履歴10日!$B$2:$B$62000,C123,履歴10日!$A$2:$A$62000,N$1),""))</f>
      </c>
      <c r="L123">
        <f t="shared" si="3"/>
        <v>0</v>
      </c>
      <c r="M123" s="18"/>
    </row>
    <row r="124" spans="1:13">
      <c r="A124" s="7">
        <f>最新!A124</f>
        <v>6330</v>
      </c>
      <c r="B124" s="7" t="str">
        <f>最新!B124</f>
        <v>東洋エンジニア</v>
      </c>
      <c r="C124" s="12">
        <f>最新!C124</f>
        <v>0.375</v>
      </c>
      <c r="D124" s="7">
        <f>最新!E124</f>
        <v>2553200</v>
      </c>
      <c r="E124" s="7">
        <f>IF($A124="","",IFERROR(AVERAGEIFS(履歴10日!$F$2:$F$62000,履歴10日!$C$2:$C$62000,$A124&amp;"",履歴10日!$B$2:$B$62000,C124),""))</f>
        <v>2553200</v>
      </c>
      <c r="F124" s="13">
        <f t="shared" si="2"/>
        <v>1</v>
      </c>
      <c r="G124" s="7">
        <f>最新!F124</f>
        <v>1728</v>
      </c>
      <c r="H124" s="14">
        <f>最新!G124</f>
        <v>0.93658536585365859</v>
      </c>
      <c r="I124" s="14">
        <f>最新!H124</f>
        <v>0.91187335092348287</v>
      </c>
      <c r="K124" s="18">
        <f>IF($A124="","",IFERROR(D124/SUMIFS(履歴10日!$F$2:$F$62000,履歴10日!$C$2:$C$62000,$A124&amp;"",履歴10日!$B$2:$B$62000,C124,履歴10日!$A$2:$A$62000,N$1),""))</f>
      </c>
      <c r="L124">
        <f t="shared" si="3"/>
        <v>0</v>
      </c>
      <c r="M124" s="18"/>
    </row>
    <row r="125" spans="1:13">
      <c r="A125" s="7">
        <f>最新!A125</f>
        <v>4082</v>
      </c>
      <c r="B125" s="7" t="str">
        <f>最新!B125</f>
        <v>第一稀元素化学工</v>
      </c>
      <c r="C125" s="12">
        <f>最新!C125</f>
        <v>0.375</v>
      </c>
      <c r="D125" s="7">
        <f>最新!E125</f>
        <v>311300</v>
      </c>
      <c r="E125" s="7">
        <f>IF($A125="","",IFERROR(AVERAGEIFS(履歴10日!$F$2:$F$62000,履歴10日!$C$2:$C$62000,$A125&amp;"",履歴10日!$B$2:$B$62000,C125),""))</f>
        <v>311300</v>
      </c>
      <c r="F125" s="13">
        <f t="shared" si="2"/>
        <v>1</v>
      </c>
      <c r="G125" s="7">
        <f>最新!F125</f>
        <v>1711</v>
      </c>
      <c r="H125" s="14">
        <f>最新!G125</f>
        <v>0.92636708175419602</v>
      </c>
      <c r="I125" s="14">
        <f>最新!H125</f>
        <v>0.91350774159103043</v>
      </c>
      <c r="K125" s="18">
        <f>IF($A125="","",IFERROR(D125/SUMIFS(履歴10日!$F$2:$F$62000,履歴10日!$C$2:$C$62000,$A125&amp;"",履歴10日!$B$2:$B$62000,C125,履歴10日!$A$2:$A$62000,N$1),""))</f>
      </c>
      <c r="L125">
        <f t="shared" si="3"/>
        <v>0</v>
      </c>
      <c r="M125" s="18"/>
    </row>
    <row r="126" spans="1:13">
      <c r="A126" s="7">
        <f>最新!A126</f>
        <v>4519</v>
      </c>
      <c r="B126" s="7" t="str">
        <f>最新!B126</f>
        <v>中外製薬</v>
      </c>
      <c r="C126" s="12">
        <f>最新!C126</f>
        <v>0.375</v>
      </c>
      <c r="D126" s="7">
        <f>最新!E126</f>
        <v>1722900</v>
      </c>
      <c r="E126" s="7">
        <f>IF($A126="","",IFERROR(AVERAGEIFS(履歴10日!$F$2:$F$62000,履歴10日!$C$2:$C$62000,$A126&amp;"",履歴10日!$B$2:$B$62000,C126),""))</f>
        <v>1722900</v>
      </c>
      <c r="F126" s="13">
        <f t="shared" si="2"/>
        <v>1</v>
      </c>
      <c r="G126" s="7">
        <f>最新!F126</f>
        <v>7223</v>
      </c>
      <c r="H126" s="14">
        <f>最新!G126</f>
        <v>0.99723871324037006</v>
      </c>
      <c r="I126" s="14">
        <f>最新!H126</f>
        <v>0.99751415550338352</v>
      </c>
      <c r="K126" s="18">
        <f>IF($A126="","",IFERROR(D126/SUMIFS(履歴10日!$F$2:$F$62000,履歴10日!$C$2:$C$62000,$A126&amp;"",履歴10日!$B$2:$B$62000,C126,履歴10日!$A$2:$A$62000,N$1),""))</f>
      </c>
      <c r="L126">
        <f t="shared" si="3"/>
        <v>0</v>
      </c>
      <c r="M126" s="18"/>
    </row>
    <row r="127" spans="1:13">
      <c r="A127" s="7">
        <f>最新!A127</f>
        <v>2160</v>
      </c>
      <c r="B127" s="7" t="str">
        <f>最新!B127</f>
        <v>ジーエヌアイグループ</v>
      </c>
      <c r="C127" s="12">
        <f>最新!C127</f>
        <v>0.375</v>
      </c>
      <c r="D127" s="7">
        <f>最新!E127</f>
        <v>1089200</v>
      </c>
      <c r="E127" s="7">
        <f>IF($A127="","",IFERROR(AVERAGEIFS(履歴10日!$F$2:$F$62000,履歴10日!$C$2:$C$62000,$A127&amp;"",履歴10日!$B$2:$B$62000,C127),""))</f>
        <v>1089200</v>
      </c>
      <c r="F127" s="13">
        <f t="shared" si="2"/>
        <v>1</v>
      </c>
      <c r="G127" s="7">
        <f>最新!F127</f>
        <v>2412</v>
      </c>
      <c r="H127" s="14">
        <f>最新!G127</f>
        <v>0.96479999999999999</v>
      </c>
      <c r="I127" s="14">
        <f>最新!H127</f>
        <v>0.95600475624256842</v>
      </c>
      <c r="K127" s="18">
        <f>IF($A127="","",IFERROR(D127/SUMIFS(履歴10日!$F$2:$F$62000,履歴10日!$C$2:$C$62000,$A127&amp;"",履歴10日!$B$2:$B$62000,C127,履歴10日!$A$2:$A$62000,N$1),""))</f>
      </c>
      <c r="L127">
        <f t="shared" si="3"/>
        <v>0</v>
      </c>
      <c r="M127" s="18"/>
    </row>
    <row r="128" spans="1:13">
      <c r="A128" s="7">
        <f>最新!A128</f>
        <v>6227</v>
      </c>
      <c r="B128" s="7" t="str">
        <f>最新!B128</f>
        <v>ＡＩメカテック</v>
      </c>
      <c r="C128" s="12">
        <f>最新!C128</f>
        <v>0.375</v>
      </c>
      <c r="D128" s="7">
        <f>最新!E128</f>
        <v>1581000</v>
      </c>
      <c r="E128" s="7">
        <f>IF($A128="","",IFERROR(AVERAGEIFS(履歴10日!$F$2:$F$62000,履歴10日!$C$2:$C$62000,$A128&amp;"",履歴10日!$B$2:$B$62000,C128),""))</f>
        <v>1581000</v>
      </c>
      <c r="F128" s="13">
        <f t="shared" si="2"/>
        <v>1</v>
      </c>
      <c r="G128" s="7">
        <f>最新!F128</f>
        <v>6820</v>
      </c>
      <c r="H128" s="14">
        <f>最新!G128</f>
        <v>0.99127906976744184</v>
      </c>
      <c r="I128" s="14">
        <f>最新!H128</f>
        <v>0.97012802275960175</v>
      </c>
      <c r="K128" s="18">
        <f>IF($A128="","",IFERROR(D128/SUMIFS(履歴10日!$F$2:$F$62000,履歴10日!$C$2:$C$62000,$A128&amp;"",履歴10日!$B$2:$B$62000,C128,履歴10日!$A$2:$A$62000,N$1),""))</f>
      </c>
      <c r="L128">
        <f t="shared" si="3"/>
        <v>0</v>
      </c>
      <c r="M128" s="18"/>
    </row>
    <row r="129" spans="1:13">
      <c r="A129" s="7">
        <f>最新!A129</f>
        <v>6327</v>
      </c>
      <c r="B129" s="7" t="str">
        <f>最新!B129</f>
        <v>北川精機</v>
      </c>
      <c r="C129" s="12">
        <f>最新!C129</f>
        <v>0.375</v>
      </c>
      <c r="D129" s="7">
        <f>最新!E129</f>
        <v>1011500</v>
      </c>
      <c r="E129" s="7">
        <f>IF($A129="","",IFERROR(AVERAGEIFS(履歴10日!$F$2:$F$62000,履歴10日!$C$2:$C$62000,$A129&amp;"",履歴10日!$B$2:$B$62000,C129),""))</f>
        <v>1011500</v>
      </c>
      <c r="F129" s="13">
        <f t="shared" si="2"/>
        <v>1</v>
      </c>
      <c r="G129" s="7">
        <f>最新!F129</f>
        <v>3890</v>
      </c>
      <c r="H129" s="14">
        <f>最新!G129</f>
        <v>0.95343137254901966</v>
      </c>
      <c r="I129" s="14">
        <f>最新!H129</f>
        <v>0.85120350109409193</v>
      </c>
      <c r="K129" s="18">
        <f>IF($A129="","",IFERROR(D129/SUMIFS(履歴10日!$F$2:$F$62000,履歴10日!$C$2:$C$62000,$A129&amp;"",履歴10日!$B$2:$B$62000,C129,履歴10日!$A$2:$A$62000,N$1),""))</f>
      </c>
      <c r="L129">
        <f t="shared" si="3"/>
        <v>0</v>
      </c>
      <c r="M129" s="18"/>
    </row>
    <row r="130" spans="1:13">
      <c r="A130" s="7">
        <f>最新!A130</f>
        <v>3110</v>
      </c>
      <c r="B130" s="7" t="str">
        <f>最新!B130</f>
        <v>日東紡績</v>
      </c>
      <c r="C130" s="12">
        <f>最新!C130</f>
        <v>0.375</v>
      </c>
      <c r="D130" s="7">
        <f>最新!E130</f>
        <v>5729700</v>
      </c>
      <c r="E130" s="7">
        <f>IF($A130="","",IFERROR(AVERAGEIFS(履歴10日!$F$2:$F$62000,履歴10日!$C$2:$C$62000,$A130&amp;"",履歴10日!$B$2:$B$62000,C130),""))</f>
        <v>5729700</v>
      </c>
      <c r="F130" s="13">
        <f t="shared" ref="F130:F193" si="4">IF(OR(D130="",E130="",E130=0),"",D130/E130)</f>
        <v>1</v>
      </c>
      <c r="G130" s="7">
        <f>最新!F130</f>
        <v>2944</v>
      </c>
      <c r="H130" s="14">
        <f>最新!G130</f>
        <v>0.93460317460317466</v>
      </c>
      <c r="I130" s="14">
        <f>最新!H130</f>
        <v>0.89756097560975612</v>
      </c>
      <c r="K130" s="18">
        <f>IF($A130="","",IFERROR(D130/SUMIFS(履歴10日!$F$2:$F$62000,履歴10日!$C$2:$C$62000,$A130&amp;"",履歴10日!$B$2:$B$62000,C130,履歴10日!$A$2:$A$62000,N$1),""))</f>
      </c>
      <c r="L130">
        <f t="shared" si="3"/>
        <v>0</v>
      </c>
      <c r="M130" s="18"/>
    </row>
    <row r="131" spans="1:13">
      <c r="A131" s="7">
        <f>最新!A131</f>
        <v>6232</v>
      </c>
      <c r="B131" s="7" t="str">
        <f>最新!B131</f>
        <v>ＡＣＳＬ</v>
      </c>
      <c r="C131" s="12">
        <f>最新!C131</f>
        <v>0.375</v>
      </c>
      <c r="D131" s="7">
        <f>最新!E131</f>
        <v>566200</v>
      </c>
      <c r="E131" s="7">
        <f>IF($A131="","",IFERROR(AVERAGEIFS(履歴10日!$F$2:$F$62000,履歴10日!$C$2:$C$62000,$A131&amp;"",履歴10日!$B$2:$B$62000,C131),""))</f>
        <v>566200</v>
      </c>
      <c r="F131" s="13">
        <f t="shared" si="4"/>
        <v>1</v>
      </c>
      <c r="G131" s="7">
        <f>最新!F131</f>
        <v>1638</v>
      </c>
      <c r="H131" s="14">
        <f>最新!G131</f>
        <v>0.95066744051073704</v>
      </c>
      <c r="I131" s="14">
        <f>最新!H131</f>
        <v>0.93280182232346243</v>
      </c>
      <c r="K131" s="18">
        <f>IF($A131="","",IFERROR(D131/SUMIFS(履歴10日!$F$2:$F$62000,履歴10日!$C$2:$C$62000,$A131&amp;"",履歴10日!$B$2:$B$62000,C131,履歴10日!$A$2:$A$62000,N$1),""))</f>
      </c>
      <c r="L131">
        <f t="shared" ref="L131:L194" si="5">IF(OR(D131="",D131="", D131="",E131="",$E131=0),"",(D131-E131)/E131)</f>
        <v>0</v>
      </c>
      <c r="M131" s="18"/>
    </row>
    <row r="132" spans="1:13">
      <c r="A132" s="7">
        <f>最新!A132</f>
        <v>7794</v>
      </c>
      <c r="B132" s="7" t="str">
        <f>最新!B132</f>
        <v>イーディーピー</v>
      </c>
      <c r="C132" s="12">
        <f>最新!C132</f>
        <v>0.375</v>
      </c>
      <c r="D132" s="7">
        <f>最新!E132</f>
        <v>417300</v>
      </c>
      <c r="E132" s="7">
        <f>IF($A132="","",IFERROR(AVERAGEIFS(履歴10日!$F$2:$F$62000,履歴10日!$C$2:$C$62000,$A132&amp;"",履歴10日!$B$2:$B$62000,C132),""))</f>
        <v>417300</v>
      </c>
      <c r="F132" s="13">
        <f t="shared" si="4"/>
        <v>1</v>
      </c>
      <c r="G132" s="7">
        <f>最新!F132</f>
        <v>899</v>
      </c>
      <c r="H132" s="14">
        <f>最新!G132</f>
        <v>0.96666666666666667</v>
      </c>
      <c r="I132" s="14">
        <f>最新!H132</f>
        <v>0.94432773109243695</v>
      </c>
      <c r="K132" s="18">
        <f>IF($A132="","",IFERROR(D132/SUMIFS(履歴10日!$F$2:$F$62000,履歴10日!$C$2:$C$62000,$A132&amp;"",履歴10日!$B$2:$B$62000,C132,履歴10日!$A$2:$A$62000,N$1),""))</f>
      </c>
      <c r="L132">
        <f t="shared" si="5"/>
        <v>0</v>
      </c>
      <c r="M132" s="18"/>
    </row>
    <row r="133" spans="1:13">
      <c r="A133" s="7">
        <f>最新!A133</f>
        <v>6085</v>
      </c>
      <c r="B133" s="7" t="str">
        <f>最新!B133</f>
        <v>アーキテクツＳＪ</v>
      </c>
      <c r="C133" s="12">
        <f>最新!C133</f>
        <v>0.375</v>
      </c>
      <c r="D133" s="7">
        <f>最新!E133</f>
        <v>3572200</v>
      </c>
      <c r="E133" s="7">
        <f>IF($A133="","",IFERROR(AVERAGEIFS(履歴10日!$F$2:$F$62000,履歴10日!$C$2:$C$62000,$A133&amp;"",履歴10日!$B$2:$B$62000,C133),""))</f>
        <v>3572200</v>
      </c>
      <c r="F133" s="13">
        <f t="shared" si="4"/>
        <v>1</v>
      </c>
      <c r="G133" s="7">
        <f>最新!F133</f>
        <v>153</v>
      </c>
      <c r="H133" s="14">
        <f>最新!G133</f>
        <v>0.91616766467065869</v>
      </c>
      <c r="I133" s="14">
        <f>最新!H133</f>
        <v>0.91616766467065869</v>
      </c>
      <c r="K133" s="18">
        <f>IF($A133="","",IFERROR(D133/SUMIFS(履歴10日!$F$2:$F$62000,履歴10日!$C$2:$C$62000,$A133&amp;"",履歴10日!$B$2:$B$62000,C133,履歴10日!$A$2:$A$62000,N$1),""))</f>
      </c>
      <c r="L133">
        <f t="shared" si="5"/>
        <v>0</v>
      </c>
      <c r="M133" s="18"/>
    </row>
    <row r="134" spans="1:13">
      <c r="A134" s="7">
        <f>最新!A134</f>
        <v>3103</v>
      </c>
      <c r="B134" s="7" t="str">
        <f>最新!B134</f>
        <v>ユニチカ</v>
      </c>
      <c r="C134" s="12">
        <f>最新!C134</f>
        <v>0.375</v>
      </c>
      <c r="D134" s="7">
        <f>最新!E134</f>
        <v>3139600</v>
      </c>
      <c r="E134" s="7">
        <f>IF($A134="","",IFERROR(AVERAGEIFS(履歴10日!$F$2:$F$62000,履歴10日!$C$2:$C$62000,$A134&amp;"",履歴10日!$B$2:$B$62000,C134),""))</f>
        <v>3139600</v>
      </c>
      <c r="F134" s="13">
        <f t="shared" si="4"/>
        <v>1</v>
      </c>
      <c r="G134" s="7">
        <f>最新!F134</f>
        <v>835</v>
      </c>
      <c r="H134" s="14">
        <f>最新!G134</f>
        <v>0.89784946236559138</v>
      </c>
      <c r="I134" s="14">
        <f>最新!H134</f>
        <v>0.8835978835978836</v>
      </c>
      <c r="K134" s="18">
        <f>IF($A134="","",IFERROR(D134/SUMIFS(履歴10日!$F$2:$F$62000,履歴10日!$C$2:$C$62000,$A134&amp;"",履歴10日!$B$2:$B$62000,C134,履歴10日!$A$2:$A$62000,N$1),""))</f>
      </c>
      <c r="L134">
        <f t="shared" si="5"/>
        <v>0</v>
      </c>
      <c r="M134" s="18"/>
    </row>
    <row r="135" spans="1:13">
      <c r="A135" s="7">
        <f>最新!A135</f>
        <v>4422</v>
      </c>
      <c r="B135" s="7" t="str">
        <f>最新!B135</f>
        <v>ＶＡＬＵＥＮＥＸ</v>
      </c>
      <c r="C135" s="12">
        <f>最新!C135</f>
        <v>0.375</v>
      </c>
      <c r="D135" s="7">
        <f>最新!E135</f>
        <v>93400</v>
      </c>
      <c r="E135" s="7">
        <f>IF($A135="","",IFERROR(AVERAGEIFS(履歴10日!$F$2:$F$62000,履歴10日!$C$2:$C$62000,$A135&amp;"",履歴10日!$B$2:$B$62000,C135),""))</f>
        <v>93400</v>
      </c>
      <c r="F135" s="13">
        <f t="shared" si="4"/>
        <v>1</v>
      </c>
      <c r="G135" s="7">
        <f>最新!F135</f>
        <v>510</v>
      </c>
      <c r="H135" s="14">
        <f>最新!G135</f>
        <v>0.925589836660617</v>
      </c>
      <c r="I135" s="14">
        <f>最新!H135</f>
        <v>0.91234347048300535</v>
      </c>
      <c r="K135" s="18">
        <f>IF($A135="","",IFERROR(D135/SUMIFS(履歴10日!$F$2:$F$62000,履歴10日!$C$2:$C$62000,$A135&amp;"",履歴10日!$B$2:$B$62000,C135,履歴10日!$A$2:$A$62000,N$1),""))</f>
      </c>
      <c r="L135">
        <f t="shared" si="5"/>
        <v>0</v>
      </c>
      <c r="M135" s="18"/>
    </row>
    <row r="136" spans="1:13">
      <c r="A136" s="7">
        <f>最新!A136</f>
        <v>6740</v>
      </c>
      <c r="B136" s="7" t="str">
        <f>最新!B136</f>
        <v>ジャパンディスプレイ</v>
      </c>
      <c r="C136" s="12">
        <f>最新!C136</f>
        <v>0.375</v>
      </c>
      <c r="D136" s="7">
        <f>最新!E136</f>
        <v>29863500</v>
      </c>
      <c r="E136" s="7">
        <f>IF($A136="","",IFERROR(AVERAGEIFS(履歴10日!$F$2:$F$62000,履歴10日!$C$2:$C$62000,$A136&amp;"",履歴10日!$B$2:$B$62000,C136),""))</f>
        <v>29863500</v>
      </c>
      <c r="F136" s="13">
        <f t="shared" si="4"/>
        <v>1</v>
      </c>
      <c r="G136" s="7">
        <f>最新!F136</f>
        <v>46</v>
      </c>
      <c r="H136" s="14">
        <f>最新!G136</f>
        <v>0.95833333333333337</v>
      </c>
      <c r="I136" s="14">
        <f>最新!H136</f>
        <v>0.93877551020408168</v>
      </c>
      <c r="K136" s="18">
        <f>IF($A136="","",IFERROR(D136/SUMIFS(履歴10日!$F$2:$F$62000,履歴10日!$C$2:$C$62000,$A136&amp;"",履歴10日!$B$2:$B$62000,C136,履歴10日!$A$2:$A$62000,N$1),""))</f>
      </c>
      <c r="L136">
        <f t="shared" si="5"/>
        <v>0</v>
      </c>
      <c r="M136" s="18"/>
    </row>
    <row r="137" spans="1:13">
      <c r="A137" s="7">
        <f>最新!A137</f>
        <v>6613</v>
      </c>
      <c r="B137" s="7" t="str">
        <f>最新!B137</f>
        <v>ＱＤレーザ</v>
      </c>
      <c r="C137" s="12">
        <f>最新!C137</f>
        <v>0.375</v>
      </c>
      <c r="D137" s="7">
        <f>最新!E137</f>
        <v>6009200</v>
      </c>
      <c r="E137" s="7">
        <f>IF($A137="","",IFERROR(AVERAGEIFS(履歴10日!$F$2:$F$62000,履歴10日!$C$2:$C$62000,$A137&amp;"",履歴10日!$B$2:$B$62000,C137),""))</f>
        <v>6009200</v>
      </c>
      <c r="F137" s="13">
        <f t="shared" si="4"/>
        <v>1</v>
      </c>
      <c r="G137" s="7">
        <f>最新!F137</f>
        <v>1699</v>
      </c>
      <c r="H137" s="14">
        <f>最新!G137</f>
        <v>1.0487654320987654</v>
      </c>
      <c r="I137" s="14">
        <f>最新!H137</f>
        <v>0.87577319587628866</v>
      </c>
      <c r="K137" s="18">
        <f>IF($A137="","",IFERROR(D137/SUMIFS(履歴10日!$F$2:$F$62000,履歴10日!$C$2:$C$62000,$A137&amp;"",履歴10日!$B$2:$B$62000,C137,履歴10日!$A$2:$A$62000,N$1),""))</f>
      </c>
      <c r="L137">
        <f t="shared" si="5"/>
        <v>0</v>
      </c>
      <c r="M137" s="18"/>
    </row>
    <row r="138" spans="1:13">
      <c r="A138" s="7">
        <f>最新!A138</f>
        <v>4568</v>
      </c>
      <c r="B138" s="7" t="str">
        <f>最新!B138</f>
        <v>第一三共</v>
      </c>
      <c r="C138" s="12">
        <f>最新!C138</f>
        <v>0.375</v>
      </c>
      <c r="D138" s="7">
        <f>最新!E138</f>
        <v>4839400</v>
      </c>
      <c r="E138" s="7">
        <f>IF($A138="","",IFERROR(AVERAGEIFS(履歴10日!$F$2:$F$62000,履歴10日!$C$2:$C$62000,$A138&amp;"",履歴10日!$B$2:$B$62000,C138),""))</f>
        <v>4839400</v>
      </c>
      <c r="F138" s="13">
        <f t="shared" si="4"/>
        <v>1</v>
      </c>
      <c r="G138" s="7">
        <f>最新!F138</f>
        <v>2769</v>
      </c>
      <c r="H138" s="14">
        <f>最新!G138</f>
        <v>1.0050816696914699</v>
      </c>
      <c r="I138" s="14">
        <f>最新!H138</f>
        <v>1.0081922446750409</v>
      </c>
      <c r="K138" s="18">
        <f>IF($A138="","",IFERROR(D138/SUMIFS(履歴10日!$F$2:$F$62000,履歴10日!$C$2:$C$62000,$A138&amp;"",履歴10日!$B$2:$B$62000,C138,履歴10日!$A$2:$A$62000,N$1),""))</f>
      </c>
      <c r="L138">
        <f t="shared" si="5"/>
        <v>0</v>
      </c>
      <c r="M138" s="18"/>
    </row>
    <row r="139" spans="1:13">
      <c r="A139" s="7">
        <f>最新!A139</f>
        <v>6522</v>
      </c>
      <c r="B139" s="7" t="str">
        <f>最新!B139</f>
        <v>アスタリスク</v>
      </c>
      <c r="C139" s="12">
        <f>最新!C139</f>
        <v>0.375</v>
      </c>
      <c r="D139" s="7">
        <f>最新!E139</f>
        <v>1053700</v>
      </c>
      <c r="E139" s="7">
        <f>IF($A139="","",IFERROR(AVERAGEIFS(履歴10日!$F$2:$F$62000,履歴10日!$C$2:$C$62000,$A139&amp;"",履歴10日!$B$2:$B$62000,C139),""))</f>
        <v>1053700</v>
      </c>
      <c r="F139" s="13">
        <f t="shared" si="4"/>
        <v>1</v>
      </c>
      <c r="G139" s="7">
        <f>最新!F139</f>
        <v>1342</v>
      </c>
      <c r="H139" s="14">
        <f>最新!G139</f>
        <v>0.95244854506742371</v>
      </c>
      <c r="I139" s="14">
        <f>最新!H139</f>
        <v>0.89526350900600404</v>
      </c>
      <c r="K139" s="18">
        <f>IF($A139="","",IFERROR(D139/SUMIFS(履歴10日!$F$2:$F$62000,履歴10日!$C$2:$C$62000,$A139&amp;"",履歴10日!$B$2:$B$62000,C139,履歴10日!$A$2:$A$62000,N$1),""))</f>
      </c>
      <c r="L139">
        <f t="shared" si="5"/>
        <v>0</v>
      </c>
      <c r="M139" s="18"/>
    </row>
    <row r="140" spans="1:13">
      <c r="A140" s="7">
        <f>最新!A140</f>
        <v>6777</v>
      </c>
      <c r="B140" s="7" t="str">
        <f>最新!B140</f>
        <v>ＳＡＮＴＥＣＨＯＬＤＩＮＧＳ</v>
      </c>
      <c r="C140" s="12">
        <f>最新!C140</f>
        <v>0.375</v>
      </c>
      <c r="D140" s="7">
        <f>最新!E140</f>
        <v>155900</v>
      </c>
      <c r="E140" s="7">
        <f>IF($A140="","",IFERROR(AVERAGEIFS(履歴10日!$F$2:$F$62000,履歴10日!$C$2:$C$62000,$A140&amp;"",履歴10日!$B$2:$B$62000,C140),""))</f>
        <v>155900</v>
      </c>
      <c r="F140" s="13">
        <f t="shared" si="4"/>
        <v>1</v>
      </c>
      <c r="G140" s="7">
        <f>最新!F140</f>
        <v>18240</v>
      </c>
      <c r="H140" s="14">
        <f>最新!G140</f>
        <v>0.92966360856269115</v>
      </c>
      <c r="I140" s="14">
        <f>最新!H140</f>
        <v>0.88457807953443257</v>
      </c>
      <c r="K140" s="18">
        <f>IF($A140="","",IFERROR(D140/SUMIFS(履歴10日!$F$2:$F$62000,履歴10日!$C$2:$C$62000,$A140&amp;"",履歴10日!$B$2:$B$62000,C140,履歴10日!$A$2:$A$62000,N$1),""))</f>
      </c>
      <c r="L140">
        <f t="shared" si="5"/>
        <v>0</v>
      </c>
      <c r="M140" s="18"/>
    </row>
    <row r="141" spans="1:13">
      <c r="A141" s="7">
        <f>最新!A141</f>
        <v>6787</v>
      </c>
      <c r="B141" s="7" t="str">
        <f>最新!B141</f>
        <v>メイコー</v>
      </c>
      <c r="C141" s="12">
        <f>最新!C141</f>
        <v>0.375</v>
      </c>
      <c r="D141" s="7">
        <f>最新!E141</f>
        <v>486500</v>
      </c>
      <c r="E141" s="7">
        <f>IF($A141="","",IFERROR(AVERAGEIFS(履歴10日!$F$2:$F$62000,履歴10日!$C$2:$C$62000,$A141&amp;"",履歴10日!$B$2:$B$62000,C141),""))</f>
        <v>486500</v>
      </c>
      <c r="F141" s="13">
        <f t="shared" si="4"/>
        <v>1</v>
      </c>
      <c r="G141" s="7">
        <f>最新!F141</f>
        <v>22110</v>
      </c>
      <c r="H141" s="14">
        <f>最新!G141</f>
        <v>0.92860142797144052</v>
      </c>
      <c r="I141" s="14">
        <f>最新!H141</f>
        <v>0.89153225806451608</v>
      </c>
      <c r="K141" s="18">
        <f>IF($A141="","",IFERROR(D141/SUMIFS(履歴10日!$F$2:$F$62000,履歴10日!$C$2:$C$62000,$A141&amp;"",履歴10日!$B$2:$B$62000,C141,履歴10日!$A$2:$A$62000,N$1),""))</f>
      </c>
      <c r="L141">
        <f t="shared" si="5"/>
        <v>0</v>
      </c>
      <c r="M141" s="18"/>
    </row>
    <row r="142" spans="1:13">
      <c r="A142" s="7">
        <f>最新!A142</f>
        <v>4888</v>
      </c>
      <c r="B142" s="7" t="str">
        <f>最新!B142</f>
        <v>ステラファーマ</v>
      </c>
      <c r="C142" s="12">
        <f>最新!C142</f>
        <v>0.375</v>
      </c>
      <c r="D142" s="7">
        <f>最新!E142</f>
        <v>499700</v>
      </c>
      <c r="E142" s="7">
        <f>IF($A142="","",IFERROR(AVERAGEIFS(履歴10日!$F$2:$F$62000,履歴10日!$C$2:$C$62000,$A142&amp;"",履歴10日!$B$2:$B$62000,C142),""))</f>
        <v>499700</v>
      </c>
      <c r="F142" s="13">
        <f t="shared" si="4"/>
        <v>1</v>
      </c>
      <c r="G142" s="7">
        <f>最新!F142</f>
        <v>299</v>
      </c>
      <c r="H142" s="14">
        <f>最新!G142</f>
        <v>0.95833333333333337</v>
      </c>
      <c r="I142" s="14">
        <f>最新!H142</f>
        <v>0.93730407523510972</v>
      </c>
      <c r="K142" s="18">
        <f>IF($A142="","",IFERROR(D142/SUMIFS(履歴10日!$F$2:$F$62000,履歴10日!$C$2:$C$62000,$A142&amp;"",履歴10日!$B$2:$B$62000,C142,履歴10日!$A$2:$A$62000,N$1),""))</f>
      </c>
      <c r="L142">
        <f t="shared" si="5"/>
        <v>0</v>
      </c>
      <c r="M142" s="18"/>
    </row>
    <row r="143" spans="1:13">
      <c r="A143" s="7">
        <f>最新!A143</f>
        <v>6387</v>
      </c>
      <c r="B143" s="7" t="str">
        <f>最新!B143</f>
        <v>サムコ</v>
      </c>
      <c r="C143" s="12">
        <f>最新!C143</f>
        <v>0.375</v>
      </c>
      <c r="D143" s="7">
        <f>最新!E143</f>
        <v>110700</v>
      </c>
      <c r="E143" s="7">
        <f>IF($A143="","",IFERROR(AVERAGEIFS(履歴10日!$F$2:$F$62000,履歴10日!$C$2:$C$62000,$A143&amp;"",履歴10日!$B$2:$B$62000,C143),""))</f>
        <v>110700</v>
      </c>
      <c r="F143" s="13">
        <f t="shared" si="4"/>
        <v>1</v>
      </c>
      <c r="G143" s="7">
        <f>最新!F143</f>
        <v>9730</v>
      </c>
      <c r="H143" s="14">
        <f>最新!G143</f>
        <v>0.92140151515151514</v>
      </c>
      <c r="I143" s="14">
        <f>最新!H143</f>
        <v>0.85500878734622143</v>
      </c>
      <c r="K143" s="18">
        <f>IF($A143="","",IFERROR(D143/SUMIFS(履歴10日!$F$2:$F$62000,履歴10日!$C$2:$C$62000,$A143&amp;"",履歴10日!$B$2:$B$62000,C143,履歴10日!$A$2:$A$62000,N$1),""))</f>
      </c>
      <c r="L143">
        <f t="shared" si="5"/>
        <v>0</v>
      </c>
      <c r="M143" s="18"/>
    </row>
    <row r="144" spans="1:13">
      <c r="A144" s="7">
        <f>最新!A144</f>
        <v>6838</v>
      </c>
      <c r="B144" s="7" t="str">
        <f>最新!B144</f>
        <v>多摩川ホールディングス</v>
      </c>
      <c r="C144" s="12">
        <f>最新!C144</f>
        <v>0.375</v>
      </c>
      <c r="D144" s="7">
        <f>最新!E144</f>
        <v>404500</v>
      </c>
      <c r="E144" s="7">
        <f>IF($A144="","",IFERROR(AVERAGEIFS(履歴10日!$F$2:$F$62000,履歴10日!$C$2:$C$62000,$A144&amp;"",履歴10日!$B$2:$B$62000,C144),""))</f>
        <v>404500</v>
      </c>
      <c r="F144" s="13">
        <f t="shared" si="4"/>
        <v>1</v>
      </c>
      <c r="G144" s="7">
        <f>最新!F144</f>
        <v>1308</v>
      </c>
      <c r="H144" s="14">
        <f>最新!G144</f>
        <v>0.91404612159329135</v>
      </c>
      <c r="I144" s="14">
        <f>最新!H144</f>
        <v>0.91022964509394577</v>
      </c>
      <c r="K144" s="18">
        <f>IF($A144="","",IFERROR(D144/SUMIFS(履歴10日!$F$2:$F$62000,履歴10日!$C$2:$C$62000,$A144&amp;"",履歴10日!$B$2:$B$62000,C144,履歴10日!$A$2:$A$62000,N$1),""))</f>
      </c>
      <c r="L144">
        <f t="shared" si="5"/>
        <v>0</v>
      </c>
      <c r="M144" s="18"/>
    </row>
    <row r="145" spans="1:13">
      <c r="A145" s="7">
        <f>最新!A145</f>
        <v>7375</v>
      </c>
      <c r="B145" s="7" t="str">
        <f>最新!B145</f>
        <v>リファインバースグループ</v>
      </c>
      <c r="C145" s="12">
        <f>最新!C145</f>
        <v>0.375</v>
      </c>
      <c r="D145" s="7">
        <f>最新!E145</f>
        <v>64200</v>
      </c>
      <c r="E145" s="7">
        <f>IF($A145="","",IFERROR(AVERAGEIFS(履歴10日!$F$2:$F$62000,履歴10日!$C$2:$C$62000,$A145&amp;"",履歴10日!$B$2:$B$62000,C145),""))</f>
        <v>64200</v>
      </c>
      <c r="F145" s="13">
        <f t="shared" si="4"/>
        <v>1</v>
      </c>
      <c r="G145" s="7">
        <f>最新!F145</f>
        <v>1187</v>
      </c>
      <c r="H145" s="14">
        <f>最新!G145</f>
        <v>0.93982581155977829</v>
      </c>
      <c r="I145" s="14">
        <f>最新!H145</f>
        <v>0.93391030684500398</v>
      </c>
      <c r="K145" s="18">
        <f>IF($A145="","",IFERROR(D145/SUMIFS(履歴10日!$F$2:$F$62000,履歴10日!$C$2:$C$62000,$A145&amp;"",履歴10日!$B$2:$B$62000,C145,履歴10日!$A$2:$A$62000,N$1),""))</f>
      </c>
      <c r="L145">
        <f t="shared" si="5"/>
        <v>0</v>
      </c>
      <c r="M145" s="18"/>
    </row>
    <row r="146" spans="1:13">
      <c r="A146" s="7">
        <f>最新!A146</f>
        <v>4307</v>
      </c>
      <c r="B146" s="7" t="str">
        <f>最新!B146</f>
        <v>野村総合研究所</v>
      </c>
      <c r="C146" s="12">
        <f>最新!C146</f>
        <v>0.375</v>
      </c>
      <c r="D146" s="7">
        <f>最新!E146</f>
        <v>1993900</v>
      </c>
      <c r="E146" s="7">
        <f>IF($A146="","",IFERROR(AVERAGEIFS(履歴10日!$F$2:$F$62000,履歴10日!$C$2:$C$62000,$A146&amp;"",履歴10日!$B$2:$B$62000,C146),""))</f>
        <v>1993900</v>
      </c>
      <c r="F146" s="13">
        <f t="shared" si="4"/>
        <v>1</v>
      </c>
      <c r="G146" s="7">
        <f>最新!F146</f>
        <v>5089</v>
      </c>
      <c r="H146" s="14">
        <f>最新!G146</f>
        <v>0.99007782101167319</v>
      </c>
      <c r="I146" s="14">
        <f>最新!H146</f>
        <v>0.99784313725490192</v>
      </c>
      <c r="K146" s="18">
        <f>IF($A146="","",IFERROR(D146/SUMIFS(履歴10日!$F$2:$F$62000,履歴10日!$C$2:$C$62000,$A146&amp;"",履歴10日!$B$2:$B$62000,C146,履歴10日!$A$2:$A$62000,N$1),""))</f>
      </c>
      <c r="L146">
        <f t="shared" si="5"/>
        <v>0</v>
      </c>
      <c r="M146" s="18"/>
    </row>
    <row r="147" spans="1:13">
      <c r="A147" s="7">
        <f>最新!A147</f>
        <v>6516</v>
      </c>
      <c r="B147" s="7" t="str">
        <f>最新!B147</f>
        <v>山洋電気</v>
      </c>
      <c r="C147" s="12">
        <f>最新!C147</f>
        <v>0.375</v>
      </c>
      <c r="D147" s="7">
        <f>最新!E147</f>
        <v>119500</v>
      </c>
      <c r="E147" s="7">
        <f>IF($A147="","",IFERROR(AVERAGEIFS(履歴10日!$F$2:$F$62000,履歴10日!$C$2:$C$62000,$A147&amp;"",履歴10日!$B$2:$B$62000,C147),""))</f>
        <v>119500</v>
      </c>
      <c r="F147" s="13">
        <f t="shared" si="4"/>
        <v>1</v>
      </c>
      <c r="G147" s="7">
        <f>最新!F147</f>
        <v>5340</v>
      </c>
      <c r="H147" s="14">
        <f>最新!G147</f>
        <v>0.956989247311828</v>
      </c>
      <c r="I147" s="14">
        <f>最新!H147</f>
        <v>0.92387543252595161</v>
      </c>
      <c r="K147" s="18">
        <f>IF($A147="","",IFERROR(D147/SUMIFS(履歴10日!$F$2:$F$62000,履歴10日!$C$2:$C$62000,$A147&amp;"",履歴10日!$B$2:$B$62000,C147,履歴10日!$A$2:$A$62000,N$1),""))</f>
      </c>
      <c r="L147">
        <f t="shared" si="5"/>
        <v>0</v>
      </c>
      <c r="M147" s="18"/>
    </row>
    <row r="148" spans="1:13">
      <c r="A148" s="7">
        <f>最新!A148</f>
        <v>7381</v>
      </c>
      <c r="B148" s="7" t="str">
        <f>最新!B148</f>
        <v>ＣＣＩグループ</v>
      </c>
      <c r="C148" s="12">
        <f>最新!C148</f>
        <v>0.375</v>
      </c>
      <c r="D148" s="7">
        <f>最新!E148</f>
        <v>700500</v>
      </c>
      <c r="E148" s="7">
        <f>IF($A148="","",IFERROR(AVERAGEIFS(履歴10日!$F$2:$F$62000,履歴10日!$C$2:$C$62000,$A148&amp;"",履歴10日!$B$2:$B$62000,C148),""))</f>
        <v>700500</v>
      </c>
      <c r="F148" s="13">
        <f t="shared" si="4"/>
        <v>1</v>
      </c>
      <c r="G148" s="7">
        <f>最新!F148</f>
        <v>1057</v>
      </c>
      <c r="H148" s="14">
        <f>最新!G148</f>
        <v>0.92233856893542754</v>
      </c>
      <c r="I148" s="14">
        <f>最新!H148</f>
        <v>0.9231441048034934</v>
      </c>
      <c r="K148" s="18">
        <f>IF($A148="","",IFERROR(D148/SUMIFS(履歴10日!$F$2:$F$62000,履歴10日!$C$2:$C$62000,$A148&amp;"",履歴10日!$B$2:$B$62000,C148,履歴10日!$A$2:$A$62000,N$1),""))</f>
      </c>
      <c r="L148">
        <f t="shared" si="5"/>
        <v>0</v>
      </c>
      <c r="M148" s="18"/>
    </row>
    <row r="149" spans="1:13">
      <c r="A149" s="7">
        <f>最新!A149</f>
        <v>4417</v>
      </c>
      <c r="B149" s="7" t="str">
        <f>最新!B149</f>
        <v>グローバルセキュ</v>
      </c>
      <c r="C149" s="12">
        <f>最新!C149</f>
        <v>0.375</v>
      </c>
      <c r="D149" s="7">
        <f>最新!E149</f>
        <v>80100</v>
      </c>
      <c r="E149" s="7">
        <f>IF($A149="","",IFERROR(AVERAGEIFS(履歴10日!$F$2:$F$62000,履歴10日!$C$2:$C$62000,$A149&amp;"",履歴10日!$B$2:$B$62000,C149),""))</f>
        <v>80100</v>
      </c>
      <c r="F149" s="13">
        <f t="shared" si="4"/>
        <v>1</v>
      </c>
      <c r="G149" s="7">
        <f>最新!F149</f>
        <v>4385</v>
      </c>
      <c r="H149" s="14">
        <f>最新!G149</f>
        <v>0.97661469933184852</v>
      </c>
      <c r="I149" s="14">
        <f>最新!H149</f>
        <v>0.99096045197740112</v>
      </c>
      <c r="K149" s="18">
        <f>IF($A149="","",IFERROR(D149/SUMIFS(履歴10日!$F$2:$F$62000,履歴10日!$C$2:$C$62000,$A149&amp;"",履歴10日!$B$2:$B$62000,C149,履歴10日!$A$2:$A$62000,N$1),""))</f>
      </c>
      <c r="L149">
        <f t="shared" si="5"/>
        <v>0</v>
      </c>
      <c r="M149" s="18"/>
    </row>
    <row r="150" spans="1:13">
      <c r="A150" s="7">
        <f>最新!A150</f>
        <v>6981</v>
      </c>
      <c r="B150" s="7" t="str">
        <f>最新!B150</f>
        <v>村田製作所</v>
      </c>
      <c r="C150" s="12">
        <f>最新!C150</f>
        <v>0.375</v>
      </c>
      <c r="D150" s="7">
        <f>最新!E150</f>
        <v>37257600</v>
      </c>
      <c r="E150" s="7">
        <f>IF($A150="","",IFERROR(AVERAGEIFS(履歴10日!$F$2:$F$62000,履歴10日!$C$2:$C$62000,$A150&amp;"",履歴10日!$B$2:$B$62000,C150),""))</f>
        <v>37257600</v>
      </c>
      <c r="F150" s="13">
        <f t="shared" si="4"/>
        <v>1</v>
      </c>
      <c r="G150" s="7">
        <f>最新!F150</f>
        <v>7358</v>
      </c>
      <c r="H150" s="14">
        <f>最新!G150</f>
        <v>0.94188428059395801</v>
      </c>
      <c r="I150" s="14">
        <f>最新!H150</f>
        <v>0.87595238095238093</v>
      </c>
      <c r="K150" s="18">
        <f>IF($A150="","",IFERROR(D150/SUMIFS(履歴10日!$F$2:$F$62000,履歴10日!$C$2:$C$62000,$A150&amp;"",履歴10日!$B$2:$B$62000,C150,履歴10日!$A$2:$A$62000,N$1),""))</f>
      </c>
      <c r="L150">
        <f t="shared" si="5"/>
        <v>0</v>
      </c>
      <c r="M150" s="18"/>
    </row>
    <row r="151" spans="1:13">
      <c r="A151" s="7">
        <f>最新!A151</f>
        <v>6754</v>
      </c>
      <c r="B151" s="7" t="str">
        <f>最新!B151</f>
        <v>アンリツ</v>
      </c>
      <c r="C151" s="12">
        <f>最新!C151</f>
        <v>0.375</v>
      </c>
      <c r="D151" s="7">
        <f>最新!E151</f>
        <v>1375200</v>
      </c>
      <c r="E151" s="7">
        <f>IF($A151="","",IFERROR(AVERAGEIFS(履歴10日!$F$2:$F$62000,履歴10日!$C$2:$C$62000,$A151&amp;"",履歴10日!$B$2:$B$62000,C151),""))</f>
        <v>1375200</v>
      </c>
      <c r="F151" s="13">
        <f t="shared" si="4"/>
        <v>1</v>
      </c>
      <c r="G151" s="7">
        <f>最新!F151</f>
        <v>3580</v>
      </c>
      <c r="H151" s="14">
        <f>最新!G151</f>
        <v>0.94260136914165349</v>
      </c>
      <c r="I151" s="14">
        <f>最新!H151</f>
        <v>0.91279959204487504</v>
      </c>
      <c r="K151" s="18">
        <f>IF($A151="","",IFERROR(D151/SUMIFS(履歴10日!$F$2:$F$62000,履歴10日!$C$2:$C$62000,$A151&amp;"",履歴10日!$B$2:$B$62000,C151,履歴10日!$A$2:$A$62000,N$1),""))</f>
      </c>
      <c r="L151">
        <f t="shared" si="5"/>
        <v>0</v>
      </c>
      <c r="M151" s="18"/>
    </row>
    <row r="152" spans="1:13">
      <c r="A152" s="7">
        <f>最新!A152</f>
        <v>4088</v>
      </c>
      <c r="B152" s="7" t="str">
        <f>最新!B152</f>
        <v>エア・ウォーター</v>
      </c>
      <c r="C152" s="12">
        <f>最新!C152</f>
        <v>0.375</v>
      </c>
      <c r="D152" s="7">
        <f>最新!E152</f>
        <v>550600</v>
      </c>
      <c r="E152" s="7">
        <f>IF($A152="","",IFERROR(AVERAGEIFS(履歴10日!$F$2:$F$62000,履歴10日!$C$2:$C$62000,$A152&amp;"",履歴10日!$B$2:$B$62000,C152),""))</f>
        <v>550600</v>
      </c>
      <c r="F152" s="13">
        <f t="shared" si="4"/>
        <v>1</v>
      </c>
      <c r="G152" s="7">
        <f>最新!F152</f>
        <v>2515</v>
      </c>
      <c r="H152" s="14">
        <f>最新!G152</f>
        <v>0.99603960396039604</v>
      </c>
      <c r="I152" s="14">
        <f>最新!H152</f>
        <v>0.99407114624505932</v>
      </c>
      <c r="K152" s="18">
        <f>IF($A152="","",IFERROR(D152/SUMIFS(履歴10日!$F$2:$F$62000,履歴10日!$C$2:$C$62000,$A152&amp;"",履歴10日!$B$2:$B$62000,C152,履歴10日!$A$2:$A$62000,N$1),""))</f>
      </c>
      <c r="L152">
        <f t="shared" si="5"/>
        <v>0</v>
      </c>
      <c r="M152" s="18"/>
    </row>
    <row r="153" spans="1:13">
      <c r="A153" s="7">
        <f>最新!A153</f>
        <v>4091</v>
      </c>
      <c r="B153" s="7" t="str">
        <f>最新!B153</f>
        <v>日本酸素ＨＬＤＧＳ</v>
      </c>
      <c r="C153" s="12">
        <f>最新!C153</f>
        <v>0.375</v>
      </c>
      <c r="D153" s="7">
        <f>最新!E153</f>
        <v>251600</v>
      </c>
      <c r="E153" s="7">
        <f>IF($A153="","",IFERROR(AVERAGEIFS(履歴10日!$F$2:$F$62000,履歴10日!$C$2:$C$62000,$A153&amp;"",履歴10日!$B$2:$B$62000,C153),""))</f>
        <v>251600</v>
      </c>
      <c r="F153" s="13">
        <f t="shared" si="4"/>
        <v>1</v>
      </c>
      <c r="G153" s="7">
        <f>最新!F153</f>
        <v>5951</v>
      </c>
      <c r="H153" s="14">
        <f>最新!G153</f>
        <v>0.97318070318887984</v>
      </c>
      <c r="I153" s="14">
        <f>最新!H153</f>
        <v>0.98673520145912785</v>
      </c>
      <c r="K153" s="18">
        <f>IF($A153="","",IFERROR(D153/SUMIFS(履歴10日!$F$2:$F$62000,履歴10日!$C$2:$C$62000,$A153&amp;"",履歴10日!$B$2:$B$62000,C153,履歴10日!$A$2:$A$62000,N$1),""))</f>
      </c>
      <c r="L153">
        <f t="shared" si="5"/>
        <v>0</v>
      </c>
      <c r="M153" s="18"/>
    </row>
    <row r="154" spans="1:13">
      <c r="A154" s="7">
        <f>最新!A154</f>
        <v>6857</v>
      </c>
      <c r="B154" s="7" t="str">
        <f>最新!B154</f>
        <v>アドバンテスト</v>
      </c>
      <c r="C154" s="12">
        <f>最新!C154</f>
        <v>0.375</v>
      </c>
      <c r="D154" s="7">
        <f>最新!E154</f>
        <v>10892800</v>
      </c>
      <c r="E154" s="7">
        <f>IF($A154="","",IFERROR(AVERAGEIFS(履歴10日!$F$2:$F$62000,履歴10日!$C$2:$C$62000,$A154&amp;"",履歴10日!$B$2:$B$62000,C154),""))</f>
        <v>10892800</v>
      </c>
      <c r="F154" s="13">
        <f t="shared" si="4"/>
        <v>1</v>
      </c>
      <c r="G154" s="7">
        <f>最新!F154</f>
        <v>26820</v>
      </c>
      <c r="H154" s="14">
        <f>最新!G154</f>
        <v>0.95309168443496806</v>
      </c>
      <c r="I154" s="14">
        <f>最新!H154</f>
        <v>0.90485829959514175</v>
      </c>
      <c r="K154" s="18">
        <f>IF($A154="","",IFERROR(D154/SUMIFS(履歴10日!$F$2:$F$62000,履歴10日!$C$2:$C$62000,$A154&amp;"",履歴10日!$B$2:$B$62000,C154,履歴10日!$A$2:$A$62000,N$1),""))</f>
      </c>
      <c r="L154">
        <f t="shared" si="5"/>
        <v>0</v>
      </c>
      <c r="M154" s="18"/>
    </row>
    <row r="155" spans="1:13">
      <c r="A155" s="7">
        <f>最新!A155</f>
        <v>3891</v>
      </c>
      <c r="B155" s="7" t="str">
        <f>最新!B155</f>
        <v>ニッポン高度紙工業</v>
      </c>
      <c r="C155" s="12">
        <f>最新!C155</f>
        <v>0.375</v>
      </c>
      <c r="D155" s="7">
        <f>最新!E155</f>
        <v>150200</v>
      </c>
      <c r="E155" s="7">
        <f>IF($A155="","",IFERROR(AVERAGEIFS(履歴10日!$F$2:$F$62000,履歴10日!$C$2:$C$62000,$A155&amp;"",履歴10日!$B$2:$B$62000,C155),""))</f>
        <v>150200</v>
      </c>
      <c r="F155" s="13">
        <f t="shared" si="4"/>
        <v>1</v>
      </c>
      <c r="G155" s="7">
        <f>最新!F155</f>
        <v>6750</v>
      </c>
      <c r="H155" s="14">
        <f>最新!G155</f>
        <v>0.9480337078651685</v>
      </c>
      <c r="I155" s="14">
        <f>最新!H155</f>
        <v>0.8928571428571429</v>
      </c>
      <c r="K155" s="18">
        <f>IF($A155="","",IFERROR(D155/SUMIFS(履歴10日!$F$2:$F$62000,履歴10日!$C$2:$C$62000,$A155&amp;"",履歴10日!$B$2:$B$62000,C155,履歴10日!$A$2:$A$62000,N$1),""))</f>
      </c>
      <c r="L155">
        <f t="shared" si="5"/>
        <v>0</v>
      </c>
      <c r="M155" s="18"/>
    </row>
    <row r="156" spans="1:13">
      <c r="A156" s="7">
        <f>最新!A156</f>
        <v>4373</v>
      </c>
      <c r="B156" s="7" t="str">
        <f>最新!B156</f>
        <v>シンプレクスＨＤ</v>
      </c>
      <c r="C156" s="12">
        <f>最新!C156</f>
        <v>0.375</v>
      </c>
      <c r="D156" s="7">
        <f>最新!E156</f>
        <v>994700</v>
      </c>
      <c r="E156" s="7">
        <f>IF($A156="","",IFERROR(AVERAGEIFS(履歴10日!$F$2:$F$62000,履歴10日!$C$2:$C$62000,$A156&amp;"",履歴10日!$B$2:$B$62000,C156),""))</f>
        <v>994700</v>
      </c>
      <c r="F156" s="13">
        <f t="shared" si="4"/>
        <v>1</v>
      </c>
      <c r="G156" s="7">
        <f>最新!F156</f>
        <v>1081</v>
      </c>
      <c r="H156" s="14">
        <f>最新!G156</f>
        <v>1.0217391304347827</v>
      </c>
      <c r="I156" s="14">
        <f>最新!H156</f>
        <v>1.0150234741784037</v>
      </c>
      <c r="K156" s="18">
        <f>IF($A156="","",IFERROR(D156/SUMIFS(履歴10日!$F$2:$F$62000,履歴10日!$C$2:$C$62000,$A156&amp;"",履歴10日!$B$2:$B$62000,C156,履歴10日!$A$2:$A$62000,N$1),""))</f>
      </c>
      <c r="L156">
        <f t="shared" si="5"/>
        <v>0</v>
      </c>
      <c r="M156" s="18"/>
    </row>
    <row r="157" spans="1:13">
      <c r="A157" s="7">
        <f>最新!A157</f>
        <v>8892</v>
      </c>
      <c r="B157" s="7" t="str">
        <f>最新!B157</f>
        <v>エスコン</v>
      </c>
      <c r="C157" s="12">
        <f>最新!C157</f>
        <v>0.375</v>
      </c>
      <c r="D157" s="7">
        <f>最新!E157</f>
        <v>98600</v>
      </c>
      <c r="E157" s="7">
        <f>IF($A157="","",IFERROR(AVERAGEIFS(履歴10日!$F$2:$F$62000,履歴10日!$C$2:$C$62000,$A157&amp;"",履歴10日!$B$2:$B$62000,C157),""))</f>
        <v>98600</v>
      </c>
      <c r="F157" s="13">
        <f t="shared" si="4"/>
        <v>1</v>
      </c>
      <c r="G157" s="7">
        <f>最新!F157</f>
        <v>1099</v>
      </c>
      <c r="H157" s="14">
        <f>最新!G157</f>
        <v>0.98653500897666069</v>
      </c>
      <c r="I157" s="14">
        <f>最新!H157</f>
        <v>0.99098286744815145</v>
      </c>
      <c r="K157" s="18">
        <f>IF($A157="","",IFERROR(D157/SUMIFS(履歴10日!$F$2:$F$62000,履歴10日!$C$2:$C$62000,$A157&amp;"",履歴10日!$B$2:$B$62000,C157,履歴10日!$A$2:$A$62000,N$1),""))</f>
      </c>
      <c r="L157">
        <f t="shared" si="5"/>
        <v>0</v>
      </c>
      <c r="M157" s="18"/>
    </row>
    <row r="158" spans="1:13">
      <c r="A158" s="7">
        <f>最新!A158</f>
        <v>9687</v>
      </c>
      <c r="B158" s="7" t="str">
        <f>最新!B158</f>
        <v>ＫＳＫ</v>
      </c>
      <c r="C158" s="12">
        <f>最新!C158</f>
        <v>0.375</v>
      </c>
      <c r="D158" s="7">
        <f>最新!E158</f>
        <v>2900</v>
      </c>
      <c r="E158" s="7">
        <f>IF($A158="","",IFERROR(AVERAGEIFS(履歴10日!$F$2:$F$62000,履歴10日!$C$2:$C$62000,$A158&amp;"",履歴10日!$B$2:$B$62000,C158),""))</f>
        <v>2900</v>
      </c>
      <c r="F158" s="13">
        <f t="shared" si="4"/>
        <v>1</v>
      </c>
      <c r="G158" s="7">
        <f>最新!F158</f>
        <v>4400</v>
      </c>
      <c r="H158" s="14">
        <f>最新!G158</f>
        <v>1</v>
      </c>
      <c r="I158" s="14">
        <f>最新!H158</f>
        <v>1.004566210045662</v>
      </c>
      <c r="K158" s="18">
        <f>IF($A158="","",IFERROR(D158/SUMIFS(履歴10日!$F$2:$F$62000,履歴10日!$C$2:$C$62000,$A158&amp;"",履歴10日!$B$2:$B$62000,C158,履歴10日!$A$2:$A$62000,N$1),""))</f>
      </c>
      <c r="L158">
        <f t="shared" si="5"/>
        <v>0</v>
      </c>
      <c r="M158" s="18"/>
    </row>
    <row r="159" spans="1:13">
      <c r="A159" s="7">
        <f>最新!A159</f>
        <v>1930</v>
      </c>
      <c r="B159" s="7" t="str">
        <f>最新!B159</f>
        <v>北陸電気工事</v>
      </c>
      <c r="C159" s="12">
        <f>最新!C159</f>
        <v>0.375</v>
      </c>
      <c r="D159" s="7">
        <f>最新!E159</f>
        <v>71300</v>
      </c>
      <c r="E159" s="7">
        <f>IF($A159="","",IFERROR(AVERAGEIFS(履歴10日!$F$2:$F$62000,履歴10日!$C$2:$C$62000,$A159&amp;"",履歴10日!$B$2:$B$62000,C159),""))</f>
        <v>71300</v>
      </c>
      <c r="F159" s="13">
        <f t="shared" si="4"/>
        <v>1</v>
      </c>
      <c r="G159" s="7">
        <f>最新!F159</f>
        <v>1541</v>
      </c>
      <c r="H159" s="14">
        <f>最新!G159</f>
        <v>0.96433041301627032</v>
      </c>
      <c r="I159" s="14">
        <f>最新!H159</f>
        <v>0.9535891089108911</v>
      </c>
      <c r="K159" s="18">
        <f>IF($A159="","",IFERROR(D159/SUMIFS(履歴10日!$F$2:$F$62000,履歴10日!$C$2:$C$62000,$A159&amp;"",履歴10日!$B$2:$B$62000,C159,履歴10日!$A$2:$A$62000,N$1),""))</f>
      </c>
      <c r="L159">
        <f t="shared" si="5"/>
        <v>0</v>
      </c>
      <c r="M159" s="18"/>
    </row>
    <row r="160" spans="1:13">
      <c r="A160" s="7">
        <f>最新!A160</f>
        <v>8704</v>
      </c>
      <c r="B160" s="7" t="str">
        <f>最新!B160</f>
        <v>トレイダーズＨＬＤＧＳ</v>
      </c>
      <c r="C160" s="12">
        <f>最新!C160</f>
        <v>0.375</v>
      </c>
      <c r="D160" s="7">
        <f>最新!E160</f>
        <v>133800</v>
      </c>
      <c r="E160" s="7">
        <f>IF($A160="","",IFERROR(AVERAGEIFS(履歴10日!$F$2:$F$62000,履歴10日!$C$2:$C$62000,$A160&amp;"",履歴10日!$B$2:$B$62000,C160),""))</f>
        <v>133800</v>
      </c>
      <c r="F160" s="13">
        <f t="shared" si="4"/>
        <v>1</v>
      </c>
      <c r="G160" s="7">
        <f>最新!F160</f>
        <v>1232</v>
      </c>
      <c r="H160" s="14">
        <f>最新!G160</f>
        <v>0.96551724137931039</v>
      </c>
      <c r="I160" s="14">
        <f>最新!H160</f>
        <v>0.95208655332302938</v>
      </c>
      <c r="K160" s="18">
        <f>IF($A160="","",IFERROR(D160/SUMIFS(履歴10日!$F$2:$F$62000,履歴10日!$C$2:$C$62000,$A160&amp;"",履歴10日!$B$2:$B$62000,C160,履歴10日!$A$2:$A$62000,N$1),""))</f>
      </c>
      <c r="L160">
        <f t="shared" si="5"/>
        <v>0</v>
      </c>
      <c r="M160" s="18"/>
    </row>
    <row r="161" spans="1:13">
      <c r="A161" s="7">
        <f>最新!A161</f>
        <v>4733</v>
      </c>
      <c r="B161" s="7" t="str">
        <f>最新!B161</f>
        <v>オービックビジネスＣ</v>
      </c>
      <c r="C161" s="12">
        <f>最新!C161</f>
        <v>0.375</v>
      </c>
      <c r="D161" s="7">
        <f>最新!E161</f>
        <v>93700</v>
      </c>
      <c r="E161" s="7">
        <f>IF($A161="","",IFERROR(AVERAGEIFS(履歴10日!$F$2:$F$62000,履歴10日!$C$2:$C$62000,$A161&amp;"",履歴10日!$B$2:$B$62000,C161),""))</f>
        <v>93700</v>
      </c>
      <c r="F161" s="13">
        <f t="shared" si="4"/>
        <v>1</v>
      </c>
      <c r="G161" s="7">
        <f>最新!F161</f>
        <v>6615</v>
      </c>
      <c r="H161" s="14">
        <f>最新!G161</f>
        <v>1.0068493150684932</v>
      </c>
      <c r="I161" s="14">
        <f>最新!H161</f>
        <v>1.0068493150684932</v>
      </c>
      <c r="K161" s="18">
        <f>IF($A161="","",IFERROR(D161/SUMIFS(履歴10日!$F$2:$F$62000,履歴10日!$C$2:$C$62000,$A161&amp;"",履歴10日!$B$2:$B$62000,C161,履歴10日!$A$2:$A$62000,N$1),""))</f>
      </c>
      <c r="L161">
        <f t="shared" si="5"/>
        <v>0</v>
      </c>
      <c r="M161" s="18"/>
    </row>
    <row r="162" spans="1:13">
      <c r="A162" s="7">
        <f>最新!A162</f>
        <v>9733</v>
      </c>
      <c r="B162" s="7" t="str">
        <f>最新!B162</f>
        <v>ナガセ</v>
      </c>
      <c r="C162" s="12">
        <f>最新!C162</f>
        <v>0.375</v>
      </c>
      <c r="D162" s="7">
        <f>最新!E162</f>
        <v>17000</v>
      </c>
      <c r="E162" s="7">
        <f>IF($A162="","",IFERROR(AVERAGEIFS(履歴10日!$F$2:$F$62000,履歴10日!$C$2:$C$62000,$A162&amp;"",履歴10日!$B$2:$B$62000,C162),""))</f>
        <v>17000</v>
      </c>
      <c r="F162" s="13">
        <f t="shared" si="4"/>
        <v>1</v>
      </c>
      <c r="G162" s="7">
        <f>最新!F162</f>
        <v>2331</v>
      </c>
      <c r="H162" s="14">
        <f>最新!G162</f>
        <v>0.99487836107554417</v>
      </c>
      <c r="I162" s="14">
        <f>最新!H162</f>
        <v>0.99530315969257044</v>
      </c>
      <c r="K162" s="18">
        <f>IF($A162="","",IFERROR(D162/SUMIFS(履歴10日!$F$2:$F$62000,履歴10日!$C$2:$C$62000,$A162&amp;"",履歴10日!$B$2:$B$62000,C162,履歴10日!$A$2:$A$62000,N$1),""))</f>
      </c>
      <c r="L162">
        <f t="shared" si="5"/>
        <v>0</v>
      </c>
      <c r="M162" s="18"/>
    </row>
    <row r="163" spans="1:13">
      <c r="A163" s="7">
        <f>最新!A163</f>
        <v>9551</v>
      </c>
      <c r="B163" s="7" t="str">
        <f>最新!B163</f>
        <v>メタウォーター</v>
      </c>
      <c r="C163" s="12">
        <f>最新!C163</f>
        <v>0.375</v>
      </c>
      <c r="D163" s="7">
        <f>最新!E163</f>
        <v>108400</v>
      </c>
      <c r="E163" s="7">
        <f>IF($A163="","",IFERROR(AVERAGEIFS(履歴10日!$F$2:$F$62000,履歴10日!$C$2:$C$62000,$A163&amp;"",履歴10日!$B$2:$B$62000,C163),""))</f>
        <v>108400</v>
      </c>
      <c r="F163" s="13">
        <f t="shared" si="4"/>
        <v>1</v>
      </c>
      <c r="G163" s="7">
        <f>最新!F163</f>
        <v>3075</v>
      </c>
      <c r="H163" s="14">
        <f>最新!G163</f>
        <v>0.97619047619047616</v>
      </c>
      <c r="I163" s="14">
        <f>最新!H163</f>
        <v>0.9609375</v>
      </c>
      <c r="K163" s="18">
        <f>IF($A163="","",IFERROR(D163/SUMIFS(履歴10日!$F$2:$F$62000,履歴10日!$C$2:$C$62000,$A163&amp;"",履歴10日!$B$2:$B$62000,C163,履歴10日!$A$2:$A$62000,N$1),""))</f>
      </c>
      <c r="L163">
        <f t="shared" si="5"/>
        <v>0</v>
      </c>
      <c r="M163" s="18"/>
    </row>
    <row r="164" spans="1:13">
      <c r="A164" s="7">
        <f>最新!A164</f>
        <v>2359</v>
      </c>
      <c r="B164" s="7" t="str">
        <f>最新!B164</f>
        <v>コア</v>
      </c>
      <c r="C164" s="12">
        <f>最新!C164</f>
        <v>0.375</v>
      </c>
      <c r="D164" s="7">
        <f>最新!E164</f>
        <v>13500</v>
      </c>
      <c r="E164" s="7">
        <f>IF($A164="","",IFERROR(AVERAGEIFS(履歴10日!$F$2:$F$62000,履歴10日!$C$2:$C$62000,$A164&amp;"",履歴10日!$B$2:$B$62000,C164),""))</f>
        <v>13500</v>
      </c>
      <c r="F164" s="13">
        <f t="shared" si="4"/>
        <v>1</v>
      </c>
      <c r="G164" s="7">
        <f>最新!F164</f>
        <v>1966</v>
      </c>
      <c r="H164" s="14">
        <f>最新!G164</f>
        <v>0.98496993987975956</v>
      </c>
      <c r="I164" s="14">
        <f>最新!H164</f>
        <v>0.98793969849246233</v>
      </c>
      <c r="K164" s="18">
        <f>IF($A164="","",IFERROR(D164/SUMIFS(履歴10日!$F$2:$F$62000,履歴10日!$C$2:$C$62000,$A164&amp;"",履歴10日!$B$2:$B$62000,C164,履歴10日!$A$2:$A$62000,N$1),""))</f>
      </c>
      <c r="L164">
        <f t="shared" si="5"/>
        <v>0</v>
      </c>
      <c r="M164" s="18"/>
    </row>
    <row r="165" spans="1:13">
      <c r="A165" s="7">
        <f>最新!A165</f>
        <v>8103</v>
      </c>
      <c r="B165" s="7" t="str">
        <f>最新!B165</f>
        <v>明和産業</v>
      </c>
      <c r="C165" s="12">
        <f>最新!C165</f>
        <v>0.375</v>
      </c>
      <c r="D165" s="7">
        <f>最新!E165</f>
        <v>180500</v>
      </c>
      <c r="E165" s="7">
        <f>IF($A165="","",IFERROR(AVERAGEIFS(履歴10日!$F$2:$F$62000,履歴10日!$C$2:$C$62000,$A165&amp;"",履歴10日!$B$2:$B$62000,C165),""))</f>
        <v>180500</v>
      </c>
      <c r="F165" s="13">
        <f t="shared" si="4"/>
        <v>1</v>
      </c>
      <c r="G165" s="7">
        <f>最新!F165</f>
        <v>890</v>
      </c>
      <c r="H165" s="14">
        <f>最新!G165</f>
        <v>0.98451327433628322</v>
      </c>
      <c r="I165" s="14">
        <f>最新!H165</f>
        <v>0.98451327433628322</v>
      </c>
      <c r="K165" s="18">
        <f>IF($A165="","",IFERROR(D165/SUMIFS(履歴10日!$F$2:$F$62000,履歴10日!$C$2:$C$62000,$A165&amp;"",履歴10日!$B$2:$B$62000,C165,履歴10日!$A$2:$A$62000,N$1),""))</f>
      </c>
      <c r="L165">
        <f t="shared" si="5"/>
        <v>0</v>
      </c>
      <c r="M165" s="18"/>
    </row>
    <row r="166" spans="1:13">
      <c r="A166" s="7">
        <f>最新!A166</f>
        <v>4709</v>
      </c>
      <c r="B166" s="7" t="str">
        <f>最新!B166</f>
        <v>ＩＤホールディングス</v>
      </c>
      <c r="C166" s="12">
        <f>最新!C166</f>
        <v>0.375</v>
      </c>
      <c r="D166" s="7">
        <f>最新!E166</f>
        <v>44400</v>
      </c>
      <c r="E166" s="7">
        <f>IF($A166="","",IFERROR(AVERAGEIFS(履歴10日!$F$2:$F$62000,履歴10日!$C$2:$C$62000,$A166&amp;"",履歴10日!$B$2:$B$62000,C166),""))</f>
        <v>44400</v>
      </c>
      <c r="F166" s="13">
        <f t="shared" si="4"/>
        <v>1</v>
      </c>
      <c r="G166" s="7">
        <f>最新!F166</f>
        <v>1113</v>
      </c>
      <c r="H166" s="14">
        <f>最新!G166</f>
        <v>0.99820627802690587</v>
      </c>
      <c r="I166" s="14">
        <f>最新!H166</f>
        <v>0.99463806970509383</v>
      </c>
      <c r="K166" s="18">
        <f>IF($A166="","",IFERROR(D166/SUMIFS(履歴10日!$F$2:$F$62000,履歴10日!$C$2:$C$62000,$A166&amp;"",履歴10日!$B$2:$B$62000,C166,履歴10日!$A$2:$A$62000,N$1),""))</f>
      </c>
      <c r="L166">
        <f t="shared" si="5"/>
        <v>0</v>
      </c>
      <c r="M166" s="18"/>
    </row>
    <row r="167" spans="1:13">
      <c r="A167" s="7">
        <f>最新!A167</f>
        <v>7981</v>
      </c>
      <c r="B167" s="7" t="str">
        <f>最新!B167</f>
        <v>タカラスタンダ－ド</v>
      </c>
      <c r="C167" s="12">
        <f>最新!C167</f>
        <v>0.375</v>
      </c>
      <c r="D167" s="7">
        <f>最新!E167</f>
        <v>80400</v>
      </c>
      <c r="E167" s="7">
        <f>IF($A167="","",IFERROR(AVERAGEIFS(履歴10日!$F$2:$F$62000,履歴10日!$C$2:$C$62000,$A167&amp;"",履歴10日!$B$2:$B$62000,C167),""))</f>
        <v>80400</v>
      </c>
      <c r="F167" s="13">
        <f t="shared" si="4"/>
        <v>1</v>
      </c>
      <c r="G167" s="7">
        <f>最新!F167</f>
        <v>3025</v>
      </c>
      <c r="H167" s="14">
        <f>最新!G167</f>
        <v>0.97896440129449835</v>
      </c>
      <c r="I167" s="14">
        <f>最新!H167</f>
        <v>0.971107544141252</v>
      </c>
      <c r="K167" s="18">
        <f>IF($A167="","",IFERROR(D167/SUMIFS(履歴10日!$F$2:$F$62000,履歴10日!$C$2:$C$62000,$A167&amp;"",履歴10日!$B$2:$B$62000,C167,履歴10日!$A$2:$A$62000,N$1),""))</f>
      </c>
      <c r="L167">
        <f t="shared" si="5"/>
        <v>0</v>
      </c>
      <c r="M167" s="18"/>
    </row>
    <row r="168" spans="1:13">
      <c r="A168" s="7">
        <f>最新!A168</f>
        <v>8303</v>
      </c>
      <c r="B168" s="7" t="str">
        <f>最新!B168</f>
        <v>ＳＢＩ新生銀行</v>
      </c>
      <c r="C168" s="12">
        <f>最新!C168</f>
        <v>0.375</v>
      </c>
      <c r="D168" s="7">
        <f>最新!E168</f>
        <v>4287200</v>
      </c>
      <c r="E168" s="7">
        <f>IF($A168="","",IFERROR(AVERAGEIFS(履歴10日!$F$2:$F$62000,履歴10日!$C$2:$C$62000,$A168&amp;"",履歴10日!$B$2:$B$62000,C168),""))</f>
        <v>4287200</v>
      </c>
      <c r="F168" s="13">
        <f t="shared" si="4"/>
        <v>1</v>
      </c>
      <c r="G168" s="7">
        <f>最新!F168</f>
        <v>1400.5</v>
      </c>
      <c r="H168" s="14">
        <f>最新!G168</f>
        <v>0.96519641626464503</v>
      </c>
      <c r="I168" s="14">
        <f>最新!H168</f>
        <v>0.96056241426611799</v>
      </c>
      <c r="K168" s="18">
        <f>IF($A168="","",IFERROR(D168/SUMIFS(履歴10日!$F$2:$F$62000,履歴10日!$C$2:$C$62000,$A168&amp;"",履歴10日!$B$2:$B$62000,C168,履歴10日!$A$2:$A$62000,N$1),""))</f>
      </c>
      <c r="L168">
        <f t="shared" si="5"/>
        <v>0</v>
      </c>
      <c r="M168" s="18"/>
    </row>
    <row r="169" spans="1:13">
      <c r="A169" s="7">
        <f>最新!A169</f>
        <v>4382</v>
      </c>
      <c r="B169" s="7" t="str">
        <f>最新!B169</f>
        <v>ＨＥＲＯＺ</v>
      </c>
      <c r="C169" s="12">
        <f>最新!C169</f>
        <v>0.375</v>
      </c>
      <c r="D169" s="7">
        <f>最新!E169</f>
        <v>62800</v>
      </c>
      <c r="E169" s="7">
        <f>IF($A169="","",IFERROR(AVERAGEIFS(履歴10日!$F$2:$F$62000,履歴10日!$C$2:$C$62000,$A169&amp;"",履歴10日!$B$2:$B$62000,C169),""))</f>
        <v>62800</v>
      </c>
      <c r="F169" s="13">
        <f t="shared" si="4"/>
        <v>1</v>
      </c>
      <c r="G169" s="7">
        <f>最新!F169</f>
        <v>707</v>
      </c>
      <c r="H169" s="14">
        <f>最新!G169</f>
        <v>0.97382920110192839</v>
      </c>
      <c r="I169" s="14">
        <f>最新!H169</f>
        <v>0.97651933701657456</v>
      </c>
      <c r="K169" s="18">
        <f>IF($A169="","",IFERROR(D169/SUMIFS(履歴10日!$F$2:$F$62000,履歴10日!$C$2:$C$62000,$A169&amp;"",履歴10日!$B$2:$B$62000,C169,履歴10日!$A$2:$A$62000,N$1),""))</f>
      </c>
      <c r="L169">
        <f t="shared" si="5"/>
        <v>0</v>
      </c>
      <c r="M169" s="18"/>
    </row>
    <row r="170" spans="1:13">
      <c r="A170" s="7">
        <f>最新!A170</f>
        <v>2327</v>
      </c>
      <c r="B170" s="7" t="str">
        <f>最新!B170</f>
        <v>日鉄ソリューションズ</v>
      </c>
      <c r="C170" s="12">
        <f>最新!C170</f>
        <v>0.375</v>
      </c>
      <c r="D170" s="7">
        <f>最新!E170</f>
        <v>142800</v>
      </c>
      <c r="E170" s="7">
        <f>IF($A170="","",IFERROR(AVERAGEIFS(履歴10日!$F$2:$F$62000,履歴10日!$C$2:$C$62000,$A170&amp;"",履歴10日!$B$2:$B$62000,C170),""))</f>
        <v>142800</v>
      </c>
      <c r="F170" s="13">
        <f t="shared" si="4"/>
        <v>1</v>
      </c>
      <c r="G170" s="7">
        <f>最新!F170</f>
        <v>3846</v>
      </c>
      <c r="H170" s="14">
        <f>最新!G170</f>
        <v>1.0031298904538342</v>
      </c>
      <c r="I170" s="14">
        <f>最新!H170</f>
        <v>1.0078616352201257</v>
      </c>
      <c r="K170" s="18">
        <f>IF($A170="","",IFERROR(D170/SUMIFS(履歴10日!$F$2:$F$62000,履歴10日!$C$2:$C$62000,$A170&amp;"",履歴10日!$B$2:$B$62000,C170,履歴10日!$A$2:$A$62000,N$1),""))</f>
      </c>
      <c r="L170">
        <f t="shared" si="5"/>
        <v>0</v>
      </c>
      <c r="M170" s="18"/>
    </row>
    <row r="171" spans="1:13">
      <c r="A171" s="7">
        <f>最新!A171</f>
        <v>1942</v>
      </c>
      <c r="B171" s="7" t="str">
        <f>最新!B171</f>
        <v>関電工</v>
      </c>
      <c r="C171" s="12">
        <f>最新!C171</f>
        <v>0.375</v>
      </c>
      <c r="D171" s="7">
        <f>最新!E171</f>
        <v>970200</v>
      </c>
      <c r="E171" s="7">
        <f>IF($A171="","",IFERROR(AVERAGEIFS(履歴10日!$F$2:$F$62000,履歴10日!$C$2:$C$62000,$A171&amp;"",履歴10日!$B$2:$B$62000,C171),""))</f>
        <v>970200</v>
      </c>
      <c r="F171" s="13">
        <f t="shared" si="4"/>
        <v>1</v>
      </c>
      <c r="G171" s="7">
        <f>最新!F171</f>
        <v>5788</v>
      </c>
      <c r="H171" s="14">
        <f>最新!G171</f>
        <v>0.96466666666666667</v>
      </c>
      <c r="I171" s="14">
        <f>最新!H171</f>
        <v>0.94667975139025184</v>
      </c>
      <c r="K171" s="18">
        <f>IF($A171="","",IFERROR(D171/SUMIFS(履歴10日!$F$2:$F$62000,履歴10日!$C$2:$C$62000,$A171&amp;"",履歴10日!$B$2:$B$62000,C171,履歴10日!$A$2:$A$62000,N$1),""))</f>
      </c>
      <c r="L171">
        <f t="shared" si="5"/>
        <v>0</v>
      </c>
      <c r="M171" s="18"/>
    </row>
    <row r="172" spans="1:13">
      <c r="A172" s="7">
        <f>最新!A172</f>
        <v>1938</v>
      </c>
      <c r="B172" s="7" t="str">
        <f>最新!B172</f>
        <v>日本リーテック</v>
      </c>
      <c r="C172" s="12">
        <f>最新!C172</f>
        <v>0.375</v>
      </c>
      <c r="D172" s="7">
        <f>最新!E172</f>
        <v>109300</v>
      </c>
      <c r="E172" s="7">
        <f>IF($A172="","",IFERROR(AVERAGEIFS(履歴10日!$F$2:$F$62000,履歴10日!$C$2:$C$62000,$A172&amp;"",履歴10日!$B$2:$B$62000,C172),""))</f>
        <v>109300</v>
      </c>
      <c r="F172" s="13">
        <f t="shared" si="4"/>
        <v>1</v>
      </c>
      <c r="G172" s="7">
        <f>最新!F172</f>
        <v>2435</v>
      </c>
      <c r="H172" s="14">
        <f>最新!G172</f>
        <v>0.95490196078431377</v>
      </c>
      <c r="I172" s="14">
        <f>最新!H172</f>
        <v>0.94343277799302594</v>
      </c>
      <c r="K172" s="18">
        <f>IF($A172="","",IFERROR(D172/SUMIFS(履歴10日!$F$2:$F$62000,履歴10日!$C$2:$C$62000,$A172&amp;"",履歴10日!$B$2:$B$62000,C172,履歴10日!$A$2:$A$62000,N$1),""))</f>
      </c>
      <c r="L172">
        <f t="shared" si="5"/>
        <v>0</v>
      </c>
      <c r="M172" s="18"/>
    </row>
    <row r="173" spans="1:13">
      <c r="A173" s="7">
        <f>最新!A173</f>
        <v>7236</v>
      </c>
      <c r="B173" s="7" t="str">
        <f>最新!B173</f>
        <v>ティラド</v>
      </c>
      <c r="C173" s="12">
        <f>最新!C173</f>
        <v>0.375</v>
      </c>
      <c r="D173" s="7">
        <f>最新!E173</f>
        <v>472500</v>
      </c>
      <c r="E173" s="7">
        <f>IF($A173="","",IFERROR(AVERAGEIFS(履歴10日!$F$2:$F$62000,履歴10日!$C$2:$C$62000,$A173&amp;"",履歴10日!$B$2:$B$62000,C173),""))</f>
        <v>472500</v>
      </c>
      <c r="F173" s="13">
        <f t="shared" si="4"/>
        <v>1</v>
      </c>
      <c r="G173" s="7">
        <f>最新!F173</f>
        <v>1460</v>
      </c>
      <c r="H173" s="14">
        <f>最新!G173</f>
        <v>0.97855227882037532</v>
      </c>
      <c r="I173" s="14">
        <f>最新!H173</f>
        <v>0.95612311722331367</v>
      </c>
      <c r="K173" s="18">
        <f>IF($A173="","",IFERROR(D173/SUMIFS(履歴10日!$F$2:$F$62000,履歴10日!$C$2:$C$62000,$A173&amp;"",履歴10日!$B$2:$B$62000,C173,履歴10日!$A$2:$A$62000,N$1),""))</f>
      </c>
      <c r="L173">
        <f t="shared" si="5"/>
        <v>0</v>
      </c>
      <c r="M173" s="18"/>
    </row>
    <row r="174" spans="1:13">
      <c r="A174" s="7">
        <f>最新!A174</f>
        <v>6436</v>
      </c>
      <c r="B174" s="7" t="str">
        <f>最新!B174</f>
        <v>アマノ</v>
      </c>
      <c r="C174" s="12">
        <f>最新!C174</f>
        <v>0.375</v>
      </c>
      <c r="D174" s="7">
        <f>最新!E174</f>
        <v>204500</v>
      </c>
      <c r="E174" s="7">
        <f>IF($A174="","",IFERROR(AVERAGEIFS(履歴10日!$F$2:$F$62000,履歴10日!$C$2:$C$62000,$A174&amp;"",履歴10日!$B$2:$B$62000,C174),""))</f>
        <v>204500</v>
      </c>
      <c r="F174" s="13">
        <f t="shared" si="4"/>
        <v>1</v>
      </c>
      <c r="G174" s="7">
        <f>最新!F174</f>
        <v>3781</v>
      </c>
      <c r="H174" s="14">
        <f>最新!G174</f>
        <v>0.99421509334735736</v>
      </c>
      <c r="I174" s="14">
        <f>最新!H174</f>
        <v>0.99894319682959054</v>
      </c>
      <c r="K174" s="18">
        <f>IF($A174="","",IFERROR(D174/SUMIFS(履歴10日!$F$2:$F$62000,履歴10日!$C$2:$C$62000,$A174&amp;"",履歴10日!$B$2:$B$62000,C174,履歴10日!$A$2:$A$62000,N$1),""))</f>
      </c>
      <c r="L174">
        <f t="shared" si="5"/>
        <v>0</v>
      </c>
      <c r="M174" s="18"/>
    </row>
    <row r="175" spans="1:13">
      <c r="A175" s="7">
        <f>最新!A175</f>
        <v>5410</v>
      </c>
      <c r="B175" s="7" t="str">
        <f>最新!B175</f>
        <v>合同製鐵</v>
      </c>
      <c r="C175" s="12">
        <f>最新!C175</f>
        <v>0.375</v>
      </c>
      <c r="D175" s="7">
        <f>最新!E175</f>
        <v>80900</v>
      </c>
      <c r="E175" s="7">
        <f>IF($A175="","",IFERROR(AVERAGEIFS(履歴10日!$F$2:$F$62000,履歴10日!$C$2:$C$62000,$A175&amp;"",履歴10日!$B$2:$B$62000,C175),""))</f>
        <v>80900</v>
      </c>
      <c r="F175" s="13">
        <f t="shared" si="4"/>
        <v>1</v>
      </c>
      <c r="G175" s="7">
        <f>最新!F175</f>
        <v>2660</v>
      </c>
      <c r="H175" s="14">
        <f>最新!G175</f>
        <v>0.98958333333333337</v>
      </c>
      <c r="I175" s="14">
        <f>最新!H175</f>
        <v>0.98628105302187619</v>
      </c>
      <c r="K175" s="18">
        <f>IF($A175="","",IFERROR(D175/SUMIFS(履歴10日!$F$2:$F$62000,履歴10日!$C$2:$C$62000,$A175&amp;"",履歴10日!$B$2:$B$62000,C175,履歴10日!$A$2:$A$62000,N$1),""))</f>
      </c>
      <c r="L175">
        <f t="shared" si="5"/>
        <v>0</v>
      </c>
      <c r="M175" s="18"/>
    </row>
    <row r="176" spans="1:13">
      <c r="A176" s="7">
        <f>最新!A176</f>
        <v>5440</v>
      </c>
      <c r="B176" s="7" t="str">
        <f>最新!B176</f>
        <v>共英製鋼</v>
      </c>
      <c r="C176" s="12">
        <f>最新!C176</f>
        <v>0.375</v>
      </c>
      <c r="D176" s="7">
        <f>最新!E176</f>
        <v>77800</v>
      </c>
      <c r="E176" s="7">
        <f>IF($A176="","",IFERROR(AVERAGEIFS(履歴10日!$F$2:$F$62000,履歴10日!$C$2:$C$62000,$A176&amp;"",履歴10日!$B$2:$B$62000,C176),""))</f>
        <v>77800</v>
      </c>
      <c r="F176" s="13">
        <f t="shared" si="4"/>
        <v>1</v>
      </c>
      <c r="G176" s="7">
        <f>最新!F176</f>
        <v>1824</v>
      </c>
      <c r="H176" s="14">
        <f>最新!G176</f>
        <v>0.99292324442025037</v>
      </c>
      <c r="I176" s="14">
        <f>最新!H176</f>
        <v>0.98969072164948457</v>
      </c>
      <c r="K176" s="18">
        <f>IF($A176="","",IFERROR(D176/SUMIFS(履歴10日!$F$2:$F$62000,履歴10日!$C$2:$C$62000,$A176&amp;"",履歴10日!$B$2:$B$62000,C176,履歴10日!$A$2:$A$62000,N$1),""))</f>
      </c>
      <c r="L176">
        <f t="shared" si="5"/>
        <v>0</v>
      </c>
      <c r="M176" s="18"/>
    </row>
    <row r="177" spans="1:13">
      <c r="A177" s="7">
        <f>最新!A177</f>
        <v>9505</v>
      </c>
      <c r="B177" s="7" t="str">
        <f>最新!B177</f>
        <v>北陸電力</v>
      </c>
      <c r="C177" s="12">
        <f>最新!C177</f>
        <v>0.375</v>
      </c>
      <c r="D177" s="7">
        <f>最新!E177</f>
        <v>798800</v>
      </c>
      <c r="E177" s="7">
        <f>IF($A177="","",IFERROR(AVERAGEIFS(履歴10日!$F$2:$F$62000,履歴10日!$C$2:$C$62000,$A177&amp;"",履歴10日!$B$2:$B$62000,C177),""))</f>
        <v>798800</v>
      </c>
      <c r="F177" s="13">
        <f t="shared" si="4"/>
        <v>1</v>
      </c>
      <c r="G177" s="7">
        <f>最新!F177</f>
        <v>903.6</v>
      </c>
      <c r="H177" s="14">
        <f>最新!G177</f>
        <v>0.99702085402184715</v>
      </c>
      <c r="I177" s="14">
        <f>最新!H177</f>
        <v>0.98981268485047658</v>
      </c>
      <c r="K177" s="18">
        <f>IF($A177="","",IFERROR(D177/SUMIFS(履歴10日!$F$2:$F$62000,履歴10日!$C$2:$C$62000,$A177&amp;"",履歴10日!$B$2:$B$62000,C177,履歴10日!$A$2:$A$62000,N$1),""))</f>
      </c>
      <c r="L177">
        <f t="shared" si="5"/>
        <v>0</v>
      </c>
      <c r="M177" s="18"/>
    </row>
    <row r="178" spans="1:13">
      <c r="A178" s="7">
        <f>最新!A178</f>
        <v>8091</v>
      </c>
      <c r="B178" s="7" t="str">
        <f>最新!B178</f>
        <v>ニチモウ</v>
      </c>
      <c r="C178" s="12">
        <f>最新!C178</f>
        <v>0.375</v>
      </c>
      <c r="D178" s="7">
        <f>最新!E178</f>
        <v>15300</v>
      </c>
      <c r="E178" s="7">
        <f>IF($A178="","",IFERROR(AVERAGEIFS(履歴10日!$F$2:$F$62000,履歴10日!$C$2:$C$62000,$A178&amp;"",履歴10日!$B$2:$B$62000,C178),""))</f>
        <v>15300</v>
      </c>
      <c r="F178" s="13">
        <f t="shared" si="4"/>
        <v>1</v>
      </c>
      <c r="G178" s="7">
        <f>最新!F178</f>
        <v>2299</v>
      </c>
      <c r="H178" s="14">
        <f>最新!G178</f>
        <v>0.99610051993067594</v>
      </c>
      <c r="I178" s="14">
        <f>最新!H178</f>
        <v>0.99437716262975784</v>
      </c>
      <c r="K178" s="18">
        <f>IF($A178="","",IFERROR(D178/SUMIFS(履歴10日!$F$2:$F$62000,履歴10日!$C$2:$C$62000,$A178&amp;"",履歴10日!$B$2:$B$62000,C178,履歴10日!$A$2:$A$62000,N$1),""))</f>
      </c>
      <c r="L178">
        <f t="shared" si="5"/>
        <v>0</v>
      </c>
      <c r="M178" s="18"/>
    </row>
    <row r="179" spans="1:13">
      <c r="A179" s="7">
        <f>最新!A179</f>
        <v>6507</v>
      </c>
      <c r="B179" s="7" t="str">
        <f>最新!B179</f>
        <v>シンフォニアテクノロジー</v>
      </c>
      <c r="C179" s="12">
        <f>最新!C179</f>
        <v>0.375</v>
      </c>
      <c r="D179" s="7">
        <f>最新!E179</f>
        <v>169800</v>
      </c>
      <c r="E179" s="7">
        <f>IF($A179="","",IFERROR(AVERAGEIFS(履歴10日!$F$2:$F$62000,履歴10日!$C$2:$C$62000,$A179&amp;"",履歴10日!$B$2:$B$62000,C179),""))</f>
        <v>169800</v>
      </c>
      <c r="F179" s="13">
        <f t="shared" si="4"/>
        <v>1</v>
      </c>
      <c r="G179" s="7">
        <f>最新!F179</f>
        <v>13240</v>
      </c>
      <c r="H179" s="14">
        <f>最新!G179</f>
        <v>0.94571428571428573</v>
      </c>
      <c r="I179" s="14">
        <f>最新!H179</f>
        <v>0.92072322670375517</v>
      </c>
      <c r="K179" s="18">
        <f>IF($A179="","",IFERROR(D179/SUMIFS(履歴10日!$F$2:$F$62000,履歴10日!$C$2:$C$62000,$A179&amp;"",履歴10日!$B$2:$B$62000,C179,履歴10日!$A$2:$A$62000,N$1),""))</f>
      </c>
      <c r="L179">
        <f t="shared" si="5"/>
        <v>0</v>
      </c>
      <c r="M179" s="18"/>
    </row>
    <row r="180" spans="1:13">
      <c r="A180" s="7">
        <f>最新!A180</f>
        <v>9022</v>
      </c>
      <c r="B180" s="7" t="str">
        <f>最新!B180</f>
        <v>東海旅客鉄道</v>
      </c>
      <c r="C180" s="12">
        <f>最新!C180</f>
        <v>0.375</v>
      </c>
      <c r="D180" s="7">
        <f>最新!E180</f>
        <v>1638700</v>
      </c>
      <c r="E180" s="7">
        <f>IF($A180="","",IFERROR(AVERAGEIFS(履歴10日!$F$2:$F$62000,履歴10日!$C$2:$C$62000,$A180&amp;"",履歴10日!$B$2:$B$62000,C180),""))</f>
        <v>1638700</v>
      </c>
      <c r="F180" s="13">
        <f t="shared" si="4"/>
        <v>1</v>
      </c>
      <c r="G180" s="7">
        <f>最新!F180</f>
        <v>3754</v>
      </c>
      <c r="H180" s="14">
        <f>最新!G180</f>
        <v>1.0021356113187401</v>
      </c>
      <c r="I180" s="14">
        <f>最新!H180</f>
        <v>1.0121326503100567</v>
      </c>
      <c r="K180" s="18">
        <f>IF($A180="","",IFERROR(D180/SUMIFS(履歴10日!$F$2:$F$62000,履歴10日!$C$2:$C$62000,$A180&amp;"",履歴10日!$B$2:$B$62000,C180,履歴10日!$A$2:$A$62000,N$1),""))</f>
      </c>
      <c r="L180">
        <f t="shared" si="5"/>
        <v>0</v>
      </c>
      <c r="M180" s="18"/>
    </row>
    <row r="181" spans="1:13">
      <c r="A181" s="7">
        <f>最新!A181</f>
        <v>9536</v>
      </c>
      <c r="B181" s="7" t="str">
        <f>最新!B181</f>
        <v>西部ガスＨＬＤＧＳ</v>
      </c>
      <c r="C181" s="12">
        <f>最新!C181</f>
        <v>0.375</v>
      </c>
      <c r="D181" s="7">
        <f>最新!E181</f>
        <v>48600</v>
      </c>
      <c r="E181" s="7">
        <f>IF($A181="","",IFERROR(AVERAGEIFS(履歴10日!$F$2:$F$62000,履歴10日!$C$2:$C$62000,$A181&amp;"",履歴10日!$B$2:$B$62000,C181),""))</f>
        <v>48600</v>
      </c>
      <c r="F181" s="13">
        <f t="shared" si="4"/>
        <v>1</v>
      </c>
      <c r="G181" s="7">
        <f>最新!F181</f>
        <v>2291</v>
      </c>
      <c r="H181" s="14">
        <f>最新!G181</f>
        <v>0.98368398454272221</v>
      </c>
      <c r="I181" s="14">
        <f>最新!H181</f>
        <v>0.98920552677029361</v>
      </c>
      <c r="K181" s="18">
        <f>IF($A181="","",IFERROR(D181/SUMIFS(履歴10日!$F$2:$F$62000,履歴10日!$C$2:$C$62000,$A181&amp;"",履歴10日!$B$2:$B$62000,C181,履歴10日!$A$2:$A$62000,N$1),""))</f>
      </c>
      <c r="L181">
        <f t="shared" si="5"/>
        <v>0</v>
      </c>
      <c r="M181" s="18"/>
    </row>
    <row r="182" spans="1:13">
      <c r="A182" s="7">
        <f>最新!A182</f>
        <v>9506</v>
      </c>
      <c r="B182" s="7" t="str">
        <f>最新!B182</f>
        <v>東北電力</v>
      </c>
      <c r="C182" s="12">
        <f>最新!C182</f>
        <v>0.375</v>
      </c>
      <c r="D182" s="7">
        <f>最新!E182</f>
        <v>1980000</v>
      </c>
      <c r="E182" s="7">
        <f>IF($A182="","",IFERROR(AVERAGEIFS(履歴10日!$F$2:$F$62000,履歴10日!$C$2:$C$62000,$A182&amp;"",履歴10日!$B$2:$B$62000,C182),""))</f>
        <v>1980000</v>
      </c>
      <c r="F182" s="13">
        <f t="shared" si="4"/>
        <v>1</v>
      </c>
      <c r="G182" s="7">
        <f>最新!F182</f>
        <v>1118</v>
      </c>
      <c r="H182" s="14">
        <f>最新!G182</f>
        <v>0.98545614808285587</v>
      </c>
      <c r="I182" s="14">
        <f>最新!H182</f>
        <v>0.98763250883392228</v>
      </c>
      <c r="K182" s="18">
        <f>IF($A182="","",IFERROR(D182/SUMIFS(履歴10日!$F$2:$F$62000,履歴10日!$C$2:$C$62000,$A182&amp;"",履歴10日!$B$2:$B$62000,C182,履歴10日!$A$2:$A$62000,N$1),""))</f>
      </c>
      <c r="L182">
        <f t="shared" si="5"/>
        <v>0</v>
      </c>
      <c r="M182" s="18"/>
    </row>
    <row r="183" spans="1:13">
      <c r="A183" s="7">
        <f>最新!A183</f>
        <v>2127</v>
      </c>
      <c r="B183" s="7" t="str">
        <f>最新!B183</f>
        <v>日本Ｍ＆Ａセンターホールデ</v>
      </c>
      <c r="C183" s="12">
        <f>最新!C183</f>
        <v>0.375</v>
      </c>
      <c r="D183" s="7">
        <f>最新!E183</f>
        <v>854200</v>
      </c>
      <c r="E183" s="7">
        <f>IF($A183="","",IFERROR(AVERAGEIFS(履歴10日!$F$2:$F$62000,履歴10日!$C$2:$C$62000,$A183&amp;"",履歴10日!$B$2:$B$62000,C183),""))</f>
        <v>854200</v>
      </c>
      <c r="F183" s="13">
        <f t="shared" si="4"/>
        <v>1</v>
      </c>
      <c r="G183" s="7">
        <f>最新!F183</f>
        <v>667.8</v>
      </c>
      <c r="H183" s="14">
        <f>最新!G183</f>
        <v>0.98495575221238929</v>
      </c>
      <c r="I183" s="14">
        <f>最新!H183</f>
        <v>0.99212598425196841</v>
      </c>
      <c r="K183" s="18">
        <f>IF($A183="","",IFERROR(D183/SUMIFS(履歴10日!$F$2:$F$62000,履歴10日!$C$2:$C$62000,$A183&amp;"",履歴10日!$B$2:$B$62000,C183,履歴10日!$A$2:$A$62000,N$1),""))</f>
      </c>
      <c r="L183">
        <f t="shared" si="5"/>
        <v>0</v>
      </c>
      <c r="M183" s="18"/>
    </row>
    <row r="184" spans="1:13">
      <c r="A184" s="7">
        <f>最新!A184</f>
        <v>6753</v>
      </c>
      <c r="B184" s="7" t="str">
        <f>最新!B184</f>
        <v>シャープ</v>
      </c>
      <c r="C184" s="12">
        <f>最新!C184</f>
        <v>0.375</v>
      </c>
      <c r="D184" s="7">
        <f>最新!E184</f>
        <v>2233000</v>
      </c>
      <c r="E184" s="7">
        <f>IF($A184="","",IFERROR(AVERAGEIFS(履歴10日!$F$2:$F$62000,履歴10日!$C$2:$C$62000,$A184&amp;"",履歴10日!$B$2:$B$62000,C184),""))</f>
        <v>2233000</v>
      </c>
      <c r="F184" s="13">
        <f t="shared" si="4"/>
        <v>1</v>
      </c>
      <c r="G184" s="7">
        <f>最新!F184</f>
        <v>624.29999999999995</v>
      </c>
      <c r="H184" s="14">
        <f>最新!G184</f>
        <v>0.97546874999999988</v>
      </c>
      <c r="I184" s="14">
        <f>最新!H184</f>
        <v>0.98454502444409386</v>
      </c>
      <c r="K184" s="18">
        <f>IF($A184="","",IFERROR(D184/SUMIFS(履歴10日!$F$2:$F$62000,履歴10日!$C$2:$C$62000,$A184&amp;"",履歴10日!$B$2:$B$62000,C184,履歴10日!$A$2:$A$62000,N$1),""))</f>
      </c>
      <c r="L184">
        <f t="shared" si="5"/>
        <v>0</v>
      </c>
      <c r="M184" s="18"/>
    </row>
    <row r="185" spans="1:13">
      <c r="A185" s="7">
        <f>最新!A185</f>
        <v>9064</v>
      </c>
      <c r="B185" s="7" t="str">
        <f>最新!B185</f>
        <v>ヤマトホールディングス</v>
      </c>
      <c r="C185" s="12">
        <f>最新!C185</f>
        <v>0.375</v>
      </c>
      <c r="D185" s="7">
        <f>最新!E185</f>
        <v>1124600</v>
      </c>
      <c r="E185" s="7">
        <f>IF($A185="","",IFERROR(AVERAGEIFS(履歴10日!$F$2:$F$62000,履歴10日!$C$2:$C$62000,$A185&amp;"",履歴10日!$B$2:$B$62000,C185),""))</f>
        <v>1124600</v>
      </c>
      <c r="F185" s="13">
        <f t="shared" si="4"/>
        <v>1</v>
      </c>
      <c r="G185" s="7">
        <f>最新!F185</f>
        <v>2003.5</v>
      </c>
      <c r="H185" s="14">
        <f>最新!G185</f>
        <v>1.00678391959799</v>
      </c>
      <c r="I185" s="14">
        <f>最新!H185</f>
        <v>1.0180386178861789</v>
      </c>
      <c r="K185" s="18">
        <f>IF($A185="","",IFERROR(D185/SUMIFS(履歴10日!$F$2:$F$62000,履歴10日!$C$2:$C$62000,$A185&amp;"",履歴10日!$B$2:$B$62000,C185,履歴10日!$A$2:$A$62000,N$1),""))</f>
      </c>
      <c r="L185">
        <f t="shared" si="5"/>
        <v>0</v>
      </c>
      <c r="M185" s="18"/>
    </row>
    <row r="186" spans="1:13">
      <c r="A186" s="7">
        <f>最新!A186</f>
        <v>7181</v>
      </c>
      <c r="B186" s="7" t="str">
        <f>最新!B186</f>
        <v>かんぽ生命保険</v>
      </c>
      <c r="C186" s="12">
        <f>最新!C186</f>
        <v>0.375</v>
      </c>
      <c r="D186" s="7">
        <f>最新!E186</f>
        <v>879000</v>
      </c>
      <c r="E186" s="7">
        <f>IF($A186="","",IFERROR(AVERAGEIFS(履歴10日!$F$2:$F$62000,履歴10日!$C$2:$C$62000,$A186&amp;"",履歴10日!$B$2:$B$62000,C186),""))</f>
        <v>879000</v>
      </c>
      <c r="F186" s="13">
        <f t="shared" si="4"/>
        <v>1</v>
      </c>
      <c r="G186" s="7">
        <f>最新!F186</f>
        <v>1600.5</v>
      </c>
      <c r="H186" s="14">
        <f>最新!G186</f>
        <v>0.97294832826747724</v>
      </c>
      <c r="I186" s="14">
        <f>最新!H186</f>
        <v>0.9656108597285068</v>
      </c>
      <c r="K186" s="18">
        <f>IF($A186="","",IFERROR(D186/SUMIFS(履歴10日!$F$2:$F$62000,履歴10日!$C$2:$C$62000,$A186&amp;"",履歴10日!$B$2:$B$62000,C186,履歴10日!$A$2:$A$62000,N$1),""))</f>
      </c>
      <c r="L186">
        <f t="shared" si="5"/>
        <v>0</v>
      </c>
      <c r="M186" s="18"/>
    </row>
    <row r="187" spans="1:13">
      <c r="A187" s="7">
        <f>最新!A187</f>
        <v>6485</v>
      </c>
      <c r="B187" s="7" t="str">
        <f>最新!B187</f>
        <v>前澤給装工業</v>
      </c>
      <c r="C187" s="12">
        <f>最新!C187</f>
        <v>0.375</v>
      </c>
      <c r="D187" s="7">
        <f>最新!E187</f>
        <v>21900</v>
      </c>
      <c r="E187" s="7">
        <f>IF($A187="","",IFERROR(AVERAGEIFS(履歴10日!$F$2:$F$62000,履歴10日!$C$2:$C$62000,$A187&amp;"",履歴10日!$B$2:$B$62000,C187),""))</f>
        <v>21900</v>
      </c>
      <c r="F187" s="13">
        <f t="shared" si="4"/>
        <v>1</v>
      </c>
      <c r="G187" s="7">
        <f>最新!F187</f>
        <v>1521</v>
      </c>
      <c r="H187" s="14">
        <f>最新!G187</f>
        <v>0.98129032258064519</v>
      </c>
      <c r="I187" s="14">
        <f>最新!H187</f>
        <v>0.98002577319587625</v>
      </c>
      <c r="K187" s="18">
        <f>IF($A187="","",IFERROR(D187/SUMIFS(履歴10日!$F$2:$F$62000,履歴10日!$C$2:$C$62000,$A187&amp;"",履歴10日!$B$2:$B$62000,C187,履歴10日!$A$2:$A$62000,N$1),""))</f>
      </c>
      <c r="L187">
        <f t="shared" si="5"/>
        <v>0</v>
      </c>
      <c r="M187" s="18"/>
    </row>
    <row r="188" spans="1:13">
      <c r="A188" s="7">
        <f>最新!A188</f>
        <v>4887</v>
      </c>
      <c r="B188" s="7" t="str">
        <f>最新!B188</f>
        <v>サワイグループＨＤ</v>
      </c>
      <c r="C188" s="12">
        <f>最新!C188</f>
        <v>0.375</v>
      </c>
      <c r="D188" s="7">
        <f>最新!E188</f>
        <v>347700</v>
      </c>
      <c r="E188" s="7">
        <f>IF($A188="","",IFERROR(AVERAGEIFS(履歴10日!$F$2:$F$62000,履歴10日!$C$2:$C$62000,$A188&amp;"",履歴10日!$B$2:$B$62000,C188),""))</f>
        <v>347700</v>
      </c>
      <c r="F188" s="13">
        <f t="shared" si="4"/>
        <v>1</v>
      </c>
      <c r="G188" s="7">
        <f>最新!F188</f>
        <v>1676.5</v>
      </c>
      <c r="H188" s="14">
        <f>最新!G188</f>
        <v>1.0008955223880598</v>
      </c>
      <c r="I188" s="14">
        <f>最新!H188</f>
        <v>0.99940387481371085</v>
      </c>
      <c r="K188" s="18">
        <f>IF($A188="","",IFERROR(D188/SUMIFS(履歴10日!$F$2:$F$62000,履歴10日!$C$2:$C$62000,$A188&amp;"",履歴10日!$B$2:$B$62000,C188,履歴10日!$A$2:$A$62000,N$1),""))</f>
      </c>
      <c r="L188">
        <f t="shared" si="5"/>
        <v>0</v>
      </c>
      <c r="M188" s="18"/>
    </row>
    <row r="189" spans="1:13">
      <c r="A189" s="7">
        <f>最新!A189</f>
        <v>5243</v>
      </c>
      <c r="B189" s="7" t="str">
        <f>最新!B189</f>
        <v>ＮＯＴＥ</v>
      </c>
      <c r="C189" s="12">
        <f>最新!C189</f>
        <v>0.375</v>
      </c>
      <c r="D189" s="7">
        <f>最新!E189</f>
        <v>614700</v>
      </c>
      <c r="E189" s="7">
        <f>IF($A189="","",IFERROR(AVERAGEIFS(履歴10日!$F$2:$F$62000,履歴10日!$C$2:$C$62000,$A189&amp;"",履歴10日!$B$2:$B$62000,C189),""))</f>
        <v>614700</v>
      </c>
      <c r="F189" s="13">
        <f t="shared" si="4"/>
        <v>1</v>
      </c>
      <c r="G189" s="7">
        <f>最新!F189</f>
        <v>2040</v>
      </c>
      <c r="H189" s="14">
        <f>最新!G189</f>
        <v>0.96090438059349981</v>
      </c>
      <c r="I189" s="14">
        <f>最新!H189</f>
        <v>0.92938496583143504</v>
      </c>
      <c r="K189" s="18">
        <f>IF($A189="","",IFERROR(D189/SUMIFS(履歴10日!$F$2:$F$62000,履歴10日!$C$2:$C$62000,$A189&amp;"",履歴10日!$B$2:$B$62000,C189,履歴10日!$A$2:$A$62000,N$1),""))</f>
      </c>
      <c r="L189">
        <f t="shared" si="5"/>
        <v>0</v>
      </c>
      <c r="M189" s="18"/>
    </row>
    <row r="190" spans="1:13">
      <c r="A190" s="7">
        <f>最新!A190</f>
        <v>2702</v>
      </c>
      <c r="B190" s="7" t="str">
        <f>最新!B190</f>
        <v>日本マクドナルドＨＬＤＧ</v>
      </c>
      <c r="C190" s="12">
        <f>最新!C190</f>
        <v>0.375</v>
      </c>
      <c r="D190" s="7">
        <f>最新!E190</f>
        <v>375400</v>
      </c>
      <c r="E190" s="7">
        <f>IF($A190="","",IFERROR(AVERAGEIFS(履歴10日!$F$2:$F$62000,履歴10日!$C$2:$C$62000,$A190&amp;"",履歴10日!$B$2:$B$62000,C190),""))</f>
        <v>375400</v>
      </c>
      <c r="F190" s="13">
        <f t="shared" si="4"/>
        <v>1</v>
      </c>
      <c r="G190" s="7">
        <f>最新!F190</f>
        <v>7640</v>
      </c>
      <c r="H190" s="14">
        <f>最新!G190</f>
        <v>1.0146082337317397</v>
      </c>
      <c r="I190" s="14">
        <f>最新!H190</f>
        <v>1.0173102529960054</v>
      </c>
      <c r="K190" s="18">
        <f>IF($A190="","",IFERROR(D190/SUMIFS(履歴10日!$F$2:$F$62000,履歴10日!$C$2:$C$62000,$A190&amp;"",履歴10日!$B$2:$B$62000,C190,履歴10日!$A$2:$A$62000,N$1),""))</f>
      </c>
      <c r="L190">
        <f t="shared" si="5"/>
        <v>0</v>
      </c>
      <c r="M190" s="18"/>
    </row>
    <row r="191" spans="1:13">
      <c r="A191" s="7">
        <f>最新!A191</f>
        <v>6890</v>
      </c>
      <c r="B191" s="7" t="str">
        <f>最新!B191</f>
        <v>フェローテック</v>
      </c>
      <c r="C191" s="12">
        <f>最新!C191</f>
        <v>0.375</v>
      </c>
      <c r="D191" s="7">
        <f>最新!E191</f>
        <v>2080600</v>
      </c>
      <c r="E191" s="7">
        <f>IF($A191="","",IFERROR(AVERAGEIFS(履歴10日!$F$2:$F$62000,履歴10日!$C$2:$C$62000,$A191&amp;"",履歴10日!$B$2:$B$62000,C191),""))</f>
        <v>2080600</v>
      </c>
      <c r="F191" s="13">
        <f t="shared" si="4"/>
        <v>1</v>
      </c>
      <c r="G191" s="7">
        <f>最新!F191</f>
        <v>6920</v>
      </c>
      <c r="H191" s="14">
        <f>最新!G191</f>
        <v>0.94149659863945578</v>
      </c>
      <c r="I191" s="14">
        <f>最新!H191</f>
        <v>0.86499999999999999</v>
      </c>
      <c r="K191" s="18">
        <f>IF($A191="","",IFERROR(D191/SUMIFS(履歴10日!$F$2:$F$62000,履歴10日!$C$2:$C$62000,$A191&amp;"",履歴10日!$B$2:$B$62000,C191,履歴10日!$A$2:$A$62000,N$1),""))</f>
      </c>
      <c r="L191">
        <f t="shared" si="5"/>
        <v>0</v>
      </c>
      <c r="M191" s="18"/>
    </row>
    <row r="192" spans="1:13">
      <c r="A192" s="7">
        <f>最新!A192</f>
        <v>4966</v>
      </c>
      <c r="B192" s="7" t="str">
        <f>最新!B192</f>
        <v>上村工業</v>
      </c>
      <c r="C192" s="12">
        <f>最新!C192</f>
        <v>0.375</v>
      </c>
      <c r="D192" s="7">
        <f>最新!E192</f>
        <v>86500</v>
      </c>
      <c r="E192" s="7">
        <f>IF($A192="","",IFERROR(AVERAGEIFS(履歴10日!$F$2:$F$62000,履歴10日!$C$2:$C$62000,$A192&amp;"",履歴10日!$B$2:$B$62000,C192),""))</f>
        <v>86500</v>
      </c>
      <c r="F192" s="13">
        <f t="shared" si="4"/>
        <v>1</v>
      </c>
      <c r="G192" s="7">
        <f>最新!F192</f>
        <v>22500</v>
      </c>
      <c r="H192" s="14">
        <f>最新!G192</f>
        <v>0.94537815126050417</v>
      </c>
      <c r="I192" s="14">
        <f>最新!H192</f>
        <v>0.93322272915802573</v>
      </c>
      <c r="K192" s="18">
        <f>IF($A192="","",IFERROR(D192/SUMIFS(履歴10日!$F$2:$F$62000,履歴10日!$C$2:$C$62000,$A192&amp;"",履歴10日!$B$2:$B$62000,C192,履歴10日!$A$2:$A$62000,N$1),""))</f>
      </c>
      <c r="L192">
        <f t="shared" si="5"/>
        <v>0</v>
      </c>
      <c r="M192" s="18"/>
    </row>
    <row r="193" spans="1:13">
      <c r="A193" s="7">
        <f>最新!A193</f>
        <v>6146</v>
      </c>
      <c r="B193" s="7" t="str">
        <f>最新!B193</f>
        <v>ディスコ</v>
      </c>
      <c r="C193" s="12">
        <f>最新!C193</f>
        <v>0.375</v>
      </c>
      <c r="D193" s="7">
        <f>最新!E193</f>
        <v>1424900</v>
      </c>
      <c r="E193" s="7">
        <f>IF($A193="","",IFERROR(AVERAGEIFS(履歴10日!$F$2:$F$62000,履歴10日!$C$2:$C$62000,$A193&amp;"",履歴10日!$B$2:$B$62000,C193),""))</f>
        <v>1424900</v>
      </c>
      <c r="F193" s="13">
        <f t="shared" si="4"/>
        <v>1</v>
      </c>
      <c r="G193" s="7">
        <f>最新!F193</f>
        <v>63440</v>
      </c>
      <c r="H193" s="14">
        <f>最新!G193</f>
        <v>0.96589524969549334</v>
      </c>
      <c r="I193" s="14">
        <f>最新!H193</f>
        <v>0.89871086556169433</v>
      </c>
      <c r="K193" s="18">
        <f>IF($A193="","",IFERROR(D193/SUMIFS(履歴10日!$F$2:$F$62000,履歴10日!$C$2:$C$62000,$A193&amp;"",履歴10日!$B$2:$B$62000,C193,履歴10日!$A$2:$A$62000,N$1),""))</f>
      </c>
      <c r="L193">
        <f t="shared" si="5"/>
        <v>0</v>
      </c>
      <c r="M193" s="18"/>
    </row>
    <row r="194" spans="1:13">
      <c r="A194" s="7">
        <f>最新!A194</f>
        <v>8035</v>
      </c>
      <c r="B194" s="7" t="str">
        <f>最新!B194</f>
        <v>東京エレクトロン</v>
      </c>
      <c r="C194" s="12">
        <f>最新!C194</f>
        <v>0.375</v>
      </c>
      <c r="D194" s="7">
        <f>最新!E194</f>
        <v>5164000</v>
      </c>
      <c r="E194" s="7">
        <f>IF($A194="","",IFERROR(AVERAGEIFS(履歴10日!$F$2:$F$62000,履歴10日!$C$2:$C$62000,$A194&amp;"",履歴10日!$B$2:$B$62000,C194),""))</f>
        <v>5164000</v>
      </c>
      <c r="F194" s="13">
        <f t="shared" ref="F194:F257" si="6">IF(OR(D194="",E194="",E194=0),"",D194/E194)</f>
        <v>1</v>
      </c>
      <c r="G194" s="7">
        <f>最新!F194</f>
        <v>64030</v>
      </c>
      <c r="H194" s="14">
        <f>最新!G194</f>
        <v>0.9556716417910448</v>
      </c>
      <c r="I194" s="14">
        <f>最新!H194</f>
        <v>0.90323035689095788</v>
      </c>
      <c r="K194" s="18">
        <f>IF($A194="","",IFERROR(D194/SUMIFS(履歴10日!$F$2:$F$62000,履歴10日!$C$2:$C$62000,$A194&amp;"",履歴10日!$B$2:$B$62000,C194,履歴10日!$A$2:$A$62000,N$1),""))</f>
      </c>
      <c r="L194">
        <f t="shared" si="5"/>
        <v>0</v>
      </c>
      <c r="M194" s="18"/>
    </row>
    <row r="195" spans="1:13">
      <c r="A195" s="7">
        <f>最新!A195</f>
        <v>6920</v>
      </c>
      <c r="B195" s="7" t="str">
        <f>最新!B195</f>
        <v>レーザーテック</v>
      </c>
      <c r="C195" s="12">
        <f>最新!C195</f>
        <v>0.375</v>
      </c>
      <c r="D195" s="7">
        <f>最新!E195</f>
        <v>4315800</v>
      </c>
      <c r="E195" s="7">
        <f>IF($A195="","",IFERROR(AVERAGEIFS(履歴10日!$F$2:$F$62000,履歴10日!$C$2:$C$62000,$A195&amp;"",履歴10日!$B$2:$B$62000,C195),""))</f>
        <v>4315800</v>
      </c>
      <c r="F195" s="13">
        <f t="shared" si="6"/>
        <v>1</v>
      </c>
      <c r="G195" s="7">
        <f>最新!F195</f>
        <v>40790</v>
      </c>
      <c r="H195" s="14">
        <f>最新!G195</f>
        <v>0.94860465116279069</v>
      </c>
      <c r="I195" s="14">
        <f>最新!H195</f>
        <v>0.87966357558766439</v>
      </c>
      <c r="K195" s="18">
        <f>IF($A195="","",IFERROR(D195/SUMIFS(履歴10日!$F$2:$F$62000,履歴10日!$C$2:$C$62000,$A195&amp;"",履歴10日!$B$2:$B$62000,C195,履歴10日!$A$2:$A$62000,N$1),""))</f>
      </c>
      <c r="L195">
        <f t="shared" ref="L195:L258" si="7">IF(OR(D195="",D195="", D195="",E195="",$E195=0),"",(D195-E195)/E195)</f>
        <v>0</v>
      </c>
      <c r="M195" s="18"/>
    </row>
    <row r="196" spans="1:13">
      <c r="A196" s="7">
        <f>最新!A196</f>
        <v>5801</v>
      </c>
      <c r="B196" s="7" t="str">
        <f>最新!B196</f>
        <v>古河電工</v>
      </c>
      <c r="C196" s="12">
        <f>最新!C196</f>
        <v>0.375</v>
      </c>
      <c r="D196" s="7">
        <f>最新!E196</f>
        <v>19604300</v>
      </c>
      <c r="E196" s="7">
        <f>IF($A196="","",IFERROR(AVERAGEIFS(履歴10日!$F$2:$F$62000,履歴10日!$C$2:$C$62000,$A196&amp;"",履歴10日!$B$2:$B$62000,C196),""))</f>
        <v>19604300</v>
      </c>
      <c r="F196" s="13">
        <f t="shared" si="6"/>
        <v>1</v>
      </c>
      <c r="G196" s="7">
        <f>最新!F196</f>
        <v>3165</v>
      </c>
      <c r="H196" s="14">
        <f>最新!G196</f>
        <v>0.95880036352620424</v>
      </c>
      <c r="I196" s="14">
        <f>最新!H196</f>
        <v>0.91105354058721932</v>
      </c>
      <c r="K196" s="18">
        <f>IF($A196="","",IFERROR(D196/SUMIFS(履歴10日!$F$2:$F$62000,履歴10日!$C$2:$C$62000,$A196&amp;"",履歴10日!$B$2:$B$62000,C196,履歴10日!$A$2:$A$62000,N$1),""))</f>
      </c>
      <c r="L196">
        <f t="shared" si="7"/>
        <v>0</v>
      </c>
      <c r="M196" s="18"/>
    </row>
    <row r="197" spans="1:13">
      <c r="A197" s="7">
        <f>最新!A197</f>
        <v>6506</v>
      </c>
      <c r="B197" s="7" t="str">
        <f>最新!B197</f>
        <v>安川電機</v>
      </c>
      <c r="C197" s="12">
        <f>最新!C197</f>
        <v>0.375</v>
      </c>
      <c r="D197" s="7">
        <f>最新!E197</f>
        <v>10899400</v>
      </c>
      <c r="E197" s="7">
        <f>IF($A197="","",IFERROR(AVERAGEIFS(履歴10日!$F$2:$F$62000,履歴10日!$C$2:$C$62000,$A197&amp;"",履歴10日!$B$2:$B$62000,C197),""))</f>
        <v>10899400</v>
      </c>
      <c r="F197" s="13">
        <f t="shared" si="6"/>
        <v>1</v>
      </c>
      <c r="G197" s="7">
        <f>最新!F197</f>
        <v>5016</v>
      </c>
      <c r="H197" s="14">
        <f>最新!G197</f>
        <v>0.95126114166508624</v>
      </c>
      <c r="I197" s="14">
        <f>最新!H197</f>
        <v>0.91299599563159806</v>
      </c>
      <c r="K197" s="18">
        <f>IF($A197="","",IFERROR(D197/SUMIFS(履歴10日!$F$2:$F$62000,履歴10日!$C$2:$C$62000,$A197&amp;"",履歴10日!$B$2:$B$62000,C197,履歴10日!$A$2:$A$62000,N$1),""))</f>
      </c>
      <c r="L197">
        <f t="shared" si="7"/>
        <v>0</v>
      </c>
      <c r="M197" s="18"/>
    </row>
    <row r="198" spans="1:13">
      <c r="A198" s="7">
        <f>最新!A198</f>
        <v>2768</v>
      </c>
      <c r="B198" s="7" t="str">
        <f>最新!B198</f>
        <v>双日</v>
      </c>
      <c r="C198" s="12">
        <f>最新!C198</f>
        <v>0.375</v>
      </c>
      <c r="D198" s="7">
        <f>最新!E198</f>
        <v>999500</v>
      </c>
      <c r="E198" s="7">
        <f>IF($A198="","",IFERROR(AVERAGEIFS(履歴10日!$F$2:$F$62000,履歴10日!$C$2:$C$62000,$A198&amp;"",履歴10日!$B$2:$B$62000,C198),""))</f>
        <v>999500</v>
      </c>
      <c r="F198" s="13">
        <f t="shared" si="6"/>
        <v>1</v>
      </c>
      <c r="G198" s="7">
        <f>最新!F198</f>
        <v>5008</v>
      </c>
      <c r="H198" s="14">
        <f>最新!G198</f>
        <v>0.96418944936465156</v>
      </c>
      <c r="I198" s="14">
        <f>最新!H198</f>
        <v>0.96030680728667306</v>
      </c>
      <c r="K198" s="18">
        <f>IF($A198="","",IFERROR(D198/SUMIFS(履歴10日!$F$2:$F$62000,履歴10日!$C$2:$C$62000,$A198&amp;"",履歴10日!$B$2:$B$62000,C198,履歴10日!$A$2:$A$62000,N$1),""))</f>
      </c>
      <c r="L198">
        <f t="shared" si="7"/>
        <v>0</v>
      </c>
      <c r="M198" s="18"/>
    </row>
    <row r="199" spans="1:13">
      <c r="A199" s="7">
        <f>最新!A199</f>
        <v>6305</v>
      </c>
      <c r="B199" s="7" t="str">
        <f>最新!B199</f>
        <v>日立建機</v>
      </c>
      <c r="C199" s="12">
        <f>最新!C199</f>
        <v>0.375</v>
      </c>
      <c r="D199" s="7">
        <f>最新!E199</f>
        <v>509000</v>
      </c>
      <c r="E199" s="7">
        <f>IF($A199="","",IFERROR(AVERAGEIFS(履歴10日!$F$2:$F$62000,履歴10日!$C$2:$C$62000,$A199&amp;"",履歴10日!$B$2:$B$62000,C199),""))</f>
        <v>509000</v>
      </c>
      <c r="F199" s="13">
        <f t="shared" si="6"/>
        <v>1</v>
      </c>
      <c r="G199" s="7">
        <f>最新!F199</f>
        <v>5059</v>
      </c>
      <c r="H199" s="14">
        <f>最新!G199</f>
        <v>0.9636190476190476</v>
      </c>
      <c r="I199" s="14">
        <f>最新!H199</f>
        <v>0.95687535464346507</v>
      </c>
      <c r="K199" s="18">
        <f>IF($A199="","",IFERROR(D199/SUMIFS(履歴10日!$F$2:$F$62000,履歴10日!$C$2:$C$62000,$A199&amp;"",履歴10日!$B$2:$B$62000,C199,履歴10日!$A$2:$A$62000,N$1),""))</f>
      </c>
      <c r="L199">
        <f t="shared" si="7"/>
        <v>0</v>
      </c>
      <c r="M199" s="18"/>
    </row>
    <row r="200" spans="1:13">
      <c r="A200" s="7">
        <f>最新!A200</f>
        <v>8015</v>
      </c>
      <c r="B200" s="7" t="str">
        <f>最新!B200</f>
        <v>豊田通商</v>
      </c>
      <c r="C200" s="12">
        <f>最新!C200</f>
        <v>0.375</v>
      </c>
      <c r="D200" s="7">
        <f>最新!E200</f>
        <v>2015400</v>
      </c>
      <c r="E200" s="7">
        <f>IF($A200="","",IFERROR(AVERAGEIFS(履歴10日!$F$2:$F$62000,履歴10日!$C$2:$C$62000,$A200&amp;"",履歴10日!$B$2:$B$62000,C200),""))</f>
        <v>2015400</v>
      </c>
      <c r="F200" s="13">
        <f t="shared" si="6"/>
        <v>1</v>
      </c>
      <c r="G200" s="7">
        <f>最新!F200</f>
        <v>5999</v>
      </c>
      <c r="H200" s="14">
        <f>最新!G200</f>
        <v>0.98199377966934032</v>
      </c>
      <c r="I200" s="14">
        <f>最新!H200</f>
        <v>0.96617812852311158</v>
      </c>
      <c r="K200" s="18">
        <f>IF($A200="","",IFERROR(D200/SUMIFS(履歴10日!$F$2:$F$62000,履歴10日!$C$2:$C$62000,$A200&amp;"",履歴10日!$B$2:$B$62000,C200,履歴10日!$A$2:$A$62000,N$1),""))</f>
      </c>
      <c r="L200">
        <f t="shared" si="7"/>
        <v>0</v>
      </c>
      <c r="M200" s="18"/>
    </row>
    <row r="201" spans="1:13">
      <c r="A201" s="7">
        <f>最新!A201</f>
        <v>6758</v>
      </c>
      <c r="B201" s="7" t="str">
        <f>最新!B201</f>
        <v>ソニーグループ</v>
      </c>
      <c r="C201" s="12">
        <f>最新!C201</f>
        <v>0.375</v>
      </c>
      <c r="D201" s="7">
        <f>最新!E201</f>
        <v>16320600</v>
      </c>
      <c r="E201" s="7">
        <f>IF($A201="","",IFERROR(AVERAGEIFS(履歴10日!$F$2:$F$62000,履歴10日!$C$2:$C$62000,$A201&amp;"",履歴10日!$B$2:$B$62000,C201),""))</f>
        <v>16320600</v>
      </c>
      <c r="F201" s="13">
        <f t="shared" si="6"/>
        <v>1</v>
      </c>
      <c r="G201" s="7">
        <f>最新!F201</f>
        <v>3454</v>
      </c>
      <c r="H201" s="14">
        <f>最新!G201</f>
        <v>1.004653868528214</v>
      </c>
      <c r="I201" s="14">
        <f>最新!H201</f>
        <v>1.004653868528214</v>
      </c>
      <c r="K201" s="18">
        <f>IF($A201="","",IFERROR(D201/SUMIFS(履歴10日!$F$2:$F$62000,履歴10日!$C$2:$C$62000,$A201&amp;"",履歴10日!$B$2:$B$62000,C201,履歴10日!$A$2:$A$62000,N$1),""))</f>
      </c>
      <c r="L201">
        <f t="shared" si="7"/>
        <v>0</v>
      </c>
      <c r="M201" s="18"/>
    </row>
    <row r="202" spans="1:13">
      <c r="A202" s="7">
        <f>最新!A202</f>
        <v>9101</v>
      </c>
      <c r="B202" s="7" t="str">
        <f>最新!B202</f>
        <v>日本郵船</v>
      </c>
      <c r="C202" s="12">
        <f>最新!C202</f>
        <v>0.375</v>
      </c>
      <c r="D202" s="7">
        <f>最新!E202</f>
        <v>3375000</v>
      </c>
      <c r="E202" s="7">
        <f>IF($A202="","",IFERROR(AVERAGEIFS(履歴10日!$F$2:$F$62000,履歴10日!$C$2:$C$62000,$A202&amp;"",履歴10日!$B$2:$B$62000,C202),""))</f>
        <v>3375000</v>
      </c>
      <c r="F202" s="13">
        <f t="shared" si="6"/>
        <v>1</v>
      </c>
      <c r="G202" s="7">
        <f>最新!F202</f>
        <v>5663</v>
      </c>
      <c r="H202" s="14">
        <f>最新!G202</f>
        <v>1.0094474153297683</v>
      </c>
      <c r="I202" s="14">
        <f>最新!H202</f>
        <v>1.022202166064982</v>
      </c>
      <c r="K202" s="18">
        <f>IF($A202="","",IFERROR(D202/SUMIFS(履歴10日!$F$2:$F$62000,履歴10日!$C$2:$C$62000,$A202&amp;"",履歴10日!$B$2:$B$62000,C202,履歴10日!$A$2:$A$62000,N$1),""))</f>
      </c>
      <c r="L202">
        <f t="shared" si="7"/>
        <v>0</v>
      </c>
      <c r="M202" s="18"/>
    </row>
    <row r="203" spans="1:13">
      <c r="A203" s="7">
        <f>最新!A203</f>
        <v>7011</v>
      </c>
      <c r="B203" s="7" t="str">
        <f>最新!B203</f>
        <v>三菱重工業</v>
      </c>
      <c r="C203" s="12">
        <f>最新!C203</f>
        <v>0.375</v>
      </c>
      <c r="D203" s="7">
        <f>最新!E203</f>
        <v>16919300</v>
      </c>
      <c r="E203" s="7">
        <f>IF($A203="","",IFERROR(AVERAGEIFS(履歴10日!$F$2:$F$62000,履歴10日!$C$2:$C$62000,$A203&amp;"",履歴10日!$B$2:$B$62000,C203),""))</f>
        <v>16919300</v>
      </c>
      <c r="F203" s="13">
        <f t="shared" si="6"/>
        <v>1</v>
      </c>
      <c r="G203" s="7">
        <f>最新!F203</f>
        <v>3661</v>
      </c>
      <c r="H203" s="14">
        <f>最新!G203</f>
        <v>0.97626666666666662</v>
      </c>
      <c r="I203" s="14">
        <f>最新!H203</f>
        <v>0.95762490190949512</v>
      </c>
      <c r="K203" s="18">
        <f>IF($A203="","",IFERROR(D203/SUMIFS(履歴10日!$F$2:$F$62000,履歴10日!$C$2:$C$62000,$A203&amp;"",履歴10日!$B$2:$B$62000,C203,履歴10日!$A$2:$A$62000,N$1),""))</f>
      </c>
      <c r="L203">
        <f t="shared" si="7"/>
        <v>0</v>
      </c>
      <c r="M203" s="18"/>
    </row>
    <row r="204" spans="1:13">
      <c r="A204" s="7">
        <f>最新!A204</f>
        <v>1812</v>
      </c>
      <c r="B204" s="7" t="str">
        <f>最新!B204</f>
        <v>鹿島建設</v>
      </c>
      <c r="C204" s="12">
        <f>最新!C204</f>
        <v>0.375</v>
      </c>
      <c r="D204" s="7">
        <f>最新!E204</f>
        <v>1069500</v>
      </c>
      <c r="E204" s="7">
        <f>IF($A204="","",IFERROR(AVERAGEIFS(履歴10日!$F$2:$F$62000,履歴10日!$C$2:$C$62000,$A204&amp;"",履歴10日!$B$2:$B$62000,C204),""))</f>
        <v>1069500</v>
      </c>
      <c r="F204" s="13">
        <f t="shared" si="6"/>
        <v>1</v>
      </c>
      <c r="G204" s="7">
        <f>最新!F204</f>
        <v>5457</v>
      </c>
      <c r="H204" s="14">
        <f>最新!G204</f>
        <v>0.97550947443689673</v>
      </c>
      <c r="I204" s="14">
        <f>最新!H204</f>
        <v>0.96057032212638616</v>
      </c>
      <c r="K204" s="18">
        <f>IF($A204="","",IFERROR(D204/SUMIFS(履歴10日!$F$2:$F$62000,履歴10日!$C$2:$C$62000,$A204&amp;"",履歴10日!$B$2:$B$62000,C204,履歴10日!$A$2:$A$62000,N$1),""))</f>
      </c>
      <c r="L204">
        <f t="shared" si="7"/>
        <v>0</v>
      </c>
      <c r="M204" s="18"/>
    </row>
    <row r="205" spans="1:13">
      <c r="A205" s="7">
        <f>最新!A205</f>
        <v>6861</v>
      </c>
      <c r="B205" s="7" t="str">
        <f>最新!B205</f>
        <v>キーエンス</v>
      </c>
      <c r="C205" s="12">
        <f>最新!C205</f>
        <v>0.375</v>
      </c>
      <c r="D205" s="7">
        <f>最新!E205</f>
        <v>636600</v>
      </c>
      <c r="E205" s="7">
        <f>IF($A205="","",IFERROR(AVERAGEIFS(履歴10日!$F$2:$F$62000,履歴10日!$C$2:$C$62000,$A205&amp;"",履歴10日!$B$2:$B$62000,C205),""))</f>
        <v>636600</v>
      </c>
      <c r="F205" s="13">
        <f t="shared" si="6"/>
        <v>1</v>
      </c>
      <c r="G205" s="7">
        <f>最新!F205</f>
        <v>69580</v>
      </c>
      <c r="H205" s="14">
        <f>最新!G205</f>
        <v>0.96840640222686147</v>
      </c>
      <c r="I205" s="14">
        <f>最新!H205</f>
        <v>0.93963538149898718</v>
      </c>
      <c r="K205" s="18">
        <f>IF($A205="","",IFERROR(D205/SUMIFS(履歴10日!$F$2:$F$62000,履歴10日!$C$2:$C$62000,$A205&amp;"",履歴10日!$B$2:$B$62000,C205,履歴10日!$A$2:$A$62000,N$1),""))</f>
      </c>
      <c r="L205">
        <f t="shared" si="7"/>
        <v>0</v>
      </c>
      <c r="M205" s="18"/>
    </row>
    <row r="206" spans="1:13">
      <c r="A206" s="7">
        <f>最新!A206</f>
        <v>6324</v>
      </c>
      <c r="B206" s="7" t="str">
        <f>最新!B206</f>
        <v>ハーモニック・ドライブ・シス</v>
      </c>
      <c r="C206" s="12">
        <f>最新!C206</f>
        <v>0.375</v>
      </c>
      <c r="D206" s="7">
        <f>最新!E206</f>
        <v>1665600</v>
      </c>
      <c r="E206" s="7">
        <f>IF($A206="","",IFERROR(AVERAGEIFS(履歴10日!$F$2:$F$62000,履歴10日!$C$2:$C$62000,$A206&amp;"",履歴10日!$B$2:$B$62000,C206),""))</f>
        <v>1665600</v>
      </c>
      <c r="F206" s="13">
        <f t="shared" si="6"/>
        <v>1</v>
      </c>
      <c r="G206" s="7">
        <f>最新!F206</f>
        <v>6370</v>
      </c>
      <c r="H206" s="14">
        <f>最新!G206</f>
        <v>0.92318840579710149</v>
      </c>
      <c r="I206" s="14">
        <f>最新!H206</f>
        <v>0.88472222222222219</v>
      </c>
      <c r="K206" s="18">
        <f>IF($A206="","",IFERROR(D206/SUMIFS(履歴10日!$F$2:$F$62000,履歴10日!$C$2:$C$62000,$A206&amp;"",履歴10日!$B$2:$B$62000,C206,履歴10日!$A$2:$A$62000,N$1),""))</f>
      </c>
      <c r="L206">
        <f t="shared" si="7"/>
        <v>0</v>
      </c>
      <c r="M206" s="18"/>
    </row>
    <row r="207" spans="1:13">
      <c r="A207" s="7">
        <f>最新!A207</f>
        <v>6273</v>
      </c>
      <c r="B207" s="7" t="str">
        <f>最新!B207</f>
        <v>ＳＭＣ</v>
      </c>
      <c r="C207" s="12">
        <f>最新!C207</f>
        <v>0.375</v>
      </c>
      <c r="D207" s="7">
        <f>最新!E207</f>
        <v>310500</v>
      </c>
      <c r="E207" s="7">
        <f>IF($A207="","",IFERROR(AVERAGEIFS(履歴10日!$F$2:$F$62000,履歴10日!$C$2:$C$62000,$A207&amp;"",履歴10日!$B$2:$B$62000,C207),""))</f>
        <v>310500</v>
      </c>
      <c r="F207" s="13">
        <f t="shared" si="6"/>
        <v>1</v>
      </c>
      <c r="G207" s="7">
        <f>最新!F207</f>
        <v>68340</v>
      </c>
      <c r="H207" s="14">
        <f>最新!G207</f>
        <v>0.95009036563325455</v>
      </c>
      <c r="I207" s="14">
        <f>最新!H207</f>
        <v>0.93068228244586682</v>
      </c>
      <c r="K207" s="18">
        <f>IF($A207="","",IFERROR(D207/SUMIFS(履歴10日!$F$2:$F$62000,履歴10日!$C$2:$C$62000,$A207&amp;"",履歴10日!$B$2:$B$62000,C207,履歴10日!$A$2:$A$62000,N$1),""))</f>
      </c>
      <c r="L207">
        <f t="shared" si="7"/>
        <v>0</v>
      </c>
      <c r="M207" s="18"/>
    </row>
    <row r="208" spans="1:13">
      <c r="A208" s="7">
        <f>最新!A208</f>
        <v>4502</v>
      </c>
      <c r="B208" s="7" t="str">
        <f>最新!B208</f>
        <v>武田薬品</v>
      </c>
      <c r="C208" s="12">
        <f>最新!C208</f>
        <v>0.375</v>
      </c>
      <c r="D208" s="7">
        <f>最新!E208</f>
        <v>3358900</v>
      </c>
      <c r="E208" s="7">
        <f>IF($A208="","",IFERROR(AVERAGEIFS(履歴10日!$F$2:$F$62000,履歴10日!$C$2:$C$62000,$A208&amp;"",履歴10日!$B$2:$B$62000,C208),""))</f>
        <v>3358900</v>
      </c>
      <c r="F208" s="13">
        <f t="shared" si="6"/>
        <v>1</v>
      </c>
      <c r="G208" s="7">
        <f>最新!F208</f>
        <v>5442</v>
      </c>
      <c r="H208" s="14">
        <f>最新!G208</f>
        <v>0.99944903581267219</v>
      </c>
      <c r="I208" s="14">
        <f>最新!H208</f>
        <v>1.0181478016838166</v>
      </c>
      <c r="K208" s="18">
        <f>IF($A208="","",IFERROR(D208/SUMIFS(履歴10日!$F$2:$F$62000,履歴10日!$C$2:$C$62000,$A208&amp;"",履歴10日!$B$2:$B$62000,C208,履歴10日!$A$2:$A$62000,N$1),""))</f>
      </c>
      <c r="L208">
        <f t="shared" si="7"/>
        <v>0</v>
      </c>
      <c r="M208" s="18"/>
    </row>
    <row r="209" spans="1:13">
      <c r="A209" s="7">
        <f>最新!A209</f>
        <v>4004</v>
      </c>
      <c r="B209" s="7" t="str">
        <f>最新!B209</f>
        <v>レゾナック・ホールディング</v>
      </c>
      <c r="C209" s="12">
        <f>最新!C209</f>
        <v>0.375</v>
      </c>
      <c r="D209" s="7">
        <f>最新!E209</f>
        <v>2517500</v>
      </c>
      <c r="E209" s="7">
        <f>IF($A209="","",IFERROR(AVERAGEIFS(履歴10日!$F$2:$F$62000,履歴10日!$C$2:$C$62000,$A209&amp;"",履歴10日!$B$2:$B$62000,C209),""))</f>
        <v>2517500</v>
      </c>
      <c r="F209" s="13">
        <f t="shared" si="6"/>
        <v>1</v>
      </c>
      <c r="G209" s="7">
        <f>最新!F209</f>
        <v>13580</v>
      </c>
      <c r="H209" s="14">
        <f>最新!G209</f>
        <v>0.94898672257162819</v>
      </c>
      <c r="I209" s="14">
        <f>最新!H209</f>
        <v>0.91171534071836191</v>
      </c>
      <c r="K209" s="18">
        <f>IF($A209="","",IFERROR(D209/SUMIFS(履歴10日!$F$2:$F$62000,履歴10日!$C$2:$C$62000,$A209&amp;"",履歴10日!$B$2:$B$62000,C209,履歴10日!$A$2:$A$62000,N$1),""))</f>
      </c>
      <c r="L209">
        <f t="shared" si="7"/>
        <v>0</v>
      </c>
      <c r="M209" s="18"/>
    </row>
    <row r="210" spans="1:13">
      <c r="A210" s="7">
        <f>最新!A210</f>
        <v>9519</v>
      </c>
      <c r="B210" s="7" t="str">
        <f>最新!B210</f>
        <v>レノバ</v>
      </c>
      <c r="C210" s="12">
        <f>最新!C210</f>
        <v>0.375</v>
      </c>
      <c r="D210" s="7">
        <f>最新!E210</f>
        <v>726100</v>
      </c>
      <c r="E210" s="7">
        <f>IF($A210="","",IFERROR(AVERAGEIFS(履歴10日!$F$2:$F$62000,履歴10日!$C$2:$C$62000,$A210&amp;"",履歴10日!$B$2:$B$62000,C210),""))</f>
        <v>726100</v>
      </c>
      <c r="F210" s="13">
        <f t="shared" si="6"/>
        <v>1</v>
      </c>
      <c r="G210" s="7">
        <f>最新!F210</f>
        <v>974</v>
      </c>
      <c r="H210" s="14">
        <f>最新!G210</f>
        <v>0.9539666993143977</v>
      </c>
      <c r="I210" s="14">
        <f>最新!H210</f>
        <v>0.94288480154888676</v>
      </c>
      <c r="K210" s="18">
        <f>IF($A210="","",IFERROR(D210/SUMIFS(履歴10日!$F$2:$F$62000,履歴10日!$C$2:$C$62000,$A210&amp;"",履歴10日!$B$2:$B$62000,C210,履歴10日!$A$2:$A$62000,N$1),""))</f>
      </c>
      <c r="L210">
        <f t="shared" si="7"/>
        <v>0</v>
      </c>
      <c r="M210" s="18"/>
    </row>
    <row r="211" spans="1:13">
      <c r="A211" s="7">
        <f>最新!A211</f>
        <v>6752</v>
      </c>
      <c r="B211" s="7" t="str">
        <f>最新!B211</f>
        <v>パナソニックホールディンク</v>
      </c>
      <c r="C211" s="12">
        <f>最新!C211</f>
        <v>0.375</v>
      </c>
      <c r="D211" s="7">
        <f>最新!E211</f>
        <v>8290200</v>
      </c>
      <c r="E211" s="7">
        <f>IF($A211="","",IFERROR(AVERAGEIFS(履歴10日!$F$2:$F$62000,履歴10日!$C$2:$C$62000,$A211&amp;"",履歴10日!$B$2:$B$62000,C211),""))</f>
        <v>8290200</v>
      </c>
      <c r="F211" s="13">
        <f t="shared" si="6"/>
        <v>1</v>
      </c>
      <c r="G211" s="7">
        <f>最新!F211</f>
        <v>3946</v>
      </c>
      <c r="H211" s="14">
        <f>最新!G211</f>
        <v>0.9882294014525419</v>
      </c>
      <c r="I211" s="14">
        <f>最新!H211</f>
        <v>0.93551446183025133</v>
      </c>
      <c r="K211" s="18">
        <f>IF($A211="","",IFERROR(D211/SUMIFS(履歴10日!$F$2:$F$62000,履歴10日!$C$2:$C$62000,$A211&amp;"",履歴10日!$B$2:$B$62000,C211,履歴10日!$A$2:$A$62000,N$1),""))</f>
      </c>
      <c r="L211">
        <f t="shared" si="7"/>
        <v>0</v>
      </c>
      <c r="M211" s="18"/>
    </row>
    <row r="212" spans="1:13">
      <c r="A212" s="7">
        <f>最新!A212</f>
        <v>6622</v>
      </c>
      <c r="B212" s="7" t="str">
        <f>最新!B212</f>
        <v>ダイヘン</v>
      </c>
      <c r="C212" s="12">
        <f>最新!C212</f>
        <v>0.375</v>
      </c>
      <c r="D212" s="7">
        <f>最新!E212</f>
        <v>401700</v>
      </c>
      <c r="E212" s="7">
        <f>IF($A212="","",IFERROR(AVERAGEIFS(履歴10日!$F$2:$F$62000,履歴10日!$C$2:$C$62000,$A212&amp;"",履歴10日!$B$2:$B$62000,C212),""))</f>
        <v>401700</v>
      </c>
      <c r="F212" s="13">
        <f t="shared" si="6"/>
        <v>1</v>
      </c>
      <c r="G212" s="7">
        <f>最新!F212</f>
        <v>13880</v>
      </c>
      <c r="H212" s="14">
        <f>最新!G212</f>
        <v>0.96055363321799303</v>
      </c>
      <c r="I212" s="14">
        <f>最新!H212</f>
        <v>0.9228723404255319</v>
      </c>
      <c r="K212" s="18">
        <f>IF($A212="","",IFERROR(D212/SUMIFS(履歴10日!$F$2:$F$62000,履歴10日!$C$2:$C$62000,$A212&amp;"",履歴10日!$B$2:$B$62000,C212,履歴10日!$A$2:$A$62000,N$1),""))</f>
      </c>
      <c r="L212">
        <f t="shared" si="7"/>
        <v>0</v>
      </c>
      <c r="M212" s="18"/>
    </row>
    <row r="213" spans="1:13">
      <c r="A213" s="7">
        <f>最新!A213</f>
        <v>1407</v>
      </c>
      <c r="B213" s="7" t="str">
        <f>最新!B213</f>
        <v>ウエストホールディングス</v>
      </c>
      <c r="C213" s="12">
        <f>最新!C213</f>
        <v>0.375</v>
      </c>
      <c r="D213" s="7">
        <f>最新!E213</f>
        <v>767100</v>
      </c>
      <c r="E213" s="7">
        <f>IF($A213="","",IFERROR(AVERAGEIFS(履歴10日!$F$2:$F$62000,履歴10日!$C$2:$C$62000,$A213&amp;"",履歴10日!$B$2:$B$62000,C213),""))</f>
        <v>767100</v>
      </c>
      <c r="F213" s="13">
        <f t="shared" si="6"/>
        <v>1</v>
      </c>
      <c r="G213" s="7">
        <f>最新!F213</f>
        <v>2763</v>
      </c>
      <c r="H213" s="14">
        <f>最新!G213</f>
        <v>1.0298173686172196</v>
      </c>
      <c r="I213" s="14">
        <f>最新!H213</f>
        <v>1.0058245358572988</v>
      </c>
      <c r="K213" s="18">
        <f>IF($A213="","",IFERROR(D213/SUMIFS(履歴10日!$F$2:$F$62000,履歴10日!$C$2:$C$62000,$A213&amp;"",履歴10日!$B$2:$B$62000,C213,履歴10日!$A$2:$A$62000,N$1),""))</f>
      </c>
      <c r="L213">
        <f t="shared" si="7"/>
        <v>0</v>
      </c>
      <c r="M213" s="18"/>
    </row>
    <row r="214" spans="1:13">
      <c r="A214" s="7" t="str">
        <f>最新!A214</f>
        <v>285A</v>
      </c>
      <c r="B214" s="7" t="str">
        <f>最新!B214</f>
        <v>キオクシアホールディングス</v>
      </c>
      <c r="C214" s="12">
        <f>最新!C214</f>
        <v>0.375</v>
      </c>
      <c r="D214" s="7">
        <f>最新!E214</f>
        <v>40153500</v>
      </c>
      <c r="E214" s="7">
        <f>IF($A214="","",IFERROR(AVERAGEIFS(履歴10日!$F$2:$F$62000,履歴10日!$C$2:$C$62000,$A214&amp;"",履歴10日!$B$2:$B$62000,C214),""))</f>
        <v>40153500</v>
      </c>
      <c r="F214" s="13">
        <f t="shared" si="6"/>
        <v>1</v>
      </c>
      <c r="G214" s="7">
        <f>最新!F214</f>
        <v>52110</v>
      </c>
      <c r="H214" s="14">
        <f>最新!G214</f>
        <v>0.93220035778175314</v>
      </c>
      <c r="I214" s="14">
        <f>最新!H214</f>
        <v>0.8389953308645951</v>
      </c>
      <c r="K214" s="18">
        <f>IF($A214="","",IFERROR(D214/SUMIFS(履歴10日!$F$2:$F$62000,履歴10日!$C$2:$C$62000,$A214&amp;"",履歴10日!$B$2:$B$62000,C214,履歴10日!$A$2:$A$62000,N$1),""))</f>
      </c>
      <c r="L214">
        <f t="shared" si="7"/>
        <v>0</v>
      </c>
      <c r="M214" s="18"/>
    </row>
    <row r="215" spans="1:13">
      <c r="A215" s="7" t="str">
        <f>最新!A215</f>
        <v>141A</v>
      </c>
      <c r="B215" s="7" t="str">
        <f>最新!B215</f>
        <v>トライアルホールディングス</v>
      </c>
      <c r="C215" s="12">
        <f>最新!C215</f>
        <v>0.375</v>
      </c>
      <c r="D215" s="7">
        <f>最新!E215</f>
        <v>550800</v>
      </c>
      <c r="E215" s="7">
        <f>IF($A215="","",IFERROR(AVERAGEIFS(履歴10日!$F$2:$F$62000,履歴10日!$C$2:$C$62000,$A215&amp;"",履歴10日!$B$2:$B$62000,C215),""))</f>
        <v>550800</v>
      </c>
      <c r="F215" s="13">
        <f t="shared" si="6"/>
        <v>1</v>
      </c>
      <c r="G215" s="7">
        <f>最新!F215</f>
        <v>2975</v>
      </c>
      <c r="H215" s="14">
        <f>最新!G215</f>
        <v>0.97381342062193121</v>
      </c>
      <c r="I215" s="14">
        <f>最新!H215</f>
        <v>0.9818481848184818</v>
      </c>
      <c r="K215" s="18">
        <f>IF($A215="","",IFERROR(D215/SUMIFS(履歴10日!$F$2:$F$62000,履歴10日!$C$2:$C$62000,$A215&amp;"",履歴10日!$B$2:$B$62000,C215,履歴10日!$A$2:$A$62000,N$1),""))</f>
      </c>
      <c r="L215">
        <f t="shared" si="7"/>
        <v>0</v>
      </c>
      <c r="M215" s="18"/>
    </row>
    <row r="216" spans="1:13">
      <c r="A216" s="7" t="str">
        <f>最新!A216</f>
        <v>464A</v>
      </c>
      <c r="B216" s="7" t="str">
        <f>最新!B216</f>
        <v>ＱＰＳホールディングス</v>
      </c>
      <c r="C216" s="12">
        <f>最新!C216</f>
        <v>0.375</v>
      </c>
      <c r="D216" s="7">
        <f>最新!E216</f>
        <v>2340400</v>
      </c>
      <c r="E216" s="7">
        <f>IF($A216="","",IFERROR(AVERAGEIFS(履歴10日!$F$2:$F$62000,履歴10日!$C$2:$C$62000,$A216&amp;"",履歴10日!$B$2:$B$62000,C216),""))</f>
        <v>2340400</v>
      </c>
      <c r="F216" s="13">
        <f t="shared" si="6"/>
        <v>1</v>
      </c>
      <c r="G216" s="7">
        <f>最新!F216</f>
        <v>1591</v>
      </c>
      <c r="H216" s="14">
        <f>最新!G216</f>
        <v>0.95612980769230771</v>
      </c>
      <c r="I216" s="14">
        <f>最新!H216</f>
        <v>0.91594703511801956</v>
      </c>
      <c r="K216" s="18">
        <f>IF($A216="","",IFERROR(D216/SUMIFS(履歴10日!$F$2:$F$62000,履歴10日!$C$2:$C$62000,$A216&amp;"",履歴10日!$B$2:$B$62000,C216,履歴10日!$A$2:$A$62000,N$1),""))</f>
      </c>
      <c r="L216">
        <f t="shared" si="7"/>
        <v>0</v>
      </c>
      <c r="M216" s="18"/>
    </row>
    <row r="217" spans="1:13">
      <c r="A217" s="7" t="str">
        <f>最新!A217</f>
        <v>485A</v>
      </c>
      <c r="B217" s="7" t="str">
        <f>最新!B217</f>
        <v>パワーエックス</v>
      </c>
      <c r="C217" s="12">
        <f>最新!C217</f>
        <v>0.375</v>
      </c>
      <c r="D217" s="7">
        <f>最新!E217</f>
        <v>5398400</v>
      </c>
      <c r="E217" s="7">
        <f>IF($A217="","",IFERROR(AVERAGEIFS(履歴10日!$F$2:$F$62000,履歴10日!$C$2:$C$62000,$A217&amp;"",履歴10日!$B$2:$B$62000,C217),""))</f>
        <v>5398400</v>
      </c>
      <c r="F217" s="13">
        <f t="shared" si="6"/>
        <v>1</v>
      </c>
      <c r="G217" s="7">
        <f>最新!F217</f>
        <v>1941</v>
      </c>
      <c r="H217" s="14">
        <f>最新!G217</f>
        <v>1.0215789473684211</v>
      </c>
      <c r="I217" s="14">
        <f>最新!H217</f>
        <v>0.98278481012658225</v>
      </c>
      <c r="K217" s="18">
        <f>IF($A217="","",IFERROR(D217/SUMIFS(履歴10日!$F$2:$F$62000,履歴10日!$C$2:$C$62000,$A217&amp;"",履歴10日!$B$2:$B$62000,C217,履歴10日!$A$2:$A$62000,N$1),""))</f>
      </c>
      <c r="L217">
        <f t="shared" si="7"/>
        <v>0</v>
      </c>
      <c r="M217" s="18"/>
    </row>
    <row r="218" spans="1:13">
      <c r="A218" s="7">
        <f>最新!A218</f>
        <v>1570</v>
      </c>
      <c r="B218" s="7" t="str">
        <f>最新!B218</f>
        <v>ＮＦ日経レバ</v>
      </c>
      <c r="C218" s="12">
        <f>最新!C218</f>
        <v>0.375</v>
      </c>
      <c r="D218" s="7">
        <f>最新!E218</f>
        <v>5166865</v>
      </c>
      <c r="E218" s="7">
        <f>IF($A218="","",IFERROR(AVERAGEIFS(履歴10日!$F$2:$F$62000,履歴10日!$C$2:$C$62000,$A218&amp;"",履歴10日!$B$2:$B$62000,C218),""))</f>
        <v>5166865</v>
      </c>
      <c r="F218" s="13">
        <f t="shared" si="6"/>
        <v>1</v>
      </c>
      <c r="G218" s="7">
        <f>最新!F218</f>
        <v>64210</v>
      </c>
      <c r="H218" s="14">
        <f>最新!G218</f>
        <v>0.92802428096545742</v>
      </c>
      <c r="I218" s="14">
        <f>最新!H218</f>
        <v>0.8935430002783189</v>
      </c>
      <c r="K218" s="18">
        <f>IF($A218="","",IFERROR(D218/SUMIFS(履歴10日!$F$2:$F$62000,履歴10日!$C$2:$C$62000,$A218&amp;"",履歴10日!$B$2:$B$62000,C218,履歴10日!$A$2:$A$62000,N$1),""))</f>
      </c>
      <c r="L218">
        <f t="shared" si="7"/>
        <v>0</v>
      </c>
      <c r="M218" s="18"/>
    </row>
    <row r="219" spans="1:13">
      <c r="A219" s="7">
        <f>最新!A219</f>
        <v>6135</v>
      </c>
      <c r="B219" s="7" t="str">
        <f>最新!B219</f>
        <v>牧野フライス</v>
      </c>
      <c r="C219" s="12">
        <f>最新!C219</f>
        <v>0.375</v>
      </c>
      <c r="D219" s="7">
        <f>最新!E219</f>
        <v>279000</v>
      </c>
      <c r="E219" s="7">
        <f>IF($A219="","",IFERROR(AVERAGEIFS(履歴10日!$F$2:$F$62000,履歴10日!$C$2:$C$62000,$A219&amp;"",履歴10日!$B$2:$B$62000,C219),""))</f>
        <v>279000</v>
      </c>
      <c r="F219" s="13">
        <f t="shared" si="6"/>
        <v>1</v>
      </c>
      <c r="G219" s="7">
        <f>最新!F219</f>
        <v>14310</v>
      </c>
      <c r="H219" s="14">
        <f>最新!G219</f>
        <v>0.99651810584958223</v>
      </c>
      <c r="I219" s="14">
        <f>最新!H219</f>
        <v>0.9821551132463967</v>
      </c>
      <c r="K219" s="18">
        <f>IF($A219="","",IFERROR(D219/SUMIFS(履歴10日!$F$2:$F$62000,履歴10日!$C$2:$C$62000,$A219&amp;"",履歴10日!$B$2:$B$62000,C219,履歴10日!$A$2:$A$62000,N$1),""))</f>
      </c>
      <c r="L219">
        <f t="shared" si="7"/>
        <v>0</v>
      </c>
      <c r="M219" s="18"/>
    </row>
    <row r="220" spans="1:13">
      <c r="A220" s="7">
        <f>最新!A220</f>
        <v>6055</v>
      </c>
      <c r="B220" s="7" t="str">
        <f>最新!B220</f>
        <v>ジャパンマテリアル</v>
      </c>
      <c r="C220" s="12">
        <f>最新!C220</f>
        <v>0.375</v>
      </c>
      <c r="D220" s="7">
        <f>最新!E220</f>
        <v>814400</v>
      </c>
      <c r="E220" s="7">
        <f>IF($A220="","",IFERROR(AVERAGEIFS(履歴10日!$F$2:$F$62000,履歴10日!$C$2:$C$62000,$A220&amp;"",履歴10日!$B$2:$B$62000,C220),""))</f>
        <v>814400</v>
      </c>
      <c r="F220" s="13">
        <f t="shared" si="6"/>
        <v>1</v>
      </c>
      <c r="G220" s="7">
        <f>最新!F220</f>
        <v>2202</v>
      </c>
      <c r="H220" s="14">
        <f>最新!G220</f>
        <v>0.94062366510038442</v>
      </c>
      <c r="I220" s="14">
        <f>最新!H220</f>
        <v>0.90356996306934756</v>
      </c>
      <c r="K220" s="18">
        <f>IF($A220="","",IFERROR(D220/SUMIFS(履歴10日!$F$2:$F$62000,履歴10日!$C$2:$C$62000,$A220&amp;"",履歴10日!$B$2:$B$62000,C220,履歴10日!$A$2:$A$62000,N$1),""))</f>
      </c>
      <c r="L220">
        <f t="shared" si="7"/>
        <v>0</v>
      </c>
      <c r="M220" s="18"/>
    </row>
    <row r="221" spans="1:13">
      <c r="A221" s="7">
        <f>最新!A221</f>
        <v>6862</v>
      </c>
      <c r="B221" s="7" t="str">
        <f>最新!B221</f>
        <v>ミナトホールディングス</v>
      </c>
      <c r="C221" s="12">
        <f>最新!C221</f>
        <v>0.375</v>
      </c>
      <c r="D221" s="7">
        <f>最新!E221</f>
        <v>419800</v>
      </c>
      <c r="E221" s="7">
        <f>IF($A221="","",IFERROR(AVERAGEIFS(履歴10日!$F$2:$F$62000,履歴10日!$C$2:$C$62000,$A221&amp;"",履歴10日!$B$2:$B$62000,C221),""))</f>
        <v>419800</v>
      </c>
      <c r="F221" s="13">
        <f t="shared" si="6"/>
        <v>1</v>
      </c>
      <c r="G221" s="7">
        <f>最新!F221</f>
        <v>1747</v>
      </c>
      <c r="H221" s="14">
        <f>最新!G221</f>
        <v>0.90753246753246752</v>
      </c>
      <c r="I221" s="14">
        <f>最新!H221</f>
        <v>0.89406345957011257</v>
      </c>
      <c r="K221" s="18">
        <f>IF($A221="","",IFERROR(D221/SUMIFS(履歴10日!$F$2:$F$62000,履歴10日!$C$2:$C$62000,$A221&amp;"",履歴10日!$B$2:$B$62000,C221,履歴10日!$A$2:$A$62000,N$1),""))</f>
      </c>
      <c r="L221">
        <f t="shared" si="7"/>
        <v>0</v>
      </c>
      <c r="M221" s="18"/>
    </row>
    <row r="222" spans="1:13">
      <c r="A222" s="7">
        <f>最新!A222</f>
        <v>2267</v>
      </c>
      <c r="B222" s="7" t="str">
        <f>最新!B222</f>
        <v>ヤクルト</v>
      </c>
      <c r="C222" s="12">
        <f>最新!C222</f>
        <v>0.375</v>
      </c>
      <c r="D222" s="7">
        <f>最新!E222</f>
        <v>727900</v>
      </c>
      <c r="E222" s="7">
        <f>IF($A222="","",IFERROR(AVERAGEIFS(履歴10日!$F$2:$F$62000,履歴10日!$C$2:$C$62000,$A222&amp;"",履歴10日!$B$2:$B$62000,C222),""))</f>
        <v>727900</v>
      </c>
      <c r="F222" s="13">
        <f t="shared" si="6"/>
        <v>1</v>
      </c>
      <c r="G222" s="7">
        <f>最新!F222</f>
        <v>2831.5</v>
      </c>
      <c r="H222" s="14">
        <f>最新!G222</f>
        <v>1.0096273845605277</v>
      </c>
      <c r="I222" s="14">
        <f>最新!H222</f>
        <v>1.0152384367156686</v>
      </c>
      <c r="K222" s="18">
        <f>IF($A222="","",IFERROR(D222/SUMIFS(履歴10日!$F$2:$F$62000,履歴10日!$C$2:$C$62000,$A222&amp;"",履歴10日!$B$2:$B$62000,C222,履歴10日!$A$2:$A$62000,N$1),""))</f>
      </c>
      <c r="L222">
        <f t="shared" si="7"/>
        <v>0</v>
      </c>
      <c r="M222" s="18"/>
    </row>
    <row r="223" spans="1:13">
      <c r="A223" s="7">
        <f>最新!A223</f>
        <v>1618</v>
      </c>
      <c r="B223" s="7" t="str">
        <f>最新!B223</f>
        <v>ＮＦエネ資源Ｔ１７</v>
      </c>
      <c r="C223" s="12">
        <f>最新!C223</f>
        <v>0.375</v>
      </c>
      <c r="D223" s="7">
        <f>最新!E223</f>
        <v>1429</v>
      </c>
      <c r="E223" s="7">
        <f>IF($A223="","",IFERROR(AVERAGEIFS(履歴10日!$F$2:$F$62000,履歴10日!$C$2:$C$62000,$A223&amp;"",履歴10日!$B$2:$B$62000,C223),""))</f>
        <v>1429</v>
      </c>
      <c r="F223" s="13">
        <f t="shared" si="6"/>
        <v>1</v>
      </c>
      <c r="G223" s="7">
        <f>最新!F223</f>
        <v>31540</v>
      </c>
      <c r="H223" s="14">
        <f>最新!G223</f>
        <v>0.98562499999999997</v>
      </c>
      <c r="I223" s="14">
        <f>最新!H223</f>
        <v>0.98102643856920679</v>
      </c>
      <c r="K223" s="18">
        <f>IF($A223="","",IFERROR(D223/SUMIFS(履歴10日!$F$2:$F$62000,履歴10日!$C$2:$C$62000,$A223&amp;"",履歴10日!$B$2:$B$62000,C223,履歴10日!$A$2:$A$62000,N$1),""))</f>
      </c>
      <c r="L223">
        <f t="shared" si="7"/>
        <v>0</v>
      </c>
      <c r="M223" s="18"/>
    </row>
    <row r="224" spans="1:13">
      <c r="A224" s="7">
        <f>最新!A224</f>
        <v>3696</v>
      </c>
      <c r="B224" s="7" t="str">
        <f>最新!B224</f>
        <v>セレス</v>
      </c>
      <c r="C224" s="12">
        <f>最新!C224</f>
        <v>0.375</v>
      </c>
      <c r="D224" s="7">
        <f>最新!E224</f>
        <v>97000</v>
      </c>
      <c r="E224" s="7">
        <f>IF($A224="","",IFERROR(AVERAGEIFS(履歴10日!$F$2:$F$62000,履歴10日!$C$2:$C$62000,$A224&amp;"",履歴10日!$B$2:$B$62000,C224),""))</f>
        <v>97000</v>
      </c>
      <c r="F224" s="13">
        <f t="shared" si="6"/>
        <v>1</v>
      </c>
      <c r="G224" s="7">
        <f>最新!F224</f>
        <v>2107</v>
      </c>
      <c r="H224" s="14">
        <f>最新!G224</f>
        <v>0.98966651009863782</v>
      </c>
      <c r="I224" s="14">
        <f>最新!H224</f>
        <v>0.98228438228438231</v>
      </c>
      <c r="K224" s="18">
        <f>IF($A224="","",IFERROR(D224/SUMIFS(履歴10日!$F$2:$F$62000,履歴10日!$C$2:$C$62000,$A224&amp;"",履歴10日!$B$2:$B$62000,C224,履歴10日!$A$2:$A$62000,N$1),""))</f>
      </c>
      <c r="L224">
        <f t="shared" si="7"/>
        <v>0</v>
      </c>
      <c r="M224" s="18"/>
    </row>
    <row r="225" spans="1:13">
      <c r="A225" s="7">
        <f>最新!A225</f>
        <v>4222</v>
      </c>
      <c r="B225" s="7" t="str">
        <f>最新!B225</f>
        <v>児玉化学</v>
      </c>
      <c r="C225" s="12">
        <f>最新!C225</f>
        <v>0.375</v>
      </c>
      <c r="D225" s="7">
        <f>最新!E225</f>
        <v>336400</v>
      </c>
      <c r="E225" s="7">
        <f>IF($A225="","",IFERROR(AVERAGEIFS(履歴10日!$F$2:$F$62000,履歴10日!$C$2:$C$62000,$A225&amp;"",履歴10日!$B$2:$B$62000,C225),""))</f>
        <v>336400</v>
      </c>
      <c r="F225" s="13">
        <f t="shared" si="6"/>
        <v>1</v>
      </c>
      <c r="G225" s="7">
        <f>最新!F225</f>
        <v>592</v>
      </c>
      <c r="H225" s="14">
        <f>最新!G225</f>
        <v>0.95948136142625606</v>
      </c>
      <c r="I225" s="14">
        <f>最新!H225</f>
        <v>0.94417862838915467</v>
      </c>
      <c r="K225" s="18">
        <f>IF($A225="","",IFERROR(D225/SUMIFS(履歴10日!$F$2:$F$62000,履歴10日!$C$2:$C$62000,$A225&amp;"",履歴10日!$B$2:$B$62000,C225,履歴10日!$A$2:$A$62000,N$1),""))</f>
      </c>
      <c r="L225">
        <f t="shared" si="7"/>
        <v>0</v>
      </c>
      <c r="M225" s="18"/>
    </row>
    <row r="226" spans="1:13">
      <c r="A226" s="7">
        <f>最新!A226</f>
        <v>3563</v>
      </c>
      <c r="B226" s="7" t="str">
        <f>最新!B226</f>
        <v>ＦＯＯＤ＆ＬＩＦＥＣＯＭＰＡＮ</v>
      </c>
      <c r="C226" s="12">
        <f>最新!C226</f>
        <v>0.375</v>
      </c>
      <c r="D226" s="7">
        <f>最新!E226</f>
        <v>1501000</v>
      </c>
      <c r="E226" s="7">
        <f>IF($A226="","",IFERROR(AVERAGEIFS(履歴10日!$F$2:$F$62000,履歴10日!$C$2:$C$62000,$A226&amp;"",履歴10日!$B$2:$B$62000,C226),""))</f>
        <v>1501000</v>
      </c>
      <c r="F226" s="13">
        <f t="shared" si="6"/>
        <v>1</v>
      </c>
      <c r="G226" s="7">
        <f>最新!F226</f>
        <v>5371</v>
      </c>
      <c r="H226" s="14">
        <f>最新!G226</f>
        <v>1.0016784781797836</v>
      </c>
      <c r="I226" s="14">
        <f>最新!H226</f>
        <v>0.99041121150654621</v>
      </c>
      <c r="K226" s="18">
        <f>IF($A226="","",IFERROR(D226/SUMIFS(履歴10日!$F$2:$F$62000,履歴10日!$C$2:$C$62000,$A226&amp;"",履歴10日!$B$2:$B$62000,C226,履歴10日!$A$2:$A$62000,N$1),""))</f>
      </c>
      <c r="L226">
        <f t="shared" si="7"/>
        <v>0</v>
      </c>
      <c r="M226" s="18"/>
    </row>
    <row r="227" spans="1:13">
      <c r="A227" s="7">
        <f>最新!A227</f>
        <v>7013</v>
      </c>
      <c r="B227" s="7" t="str">
        <f>最新!B227</f>
        <v>ＩＨＩ</v>
      </c>
      <c r="C227" s="12">
        <f>最新!C227</f>
        <v>0.375</v>
      </c>
      <c r="D227" s="7">
        <f>最新!E227</f>
        <v>11922500</v>
      </c>
      <c r="E227" s="7">
        <f>IF($A227="","",IFERROR(AVERAGEIFS(履歴10日!$F$2:$F$62000,履歴10日!$C$2:$C$62000,$A227&amp;"",履歴10日!$B$2:$B$62000,C227),""))</f>
        <v>11922500</v>
      </c>
      <c r="F227" s="13">
        <f t="shared" si="6"/>
        <v>1</v>
      </c>
      <c r="G227" s="7">
        <f>最新!F227</f>
        <v>2657</v>
      </c>
      <c r="H227" s="14">
        <f>最新!G227</f>
        <v>0.9465621660135376</v>
      </c>
      <c r="I227" s="14">
        <f>最新!H227</f>
        <v>0.94588821644713417</v>
      </c>
      <c r="K227" s="18">
        <f>IF($A227="","",IFERROR(D227/SUMIFS(履歴10日!$F$2:$F$62000,履歴10日!$C$2:$C$62000,$A227&amp;"",履歴10日!$B$2:$B$62000,C227,履歴10日!$A$2:$A$62000,N$1),""))</f>
      </c>
      <c r="L227">
        <f t="shared" si="7"/>
        <v>0</v>
      </c>
      <c r="M227" s="18"/>
    </row>
    <row r="228" spans="1:13">
      <c r="A228" s="7">
        <f>最新!A228</f>
        <v>8793</v>
      </c>
      <c r="B228" s="7" t="str">
        <f>最新!B228</f>
        <v>ＮＥＣキャピタルソリューション</v>
      </c>
      <c r="C228" s="12">
        <f>最新!C228</f>
        <v>0.375</v>
      </c>
      <c r="D228" s="7">
        <f>最新!E228</f>
        <v>18400</v>
      </c>
      <c r="E228" s="7">
        <f>IF($A228="","",IFERROR(AVERAGEIFS(履歴10日!$F$2:$F$62000,履歴10日!$C$2:$C$62000,$A228&amp;"",履歴10日!$B$2:$B$62000,C228),""))</f>
        <v>18400</v>
      </c>
      <c r="F228" s="13">
        <f t="shared" si="6"/>
        <v>1</v>
      </c>
      <c r="G228" s="7">
        <f>最新!F228</f>
        <v>4005</v>
      </c>
      <c r="H228" s="14">
        <f>最新!G228</f>
        <v>0.97682926829268291</v>
      </c>
      <c r="I228" s="14">
        <f>最新!H228</f>
        <v>0.98041615667074666</v>
      </c>
      <c r="K228" s="18">
        <f>IF($A228="","",IFERROR(D228/SUMIFS(履歴10日!$F$2:$F$62000,履歴10日!$C$2:$C$62000,$A228&amp;"",履歴10日!$B$2:$B$62000,C228,履歴10日!$A$2:$A$62000,N$1),""))</f>
      </c>
      <c r="L228">
        <f t="shared" si="7"/>
        <v>0</v>
      </c>
      <c r="M228" s="18"/>
    </row>
    <row r="229" spans="1:13">
      <c r="A229" s="7">
        <f>最新!A229</f>
        <v>9962</v>
      </c>
      <c r="B229" s="7" t="str">
        <f>最新!B229</f>
        <v>ミスミグループ本社</v>
      </c>
      <c r="C229" s="12">
        <f>最新!C229</f>
        <v>0.375</v>
      </c>
      <c r="D229" s="7">
        <f>最新!E229</f>
        <v>824700</v>
      </c>
      <c r="E229" s="7">
        <f>IF($A229="","",IFERROR(AVERAGEIFS(履歴10日!$F$2:$F$62000,履歴10日!$C$2:$C$62000,$A229&amp;"",履歴10日!$B$2:$B$62000,C229),""))</f>
        <v>824700</v>
      </c>
      <c r="F229" s="13">
        <f t="shared" si="6"/>
        <v>1</v>
      </c>
      <c r="G229" s="7">
        <f>最新!F229</f>
        <v>3560</v>
      </c>
      <c r="H229" s="14">
        <f>最新!G229</f>
        <v>0.96164235548352239</v>
      </c>
      <c r="I229" s="14">
        <f>最新!H229</f>
        <v>0.94379639448568398</v>
      </c>
      <c r="K229" s="18">
        <f>IF($A229="","",IFERROR(D229/SUMIFS(履歴10日!$F$2:$F$62000,履歴10日!$C$2:$C$62000,$A229&amp;"",履歴10日!$B$2:$B$62000,C229,履歴10日!$A$2:$A$62000,N$1),""))</f>
      </c>
      <c r="L229">
        <f t="shared" si="7"/>
        <v>0</v>
      </c>
      <c r="M229" s="18"/>
    </row>
    <row r="230" spans="1:13">
      <c r="A230" s="7">
        <f>最新!A230</f>
        <v>6762</v>
      </c>
      <c r="B230" s="7" t="str">
        <f>最新!B230</f>
        <v>ＴＤＫ</v>
      </c>
      <c r="C230" s="12">
        <f>最新!C230</f>
        <v>0.375</v>
      </c>
      <c r="D230" s="7">
        <f>最新!E230</f>
        <v>12746000</v>
      </c>
      <c r="E230" s="7">
        <f>IF($A230="","",IFERROR(AVERAGEIFS(履歴10日!$F$2:$F$62000,履歴10日!$C$2:$C$62000,$A230&amp;"",履歴10日!$B$2:$B$62000,C230),""))</f>
        <v>12746000</v>
      </c>
      <c r="F230" s="13">
        <f t="shared" si="6"/>
        <v>1</v>
      </c>
      <c r="G230" s="7">
        <f>最新!F230</f>
        <v>2893.5</v>
      </c>
      <c r="H230" s="14">
        <f>最新!G230</f>
        <v>0.96450000000000002</v>
      </c>
      <c r="I230" s="14">
        <f>最新!H230</f>
        <v>0.93792544570502434</v>
      </c>
      <c r="K230" s="18">
        <f>IF($A230="","",IFERROR(D230/SUMIFS(履歴10日!$F$2:$F$62000,履歴10日!$C$2:$C$62000,$A230&amp;"",履歴10日!$B$2:$B$62000,C230,履歴10日!$A$2:$A$62000,N$1),""))</f>
      </c>
      <c r="L230">
        <f t="shared" si="7"/>
        <v>0</v>
      </c>
      <c r="M230" s="18"/>
    </row>
    <row r="231" spans="1:13">
      <c r="A231" s="7">
        <f>最新!A231</f>
        <v>4392</v>
      </c>
      <c r="B231" s="7" t="str">
        <f>最新!B231</f>
        <v>ＦＩＧ</v>
      </c>
      <c r="C231" s="12">
        <f>最新!C231</f>
        <v>0.375</v>
      </c>
      <c r="D231" s="7">
        <f>最新!E231</f>
        <v>1436800</v>
      </c>
      <c r="E231" s="7">
        <f>IF($A231="","",IFERROR(AVERAGEIFS(履歴10日!$F$2:$F$62000,履歴10日!$C$2:$C$62000,$A231&amp;"",履歴10日!$B$2:$B$62000,C231),""))</f>
        <v>1436800</v>
      </c>
      <c r="F231" s="13">
        <f t="shared" si="6"/>
        <v>1</v>
      </c>
      <c r="G231" s="7">
        <f>最新!F231</f>
        <v>1027</v>
      </c>
      <c r="H231" s="14">
        <f>最新!G231</f>
        <v>0.95092592592592595</v>
      </c>
      <c r="I231" s="14">
        <f>最新!H231</f>
        <v>0.92107623318385645</v>
      </c>
      <c r="K231" s="18">
        <f>IF($A231="","",IFERROR(D231/SUMIFS(履歴10日!$F$2:$F$62000,履歴10日!$C$2:$C$62000,$A231&amp;"",履歴10日!$B$2:$B$62000,C231,履歴10日!$A$2:$A$62000,N$1),""))</f>
      </c>
      <c r="L231">
        <f t="shared" si="7"/>
        <v>0</v>
      </c>
      <c r="M231" s="18"/>
    </row>
    <row r="232" spans="1:13">
      <c r="A232" s="7">
        <f>最新!A232</f>
        <v>8005</v>
      </c>
      <c r="B232" s="7" t="str">
        <f>最新!B232</f>
        <v>スクロール</v>
      </c>
      <c r="C232" s="12">
        <f>最新!C232</f>
        <v>0.375</v>
      </c>
      <c r="D232" s="7">
        <f>最新!E232</f>
        <v>133100</v>
      </c>
      <c r="E232" s="7">
        <f>IF($A232="","",IFERROR(AVERAGEIFS(履歴10日!$F$2:$F$62000,履歴10日!$C$2:$C$62000,$A232&amp;"",履歴10日!$B$2:$B$62000,C232),""))</f>
        <v>133100</v>
      </c>
      <c r="F232" s="13">
        <f t="shared" si="6"/>
        <v>1</v>
      </c>
      <c r="G232" s="7">
        <f>最新!F232</f>
        <v>1708</v>
      </c>
      <c r="H232" s="14">
        <f>最新!G232</f>
        <v>0.9872832369942196</v>
      </c>
      <c r="I232" s="14">
        <f>最新!H232</f>
        <v>0.98330454807138745</v>
      </c>
      <c r="K232" s="18">
        <f>IF($A232="","",IFERROR(D232/SUMIFS(履歴10日!$F$2:$F$62000,履歴10日!$C$2:$C$62000,$A232&amp;"",履歴10日!$B$2:$B$62000,C232,履歴10日!$A$2:$A$62000,N$1),""))</f>
      </c>
      <c r="L232">
        <f t="shared" si="7"/>
        <v>0</v>
      </c>
      <c r="M232" s="18"/>
    </row>
    <row r="233" spans="1:13">
      <c r="A233" s="7">
        <f>最新!A233</f>
        <v>2326</v>
      </c>
      <c r="B233" s="7" t="str">
        <f>最新!B233</f>
        <v>デジタルアーツ</v>
      </c>
      <c r="C233" s="12">
        <f>最新!C233</f>
        <v>0.375</v>
      </c>
      <c r="D233" s="7">
        <f>最新!E233</f>
        <v>183000</v>
      </c>
      <c r="E233" s="7">
        <f>IF($A233="","",IFERROR(AVERAGEIFS(履歴10日!$F$2:$F$62000,履歴10日!$C$2:$C$62000,$A233&amp;"",履歴10日!$B$2:$B$62000,C233),""))</f>
        <v>183000</v>
      </c>
      <c r="F233" s="13">
        <f t="shared" si="6"/>
        <v>1</v>
      </c>
      <c r="G233" s="7">
        <f>最新!F233</f>
        <v>4005</v>
      </c>
      <c r="H233" s="14">
        <f>最新!G233</f>
        <v>1.006281407035176</v>
      </c>
      <c r="I233" s="14">
        <f>最新!H233</f>
        <v>0.99750933997509339</v>
      </c>
      <c r="K233" s="18">
        <f>IF($A233="","",IFERROR(D233/SUMIFS(履歴10日!$F$2:$F$62000,履歴10日!$C$2:$C$62000,$A233&amp;"",履歴10日!$B$2:$B$62000,C233,履歴10日!$A$2:$A$62000,N$1),""))</f>
      </c>
      <c r="L233">
        <f t="shared" si="7"/>
        <v>0</v>
      </c>
      <c r="M233" s="18"/>
    </row>
    <row r="234" spans="1:13">
      <c r="A234" s="7">
        <f>最新!A234</f>
        <v>6809</v>
      </c>
      <c r="B234" s="7" t="str">
        <f>最新!B234</f>
        <v>ＴＯＡ</v>
      </c>
      <c r="C234" s="12">
        <f>最新!C234</f>
        <v>0.375</v>
      </c>
      <c r="D234" s="7">
        <f>最新!E234</f>
        <v>60100</v>
      </c>
      <c r="E234" s="7">
        <f>IF($A234="","",IFERROR(AVERAGEIFS(履歴10日!$F$2:$F$62000,履歴10日!$C$2:$C$62000,$A234&amp;"",履歴10日!$B$2:$B$62000,C234),""))</f>
        <v>60100</v>
      </c>
      <c r="F234" s="13">
        <f t="shared" si="6"/>
        <v>1</v>
      </c>
      <c r="G234" s="7">
        <f>最新!F234</f>
        <v>1564</v>
      </c>
      <c r="H234" s="14">
        <f>最新!G234</f>
        <v>0.98364779874213837</v>
      </c>
      <c r="I234" s="14">
        <f>最新!H234</f>
        <v>0.98675078864353316</v>
      </c>
      <c r="K234" s="18">
        <f>IF($A234="","",IFERROR(D234/SUMIFS(履歴10日!$F$2:$F$62000,履歴10日!$C$2:$C$62000,$A234&amp;"",履歴10日!$B$2:$B$62000,C234,履歴10日!$A$2:$A$62000,N$1),""))</f>
      </c>
      <c r="L234">
        <f t="shared" si="7"/>
        <v>0</v>
      </c>
      <c r="M234" s="18"/>
    </row>
    <row r="235" spans="1:13">
      <c r="A235" s="7">
        <f>最新!A235</f>
        <v>3984</v>
      </c>
      <c r="B235" s="7" t="str">
        <f>最新!B235</f>
        <v>ユーザーローカル</v>
      </c>
      <c r="C235" s="12">
        <f>最新!C235</f>
        <v>0.375</v>
      </c>
      <c r="D235" s="7">
        <f>最新!E235</f>
        <v>47200</v>
      </c>
      <c r="E235" s="7">
        <f>IF($A235="","",IFERROR(AVERAGEIFS(履歴10日!$F$2:$F$62000,履歴10日!$C$2:$C$62000,$A235&amp;"",履歴10日!$B$2:$B$62000,C235),""))</f>
        <v>47200</v>
      </c>
      <c r="F235" s="13">
        <f t="shared" si="6"/>
        <v>1</v>
      </c>
      <c r="G235" s="7">
        <f>最新!F235</f>
        <v>1775</v>
      </c>
      <c r="H235" s="14">
        <f>最新!G235</f>
        <v>0.98392461197339243</v>
      </c>
      <c r="I235" s="14">
        <f>最新!H235</f>
        <v>0.97047566976489885</v>
      </c>
      <c r="K235" s="18">
        <f>IF($A235="","",IFERROR(D235/SUMIFS(履歴10日!$F$2:$F$62000,履歴10日!$C$2:$C$62000,$A235&amp;"",履歴10日!$B$2:$B$62000,C235,履歴10日!$A$2:$A$62000,N$1),""))</f>
      </c>
      <c r="L235">
        <f t="shared" si="7"/>
        <v>0</v>
      </c>
      <c r="M235" s="18"/>
    </row>
    <row r="236" spans="1:13">
      <c r="A236" s="7">
        <f>最新!A236</f>
        <v>7609</v>
      </c>
      <c r="B236" s="7" t="str">
        <f>最新!B236</f>
        <v>ダイトロン</v>
      </c>
      <c r="C236" s="12">
        <f>最新!C236</f>
        <v>0.375</v>
      </c>
      <c r="D236" s="7">
        <f>最新!E236</f>
        <v>96900</v>
      </c>
      <c r="E236" s="7">
        <f>IF($A236="","",IFERROR(AVERAGEIFS(履歴10日!$F$2:$F$62000,履歴10日!$C$2:$C$62000,$A236&amp;"",履歴10日!$B$2:$B$62000,C236),""))</f>
        <v>96900</v>
      </c>
      <c r="F236" s="13">
        <f t="shared" si="6"/>
        <v>1</v>
      </c>
      <c r="G236" s="7">
        <f>最新!F236</f>
        <v>3240</v>
      </c>
      <c r="H236" s="14">
        <f>最新!G236</f>
        <v>0.96860986547085204</v>
      </c>
      <c r="I236" s="14">
        <f>最新!H236</f>
        <v>0.93777134587554267</v>
      </c>
      <c r="K236" s="18">
        <f>IF($A236="","",IFERROR(D236/SUMIFS(履歴10日!$F$2:$F$62000,履歴10日!$C$2:$C$62000,$A236&amp;"",履歴10日!$B$2:$B$62000,C236,履歴10日!$A$2:$A$62000,N$1),""))</f>
      </c>
      <c r="L236">
        <f t="shared" si="7"/>
        <v>0</v>
      </c>
      <c r="M236" s="18"/>
    </row>
    <row r="237" spans="1:13">
      <c r="A237" s="7">
        <f>最新!A237</f>
        <v>7972</v>
      </c>
      <c r="B237" s="7" t="str">
        <f>最新!B237</f>
        <v>イトーキ</v>
      </c>
      <c r="C237" s="12">
        <f>最新!C237</f>
        <v>0.375</v>
      </c>
      <c r="D237" s="7">
        <f>最新!E237</f>
        <v>145500</v>
      </c>
      <c r="E237" s="7">
        <f>IF($A237="","",IFERROR(AVERAGEIFS(履歴10日!$F$2:$F$62000,履歴10日!$C$2:$C$62000,$A237&amp;"",履歴10日!$B$2:$B$62000,C237),""))</f>
        <v>145500</v>
      </c>
      <c r="F237" s="13">
        <f t="shared" si="6"/>
        <v>1</v>
      </c>
      <c r="G237" s="7">
        <f>最新!F237</f>
        <v>2674</v>
      </c>
      <c r="H237" s="14">
        <f>最新!G237</f>
        <v>0.95160142348754451</v>
      </c>
      <c r="I237" s="14">
        <f>最新!H237</f>
        <v>0.95465905033916454</v>
      </c>
      <c r="K237" s="18">
        <f>IF($A237="","",IFERROR(D237/SUMIFS(履歴10日!$F$2:$F$62000,履歴10日!$C$2:$C$62000,$A237&amp;"",履歴10日!$B$2:$B$62000,C237,履歴10日!$A$2:$A$62000,N$1),""))</f>
      </c>
      <c r="L237">
        <f t="shared" si="7"/>
        <v>0</v>
      </c>
      <c r="M237" s="18"/>
    </row>
    <row r="238" spans="1:13">
      <c r="A238" s="7">
        <f>最新!A238</f>
        <v>6521</v>
      </c>
      <c r="B238" s="7" t="str">
        <f>最新!B238</f>
        <v>オキサイド</v>
      </c>
      <c r="C238" s="12">
        <f>最新!C238</f>
        <v>0.375</v>
      </c>
      <c r="D238" s="7">
        <f>最新!E238</f>
        <v>376600</v>
      </c>
      <c r="E238" s="7">
        <f>IF($A238="","",IFERROR(AVERAGEIFS(履歴10日!$F$2:$F$62000,履歴10日!$C$2:$C$62000,$A238&amp;"",履歴10日!$B$2:$B$62000,C238),""))</f>
        <v>376600</v>
      </c>
      <c r="F238" s="13">
        <f t="shared" si="6"/>
        <v>1</v>
      </c>
      <c r="G238" s="7">
        <f>最新!F238</f>
        <v>3335</v>
      </c>
      <c r="H238" s="14">
        <f>最新!G238</f>
        <v>0.93943661971830983</v>
      </c>
      <c r="I238" s="14">
        <f>最新!H238</f>
        <v>0.91495198902606312</v>
      </c>
      <c r="K238" s="18">
        <f>IF($A238="","",IFERROR(D238/SUMIFS(履歴10日!$F$2:$F$62000,履歴10日!$C$2:$C$62000,$A238&amp;"",履歴10日!$B$2:$B$62000,C238,履歴10日!$A$2:$A$62000,N$1),""))</f>
      </c>
      <c r="L238">
        <f t="shared" si="7"/>
        <v>0</v>
      </c>
      <c r="M238" s="18"/>
    </row>
    <row r="239" spans="1:13">
      <c r="A239" s="7">
        <f>最新!A239</f>
        <v>9165</v>
      </c>
      <c r="B239" s="7" t="str">
        <f>最新!B239</f>
        <v>クオルテック</v>
      </c>
      <c r="C239" s="12">
        <f>最新!C239</f>
        <v>0.375</v>
      </c>
      <c r="D239" s="7">
        <f>最新!E239</f>
        <v>15800</v>
      </c>
      <c r="E239" s="7">
        <f>IF($A239="","",IFERROR(AVERAGEIFS(履歴10日!$F$2:$F$62000,履歴10日!$C$2:$C$62000,$A239&amp;"",履歴10日!$B$2:$B$62000,C239),""))</f>
        <v>15800</v>
      </c>
      <c r="F239" s="13">
        <f t="shared" si="6"/>
        <v>1</v>
      </c>
      <c r="G239" s="7">
        <f>最新!F239</f>
        <v>1680</v>
      </c>
      <c r="H239" s="14">
        <f>最新!G239</f>
        <v>0.9882352941176471</v>
      </c>
      <c r="I239" s="14">
        <f>最新!H239</f>
        <v>0.98360655737704916</v>
      </c>
      <c r="K239" s="18">
        <f>IF($A239="","",IFERROR(D239/SUMIFS(履歴10日!$F$2:$F$62000,履歴10日!$C$2:$C$62000,$A239&amp;"",履歴10日!$B$2:$B$62000,C239,履歴10日!$A$2:$A$62000,N$1),""))</f>
      </c>
      <c r="L239">
        <f t="shared" si="7"/>
        <v>0</v>
      </c>
      <c r="M239" s="18"/>
    </row>
    <row r="240" spans="1:13">
      <c r="A240" s="7">
        <f>最新!A240</f>
        <v>6902</v>
      </c>
      <c r="B240" s="7" t="str">
        <f>最新!B240</f>
        <v>デンソー</v>
      </c>
      <c r="C240" s="12">
        <f>最新!C240</f>
        <v>0.375</v>
      </c>
      <c r="D240" s="7">
        <f>最新!E240</f>
        <v>3898800</v>
      </c>
      <c r="E240" s="7">
        <f>IF($A240="","",IFERROR(AVERAGEIFS(履歴10日!$F$2:$F$62000,履歴10日!$C$2:$C$62000,$A240&amp;"",履歴10日!$B$2:$B$62000,C240),""))</f>
        <v>3898800</v>
      </c>
      <c r="F240" s="13">
        <f t="shared" si="6"/>
        <v>1</v>
      </c>
      <c r="G240" s="7">
        <f>最新!F240</f>
        <v>1955</v>
      </c>
      <c r="H240" s="14">
        <f>最新!G240</f>
        <v>0.99188229325215627</v>
      </c>
      <c r="I240" s="14">
        <f>最新!H240</f>
        <v>0.98962288028347256</v>
      </c>
      <c r="K240" s="18">
        <f>IF($A240="","",IFERROR(D240/SUMIFS(履歴10日!$F$2:$F$62000,履歴10日!$C$2:$C$62000,$A240&amp;"",履歴10日!$B$2:$B$62000,C240,履歴10日!$A$2:$A$62000,N$1),""))</f>
      </c>
      <c r="L240">
        <f t="shared" si="7"/>
        <v>0</v>
      </c>
      <c r="M240" s="18"/>
    </row>
    <row r="241" spans="1:13">
      <c r="A241" s="7">
        <f>最新!A241</f>
        <v>3936</v>
      </c>
      <c r="B241" s="7" t="str">
        <f>最新!B241</f>
        <v>グローバルウェイ</v>
      </c>
      <c r="C241" s="12">
        <f>最新!C241</f>
        <v>0.375</v>
      </c>
      <c r="D241" s="7">
        <f>最新!E241</f>
        <v>772400</v>
      </c>
      <c r="E241" s="7">
        <f>IF($A241="","",IFERROR(AVERAGEIFS(履歴10日!$F$2:$F$62000,履歴10日!$C$2:$C$62000,$A241&amp;"",履歴10日!$B$2:$B$62000,C241),""))</f>
        <v>772400</v>
      </c>
      <c r="F241" s="13">
        <f t="shared" si="6"/>
        <v>1</v>
      </c>
      <c r="G241" s="7">
        <f>最新!F241</f>
        <v>152</v>
      </c>
      <c r="H241" s="14">
        <f>最新!G241</f>
        <v>0.93827160493827155</v>
      </c>
      <c r="I241" s="14">
        <f>最新!H241</f>
        <v>0.93251533742331283</v>
      </c>
      <c r="K241" s="18">
        <f>IF($A241="","",IFERROR(D241/SUMIFS(履歴10日!$F$2:$F$62000,履歴10日!$C$2:$C$62000,$A241&amp;"",履歴10日!$B$2:$B$62000,C241,履歴10日!$A$2:$A$62000,N$1),""))</f>
      </c>
      <c r="L241">
        <f t="shared" si="7"/>
        <v>0</v>
      </c>
      <c r="M241" s="18"/>
    </row>
    <row r="242" spans="1:13">
      <c r="A242" s="7">
        <f>最新!A242</f>
        <v>6928</v>
      </c>
      <c r="B242" s="7" t="str">
        <f>最新!B242</f>
        <v>エノモト</v>
      </c>
      <c r="C242" s="12">
        <f>最新!C242</f>
        <v>0.375</v>
      </c>
      <c r="D242" s="7">
        <f>最新!E242</f>
        <v>41900</v>
      </c>
      <c r="E242" s="7">
        <f>IF($A242="","",IFERROR(AVERAGEIFS(履歴10日!$F$2:$F$62000,履歴10日!$C$2:$C$62000,$A242&amp;"",履歴10日!$B$2:$B$62000,C242),""))</f>
        <v>41900</v>
      </c>
      <c r="F242" s="13">
        <f t="shared" si="6"/>
        <v>1</v>
      </c>
      <c r="G242" s="7">
        <f>最新!F242</f>
        <v>2506</v>
      </c>
      <c r="H242" s="14">
        <f>最新!G242</f>
        <v>0.9162705667276051</v>
      </c>
      <c r="I242" s="14">
        <f>最新!H242</f>
        <v>0.89982046678635552</v>
      </c>
      <c r="K242" s="18">
        <f>IF($A242="","",IFERROR(D242/SUMIFS(履歴10日!$F$2:$F$62000,履歴10日!$C$2:$C$62000,$A242&amp;"",履歴10日!$B$2:$B$62000,C242,履歴10日!$A$2:$A$62000,N$1),""))</f>
      </c>
      <c r="L242">
        <f t="shared" si="7"/>
        <v>0</v>
      </c>
      <c r="M242" s="18"/>
    </row>
    <row r="243" spans="1:13">
      <c r="A243" s="7">
        <f>最新!A243</f>
        <v>5632</v>
      </c>
      <c r="B243" s="7" t="str">
        <f>最新!B243</f>
        <v>三菱製鋼</v>
      </c>
      <c r="C243" s="12">
        <f>最新!C243</f>
        <v>0.375</v>
      </c>
      <c r="D243" s="7">
        <f>最新!E243</f>
        <v>84300</v>
      </c>
      <c r="E243" s="7">
        <f>IF($A243="","",IFERROR(AVERAGEIFS(履歴10日!$F$2:$F$62000,履歴10日!$C$2:$C$62000,$A243&amp;"",履歴10日!$B$2:$B$62000,C243),""))</f>
        <v>84300</v>
      </c>
      <c r="F243" s="13">
        <f t="shared" si="6"/>
        <v>1</v>
      </c>
      <c r="G243" s="7">
        <f>最新!F243</f>
        <v>2076</v>
      </c>
      <c r="H243" s="14">
        <f>最新!G243</f>
        <v>0.96783216783216786</v>
      </c>
      <c r="I243" s="14">
        <f>最新!H243</f>
        <v>0.96693060083837912</v>
      </c>
      <c r="K243" s="18">
        <f>IF($A243="","",IFERROR(D243/SUMIFS(履歴10日!$F$2:$F$62000,履歴10日!$C$2:$C$62000,$A243&amp;"",履歴10日!$B$2:$B$62000,C243,履歴10日!$A$2:$A$62000,N$1),""))</f>
      </c>
      <c r="L243">
        <f t="shared" si="7"/>
        <v>0</v>
      </c>
      <c r="M243" s="18"/>
    </row>
    <row r="244" spans="1:13">
      <c r="A244" s="7">
        <f>最新!A244</f>
        <v>6098</v>
      </c>
      <c r="B244" s="7" t="str">
        <f>最新!B244</f>
        <v>リクルートホールディングス</v>
      </c>
      <c r="C244" s="12">
        <f>最新!C244</f>
        <v>0.375</v>
      </c>
      <c r="D244" s="7">
        <f>最新!E244</f>
        <v>2416000</v>
      </c>
      <c r="E244" s="7">
        <f>IF($A244="","",IFERROR(AVERAGEIFS(履歴10日!$F$2:$F$62000,履歴10日!$C$2:$C$62000,$A244&amp;"",履歴10日!$B$2:$B$62000,C244),""))</f>
        <v>2416000</v>
      </c>
      <c r="F244" s="13">
        <f t="shared" si="6"/>
        <v>1</v>
      </c>
      <c r="G244" s="7">
        <f>最新!F244</f>
        <v>12665</v>
      </c>
      <c r="H244" s="14">
        <f>最新!G244</f>
        <v>0.99606763664962639</v>
      </c>
      <c r="I244" s="14">
        <f>最新!H244</f>
        <v>1.0039635354736425</v>
      </c>
      <c r="K244" s="18">
        <f>IF($A244="","",IFERROR(D244/SUMIFS(履歴10日!$F$2:$F$62000,履歴10日!$C$2:$C$62000,$A244&amp;"",履歴10日!$B$2:$B$62000,C244,履歴10日!$A$2:$A$62000,N$1),""))</f>
      </c>
      <c r="L244">
        <f t="shared" si="7"/>
        <v>0</v>
      </c>
      <c r="M244" s="18"/>
    </row>
    <row r="245" spans="1:13">
      <c r="A245" s="7">
        <f>最新!A245</f>
        <v>6361</v>
      </c>
      <c r="B245" s="7" t="str">
        <f>最新!B245</f>
        <v>荏原製作所</v>
      </c>
      <c r="C245" s="12">
        <f>最新!C245</f>
        <v>0.375</v>
      </c>
      <c r="D245" s="7">
        <f>最新!E245</f>
        <v>2799400</v>
      </c>
      <c r="E245" s="7">
        <f>IF($A245="","",IFERROR(AVERAGEIFS(履歴10日!$F$2:$F$62000,履歴10日!$C$2:$C$62000,$A245&amp;"",履歴10日!$B$2:$B$62000,C245),""))</f>
        <v>2799400</v>
      </c>
      <c r="F245" s="13">
        <f t="shared" si="6"/>
        <v>1</v>
      </c>
      <c r="G245" s="7">
        <f>最新!F245</f>
        <v>5290</v>
      </c>
      <c r="H245" s="14">
        <f>最新!G245</f>
        <v>0.93628318584070791</v>
      </c>
      <c r="I245" s="14">
        <f>最新!H245</f>
        <v>0.90737564322469988</v>
      </c>
      <c r="K245" s="18">
        <f>IF($A245="","",IFERROR(D245/SUMIFS(履歴10日!$F$2:$F$62000,履歴10日!$C$2:$C$62000,$A245&amp;"",履歴10日!$B$2:$B$62000,C245,履歴10日!$A$2:$A$62000,N$1),""))</f>
      </c>
      <c r="L245">
        <f t="shared" si="7"/>
        <v>0</v>
      </c>
      <c r="M245" s="18"/>
    </row>
    <row r="246" spans="1:13">
      <c r="A246" s="7" t="str">
        <f>最新!A246</f>
        <v>155A</v>
      </c>
      <c r="B246" s="7" t="str">
        <f>最新!B246</f>
        <v>情報戦略テクノロジー</v>
      </c>
      <c r="C246" s="12">
        <f>最新!C246</f>
        <v>0.375</v>
      </c>
      <c r="D246" s="7">
        <f>最新!E246</f>
        <v>86800</v>
      </c>
      <c r="E246" s="7">
        <f>IF($A246="","",IFERROR(AVERAGEIFS(履歴10日!$F$2:$F$62000,履歴10日!$C$2:$C$62000,$A246&amp;"",履歴10日!$B$2:$B$62000,C246),""))</f>
        <v>86800</v>
      </c>
      <c r="F246" s="13">
        <f t="shared" si="6"/>
        <v>1</v>
      </c>
      <c r="G246" s="7">
        <f>最新!F246</f>
        <v>837</v>
      </c>
      <c r="H246" s="14">
        <f>最新!G246</f>
        <v>0.95221843003412965</v>
      </c>
      <c r="I246" s="14">
        <f>最新!H246</f>
        <v>0.93939393939393945</v>
      </c>
      <c r="K246" s="18">
        <f>IF($A246="","",IFERROR(D246/SUMIFS(履歴10日!$F$2:$F$62000,履歴10日!$C$2:$C$62000,$A246&amp;"",履歴10日!$B$2:$B$62000,C246,履歴10日!$A$2:$A$62000,N$1),""))</f>
      </c>
      <c r="L246">
        <f t="shared" si="7"/>
        <v>0</v>
      </c>
      <c r="M246" s="18"/>
    </row>
    <row r="247" spans="1:13">
      <c r="A247" s="7" t="str">
        <f>最新!A247</f>
        <v>278A</v>
      </c>
      <c r="B247" s="7" t="str">
        <f>最新!B247</f>
        <v>ＴＥＲＲＡＤＲＯＮＥ</v>
      </c>
      <c r="C247" s="12">
        <f>最新!C247</f>
        <v>0.375</v>
      </c>
      <c r="D247" s="7">
        <f>最新!E247</f>
        <v>3376500</v>
      </c>
      <c r="E247" s="7">
        <f>IF($A247="","",IFERROR(AVERAGEIFS(履歴10日!$F$2:$F$62000,履歴10日!$C$2:$C$62000,$A247&amp;"",履歴10日!$B$2:$B$62000,C247),""))</f>
        <v>3376500</v>
      </c>
      <c r="F247" s="13">
        <f t="shared" si="6"/>
        <v>1</v>
      </c>
      <c r="G247" s="7">
        <f>最新!F247</f>
        <v>13170</v>
      </c>
      <c r="H247" s="14">
        <f>最新!G247</f>
        <v>1.0603864734299517</v>
      </c>
      <c r="I247" s="14">
        <f>最新!H247</f>
        <v>1.0866336633663367</v>
      </c>
      <c r="K247" s="18">
        <f>IF($A247="","",IFERROR(D247/SUMIFS(履歴10日!$F$2:$F$62000,履歴10日!$C$2:$C$62000,$A247&amp;"",履歴10日!$B$2:$B$62000,C247,履歴10日!$A$2:$A$62000,N$1),""))</f>
      </c>
      <c r="L247">
        <f t="shared" si="7"/>
        <v>0</v>
      </c>
      <c r="M247" s="18"/>
    </row>
    <row r="248" spans="1:13">
      <c r="A248" s="7" t="str">
        <f>最新!A248</f>
        <v>300A</v>
      </c>
      <c r="B248" s="7" t="str">
        <f>最新!B248</f>
        <v>ＭＩＣ</v>
      </c>
      <c r="C248" s="12">
        <f>最新!C248</f>
        <v>0.375</v>
      </c>
      <c r="D248" s="7">
        <f>最新!E248</f>
        <v>10700</v>
      </c>
      <c r="E248" s="7">
        <f>IF($A248="","",IFERROR(AVERAGEIFS(履歴10日!$F$2:$F$62000,履歴10日!$C$2:$C$62000,$A248&amp;"",履歴10日!$B$2:$B$62000,C248),""))</f>
        <v>10700</v>
      </c>
      <c r="F248" s="13">
        <f t="shared" si="6"/>
        <v>1</v>
      </c>
      <c r="G248" s="7">
        <f>最新!F248</f>
        <v>2856</v>
      </c>
      <c r="H248" s="14">
        <f>最新!G248</f>
        <v>0.99512195121951219</v>
      </c>
      <c r="I248" s="14">
        <f>最新!H248</f>
        <v>0.99132245748004166</v>
      </c>
      <c r="K248" s="18">
        <f>IF($A248="","",IFERROR(D248/SUMIFS(履歴10日!$F$2:$F$62000,履歴10日!$C$2:$C$62000,$A248&amp;"",履歴10日!$B$2:$B$62000,C248,履歴10日!$A$2:$A$62000,N$1),""))</f>
      </c>
      <c r="L248">
        <f t="shared" si="7"/>
        <v>0</v>
      </c>
      <c r="M248" s="18"/>
    </row>
    <row r="249" spans="1:13">
      <c r="A249" s="7">
        <f>最新!A249</f>
        <v>4776</v>
      </c>
      <c r="B249" s="7" t="str">
        <f>最新!B249</f>
        <v>サイボウズ</v>
      </c>
      <c r="C249" s="12">
        <f>最新!C249</f>
        <v>0.375</v>
      </c>
      <c r="D249" s="7">
        <f>最新!E249</f>
        <v>164400</v>
      </c>
      <c r="E249" s="7">
        <f>IF($A249="","",IFERROR(AVERAGEIFS(履歴10日!$F$2:$F$62000,履歴10日!$C$2:$C$62000,$A249&amp;"",履歴10日!$B$2:$B$62000,C249),""))</f>
        <v>164400</v>
      </c>
      <c r="F249" s="13">
        <f t="shared" si="6"/>
        <v>1</v>
      </c>
      <c r="G249" s="7">
        <f>最新!F249</f>
        <v>2539</v>
      </c>
      <c r="H249" s="14">
        <f>最新!G249</f>
        <v>0.97279693486590035</v>
      </c>
      <c r="I249" s="14">
        <f>最新!H249</f>
        <v>0.97279693486590035</v>
      </c>
      <c r="K249" s="18">
        <f>IF($A249="","",IFERROR(D249/SUMIFS(履歴10日!$F$2:$F$62000,履歴10日!$C$2:$C$62000,$A249&amp;"",履歴10日!$B$2:$B$62000,C249,履歴10日!$A$2:$A$62000,N$1),""))</f>
      </c>
      <c r="L249">
        <f t="shared" si="7"/>
        <v>0</v>
      </c>
      <c r="M249" s="18"/>
    </row>
    <row r="250" spans="1:13">
      <c r="A250" s="7">
        <f>最新!A250</f>
        <v>4704</v>
      </c>
      <c r="B250" s="7" t="str">
        <f>最新!B250</f>
        <v>トレンドマイクロ</v>
      </c>
      <c r="C250" s="12">
        <f>最新!C250</f>
        <v>0.375</v>
      </c>
      <c r="D250" s="7">
        <f>最新!E250</f>
        <v>906000</v>
      </c>
      <c r="E250" s="7">
        <f>IF($A250="","",IFERROR(AVERAGEIFS(履歴10日!$F$2:$F$62000,履歴10日!$C$2:$C$62000,$A250&amp;"",履歴10日!$B$2:$B$62000,C250),""))</f>
        <v>906000</v>
      </c>
      <c r="F250" s="13">
        <f t="shared" si="6"/>
        <v>1</v>
      </c>
      <c r="G250" s="7">
        <f>最新!F250</f>
        <v>6453</v>
      </c>
      <c r="H250" s="14">
        <f>最新!G250</f>
        <v>1.0037330844610359</v>
      </c>
      <c r="I250" s="14">
        <f>最新!H250</f>
        <v>0.99737248840803705</v>
      </c>
      <c r="K250" s="18">
        <f>IF($A250="","",IFERROR(D250/SUMIFS(履歴10日!$F$2:$F$62000,履歴10日!$C$2:$C$62000,$A250&amp;"",履歴10日!$B$2:$B$62000,C250,履歴10日!$A$2:$A$62000,N$1),""))</f>
      </c>
      <c r="L250">
        <f t="shared" si="7"/>
        <v>0</v>
      </c>
      <c r="M250" s="18"/>
    </row>
    <row r="251" spans="1:13">
      <c r="A251" s="7">
        <f>最新!A251</f>
        <v>6370</v>
      </c>
      <c r="B251" s="7" t="str">
        <f>最新!B251</f>
        <v>栗田工業</v>
      </c>
      <c r="C251" s="12">
        <f>最新!C251</f>
        <v>0.375</v>
      </c>
      <c r="D251" s="7">
        <f>最新!E251</f>
        <v>423000</v>
      </c>
      <c r="E251" s="7">
        <f>IF($A251="","",IFERROR(AVERAGEIFS(履歴10日!$F$2:$F$62000,履歴10日!$C$2:$C$62000,$A251&amp;"",履歴10日!$B$2:$B$62000,C251),""))</f>
        <v>423000</v>
      </c>
      <c r="F251" s="13">
        <f t="shared" si="6"/>
        <v>1</v>
      </c>
      <c r="G251" s="7">
        <f>最新!F251</f>
        <v>8510</v>
      </c>
      <c r="H251" s="14">
        <f>最新!G251</f>
        <v>0.96913791139961281</v>
      </c>
      <c r="I251" s="14">
        <f>最新!H251</f>
        <v>0.94840075782904265</v>
      </c>
      <c r="K251" s="18">
        <f>IF($A251="","",IFERROR(D251/SUMIFS(履歴10日!$F$2:$F$62000,履歴10日!$C$2:$C$62000,$A251&amp;"",履歴10日!$B$2:$B$62000,C251,履歴10日!$A$2:$A$62000,N$1),""))</f>
      </c>
      <c r="L251">
        <f t="shared" si="7"/>
        <v>0</v>
      </c>
      <c r="M251" s="18"/>
    </row>
    <row r="252" spans="1:13">
      <c r="A252" s="7">
        <f>最新!A252</f>
        <v>7014</v>
      </c>
      <c r="B252" s="7" t="str">
        <f>最新!B252</f>
        <v>名村造船所</v>
      </c>
      <c r="C252" s="12">
        <f>最新!C252</f>
        <v>0.375</v>
      </c>
      <c r="D252" s="7">
        <f>最新!E252</f>
        <v>1147900</v>
      </c>
      <c r="E252" s="7">
        <f>IF($A252="","",IFERROR(AVERAGEIFS(履歴10日!$F$2:$F$62000,履歴10日!$C$2:$C$62000,$A252&amp;"",履歴10日!$B$2:$B$62000,C252),""))</f>
        <v>1147900</v>
      </c>
      <c r="F252" s="13">
        <f t="shared" si="6"/>
        <v>1</v>
      </c>
      <c r="G252" s="7">
        <f>最新!F252</f>
        <v>3735</v>
      </c>
      <c r="H252" s="14">
        <f>最新!G252</f>
        <v>0.9946737683089214</v>
      </c>
      <c r="I252" s="14">
        <f>最新!H252</f>
        <v>0.94318181818181823</v>
      </c>
      <c r="K252" s="18">
        <f>IF($A252="","",IFERROR(D252/SUMIFS(履歴10日!$F$2:$F$62000,履歴10日!$C$2:$C$62000,$A252&amp;"",履歴10日!$B$2:$B$62000,C252,履歴10日!$A$2:$A$62000,N$1),""))</f>
      </c>
      <c r="L252">
        <f t="shared" si="7"/>
        <v>0</v>
      </c>
      <c r="M252" s="18"/>
    </row>
    <row r="253" spans="1:13">
      <c r="A253" s="7">
        <f>最新!A253</f>
        <v>9880</v>
      </c>
      <c r="B253" s="7" t="str">
        <f>最新!B253</f>
        <v>イノテック</v>
      </c>
      <c r="C253" s="12">
        <f>最新!C253</f>
        <v>0.375</v>
      </c>
      <c r="D253" s="7">
        <f>最新!E253</f>
        <v>187200</v>
      </c>
      <c r="E253" s="7">
        <f>IF($A253="","",IFERROR(AVERAGEIFS(履歴10日!$F$2:$F$62000,履歴10日!$C$2:$C$62000,$A253&amp;"",履歴10日!$B$2:$B$62000,C253),""))</f>
        <v>187200</v>
      </c>
      <c r="F253" s="13">
        <f t="shared" si="6"/>
        <v>1</v>
      </c>
      <c r="G253" s="7">
        <f>最新!F253</f>
        <v>3160</v>
      </c>
      <c r="H253" s="14">
        <f>最新!G253</f>
        <v>0.94894894894894899</v>
      </c>
      <c r="I253" s="14">
        <f>最新!H253</f>
        <v>0.92262773722627733</v>
      </c>
      <c r="K253" s="18">
        <f>IF($A253="","",IFERROR(D253/SUMIFS(履歴10日!$F$2:$F$62000,履歴10日!$C$2:$C$62000,$A253&amp;"",履歴10日!$B$2:$B$62000,C253,履歴10日!$A$2:$A$62000,N$1),""))</f>
      </c>
      <c r="L253">
        <f t="shared" si="7"/>
        <v>0</v>
      </c>
      <c r="M253" s="18"/>
    </row>
    <row r="254" spans="1:13">
      <c r="A254" s="7">
        <f>最新!A254</f>
        <v>5253</v>
      </c>
      <c r="B254" s="7" t="str">
        <f>最新!B254</f>
        <v>カバー</v>
      </c>
      <c r="C254" s="12">
        <f>最新!C254</f>
        <v>0.375</v>
      </c>
      <c r="D254" s="7">
        <f>最新!E254</f>
        <v>1013900</v>
      </c>
      <c r="E254" s="7">
        <f>IF($A254="","",IFERROR(AVERAGEIFS(履歴10日!$F$2:$F$62000,履歴10日!$C$2:$C$62000,$A254&amp;"",履歴10日!$B$2:$B$62000,C254),""))</f>
        <v>1013900</v>
      </c>
      <c r="F254" s="13">
        <f t="shared" si="6"/>
        <v>1</v>
      </c>
      <c r="G254" s="7">
        <f>最新!F254</f>
        <v>1625</v>
      </c>
      <c r="H254" s="14">
        <f>最新!G254</f>
        <v>0.97422062350119909</v>
      </c>
      <c r="I254" s="14">
        <f>最新!H254</f>
        <v>0.96899224806201545</v>
      </c>
      <c r="K254" s="18">
        <f>IF($A254="","",IFERROR(D254/SUMIFS(履歴10日!$F$2:$F$62000,履歴10日!$C$2:$C$62000,$A254&amp;"",履歴10日!$B$2:$B$62000,C254,履歴10日!$A$2:$A$62000,N$1),""))</f>
      </c>
      <c r="L254">
        <f t="shared" si="7"/>
        <v>0</v>
      </c>
      <c r="M254" s="18"/>
    </row>
    <row r="255" spans="1:13">
      <c r="A255" s="7">
        <f>最新!A255</f>
        <v>9104</v>
      </c>
      <c r="B255" s="7" t="str">
        <f>最新!B255</f>
        <v>商船三井</v>
      </c>
      <c r="C255" s="12">
        <f>最新!C255</f>
        <v>0.375</v>
      </c>
      <c r="D255" s="7">
        <f>最新!E255</f>
        <v>1843500</v>
      </c>
      <c r="E255" s="7">
        <f>IF($A255="","",IFERROR(AVERAGEIFS(履歴10日!$F$2:$F$62000,履歴10日!$C$2:$C$62000,$A255&amp;"",履歴10日!$B$2:$B$62000,C255),""))</f>
        <v>1843500</v>
      </c>
      <c r="F255" s="13">
        <f t="shared" si="6"/>
        <v>1</v>
      </c>
      <c r="G255" s="7">
        <f>最新!F255</f>
        <v>5547</v>
      </c>
      <c r="H255" s="14">
        <f>最新!G255</f>
        <v>0.99945945945945946</v>
      </c>
      <c r="I255" s="14">
        <f>最新!H255</f>
        <v>1.0045273451647954</v>
      </c>
      <c r="K255" s="18">
        <f>IF($A255="","",IFERROR(D255/SUMIFS(履歴10日!$F$2:$F$62000,履歴10日!$C$2:$C$62000,$A255&amp;"",履歴10日!$B$2:$B$62000,C255,履歴10日!$A$2:$A$62000,N$1),""))</f>
      </c>
      <c r="L255">
        <f t="shared" si="7"/>
        <v>0</v>
      </c>
      <c r="M255" s="18"/>
    </row>
    <row r="256" spans="1:13">
      <c r="A256" s="7">
        <f>最新!A256</f>
        <v>6366</v>
      </c>
      <c r="B256" s="7" t="str">
        <f>最新!B256</f>
        <v>千代田化工建</v>
      </c>
      <c r="C256" s="12">
        <f>最新!C256</f>
        <v>0.375</v>
      </c>
      <c r="D256" s="7">
        <f>最新!E256</f>
        <v>4055900</v>
      </c>
      <c r="E256" s="7">
        <f>IF($A256="","",IFERROR(AVERAGEIFS(履歴10日!$F$2:$F$62000,履歴10日!$C$2:$C$62000,$A256&amp;"",履歴10日!$B$2:$B$62000,C256),""))</f>
        <v>4055900</v>
      </c>
      <c r="F256" s="13">
        <f t="shared" si="6"/>
        <v>1</v>
      </c>
      <c r="G256" s="7">
        <f>最新!F256</f>
        <v>628</v>
      </c>
      <c r="H256" s="14">
        <f>最新!G256</f>
        <v>0.95007564296520419</v>
      </c>
      <c r="I256" s="14">
        <f>最新!H256</f>
        <v>0.93591654247391953</v>
      </c>
      <c r="K256" s="18">
        <f>IF($A256="","",IFERROR(D256/SUMIFS(履歴10日!$F$2:$F$62000,履歴10日!$C$2:$C$62000,$A256&amp;"",履歴10日!$B$2:$B$62000,C256,履歴10日!$A$2:$A$62000,N$1),""))</f>
      </c>
      <c r="L256">
        <f t="shared" si="7"/>
        <v>0</v>
      </c>
      <c r="M256" s="18"/>
    </row>
    <row r="257" spans="1:13">
      <c r="A257" s="7">
        <f>最新!A257</f>
        <v>6140</v>
      </c>
      <c r="B257" s="7" t="str">
        <f>最新!B257</f>
        <v>旭ダイヤモンド</v>
      </c>
      <c r="C257" s="12">
        <f>最新!C257</f>
        <v>0.375</v>
      </c>
      <c r="D257" s="7">
        <f>最新!E257</f>
        <v>742400</v>
      </c>
      <c r="E257" s="7">
        <f>IF($A257="","",IFERROR(AVERAGEIFS(履歴10日!$F$2:$F$62000,履歴10日!$C$2:$C$62000,$A257&amp;"",履歴10日!$B$2:$B$62000,C257),""))</f>
        <v>742400</v>
      </c>
      <c r="F257" s="13">
        <f t="shared" si="6"/>
        <v>1</v>
      </c>
      <c r="G257" s="7">
        <f>最新!F257</f>
        <v>1138</v>
      </c>
      <c r="H257" s="14">
        <f>最新!G257</f>
        <v>0.97016197783461211</v>
      </c>
      <c r="I257" s="14">
        <f>最新!H257</f>
        <v>0.94754371357202327</v>
      </c>
      <c r="K257" s="18">
        <f>IF($A257="","",IFERROR(D257/SUMIFS(履歴10日!$F$2:$F$62000,履歴10日!$C$2:$C$62000,$A257&amp;"",履歴10日!$B$2:$B$62000,C257,履歴10日!$A$2:$A$62000,N$1),""))</f>
      </c>
      <c r="L257">
        <f t="shared" si="7"/>
        <v>0</v>
      </c>
      <c r="M257" s="18"/>
    </row>
    <row r="258" spans="1:13">
      <c r="A258" s="7">
        <f>最新!A258</f>
        <v>1514</v>
      </c>
      <c r="B258" s="7" t="str">
        <f>最新!B258</f>
        <v>住石ホールディングス</v>
      </c>
      <c r="C258" s="12">
        <f>最新!C258</f>
        <v>0.375</v>
      </c>
      <c r="D258" s="7">
        <f>最新!E258</f>
        <v>370900</v>
      </c>
      <c r="E258" s="7">
        <f>IF($A258="","",IFERROR(AVERAGEIFS(履歴10日!$F$2:$F$62000,履歴10日!$C$2:$C$62000,$A258&amp;"",履歴10日!$B$2:$B$62000,C258),""))</f>
        <v>370900</v>
      </c>
      <c r="F258" s="13">
        <f t="shared" ref="F258:F321" si="8">IF(OR(D258="",E258="",E258=0),"",D258/E258)</f>
        <v>1</v>
      </c>
      <c r="G258" s="7">
        <f>最新!F258</f>
        <v>558</v>
      </c>
      <c r="H258" s="14">
        <f>最新!G258</f>
        <v>0.96373056994818651</v>
      </c>
      <c r="I258" s="14">
        <f>最新!H258</f>
        <v>0.95547945205479456</v>
      </c>
      <c r="K258" s="18">
        <f>IF($A258="","",IFERROR(D258/SUMIFS(履歴10日!$F$2:$F$62000,履歴10日!$C$2:$C$62000,$A258&amp;"",履歴10日!$B$2:$B$62000,C258,履歴10日!$A$2:$A$62000,N$1),""))</f>
      </c>
      <c r="L258">
        <f t="shared" si="7"/>
        <v>0</v>
      </c>
      <c r="M258" s="18"/>
    </row>
    <row r="259" spans="1:13">
      <c r="A259" s="7">
        <f>最新!A259</f>
        <v>5631</v>
      </c>
      <c r="B259" s="7" t="str">
        <f>最新!B259</f>
        <v>日本製鋼所</v>
      </c>
      <c r="C259" s="12">
        <f>最新!C259</f>
        <v>0.375</v>
      </c>
      <c r="D259" s="7">
        <f>最新!E259</f>
        <v>986800</v>
      </c>
      <c r="E259" s="7">
        <f>IF($A259="","",IFERROR(AVERAGEIFS(履歴10日!$F$2:$F$62000,履歴10日!$C$2:$C$62000,$A259&amp;"",履歴10日!$B$2:$B$62000,C259),""))</f>
        <v>986800</v>
      </c>
      <c r="F259" s="13">
        <f t="shared" si="8"/>
        <v>1</v>
      </c>
      <c r="G259" s="7">
        <f>最新!F259</f>
        <v>7248</v>
      </c>
      <c r="H259" s="14">
        <f>最新!G259</f>
        <v>0.93414099755123081</v>
      </c>
      <c r="I259" s="14">
        <f>最新!H259</f>
        <v>0.91642432671639906</v>
      </c>
      <c r="K259" s="18">
        <f>IF($A259="","",IFERROR(D259/SUMIFS(履歴10日!$F$2:$F$62000,履歴10日!$C$2:$C$62000,$A259&amp;"",履歴10日!$B$2:$B$62000,C259,履歴10日!$A$2:$A$62000,N$1),""))</f>
      </c>
      <c r="L259">
        <f t="shared" ref="L259:L322" si="9">IF(OR(D259="",D259="", D259="",E259="",$E259=0),"",(D259-E259)/E259)</f>
        <v>0</v>
      </c>
      <c r="M259" s="18"/>
    </row>
    <row r="260" spans="1:13">
      <c r="A260" s="7">
        <f>最新!A260</f>
        <v>6674</v>
      </c>
      <c r="B260" s="7" t="str">
        <f>最新!B260</f>
        <v>ジーエス・ユアサコーポ</v>
      </c>
      <c r="C260" s="12">
        <f>最新!C260</f>
        <v>0.375</v>
      </c>
      <c r="D260" s="7">
        <f>最新!E260</f>
        <v>611000</v>
      </c>
      <c r="E260" s="7">
        <f>IF($A260="","",IFERROR(AVERAGEIFS(履歴10日!$F$2:$F$62000,履歴10日!$C$2:$C$62000,$A260&amp;"",履歴10日!$B$2:$B$62000,C260),""))</f>
        <v>611000</v>
      </c>
      <c r="F260" s="13">
        <f t="shared" si="8"/>
        <v>1</v>
      </c>
      <c r="G260" s="7">
        <f>最新!F260</f>
        <v>5422</v>
      </c>
      <c r="H260" s="14">
        <f>最新!G260</f>
        <v>0.93482758620689654</v>
      </c>
      <c r="I260" s="14">
        <f>最新!H260</f>
        <v>0.91867163673331076</v>
      </c>
      <c r="K260" s="18">
        <f>IF($A260="","",IFERROR(D260/SUMIFS(履歴10日!$F$2:$F$62000,履歴10日!$C$2:$C$62000,$A260&amp;"",履歴10日!$B$2:$B$62000,C260,履歴10日!$A$2:$A$62000,N$1),""))</f>
      </c>
      <c r="L260">
        <f t="shared" si="9"/>
        <v>0</v>
      </c>
      <c r="M260" s="18"/>
    </row>
    <row r="261" spans="1:13">
      <c r="A261" s="7">
        <f>最新!A261</f>
        <v>6955</v>
      </c>
      <c r="B261" s="7" t="str">
        <f>最新!B261</f>
        <v>ＦＤＫ</v>
      </c>
      <c r="C261" s="12">
        <f>最新!C261</f>
        <v>0.375</v>
      </c>
      <c r="D261" s="7">
        <f>最新!E261</f>
        <v>252200</v>
      </c>
      <c r="E261" s="7">
        <f>IF($A261="","",IFERROR(AVERAGEIFS(履歴10日!$F$2:$F$62000,履歴10日!$C$2:$C$62000,$A261&amp;"",履歴10日!$B$2:$B$62000,C261),""))</f>
        <v>252200</v>
      </c>
      <c r="F261" s="13">
        <f t="shared" si="8"/>
        <v>1</v>
      </c>
      <c r="G261" s="7">
        <f>最新!F261</f>
        <v>398</v>
      </c>
      <c r="H261" s="14">
        <f>最新!G261</f>
        <v>0.97310513447432767</v>
      </c>
      <c r="I261" s="14">
        <f>最新!H261</f>
        <v>0.96601941747572817</v>
      </c>
      <c r="K261" s="18">
        <f>IF($A261="","",IFERROR(D261/SUMIFS(履歴10日!$F$2:$F$62000,履歴10日!$C$2:$C$62000,$A261&amp;"",履歴10日!$B$2:$B$62000,C261,履歴10日!$A$2:$A$62000,N$1),""))</f>
      </c>
      <c r="L261">
        <f t="shared" si="9"/>
        <v>0</v>
      </c>
      <c r="M261" s="18"/>
    </row>
    <row r="262" spans="1:13">
      <c r="A262" s="7" t="str">
        <f>最新!A262</f>
        <v>281A</v>
      </c>
      <c r="B262" s="7" t="str">
        <f>最新!B262</f>
        <v>インフォメティス</v>
      </c>
      <c r="C262" s="12">
        <f>最新!C262</f>
        <v>0.375</v>
      </c>
      <c r="D262" s="7">
        <f>最新!E262</f>
        <v>242400</v>
      </c>
      <c r="E262" s="7">
        <f>IF($A262="","",IFERROR(AVERAGEIFS(履歴10日!$F$2:$F$62000,履歴10日!$C$2:$C$62000,$A262&amp;"",履歴10日!$B$2:$B$62000,C262),""))</f>
        <v>242400</v>
      </c>
      <c r="F262" s="13">
        <f t="shared" si="8"/>
        <v>1</v>
      </c>
      <c r="G262" s="7">
        <f>最新!F262</f>
        <v>449</v>
      </c>
      <c r="H262" s="14">
        <f>最新!G262</f>
        <v>0.96976241900647953</v>
      </c>
      <c r="I262" s="14">
        <f>最新!H262</f>
        <v>0.93736951983298533</v>
      </c>
      <c r="K262" s="18">
        <f>IF($A262="","",IFERROR(D262/SUMIFS(履歴10日!$F$2:$F$62000,履歴10日!$C$2:$C$62000,$A262&amp;"",履歴10日!$B$2:$B$62000,C262,履歴10日!$A$2:$A$62000,N$1),""))</f>
      </c>
      <c r="L262">
        <f t="shared" si="9"/>
        <v>0</v>
      </c>
      <c r="M262" s="18"/>
    </row>
    <row r="263" spans="1:13">
      <c r="A263" s="7">
        <f>最新!A263</f>
        <v>6356</v>
      </c>
      <c r="B263" s="7" t="str">
        <f>最新!B263</f>
        <v>日本ギア工業</v>
      </c>
      <c r="C263" s="12">
        <f>最新!C263</f>
        <v>0.375</v>
      </c>
      <c r="D263" s="7">
        <f>最新!E263</f>
        <v>330400</v>
      </c>
      <c r="E263" s="7">
        <f>IF($A263="","",IFERROR(AVERAGEIFS(履歴10日!$F$2:$F$62000,履歴10日!$C$2:$C$62000,$A263&amp;"",履歴10日!$B$2:$B$62000,C263),""))</f>
        <v>330400</v>
      </c>
      <c r="F263" s="13">
        <f t="shared" si="8"/>
        <v>1</v>
      </c>
      <c r="G263" s="7">
        <f>最新!F263</f>
        <v>1401</v>
      </c>
      <c r="H263" s="14">
        <f>最新!G263</f>
        <v>0.93089700996677738</v>
      </c>
      <c r="I263" s="14">
        <f>最新!H263</f>
        <v>0.91748526522593321</v>
      </c>
      <c r="K263" s="18">
        <f>IF($A263="","",IFERROR(D263/SUMIFS(履歴10日!$F$2:$F$62000,履歴10日!$C$2:$C$62000,$A263&amp;"",履歴10日!$B$2:$B$62000,C263,履歴10日!$A$2:$A$62000,N$1),""))</f>
      </c>
      <c r="L263">
        <f t="shared" si="9"/>
        <v>0</v>
      </c>
      <c r="M263" s="18"/>
    </row>
    <row r="264" spans="1:13">
      <c r="A264" s="7">
        <f>最新!A264</f>
        <v>7711</v>
      </c>
      <c r="B264" s="7" t="str">
        <f>最新!B264</f>
        <v>助川電気工業</v>
      </c>
      <c r="C264" s="12">
        <f>最新!C264</f>
        <v>0.375</v>
      </c>
      <c r="D264" s="7">
        <f>最新!E264</f>
        <v>142700</v>
      </c>
      <c r="E264" s="7">
        <f>IF($A264="","",IFERROR(AVERAGEIFS(履歴10日!$F$2:$F$62000,履歴10日!$C$2:$C$62000,$A264&amp;"",履歴10日!$B$2:$B$62000,C264),""))</f>
        <v>142700</v>
      </c>
      <c r="F264" s="13">
        <f t="shared" si="8"/>
        <v>1</v>
      </c>
      <c r="G264" s="7">
        <f>最新!F264</f>
        <v>4375</v>
      </c>
      <c r="H264" s="14">
        <f>最新!G264</f>
        <v>0.90020576131687247</v>
      </c>
      <c r="I264" s="14">
        <f>最新!H264</f>
        <v>0.88205645161290325</v>
      </c>
      <c r="K264" s="18">
        <f>IF($A264="","",IFERROR(D264/SUMIFS(履歴10日!$F$2:$F$62000,履歴10日!$C$2:$C$62000,$A264&amp;"",履歴10日!$B$2:$B$62000,C264,履歴10日!$A$2:$A$62000,N$1),""))</f>
      </c>
      <c r="L264">
        <f t="shared" si="9"/>
        <v>0</v>
      </c>
      <c r="M264" s="18"/>
    </row>
    <row r="265" spans="1:13">
      <c r="A265" s="7">
        <f>最新!A265</f>
        <v>6376</v>
      </c>
      <c r="B265" s="7" t="str">
        <f>最新!B265</f>
        <v>日機装</v>
      </c>
      <c r="C265" s="12">
        <f>最新!C265</f>
        <v>0.375</v>
      </c>
      <c r="D265" s="7">
        <f>最新!E265</f>
        <v>625800</v>
      </c>
      <c r="E265" s="7">
        <f>IF($A265="","",IFERROR(AVERAGEIFS(履歴10日!$F$2:$F$62000,履歴10日!$C$2:$C$62000,$A265&amp;"",履歴10日!$B$2:$B$62000,C265),""))</f>
        <v>625800</v>
      </c>
      <c r="F265" s="13">
        <f t="shared" si="8"/>
        <v>1</v>
      </c>
      <c r="G265" s="7">
        <f>最新!F265</f>
        <v>3785</v>
      </c>
      <c r="H265" s="14">
        <f>最新!G265</f>
        <v>0.99605263157894741</v>
      </c>
      <c r="I265" s="14">
        <f>最新!H265</f>
        <v>0.98056994818652854</v>
      </c>
      <c r="K265" s="18">
        <f>IF($A265="","",IFERROR(D265/SUMIFS(履歴10日!$F$2:$F$62000,履歴10日!$C$2:$C$62000,$A265&amp;"",履歴10日!$B$2:$B$62000,C265,履歴10日!$A$2:$A$62000,N$1),""))</f>
      </c>
      <c r="L265">
        <f t="shared" si="9"/>
        <v>0</v>
      </c>
      <c r="M265" s="18"/>
    </row>
    <row r="266" spans="1:13">
      <c r="A266" s="7">
        <f>最新!A266</f>
        <v>9115</v>
      </c>
      <c r="B266" s="7" t="str">
        <f>最新!B266</f>
        <v>明海グループ</v>
      </c>
      <c r="C266" s="12">
        <f>最新!C266</f>
        <v>0.375</v>
      </c>
      <c r="D266" s="7">
        <f>最新!E266</f>
        <v>65100</v>
      </c>
      <c r="E266" s="7">
        <f>IF($A266="","",IFERROR(AVERAGEIFS(履歴10日!$F$2:$F$62000,履歴10日!$C$2:$C$62000,$A266&amp;"",履歴10日!$B$2:$B$62000,C266),""))</f>
        <v>65100</v>
      </c>
      <c r="F266" s="13">
        <f t="shared" si="8"/>
        <v>1</v>
      </c>
      <c r="G266" s="7">
        <f>最新!F266</f>
        <v>819</v>
      </c>
      <c r="H266" s="14">
        <f>最新!G266</f>
        <v>0.99513973268529765</v>
      </c>
      <c r="I266" s="14">
        <f>最新!H266</f>
        <v>0.99272727272727268</v>
      </c>
      <c r="K266" s="18">
        <f>IF($A266="","",IFERROR(D266/SUMIFS(履歴10日!$F$2:$F$62000,履歴10日!$C$2:$C$62000,$A266&amp;"",履歴10日!$B$2:$B$62000,C266,履歴10日!$A$2:$A$62000,N$1),""))</f>
      </c>
      <c r="L266">
        <f t="shared" si="9"/>
        <v>0</v>
      </c>
      <c r="M266" s="18"/>
    </row>
    <row r="267" spans="1:13">
      <c r="A267" s="7">
        <f>最新!A267</f>
        <v>3864</v>
      </c>
      <c r="B267" s="7" t="str">
        <f>最新!B267</f>
        <v>三菱製紙</v>
      </c>
      <c r="C267" s="12">
        <f>最新!C267</f>
        <v>0.375</v>
      </c>
      <c r="D267" s="7">
        <f>最新!E267</f>
        <v>130300</v>
      </c>
      <c r="E267" s="7">
        <f>IF($A267="","",IFERROR(AVERAGEIFS(履歴10日!$F$2:$F$62000,履歴10日!$C$2:$C$62000,$A267&amp;"",履歴10日!$B$2:$B$62000,C267),""))</f>
        <v>130300</v>
      </c>
      <c r="F267" s="13">
        <f t="shared" si="8"/>
        <v>1</v>
      </c>
      <c r="G267" s="7">
        <f>最新!F267</f>
        <v>1086</v>
      </c>
      <c r="H267" s="14">
        <f>最新!G267</f>
        <v>0.99178082191780825</v>
      </c>
      <c r="I267" s="14">
        <f>最新!H267</f>
        <v>0.99178082191780825</v>
      </c>
      <c r="K267" s="18">
        <f>IF($A267="","",IFERROR(D267/SUMIFS(履歴10日!$F$2:$F$62000,履歴10日!$C$2:$C$62000,$A267&amp;"",履歴10日!$B$2:$B$62000,C267,履歴10日!$A$2:$A$62000,N$1),""))</f>
      </c>
      <c r="L267">
        <f t="shared" si="9"/>
        <v>0</v>
      </c>
      <c r="M267" s="18"/>
    </row>
    <row r="268" spans="1:13">
      <c r="A268" s="7">
        <f>最新!A268</f>
        <v>6997</v>
      </c>
      <c r="B268" s="7" t="str">
        <f>最新!B268</f>
        <v>日本ケミコン</v>
      </c>
      <c r="C268" s="12">
        <f>最新!C268</f>
        <v>0.375</v>
      </c>
      <c r="D268" s="7">
        <f>最新!E268</f>
        <v>1197700</v>
      </c>
      <c r="E268" s="7">
        <f>IF($A268="","",IFERROR(AVERAGEIFS(履歴10日!$F$2:$F$62000,履歴10日!$C$2:$C$62000,$A268&amp;"",履歴10日!$B$2:$B$62000,C268),""))</f>
        <v>1197700</v>
      </c>
      <c r="F268" s="13">
        <f t="shared" si="8"/>
        <v>1</v>
      </c>
      <c r="G268" s="7">
        <f>最新!F268</f>
        <v>3075</v>
      </c>
      <c r="H268" s="14">
        <f>最新!G268</f>
        <v>0.91791044776119401</v>
      </c>
      <c r="I268" s="14">
        <f>最新!H268</f>
        <v>0.84710743801652888</v>
      </c>
      <c r="K268" s="18">
        <f>IF($A268="","",IFERROR(D268/SUMIFS(履歴10日!$F$2:$F$62000,履歴10日!$C$2:$C$62000,$A268&amp;"",履歴10日!$B$2:$B$62000,C268,履歴10日!$A$2:$A$62000,N$1),""))</f>
      </c>
      <c r="L268">
        <f t="shared" si="9"/>
        <v>0</v>
      </c>
      <c r="M268" s="18"/>
    </row>
    <row r="269" spans="1:13">
      <c r="A269" s="7">
        <f>最新!A269</f>
        <v>4544</v>
      </c>
      <c r="B269" s="7" t="str">
        <f>最新!B269</f>
        <v>ＨＵグループＨＤ</v>
      </c>
      <c r="C269" s="12">
        <f>最新!C269</f>
        <v>0.375</v>
      </c>
      <c r="D269" s="7">
        <f>最新!E269</f>
        <v>96200</v>
      </c>
      <c r="E269" s="7">
        <f>IF($A269="","",IFERROR(AVERAGEIFS(履歴10日!$F$2:$F$62000,履歴10日!$C$2:$C$62000,$A269&amp;"",履歴10日!$B$2:$B$62000,C269),""))</f>
        <v>96200</v>
      </c>
      <c r="F269" s="13">
        <f t="shared" si="8"/>
        <v>1</v>
      </c>
      <c r="G269" s="7">
        <f>最新!F269</f>
        <v>3373</v>
      </c>
      <c r="H269" s="14">
        <f>最新!G269</f>
        <v>1.0020796197266786</v>
      </c>
      <c r="I269" s="14">
        <f>最新!H269</f>
        <v>1.0020796197266786</v>
      </c>
      <c r="K269" s="18">
        <f>IF($A269="","",IFERROR(D269/SUMIFS(履歴10日!$F$2:$F$62000,履歴10日!$C$2:$C$62000,$A269&amp;"",履歴10日!$B$2:$B$62000,C269,履歴10日!$A$2:$A$62000,N$1),""))</f>
      </c>
      <c r="L269">
        <f t="shared" si="9"/>
        <v>0</v>
      </c>
      <c r="M269" s="18"/>
    </row>
    <row r="270" spans="1:13">
      <c r="A270" s="7">
        <f>最新!A270</f>
        <v>6848</v>
      </c>
      <c r="B270" s="7" t="str">
        <f>最新!B270</f>
        <v>東亜ディーケーケー</v>
      </c>
      <c r="C270" s="12">
        <f>最新!C270</f>
        <v>0.375</v>
      </c>
      <c r="D270" s="7">
        <f>最新!E270</f>
        <v>4900</v>
      </c>
      <c r="E270" s="7">
        <f>IF($A270="","",IFERROR(AVERAGEIFS(履歴10日!$F$2:$F$62000,履歴10日!$C$2:$C$62000,$A270&amp;"",履歴10日!$B$2:$B$62000,C270),""))</f>
        <v>4900</v>
      </c>
      <c r="F270" s="13">
        <f t="shared" si="8"/>
        <v>1</v>
      </c>
      <c r="G270" s="7">
        <f>最新!F270</f>
        <v>850</v>
      </c>
      <c r="H270" s="14">
        <f>最新!G270</f>
        <v>0.9929906542056075</v>
      </c>
      <c r="I270" s="14">
        <f>最新!H270</f>
        <v>0.9929906542056075</v>
      </c>
      <c r="K270" s="18">
        <f>IF($A270="","",IFERROR(D270/SUMIFS(履歴10日!$F$2:$F$62000,履歴10日!$C$2:$C$62000,$A270&amp;"",履歴10日!$B$2:$B$62000,C270,履歴10日!$A$2:$A$62000,N$1),""))</f>
      </c>
      <c r="L270">
        <f t="shared" si="9"/>
        <v>0</v>
      </c>
      <c r="M270" s="18"/>
    </row>
    <row r="271" spans="1:13">
      <c r="A271" s="7">
        <f>最新!A271</f>
        <v>5702</v>
      </c>
      <c r="B271" s="7" t="str">
        <f>最新!B271</f>
        <v>大紀アルミニウム</v>
      </c>
      <c r="C271" s="12">
        <f>最新!C271</f>
        <v>0.375</v>
      </c>
      <c r="D271" s="7">
        <f>最新!E271</f>
        <v>418800</v>
      </c>
      <c r="E271" s="7">
        <f>IF($A271="","",IFERROR(AVERAGEIFS(履歴10日!$F$2:$F$62000,履歴10日!$C$2:$C$62000,$A271&amp;"",履歴10日!$B$2:$B$62000,C271),""))</f>
        <v>418800</v>
      </c>
      <c r="F271" s="13">
        <f t="shared" si="8"/>
        <v>1</v>
      </c>
      <c r="G271" s="7">
        <f>最新!F271</f>
        <v>1422</v>
      </c>
      <c r="H271" s="14">
        <f>最新!G271</f>
        <v>0.95372233400402417</v>
      </c>
      <c r="I271" s="14">
        <f>最新!H271</f>
        <v>0.94359654943596549</v>
      </c>
      <c r="K271" s="18">
        <f>IF($A271="","",IFERROR(D271/SUMIFS(履歴10日!$F$2:$F$62000,履歴10日!$C$2:$C$62000,$A271&amp;"",履歴10日!$B$2:$B$62000,C271,履歴10日!$A$2:$A$62000,N$1),""))</f>
      </c>
      <c r="L271">
        <f t="shared" si="9"/>
        <v>0</v>
      </c>
      <c r="M271" s="18"/>
    </row>
    <row r="272" spans="1:13">
      <c r="A272" s="7">
        <f>最新!A272</f>
        <v>7952</v>
      </c>
      <c r="B272" s="7" t="str">
        <f>最新!B272</f>
        <v>河合楽器</v>
      </c>
      <c r="C272" s="12">
        <f>最新!C272</f>
        <v>0.375</v>
      </c>
      <c r="D272" s="7">
        <f>最新!E272</f>
        <v>52500</v>
      </c>
      <c r="E272" s="7">
        <f>IF($A272="","",IFERROR(AVERAGEIFS(履歴10日!$F$2:$F$62000,履歴10日!$C$2:$C$62000,$A272&amp;"",履歴10日!$B$2:$B$62000,C272),""))</f>
        <v>52500</v>
      </c>
      <c r="F272" s="13">
        <f t="shared" si="8"/>
        <v>1</v>
      </c>
      <c r="G272" s="7">
        <f>最新!F272</f>
        <v>3165</v>
      </c>
      <c r="H272" s="14">
        <f>最新!G272</f>
        <v>0.95909090909090911</v>
      </c>
      <c r="I272" s="14">
        <f>最新!H272</f>
        <v>0.96641221374045805</v>
      </c>
      <c r="K272" s="18">
        <f>IF($A272="","",IFERROR(D272/SUMIFS(履歴10日!$F$2:$F$62000,履歴10日!$C$2:$C$62000,$A272&amp;"",履歴10日!$B$2:$B$62000,C272,履歴10日!$A$2:$A$62000,N$1),""))</f>
      </c>
      <c r="L272">
        <f t="shared" si="9"/>
        <v>0</v>
      </c>
      <c r="M272" s="18"/>
    </row>
    <row r="273" spans="1:13">
      <c r="A273" s="7">
        <f>最新!A273</f>
        <v>3002</v>
      </c>
      <c r="B273" s="7" t="str">
        <f>最新!B273</f>
        <v>グンゼ</v>
      </c>
      <c r="C273" s="12">
        <f>最新!C273</f>
        <v>0.375</v>
      </c>
      <c r="D273" s="7">
        <f>最新!E273</f>
        <v>91200</v>
      </c>
      <c r="E273" s="7">
        <f>IF($A273="","",IFERROR(AVERAGEIFS(履歴10日!$F$2:$F$62000,履歴10日!$C$2:$C$62000,$A273&amp;"",履歴10日!$B$2:$B$62000,C273),""))</f>
        <v>91200</v>
      </c>
      <c r="F273" s="13">
        <f t="shared" si="8"/>
        <v>1</v>
      </c>
      <c r="G273" s="7">
        <f>最新!F273</f>
        <v>3900</v>
      </c>
      <c r="H273" s="14">
        <f>最新!G273</f>
        <v>0.97867001254705144</v>
      </c>
      <c r="I273" s="14">
        <f>最新!H273</f>
        <v>0.97989949748743721</v>
      </c>
      <c r="K273" s="18">
        <f>IF($A273="","",IFERROR(D273/SUMIFS(履歴10日!$F$2:$F$62000,履歴10日!$C$2:$C$62000,$A273&amp;"",履歴10日!$B$2:$B$62000,C273,履歴10日!$A$2:$A$62000,N$1),""))</f>
      </c>
      <c r="L273">
        <f t="shared" si="9"/>
        <v>0</v>
      </c>
      <c r="M273" s="18"/>
    </row>
    <row r="274" spans="1:13">
      <c r="A274" s="7">
        <f>最新!A274</f>
        <v>8871</v>
      </c>
      <c r="B274" s="7" t="str">
        <f>最新!B274</f>
        <v>ゴールドクレスト</v>
      </c>
      <c r="C274" s="12">
        <f>最新!C274</f>
        <v>0.375</v>
      </c>
      <c r="D274" s="7">
        <f>最新!E274</f>
        <v>110800</v>
      </c>
      <c r="E274" s="7">
        <f>IF($A274="","",IFERROR(AVERAGEIFS(履歴10日!$F$2:$F$62000,履歴10日!$C$2:$C$62000,$A274&amp;"",履歴10日!$B$2:$B$62000,C274),""))</f>
        <v>110800</v>
      </c>
      <c r="F274" s="13">
        <f t="shared" si="8"/>
        <v>1</v>
      </c>
      <c r="G274" s="7">
        <f>最新!F274</f>
        <v>3310</v>
      </c>
      <c r="H274" s="14">
        <f>最新!G274</f>
        <v>0.97640117994100295</v>
      </c>
      <c r="I274" s="14">
        <f>最新!H274</f>
        <v>0.97784342688330872</v>
      </c>
      <c r="K274" s="18">
        <f>IF($A274="","",IFERROR(D274/SUMIFS(履歴10日!$F$2:$F$62000,履歴10日!$C$2:$C$62000,$A274&amp;"",履歴10日!$B$2:$B$62000,C274,履歴10日!$A$2:$A$62000,N$1),""))</f>
      </c>
      <c r="L274">
        <f t="shared" si="9"/>
        <v>0</v>
      </c>
      <c r="M274" s="18"/>
    </row>
    <row r="275" spans="1:13">
      <c r="A275" s="7">
        <f>最新!A275</f>
        <v>6918</v>
      </c>
      <c r="B275" s="7" t="str">
        <f>最新!B275</f>
        <v>アバールデータ</v>
      </c>
      <c r="C275" s="12">
        <f>最新!C275</f>
        <v>0.375</v>
      </c>
      <c r="D275" s="7">
        <f>最新!E275</f>
        <v>62100</v>
      </c>
      <c r="E275" s="7">
        <f>IF($A275="","",IFERROR(AVERAGEIFS(履歴10日!$F$2:$F$62000,履歴10日!$C$2:$C$62000,$A275&amp;"",履歴10日!$B$2:$B$62000,C275),""))</f>
        <v>62100</v>
      </c>
      <c r="F275" s="13">
        <f t="shared" si="8"/>
        <v>1</v>
      </c>
      <c r="G275" s="7">
        <f>最新!F275</f>
        <v>2969</v>
      </c>
      <c r="H275" s="14">
        <f>最新!G275</f>
        <v>0.92781250000000004</v>
      </c>
      <c r="I275" s="14">
        <f>最新!H275</f>
        <v>0.92348367029548994</v>
      </c>
      <c r="K275" s="18">
        <f>IF($A275="","",IFERROR(D275/SUMIFS(履歴10日!$F$2:$F$62000,履歴10日!$C$2:$C$62000,$A275&amp;"",履歴10日!$B$2:$B$62000,C275,履歴10日!$A$2:$A$62000,N$1),""))</f>
      </c>
      <c r="L275">
        <f t="shared" si="9"/>
        <v>0</v>
      </c>
      <c r="M275" s="18"/>
    </row>
    <row r="276" spans="1:13">
      <c r="A276" s="7">
        <f>最新!A276</f>
        <v>6488</v>
      </c>
      <c r="B276" s="7" t="str">
        <f>最新!B276</f>
        <v>ヨシタケ</v>
      </c>
      <c r="C276" s="12">
        <f>最新!C276</f>
        <v>0.375</v>
      </c>
      <c r="D276" s="7">
        <f>最新!E276</f>
        <v>7500</v>
      </c>
      <c r="E276" s="7">
        <f>IF($A276="","",IFERROR(AVERAGEIFS(履歴10日!$F$2:$F$62000,履歴10日!$C$2:$C$62000,$A276&amp;"",履歴10日!$B$2:$B$62000,C276),""))</f>
        <v>7500</v>
      </c>
      <c r="F276" s="13">
        <f t="shared" si="8"/>
        <v>1</v>
      </c>
      <c r="G276" s="7">
        <f>最新!F276</f>
        <v>964</v>
      </c>
      <c r="H276" s="14">
        <f>最新!G276</f>
        <v>0.98770491803278693</v>
      </c>
      <c r="I276" s="14">
        <f>最新!H276</f>
        <v>0.98770491803278693</v>
      </c>
      <c r="K276" s="18">
        <f>IF($A276="","",IFERROR(D276/SUMIFS(履歴10日!$F$2:$F$62000,履歴10日!$C$2:$C$62000,$A276&amp;"",履歴10日!$B$2:$B$62000,C276,履歴10日!$A$2:$A$62000,N$1),""))</f>
      </c>
      <c r="L276">
        <f t="shared" si="9"/>
        <v>0</v>
      </c>
      <c r="M276" s="18"/>
    </row>
    <row r="277" spans="1:13">
      <c r="A277" s="7">
        <f>最新!A277</f>
        <v>8007</v>
      </c>
      <c r="B277" s="7" t="str">
        <f>最新!B277</f>
        <v>高島</v>
      </c>
      <c r="C277" s="12">
        <f>最新!C277</f>
        <v>0.375</v>
      </c>
      <c r="D277" s="7">
        <f>最新!E277</f>
        <v>110700</v>
      </c>
      <c r="E277" s="7">
        <f>IF($A277="","",IFERROR(AVERAGEIFS(履歴10日!$F$2:$F$62000,履歴10日!$C$2:$C$62000,$A277&amp;"",履歴10日!$B$2:$B$62000,C277),""))</f>
        <v>110700</v>
      </c>
      <c r="F277" s="13">
        <f t="shared" si="8"/>
        <v>1</v>
      </c>
      <c r="G277" s="7">
        <f>最新!F277</f>
        <v>772</v>
      </c>
      <c r="H277" s="14">
        <f>最新!G277</f>
        <v>0.98469387755102045</v>
      </c>
      <c r="I277" s="14">
        <f>最新!H277</f>
        <v>0.98218829516539441</v>
      </c>
      <c r="K277" s="18">
        <f>IF($A277="","",IFERROR(D277/SUMIFS(履歴10日!$F$2:$F$62000,履歴10日!$C$2:$C$62000,$A277&amp;"",履歴10日!$B$2:$B$62000,C277,履歴10日!$A$2:$A$62000,N$1),""))</f>
      </c>
      <c r="L277">
        <f t="shared" si="9"/>
        <v>0</v>
      </c>
      <c r="M277" s="18"/>
    </row>
    <row r="278" spans="1:13">
      <c r="A278" s="7">
        <f>最新!A278</f>
        <v>4218</v>
      </c>
      <c r="B278" s="7" t="str">
        <f>最新!B278</f>
        <v>ニチバン</v>
      </c>
      <c r="C278" s="12">
        <f>最新!C278</f>
        <v>0.375</v>
      </c>
      <c r="D278" s="7">
        <f>最新!E278</f>
        <v>13500</v>
      </c>
      <c r="E278" s="7">
        <f>IF($A278="","",IFERROR(AVERAGEIFS(履歴10日!$F$2:$F$62000,履歴10日!$C$2:$C$62000,$A278&amp;"",履歴10日!$B$2:$B$62000,C278),""))</f>
        <v>13500</v>
      </c>
      <c r="F278" s="13">
        <f t="shared" si="8"/>
        <v>1</v>
      </c>
      <c r="G278" s="7">
        <f>最新!F278</f>
        <v>1928</v>
      </c>
      <c r="H278" s="14">
        <f>最新!G278</f>
        <v>0.99948159668221881</v>
      </c>
      <c r="I278" s="14">
        <f>最新!H278</f>
        <v>1.0062630480167014</v>
      </c>
      <c r="K278" s="18">
        <f>IF($A278="","",IFERROR(D278/SUMIFS(履歴10日!$F$2:$F$62000,履歴10日!$C$2:$C$62000,$A278&amp;"",履歴10日!$B$2:$B$62000,C278,履歴10日!$A$2:$A$62000,N$1),""))</f>
      </c>
      <c r="L278">
        <f t="shared" si="9"/>
        <v>0</v>
      </c>
      <c r="M278" s="18"/>
    </row>
    <row r="279" spans="1:13">
      <c r="A279" s="7">
        <f>最新!A279</f>
        <v>7735</v>
      </c>
      <c r="B279" s="7" t="str">
        <f>最新!B279</f>
        <v>ＳＣＲＥＥＮホールディングス</v>
      </c>
      <c r="C279" s="12">
        <f>最新!C279</f>
        <v>0.375</v>
      </c>
      <c r="D279" s="7">
        <f>最新!E279</f>
        <v>4133800</v>
      </c>
      <c r="E279" s="7">
        <f>IF($A279="","",IFERROR(AVERAGEIFS(履歴10日!$F$2:$F$62000,履歴10日!$C$2:$C$62000,$A279&amp;"",履歴10日!$B$2:$B$62000,C279),""))</f>
        <v>4133800</v>
      </c>
      <c r="F279" s="13">
        <f t="shared" si="8"/>
        <v>1</v>
      </c>
      <c r="G279" s="7">
        <f>最新!F279</f>
        <v>16170</v>
      </c>
      <c r="H279" s="14">
        <f>最新!G279</f>
        <v>0.93630573248407645</v>
      </c>
      <c r="I279" s="14">
        <f>最新!H279</f>
        <v>0.86148108684070324</v>
      </c>
      <c r="K279" s="18">
        <f>IF($A279="","",IFERROR(D279/SUMIFS(履歴10日!$F$2:$F$62000,履歴10日!$C$2:$C$62000,$A279&amp;"",履歴10日!$B$2:$B$62000,C279,履歴10日!$A$2:$A$62000,N$1),""))</f>
      </c>
      <c r="L279">
        <f t="shared" si="9"/>
        <v>0</v>
      </c>
      <c r="M279" s="18"/>
    </row>
    <row r="280" spans="1:13">
      <c r="A280" s="7">
        <f>最新!A280</f>
        <v>3905</v>
      </c>
      <c r="B280" s="7" t="str">
        <f>最新!B280</f>
        <v>データセクション</v>
      </c>
      <c r="C280" s="12">
        <f>最新!C280</f>
        <v>0.375</v>
      </c>
      <c r="D280" s="7">
        <f>最新!E280</f>
        <v>1741700</v>
      </c>
      <c r="E280" s="7">
        <f>IF($A280="","",IFERROR(AVERAGEIFS(履歴10日!$F$2:$F$62000,履歴10日!$C$2:$C$62000,$A280&amp;"",履歴10日!$B$2:$B$62000,C280),""))</f>
        <v>1741700</v>
      </c>
      <c r="F280" s="13">
        <f t="shared" si="8"/>
        <v>1</v>
      </c>
      <c r="G280" s="7">
        <f>最新!F280</f>
        <v>2517</v>
      </c>
      <c r="H280" s="14">
        <f>最新!G280</f>
        <v>0.97106481481481477</v>
      </c>
      <c r="I280" s="14">
        <f>最新!H280</f>
        <v>0.93603570100409073</v>
      </c>
      <c r="K280" s="18">
        <f>IF($A280="","",IFERROR(D280/SUMIFS(履歴10日!$F$2:$F$62000,履歴10日!$C$2:$C$62000,$A280&amp;"",履歴10日!$B$2:$B$62000,C280,履歴10日!$A$2:$A$62000,N$1),""))</f>
      </c>
      <c r="L280">
        <f t="shared" si="9"/>
        <v>0</v>
      </c>
      <c r="M280" s="18"/>
    </row>
    <row r="281" spans="1:13">
      <c r="A281" s="7">
        <f>最新!A281</f>
        <v>3397</v>
      </c>
      <c r="B281" s="7" t="str">
        <f>最新!B281</f>
        <v>トリドールホールディングス</v>
      </c>
      <c r="C281" s="12">
        <f>最新!C281</f>
        <v>0.375</v>
      </c>
      <c r="D281" s="7">
        <f>最新!E281</f>
        <v>285200</v>
      </c>
      <c r="E281" s="7">
        <f>IF($A281="","",IFERROR(AVERAGEIFS(履歴10日!$F$2:$F$62000,履歴10日!$C$2:$C$62000,$A281&amp;"",履歴10日!$B$2:$B$62000,C281),""))</f>
        <v>285200</v>
      </c>
      <c r="F281" s="13">
        <f t="shared" si="8"/>
        <v>1</v>
      </c>
      <c r="G281" s="7">
        <f>最新!F281</f>
        <v>4162</v>
      </c>
      <c r="H281" s="14">
        <f>最新!G281</f>
        <v>0.99426660296225511</v>
      </c>
      <c r="I281" s="14">
        <f>最新!H281</f>
        <v>1.01611328125</v>
      </c>
      <c r="K281" s="18">
        <f>IF($A281="","",IFERROR(D281/SUMIFS(履歴10日!$F$2:$F$62000,履歴10日!$C$2:$C$62000,$A281&amp;"",履歴10日!$B$2:$B$62000,C281,履歴10日!$A$2:$A$62000,N$1),""))</f>
      </c>
      <c r="L281">
        <f t="shared" si="9"/>
        <v>0</v>
      </c>
      <c r="M281" s="18"/>
    </row>
    <row r="282" spans="1:13">
      <c r="A282" s="7">
        <f>最新!A282</f>
        <v>7270</v>
      </c>
      <c r="B282" s="7" t="str">
        <f>最新!B282</f>
        <v>ＳＵＢＡＲＵ</v>
      </c>
      <c r="C282" s="12">
        <f>最新!C282</f>
        <v>0.375</v>
      </c>
      <c r="D282" s="7">
        <f>最新!E282</f>
        <v>2393600</v>
      </c>
      <c r="E282" s="7">
        <f>IF($A282="","",IFERROR(AVERAGEIFS(履歴10日!$F$2:$F$62000,履歴10日!$C$2:$C$62000,$A282&amp;"",履歴10日!$B$2:$B$62000,C282),""))</f>
        <v>2393600</v>
      </c>
      <c r="F282" s="13">
        <f t="shared" si="8"/>
        <v>1</v>
      </c>
      <c r="G282" s="7">
        <f>最新!F282</f>
        <v>2508</v>
      </c>
      <c r="H282" s="14">
        <f>最新!G282</f>
        <v>0.99130434782608701</v>
      </c>
      <c r="I282" s="14">
        <f>最新!H282</f>
        <v>0.9958308516974389</v>
      </c>
      <c r="K282" s="18">
        <f>IF($A282="","",IFERROR(D282/SUMIFS(履歴10日!$F$2:$F$62000,履歴10日!$C$2:$C$62000,$A282&amp;"",履歴10日!$B$2:$B$62000,C282,履歴10日!$A$2:$A$62000,N$1),""))</f>
      </c>
      <c r="L282">
        <f t="shared" si="9"/>
        <v>0</v>
      </c>
      <c r="M282" s="18"/>
    </row>
    <row r="283" spans="1:13">
      <c r="A283" s="7">
        <f>最新!A283</f>
        <v>6736</v>
      </c>
      <c r="B283" s="7" t="str">
        <f>最新!B283</f>
        <v>サン電子</v>
      </c>
      <c r="C283" s="12">
        <f>最新!C283</f>
        <v>0.375</v>
      </c>
      <c r="D283" s="7">
        <f>最新!E283</f>
        <v>7100</v>
      </c>
      <c r="E283" s="7">
        <f>IF($A283="","",IFERROR(AVERAGEIFS(履歴10日!$F$2:$F$62000,履歴10日!$C$2:$C$62000,$A283&amp;"",履歴10日!$B$2:$B$62000,C283),""))</f>
        <v>7100</v>
      </c>
      <c r="F283" s="13">
        <f t="shared" si="8"/>
        <v>1</v>
      </c>
      <c r="G283" s="7">
        <f>最新!F283</f>
        <v>8790</v>
      </c>
      <c r="H283" s="14">
        <f>最新!G283</f>
        <v>0.96699669966996704</v>
      </c>
      <c r="I283" s="14">
        <f>最新!H283</f>
        <v>0.98212290502793298</v>
      </c>
      <c r="K283" s="18">
        <f>IF($A283="","",IFERROR(D283/SUMIFS(履歴10日!$F$2:$F$62000,履歴10日!$C$2:$C$62000,$A283&amp;"",履歴10日!$B$2:$B$62000,C283,履歴10日!$A$2:$A$62000,N$1),""))</f>
      </c>
      <c r="L283">
        <f t="shared" si="9"/>
        <v>0</v>
      </c>
      <c r="M283" s="18"/>
    </row>
    <row r="284" spans="1:13">
      <c r="A284" s="7">
        <f>最新!A284</f>
        <v>2933</v>
      </c>
      <c r="B284" s="7" t="str">
        <f>最新!B284</f>
        <v>紀文食品</v>
      </c>
      <c r="C284" s="12">
        <f>最新!C284</f>
        <v>0.375</v>
      </c>
      <c r="D284" s="7">
        <f>最新!E284</f>
        <v>30900</v>
      </c>
      <c r="E284" s="7">
        <f>IF($A284="","",IFERROR(AVERAGEIFS(履歴10日!$F$2:$F$62000,履歴10日!$C$2:$C$62000,$A284&amp;"",履歴10日!$B$2:$B$62000,C284),""))</f>
        <v>30900</v>
      </c>
      <c r="F284" s="13">
        <f t="shared" si="8"/>
        <v>1</v>
      </c>
      <c r="G284" s="7">
        <f>最新!F284</f>
        <v>1088</v>
      </c>
      <c r="H284" s="14">
        <f>最新!G284</f>
        <v>1.0064754856614246</v>
      </c>
      <c r="I284" s="14">
        <f>最新!H284</f>
        <v>1.0064754856614246</v>
      </c>
      <c r="K284" s="18">
        <f>IF($A284="","",IFERROR(D284/SUMIFS(履歴10日!$F$2:$F$62000,履歴10日!$C$2:$C$62000,$A284&amp;"",履歴10日!$B$2:$B$62000,C284,履歴10日!$A$2:$A$62000,N$1),""))</f>
      </c>
      <c r="L284">
        <f t="shared" si="9"/>
        <v>0</v>
      </c>
      <c r="M284" s="18"/>
    </row>
    <row r="285" spans="1:13">
      <c r="A285" s="7">
        <f>最新!A285</f>
        <v>4047</v>
      </c>
      <c r="B285" s="7" t="str">
        <f>最新!B285</f>
        <v>関東電化</v>
      </c>
      <c r="C285" s="12">
        <f>最新!C285</f>
        <v>0.375</v>
      </c>
      <c r="D285" s="7">
        <f>最新!E285</f>
        <v>764500</v>
      </c>
      <c r="E285" s="7">
        <f>IF($A285="","",IFERROR(AVERAGEIFS(履歴10日!$F$2:$F$62000,履歴10日!$C$2:$C$62000,$A285&amp;"",履歴10日!$B$2:$B$62000,C285),""))</f>
        <v>764500</v>
      </c>
      <c r="F285" s="13">
        <f t="shared" si="8"/>
        <v>1</v>
      </c>
      <c r="G285" s="7">
        <f>最新!F285</f>
        <v>2626</v>
      </c>
      <c r="H285" s="14">
        <f>最新!G285</f>
        <v>0.93718772305496079</v>
      </c>
      <c r="I285" s="14">
        <f>最新!H285</f>
        <v>0.89777777777777779</v>
      </c>
      <c r="K285" s="18">
        <f>IF($A285="","",IFERROR(D285/SUMIFS(履歴10日!$F$2:$F$62000,履歴10日!$C$2:$C$62000,$A285&amp;"",履歴10日!$B$2:$B$62000,C285,履歴10日!$A$2:$A$62000,N$1),""))</f>
      </c>
      <c r="L285">
        <f t="shared" si="9"/>
        <v>0</v>
      </c>
      <c r="M285" s="18"/>
    </row>
    <row r="286" spans="1:13">
      <c r="A286" s="7">
        <f>最新!A286</f>
        <v>6482</v>
      </c>
      <c r="B286" s="7" t="str">
        <f>最新!B286</f>
        <v>ＹＵＳＨＩＮ</v>
      </c>
      <c r="C286" s="12">
        <f>最新!C286</f>
        <v>0.375</v>
      </c>
      <c r="D286" s="7">
        <f>最新!E286</f>
        <v>75300</v>
      </c>
      <c r="E286" s="7">
        <f>IF($A286="","",IFERROR(AVERAGEIFS(履歴10日!$F$2:$F$62000,履歴10日!$C$2:$C$62000,$A286&amp;"",履歴10日!$B$2:$B$62000,C286),""))</f>
        <v>75300</v>
      </c>
      <c r="F286" s="13">
        <f t="shared" si="8"/>
        <v>1</v>
      </c>
      <c r="G286" s="7">
        <f>最新!F286</f>
        <v>669</v>
      </c>
      <c r="H286" s="14">
        <f>最新!G286</f>
        <v>0.99701937406855434</v>
      </c>
      <c r="I286" s="14">
        <f>最新!H286</f>
        <v>1.0045045045045045</v>
      </c>
      <c r="K286" s="18">
        <f>IF($A286="","",IFERROR(D286/SUMIFS(履歴10日!$F$2:$F$62000,履歴10日!$C$2:$C$62000,$A286&amp;"",履歴10日!$B$2:$B$62000,C286,履歴10日!$A$2:$A$62000,N$1),""))</f>
      </c>
      <c r="L286">
        <f t="shared" si="9"/>
        <v>0</v>
      </c>
      <c r="M286" s="18"/>
    </row>
    <row r="287" spans="1:13">
      <c r="A287" s="7">
        <f>最新!A287</f>
        <v>6706</v>
      </c>
      <c r="B287" s="7" t="str">
        <f>最新!B287</f>
        <v>電気興業</v>
      </c>
      <c r="C287" s="12">
        <f>最新!C287</f>
        <v>0.375</v>
      </c>
      <c r="D287" s="7">
        <f>最新!E287</f>
        <v>29900</v>
      </c>
      <c r="E287" s="7">
        <f>IF($A287="","",IFERROR(AVERAGEIFS(履歴10日!$F$2:$F$62000,履歴10日!$C$2:$C$62000,$A287&amp;"",履歴10日!$B$2:$B$62000,C287),""))</f>
        <v>29900</v>
      </c>
      <c r="F287" s="13">
        <f t="shared" si="8"/>
        <v>1</v>
      </c>
      <c r="G287" s="7">
        <f>最新!F287</f>
        <v>2840</v>
      </c>
      <c r="H287" s="14">
        <f>最新!G287</f>
        <v>0.96271186440677969</v>
      </c>
      <c r="I287" s="14">
        <f>最新!H287</f>
        <v>0.94951521230357738</v>
      </c>
      <c r="K287" s="18">
        <f>IF($A287="","",IFERROR(D287/SUMIFS(履歴10日!$F$2:$F$62000,履歴10日!$C$2:$C$62000,$A287&amp;"",履歴10日!$B$2:$B$62000,C287,履歴10日!$A$2:$A$62000,N$1),""))</f>
      </c>
      <c r="L287">
        <f t="shared" si="9"/>
        <v>0</v>
      </c>
      <c r="M287" s="18"/>
    </row>
    <row r="288" spans="1:13">
      <c r="A288" s="7">
        <f>最新!A288</f>
        <v>8141</v>
      </c>
      <c r="B288" s="7" t="str">
        <f>最新!B288</f>
        <v>新光商事</v>
      </c>
      <c r="C288" s="12">
        <f>最新!C288</f>
        <v>0.375</v>
      </c>
      <c r="D288" s="7">
        <f>最新!E288</f>
        <v>106800</v>
      </c>
      <c r="E288" s="7">
        <f>IF($A288="","",IFERROR(AVERAGEIFS(履歴10日!$F$2:$F$62000,履歴10日!$C$2:$C$62000,$A288&amp;"",履歴10日!$B$2:$B$62000,C288),""))</f>
        <v>106800</v>
      </c>
      <c r="F288" s="13">
        <f t="shared" si="8"/>
        <v>1</v>
      </c>
      <c r="G288" s="7">
        <f>最新!F288</f>
        <v>1599</v>
      </c>
      <c r="H288" s="14">
        <f>最新!G288</f>
        <v>0.99875078076202373</v>
      </c>
      <c r="I288" s="14">
        <f>最新!H288</f>
        <v>0.99812734082397003</v>
      </c>
      <c r="K288" s="18">
        <f>IF($A288="","",IFERROR(D288/SUMIFS(履歴10日!$F$2:$F$62000,履歴10日!$C$2:$C$62000,$A288&amp;"",履歴10日!$B$2:$B$62000,C288,履歴10日!$A$2:$A$62000,N$1),""))</f>
      </c>
      <c r="L288">
        <f t="shared" si="9"/>
        <v>0</v>
      </c>
      <c r="M288" s="18"/>
    </row>
    <row r="289" spans="1:13">
      <c r="A289" s="7">
        <f>最新!A289</f>
        <v>8344</v>
      </c>
      <c r="B289" s="7" t="str">
        <f>最新!B289</f>
        <v>山形銀行</v>
      </c>
      <c r="C289" s="12">
        <f>最新!C289</f>
        <v>0.375</v>
      </c>
      <c r="D289" s="7">
        <f>最新!E289</f>
        <v>137000</v>
      </c>
      <c r="E289" s="7">
        <f>IF($A289="","",IFERROR(AVERAGEIFS(履歴10日!$F$2:$F$62000,履歴10日!$C$2:$C$62000,$A289&amp;"",履歴10日!$B$2:$B$62000,C289),""))</f>
        <v>137000</v>
      </c>
      <c r="F289" s="13">
        <f t="shared" si="8"/>
        <v>1</v>
      </c>
      <c r="G289" s="7">
        <f>最新!F289</f>
        <v>3580</v>
      </c>
      <c r="H289" s="14">
        <f>最新!G289</f>
        <v>0.92506459948320419</v>
      </c>
      <c r="I289" s="14">
        <f>最新!H289</f>
        <v>0.9156010230179028</v>
      </c>
      <c r="K289" s="18">
        <f>IF($A289="","",IFERROR(D289/SUMIFS(履歴10日!$F$2:$F$62000,履歴10日!$C$2:$C$62000,$A289&amp;"",履歴10日!$B$2:$B$62000,C289,履歴10日!$A$2:$A$62000,N$1),""))</f>
      </c>
      <c r="L289">
        <f t="shared" si="9"/>
        <v>0</v>
      </c>
      <c r="M289" s="18"/>
    </row>
    <row r="290" spans="1:13">
      <c r="A290" s="7">
        <f>最新!A290</f>
        <v>7414</v>
      </c>
      <c r="B290" s="7" t="str">
        <f>最新!B290</f>
        <v>小野建</v>
      </c>
      <c r="C290" s="12">
        <f>最新!C290</f>
        <v>0.375</v>
      </c>
      <c r="D290" s="7">
        <f>最新!E290</f>
        <v>55600</v>
      </c>
      <c r="E290" s="7">
        <f>IF($A290="","",IFERROR(AVERAGEIFS(履歴10日!$F$2:$F$62000,履歴10日!$C$2:$C$62000,$A290&amp;"",履歴10日!$B$2:$B$62000,C290),""))</f>
        <v>55600</v>
      </c>
      <c r="F290" s="13">
        <f t="shared" si="8"/>
        <v>1</v>
      </c>
      <c r="G290" s="7">
        <f>最新!F290</f>
        <v>1400</v>
      </c>
      <c r="H290" s="14">
        <f>最新!G290</f>
        <v>0.98730606488011285</v>
      </c>
      <c r="I290" s="14">
        <f>最新!H290</f>
        <v>0.98939929328621912</v>
      </c>
      <c r="K290" s="18">
        <f>IF($A290="","",IFERROR(D290/SUMIFS(履歴10日!$F$2:$F$62000,履歴10日!$C$2:$C$62000,$A290&amp;"",履歴10日!$B$2:$B$62000,C290,履歴10日!$A$2:$A$62000,N$1),""))</f>
      </c>
      <c r="L290">
        <f t="shared" si="9"/>
        <v>0</v>
      </c>
      <c r="M290" s="18"/>
    </row>
    <row r="291" spans="1:13">
      <c r="A291" s="7">
        <f>最新!A291</f>
        <v>6407</v>
      </c>
      <c r="B291" s="7" t="str">
        <f>最新!B291</f>
        <v>ＣＫＤ</v>
      </c>
      <c r="C291" s="12">
        <f>最新!C291</f>
        <v>0.375</v>
      </c>
      <c r="D291" s="7">
        <f>最新!E291</f>
        <v>584400</v>
      </c>
      <c r="E291" s="7">
        <f>IF($A291="","",IFERROR(AVERAGEIFS(履歴10日!$F$2:$F$62000,履歴10日!$C$2:$C$62000,$A291&amp;"",履歴10日!$B$2:$B$62000,C291),""))</f>
        <v>584400</v>
      </c>
      <c r="F291" s="13">
        <f t="shared" si="8"/>
        <v>1</v>
      </c>
      <c r="G291" s="7">
        <f>最新!F291</f>
        <v>6130</v>
      </c>
      <c r="H291" s="14">
        <f>最新!G291</f>
        <v>0.95631825273010918</v>
      </c>
      <c r="I291" s="14">
        <f>最新!H291</f>
        <v>0.90546528803545057</v>
      </c>
      <c r="K291" s="18">
        <f>IF($A291="","",IFERROR(D291/SUMIFS(履歴10日!$F$2:$F$62000,履歴10日!$C$2:$C$62000,$A291&amp;"",履歴10日!$B$2:$B$62000,C291,履歴10日!$A$2:$A$62000,N$1),""))</f>
      </c>
      <c r="L291">
        <f t="shared" si="9"/>
        <v>0</v>
      </c>
      <c r="M291" s="18"/>
    </row>
    <row r="292" spans="1:13">
      <c r="A292" s="7">
        <f>最新!A292</f>
        <v>7048</v>
      </c>
      <c r="B292" s="7" t="str">
        <f>最新!B292</f>
        <v>ベルトラ</v>
      </c>
      <c r="C292" s="12">
        <f>最新!C292</f>
        <v>0.375</v>
      </c>
      <c r="D292" s="7">
        <f>最新!E292</f>
        <v>163500</v>
      </c>
      <c r="E292" s="7">
        <f>IF($A292="","",IFERROR(AVERAGEIFS(履歴10日!$F$2:$F$62000,履歴10日!$C$2:$C$62000,$A292&amp;"",履歴10日!$B$2:$B$62000,C292),""))</f>
        <v>163500</v>
      </c>
      <c r="F292" s="13">
        <f t="shared" si="8"/>
        <v>1</v>
      </c>
      <c r="G292" s="7">
        <f>最新!F292</f>
        <v>175</v>
      </c>
      <c r="H292" s="14">
        <f>最新!G292</f>
        <v>0.97222222222222221</v>
      </c>
      <c r="I292" s="14">
        <f>最新!H292</f>
        <v>0.97222222222222221</v>
      </c>
      <c r="K292" s="18">
        <f>IF($A292="","",IFERROR(D292/SUMIFS(履歴10日!$F$2:$F$62000,履歴10日!$C$2:$C$62000,$A292&amp;"",履歴10日!$B$2:$B$62000,C292,履歴10日!$A$2:$A$62000,N$1),""))</f>
      </c>
      <c r="L292">
        <f t="shared" si="9"/>
        <v>0</v>
      </c>
      <c r="M292" s="18"/>
    </row>
    <row r="293" spans="1:13">
      <c r="A293" s="7">
        <f>最新!A293</f>
        <v>1808</v>
      </c>
      <c r="B293" s="7" t="str">
        <f>最新!B293</f>
        <v>長谷工コーポレーシヨン</v>
      </c>
      <c r="C293" s="12">
        <f>最新!C293</f>
        <v>0.375</v>
      </c>
      <c r="D293" s="7">
        <f>最新!E293</f>
        <v>436200</v>
      </c>
      <c r="E293" s="7">
        <f>IF($A293="","",IFERROR(AVERAGEIFS(履歴10日!$F$2:$F$62000,履歴10日!$C$2:$C$62000,$A293&amp;"",履歴10日!$B$2:$B$62000,C293),""))</f>
        <v>436200</v>
      </c>
      <c r="F293" s="13">
        <f t="shared" si="8"/>
        <v>1</v>
      </c>
      <c r="G293" s="7">
        <f>最新!F293</f>
        <v>2810</v>
      </c>
      <c r="H293" s="14">
        <f>最新!G293</f>
        <v>0.98943661971830987</v>
      </c>
      <c r="I293" s="14">
        <f>最新!H293</f>
        <v>1.0003559985760058</v>
      </c>
      <c r="K293" s="18">
        <f>IF($A293="","",IFERROR(D293/SUMIFS(履歴10日!$F$2:$F$62000,履歴10日!$C$2:$C$62000,$A293&amp;"",履歴10日!$B$2:$B$62000,C293,履歴10日!$A$2:$A$62000,N$1),""))</f>
      </c>
      <c r="L293">
        <f t="shared" si="9"/>
        <v>0</v>
      </c>
      <c r="M293" s="18"/>
    </row>
    <row r="294" spans="1:13">
      <c r="A294" s="7">
        <f>最新!A294</f>
        <v>4208</v>
      </c>
      <c r="B294" s="7" t="str">
        <f>最新!B294</f>
        <v>ＵＢＥ</v>
      </c>
      <c r="C294" s="12">
        <f>最新!C294</f>
        <v>0.375</v>
      </c>
      <c r="D294" s="7">
        <f>最新!E294</f>
        <v>759800</v>
      </c>
      <c r="E294" s="7">
        <f>IF($A294="","",IFERROR(AVERAGEIFS(履歴10日!$F$2:$F$62000,履歴10日!$C$2:$C$62000,$A294&amp;"",履歴10日!$B$2:$B$62000,C294),""))</f>
        <v>759800</v>
      </c>
      <c r="F294" s="13">
        <f t="shared" si="8"/>
        <v>1</v>
      </c>
      <c r="G294" s="7">
        <f>最新!F294</f>
        <v>3178</v>
      </c>
      <c r="H294" s="14">
        <f>最新!G294</f>
        <v>0.97995683009559054</v>
      </c>
      <c r="I294" s="14">
        <f>最新!H294</f>
        <v>0.96683906297535749</v>
      </c>
      <c r="K294" s="18">
        <f>IF($A294="","",IFERROR(D294/SUMIFS(履歴10日!$F$2:$F$62000,履歴10日!$C$2:$C$62000,$A294&amp;"",履歴10日!$B$2:$B$62000,C294,履歴10日!$A$2:$A$62000,N$1),""))</f>
      </c>
      <c r="L294">
        <f t="shared" si="9"/>
        <v>0</v>
      </c>
      <c r="M294" s="18"/>
    </row>
    <row r="295" spans="1:13">
      <c r="A295" s="7" t="str">
        <f>最新!A295</f>
        <v>186A</v>
      </c>
      <c r="B295" s="7" t="str">
        <f>最新!B295</f>
        <v>アストロスケールホールディンク</v>
      </c>
      <c r="C295" s="12">
        <f>最新!C295</f>
        <v>0.375</v>
      </c>
      <c r="D295" s="7">
        <f>最新!E295</f>
        <v>5167400</v>
      </c>
      <c r="E295" s="7">
        <f>IF($A295="","",IFERROR(AVERAGEIFS(履歴10日!$F$2:$F$62000,履歴10日!$C$2:$C$62000,$A295&amp;"",履歴10日!$B$2:$B$62000,C295),""))</f>
        <v>5167400</v>
      </c>
      <c r="F295" s="13">
        <f t="shared" si="8"/>
        <v>1</v>
      </c>
      <c r="G295" s="7">
        <f>最新!F295</f>
        <v>966</v>
      </c>
      <c r="H295" s="14">
        <f>最新!G295</f>
        <v>0.96599999999999997</v>
      </c>
      <c r="I295" s="14">
        <f>最新!H295</f>
        <v>0.9452054794520548</v>
      </c>
      <c r="K295" s="18">
        <f>IF($A295="","",IFERROR(D295/SUMIFS(履歴10日!$F$2:$F$62000,履歴10日!$C$2:$C$62000,$A295&amp;"",履歴10日!$B$2:$B$62000,C295,履歴10日!$A$2:$A$62000,N$1),""))</f>
      </c>
      <c r="L295">
        <f t="shared" si="9"/>
        <v>0</v>
      </c>
      <c r="M295" s="18"/>
    </row>
    <row r="296" spans="1:13">
      <c r="A296" s="7">
        <f>最新!A296</f>
        <v>6965</v>
      </c>
      <c r="B296" s="7" t="str">
        <f>最新!B296</f>
        <v>浜松ホトニクス</v>
      </c>
      <c r="C296" s="12">
        <f>最新!C296</f>
        <v>0.375</v>
      </c>
      <c r="D296" s="7">
        <f>最新!E296</f>
        <v>3924200</v>
      </c>
      <c r="E296" s="7">
        <f>IF($A296="","",IFERROR(AVERAGEIFS(履歴10日!$F$2:$F$62000,履歴10日!$C$2:$C$62000,$A296&amp;"",履歴10日!$B$2:$B$62000,C296),""))</f>
        <v>3924200</v>
      </c>
      <c r="F296" s="13">
        <f t="shared" si="8"/>
        <v>1</v>
      </c>
      <c r="G296" s="7">
        <f>最新!F296</f>
        <v>2256.5</v>
      </c>
      <c r="H296" s="14">
        <f>最新!G296</f>
        <v>0.96226012793176974</v>
      </c>
      <c r="I296" s="14">
        <f>最新!H296</f>
        <v>0.94099249374478733</v>
      </c>
      <c r="K296" s="18">
        <f>IF($A296="","",IFERROR(D296/SUMIFS(履歴10日!$F$2:$F$62000,履歴10日!$C$2:$C$62000,$A296&amp;"",履歴10日!$B$2:$B$62000,C296,履歴10日!$A$2:$A$62000,N$1),""))</f>
      </c>
      <c r="L296">
        <f t="shared" si="9"/>
        <v>0</v>
      </c>
      <c r="M296" s="18"/>
    </row>
    <row r="297" spans="1:13">
      <c r="A297" s="7">
        <f>最新!A297</f>
        <v>6331</v>
      </c>
      <c r="B297" s="7" t="str">
        <f>最新!B297</f>
        <v>三菱化工機</v>
      </c>
      <c r="C297" s="12">
        <f>最新!C297</f>
        <v>0.375</v>
      </c>
      <c r="D297" s="7">
        <f>最新!E297</f>
        <v>252600</v>
      </c>
      <c r="E297" s="7">
        <f>IF($A297="","",IFERROR(AVERAGEIFS(履歴10日!$F$2:$F$62000,履歴10日!$C$2:$C$62000,$A297&amp;"",履歴10日!$B$2:$B$62000,C297),""))</f>
        <v>252600</v>
      </c>
      <c r="F297" s="13">
        <f t="shared" si="8"/>
        <v>1</v>
      </c>
      <c r="G297" s="7">
        <f>最新!F297</f>
        <v>3110</v>
      </c>
      <c r="H297" s="14">
        <f>最新!G297</f>
        <v>0.94961832061068707</v>
      </c>
      <c r="I297" s="14">
        <f>最新!H297</f>
        <v>0.92974588938714497</v>
      </c>
      <c r="K297" s="18">
        <f>IF($A297="","",IFERROR(D297/SUMIFS(履歴10日!$F$2:$F$62000,履歴10日!$C$2:$C$62000,$A297&amp;"",履歴10日!$B$2:$B$62000,C297,履歴10日!$A$2:$A$62000,N$1),""))</f>
      </c>
      <c r="L297">
        <f t="shared" si="9"/>
        <v>0</v>
      </c>
      <c r="M297" s="18"/>
    </row>
    <row r="298" spans="1:13">
      <c r="A298" s="7">
        <f>最新!A298</f>
        <v>7741</v>
      </c>
      <c r="B298" s="7" t="str">
        <f>最新!B298</f>
        <v>ＨＯＹＡ</v>
      </c>
      <c r="C298" s="12">
        <f>最新!C298</f>
        <v>0.375</v>
      </c>
      <c r="D298" s="7">
        <f>最新!E298</f>
        <v>602200</v>
      </c>
      <c r="E298" s="7">
        <f>IF($A298="","",IFERROR(AVERAGEIFS(履歴10日!$F$2:$F$62000,履歴10日!$C$2:$C$62000,$A298&amp;"",履歴10日!$B$2:$B$62000,C298),""))</f>
        <v>602200</v>
      </c>
      <c r="F298" s="13">
        <f t="shared" si="8"/>
        <v>1</v>
      </c>
      <c r="G298" s="7">
        <f>最新!F298</f>
        <v>24825</v>
      </c>
      <c r="H298" s="14">
        <f>最新!G298</f>
        <v>0.99698795180722888</v>
      </c>
      <c r="I298" s="14">
        <f>最新!H298</f>
        <v>0.99101796407185627</v>
      </c>
      <c r="K298" s="18">
        <f>IF($A298="","",IFERROR(D298/SUMIFS(履歴10日!$F$2:$F$62000,履歴10日!$C$2:$C$62000,$A298&amp;"",履歴10日!$B$2:$B$62000,C298,履歴10日!$A$2:$A$62000,N$1),""))</f>
      </c>
      <c r="L298">
        <f t="shared" si="9"/>
        <v>0</v>
      </c>
      <c r="M298" s="18"/>
    </row>
    <row r="299" spans="1:13">
      <c r="A299" s="7">
        <f>最新!A299</f>
        <v>1321</v>
      </c>
      <c r="B299" s="7" t="str">
        <f>最新!B299</f>
        <v>ＮＦ日経２２５</v>
      </c>
      <c r="C299" s="12">
        <f>最新!C299</f>
        <v>0.375</v>
      </c>
      <c r="D299" s="7">
        <f>最新!E299</f>
        <v>714661</v>
      </c>
      <c r="E299" s="7">
        <f>IF($A299="","",IFERROR(AVERAGEIFS(履歴10日!$F$2:$F$62000,履歴10日!$C$2:$C$62000,$A299&amp;"",履歴10日!$B$2:$B$62000,C299),""))</f>
        <v>714661</v>
      </c>
      <c r="F299" s="13">
        <f t="shared" si="8"/>
        <v>1</v>
      </c>
      <c r="G299" s="7">
        <f>最新!F299</f>
        <v>65540</v>
      </c>
      <c r="H299" s="14">
        <f>最新!G299</f>
        <v>0.96439081812831073</v>
      </c>
      <c r="I299" s="14">
        <f>最新!H299</f>
        <v>0.94669940777119743</v>
      </c>
      <c r="K299" s="18">
        <f>IF($A299="","",IFERROR(D299/SUMIFS(履歴10日!$F$2:$F$62000,履歴10日!$C$2:$C$62000,$A299&amp;"",履歴10日!$B$2:$B$62000,C299,履歴10日!$A$2:$A$62000,N$1),""))</f>
      </c>
      <c r="L299">
        <f t="shared" si="9"/>
        <v>0</v>
      </c>
      <c r="M299" s="18"/>
    </row>
    <row r="300" spans="1:13">
      <c r="A300" s="7">
        <f>最新!A300</f>
        <v>1944</v>
      </c>
      <c r="B300" s="7" t="str">
        <f>最新!B300</f>
        <v>きんでん</v>
      </c>
      <c r="C300" s="12">
        <f>最新!C300</f>
        <v>0.375</v>
      </c>
      <c r="D300" s="7">
        <f>最新!E300</f>
        <v>462900</v>
      </c>
      <c r="E300" s="7">
        <f>IF($A300="","",IFERROR(AVERAGEIFS(履歴10日!$F$2:$F$62000,履歴10日!$C$2:$C$62000,$A300&amp;"",履歴10日!$B$2:$B$62000,C300),""))</f>
        <v>462900</v>
      </c>
      <c r="F300" s="13">
        <f t="shared" si="8"/>
        <v>1</v>
      </c>
      <c r="G300" s="7">
        <f>最新!F300</f>
        <v>7034</v>
      </c>
      <c r="H300" s="14">
        <f>最新!G300</f>
        <v>0.97101049144119267</v>
      </c>
      <c r="I300" s="14">
        <f>最新!H300</f>
        <v>0.95169801109457453</v>
      </c>
      <c r="K300" s="18">
        <f>IF($A300="","",IFERROR(D300/SUMIFS(履歴10日!$F$2:$F$62000,履歴10日!$C$2:$C$62000,$A300&amp;"",履歴10日!$B$2:$B$62000,C300,履歴10日!$A$2:$A$62000,N$1),""))</f>
      </c>
      <c r="L300">
        <f t="shared" si="9"/>
        <v>0</v>
      </c>
      <c r="M300" s="18"/>
    </row>
    <row r="301" spans="1:13">
      <c r="A301" s="7">
        <f>最新!A301</f>
        <v>7532</v>
      </c>
      <c r="B301" s="7" t="str">
        <f>最新!B301</f>
        <v>パンパシフィックＨＤ</v>
      </c>
      <c r="C301" s="12">
        <f>最新!C301</f>
        <v>0.375</v>
      </c>
      <c r="D301" s="7">
        <f>最新!E301</f>
        <v>7999100</v>
      </c>
      <c r="E301" s="7">
        <f>IF($A301="","",IFERROR(AVERAGEIFS(履歴10日!$F$2:$F$62000,履歴10日!$C$2:$C$62000,$A301&amp;"",履歴10日!$B$2:$B$62000,C301),""))</f>
        <v>7999100</v>
      </c>
      <c r="F301" s="13">
        <f t="shared" si="8"/>
        <v>1</v>
      </c>
      <c r="G301" s="7">
        <f>最新!F301</f>
        <v>891.1</v>
      </c>
      <c r="H301" s="14">
        <f>最新!G301</f>
        <v>1.0080316742081448</v>
      </c>
      <c r="I301" s="14">
        <f>最新!H301</f>
        <v>1.0254315304948216</v>
      </c>
      <c r="K301" s="18">
        <f>IF($A301="","",IFERROR(D301/SUMIFS(履歴10日!$F$2:$F$62000,履歴10日!$C$2:$C$62000,$A301&amp;"",履歴10日!$B$2:$B$62000,C301,履歴10日!$A$2:$A$62000,N$1),""))</f>
      </c>
      <c r="L301">
        <f t="shared" si="9"/>
        <v>0</v>
      </c>
      <c r="M301" s="18"/>
    </row>
    <row r="302" spans="1:13">
      <c r="A302" s="7">
        <f>最新!A302</f>
        <v>0</v>
      </c>
      <c r="B302" s="7">
        <f>最新!B302</f>
        <v>0</v>
      </c>
      <c r="C302" s="12">
        <f>最新!C302</f>
        <v>0</v>
      </c>
      <c r="D302" s="7">
        <f>最新!E302</f>
        <v>0</v>
      </c>
      <c r="E302" s="7" t="str">
        <f>IF($A302="","",IFERROR(AVERAGEIFS(履歴10日!$F$2:$F$62000,履歴10日!$C$2:$C$62000,$A302&amp;"",履歴10日!$B$2:$B$62000,C302),""))</f>
        <v/>
      </c>
      <c r="F302" s="13" t="str">
        <f t="shared" si="8"/>
        <v/>
      </c>
      <c r="G302" s="7">
        <f>最新!F302</f>
        <v>0</v>
      </c>
      <c r="H302" s="14">
        <f>最新!G302</f>
        <v>0</v>
      </c>
      <c r="I302" s="14">
        <f>最新!H302</f>
        <v>0</v>
      </c>
      <c r="K302" s="18">
        <f>IF($A302="","",IFERROR(D302/SUMIFS(履歴10日!$F$2:$F$62000,履歴10日!$C$2:$C$62000,$A302&amp;"",履歴10日!$B$2:$B$62000,C302,履歴10日!$A$2:$A$62000,N$1),""))</f>
      </c>
      <c r="L302" t="str">
        <f t="shared" si="9"/>
        <v/>
      </c>
      <c r="M302" s="18"/>
    </row>
    <row r="303" spans="1:13">
      <c r="A303" s="7">
        <f>最新!A303</f>
        <v>0</v>
      </c>
      <c r="B303" s="7">
        <f>最新!B303</f>
        <v>0</v>
      </c>
      <c r="C303" s="12">
        <f>最新!C303</f>
        <v>0</v>
      </c>
      <c r="D303" s="7">
        <f>最新!E303</f>
        <v>0</v>
      </c>
      <c r="E303" s="7" t="str">
        <f>IF($A303="","",IFERROR(AVERAGEIFS(履歴10日!$F$2:$F$62000,履歴10日!$C$2:$C$62000,$A303&amp;"",履歴10日!$B$2:$B$62000,C303),""))</f>
        <v/>
      </c>
      <c r="F303" s="13" t="str">
        <f t="shared" si="8"/>
        <v/>
      </c>
      <c r="G303" s="7">
        <f>最新!F303</f>
        <v>0</v>
      </c>
      <c r="H303" s="14">
        <f>最新!G303</f>
        <v>0</v>
      </c>
      <c r="I303" s="14">
        <f>最新!H303</f>
        <v>0</v>
      </c>
      <c r="K303" s="18">
        <f>IF($A303="","",IFERROR(D303/SUMIFS(履歴10日!$F$2:$F$62000,履歴10日!$C$2:$C$62000,$A303&amp;"",履歴10日!$B$2:$B$62000,C303,履歴10日!$A$2:$A$62000,N$1),""))</f>
      </c>
      <c r="L303" t="str">
        <f t="shared" si="9"/>
        <v/>
      </c>
      <c r="M303" s="18"/>
    </row>
    <row r="304" spans="1:13">
      <c r="A304" s="7">
        <f>最新!A304</f>
        <v>0</v>
      </c>
      <c r="B304" s="7">
        <f>最新!B304</f>
        <v>0</v>
      </c>
      <c r="C304" s="12">
        <f>最新!C304</f>
        <v>0</v>
      </c>
      <c r="D304" s="7">
        <f>最新!E304</f>
        <v>0</v>
      </c>
      <c r="E304" s="7" t="str">
        <f>IF($A304="","",IFERROR(AVERAGEIFS(履歴10日!$F$2:$F$62000,履歴10日!$C$2:$C$62000,$A304&amp;"",履歴10日!$B$2:$B$62000,C304),""))</f>
        <v/>
      </c>
      <c r="F304" s="13" t="str">
        <f t="shared" si="8"/>
        <v/>
      </c>
      <c r="G304" s="7">
        <f>最新!F304</f>
        <v>0</v>
      </c>
      <c r="H304" s="14">
        <f>最新!G304</f>
        <v>0</v>
      </c>
      <c r="I304" s="14">
        <f>最新!H304</f>
        <v>0</v>
      </c>
      <c r="K304" s="18">
        <f>IF($A304="","",IFERROR(D304/SUMIFS(履歴10日!$F$2:$F$62000,履歴10日!$C$2:$C$62000,$A304&amp;"",履歴10日!$B$2:$B$62000,C304,履歴10日!$A$2:$A$62000,N$1),""))</f>
      </c>
      <c r="L304" t="str">
        <f t="shared" si="9"/>
        <v/>
      </c>
      <c r="M304" s="18"/>
    </row>
    <row r="305" spans="1:13">
      <c r="A305" s="7">
        <f>最新!A305</f>
        <v>0</v>
      </c>
      <c r="B305" s="7">
        <f>最新!B305</f>
        <v>0</v>
      </c>
      <c r="C305" s="12">
        <f>最新!C305</f>
        <v>0</v>
      </c>
      <c r="D305" s="7">
        <f>最新!E305</f>
        <v>0</v>
      </c>
      <c r="E305" s="7" t="str">
        <f>IF($A305="","",IFERROR(AVERAGEIFS(履歴10日!$F$2:$F$62000,履歴10日!$C$2:$C$62000,$A305&amp;"",履歴10日!$B$2:$B$62000,C305),""))</f>
        <v/>
      </c>
      <c r="F305" s="13" t="str">
        <f t="shared" si="8"/>
        <v/>
      </c>
      <c r="G305" s="7">
        <f>最新!F305</f>
        <v>0</v>
      </c>
      <c r="H305" s="14">
        <f>最新!G305</f>
        <v>0</v>
      </c>
      <c r="I305" s="14">
        <f>最新!H305</f>
        <v>0</v>
      </c>
      <c r="K305" s="18">
        <f>IF($A305="","",IFERROR(D305/SUMIFS(履歴10日!$F$2:$F$62000,履歴10日!$C$2:$C$62000,$A305&amp;"",履歴10日!$B$2:$B$62000,C305,履歴10日!$A$2:$A$62000,N$1),""))</f>
      </c>
      <c r="L305" t="str">
        <f t="shared" si="9"/>
        <v/>
      </c>
      <c r="M305" s="18"/>
    </row>
    <row r="306" spans="1:13">
      <c r="A306" s="7">
        <f>最新!A306</f>
        <v>0</v>
      </c>
      <c r="B306" s="7">
        <f>最新!B306</f>
        <v>0</v>
      </c>
      <c r="C306" s="12">
        <f>最新!C306</f>
        <v>0</v>
      </c>
      <c r="D306" s="7">
        <f>最新!E306</f>
        <v>0</v>
      </c>
      <c r="E306" s="7" t="str">
        <f>IF($A306="","",IFERROR(AVERAGEIFS(履歴10日!$F$2:$F$62000,履歴10日!$C$2:$C$62000,$A306&amp;"",履歴10日!$B$2:$B$62000,C306),""))</f>
        <v/>
      </c>
      <c r="F306" s="13" t="str">
        <f t="shared" si="8"/>
        <v/>
      </c>
      <c r="G306" s="7">
        <f>最新!F306</f>
        <v>0</v>
      </c>
      <c r="H306" s="14">
        <f>最新!G306</f>
        <v>0</v>
      </c>
      <c r="I306" s="14">
        <f>最新!H306</f>
        <v>0</v>
      </c>
      <c r="K306" s="18">
        <f>IF($A306="","",IFERROR(D306/SUMIFS(履歴10日!$F$2:$F$62000,履歴10日!$C$2:$C$62000,$A306&amp;"",履歴10日!$B$2:$B$62000,C306,履歴10日!$A$2:$A$62000,N$1),""))</f>
      </c>
      <c r="L306" t="str">
        <f t="shared" si="9"/>
        <v/>
      </c>
      <c r="M306" s="18"/>
    </row>
    <row r="307" spans="1:13">
      <c r="A307" s="7">
        <f>最新!A307</f>
        <v>0</v>
      </c>
      <c r="B307" s="7">
        <f>最新!B307</f>
        <v>0</v>
      </c>
      <c r="C307" s="12">
        <f>最新!C307</f>
        <v>0</v>
      </c>
      <c r="D307" s="7">
        <f>最新!E307</f>
        <v>0</v>
      </c>
      <c r="E307" s="7" t="str">
        <f>IF($A307="","",IFERROR(AVERAGEIFS(履歴10日!$F$2:$F$62000,履歴10日!$C$2:$C$62000,$A307&amp;"",履歴10日!$B$2:$B$62000,C307),""))</f>
        <v/>
      </c>
      <c r="F307" s="13" t="str">
        <f t="shared" si="8"/>
        <v/>
      </c>
      <c r="G307" s="7">
        <f>最新!F307</f>
        <v>0</v>
      </c>
      <c r="H307" s="14">
        <f>最新!G307</f>
        <v>0</v>
      </c>
      <c r="I307" s="14">
        <f>最新!H307</f>
        <v>0</v>
      </c>
      <c r="K307" s="18">
        <f>IF($A307="","",IFERROR(D307/SUMIFS(履歴10日!$F$2:$F$62000,履歴10日!$C$2:$C$62000,$A307&amp;"",履歴10日!$B$2:$B$62000,C307,履歴10日!$A$2:$A$62000,N$1),""))</f>
      </c>
      <c r="L307" t="str">
        <f t="shared" si="9"/>
        <v/>
      </c>
      <c r="M307" s="18"/>
    </row>
    <row r="308" spans="1:13">
      <c r="A308" s="7">
        <f>最新!A308</f>
        <v>0</v>
      </c>
      <c r="B308" s="7">
        <f>最新!B308</f>
        <v>0</v>
      </c>
      <c r="C308" s="12">
        <f>最新!C308</f>
        <v>0</v>
      </c>
      <c r="D308" s="7">
        <f>最新!E308</f>
        <v>0</v>
      </c>
      <c r="E308" s="7" t="str">
        <f>IF($A308="","",IFERROR(AVERAGEIFS(履歴10日!$F$2:$F$62000,履歴10日!$C$2:$C$62000,$A308&amp;"",履歴10日!$B$2:$B$62000,C308),""))</f>
        <v/>
      </c>
      <c r="F308" s="13" t="str">
        <f t="shared" si="8"/>
        <v/>
      </c>
      <c r="G308" s="7">
        <f>最新!F308</f>
        <v>0</v>
      </c>
      <c r="H308" s="14">
        <f>最新!G308</f>
        <v>0</v>
      </c>
      <c r="I308" s="14">
        <f>最新!H308</f>
        <v>0</v>
      </c>
      <c r="K308" s="18">
        <f>IF($A308="","",IFERROR(D308/SUMIFS(履歴10日!$F$2:$F$62000,履歴10日!$C$2:$C$62000,$A308&amp;"",履歴10日!$B$2:$B$62000,C308,履歴10日!$A$2:$A$62000,N$1),""))</f>
      </c>
      <c r="L308" t="str">
        <f t="shared" si="9"/>
        <v/>
      </c>
      <c r="M308" s="18"/>
    </row>
    <row r="309" spans="1:13">
      <c r="A309" s="7">
        <f>最新!A309</f>
        <v>0</v>
      </c>
      <c r="B309" s="7">
        <f>最新!B309</f>
        <v>0</v>
      </c>
      <c r="C309" s="12">
        <f>最新!C309</f>
        <v>0</v>
      </c>
      <c r="D309" s="7">
        <f>最新!E309</f>
        <v>0</v>
      </c>
      <c r="E309" s="7" t="str">
        <f>IF($A309="","",IFERROR(AVERAGEIFS(履歴10日!$F$2:$F$62000,履歴10日!$C$2:$C$62000,$A309&amp;"",履歴10日!$B$2:$B$62000,C309),""))</f>
        <v/>
      </c>
      <c r="F309" s="13" t="str">
        <f t="shared" si="8"/>
        <v/>
      </c>
      <c r="G309" s="7">
        <f>最新!F309</f>
        <v>0</v>
      </c>
      <c r="H309" s="14">
        <f>最新!G309</f>
        <v>0</v>
      </c>
      <c r="I309" s="14">
        <f>最新!H309</f>
        <v>0</v>
      </c>
      <c r="K309" s="18">
        <f>IF($A309="","",IFERROR(D309/SUMIFS(履歴10日!$F$2:$F$62000,履歴10日!$C$2:$C$62000,$A309&amp;"",履歴10日!$B$2:$B$62000,C309,履歴10日!$A$2:$A$62000,N$1),""))</f>
      </c>
      <c r="L309" t="str">
        <f t="shared" si="9"/>
        <v/>
      </c>
      <c r="M309" s="18"/>
    </row>
    <row r="310" spans="1:13">
      <c r="A310" s="7">
        <f>最新!A310</f>
        <v>0</v>
      </c>
      <c r="B310" s="7">
        <f>最新!B310</f>
        <v>0</v>
      </c>
      <c r="C310" s="12">
        <f>最新!C310</f>
        <v>0</v>
      </c>
      <c r="D310" s="7">
        <f>最新!E310</f>
        <v>0</v>
      </c>
      <c r="E310" s="7" t="str">
        <f>IF($A310="","",IFERROR(AVERAGEIFS(履歴10日!$F$2:$F$62000,履歴10日!$C$2:$C$62000,$A310&amp;"",履歴10日!$B$2:$B$62000,C310),""))</f>
        <v/>
      </c>
      <c r="F310" s="13" t="str">
        <f t="shared" si="8"/>
        <v/>
      </c>
      <c r="G310" s="7">
        <f>最新!F310</f>
        <v>0</v>
      </c>
      <c r="H310" s="14">
        <f>最新!G310</f>
        <v>0</v>
      </c>
      <c r="I310" s="14">
        <f>最新!H310</f>
        <v>0</v>
      </c>
      <c r="K310" s="18">
        <f>IF($A310="","",IFERROR(D310/SUMIFS(履歴10日!$F$2:$F$62000,履歴10日!$C$2:$C$62000,$A310&amp;"",履歴10日!$B$2:$B$62000,C310,履歴10日!$A$2:$A$62000,N$1),""))</f>
      </c>
      <c r="L310" t="str">
        <f t="shared" si="9"/>
        <v/>
      </c>
      <c r="M310" s="18"/>
    </row>
    <row r="311" spans="1:13">
      <c r="A311" s="7">
        <f>最新!A311</f>
        <v>0</v>
      </c>
      <c r="B311" s="7">
        <f>最新!B311</f>
        <v>0</v>
      </c>
      <c r="C311" s="12">
        <f>最新!C311</f>
        <v>0</v>
      </c>
      <c r="D311" s="7">
        <f>最新!E311</f>
        <v>0</v>
      </c>
      <c r="E311" s="7" t="str">
        <f>IF($A311="","",IFERROR(AVERAGEIFS(履歴10日!$F$2:$F$62000,履歴10日!$C$2:$C$62000,$A311&amp;"",履歴10日!$B$2:$B$62000,C311),""))</f>
        <v/>
      </c>
      <c r="F311" s="13" t="str">
        <f t="shared" si="8"/>
        <v/>
      </c>
      <c r="G311" s="7">
        <f>最新!F311</f>
        <v>0</v>
      </c>
      <c r="H311" s="14">
        <f>最新!G311</f>
        <v>0</v>
      </c>
      <c r="I311" s="14">
        <f>最新!H311</f>
        <v>0</v>
      </c>
      <c r="K311" s="18">
        <f>IF($A311="","",IFERROR(D311/SUMIFS(履歴10日!$F$2:$F$62000,履歴10日!$C$2:$C$62000,$A311&amp;"",履歴10日!$B$2:$B$62000,C311,履歴10日!$A$2:$A$62000,N$1),""))</f>
      </c>
      <c r="L311" t="str">
        <f t="shared" si="9"/>
        <v/>
      </c>
      <c r="M311" s="18"/>
    </row>
    <row r="312" spans="1:13">
      <c r="A312" s="7">
        <f>最新!A312</f>
        <v>0</v>
      </c>
      <c r="B312" s="7">
        <f>最新!B312</f>
        <v>0</v>
      </c>
      <c r="C312" s="12">
        <f>最新!C312</f>
        <v>0</v>
      </c>
      <c r="D312" s="7">
        <f>最新!E312</f>
        <v>0</v>
      </c>
      <c r="E312" s="7" t="str">
        <f>IF($A312="","",IFERROR(AVERAGEIFS(履歴10日!$F$2:$F$62000,履歴10日!$C$2:$C$62000,$A312&amp;"",履歴10日!$B$2:$B$62000,C312),""))</f>
        <v/>
      </c>
      <c r="F312" s="13" t="str">
        <f t="shared" si="8"/>
        <v/>
      </c>
      <c r="G312" s="7">
        <f>最新!F312</f>
        <v>0</v>
      </c>
      <c r="H312" s="14">
        <f>最新!G312</f>
        <v>0</v>
      </c>
      <c r="I312" s="14">
        <f>最新!H312</f>
        <v>0</v>
      </c>
      <c r="K312" s="18">
        <f>IF($A312="","",IFERROR(D312/SUMIFS(履歴10日!$F$2:$F$62000,履歴10日!$C$2:$C$62000,$A312&amp;"",履歴10日!$B$2:$B$62000,C312,履歴10日!$A$2:$A$62000,N$1),""))</f>
      </c>
      <c r="L312" t="str">
        <f t="shared" si="9"/>
        <v/>
      </c>
      <c r="M312" s="18"/>
    </row>
    <row r="313" spans="1:13">
      <c r="A313" s="7">
        <f>最新!A313</f>
        <v>0</v>
      </c>
      <c r="B313" s="7">
        <f>最新!B313</f>
        <v>0</v>
      </c>
      <c r="C313" s="12">
        <f>最新!C313</f>
        <v>0</v>
      </c>
      <c r="D313" s="7">
        <f>最新!E313</f>
        <v>0</v>
      </c>
      <c r="E313" s="7" t="str">
        <f>IF($A313="","",IFERROR(AVERAGEIFS(履歴10日!$F$2:$F$62000,履歴10日!$C$2:$C$62000,$A313&amp;"",履歴10日!$B$2:$B$62000,C313),""))</f>
        <v/>
      </c>
      <c r="F313" s="13" t="str">
        <f t="shared" si="8"/>
        <v/>
      </c>
      <c r="G313" s="7">
        <f>最新!F313</f>
        <v>0</v>
      </c>
      <c r="H313" s="14">
        <f>最新!G313</f>
        <v>0</v>
      </c>
      <c r="I313" s="14">
        <f>最新!H313</f>
        <v>0</v>
      </c>
      <c r="K313" s="18">
        <f>IF($A313="","",IFERROR(D313/SUMIFS(履歴10日!$F$2:$F$62000,履歴10日!$C$2:$C$62000,$A313&amp;"",履歴10日!$B$2:$B$62000,C313,履歴10日!$A$2:$A$62000,N$1),""))</f>
      </c>
      <c r="L313" t="str">
        <f t="shared" si="9"/>
        <v/>
      </c>
      <c r="M313" s="18"/>
    </row>
    <row r="314" spans="1:13">
      <c r="A314" s="7">
        <f>最新!A314</f>
        <v>0</v>
      </c>
      <c r="B314" s="7">
        <f>最新!B314</f>
        <v>0</v>
      </c>
      <c r="C314" s="12">
        <f>最新!C314</f>
        <v>0</v>
      </c>
      <c r="D314" s="7">
        <f>最新!E314</f>
        <v>0</v>
      </c>
      <c r="E314" s="7" t="str">
        <f>IF($A314="","",IFERROR(AVERAGEIFS(履歴10日!$F$2:$F$62000,履歴10日!$C$2:$C$62000,$A314&amp;"",履歴10日!$B$2:$B$62000,C314),""))</f>
        <v/>
      </c>
      <c r="F314" s="13" t="str">
        <f t="shared" si="8"/>
        <v/>
      </c>
      <c r="G314" s="7">
        <f>最新!F314</f>
        <v>0</v>
      </c>
      <c r="H314" s="14">
        <f>最新!G314</f>
        <v>0</v>
      </c>
      <c r="I314" s="14">
        <f>最新!H314</f>
        <v>0</v>
      </c>
      <c r="K314" s="18">
        <f>IF($A314="","",IFERROR(D314/SUMIFS(履歴10日!$F$2:$F$62000,履歴10日!$C$2:$C$62000,$A314&amp;"",履歴10日!$B$2:$B$62000,C314,履歴10日!$A$2:$A$62000,N$1),""))</f>
      </c>
      <c r="L314" t="str">
        <f t="shared" si="9"/>
        <v/>
      </c>
      <c r="M314" s="18"/>
    </row>
    <row r="315" spans="1:13">
      <c r="A315" s="7">
        <f>最新!A315</f>
        <v>0</v>
      </c>
      <c r="B315" s="7">
        <f>最新!B315</f>
        <v>0</v>
      </c>
      <c r="C315" s="12">
        <f>最新!C315</f>
        <v>0</v>
      </c>
      <c r="D315" s="7">
        <f>最新!E315</f>
        <v>0</v>
      </c>
      <c r="E315" s="7" t="str">
        <f>IF($A315="","",IFERROR(AVERAGEIFS(履歴10日!$F$2:$F$62000,履歴10日!$C$2:$C$62000,$A315&amp;"",履歴10日!$B$2:$B$62000,C315),""))</f>
        <v/>
      </c>
      <c r="F315" s="13" t="str">
        <f t="shared" si="8"/>
        <v/>
      </c>
      <c r="G315" s="7">
        <f>最新!F315</f>
        <v>0</v>
      </c>
      <c r="H315" s="14">
        <f>最新!G315</f>
        <v>0</v>
      </c>
      <c r="I315" s="14">
        <f>最新!H315</f>
        <v>0</v>
      </c>
      <c r="K315" s="18">
        <f>IF($A315="","",IFERROR(D315/SUMIFS(履歴10日!$F$2:$F$62000,履歴10日!$C$2:$C$62000,$A315&amp;"",履歴10日!$B$2:$B$62000,C315,履歴10日!$A$2:$A$62000,N$1),""))</f>
      </c>
      <c r="L315" t="str">
        <f t="shared" si="9"/>
        <v/>
      </c>
      <c r="M315" s="18"/>
    </row>
    <row r="316" spans="1:13">
      <c r="A316" s="7">
        <f>最新!A316</f>
        <v>0</v>
      </c>
      <c r="B316" s="7">
        <f>最新!B316</f>
        <v>0</v>
      </c>
      <c r="C316" s="12">
        <f>最新!C316</f>
        <v>0</v>
      </c>
      <c r="D316" s="7">
        <f>最新!E316</f>
        <v>0</v>
      </c>
      <c r="E316" s="7" t="str">
        <f>IF($A316="","",IFERROR(AVERAGEIFS(履歴10日!$F$2:$F$62000,履歴10日!$C$2:$C$62000,$A316&amp;"",履歴10日!$B$2:$B$62000,C316),""))</f>
        <v/>
      </c>
      <c r="F316" s="13" t="str">
        <f t="shared" si="8"/>
        <v/>
      </c>
      <c r="G316" s="7">
        <f>最新!F316</f>
        <v>0</v>
      </c>
      <c r="H316" s="14">
        <f>最新!G316</f>
        <v>0</v>
      </c>
      <c r="I316" s="14">
        <f>最新!H316</f>
        <v>0</v>
      </c>
      <c r="K316" s="18">
        <f>IF($A316="","",IFERROR(D316/SUMIFS(履歴10日!$F$2:$F$62000,履歴10日!$C$2:$C$62000,$A316&amp;"",履歴10日!$B$2:$B$62000,C316,履歴10日!$A$2:$A$62000,N$1),""))</f>
      </c>
      <c r="L316" t="str">
        <f t="shared" si="9"/>
        <v/>
      </c>
      <c r="M316" s="18"/>
    </row>
    <row r="317" spans="1:13">
      <c r="A317" s="7">
        <f>最新!A317</f>
        <v>0</v>
      </c>
      <c r="B317" s="7">
        <f>最新!B317</f>
        <v>0</v>
      </c>
      <c r="C317" s="12">
        <f>最新!C317</f>
        <v>0</v>
      </c>
      <c r="D317" s="7">
        <f>最新!E317</f>
        <v>0</v>
      </c>
      <c r="E317" s="7" t="str">
        <f>IF($A317="","",IFERROR(AVERAGEIFS(履歴10日!$F$2:$F$62000,履歴10日!$C$2:$C$62000,$A317&amp;"",履歴10日!$B$2:$B$62000,C317),""))</f>
        <v/>
      </c>
      <c r="F317" s="13" t="str">
        <f t="shared" si="8"/>
        <v/>
      </c>
      <c r="G317" s="7">
        <f>最新!F317</f>
        <v>0</v>
      </c>
      <c r="H317" s="14">
        <f>最新!G317</f>
        <v>0</v>
      </c>
      <c r="I317" s="14">
        <f>最新!H317</f>
        <v>0</v>
      </c>
      <c r="K317" s="18">
        <f>IF($A317="","",IFERROR(D317/SUMIFS(履歴10日!$F$2:$F$62000,履歴10日!$C$2:$C$62000,$A317&amp;"",履歴10日!$B$2:$B$62000,C317,履歴10日!$A$2:$A$62000,N$1),""))</f>
      </c>
      <c r="L317" t="str">
        <f t="shared" si="9"/>
        <v/>
      </c>
      <c r="M317" s="18"/>
    </row>
    <row r="318" spans="1:13">
      <c r="A318" s="7">
        <f>最新!A318</f>
        <v>0</v>
      </c>
      <c r="B318" s="7">
        <f>最新!B318</f>
        <v>0</v>
      </c>
      <c r="C318" s="12">
        <f>最新!C318</f>
        <v>0</v>
      </c>
      <c r="D318" s="7">
        <f>最新!E318</f>
        <v>0</v>
      </c>
      <c r="E318" s="7" t="str">
        <f>IF($A318="","",IFERROR(AVERAGEIFS(履歴10日!$F$2:$F$62000,履歴10日!$C$2:$C$62000,$A318&amp;"",履歴10日!$B$2:$B$62000,C318),""))</f>
        <v/>
      </c>
      <c r="F318" s="13" t="str">
        <f t="shared" si="8"/>
        <v/>
      </c>
      <c r="G318" s="7">
        <f>最新!F318</f>
        <v>0</v>
      </c>
      <c r="H318" s="14">
        <f>最新!G318</f>
        <v>0</v>
      </c>
      <c r="I318" s="14">
        <f>最新!H318</f>
        <v>0</v>
      </c>
      <c r="K318" s="18">
        <f>IF($A318="","",IFERROR(D318/SUMIFS(履歴10日!$F$2:$F$62000,履歴10日!$C$2:$C$62000,$A318&amp;"",履歴10日!$B$2:$B$62000,C318,履歴10日!$A$2:$A$62000,N$1),""))</f>
      </c>
      <c r="L318" t="str">
        <f t="shared" si="9"/>
        <v/>
      </c>
      <c r="M318" s="18"/>
    </row>
    <row r="319" spans="1:13">
      <c r="A319" s="7">
        <f>最新!A319</f>
        <v>0</v>
      </c>
      <c r="B319" s="7">
        <f>最新!B319</f>
        <v>0</v>
      </c>
      <c r="C319" s="12">
        <f>最新!C319</f>
        <v>0</v>
      </c>
      <c r="D319" s="7">
        <f>最新!E319</f>
        <v>0</v>
      </c>
      <c r="E319" s="7" t="str">
        <f>IF($A319="","",IFERROR(AVERAGEIFS(履歴10日!$F$2:$F$62000,履歴10日!$C$2:$C$62000,$A319&amp;"",履歴10日!$B$2:$B$62000,C319),""))</f>
        <v/>
      </c>
      <c r="F319" s="13" t="str">
        <f t="shared" si="8"/>
        <v/>
      </c>
      <c r="G319" s="7">
        <f>最新!F319</f>
        <v>0</v>
      </c>
      <c r="H319" s="14">
        <f>最新!G319</f>
        <v>0</v>
      </c>
      <c r="I319" s="14">
        <f>最新!H319</f>
        <v>0</v>
      </c>
      <c r="K319" s="18">
        <f>IF($A319="","",IFERROR(D319/SUMIFS(履歴10日!$F$2:$F$62000,履歴10日!$C$2:$C$62000,$A319&amp;"",履歴10日!$B$2:$B$62000,C319,履歴10日!$A$2:$A$62000,N$1),""))</f>
      </c>
      <c r="L319" t="str">
        <f t="shared" si="9"/>
        <v/>
      </c>
      <c r="M319" s="18"/>
    </row>
    <row r="320" spans="1:13">
      <c r="A320" s="7">
        <f>最新!A320</f>
        <v>0</v>
      </c>
      <c r="B320" s="7">
        <f>最新!B320</f>
        <v>0</v>
      </c>
      <c r="C320" s="12">
        <f>最新!C320</f>
        <v>0</v>
      </c>
      <c r="D320" s="7">
        <f>最新!E320</f>
        <v>0</v>
      </c>
      <c r="E320" s="7" t="str">
        <f>IF($A320="","",IFERROR(AVERAGEIFS(履歴10日!$F$2:$F$62000,履歴10日!$C$2:$C$62000,$A320&amp;"",履歴10日!$B$2:$B$62000,C320),""))</f>
        <v/>
      </c>
      <c r="F320" s="13" t="str">
        <f t="shared" si="8"/>
        <v/>
      </c>
      <c r="G320" s="7">
        <f>最新!F320</f>
        <v>0</v>
      </c>
      <c r="H320" s="14">
        <f>最新!G320</f>
        <v>0</v>
      </c>
      <c r="I320" s="14">
        <f>最新!H320</f>
        <v>0</v>
      </c>
      <c r="K320" s="18">
        <f>IF($A320="","",IFERROR(D320/SUMIFS(履歴10日!$F$2:$F$62000,履歴10日!$C$2:$C$62000,$A320&amp;"",履歴10日!$B$2:$B$62000,C320,履歴10日!$A$2:$A$62000,N$1),""))</f>
      </c>
      <c r="L320" t="str">
        <f t="shared" si="9"/>
        <v/>
      </c>
      <c r="M320" s="18"/>
    </row>
    <row r="321" spans="1:13">
      <c r="A321" s="7">
        <f>最新!A321</f>
        <v>0</v>
      </c>
      <c r="B321" s="7">
        <f>最新!B321</f>
        <v>0</v>
      </c>
      <c r="C321" s="12">
        <f>最新!C321</f>
        <v>0</v>
      </c>
      <c r="D321" s="7">
        <f>最新!E321</f>
        <v>0</v>
      </c>
      <c r="E321" s="7" t="str">
        <f>IF($A321="","",IFERROR(AVERAGEIFS(履歴10日!$F$2:$F$62000,履歴10日!$C$2:$C$62000,$A321&amp;"",履歴10日!$B$2:$B$62000,C321),""))</f>
        <v/>
      </c>
      <c r="F321" s="13" t="str">
        <f t="shared" si="8"/>
        <v/>
      </c>
      <c r="G321" s="7">
        <f>最新!F321</f>
        <v>0</v>
      </c>
      <c r="H321" s="14">
        <f>最新!G321</f>
        <v>0</v>
      </c>
      <c r="I321" s="14">
        <f>最新!H321</f>
        <v>0</v>
      </c>
      <c r="K321" s="18">
        <f>IF($A321="","",IFERROR(D321/SUMIFS(履歴10日!$F$2:$F$62000,履歴10日!$C$2:$C$62000,$A321&amp;"",履歴10日!$B$2:$B$62000,C321,履歴10日!$A$2:$A$62000,N$1),""))</f>
      </c>
      <c r="L321" t="str">
        <f t="shared" si="9"/>
        <v/>
      </c>
      <c r="M321" s="18"/>
    </row>
    <row r="322" spans="1:13">
      <c r="A322" s="7">
        <f>最新!A322</f>
        <v>0</v>
      </c>
      <c r="B322" s="7">
        <f>最新!B322</f>
        <v>0</v>
      </c>
      <c r="C322" s="12">
        <f>最新!C322</f>
        <v>0</v>
      </c>
      <c r="D322" s="7">
        <f>最新!E322</f>
        <v>0</v>
      </c>
      <c r="E322" s="7" t="str">
        <f>IF($A322="","",IFERROR(AVERAGEIFS(履歴10日!$F$2:$F$62000,履歴10日!$C$2:$C$62000,$A322&amp;"",履歴10日!$B$2:$B$62000,C322),""))</f>
        <v/>
      </c>
      <c r="F322" s="13" t="str">
        <f t="shared" ref="F322:F385" si="10">IF(OR(D322="",E322="",E322=0),"",D322/E322)</f>
        <v/>
      </c>
      <c r="G322" s="7">
        <f>最新!F322</f>
        <v>0</v>
      </c>
      <c r="H322" s="14">
        <f>最新!G322</f>
        <v>0</v>
      </c>
      <c r="I322" s="14">
        <f>最新!H322</f>
        <v>0</v>
      </c>
      <c r="K322" s="18">
        <f>IF($A322="","",IFERROR(D322/SUMIFS(履歴10日!$F$2:$F$62000,履歴10日!$C$2:$C$62000,$A322&amp;"",履歴10日!$B$2:$B$62000,C322,履歴10日!$A$2:$A$62000,N$1),""))</f>
      </c>
      <c r="L322" t="str">
        <f t="shared" si="9"/>
        <v/>
      </c>
      <c r="M322" s="18"/>
    </row>
    <row r="323" spans="1:13">
      <c r="A323" s="7">
        <f>最新!A323</f>
        <v>0</v>
      </c>
      <c r="B323" s="7">
        <f>最新!B323</f>
        <v>0</v>
      </c>
      <c r="C323" s="12">
        <f>最新!C323</f>
        <v>0</v>
      </c>
      <c r="D323" s="7">
        <f>最新!E323</f>
        <v>0</v>
      </c>
      <c r="E323" s="7" t="str">
        <f>IF($A323="","",IFERROR(AVERAGEIFS(履歴10日!$F$2:$F$62000,履歴10日!$C$2:$C$62000,$A323&amp;"",履歴10日!$B$2:$B$62000,C323),""))</f>
        <v/>
      </c>
      <c r="F323" s="13" t="str">
        <f t="shared" si="10"/>
        <v/>
      </c>
      <c r="G323" s="7">
        <f>最新!F323</f>
        <v>0</v>
      </c>
      <c r="H323" s="14">
        <f>最新!G323</f>
        <v>0</v>
      </c>
      <c r="I323" s="14">
        <f>最新!H323</f>
        <v>0</v>
      </c>
      <c r="K323" s="18">
        <f>IF($A323="","",IFERROR(D323/SUMIFS(履歴10日!$F$2:$F$62000,履歴10日!$C$2:$C$62000,$A323&amp;"",履歴10日!$B$2:$B$62000,C323,履歴10日!$A$2:$A$62000,N$1),""))</f>
      </c>
      <c r="L323" t="str">
        <f t="shared" ref="L323:L386" si="11">IF(OR(D323="",D323="", D323="",E323="",$E323=0),"",(D323-E323)/E323)</f>
        <v/>
      </c>
      <c r="M323" s="18"/>
    </row>
    <row r="324" spans="1:13">
      <c r="A324" s="7">
        <f>最新!A324</f>
        <v>0</v>
      </c>
      <c r="B324" s="7">
        <f>最新!B324</f>
        <v>0</v>
      </c>
      <c r="C324" s="12">
        <f>最新!C324</f>
        <v>0</v>
      </c>
      <c r="D324" s="7">
        <f>最新!E324</f>
        <v>0</v>
      </c>
      <c r="E324" s="7" t="str">
        <f>IF($A324="","",IFERROR(AVERAGEIFS(履歴10日!$F$2:$F$62000,履歴10日!$C$2:$C$62000,$A324&amp;"",履歴10日!$B$2:$B$62000,C324),""))</f>
        <v/>
      </c>
      <c r="F324" s="13" t="str">
        <f t="shared" si="10"/>
        <v/>
      </c>
      <c r="G324" s="7">
        <f>最新!F324</f>
        <v>0</v>
      </c>
      <c r="H324" s="14">
        <f>最新!G324</f>
        <v>0</v>
      </c>
      <c r="I324" s="14">
        <f>最新!H324</f>
        <v>0</v>
      </c>
      <c r="K324" s="18">
        <f>IF($A324="","",IFERROR(D324/SUMIFS(履歴10日!$F$2:$F$62000,履歴10日!$C$2:$C$62000,$A324&amp;"",履歴10日!$B$2:$B$62000,C324,履歴10日!$A$2:$A$62000,N$1),""))</f>
      </c>
      <c r="L324" t="str">
        <f t="shared" si="11"/>
        <v/>
      </c>
      <c r="M324" s="18"/>
    </row>
    <row r="325" spans="1:13">
      <c r="A325" s="7">
        <f>最新!A325</f>
        <v>0</v>
      </c>
      <c r="B325" s="7">
        <f>最新!B325</f>
        <v>0</v>
      </c>
      <c r="C325" s="12">
        <f>最新!C325</f>
        <v>0</v>
      </c>
      <c r="D325" s="7">
        <f>最新!E325</f>
        <v>0</v>
      </c>
      <c r="E325" s="7" t="str">
        <f>IF($A325="","",IFERROR(AVERAGEIFS(履歴10日!$F$2:$F$62000,履歴10日!$C$2:$C$62000,$A325&amp;"",履歴10日!$B$2:$B$62000,C325),""))</f>
        <v/>
      </c>
      <c r="F325" s="13" t="str">
        <f t="shared" si="10"/>
        <v/>
      </c>
      <c r="G325" s="7">
        <f>最新!F325</f>
        <v>0</v>
      </c>
      <c r="H325" s="14">
        <f>最新!G325</f>
        <v>0</v>
      </c>
      <c r="I325" s="14">
        <f>最新!H325</f>
        <v>0</v>
      </c>
      <c r="K325" s="18">
        <f>IF($A325="","",IFERROR(D325/SUMIFS(履歴10日!$F$2:$F$62000,履歴10日!$C$2:$C$62000,$A325&amp;"",履歴10日!$B$2:$B$62000,C325,履歴10日!$A$2:$A$62000,N$1),""))</f>
      </c>
      <c r="L325" t="str">
        <f t="shared" si="11"/>
        <v/>
      </c>
      <c r="M325" s="18"/>
    </row>
    <row r="326" spans="1:13">
      <c r="A326" s="7">
        <f>最新!A326</f>
        <v>0</v>
      </c>
      <c r="B326" s="7">
        <f>最新!B326</f>
        <v>0</v>
      </c>
      <c r="C326" s="12">
        <f>最新!C326</f>
        <v>0</v>
      </c>
      <c r="D326" s="7">
        <f>最新!E326</f>
        <v>0</v>
      </c>
      <c r="E326" s="7" t="str">
        <f>IF($A326="","",IFERROR(AVERAGEIFS(履歴10日!$F$2:$F$62000,履歴10日!$C$2:$C$62000,$A326&amp;"",履歴10日!$B$2:$B$62000,C326),""))</f>
        <v/>
      </c>
      <c r="F326" s="13" t="str">
        <f t="shared" si="10"/>
        <v/>
      </c>
      <c r="G326" s="7">
        <f>最新!F326</f>
        <v>0</v>
      </c>
      <c r="H326" s="14">
        <f>最新!G326</f>
        <v>0</v>
      </c>
      <c r="I326" s="14">
        <f>最新!H326</f>
        <v>0</v>
      </c>
      <c r="K326" s="18">
        <f>IF($A326="","",IFERROR(D326/SUMIFS(履歴10日!$F$2:$F$62000,履歴10日!$C$2:$C$62000,$A326&amp;"",履歴10日!$B$2:$B$62000,C326,履歴10日!$A$2:$A$62000,N$1),""))</f>
      </c>
      <c r="L326" t="str">
        <f t="shared" si="11"/>
        <v/>
      </c>
      <c r="M326" s="18"/>
    </row>
    <row r="327" spans="1:13">
      <c r="A327" s="7">
        <f>最新!A327</f>
        <v>0</v>
      </c>
      <c r="B327" s="7">
        <f>最新!B327</f>
        <v>0</v>
      </c>
      <c r="C327" s="12">
        <f>最新!C327</f>
        <v>0</v>
      </c>
      <c r="D327" s="7">
        <f>最新!E327</f>
        <v>0</v>
      </c>
      <c r="E327" s="7" t="str">
        <f>IF($A327="","",IFERROR(AVERAGEIFS(履歴10日!$F$2:$F$62000,履歴10日!$C$2:$C$62000,$A327&amp;"",履歴10日!$B$2:$B$62000,C327),""))</f>
        <v/>
      </c>
      <c r="F327" s="13" t="str">
        <f t="shared" si="10"/>
        <v/>
      </c>
      <c r="G327" s="7">
        <f>最新!F327</f>
        <v>0</v>
      </c>
      <c r="H327" s="14">
        <f>最新!G327</f>
        <v>0</v>
      </c>
      <c r="I327" s="14">
        <f>最新!H327</f>
        <v>0</v>
      </c>
      <c r="K327" s="18">
        <f>IF($A327="","",IFERROR(D327/SUMIFS(履歴10日!$F$2:$F$62000,履歴10日!$C$2:$C$62000,$A327&amp;"",履歴10日!$B$2:$B$62000,C327,履歴10日!$A$2:$A$62000,N$1),""))</f>
      </c>
      <c r="L327" t="str">
        <f t="shared" si="11"/>
        <v/>
      </c>
      <c r="M327" s="18"/>
    </row>
    <row r="328" spans="1:13">
      <c r="A328" s="7">
        <f>最新!A328</f>
        <v>0</v>
      </c>
      <c r="B328" s="7">
        <f>最新!B328</f>
        <v>0</v>
      </c>
      <c r="C328" s="12">
        <f>最新!C328</f>
        <v>0</v>
      </c>
      <c r="D328" s="7">
        <f>最新!E328</f>
        <v>0</v>
      </c>
      <c r="E328" s="7" t="str">
        <f>IF($A328="","",IFERROR(AVERAGEIFS(履歴10日!$F$2:$F$62000,履歴10日!$C$2:$C$62000,$A328&amp;"",履歴10日!$B$2:$B$62000,C328),""))</f>
        <v/>
      </c>
      <c r="F328" s="13" t="str">
        <f t="shared" si="10"/>
        <v/>
      </c>
      <c r="G328" s="7">
        <f>最新!F328</f>
        <v>0</v>
      </c>
      <c r="H328" s="14">
        <f>最新!G328</f>
        <v>0</v>
      </c>
      <c r="I328" s="14">
        <f>最新!H328</f>
        <v>0</v>
      </c>
      <c r="K328" s="18">
        <f>IF($A328="","",IFERROR(D328/SUMIFS(履歴10日!$F$2:$F$62000,履歴10日!$C$2:$C$62000,$A328&amp;"",履歴10日!$B$2:$B$62000,C328,履歴10日!$A$2:$A$62000,N$1),""))</f>
      </c>
      <c r="L328" t="str">
        <f t="shared" si="11"/>
        <v/>
      </c>
      <c r="M328" s="18"/>
    </row>
    <row r="329" spans="1:13">
      <c r="A329" s="7">
        <f>最新!A329</f>
        <v>0</v>
      </c>
      <c r="B329" s="7">
        <f>最新!B329</f>
        <v>0</v>
      </c>
      <c r="C329" s="12">
        <f>最新!C329</f>
        <v>0</v>
      </c>
      <c r="D329" s="7">
        <f>最新!E329</f>
        <v>0</v>
      </c>
      <c r="E329" s="7" t="str">
        <f>IF($A329="","",IFERROR(AVERAGEIFS(履歴10日!$F$2:$F$62000,履歴10日!$C$2:$C$62000,$A329&amp;"",履歴10日!$B$2:$B$62000,C329),""))</f>
        <v/>
      </c>
      <c r="F329" s="13" t="str">
        <f t="shared" si="10"/>
        <v/>
      </c>
      <c r="G329" s="7">
        <f>最新!F329</f>
        <v>0</v>
      </c>
      <c r="H329" s="14">
        <f>最新!G329</f>
        <v>0</v>
      </c>
      <c r="I329" s="14">
        <f>最新!H329</f>
        <v>0</v>
      </c>
      <c r="K329" s="18">
        <f>IF($A329="","",IFERROR(D329/SUMIFS(履歴10日!$F$2:$F$62000,履歴10日!$C$2:$C$62000,$A329&amp;"",履歴10日!$B$2:$B$62000,C329,履歴10日!$A$2:$A$62000,N$1),""))</f>
      </c>
      <c r="L329" t="str">
        <f t="shared" si="11"/>
        <v/>
      </c>
      <c r="M329" s="18"/>
    </row>
    <row r="330" spans="1:13">
      <c r="A330" s="7">
        <f>最新!A330</f>
        <v>0</v>
      </c>
      <c r="B330" s="7">
        <f>最新!B330</f>
        <v>0</v>
      </c>
      <c r="C330" s="12">
        <f>最新!C330</f>
        <v>0</v>
      </c>
      <c r="D330" s="7">
        <f>最新!E330</f>
        <v>0</v>
      </c>
      <c r="E330" s="7" t="str">
        <f>IF($A330="","",IFERROR(AVERAGEIFS(履歴10日!$F$2:$F$62000,履歴10日!$C$2:$C$62000,$A330&amp;"",履歴10日!$B$2:$B$62000,C330),""))</f>
        <v/>
      </c>
      <c r="F330" s="13" t="str">
        <f t="shared" si="10"/>
        <v/>
      </c>
      <c r="G330" s="7">
        <f>最新!F330</f>
        <v>0</v>
      </c>
      <c r="H330" s="14">
        <f>最新!G330</f>
        <v>0</v>
      </c>
      <c r="I330" s="14">
        <f>最新!H330</f>
        <v>0</v>
      </c>
      <c r="K330" s="18">
        <f>IF($A330="","",IFERROR(D330/SUMIFS(履歴10日!$F$2:$F$62000,履歴10日!$C$2:$C$62000,$A330&amp;"",履歴10日!$B$2:$B$62000,C330,履歴10日!$A$2:$A$62000,N$1),""))</f>
      </c>
      <c r="L330" t="str">
        <f t="shared" si="11"/>
        <v/>
      </c>
      <c r="M330" s="18"/>
    </row>
    <row r="331" spans="1:13">
      <c r="A331" s="7">
        <f>最新!A331</f>
        <v>0</v>
      </c>
      <c r="B331" s="7">
        <f>最新!B331</f>
        <v>0</v>
      </c>
      <c r="C331" s="12">
        <f>最新!C331</f>
        <v>0</v>
      </c>
      <c r="D331" s="7">
        <f>最新!E331</f>
        <v>0</v>
      </c>
      <c r="E331" s="7" t="str">
        <f>IF($A331="","",IFERROR(AVERAGEIFS(履歴10日!$F$2:$F$62000,履歴10日!$C$2:$C$62000,$A331&amp;"",履歴10日!$B$2:$B$62000,C331),""))</f>
        <v/>
      </c>
      <c r="F331" s="13" t="str">
        <f t="shared" si="10"/>
        <v/>
      </c>
      <c r="G331" s="7">
        <f>最新!F331</f>
        <v>0</v>
      </c>
      <c r="H331" s="14">
        <f>最新!G331</f>
        <v>0</v>
      </c>
      <c r="I331" s="14">
        <f>最新!H331</f>
        <v>0</v>
      </c>
      <c r="K331" s="18">
        <f>IF($A331="","",IFERROR(D331/SUMIFS(履歴10日!$F$2:$F$62000,履歴10日!$C$2:$C$62000,$A331&amp;"",履歴10日!$B$2:$B$62000,C331,履歴10日!$A$2:$A$62000,N$1),""))</f>
      </c>
      <c r="L331" t="str">
        <f t="shared" si="11"/>
        <v/>
      </c>
      <c r="M331" s="18"/>
    </row>
    <row r="332" spans="1:13">
      <c r="A332" s="7">
        <f>最新!A332</f>
        <v>0</v>
      </c>
      <c r="B332" s="7">
        <f>最新!B332</f>
        <v>0</v>
      </c>
      <c r="C332" s="12">
        <f>最新!C332</f>
        <v>0</v>
      </c>
      <c r="D332" s="7">
        <f>最新!E332</f>
        <v>0</v>
      </c>
      <c r="E332" s="7" t="str">
        <f>IF($A332="","",IFERROR(AVERAGEIFS(履歴10日!$F$2:$F$62000,履歴10日!$C$2:$C$62000,$A332&amp;"",履歴10日!$B$2:$B$62000,C332),""))</f>
        <v/>
      </c>
      <c r="F332" s="13" t="str">
        <f t="shared" si="10"/>
        <v/>
      </c>
      <c r="G332" s="7">
        <f>最新!F332</f>
        <v>0</v>
      </c>
      <c r="H332" s="14">
        <f>最新!G332</f>
        <v>0</v>
      </c>
      <c r="I332" s="14">
        <f>最新!H332</f>
        <v>0</v>
      </c>
      <c r="K332" s="18">
        <f>IF($A332="","",IFERROR(D332/SUMIFS(履歴10日!$F$2:$F$62000,履歴10日!$C$2:$C$62000,$A332&amp;"",履歴10日!$B$2:$B$62000,C332,履歴10日!$A$2:$A$62000,N$1),""))</f>
      </c>
      <c r="L332" t="str">
        <f t="shared" si="11"/>
        <v/>
      </c>
      <c r="M332" s="18"/>
    </row>
    <row r="333" spans="1:13">
      <c r="A333" s="7">
        <f>最新!A333</f>
        <v>0</v>
      </c>
      <c r="B333" s="7">
        <f>最新!B333</f>
        <v>0</v>
      </c>
      <c r="C333" s="12">
        <f>最新!C333</f>
        <v>0</v>
      </c>
      <c r="D333" s="7">
        <f>最新!E333</f>
        <v>0</v>
      </c>
      <c r="E333" s="7" t="str">
        <f>IF($A333="","",IFERROR(AVERAGEIFS(履歴10日!$F$2:$F$62000,履歴10日!$C$2:$C$62000,$A333&amp;"",履歴10日!$B$2:$B$62000,C333),""))</f>
        <v/>
      </c>
      <c r="F333" s="13" t="str">
        <f t="shared" si="10"/>
        <v/>
      </c>
      <c r="G333" s="7">
        <f>最新!F333</f>
        <v>0</v>
      </c>
      <c r="H333" s="14">
        <f>最新!G333</f>
        <v>0</v>
      </c>
      <c r="I333" s="14">
        <f>最新!H333</f>
        <v>0</v>
      </c>
      <c r="K333" s="18">
        <f>IF($A333="","",IFERROR(D333/SUMIFS(履歴10日!$F$2:$F$62000,履歴10日!$C$2:$C$62000,$A333&amp;"",履歴10日!$B$2:$B$62000,C333,履歴10日!$A$2:$A$62000,N$1),""))</f>
      </c>
      <c r="L333" t="str">
        <f t="shared" si="11"/>
        <v/>
      </c>
      <c r="M333" s="18"/>
    </row>
    <row r="334" spans="1:13">
      <c r="A334" s="7">
        <f>最新!A334</f>
        <v>0</v>
      </c>
      <c r="B334" s="7">
        <f>最新!B334</f>
        <v>0</v>
      </c>
      <c r="C334" s="12">
        <f>最新!C334</f>
        <v>0</v>
      </c>
      <c r="D334" s="7">
        <f>最新!E334</f>
        <v>0</v>
      </c>
      <c r="E334" s="7" t="str">
        <f>IF($A334="","",IFERROR(AVERAGEIFS(履歴10日!$F$2:$F$62000,履歴10日!$C$2:$C$62000,$A334&amp;"",履歴10日!$B$2:$B$62000,C334),""))</f>
        <v/>
      </c>
      <c r="F334" s="13" t="str">
        <f t="shared" si="10"/>
        <v/>
      </c>
      <c r="G334" s="7">
        <f>最新!F334</f>
        <v>0</v>
      </c>
      <c r="H334" s="14">
        <f>最新!G334</f>
        <v>0</v>
      </c>
      <c r="I334" s="14">
        <f>最新!H334</f>
        <v>0</v>
      </c>
      <c r="K334" s="18">
        <f>IF($A334="","",IFERROR(D334/SUMIFS(履歴10日!$F$2:$F$62000,履歴10日!$C$2:$C$62000,$A334&amp;"",履歴10日!$B$2:$B$62000,C334,履歴10日!$A$2:$A$62000,N$1),""))</f>
      </c>
      <c r="L334" t="str">
        <f t="shared" si="11"/>
        <v/>
      </c>
      <c r="M334" s="18"/>
    </row>
    <row r="335" spans="1:13">
      <c r="A335" s="7">
        <f>最新!A335</f>
        <v>0</v>
      </c>
      <c r="B335" s="7">
        <f>最新!B335</f>
        <v>0</v>
      </c>
      <c r="C335" s="12">
        <f>最新!C335</f>
        <v>0</v>
      </c>
      <c r="D335" s="7">
        <f>最新!E335</f>
        <v>0</v>
      </c>
      <c r="E335" s="7" t="str">
        <f>IF($A335="","",IFERROR(AVERAGEIFS(履歴10日!$F$2:$F$62000,履歴10日!$C$2:$C$62000,$A335&amp;"",履歴10日!$B$2:$B$62000,C335),""))</f>
        <v/>
      </c>
      <c r="F335" s="13" t="str">
        <f t="shared" si="10"/>
        <v/>
      </c>
      <c r="G335" s="7">
        <f>最新!F335</f>
        <v>0</v>
      </c>
      <c r="H335" s="14">
        <f>最新!G335</f>
        <v>0</v>
      </c>
      <c r="I335" s="14">
        <f>最新!H335</f>
        <v>0</v>
      </c>
      <c r="K335" s="18">
        <f>IF($A335="","",IFERROR(D335/SUMIFS(履歴10日!$F$2:$F$62000,履歴10日!$C$2:$C$62000,$A335&amp;"",履歴10日!$B$2:$B$62000,C335,履歴10日!$A$2:$A$62000,N$1),""))</f>
      </c>
      <c r="L335" t="str">
        <f t="shared" si="11"/>
        <v/>
      </c>
      <c r="M335" s="18"/>
    </row>
    <row r="336" spans="1:13">
      <c r="A336" s="7">
        <f>最新!A336</f>
        <v>0</v>
      </c>
      <c r="B336" s="7">
        <f>最新!B336</f>
        <v>0</v>
      </c>
      <c r="C336" s="12">
        <f>最新!C336</f>
        <v>0</v>
      </c>
      <c r="D336" s="7">
        <f>最新!E336</f>
        <v>0</v>
      </c>
      <c r="E336" s="7" t="str">
        <f>IF($A336="","",IFERROR(AVERAGEIFS(履歴10日!$F$2:$F$62000,履歴10日!$C$2:$C$62000,$A336&amp;"",履歴10日!$B$2:$B$62000,C336),""))</f>
        <v/>
      </c>
      <c r="F336" s="13" t="str">
        <f t="shared" si="10"/>
        <v/>
      </c>
      <c r="G336" s="7">
        <f>最新!F336</f>
        <v>0</v>
      </c>
      <c r="H336" s="14">
        <f>最新!G336</f>
        <v>0</v>
      </c>
      <c r="I336" s="14">
        <f>最新!H336</f>
        <v>0</v>
      </c>
      <c r="K336" s="18">
        <f>IF($A336="","",IFERROR(D336/SUMIFS(履歴10日!$F$2:$F$62000,履歴10日!$C$2:$C$62000,$A336&amp;"",履歴10日!$B$2:$B$62000,C336,履歴10日!$A$2:$A$62000,N$1),""))</f>
      </c>
      <c r="L336" t="str">
        <f t="shared" si="11"/>
        <v/>
      </c>
      <c r="M336" s="18"/>
    </row>
    <row r="337" spans="1:13">
      <c r="A337" s="7">
        <f>最新!A337</f>
        <v>0</v>
      </c>
      <c r="B337" s="7">
        <f>最新!B337</f>
        <v>0</v>
      </c>
      <c r="C337" s="12">
        <f>最新!C337</f>
        <v>0</v>
      </c>
      <c r="D337" s="7">
        <f>最新!E337</f>
        <v>0</v>
      </c>
      <c r="E337" s="7" t="str">
        <f>IF($A337="","",IFERROR(AVERAGEIFS(履歴10日!$F$2:$F$62000,履歴10日!$C$2:$C$62000,$A337&amp;"",履歴10日!$B$2:$B$62000,C337),""))</f>
        <v/>
      </c>
      <c r="F337" s="13" t="str">
        <f t="shared" si="10"/>
        <v/>
      </c>
      <c r="G337" s="7">
        <f>最新!F337</f>
        <v>0</v>
      </c>
      <c r="H337" s="14">
        <f>最新!G337</f>
        <v>0</v>
      </c>
      <c r="I337" s="14">
        <f>最新!H337</f>
        <v>0</v>
      </c>
      <c r="K337" s="18">
        <f>IF($A337="","",IFERROR(D337/SUMIFS(履歴10日!$F$2:$F$62000,履歴10日!$C$2:$C$62000,$A337&amp;"",履歴10日!$B$2:$B$62000,C337,履歴10日!$A$2:$A$62000,N$1),""))</f>
      </c>
      <c r="L337" t="str">
        <f t="shared" si="11"/>
        <v/>
      </c>
      <c r="M337" s="18"/>
    </row>
    <row r="338" spans="1:13">
      <c r="A338" s="7">
        <f>最新!A338</f>
        <v>0</v>
      </c>
      <c r="B338" s="7">
        <f>最新!B338</f>
        <v>0</v>
      </c>
      <c r="C338" s="12">
        <f>最新!C338</f>
        <v>0</v>
      </c>
      <c r="D338" s="7">
        <f>最新!E338</f>
        <v>0</v>
      </c>
      <c r="E338" s="7" t="str">
        <f>IF($A338="","",IFERROR(AVERAGEIFS(履歴10日!$F$2:$F$62000,履歴10日!$C$2:$C$62000,$A338&amp;"",履歴10日!$B$2:$B$62000,C338),""))</f>
        <v/>
      </c>
      <c r="F338" s="13" t="str">
        <f t="shared" si="10"/>
        <v/>
      </c>
      <c r="G338" s="7">
        <f>最新!F338</f>
        <v>0</v>
      </c>
      <c r="H338" s="14">
        <f>最新!G338</f>
        <v>0</v>
      </c>
      <c r="I338" s="14">
        <f>最新!H338</f>
        <v>0</v>
      </c>
      <c r="K338" s="18">
        <f>IF($A338="","",IFERROR(D338/SUMIFS(履歴10日!$F$2:$F$62000,履歴10日!$C$2:$C$62000,$A338&amp;"",履歴10日!$B$2:$B$62000,C338,履歴10日!$A$2:$A$62000,N$1),""))</f>
      </c>
      <c r="L338" t="str">
        <f t="shared" si="11"/>
        <v/>
      </c>
      <c r="M338" s="18"/>
    </row>
    <row r="339" spans="1:13">
      <c r="A339" s="7">
        <f>最新!A339</f>
        <v>0</v>
      </c>
      <c r="B339" s="7">
        <f>最新!B339</f>
        <v>0</v>
      </c>
      <c r="C339" s="12">
        <f>最新!C339</f>
        <v>0</v>
      </c>
      <c r="D339" s="7">
        <f>最新!E339</f>
        <v>0</v>
      </c>
      <c r="E339" s="7" t="str">
        <f>IF($A339="","",IFERROR(AVERAGEIFS(履歴10日!$F$2:$F$62000,履歴10日!$C$2:$C$62000,$A339&amp;"",履歴10日!$B$2:$B$62000,C339),""))</f>
        <v/>
      </c>
      <c r="F339" s="13" t="str">
        <f t="shared" si="10"/>
        <v/>
      </c>
      <c r="G339" s="7">
        <f>最新!F339</f>
        <v>0</v>
      </c>
      <c r="H339" s="14">
        <f>最新!G339</f>
        <v>0</v>
      </c>
      <c r="I339" s="14">
        <f>最新!H339</f>
        <v>0</v>
      </c>
      <c r="K339" s="18">
        <f>IF($A339="","",IFERROR(D339/SUMIFS(履歴10日!$F$2:$F$62000,履歴10日!$C$2:$C$62000,$A339&amp;"",履歴10日!$B$2:$B$62000,C339,履歴10日!$A$2:$A$62000,N$1),""))</f>
      </c>
      <c r="L339" t="str">
        <f t="shared" si="11"/>
        <v/>
      </c>
      <c r="M339" s="18"/>
    </row>
    <row r="340" spans="1:13">
      <c r="A340" s="7">
        <f>最新!A340</f>
        <v>0</v>
      </c>
      <c r="B340" s="7">
        <f>最新!B340</f>
        <v>0</v>
      </c>
      <c r="C340" s="12">
        <f>最新!C340</f>
        <v>0</v>
      </c>
      <c r="D340" s="7">
        <f>最新!E340</f>
        <v>0</v>
      </c>
      <c r="E340" s="7" t="str">
        <f>IF($A340="","",IFERROR(AVERAGEIFS(履歴10日!$F$2:$F$62000,履歴10日!$C$2:$C$62000,$A340&amp;"",履歴10日!$B$2:$B$62000,C340),""))</f>
        <v/>
      </c>
      <c r="F340" s="13" t="str">
        <f t="shared" si="10"/>
        <v/>
      </c>
      <c r="G340" s="7">
        <f>最新!F340</f>
        <v>0</v>
      </c>
      <c r="H340" s="14">
        <f>最新!G340</f>
        <v>0</v>
      </c>
      <c r="I340" s="14">
        <f>最新!H340</f>
        <v>0</v>
      </c>
      <c r="K340" s="18">
        <f>IF($A340="","",IFERROR(D340/SUMIFS(履歴10日!$F$2:$F$62000,履歴10日!$C$2:$C$62000,$A340&amp;"",履歴10日!$B$2:$B$62000,C340,履歴10日!$A$2:$A$62000,N$1),""))</f>
      </c>
      <c r="L340" t="str">
        <f t="shared" si="11"/>
        <v/>
      </c>
      <c r="M340" s="18"/>
    </row>
    <row r="341" spans="1:13">
      <c r="A341" s="7">
        <f>最新!A341</f>
        <v>0</v>
      </c>
      <c r="B341" s="7">
        <f>最新!B341</f>
        <v>0</v>
      </c>
      <c r="C341" s="12">
        <f>最新!C341</f>
        <v>0</v>
      </c>
      <c r="D341" s="7">
        <f>最新!E341</f>
        <v>0</v>
      </c>
      <c r="E341" s="7" t="str">
        <f>IF($A341="","",IFERROR(AVERAGEIFS(履歴10日!$F$2:$F$62000,履歴10日!$C$2:$C$62000,$A341&amp;"",履歴10日!$B$2:$B$62000,C341),""))</f>
        <v/>
      </c>
      <c r="F341" s="13" t="str">
        <f t="shared" si="10"/>
        <v/>
      </c>
      <c r="G341" s="7">
        <f>最新!F341</f>
        <v>0</v>
      </c>
      <c r="H341" s="14">
        <f>最新!G341</f>
        <v>0</v>
      </c>
      <c r="I341" s="14">
        <f>最新!H341</f>
        <v>0</v>
      </c>
      <c r="K341" s="18">
        <f>IF($A341="","",IFERROR(D341/SUMIFS(履歴10日!$F$2:$F$62000,履歴10日!$C$2:$C$62000,$A341&amp;"",履歴10日!$B$2:$B$62000,C341,履歴10日!$A$2:$A$62000,N$1),""))</f>
      </c>
      <c r="L341" t="str">
        <f t="shared" si="11"/>
        <v/>
      </c>
      <c r="M341" s="18"/>
    </row>
    <row r="342" spans="1:13">
      <c r="A342" s="7">
        <f>最新!A342</f>
        <v>0</v>
      </c>
      <c r="B342" s="7">
        <f>最新!B342</f>
        <v>0</v>
      </c>
      <c r="C342" s="12">
        <f>最新!C342</f>
        <v>0</v>
      </c>
      <c r="D342" s="7">
        <f>最新!E342</f>
        <v>0</v>
      </c>
      <c r="E342" s="7" t="str">
        <f>IF($A342="","",IFERROR(AVERAGEIFS(履歴10日!$F$2:$F$62000,履歴10日!$C$2:$C$62000,$A342&amp;"",履歴10日!$B$2:$B$62000,C342),""))</f>
        <v/>
      </c>
      <c r="F342" s="13" t="str">
        <f t="shared" si="10"/>
        <v/>
      </c>
      <c r="G342" s="7">
        <f>最新!F342</f>
        <v>0</v>
      </c>
      <c r="H342" s="14">
        <f>最新!G342</f>
        <v>0</v>
      </c>
      <c r="I342" s="14">
        <f>最新!H342</f>
        <v>0</v>
      </c>
      <c r="K342" s="18">
        <f>IF($A342="","",IFERROR(D342/SUMIFS(履歴10日!$F$2:$F$62000,履歴10日!$C$2:$C$62000,$A342&amp;"",履歴10日!$B$2:$B$62000,C342,履歴10日!$A$2:$A$62000,N$1),""))</f>
      </c>
      <c r="L342" t="str">
        <f t="shared" si="11"/>
        <v/>
      </c>
      <c r="M342" s="18"/>
    </row>
    <row r="343" spans="1:13">
      <c r="A343" s="7">
        <f>最新!A343</f>
        <v>0</v>
      </c>
      <c r="B343" s="7">
        <f>最新!B343</f>
        <v>0</v>
      </c>
      <c r="C343" s="12">
        <f>最新!C343</f>
        <v>0</v>
      </c>
      <c r="D343" s="7">
        <f>最新!E343</f>
        <v>0</v>
      </c>
      <c r="E343" s="7" t="str">
        <f>IF($A343="","",IFERROR(AVERAGEIFS(履歴10日!$F$2:$F$62000,履歴10日!$C$2:$C$62000,$A343&amp;"",履歴10日!$B$2:$B$62000,C343),""))</f>
        <v/>
      </c>
      <c r="F343" s="13" t="str">
        <f t="shared" si="10"/>
        <v/>
      </c>
      <c r="G343" s="7">
        <f>最新!F343</f>
        <v>0</v>
      </c>
      <c r="H343" s="14">
        <f>最新!G343</f>
        <v>0</v>
      </c>
      <c r="I343" s="14">
        <f>最新!H343</f>
        <v>0</v>
      </c>
      <c r="K343" s="18">
        <f>IF($A343="","",IFERROR(D343/SUMIFS(履歴10日!$F$2:$F$62000,履歴10日!$C$2:$C$62000,$A343&amp;"",履歴10日!$B$2:$B$62000,C343,履歴10日!$A$2:$A$62000,N$1),""))</f>
      </c>
      <c r="L343" t="str">
        <f t="shared" si="11"/>
        <v/>
      </c>
      <c r="M343" s="18"/>
    </row>
    <row r="344" spans="1:13">
      <c r="A344" s="7">
        <f>最新!A344</f>
        <v>0</v>
      </c>
      <c r="B344" s="7">
        <f>最新!B344</f>
        <v>0</v>
      </c>
      <c r="C344" s="12">
        <f>最新!C344</f>
        <v>0</v>
      </c>
      <c r="D344" s="7">
        <f>最新!E344</f>
        <v>0</v>
      </c>
      <c r="E344" s="7" t="str">
        <f>IF($A344="","",IFERROR(AVERAGEIFS(履歴10日!$F$2:$F$62000,履歴10日!$C$2:$C$62000,$A344&amp;"",履歴10日!$B$2:$B$62000,C344),""))</f>
        <v/>
      </c>
      <c r="F344" s="13" t="str">
        <f t="shared" si="10"/>
        <v/>
      </c>
      <c r="G344" s="7">
        <f>最新!F344</f>
        <v>0</v>
      </c>
      <c r="H344" s="14">
        <f>最新!G344</f>
        <v>0</v>
      </c>
      <c r="I344" s="14">
        <f>最新!H344</f>
        <v>0</v>
      </c>
      <c r="K344" s="18">
        <f>IF($A344="","",IFERROR(D344/SUMIFS(履歴10日!$F$2:$F$62000,履歴10日!$C$2:$C$62000,$A344&amp;"",履歴10日!$B$2:$B$62000,C344,履歴10日!$A$2:$A$62000,N$1),""))</f>
      </c>
      <c r="L344" t="str">
        <f t="shared" si="11"/>
        <v/>
      </c>
      <c r="M344" s="18"/>
    </row>
    <row r="345" spans="1:13">
      <c r="A345" s="7">
        <f>最新!A345</f>
        <v>0</v>
      </c>
      <c r="B345" s="7">
        <f>最新!B345</f>
        <v>0</v>
      </c>
      <c r="C345" s="12">
        <f>最新!C345</f>
        <v>0</v>
      </c>
      <c r="D345" s="7">
        <f>最新!E345</f>
        <v>0</v>
      </c>
      <c r="E345" s="7" t="str">
        <f>IF($A345="","",IFERROR(AVERAGEIFS(履歴10日!$F$2:$F$62000,履歴10日!$C$2:$C$62000,$A345&amp;"",履歴10日!$B$2:$B$62000,C345),""))</f>
        <v/>
      </c>
      <c r="F345" s="13" t="str">
        <f t="shared" si="10"/>
        <v/>
      </c>
      <c r="G345" s="7">
        <f>最新!F345</f>
        <v>0</v>
      </c>
      <c r="H345" s="14">
        <f>最新!G345</f>
        <v>0</v>
      </c>
      <c r="I345" s="14">
        <f>最新!H345</f>
        <v>0</v>
      </c>
      <c r="K345" s="18">
        <f>IF($A345="","",IFERROR(D345/SUMIFS(履歴10日!$F$2:$F$62000,履歴10日!$C$2:$C$62000,$A345&amp;"",履歴10日!$B$2:$B$62000,C345,履歴10日!$A$2:$A$62000,N$1),""))</f>
      </c>
      <c r="L345" t="str">
        <f t="shared" si="11"/>
        <v/>
      </c>
      <c r="M345" s="18"/>
    </row>
    <row r="346" spans="1:13">
      <c r="A346" s="7">
        <f>最新!A346</f>
        <v>0</v>
      </c>
      <c r="B346" s="7">
        <f>最新!B346</f>
        <v>0</v>
      </c>
      <c r="C346" s="12">
        <f>最新!C346</f>
        <v>0</v>
      </c>
      <c r="D346" s="7">
        <f>最新!E346</f>
        <v>0</v>
      </c>
      <c r="E346" s="7" t="str">
        <f>IF($A346="","",IFERROR(AVERAGEIFS(履歴10日!$F$2:$F$62000,履歴10日!$C$2:$C$62000,$A346&amp;"",履歴10日!$B$2:$B$62000,C346),""))</f>
        <v/>
      </c>
      <c r="F346" s="13" t="str">
        <f t="shared" si="10"/>
        <v/>
      </c>
      <c r="G346" s="7">
        <f>最新!F346</f>
        <v>0</v>
      </c>
      <c r="H346" s="14">
        <f>最新!G346</f>
        <v>0</v>
      </c>
      <c r="I346" s="14">
        <f>最新!H346</f>
        <v>0</v>
      </c>
      <c r="K346" s="18">
        <f>IF($A346="","",IFERROR(D346/SUMIFS(履歴10日!$F$2:$F$62000,履歴10日!$C$2:$C$62000,$A346&amp;"",履歴10日!$B$2:$B$62000,C346,履歴10日!$A$2:$A$62000,N$1),""))</f>
      </c>
      <c r="L346" t="str">
        <f t="shared" si="11"/>
        <v/>
      </c>
      <c r="M346" s="18"/>
    </row>
    <row r="347" spans="1:13">
      <c r="A347" s="7">
        <f>最新!A347</f>
        <v>0</v>
      </c>
      <c r="B347" s="7">
        <f>最新!B347</f>
        <v>0</v>
      </c>
      <c r="C347" s="12">
        <f>最新!C347</f>
        <v>0</v>
      </c>
      <c r="D347" s="7">
        <f>最新!E347</f>
        <v>0</v>
      </c>
      <c r="E347" s="7" t="str">
        <f>IF($A347="","",IFERROR(AVERAGEIFS(履歴10日!$F$2:$F$62000,履歴10日!$C$2:$C$62000,$A347&amp;"",履歴10日!$B$2:$B$62000,C347),""))</f>
        <v/>
      </c>
      <c r="F347" s="13" t="str">
        <f t="shared" si="10"/>
        <v/>
      </c>
      <c r="G347" s="7">
        <f>最新!F347</f>
        <v>0</v>
      </c>
      <c r="H347" s="14">
        <f>最新!G347</f>
        <v>0</v>
      </c>
      <c r="I347" s="14">
        <f>最新!H347</f>
        <v>0</v>
      </c>
      <c r="K347" s="18">
        <f>IF($A347="","",IFERROR(D347/SUMIFS(履歴10日!$F$2:$F$62000,履歴10日!$C$2:$C$62000,$A347&amp;"",履歴10日!$B$2:$B$62000,C347,履歴10日!$A$2:$A$62000,N$1),""))</f>
      </c>
      <c r="L347" t="str">
        <f t="shared" si="11"/>
        <v/>
      </c>
      <c r="M347" s="18"/>
    </row>
    <row r="348" spans="1:13">
      <c r="A348" s="7">
        <f>最新!A348</f>
        <v>0</v>
      </c>
      <c r="B348" s="7">
        <f>最新!B348</f>
        <v>0</v>
      </c>
      <c r="C348" s="12">
        <f>最新!C348</f>
        <v>0</v>
      </c>
      <c r="D348" s="7">
        <f>最新!E348</f>
        <v>0</v>
      </c>
      <c r="E348" s="7" t="str">
        <f>IF($A348="","",IFERROR(AVERAGEIFS(履歴10日!$F$2:$F$62000,履歴10日!$C$2:$C$62000,$A348&amp;"",履歴10日!$B$2:$B$62000,C348),""))</f>
        <v/>
      </c>
      <c r="F348" s="13" t="str">
        <f t="shared" si="10"/>
        <v/>
      </c>
      <c r="G348" s="7">
        <f>最新!F348</f>
        <v>0</v>
      </c>
      <c r="H348" s="14">
        <f>最新!G348</f>
        <v>0</v>
      </c>
      <c r="I348" s="14">
        <f>最新!H348</f>
        <v>0</v>
      </c>
      <c r="K348" s="18">
        <f>IF($A348="","",IFERROR(D348/SUMIFS(履歴10日!$F$2:$F$62000,履歴10日!$C$2:$C$62000,$A348&amp;"",履歴10日!$B$2:$B$62000,C348,履歴10日!$A$2:$A$62000,N$1),""))</f>
      </c>
      <c r="L348" t="str">
        <f t="shared" si="11"/>
        <v/>
      </c>
      <c r="M348" s="18"/>
    </row>
    <row r="349" spans="1:13">
      <c r="A349" s="7">
        <f>最新!A349</f>
        <v>0</v>
      </c>
      <c r="B349" s="7">
        <f>最新!B349</f>
        <v>0</v>
      </c>
      <c r="C349" s="12">
        <f>最新!C349</f>
        <v>0</v>
      </c>
      <c r="D349" s="7">
        <f>最新!E349</f>
        <v>0</v>
      </c>
      <c r="E349" s="7" t="str">
        <f>IF($A349="","",IFERROR(AVERAGEIFS(履歴10日!$F$2:$F$62000,履歴10日!$C$2:$C$62000,$A349&amp;"",履歴10日!$B$2:$B$62000,C349),""))</f>
        <v/>
      </c>
      <c r="F349" s="13" t="str">
        <f t="shared" si="10"/>
        <v/>
      </c>
      <c r="G349" s="7">
        <f>最新!F349</f>
        <v>0</v>
      </c>
      <c r="H349" s="14">
        <f>最新!G349</f>
        <v>0</v>
      </c>
      <c r="I349" s="14">
        <f>最新!H349</f>
        <v>0</v>
      </c>
      <c r="K349" s="18">
        <f>IF($A349="","",IFERROR(D349/SUMIFS(履歴10日!$F$2:$F$62000,履歴10日!$C$2:$C$62000,$A349&amp;"",履歴10日!$B$2:$B$62000,C349,履歴10日!$A$2:$A$62000,N$1),""))</f>
      </c>
      <c r="L349" t="str">
        <f t="shared" si="11"/>
        <v/>
      </c>
      <c r="M349" s="18"/>
    </row>
    <row r="350" spans="1:13">
      <c r="A350" s="7">
        <f>最新!A350</f>
        <v>0</v>
      </c>
      <c r="B350" s="7">
        <f>最新!B350</f>
        <v>0</v>
      </c>
      <c r="C350" s="12">
        <f>最新!C350</f>
        <v>0</v>
      </c>
      <c r="D350" s="7">
        <f>最新!E350</f>
        <v>0</v>
      </c>
      <c r="E350" s="7" t="str">
        <f>IF($A350="","",IFERROR(AVERAGEIFS(履歴10日!$F$2:$F$62000,履歴10日!$C$2:$C$62000,$A350&amp;"",履歴10日!$B$2:$B$62000,C350),""))</f>
        <v/>
      </c>
      <c r="F350" s="13" t="str">
        <f t="shared" si="10"/>
        <v/>
      </c>
      <c r="G350" s="7">
        <f>最新!F350</f>
        <v>0</v>
      </c>
      <c r="H350" s="14">
        <f>最新!G350</f>
        <v>0</v>
      </c>
      <c r="I350" s="14">
        <f>最新!H350</f>
        <v>0</v>
      </c>
      <c r="K350" s="18">
        <f>IF($A350="","",IFERROR(D350/SUMIFS(履歴10日!$F$2:$F$62000,履歴10日!$C$2:$C$62000,$A350&amp;"",履歴10日!$B$2:$B$62000,C350,履歴10日!$A$2:$A$62000,N$1),""))</f>
      </c>
      <c r="L350" t="str">
        <f t="shared" si="11"/>
        <v/>
      </c>
      <c r="M350" s="18"/>
    </row>
    <row r="351" spans="1:13">
      <c r="A351" s="7">
        <f>最新!A351</f>
        <v>0</v>
      </c>
      <c r="B351" s="7">
        <f>最新!B351</f>
        <v>0</v>
      </c>
      <c r="C351" s="12">
        <f>最新!C351</f>
        <v>0</v>
      </c>
      <c r="D351" s="7">
        <f>最新!E351</f>
        <v>0</v>
      </c>
      <c r="E351" s="7" t="str">
        <f>IF($A351="","",IFERROR(AVERAGEIFS(履歴10日!$F$2:$F$62000,履歴10日!$C$2:$C$62000,$A351&amp;"",履歴10日!$B$2:$B$62000,C351),""))</f>
        <v/>
      </c>
      <c r="F351" s="13" t="str">
        <f t="shared" si="10"/>
        <v/>
      </c>
      <c r="G351" s="7">
        <f>最新!F351</f>
        <v>0</v>
      </c>
      <c r="H351" s="14">
        <f>最新!G351</f>
        <v>0</v>
      </c>
      <c r="I351" s="14">
        <f>最新!H351</f>
        <v>0</v>
      </c>
      <c r="K351" s="18">
        <f>IF($A351="","",IFERROR(D351/SUMIFS(履歴10日!$F$2:$F$62000,履歴10日!$C$2:$C$62000,$A351&amp;"",履歴10日!$B$2:$B$62000,C351,履歴10日!$A$2:$A$62000,N$1),""))</f>
      </c>
      <c r="L351" t="str">
        <f t="shared" si="11"/>
        <v/>
      </c>
      <c r="M351" s="18"/>
    </row>
    <row r="352" spans="1:13">
      <c r="A352" s="7">
        <f>最新!A352</f>
        <v>0</v>
      </c>
      <c r="B352" s="7">
        <f>最新!B352</f>
        <v>0</v>
      </c>
      <c r="C352" s="12">
        <f>最新!C352</f>
        <v>0</v>
      </c>
      <c r="D352" s="7">
        <f>最新!E352</f>
        <v>0</v>
      </c>
      <c r="E352" s="7" t="str">
        <f>IF($A352="","",IFERROR(AVERAGEIFS(履歴10日!$F$2:$F$62000,履歴10日!$C$2:$C$62000,$A352&amp;"",履歴10日!$B$2:$B$62000,C352),""))</f>
        <v/>
      </c>
      <c r="F352" s="13" t="str">
        <f t="shared" si="10"/>
        <v/>
      </c>
      <c r="G352" s="7">
        <f>最新!F352</f>
        <v>0</v>
      </c>
      <c r="H352" s="14">
        <f>最新!G352</f>
        <v>0</v>
      </c>
      <c r="I352" s="14">
        <f>最新!H352</f>
        <v>0</v>
      </c>
      <c r="K352" s="18">
        <f>IF($A352="","",IFERROR(D352/SUMIFS(履歴10日!$F$2:$F$62000,履歴10日!$C$2:$C$62000,$A352&amp;"",履歴10日!$B$2:$B$62000,C352,履歴10日!$A$2:$A$62000,N$1),""))</f>
      </c>
      <c r="L352" t="str">
        <f t="shared" si="11"/>
        <v/>
      </c>
      <c r="M352" s="18"/>
    </row>
    <row r="353" spans="1:13">
      <c r="A353" s="7">
        <f>最新!A353</f>
        <v>0</v>
      </c>
      <c r="B353" s="7">
        <f>最新!B353</f>
        <v>0</v>
      </c>
      <c r="C353" s="12">
        <f>最新!C353</f>
        <v>0</v>
      </c>
      <c r="D353" s="7">
        <f>最新!E353</f>
        <v>0</v>
      </c>
      <c r="E353" s="7" t="str">
        <f>IF($A353="","",IFERROR(AVERAGEIFS(履歴10日!$F$2:$F$62000,履歴10日!$C$2:$C$62000,$A353&amp;"",履歴10日!$B$2:$B$62000,C353),""))</f>
        <v/>
      </c>
      <c r="F353" s="13" t="str">
        <f t="shared" si="10"/>
        <v/>
      </c>
      <c r="G353" s="7">
        <f>最新!F353</f>
        <v>0</v>
      </c>
      <c r="H353" s="14">
        <f>最新!G353</f>
        <v>0</v>
      </c>
      <c r="I353" s="14">
        <f>最新!H353</f>
        <v>0</v>
      </c>
      <c r="K353" s="18">
        <f>IF($A353="","",IFERROR(D353/SUMIFS(履歴10日!$F$2:$F$62000,履歴10日!$C$2:$C$62000,$A353&amp;"",履歴10日!$B$2:$B$62000,C353,履歴10日!$A$2:$A$62000,N$1),""))</f>
      </c>
      <c r="L353" t="str">
        <f t="shared" si="11"/>
        <v/>
      </c>
      <c r="M353" s="18"/>
    </row>
    <row r="354" spans="1:13">
      <c r="A354" s="7">
        <f>最新!A354</f>
        <v>0</v>
      </c>
      <c r="B354" s="7">
        <f>最新!B354</f>
        <v>0</v>
      </c>
      <c r="C354" s="12">
        <f>最新!C354</f>
        <v>0</v>
      </c>
      <c r="D354" s="7">
        <f>最新!E354</f>
        <v>0</v>
      </c>
      <c r="E354" s="7" t="str">
        <f>IF($A354="","",IFERROR(AVERAGEIFS(履歴10日!$F$2:$F$62000,履歴10日!$C$2:$C$62000,$A354&amp;"",履歴10日!$B$2:$B$62000,C354),""))</f>
        <v/>
      </c>
      <c r="F354" s="13" t="str">
        <f t="shared" si="10"/>
        <v/>
      </c>
      <c r="G354" s="7">
        <f>最新!F354</f>
        <v>0</v>
      </c>
      <c r="H354" s="14">
        <f>最新!G354</f>
        <v>0</v>
      </c>
      <c r="I354" s="14">
        <f>最新!H354</f>
        <v>0</v>
      </c>
      <c r="K354" s="18">
        <f>IF($A354="","",IFERROR(D354/SUMIFS(履歴10日!$F$2:$F$62000,履歴10日!$C$2:$C$62000,$A354&amp;"",履歴10日!$B$2:$B$62000,C354,履歴10日!$A$2:$A$62000,N$1),""))</f>
      </c>
      <c r="L354" t="str">
        <f t="shared" si="11"/>
        <v/>
      </c>
      <c r="M354" s="18"/>
    </row>
    <row r="355" spans="1:13">
      <c r="A355" s="7">
        <f>最新!A355</f>
        <v>0</v>
      </c>
      <c r="B355" s="7">
        <f>最新!B355</f>
        <v>0</v>
      </c>
      <c r="C355" s="12">
        <f>最新!C355</f>
        <v>0</v>
      </c>
      <c r="D355" s="7">
        <f>最新!E355</f>
        <v>0</v>
      </c>
      <c r="E355" s="7" t="str">
        <f>IF($A355="","",IFERROR(AVERAGEIFS(履歴10日!$F$2:$F$62000,履歴10日!$C$2:$C$62000,$A355&amp;"",履歴10日!$B$2:$B$62000,C355),""))</f>
        <v/>
      </c>
      <c r="F355" s="13" t="str">
        <f t="shared" si="10"/>
        <v/>
      </c>
      <c r="G355" s="7">
        <f>最新!F355</f>
        <v>0</v>
      </c>
      <c r="H355" s="14">
        <f>最新!G355</f>
        <v>0</v>
      </c>
      <c r="I355" s="14">
        <f>最新!H355</f>
        <v>0</v>
      </c>
      <c r="K355" s="18">
        <f>IF($A355="","",IFERROR(D355/SUMIFS(履歴10日!$F$2:$F$62000,履歴10日!$C$2:$C$62000,$A355&amp;"",履歴10日!$B$2:$B$62000,C355,履歴10日!$A$2:$A$62000,N$1),""))</f>
      </c>
      <c r="L355" t="str">
        <f t="shared" si="11"/>
        <v/>
      </c>
      <c r="M355" s="18"/>
    </row>
    <row r="356" spans="1:13">
      <c r="A356" s="7">
        <f>最新!A356</f>
        <v>0</v>
      </c>
      <c r="B356" s="7">
        <f>最新!B356</f>
        <v>0</v>
      </c>
      <c r="C356" s="12">
        <f>最新!C356</f>
        <v>0</v>
      </c>
      <c r="D356" s="7">
        <f>最新!E356</f>
        <v>0</v>
      </c>
      <c r="E356" s="7" t="str">
        <f>IF($A356="","",IFERROR(AVERAGEIFS(履歴10日!$F$2:$F$62000,履歴10日!$C$2:$C$62000,$A356&amp;"",履歴10日!$B$2:$B$62000,C356),""))</f>
        <v/>
      </c>
      <c r="F356" s="13" t="str">
        <f t="shared" si="10"/>
        <v/>
      </c>
      <c r="G356" s="7">
        <f>最新!F356</f>
        <v>0</v>
      </c>
      <c r="H356" s="14">
        <f>最新!G356</f>
        <v>0</v>
      </c>
      <c r="I356" s="14">
        <f>最新!H356</f>
        <v>0</v>
      </c>
      <c r="K356" s="18">
        <f>IF($A356="","",IFERROR(D356/SUMIFS(履歴10日!$F$2:$F$62000,履歴10日!$C$2:$C$62000,$A356&amp;"",履歴10日!$B$2:$B$62000,C356,履歴10日!$A$2:$A$62000,N$1),""))</f>
      </c>
      <c r="L356" t="str">
        <f t="shared" si="11"/>
        <v/>
      </c>
      <c r="M356" s="18"/>
    </row>
    <row r="357" spans="1:13">
      <c r="A357" s="7">
        <f>最新!A357</f>
        <v>0</v>
      </c>
      <c r="B357" s="7">
        <f>最新!B357</f>
        <v>0</v>
      </c>
      <c r="C357" s="12">
        <f>最新!C357</f>
        <v>0</v>
      </c>
      <c r="D357" s="7">
        <f>最新!E357</f>
        <v>0</v>
      </c>
      <c r="E357" s="7" t="str">
        <f>IF($A357="","",IFERROR(AVERAGEIFS(履歴10日!$F$2:$F$62000,履歴10日!$C$2:$C$62000,$A357&amp;"",履歴10日!$B$2:$B$62000,C357),""))</f>
        <v/>
      </c>
      <c r="F357" s="13" t="str">
        <f t="shared" si="10"/>
        <v/>
      </c>
      <c r="G357" s="7">
        <f>最新!F357</f>
        <v>0</v>
      </c>
      <c r="H357" s="14">
        <f>最新!G357</f>
        <v>0</v>
      </c>
      <c r="I357" s="14">
        <f>最新!H357</f>
        <v>0</v>
      </c>
      <c r="K357" s="18">
        <f>IF($A357="","",IFERROR(D357/SUMIFS(履歴10日!$F$2:$F$62000,履歴10日!$C$2:$C$62000,$A357&amp;"",履歴10日!$B$2:$B$62000,C357,履歴10日!$A$2:$A$62000,N$1),""))</f>
      </c>
      <c r="L357" t="str">
        <f t="shared" si="11"/>
        <v/>
      </c>
      <c r="M357" s="18"/>
    </row>
    <row r="358" spans="1:13">
      <c r="A358" s="7">
        <f>最新!A358</f>
        <v>0</v>
      </c>
      <c r="B358" s="7">
        <f>最新!B358</f>
        <v>0</v>
      </c>
      <c r="C358" s="12">
        <f>最新!C358</f>
        <v>0</v>
      </c>
      <c r="D358" s="7">
        <f>最新!E358</f>
        <v>0</v>
      </c>
      <c r="E358" s="7" t="str">
        <f>IF($A358="","",IFERROR(AVERAGEIFS(履歴10日!$F$2:$F$62000,履歴10日!$C$2:$C$62000,$A358&amp;"",履歴10日!$B$2:$B$62000,C358),""))</f>
        <v/>
      </c>
      <c r="F358" s="13" t="str">
        <f t="shared" si="10"/>
        <v/>
      </c>
      <c r="G358" s="7">
        <f>最新!F358</f>
        <v>0</v>
      </c>
      <c r="H358" s="14">
        <f>最新!G358</f>
        <v>0</v>
      </c>
      <c r="I358" s="14">
        <f>最新!H358</f>
        <v>0</v>
      </c>
      <c r="K358" s="18">
        <f>IF($A358="","",IFERROR(D358/SUMIFS(履歴10日!$F$2:$F$62000,履歴10日!$C$2:$C$62000,$A358&amp;"",履歴10日!$B$2:$B$62000,C358,履歴10日!$A$2:$A$62000,N$1),""))</f>
      </c>
      <c r="L358" t="str">
        <f t="shared" si="11"/>
        <v/>
      </c>
      <c r="M358" s="18"/>
    </row>
    <row r="359" spans="1:13">
      <c r="A359" s="7">
        <f>最新!A359</f>
        <v>0</v>
      </c>
      <c r="B359" s="7">
        <f>最新!B359</f>
        <v>0</v>
      </c>
      <c r="C359" s="12">
        <f>最新!C359</f>
        <v>0</v>
      </c>
      <c r="D359" s="7">
        <f>最新!E359</f>
        <v>0</v>
      </c>
      <c r="E359" s="7" t="str">
        <f>IF($A359="","",IFERROR(AVERAGEIFS(履歴10日!$F$2:$F$62000,履歴10日!$C$2:$C$62000,$A359&amp;"",履歴10日!$B$2:$B$62000,C359),""))</f>
        <v/>
      </c>
      <c r="F359" s="13" t="str">
        <f t="shared" si="10"/>
        <v/>
      </c>
      <c r="G359" s="7">
        <f>最新!F359</f>
        <v>0</v>
      </c>
      <c r="H359" s="14">
        <f>最新!G359</f>
        <v>0</v>
      </c>
      <c r="I359" s="14">
        <f>最新!H359</f>
        <v>0</v>
      </c>
      <c r="K359" s="18">
        <f>IF($A359="","",IFERROR(D359/SUMIFS(履歴10日!$F$2:$F$62000,履歴10日!$C$2:$C$62000,$A359&amp;"",履歴10日!$B$2:$B$62000,C359,履歴10日!$A$2:$A$62000,N$1),""))</f>
      </c>
      <c r="L359" t="str">
        <f t="shared" si="11"/>
        <v/>
      </c>
      <c r="M359" s="18"/>
    </row>
    <row r="360" spans="1:13">
      <c r="A360" s="7">
        <f>最新!A360</f>
        <v>0</v>
      </c>
      <c r="B360" s="7">
        <f>最新!B360</f>
        <v>0</v>
      </c>
      <c r="C360" s="12">
        <f>最新!C360</f>
        <v>0</v>
      </c>
      <c r="D360" s="7">
        <f>最新!E360</f>
        <v>0</v>
      </c>
      <c r="E360" s="7" t="str">
        <f>IF($A360="","",IFERROR(AVERAGEIFS(履歴10日!$F$2:$F$62000,履歴10日!$C$2:$C$62000,$A360&amp;"",履歴10日!$B$2:$B$62000,C360),""))</f>
        <v/>
      </c>
      <c r="F360" s="13" t="str">
        <f t="shared" si="10"/>
        <v/>
      </c>
      <c r="G360" s="7">
        <f>最新!F360</f>
        <v>0</v>
      </c>
      <c r="H360" s="14">
        <f>最新!G360</f>
        <v>0</v>
      </c>
      <c r="I360" s="14">
        <f>最新!H360</f>
        <v>0</v>
      </c>
      <c r="K360" s="18">
        <f>IF($A360="","",IFERROR(D360/SUMIFS(履歴10日!$F$2:$F$62000,履歴10日!$C$2:$C$62000,$A360&amp;"",履歴10日!$B$2:$B$62000,C360,履歴10日!$A$2:$A$62000,N$1),""))</f>
      </c>
      <c r="L360" t="str">
        <f t="shared" si="11"/>
        <v/>
      </c>
      <c r="M360" s="18"/>
    </row>
    <row r="361" spans="1:13">
      <c r="A361" s="7">
        <f>最新!A361</f>
        <v>0</v>
      </c>
      <c r="B361" s="7">
        <f>最新!B361</f>
        <v>0</v>
      </c>
      <c r="C361" s="12">
        <f>最新!C361</f>
        <v>0</v>
      </c>
      <c r="D361" s="7">
        <f>最新!E361</f>
        <v>0</v>
      </c>
      <c r="E361" s="7" t="str">
        <f>IF($A361="","",IFERROR(AVERAGEIFS(履歴10日!$F$2:$F$62000,履歴10日!$C$2:$C$62000,$A361&amp;"",履歴10日!$B$2:$B$62000,C361),""))</f>
        <v/>
      </c>
      <c r="F361" s="13" t="str">
        <f t="shared" si="10"/>
        <v/>
      </c>
      <c r="G361" s="7">
        <f>最新!F361</f>
        <v>0</v>
      </c>
      <c r="H361" s="14">
        <f>最新!G361</f>
        <v>0</v>
      </c>
      <c r="I361" s="14">
        <f>最新!H361</f>
        <v>0</v>
      </c>
      <c r="K361" s="18">
        <f>IF($A361="","",IFERROR(D361/SUMIFS(履歴10日!$F$2:$F$62000,履歴10日!$C$2:$C$62000,$A361&amp;"",履歴10日!$B$2:$B$62000,C361,履歴10日!$A$2:$A$62000,N$1),""))</f>
      </c>
      <c r="L361" t="str">
        <f t="shared" si="11"/>
        <v/>
      </c>
      <c r="M361" s="18"/>
    </row>
    <row r="362" spans="1:13">
      <c r="A362" s="7">
        <f>最新!A362</f>
        <v>0</v>
      </c>
      <c r="B362" s="7">
        <f>最新!B362</f>
        <v>0</v>
      </c>
      <c r="C362" s="12">
        <f>最新!C362</f>
        <v>0</v>
      </c>
      <c r="D362" s="7">
        <f>最新!E362</f>
        <v>0</v>
      </c>
      <c r="E362" s="7" t="str">
        <f>IF($A362="","",IFERROR(AVERAGEIFS(履歴10日!$F$2:$F$62000,履歴10日!$C$2:$C$62000,$A362&amp;"",履歴10日!$B$2:$B$62000,C362),""))</f>
        <v/>
      </c>
      <c r="F362" s="13" t="str">
        <f t="shared" si="10"/>
        <v/>
      </c>
      <c r="G362" s="7">
        <f>最新!F362</f>
        <v>0</v>
      </c>
      <c r="H362" s="14">
        <f>最新!G362</f>
        <v>0</v>
      </c>
      <c r="I362" s="14">
        <f>最新!H362</f>
        <v>0</v>
      </c>
      <c r="K362" s="18">
        <f>IF($A362="","",IFERROR(D362/SUMIFS(履歴10日!$F$2:$F$62000,履歴10日!$C$2:$C$62000,$A362&amp;"",履歴10日!$B$2:$B$62000,C362,履歴10日!$A$2:$A$62000,N$1),""))</f>
      </c>
      <c r="L362" t="str">
        <f t="shared" si="11"/>
        <v/>
      </c>
      <c r="M362" s="18"/>
    </row>
    <row r="363" spans="1:13">
      <c r="A363" s="7">
        <f>最新!A363</f>
        <v>0</v>
      </c>
      <c r="B363" s="7">
        <f>最新!B363</f>
        <v>0</v>
      </c>
      <c r="C363" s="12">
        <f>最新!C363</f>
        <v>0</v>
      </c>
      <c r="D363" s="7">
        <f>最新!E363</f>
        <v>0</v>
      </c>
      <c r="E363" s="7" t="str">
        <f>IF($A363="","",IFERROR(AVERAGEIFS(履歴10日!$F$2:$F$62000,履歴10日!$C$2:$C$62000,$A363&amp;"",履歴10日!$B$2:$B$62000,C363),""))</f>
        <v/>
      </c>
      <c r="F363" s="13" t="str">
        <f t="shared" si="10"/>
        <v/>
      </c>
      <c r="G363" s="7">
        <f>最新!F363</f>
        <v>0</v>
      </c>
      <c r="H363" s="14">
        <f>最新!G363</f>
        <v>0</v>
      </c>
      <c r="I363" s="14">
        <f>最新!H363</f>
        <v>0</v>
      </c>
      <c r="K363" s="18">
        <f>IF($A363="","",IFERROR(D363/SUMIFS(履歴10日!$F$2:$F$62000,履歴10日!$C$2:$C$62000,$A363&amp;"",履歴10日!$B$2:$B$62000,C363,履歴10日!$A$2:$A$62000,N$1),""))</f>
      </c>
      <c r="L363" t="str">
        <f t="shared" si="11"/>
        <v/>
      </c>
      <c r="M363" s="18"/>
    </row>
    <row r="364" spans="1:13">
      <c r="A364" s="7">
        <f>最新!A364</f>
        <v>0</v>
      </c>
      <c r="B364" s="7">
        <f>最新!B364</f>
        <v>0</v>
      </c>
      <c r="C364" s="12">
        <f>最新!C364</f>
        <v>0</v>
      </c>
      <c r="D364" s="7">
        <f>最新!E364</f>
        <v>0</v>
      </c>
      <c r="E364" s="7" t="str">
        <f>IF($A364="","",IFERROR(AVERAGEIFS(履歴10日!$F$2:$F$62000,履歴10日!$C$2:$C$62000,$A364&amp;"",履歴10日!$B$2:$B$62000,C364),""))</f>
        <v/>
      </c>
      <c r="F364" s="13" t="str">
        <f t="shared" si="10"/>
        <v/>
      </c>
      <c r="G364" s="7">
        <f>最新!F364</f>
        <v>0</v>
      </c>
      <c r="H364" s="14">
        <f>最新!G364</f>
        <v>0</v>
      </c>
      <c r="I364" s="14">
        <f>最新!H364</f>
        <v>0</v>
      </c>
      <c r="K364" s="18">
        <f>IF($A364="","",IFERROR(D364/SUMIFS(履歴10日!$F$2:$F$62000,履歴10日!$C$2:$C$62000,$A364&amp;"",履歴10日!$B$2:$B$62000,C364,履歴10日!$A$2:$A$62000,N$1),""))</f>
      </c>
      <c r="L364" t="str">
        <f t="shared" si="11"/>
        <v/>
      </c>
      <c r="M364" s="18"/>
    </row>
    <row r="365" spans="1:13">
      <c r="A365" s="7">
        <f>最新!A365</f>
        <v>0</v>
      </c>
      <c r="B365" s="7">
        <f>最新!B365</f>
        <v>0</v>
      </c>
      <c r="C365" s="12">
        <f>最新!C365</f>
        <v>0</v>
      </c>
      <c r="D365" s="7">
        <f>最新!E365</f>
        <v>0</v>
      </c>
      <c r="E365" s="7" t="str">
        <f>IF($A365="","",IFERROR(AVERAGEIFS(履歴10日!$F$2:$F$62000,履歴10日!$C$2:$C$62000,$A365&amp;"",履歴10日!$B$2:$B$62000,C365),""))</f>
        <v/>
      </c>
      <c r="F365" s="13" t="str">
        <f t="shared" si="10"/>
        <v/>
      </c>
      <c r="G365" s="7">
        <f>最新!F365</f>
        <v>0</v>
      </c>
      <c r="H365" s="14">
        <f>最新!G365</f>
        <v>0</v>
      </c>
      <c r="I365" s="14">
        <f>最新!H365</f>
        <v>0</v>
      </c>
      <c r="K365" s="18">
        <f>IF($A365="","",IFERROR(D365/SUMIFS(履歴10日!$F$2:$F$62000,履歴10日!$C$2:$C$62000,$A365&amp;"",履歴10日!$B$2:$B$62000,C365,履歴10日!$A$2:$A$62000,N$1),""))</f>
      </c>
      <c r="L365" t="str">
        <f t="shared" si="11"/>
        <v/>
      </c>
      <c r="M365" s="18"/>
    </row>
    <row r="366" spans="1:13">
      <c r="A366" s="7">
        <f>最新!A366</f>
        <v>0</v>
      </c>
      <c r="B366" s="7">
        <f>最新!B366</f>
        <v>0</v>
      </c>
      <c r="C366" s="12">
        <f>最新!C366</f>
        <v>0</v>
      </c>
      <c r="D366" s="7">
        <f>最新!E366</f>
        <v>0</v>
      </c>
      <c r="E366" s="7" t="str">
        <f>IF($A366="","",IFERROR(AVERAGEIFS(履歴10日!$F$2:$F$62000,履歴10日!$C$2:$C$62000,$A366&amp;"",履歴10日!$B$2:$B$62000,C366),""))</f>
        <v/>
      </c>
      <c r="F366" s="13" t="str">
        <f t="shared" si="10"/>
        <v/>
      </c>
      <c r="G366" s="7">
        <f>最新!F366</f>
        <v>0</v>
      </c>
      <c r="H366" s="14">
        <f>最新!G366</f>
        <v>0</v>
      </c>
      <c r="I366" s="14">
        <f>最新!H366</f>
        <v>0</v>
      </c>
      <c r="K366" s="18">
        <f>IF($A366="","",IFERROR(D366/SUMIFS(履歴10日!$F$2:$F$62000,履歴10日!$C$2:$C$62000,$A366&amp;"",履歴10日!$B$2:$B$62000,C366,履歴10日!$A$2:$A$62000,N$1),""))</f>
      </c>
      <c r="L366" t="str">
        <f t="shared" si="11"/>
        <v/>
      </c>
      <c r="M366" s="18"/>
    </row>
    <row r="367" spans="1:13">
      <c r="A367" s="7">
        <f>最新!A367</f>
        <v>0</v>
      </c>
      <c r="B367" s="7">
        <f>最新!B367</f>
        <v>0</v>
      </c>
      <c r="C367" s="12">
        <f>最新!C367</f>
        <v>0</v>
      </c>
      <c r="D367" s="7">
        <f>最新!E367</f>
        <v>0</v>
      </c>
      <c r="E367" s="7" t="str">
        <f>IF($A367="","",IFERROR(AVERAGEIFS(履歴10日!$F$2:$F$62000,履歴10日!$C$2:$C$62000,$A367&amp;"",履歴10日!$B$2:$B$62000,C367),""))</f>
        <v/>
      </c>
      <c r="F367" s="13" t="str">
        <f t="shared" si="10"/>
        <v/>
      </c>
      <c r="G367" s="7">
        <f>最新!F367</f>
        <v>0</v>
      </c>
      <c r="H367" s="14">
        <f>最新!G367</f>
        <v>0</v>
      </c>
      <c r="I367" s="14">
        <f>最新!H367</f>
        <v>0</v>
      </c>
      <c r="K367" s="18">
        <f>IF($A367="","",IFERROR(D367/SUMIFS(履歴10日!$F$2:$F$62000,履歴10日!$C$2:$C$62000,$A367&amp;"",履歴10日!$B$2:$B$62000,C367,履歴10日!$A$2:$A$62000,N$1),""))</f>
      </c>
      <c r="L367" t="str">
        <f t="shared" si="11"/>
        <v/>
      </c>
      <c r="M367" s="18"/>
    </row>
    <row r="368" spans="1:13">
      <c r="A368" s="7">
        <f>最新!A368</f>
        <v>0</v>
      </c>
      <c r="B368" s="7">
        <f>最新!B368</f>
        <v>0</v>
      </c>
      <c r="C368" s="12">
        <f>最新!C368</f>
        <v>0</v>
      </c>
      <c r="D368" s="7">
        <f>最新!E368</f>
        <v>0</v>
      </c>
      <c r="E368" s="7" t="str">
        <f>IF($A368="","",IFERROR(AVERAGEIFS(履歴10日!$F$2:$F$62000,履歴10日!$C$2:$C$62000,$A368&amp;"",履歴10日!$B$2:$B$62000,C368),""))</f>
        <v/>
      </c>
      <c r="F368" s="13" t="str">
        <f t="shared" si="10"/>
        <v/>
      </c>
      <c r="G368" s="7">
        <f>最新!F368</f>
        <v>0</v>
      </c>
      <c r="H368" s="14">
        <f>最新!G368</f>
        <v>0</v>
      </c>
      <c r="I368" s="14">
        <f>最新!H368</f>
        <v>0</v>
      </c>
      <c r="K368" s="18">
        <f>IF($A368="","",IFERROR(D368/SUMIFS(履歴10日!$F$2:$F$62000,履歴10日!$C$2:$C$62000,$A368&amp;"",履歴10日!$B$2:$B$62000,C368,履歴10日!$A$2:$A$62000,N$1),""))</f>
      </c>
      <c r="L368" t="str">
        <f t="shared" si="11"/>
        <v/>
      </c>
      <c r="M368" s="18"/>
    </row>
    <row r="369" spans="1:13">
      <c r="A369" s="7">
        <f>最新!A369</f>
        <v>0</v>
      </c>
      <c r="B369" s="7">
        <f>最新!B369</f>
        <v>0</v>
      </c>
      <c r="C369" s="12">
        <f>最新!C369</f>
        <v>0</v>
      </c>
      <c r="D369" s="7">
        <f>最新!E369</f>
        <v>0</v>
      </c>
      <c r="E369" s="7" t="str">
        <f>IF($A369="","",IFERROR(AVERAGEIFS(履歴10日!$F$2:$F$62000,履歴10日!$C$2:$C$62000,$A369&amp;"",履歴10日!$B$2:$B$62000,C369),""))</f>
        <v/>
      </c>
      <c r="F369" s="13" t="str">
        <f t="shared" si="10"/>
        <v/>
      </c>
      <c r="G369" s="7">
        <f>最新!F369</f>
        <v>0</v>
      </c>
      <c r="H369" s="14">
        <f>最新!G369</f>
        <v>0</v>
      </c>
      <c r="I369" s="14">
        <f>最新!H369</f>
        <v>0</v>
      </c>
      <c r="K369" s="18">
        <f>IF($A369="","",IFERROR(D369/SUMIFS(履歴10日!$F$2:$F$62000,履歴10日!$C$2:$C$62000,$A369&amp;"",履歴10日!$B$2:$B$62000,C369,履歴10日!$A$2:$A$62000,N$1),""))</f>
      </c>
      <c r="L369" t="str">
        <f t="shared" si="11"/>
        <v/>
      </c>
      <c r="M369" s="18"/>
    </row>
    <row r="370" spans="1:13">
      <c r="A370" s="7">
        <f>最新!A370</f>
        <v>0</v>
      </c>
      <c r="B370" s="7">
        <f>最新!B370</f>
        <v>0</v>
      </c>
      <c r="C370" s="12">
        <f>最新!C370</f>
        <v>0</v>
      </c>
      <c r="D370" s="7">
        <f>最新!E370</f>
        <v>0</v>
      </c>
      <c r="E370" s="7" t="str">
        <f>IF($A370="","",IFERROR(AVERAGEIFS(履歴10日!$F$2:$F$62000,履歴10日!$C$2:$C$62000,$A370&amp;"",履歴10日!$B$2:$B$62000,C370),""))</f>
        <v/>
      </c>
      <c r="F370" s="13" t="str">
        <f t="shared" si="10"/>
        <v/>
      </c>
      <c r="G370" s="7">
        <f>最新!F370</f>
        <v>0</v>
      </c>
      <c r="H370" s="14">
        <f>最新!G370</f>
        <v>0</v>
      </c>
      <c r="I370" s="14">
        <f>最新!H370</f>
        <v>0</v>
      </c>
      <c r="K370" s="18">
        <f>IF($A370="","",IFERROR(D370/SUMIFS(履歴10日!$F$2:$F$62000,履歴10日!$C$2:$C$62000,$A370&amp;"",履歴10日!$B$2:$B$62000,C370,履歴10日!$A$2:$A$62000,N$1),""))</f>
      </c>
      <c r="L370" t="str">
        <f t="shared" si="11"/>
        <v/>
      </c>
      <c r="M370" s="18"/>
    </row>
    <row r="371" spans="1:13">
      <c r="A371" s="7">
        <f>最新!A371</f>
        <v>0</v>
      </c>
      <c r="B371" s="7">
        <f>最新!B371</f>
        <v>0</v>
      </c>
      <c r="C371" s="12">
        <f>最新!C371</f>
        <v>0</v>
      </c>
      <c r="D371" s="7">
        <f>最新!E371</f>
        <v>0</v>
      </c>
      <c r="E371" s="7" t="str">
        <f>IF($A371="","",IFERROR(AVERAGEIFS(履歴10日!$F$2:$F$62000,履歴10日!$C$2:$C$62000,$A371&amp;"",履歴10日!$B$2:$B$62000,C371),""))</f>
        <v/>
      </c>
      <c r="F371" s="13" t="str">
        <f t="shared" si="10"/>
        <v/>
      </c>
      <c r="G371" s="7">
        <f>最新!F371</f>
        <v>0</v>
      </c>
      <c r="H371" s="14">
        <f>最新!G371</f>
        <v>0</v>
      </c>
      <c r="I371" s="14">
        <f>最新!H371</f>
        <v>0</v>
      </c>
      <c r="K371" s="18">
        <f>IF($A371="","",IFERROR(D371/SUMIFS(履歴10日!$F$2:$F$62000,履歴10日!$C$2:$C$62000,$A371&amp;"",履歴10日!$B$2:$B$62000,C371,履歴10日!$A$2:$A$62000,N$1),""))</f>
      </c>
      <c r="L371" t="str">
        <f t="shared" si="11"/>
        <v/>
      </c>
      <c r="M371" s="18"/>
    </row>
    <row r="372" spans="1:13">
      <c r="A372" s="7">
        <f>最新!A372</f>
        <v>0</v>
      </c>
      <c r="B372" s="7">
        <f>最新!B372</f>
        <v>0</v>
      </c>
      <c r="C372" s="12">
        <f>最新!C372</f>
        <v>0</v>
      </c>
      <c r="D372" s="7">
        <f>最新!E372</f>
        <v>0</v>
      </c>
      <c r="E372" s="7" t="str">
        <f>IF($A372="","",IFERROR(AVERAGEIFS(履歴10日!$F$2:$F$62000,履歴10日!$C$2:$C$62000,$A372&amp;"",履歴10日!$B$2:$B$62000,C372),""))</f>
        <v/>
      </c>
      <c r="F372" s="13" t="str">
        <f t="shared" si="10"/>
        <v/>
      </c>
      <c r="G372" s="7">
        <f>最新!F372</f>
        <v>0</v>
      </c>
      <c r="H372" s="14">
        <f>最新!G372</f>
        <v>0</v>
      </c>
      <c r="I372" s="14">
        <f>最新!H372</f>
        <v>0</v>
      </c>
      <c r="K372" s="18">
        <f>IF($A372="","",IFERROR(D372/SUMIFS(履歴10日!$F$2:$F$62000,履歴10日!$C$2:$C$62000,$A372&amp;"",履歴10日!$B$2:$B$62000,C372,履歴10日!$A$2:$A$62000,N$1),""))</f>
      </c>
      <c r="L372" t="str">
        <f t="shared" si="11"/>
        <v/>
      </c>
      <c r="M372" s="18"/>
    </row>
    <row r="373" spans="1:13">
      <c r="A373" s="7">
        <f>最新!A373</f>
        <v>0</v>
      </c>
      <c r="B373" s="7">
        <f>最新!B373</f>
        <v>0</v>
      </c>
      <c r="C373" s="12">
        <f>最新!C373</f>
        <v>0</v>
      </c>
      <c r="D373" s="7">
        <f>最新!E373</f>
        <v>0</v>
      </c>
      <c r="E373" s="7" t="str">
        <f>IF($A373="","",IFERROR(AVERAGEIFS(履歴10日!$F$2:$F$62000,履歴10日!$C$2:$C$62000,$A373&amp;"",履歴10日!$B$2:$B$62000,C373),""))</f>
        <v/>
      </c>
      <c r="F373" s="13" t="str">
        <f t="shared" si="10"/>
        <v/>
      </c>
      <c r="G373" s="7">
        <f>最新!F373</f>
        <v>0</v>
      </c>
      <c r="H373" s="14">
        <f>最新!G373</f>
        <v>0</v>
      </c>
      <c r="I373" s="14">
        <f>最新!H373</f>
        <v>0</v>
      </c>
      <c r="K373" s="18">
        <f>IF($A373="","",IFERROR(D373/SUMIFS(履歴10日!$F$2:$F$62000,履歴10日!$C$2:$C$62000,$A373&amp;"",履歴10日!$B$2:$B$62000,C373,履歴10日!$A$2:$A$62000,N$1),""))</f>
      </c>
      <c r="L373" t="str">
        <f t="shared" si="11"/>
        <v/>
      </c>
      <c r="M373" s="18"/>
    </row>
    <row r="374" spans="1:13">
      <c r="A374" s="7">
        <f>最新!A374</f>
        <v>0</v>
      </c>
      <c r="B374" s="7">
        <f>最新!B374</f>
        <v>0</v>
      </c>
      <c r="C374" s="12">
        <f>最新!C374</f>
        <v>0</v>
      </c>
      <c r="D374" s="7">
        <f>最新!E374</f>
        <v>0</v>
      </c>
      <c r="E374" s="7" t="str">
        <f>IF($A374="","",IFERROR(AVERAGEIFS(履歴10日!$F$2:$F$62000,履歴10日!$C$2:$C$62000,$A374&amp;"",履歴10日!$B$2:$B$62000,C374),""))</f>
        <v/>
      </c>
      <c r="F374" s="13" t="str">
        <f t="shared" si="10"/>
        <v/>
      </c>
      <c r="G374" s="7">
        <f>最新!F374</f>
        <v>0</v>
      </c>
      <c r="H374" s="14">
        <f>最新!G374</f>
        <v>0</v>
      </c>
      <c r="I374" s="14">
        <f>最新!H374</f>
        <v>0</v>
      </c>
      <c r="K374" s="18">
        <f>IF($A374="","",IFERROR(D374/SUMIFS(履歴10日!$F$2:$F$62000,履歴10日!$C$2:$C$62000,$A374&amp;"",履歴10日!$B$2:$B$62000,C374,履歴10日!$A$2:$A$62000,N$1),""))</f>
      </c>
      <c r="L374" t="str">
        <f t="shared" si="11"/>
        <v/>
      </c>
      <c r="M374" s="18"/>
    </row>
    <row r="375" spans="1:13">
      <c r="A375" s="7">
        <f>最新!A375</f>
        <v>0</v>
      </c>
      <c r="B375" s="7">
        <f>最新!B375</f>
        <v>0</v>
      </c>
      <c r="C375" s="12">
        <f>最新!C375</f>
        <v>0</v>
      </c>
      <c r="D375" s="7">
        <f>最新!E375</f>
        <v>0</v>
      </c>
      <c r="E375" s="7" t="str">
        <f>IF($A375="","",IFERROR(AVERAGEIFS(履歴10日!$F$2:$F$62000,履歴10日!$C$2:$C$62000,$A375&amp;"",履歴10日!$B$2:$B$62000,C375),""))</f>
        <v/>
      </c>
      <c r="F375" s="13" t="str">
        <f t="shared" si="10"/>
        <v/>
      </c>
      <c r="G375" s="7">
        <f>最新!F375</f>
        <v>0</v>
      </c>
      <c r="H375" s="14">
        <f>最新!G375</f>
        <v>0</v>
      </c>
      <c r="I375" s="14">
        <f>最新!H375</f>
        <v>0</v>
      </c>
      <c r="K375" s="18">
        <f>IF($A375="","",IFERROR(D375/SUMIFS(履歴10日!$F$2:$F$62000,履歴10日!$C$2:$C$62000,$A375&amp;"",履歴10日!$B$2:$B$62000,C375,履歴10日!$A$2:$A$62000,N$1),""))</f>
      </c>
      <c r="L375" t="str">
        <f t="shared" si="11"/>
        <v/>
      </c>
      <c r="M375" s="18"/>
    </row>
    <row r="376" spans="1:13">
      <c r="A376" s="7">
        <f>最新!A376</f>
        <v>0</v>
      </c>
      <c r="B376" s="7">
        <f>最新!B376</f>
        <v>0</v>
      </c>
      <c r="C376" s="12">
        <f>最新!C376</f>
        <v>0</v>
      </c>
      <c r="D376" s="7">
        <f>最新!E376</f>
        <v>0</v>
      </c>
      <c r="E376" s="7" t="str">
        <f>IF($A376="","",IFERROR(AVERAGEIFS(履歴10日!$F$2:$F$62000,履歴10日!$C$2:$C$62000,$A376&amp;"",履歴10日!$B$2:$B$62000,C376),""))</f>
        <v/>
      </c>
      <c r="F376" s="13" t="str">
        <f t="shared" si="10"/>
        <v/>
      </c>
      <c r="G376" s="7">
        <f>最新!F376</f>
        <v>0</v>
      </c>
      <c r="H376" s="14">
        <f>最新!G376</f>
        <v>0</v>
      </c>
      <c r="I376" s="14">
        <f>最新!H376</f>
        <v>0</v>
      </c>
      <c r="K376" s="18">
        <f>IF($A376="","",IFERROR(D376/SUMIFS(履歴10日!$F$2:$F$62000,履歴10日!$C$2:$C$62000,$A376&amp;"",履歴10日!$B$2:$B$62000,C376,履歴10日!$A$2:$A$62000,N$1),""))</f>
      </c>
      <c r="L376" t="str">
        <f t="shared" si="11"/>
        <v/>
      </c>
      <c r="M376" s="18"/>
    </row>
    <row r="377" spans="1:13">
      <c r="A377" s="7">
        <f>最新!A377</f>
        <v>0</v>
      </c>
      <c r="B377" s="7">
        <f>最新!B377</f>
        <v>0</v>
      </c>
      <c r="C377" s="12">
        <f>最新!C377</f>
        <v>0</v>
      </c>
      <c r="D377" s="7">
        <f>最新!E377</f>
        <v>0</v>
      </c>
      <c r="E377" s="7" t="str">
        <f>IF($A377="","",IFERROR(AVERAGEIFS(履歴10日!$F$2:$F$62000,履歴10日!$C$2:$C$62000,$A377&amp;"",履歴10日!$B$2:$B$62000,C377),""))</f>
        <v/>
      </c>
      <c r="F377" s="13" t="str">
        <f t="shared" si="10"/>
        <v/>
      </c>
      <c r="G377" s="7">
        <f>最新!F377</f>
        <v>0</v>
      </c>
      <c r="H377" s="14">
        <f>最新!G377</f>
        <v>0</v>
      </c>
      <c r="I377" s="14">
        <f>最新!H377</f>
        <v>0</v>
      </c>
      <c r="K377" s="18">
        <f>IF($A377="","",IFERROR(D377/SUMIFS(履歴10日!$F$2:$F$62000,履歴10日!$C$2:$C$62000,$A377&amp;"",履歴10日!$B$2:$B$62000,C377,履歴10日!$A$2:$A$62000,N$1),""))</f>
      </c>
      <c r="L377" t="str">
        <f t="shared" si="11"/>
        <v/>
      </c>
      <c r="M377" s="18"/>
    </row>
    <row r="378" spans="1:13">
      <c r="A378" s="7">
        <f>最新!A378</f>
        <v>0</v>
      </c>
      <c r="B378" s="7">
        <f>最新!B378</f>
        <v>0</v>
      </c>
      <c r="C378" s="12">
        <f>最新!C378</f>
        <v>0</v>
      </c>
      <c r="D378" s="7">
        <f>最新!E378</f>
        <v>0</v>
      </c>
      <c r="E378" s="7" t="str">
        <f>IF($A378="","",IFERROR(AVERAGEIFS(履歴10日!$F$2:$F$62000,履歴10日!$C$2:$C$62000,$A378&amp;"",履歴10日!$B$2:$B$62000,C378),""))</f>
        <v/>
      </c>
      <c r="F378" s="13" t="str">
        <f t="shared" si="10"/>
        <v/>
      </c>
      <c r="G378" s="7">
        <f>最新!F378</f>
        <v>0</v>
      </c>
      <c r="H378" s="14">
        <f>最新!G378</f>
        <v>0</v>
      </c>
      <c r="I378" s="14">
        <f>最新!H378</f>
        <v>0</v>
      </c>
      <c r="K378" s="18">
        <f>IF($A378="","",IFERROR(D378/SUMIFS(履歴10日!$F$2:$F$62000,履歴10日!$C$2:$C$62000,$A378&amp;"",履歴10日!$B$2:$B$62000,C378,履歴10日!$A$2:$A$62000,N$1),""))</f>
      </c>
      <c r="L378" t="str">
        <f t="shared" si="11"/>
        <v/>
      </c>
      <c r="M378" s="18"/>
    </row>
    <row r="379" spans="1:13">
      <c r="A379" s="7">
        <f>最新!A379</f>
        <v>0</v>
      </c>
      <c r="B379" s="7">
        <f>最新!B379</f>
        <v>0</v>
      </c>
      <c r="C379" s="12">
        <f>最新!C379</f>
        <v>0</v>
      </c>
      <c r="D379" s="7">
        <f>最新!E379</f>
        <v>0</v>
      </c>
      <c r="E379" s="7" t="str">
        <f>IF($A379="","",IFERROR(AVERAGEIFS(履歴10日!$F$2:$F$62000,履歴10日!$C$2:$C$62000,$A379&amp;"",履歴10日!$B$2:$B$62000,C379),""))</f>
        <v/>
      </c>
      <c r="F379" s="13" t="str">
        <f t="shared" si="10"/>
        <v/>
      </c>
      <c r="G379" s="7">
        <f>最新!F379</f>
        <v>0</v>
      </c>
      <c r="H379" s="14">
        <f>最新!G379</f>
        <v>0</v>
      </c>
      <c r="I379" s="14">
        <f>最新!H379</f>
        <v>0</v>
      </c>
      <c r="K379" s="18">
        <f>IF($A379="","",IFERROR(D379/SUMIFS(履歴10日!$F$2:$F$62000,履歴10日!$C$2:$C$62000,$A379&amp;"",履歴10日!$B$2:$B$62000,C379,履歴10日!$A$2:$A$62000,N$1),""))</f>
      </c>
      <c r="L379" t="str">
        <f t="shared" si="11"/>
        <v/>
      </c>
      <c r="M379" s="18"/>
    </row>
    <row r="380" spans="1:13">
      <c r="A380" s="7">
        <f>最新!A380</f>
        <v>0</v>
      </c>
      <c r="B380" s="7">
        <f>最新!B380</f>
        <v>0</v>
      </c>
      <c r="C380" s="12">
        <f>最新!C380</f>
        <v>0</v>
      </c>
      <c r="D380" s="7">
        <f>最新!E380</f>
        <v>0</v>
      </c>
      <c r="E380" s="7" t="str">
        <f>IF($A380="","",IFERROR(AVERAGEIFS(履歴10日!$F$2:$F$62000,履歴10日!$C$2:$C$62000,$A380&amp;"",履歴10日!$B$2:$B$62000,C380),""))</f>
        <v/>
      </c>
      <c r="F380" s="13" t="str">
        <f t="shared" si="10"/>
        <v/>
      </c>
      <c r="G380" s="7">
        <f>最新!F380</f>
        <v>0</v>
      </c>
      <c r="H380" s="14">
        <f>最新!G380</f>
        <v>0</v>
      </c>
      <c r="I380" s="14">
        <f>最新!H380</f>
        <v>0</v>
      </c>
      <c r="K380" s="18">
        <f>IF($A380="","",IFERROR(D380/SUMIFS(履歴10日!$F$2:$F$62000,履歴10日!$C$2:$C$62000,$A380&amp;"",履歴10日!$B$2:$B$62000,C380,履歴10日!$A$2:$A$62000,N$1),""))</f>
      </c>
      <c r="L380" t="str">
        <f t="shared" si="11"/>
        <v/>
      </c>
      <c r="M380" s="18"/>
    </row>
    <row r="381" spans="1:13">
      <c r="A381" s="7">
        <f>最新!A381</f>
        <v>0</v>
      </c>
      <c r="B381" s="7">
        <f>最新!B381</f>
        <v>0</v>
      </c>
      <c r="C381" s="12">
        <f>最新!C381</f>
        <v>0</v>
      </c>
      <c r="D381" s="7">
        <f>最新!E381</f>
        <v>0</v>
      </c>
      <c r="E381" s="7" t="str">
        <f>IF($A381="","",IFERROR(AVERAGEIFS(履歴10日!$F$2:$F$62000,履歴10日!$C$2:$C$62000,$A381&amp;"",履歴10日!$B$2:$B$62000,C381),""))</f>
        <v/>
      </c>
      <c r="F381" s="13" t="str">
        <f t="shared" si="10"/>
        <v/>
      </c>
      <c r="G381" s="7">
        <f>最新!F381</f>
        <v>0</v>
      </c>
      <c r="H381" s="14">
        <f>最新!G381</f>
        <v>0</v>
      </c>
      <c r="I381" s="14">
        <f>最新!H381</f>
        <v>0</v>
      </c>
      <c r="K381" s="18">
        <f>IF($A381="","",IFERROR(D381/SUMIFS(履歴10日!$F$2:$F$62000,履歴10日!$C$2:$C$62000,$A381&amp;"",履歴10日!$B$2:$B$62000,C381,履歴10日!$A$2:$A$62000,N$1),""))</f>
      </c>
      <c r="L381" t="str">
        <f t="shared" si="11"/>
        <v/>
      </c>
      <c r="M381" s="18"/>
    </row>
    <row r="382" spans="1:13">
      <c r="A382" s="7">
        <f>最新!A382</f>
        <v>0</v>
      </c>
      <c r="B382" s="7">
        <f>最新!B382</f>
        <v>0</v>
      </c>
      <c r="C382" s="12">
        <f>最新!C382</f>
        <v>0</v>
      </c>
      <c r="D382" s="7">
        <f>最新!E382</f>
        <v>0</v>
      </c>
      <c r="E382" s="7" t="str">
        <f>IF($A382="","",IFERROR(AVERAGEIFS(履歴10日!$F$2:$F$62000,履歴10日!$C$2:$C$62000,$A382&amp;"",履歴10日!$B$2:$B$62000,C382),""))</f>
        <v/>
      </c>
      <c r="F382" s="13" t="str">
        <f t="shared" si="10"/>
        <v/>
      </c>
      <c r="G382" s="7">
        <f>最新!F382</f>
        <v>0</v>
      </c>
      <c r="H382" s="14">
        <f>最新!G382</f>
        <v>0</v>
      </c>
      <c r="I382" s="14">
        <f>最新!H382</f>
        <v>0</v>
      </c>
      <c r="K382" s="18">
        <f>IF($A382="","",IFERROR(D382/SUMIFS(履歴10日!$F$2:$F$62000,履歴10日!$C$2:$C$62000,$A382&amp;"",履歴10日!$B$2:$B$62000,C382,履歴10日!$A$2:$A$62000,N$1),""))</f>
      </c>
      <c r="L382" t="str">
        <f t="shared" si="11"/>
        <v/>
      </c>
      <c r="M382" s="18"/>
    </row>
    <row r="383" spans="1:13">
      <c r="A383" s="7">
        <f>最新!A383</f>
        <v>0</v>
      </c>
      <c r="B383" s="7">
        <f>最新!B383</f>
        <v>0</v>
      </c>
      <c r="C383" s="12">
        <f>最新!C383</f>
        <v>0</v>
      </c>
      <c r="D383" s="7">
        <f>最新!E383</f>
        <v>0</v>
      </c>
      <c r="E383" s="7" t="str">
        <f>IF($A383="","",IFERROR(AVERAGEIFS(履歴10日!$F$2:$F$62000,履歴10日!$C$2:$C$62000,$A383&amp;"",履歴10日!$B$2:$B$62000,C383),""))</f>
        <v/>
      </c>
      <c r="F383" s="13" t="str">
        <f t="shared" si="10"/>
        <v/>
      </c>
      <c r="G383" s="7">
        <f>最新!F383</f>
        <v>0</v>
      </c>
      <c r="H383" s="14">
        <f>最新!G383</f>
        <v>0</v>
      </c>
      <c r="I383" s="14">
        <f>最新!H383</f>
        <v>0</v>
      </c>
      <c r="K383" s="18">
        <f>IF($A383="","",IFERROR(D383/SUMIFS(履歴10日!$F$2:$F$62000,履歴10日!$C$2:$C$62000,$A383&amp;"",履歴10日!$B$2:$B$62000,C383,履歴10日!$A$2:$A$62000,N$1),""))</f>
      </c>
      <c r="L383" t="str">
        <f t="shared" si="11"/>
        <v/>
      </c>
      <c r="M383" s="18"/>
    </row>
    <row r="384" spans="1:13">
      <c r="A384" s="7">
        <f>最新!A384</f>
        <v>0</v>
      </c>
      <c r="B384" s="7">
        <f>最新!B384</f>
        <v>0</v>
      </c>
      <c r="C384" s="12">
        <f>最新!C384</f>
        <v>0</v>
      </c>
      <c r="D384" s="7">
        <f>最新!E384</f>
        <v>0</v>
      </c>
      <c r="E384" s="7" t="str">
        <f>IF($A384="","",IFERROR(AVERAGEIFS(履歴10日!$F$2:$F$62000,履歴10日!$C$2:$C$62000,$A384&amp;"",履歴10日!$B$2:$B$62000,C384),""))</f>
        <v/>
      </c>
      <c r="F384" s="13" t="str">
        <f t="shared" si="10"/>
        <v/>
      </c>
      <c r="G384" s="7">
        <f>最新!F384</f>
        <v>0</v>
      </c>
      <c r="H384" s="14">
        <f>最新!G384</f>
        <v>0</v>
      </c>
      <c r="I384" s="14">
        <f>最新!H384</f>
        <v>0</v>
      </c>
      <c r="K384" s="18">
        <f>IF($A384="","",IFERROR(D384/SUMIFS(履歴10日!$F$2:$F$62000,履歴10日!$C$2:$C$62000,$A384&amp;"",履歴10日!$B$2:$B$62000,C384,履歴10日!$A$2:$A$62000,N$1),""))</f>
      </c>
      <c r="L384" t="str">
        <f t="shared" si="11"/>
        <v/>
      </c>
      <c r="M384" s="18"/>
    </row>
    <row r="385" spans="1:13">
      <c r="A385" s="7">
        <f>最新!A385</f>
        <v>0</v>
      </c>
      <c r="B385" s="7">
        <f>最新!B385</f>
        <v>0</v>
      </c>
      <c r="C385" s="12">
        <f>最新!C385</f>
        <v>0</v>
      </c>
      <c r="D385" s="7">
        <f>最新!E385</f>
        <v>0</v>
      </c>
      <c r="E385" s="7" t="str">
        <f>IF($A385="","",IFERROR(AVERAGEIFS(履歴10日!$F$2:$F$62000,履歴10日!$C$2:$C$62000,$A385&amp;"",履歴10日!$B$2:$B$62000,C385),""))</f>
        <v/>
      </c>
      <c r="F385" s="13" t="str">
        <f t="shared" si="10"/>
        <v/>
      </c>
      <c r="G385" s="7">
        <f>最新!F385</f>
        <v>0</v>
      </c>
      <c r="H385" s="14">
        <f>最新!G385</f>
        <v>0</v>
      </c>
      <c r="I385" s="14">
        <f>最新!H385</f>
        <v>0</v>
      </c>
      <c r="K385" s="18">
        <f>IF($A385="","",IFERROR(D385/SUMIFS(履歴10日!$F$2:$F$62000,履歴10日!$C$2:$C$62000,$A385&amp;"",履歴10日!$B$2:$B$62000,C385,履歴10日!$A$2:$A$62000,N$1),""))</f>
      </c>
      <c r="L385" t="str">
        <f t="shared" si="11"/>
        <v/>
      </c>
      <c r="M385" s="18"/>
    </row>
    <row r="386" spans="1:13">
      <c r="A386" s="7">
        <f>最新!A386</f>
        <v>0</v>
      </c>
      <c r="B386" s="7">
        <f>最新!B386</f>
        <v>0</v>
      </c>
      <c r="C386" s="12">
        <f>最新!C386</f>
        <v>0</v>
      </c>
      <c r="D386" s="7">
        <f>最新!E386</f>
        <v>0</v>
      </c>
      <c r="E386" s="7" t="str">
        <f>IF($A386="","",IFERROR(AVERAGEIFS(履歴10日!$F$2:$F$62000,履歴10日!$C$2:$C$62000,$A386&amp;"",履歴10日!$B$2:$B$62000,C386),""))</f>
        <v/>
      </c>
      <c r="F386" s="13" t="str">
        <f t="shared" ref="F386:F401" si="12">IF(OR(D386="",E386="",E386=0),"",D386/E386)</f>
        <v/>
      </c>
      <c r="G386" s="7">
        <f>最新!F386</f>
        <v>0</v>
      </c>
      <c r="H386" s="14">
        <f>最新!G386</f>
        <v>0</v>
      </c>
      <c r="I386" s="14">
        <f>最新!H386</f>
        <v>0</v>
      </c>
      <c r="K386" s="18">
        <f>IF($A386="","",IFERROR(D386/SUMIFS(履歴10日!$F$2:$F$62000,履歴10日!$C$2:$C$62000,$A386&amp;"",履歴10日!$B$2:$B$62000,C386,履歴10日!$A$2:$A$62000,N$1),""))</f>
      </c>
      <c r="L386" t="str">
        <f t="shared" si="11"/>
        <v/>
      </c>
      <c r="M386" s="18"/>
    </row>
    <row r="387" spans="1:13">
      <c r="A387" s="7">
        <f>最新!A387</f>
        <v>0</v>
      </c>
      <c r="B387" s="7">
        <f>最新!B387</f>
        <v>0</v>
      </c>
      <c r="C387" s="12">
        <f>最新!C387</f>
        <v>0</v>
      </c>
      <c r="D387" s="7">
        <f>最新!E387</f>
        <v>0</v>
      </c>
      <c r="E387" s="7" t="str">
        <f>IF($A387="","",IFERROR(AVERAGEIFS(履歴10日!$F$2:$F$62000,履歴10日!$C$2:$C$62000,$A387&amp;"",履歴10日!$B$2:$B$62000,C387),""))</f>
        <v/>
      </c>
      <c r="F387" s="13" t="str">
        <f t="shared" si="12"/>
        <v/>
      </c>
      <c r="G387" s="7">
        <f>最新!F387</f>
        <v>0</v>
      </c>
      <c r="H387" s="14">
        <f>最新!G387</f>
        <v>0</v>
      </c>
      <c r="I387" s="14">
        <f>最新!H387</f>
        <v>0</v>
      </c>
      <c r="K387" s="18">
        <f>IF($A387="","",IFERROR(D387/SUMIFS(履歴10日!$F$2:$F$62000,履歴10日!$C$2:$C$62000,$A387&amp;"",履歴10日!$B$2:$B$62000,C387,履歴10日!$A$2:$A$62000,N$1),""))</f>
      </c>
      <c r="L387" t="str">
        <f t="shared" ref="L387:L401" si="13">IF(OR(D387="",D387="", D387="",E387="",$E387=0),"",(D387-E387)/E387)</f>
        <v/>
      </c>
      <c r="M387" s="18"/>
    </row>
    <row r="388" spans="1:13">
      <c r="A388" s="7">
        <f>最新!A388</f>
        <v>0</v>
      </c>
      <c r="B388" s="7">
        <f>最新!B388</f>
        <v>0</v>
      </c>
      <c r="C388" s="12">
        <f>最新!C388</f>
        <v>0</v>
      </c>
      <c r="D388" s="7">
        <f>最新!E388</f>
        <v>0</v>
      </c>
      <c r="E388" s="7" t="str">
        <f>IF($A388="","",IFERROR(AVERAGEIFS(履歴10日!$F$2:$F$62000,履歴10日!$C$2:$C$62000,$A388&amp;"",履歴10日!$B$2:$B$62000,C388),""))</f>
        <v/>
      </c>
      <c r="F388" s="13" t="str">
        <f t="shared" si="12"/>
        <v/>
      </c>
      <c r="G388" s="7">
        <f>最新!F388</f>
        <v>0</v>
      </c>
      <c r="H388" s="14">
        <f>最新!G388</f>
        <v>0</v>
      </c>
      <c r="I388" s="14">
        <f>最新!H388</f>
        <v>0</v>
      </c>
      <c r="K388" s="18">
        <f>IF($A388="","",IFERROR(D388/SUMIFS(履歴10日!$F$2:$F$62000,履歴10日!$C$2:$C$62000,$A388&amp;"",履歴10日!$B$2:$B$62000,C388,履歴10日!$A$2:$A$62000,N$1),""))</f>
      </c>
      <c r="L388" t="str">
        <f t="shared" si="13"/>
        <v/>
      </c>
      <c r="M388" s="18"/>
    </row>
    <row r="389" spans="1:13">
      <c r="A389" s="7">
        <f>最新!A389</f>
        <v>0</v>
      </c>
      <c r="B389" s="7">
        <f>最新!B389</f>
        <v>0</v>
      </c>
      <c r="C389" s="12">
        <f>最新!C389</f>
        <v>0</v>
      </c>
      <c r="D389" s="7">
        <f>最新!E389</f>
        <v>0</v>
      </c>
      <c r="E389" s="7" t="str">
        <f>IF($A389="","",IFERROR(AVERAGEIFS(履歴10日!$F$2:$F$62000,履歴10日!$C$2:$C$62000,$A389&amp;"",履歴10日!$B$2:$B$62000,C389),""))</f>
        <v/>
      </c>
      <c r="F389" s="13" t="str">
        <f t="shared" si="12"/>
        <v/>
      </c>
      <c r="G389" s="7">
        <f>最新!F389</f>
        <v>0</v>
      </c>
      <c r="H389" s="14">
        <f>最新!G389</f>
        <v>0</v>
      </c>
      <c r="I389" s="14">
        <f>最新!H389</f>
        <v>0</v>
      </c>
      <c r="K389" s="18">
        <f>IF($A389="","",IFERROR(D389/SUMIFS(履歴10日!$F$2:$F$62000,履歴10日!$C$2:$C$62000,$A389&amp;"",履歴10日!$B$2:$B$62000,C389,履歴10日!$A$2:$A$62000,N$1),""))</f>
      </c>
      <c r="L389" t="str">
        <f t="shared" si="13"/>
        <v/>
      </c>
      <c r="M389" s="18"/>
    </row>
    <row r="390" spans="1:13">
      <c r="A390" s="7">
        <f>最新!A390</f>
        <v>0</v>
      </c>
      <c r="B390" s="7">
        <f>最新!B390</f>
        <v>0</v>
      </c>
      <c r="C390" s="12">
        <f>最新!C390</f>
        <v>0</v>
      </c>
      <c r="D390" s="7">
        <f>最新!E390</f>
        <v>0</v>
      </c>
      <c r="E390" s="7" t="str">
        <f>IF($A390="","",IFERROR(AVERAGEIFS(履歴10日!$F$2:$F$62000,履歴10日!$C$2:$C$62000,$A390&amp;"",履歴10日!$B$2:$B$62000,C390),""))</f>
        <v/>
      </c>
      <c r="F390" s="13" t="str">
        <f t="shared" si="12"/>
        <v/>
      </c>
      <c r="G390" s="7">
        <f>最新!F390</f>
        <v>0</v>
      </c>
      <c r="H390" s="14">
        <f>最新!G390</f>
        <v>0</v>
      </c>
      <c r="I390" s="14">
        <f>最新!H390</f>
        <v>0</v>
      </c>
      <c r="K390" s="18">
        <f>IF($A390="","",IFERROR(D390/SUMIFS(履歴10日!$F$2:$F$62000,履歴10日!$C$2:$C$62000,$A390&amp;"",履歴10日!$B$2:$B$62000,C390,履歴10日!$A$2:$A$62000,N$1),""))</f>
      </c>
      <c r="L390" t="str">
        <f t="shared" si="13"/>
        <v/>
      </c>
      <c r="M390" s="18"/>
    </row>
    <row r="391" spans="1:13">
      <c r="A391" s="7">
        <f>最新!A391</f>
        <v>0</v>
      </c>
      <c r="B391" s="7">
        <f>最新!B391</f>
        <v>0</v>
      </c>
      <c r="C391" s="12">
        <f>最新!C391</f>
        <v>0</v>
      </c>
      <c r="D391" s="7">
        <f>最新!E391</f>
        <v>0</v>
      </c>
      <c r="E391" s="7" t="str">
        <f>IF($A391="","",IFERROR(AVERAGEIFS(履歴10日!$F$2:$F$62000,履歴10日!$C$2:$C$62000,$A391&amp;"",履歴10日!$B$2:$B$62000,C391),""))</f>
        <v/>
      </c>
      <c r="F391" s="13" t="str">
        <f t="shared" si="12"/>
        <v/>
      </c>
      <c r="G391" s="7">
        <f>最新!F391</f>
        <v>0</v>
      </c>
      <c r="H391" s="14">
        <f>最新!G391</f>
        <v>0</v>
      </c>
      <c r="I391" s="14">
        <f>最新!H391</f>
        <v>0</v>
      </c>
      <c r="K391" s="18">
        <f>IF($A391="","",IFERROR(D391/SUMIFS(履歴10日!$F$2:$F$62000,履歴10日!$C$2:$C$62000,$A391&amp;"",履歴10日!$B$2:$B$62000,C391,履歴10日!$A$2:$A$62000,N$1),""))</f>
      </c>
      <c r="L391" t="str">
        <f t="shared" si="13"/>
        <v/>
      </c>
      <c r="M391" s="18"/>
    </row>
    <row r="392" spans="1:13">
      <c r="A392" s="7">
        <f>最新!A392</f>
        <v>0</v>
      </c>
      <c r="B392" s="7">
        <f>最新!B392</f>
        <v>0</v>
      </c>
      <c r="C392" s="12">
        <f>最新!C392</f>
        <v>0</v>
      </c>
      <c r="D392" s="7">
        <f>最新!E392</f>
        <v>0</v>
      </c>
      <c r="E392" s="7" t="str">
        <f>IF($A392="","",IFERROR(AVERAGEIFS(履歴10日!$F$2:$F$62000,履歴10日!$C$2:$C$62000,$A392&amp;"",履歴10日!$B$2:$B$62000,C392),""))</f>
        <v/>
      </c>
      <c r="F392" s="13" t="str">
        <f t="shared" si="12"/>
        <v/>
      </c>
      <c r="G392" s="7">
        <f>最新!F392</f>
        <v>0</v>
      </c>
      <c r="H392" s="14">
        <f>最新!G392</f>
        <v>0</v>
      </c>
      <c r="I392" s="14">
        <f>最新!H392</f>
        <v>0</v>
      </c>
      <c r="K392" s="18">
        <f>IF($A392="","",IFERROR(D392/SUMIFS(履歴10日!$F$2:$F$62000,履歴10日!$C$2:$C$62000,$A392&amp;"",履歴10日!$B$2:$B$62000,C392,履歴10日!$A$2:$A$62000,N$1),""))</f>
      </c>
      <c r="L392" t="str">
        <f t="shared" si="13"/>
        <v/>
      </c>
      <c r="M392" s="18"/>
    </row>
    <row r="393" spans="1:13">
      <c r="A393" s="7">
        <f>最新!A393</f>
        <v>0</v>
      </c>
      <c r="B393" s="7">
        <f>最新!B393</f>
        <v>0</v>
      </c>
      <c r="C393" s="12">
        <f>最新!C393</f>
        <v>0</v>
      </c>
      <c r="D393" s="7">
        <f>最新!E393</f>
        <v>0</v>
      </c>
      <c r="E393" s="7" t="str">
        <f>IF($A393="","",IFERROR(AVERAGEIFS(履歴10日!$F$2:$F$62000,履歴10日!$C$2:$C$62000,$A393&amp;"",履歴10日!$B$2:$B$62000,C393),""))</f>
        <v/>
      </c>
      <c r="F393" s="13" t="str">
        <f t="shared" si="12"/>
        <v/>
      </c>
      <c r="G393" s="7">
        <f>最新!F393</f>
        <v>0</v>
      </c>
      <c r="H393" s="14">
        <f>最新!G393</f>
        <v>0</v>
      </c>
      <c r="I393" s="14">
        <f>最新!H393</f>
        <v>0</v>
      </c>
      <c r="K393" s="18">
        <f>IF($A393="","",IFERROR(D393/SUMIFS(履歴10日!$F$2:$F$62000,履歴10日!$C$2:$C$62000,$A393&amp;"",履歴10日!$B$2:$B$62000,C393,履歴10日!$A$2:$A$62000,N$1),""))</f>
      </c>
      <c r="L393" t="str">
        <f t="shared" si="13"/>
        <v/>
      </c>
      <c r="M393" s="18"/>
    </row>
    <row r="394" spans="1:13">
      <c r="A394" s="7">
        <f>最新!A394</f>
        <v>0</v>
      </c>
      <c r="B394" s="7">
        <f>最新!B394</f>
        <v>0</v>
      </c>
      <c r="C394" s="12">
        <f>最新!C394</f>
        <v>0</v>
      </c>
      <c r="D394" s="7">
        <f>最新!E394</f>
        <v>0</v>
      </c>
      <c r="E394" s="7" t="str">
        <f>IF($A394="","",IFERROR(AVERAGEIFS(履歴10日!$F$2:$F$62000,履歴10日!$C$2:$C$62000,$A394&amp;"",履歴10日!$B$2:$B$62000,C394),""))</f>
        <v/>
      </c>
      <c r="F394" s="13" t="str">
        <f t="shared" si="12"/>
        <v/>
      </c>
      <c r="G394" s="7">
        <f>最新!F394</f>
        <v>0</v>
      </c>
      <c r="H394" s="14">
        <f>最新!G394</f>
        <v>0</v>
      </c>
      <c r="I394" s="14">
        <f>最新!H394</f>
        <v>0</v>
      </c>
      <c r="K394" s="18">
        <f>IF($A394="","",IFERROR(D394/SUMIFS(履歴10日!$F$2:$F$62000,履歴10日!$C$2:$C$62000,$A394&amp;"",履歴10日!$B$2:$B$62000,C394,履歴10日!$A$2:$A$62000,N$1),""))</f>
      </c>
      <c r="L394" t="str">
        <f t="shared" si="13"/>
        <v/>
      </c>
      <c r="M394" s="18"/>
    </row>
    <row r="395" spans="1:13">
      <c r="A395" s="7">
        <f>最新!A395</f>
        <v>0</v>
      </c>
      <c r="B395" s="7">
        <f>最新!B395</f>
        <v>0</v>
      </c>
      <c r="C395" s="12">
        <f>最新!C395</f>
        <v>0</v>
      </c>
      <c r="D395" s="7">
        <f>最新!E395</f>
        <v>0</v>
      </c>
      <c r="E395" s="7" t="str">
        <f>IF($A395="","",IFERROR(AVERAGEIFS(履歴10日!$F$2:$F$62000,履歴10日!$C$2:$C$62000,$A395&amp;"",履歴10日!$B$2:$B$62000,C395),""))</f>
        <v/>
      </c>
      <c r="F395" s="13" t="str">
        <f t="shared" si="12"/>
        <v/>
      </c>
      <c r="G395" s="7">
        <f>最新!F395</f>
        <v>0</v>
      </c>
      <c r="H395" s="14">
        <f>最新!G395</f>
        <v>0</v>
      </c>
      <c r="I395" s="14">
        <f>最新!H395</f>
        <v>0</v>
      </c>
      <c r="K395" s="18">
        <f>IF($A395="","",IFERROR(D395/SUMIFS(履歴10日!$F$2:$F$62000,履歴10日!$C$2:$C$62000,$A395&amp;"",履歴10日!$B$2:$B$62000,C395,履歴10日!$A$2:$A$62000,N$1),""))</f>
      </c>
      <c r="L395" t="str">
        <f t="shared" si="13"/>
        <v/>
      </c>
      <c r="M395" s="18"/>
    </row>
    <row r="396" spans="1:13">
      <c r="A396" s="7">
        <f>最新!A396</f>
        <v>0</v>
      </c>
      <c r="B396" s="7">
        <f>最新!B396</f>
        <v>0</v>
      </c>
      <c r="C396" s="12">
        <f>最新!C396</f>
        <v>0</v>
      </c>
      <c r="D396" s="7">
        <f>最新!E396</f>
        <v>0</v>
      </c>
      <c r="E396" s="7" t="str">
        <f>IF($A396="","",IFERROR(AVERAGEIFS(履歴10日!$F$2:$F$62000,履歴10日!$C$2:$C$62000,$A396&amp;"",履歴10日!$B$2:$B$62000,C396),""))</f>
        <v/>
      </c>
      <c r="F396" s="13" t="str">
        <f t="shared" si="12"/>
        <v/>
      </c>
      <c r="G396" s="7">
        <f>最新!F396</f>
        <v>0</v>
      </c>
      <c r="H396" s="14">
        <f>最新!G396</f>
        <v>0</v>
      </c>
      <c r="I396" s="14">
        <f>最新!H396</f>
        <v>0</v>
      </c>
      <c r="K396" s="18">
        <f>IF($A396="","",IFERROR(D396/SUMIFS(履歴10日!$F$2:$F$62000,履歴10日!$C$2:$C$62000,$A396&amp;"",履歴10日!$B$2:$B$62000,C396,履歴10日!$A$2:$A$62000,N$1),""))</f>
      </c>
      <c r="L396" t="str">
        <f t="shared" si="13"/>
        <v/>
      </c>
      <c r="M396" s="18"/>
    </row>
    <row r="397" spans="1:13">
      <c r="A397" s="7">
        <f>最新!A397</f>
        <v>0</v>
      </c>
      <c r="B397" s="7">
        <f>最新!B397</f>
        <v>0</v>
      </c>
      <c r="C397" s="12">
        <f>最新!C397</f>
        <v>0</v>
      </c>
      <c r="D397" s="7">
        <f>最新!E397</f>
        <v>0</v>
      </c>
      <c r="E397" s="7" t="str">
        <f>IF($A397="","",IFERROR(AVERAGEIFS(履歴10日!$F$2:$F$62000,履歴10日!$C$2:$C$62000,$A397&amp;"",履歴10日!$B$2:$B$62000,C397),""))</f>
        <v/>
      </c>
      <c r="F397" s="13" t="str">
        <f t="shared" si="12"/>
        <v/>
      </c>
      <c r="G397" s="7">
        <f>最新!F397</f>
        <v>0</v>
      </c>
      <c r="H397" s="14">
        <f>最新!G397</f>
        <v>0</v>
      </c>
      <c r="I397" s="14">
        <f>最新!H397</f>
        <v>0</v>
      </c>
      <c r="K397" s="18">
        <f>IF($A397="","",IFERROR(D397/SUMIFS(履歴10日!$F$2:$F$62000,履歴10日!$C$2:$C$62000,$A397&amp;"",履歴10日!$B$2:$B$62000,C397,履歴10日!$A$2:$A$62000,N$1),""))</f>
      </c>
      <c r="L397" t="str">
        <f t="shared" si="13"/>
        <v/>
      </c>
      <c r="M397" s="18"/>
    </row>
    <row r="398" spans="1:13">
      <c r="A398" s="7">
        <f>最新!A398</f>
        <v>0</v>
      </c>
      <c r="B398" s="7">
        <f>最新!B398</f>
        <v>0</v>
      </c>
      <c r="C398" s="12">
        <f>最新!C398</f>
        <v>0</v>
      </c>
      <c r="D398" s="7">
        <f>最新!E398</f>
        <v>0</v>
      </c>
      <c r="E398" s="7" t="str">
        <f>IF($A398="","",IFERROR(AVERAGEIFS(履歴10日!$F$2:$F$62000,履歴10日!$C$2:$C$62000,$A398&amp;"",履歴10日!$B$2:$B$62000,C398),""))</f>
        <v/>
      </c>
      <c r="F398" s="13" t="str">
        <f t="shared" si="12"/>
        <v/>
      </c>
      <c r="G398" s="7">
        <f>最新!F398</f>
        <v>0</v>
      </c>
      <c r="H398" s="14">
        <f>最新!G398</f>
        <v>0</v>
      </c>
      <c r="I398" s="14">
        <f>最新!H398</f>
        <v>0</v>
      </c>
      <c r="K398" s="18">
        <f>IF($A398="","",IFERROR(D398/SUMIFS(履歴10日!$F$2:$F$62000,履歴10日!$C$2:$C$62000,$A398&amp;"",履歴10日!$B$2:$B$62000,C398,履歴10日!$A$2:$A$62000,N$1),""))</f>
      </c>
      <c r="L398" t="str">
        <f t="shared" si="13"/>
        <v/>
      </c>
      <c r="M398" s="18"/>
    </row>
    <row r="399" spans="1:13">
      <c r="A399" s="7">
        <f>最新!A399</f>
        <v>0</v>
      </c>
      <c r="B399" s="7">
        <f>最新!B399</f>
        <v>0</v>
      </c>
      <c r="C399" s="12">
        <f>最新!C399</f>
        <v>0</v>
      </c>
      <c r="D399" s="7">
        <f>最新!E399</f>
        <v>0</v>
      </c>
      <c r="E399" s="7" t="str">
        <f>IF($A399="","",IFERROR(AVERAGEIFS(履歴10日!$F$2:$F$62000,履歴10日!$C$2:$C$62000,$A399&amp;"",履歴10日!$B$2:$B$62000,C399),""))</f>
        <v/>
      </c>
      <c r="F399" s="13" t="str">
        <f t="shared" si="12"/>
        <v/>
      </c>
      <c r="G399" s="7">
        <f>最新!F399</f>
        <v>0</v>
      </c>
      <c r="H399" s="14">
        <f>最新!G399</f>
        <v>0</v>
      </c>
      <c r="I399" s="14">
        <f>最新!H399</f>
        <v>0</v>
      </c>
      <c r="K399" s="18">
        <f>IF($A399="","",IFERROR(D399/SUMIFS(履歴10日!$F$2:$F$62000,履歴10日!$C$2:$C$62000,$A399&amp;"",履歴10日!$B$2:$B$62000,C399,履歴10日!$A$2:$A$62000,N$1),""))</f>
      </c>
      <c r="L399" t="str">
        <f t="shared" si="13"/>
        <v/>
      </c>
      <c r="M399" s="18"/>
    </row>
    <row r="400" spans="1:13">
      <c r="A400" s="7">
        <f>最新!A400</f>
        <v>0</v>
      </c>
      <c r="B400" s="7">
        <f>最新!B400</f>
        <v>0</v>
      </c>
      <c r="C400" s="12">
        <f>最新!C400</f>
        <v>0</v>
      </c>
      <c r="D400" s="7">
        <f>最新!E400</f>
        <v>0</v>
      </c>
      <c r="E400" s="7" t="str">
        <f>IF($A400="","",IFERROR(AVERAGEIFS(履歴10日!$F$2:$F$62000,履歴10日!$C$2:$C$62000,$A400&amp;"",履歴10日!$B$2:$B$62000,C400),""))</f>
        <v/>
      </c>
      <c r="F400" s="13" t="str">
        <f t="shared" si="12"/>
        <v/>
      </c>
      <c r="G400" s="7">
        <f>最新!F400</f>
        <v>0</v>
      </c>
      <c r="H400" s="14">
        <f>最新!G400</f>
        <v>0</v>
      </c>
      <c r="I400" s="14">
        <f>最新!H400</f>
        <v>0</v>
      </c>
      <c r="K400" s="18">
        <f>IF($A400="","",IFERROR(D400/SUMIFS(履歴10日!$F$2:$F$62000,履歴10日!$C$2:$C$62000,$A400&amp;"",履歴10日!$B$2:$B$62000,C400,履歴10日!$A$2:$A$62000,N$1),""))</f>
      </c>
      <c r="L400" t="str">
        <f t="shared" si="13"/>
        <v/>
      </c>
      <c r="M400" s="18"/>
    </row>
    <row r="401" spans="1:13">
      <c r="A401" s="7">
        <f>最新!A401</f>
        <v>0</v>
      </c>
      <c r="B401" s="7">
        <f>最新!B401</f>
        <v>0</v>
      </c>
      <c r="C401" s="12">
        <f>最新!C401</f>
        <v>0</v>
      </c>
      <c r="D401" s="7">
        <f>最新!E401</f>
        <v>0</v>
      </c>
      <c r="E401" s="7" t="str">
        <f>IF($A401="","",IFERROR(AVERAGEIFS(履歴10日!$F$2:$F$62000,履歴10日!$C$2:$C$62000,$A401&amp;"",履歴10日!$B$2:$B$62000,C401),""))</f>
        <v/>
      </c>
      <c r="F401" s="13" t="str">
        <f t="shared" si="12"/>
        <v/>
      </c>
      <c r="G401" s="7">
        <f>最新!F401</f>
        <v>0</v>
      </c>
      <c r="H401" s="14">
        <f>最新!G401</f>
        <v>0</v>
      </c>
      <c r="I401" s="14">
        <f>最新!H401</f>
        <v>0</v>
      </c>
      <c r="K401" s="18">
        <f>IF($A401="","",IFERROR(D401/SUMIFS(履歴10日!$F$2:$F$62000,履歴10日!$C$2:$C$62000,$A401&amp;"",履歴10日!$B$2:$B$62000,C401,履歴10日!$A$2:$A$62000,N$1),""))</f>
      </c>
      <c r="L401" t="str">
        <f t="shared" si="13"/>
        <v/>
      </c>
      <c r="M401" s="18"/>
    </row>
  </sheetData>
  <autoFilter ref="A1:I401" xr:uid="{00000000-0009-0000-0000-000005000000}"/>
  <phoneticPr fontId="12"/>
  <conditionalFormatting sqref="F2:F401">
    <cfRule type="cellIs" dxfId="1" priority="2" operator="greaterThanOrEqual">
      <formula>1.5</formula>
    </cfRule>
    <cfRule type="cellIs" dxfId="0" priority="3" operator="greaterThanOrEqual">
      <formula>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使い方</vt:lpstr>
      <vt:lpstr>RSS取得</vt:lpstr>
      <vt:lpstr>本日ログ</vt:lpstr>
      <vt:lpstr>最新</vt:lpstr>
      <vt:lpstr>履歴10日</vt:lpstr>
      <vt:lpstr>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英明 阿部</cp:lastModifiedBy>
  <cp:revision>0</cp:revision>
  <dcterms:created xsi:type="dcterms:W3CDTF">2026-07-17T03:33:24Z</dcterms:created>
  <dcterms:modified xsi:type="dcterms:W3CDTF">2026-07-20T06:12:54Z</dcterms:modified>
  <dc:language>en-US</dc:language>
</cp:coreProperties>
</file>